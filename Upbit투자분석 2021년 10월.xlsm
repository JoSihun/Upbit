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3ED0BB0E-651D-41CD-ABC9-9C76192D0103}" xr6:coauthVersionLast="47" xr6:coauthVersionMax="47" xr10:uidLastSave="{00000000-0000-0000-0000-000000000000}"/>
  <bookViews>
    <workbookView xWindow="28680" yWindow="-120" windowWidth="29040" windowHeight="15840" firstSheet="2" activeTab="10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0.01" sheetId="24" r:id="rId6"/>
    <sheet name="2021.10.02" sheetId="25" r:id="rId7"/>
    <sheet name="2021.10.03" sheetId="26" r:id="rId8"/>
    <sheet name="2021.10.04" sheetId="27" r:id="rId9"/>
    <sheet name="2021.10.05" sheetId="28" r:id="rId10"/>
    <sheet name="2021.10.06" sheetId="29" r:id="rId11"/>
  </sheets>
  <definedNames>
    <definedName name="_xlnm._FilterDatabase" localSheetId="5" hidden="1">'2021.10.01'!#REF!</definedName>
    <definedName name="_xlnm._FilterDatabase" localSheetId="6" hidden="1">'2021.10.02'!#REF!</definedName>
    <definedName name="_xlnm._FilterDatabase" localSheetId="7" hidden="1">'2021.10.03'!#REF!</definedName>
    <definedName name="_xlnm._FilterDatabase" localSheetId="8" hidden="1">'2021.10.04'!#REF!</definedName>
    <definedName name="_xlnm._FilterDatabase" localSheetId="9" hidden="1">'2021.10.05'!#REF!</definedName>
    <definedName name="_xlnm._FilterDatabase" localSheetId="10" hidden="1">'2021.10.06'!#REF!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9" l="1"/>
  <c r="O198" i="29"/>
  <c r="N198" i="29"/>
  <c r="L198" i="29"/>
  <c r="K198" i="29"/>
  <c r="I198" i="29"/>
  <c r="H198" i="29"/>
  <c r="F198" i="29"/>
  <c r="E198" i="29"/>
  <c r="O197" i="29"/>
  <c r="N197" i="29"/>
  <c r="L197" i="29"/>
  <c r="K197" i="29"/>
  <c r="I197" i="29"/>
  <c r="H197" i="29"/>
  <c r="F197" i="29"/>
  <c r="E197" i="29"/>
  <c r="O196" i="29"/>
  <c r="N196" i="29"/>
  <c r="L196" i="29"/>
  <c r="K196" i="29"/>
  <c r="I196" i="29"/>
  <c r="H196" i="29"/>
  <c r="F196" i="29"/>
  <c r="E196" i="29"/>
  <c r="O195" i="29"/>
  <c r="N195" i="29"/>
  <c r="L195" i="29"/>
  <c r="K195" i="29"/>
  <c r="I195" i="29"/>
  <c r="H195" i="29"/>
  <c r="F195" i="29"/>
  <c r="E195" i="29"/>
  <c r="O194" i="29"/>
  <c r="N194" i="29"/>
  <c r="L194" i="29"/>
  <c r="K194" i="29"/>
  <c r="I194" i="29"/>
  <c r="H194" i="29"/>
  <c r="F194" i="29"/>
  <c r="E194" i="29"/>
  <c r="O193" i="29"/>
  <c r="N193" i="29"/>
  <c r="L193" i="29"/>
  <c r="K193" i="29"/>
  <c r="I193" i="29"/>
  <c r="H193" i="29"/>
  <c r="F193" i="29"/>
  <c r="E193" i="29"/>
  <c r="O192" i="29"/>
  <c r="N192" i="29"/>
  <c r="L192" i="29"/>
  <c r="K192" i="29"/>
  <c r="I192" i="29"/>
  <c r="H192" i="29"/>
  <c r="F192" i="29"/>
  <c r="E192" i="29"/>
  <c r="O191" i="29"/>
  <c r="N191" i="29"/>
  <c r="L191" i="29"/>
  <c r="K191" i="29"/>
  <c r="I191" i="29"/>
  <c r="H191" i="29"/>
  <c r="F191" i="29"/>
  <c r="E191" i="29"/>
  <c r="O190" i="29"/>
  <c r="N190" i="29"/>
  <c r="L190" i="29"/>
  <c r="K190" i="29"/>
  <c r="I190" i="29"/>
  <c r="H190" i="29"/>
  <c r="F190" i="29"/>
  <c r="E190" i="29"/>
  <c r="O189" i="29"/>
  <c r="N189" i="29"/>
  <c r="L189" i="29"/>
  <c r="K189" i="29"/>
  <c r="I189" i="29"/>
  <c r="H189" i="29"/>
  <c r="F189" i="29"/>
  <c r="E189" i="29"/>
  <c r="O188" i="29"/>
  <c r="N188" i="29"/>
  <c r="L188" i="29"/>
  <c r="K188" i="29"/>
  <c r="I188" i="29"/>
  <c r="H188" i="29"/>
  <c r="F188" i="29"/>
  <c r="E188" i="29"/>
  <c r="O187" i="29"/>
  <c r="N187" i="29"/>
  <c r="L187" i="29"/>
  <c r="K187" i="29"/>
  <c r="I187" i="29"/>
  <c r="H187" i="29"/>
  <c r="F187" i="29"/>
  <c r="E187" i="29"/>
  <c r="O186" i="29"/>
  <c r="N186" i="29"/>
  <c r="L186" i="29"/>
  <c r="K186" i="29"/>
  <c r="I186" i="29"/>
  <c r="H186" i="29"/>
  <c r="F186" i="29"/>
  <c r="E186" i="29"/>
  <c r="O185" i="29"/>
  <c r="N185" i="29"/>
  <c r="L185" i="29"/>
  <c r="K185" i="29"/>
  <c r="I185" i="29"/>
  <c r="H185" i="29"/>
  <c r="F185" i="29"/>
  <c r="E185" i="29"/>
  <c r="O184" i="29"/>
  <c r="N184" i="29"/>
  <c r="L184" i="29"/>
  <c r="K184" i="29"/>
  <c r="I184" i="29"/>
  <c r="H184" i="29"/>
  <c r="F184" i="29"/>
  <c r="E184" i="29"/>
  <c r="O183" i="29"/>
  <c r="N183" i="29"/>
  <c r="L183" i="29"/>
  <c r="K183" i="29"/>
  <c r="I183" i="29"/>
  <c r="H183" i="29"/>
  <c r="F183" i="29"/>
  <c r="E183" i="29"/>
  <c r="O182" i="29"/>
  <c r="N182" i="29"/>
  <c r="L182" i="29"/>
  <c r="K182" i="29"/>
  <c r="I182" i="29"/>
  <c r="H182" i="29"/>
  <c r="F182" i="29"/>
  <c r="E182" i="29"/>
  <c r="O181" i="29"/>
  <c r="N181" i="29"/>
  <c r="L181" i="29"/>
  <c r="K181" i="29"/>
  <c r="I181" i="29"/>
  <c r="H181" i="29"/>
  <c r="F181" i="29"/>
  <c r="E181" i="29"/>
  <c r="O180" i="29"/>
  <c r="N180" i="29"/>
  <c r="L180" i="29"/>
  <c r="K180" i="29"/>
  <c r="I180" i="29"/>
  <c r="H180" i="29"/>
  <c r="F180" i="29"/>
  <c r="E180" i="29"/>
  <c r="O179" i="29"/>
  <c r="O199" i="29" s="1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E171" i="29"/>
  <c r="F171" i="29" s="1"/>
  <c r="O170" i="29"/>
  <c r="N170" i="29"/>
  <c r="L170" i="29"/>
  <c r="K170" i="29"/>
  <c r="H170" i="29"/>
  <c r="I170" i="29" s="1"/>
  <c r="E170" i="29"/>
  <c r="F170" i="29" s="1"/>
  <c r="O169" i="29"/>
  <c r="N169" i="29"/>
  <c r="L169" i="29"/>
  <c r="K169" i="29"/>
  <c r="I169" i="29"/>
  <c r="H169" i="29"/>
  <c r="E169" i="29"/>
  <c r="F169" i="29" s="1"/>
  <c r="O168" i="29"/>
  <c r="N168" i="29"/>
  <c r="K168" i="29"/>
  <c r="L168" i="29" s="1"/>
  <c r="H168" i="29"/>
  <c r="I168" i="29" s="1"/>
  <c r="E168" i="29"/>
  <c r="F168" i="29" s="1"/>
  <c r="O167" i="29"/>
  <c r="N167" i="29"/>
  <c r="K167" i="29"/>
  <c r="L167" i="29" s="1"/>
  <c r="H167" i="29"/>
  <c r="I167" i="29" s="1"/>
  <c r="E167" i="29"/>
  <c r="F167" i="29" s="1"/>
  <c r="O166" i="29"/>
  <c r="N166" i="29"/>
  <c r="K166" i="29"/>
  <c r="L166" i="29" s="1"/>
  <c r="I166" i="29"/>
  <c r="H166" i="29"/>
  <c r="E166" i="29"/>
  <c r="F166" i="29" s="1"/>
  <c r="O165" i="29"/>
  <c r="N165" i="29"/>
  <c r="L165" i="29"/>
  <c r="K165" i="29"/>
  <c r="I165" i="29"/>
  <c r="H165" i="29"/>
  <c r="E165" i="29"/>
  <c r="F165" i="29" s="1"/>
  <c r="O164" i="29"/>
  <c r="N164" i="29"/>
  <c r="K164" i="29"/>
  <c r="L164" i="29" s="1"/>
  <c r="H164" i="29"/>
  <c r="I164" i="29" s="1"/>
  <c r="E164" i="29"/>
  <c r="F164" i="29" s="1"/>
  <c r="O163" i="29"/>
  <c r="N163" i="29"/>
  <c r="K163" i="29"/>
  <c r="L163" i="29" s="1"/>
  <c r="H163" i="29"/>
  <c r="I163" i="29" s="1"/>
  <c r="E163" i="29"/>
  <c r="F163" i="29" s="1"/>
  <c r="O162" i="29"/>
  <c r="N162" i="29"/>
  <c r="K162" i="29"/>
  <c r="L162" i="29" s="1"/>
  <c r="I162" i="29"/>
  <c r="H162" i="29"/>
  <c r="E162" i="29"/>
  <c r="F162" i="29" s="1"/>
  <c r="O161" i="29"/>
  <c r="N161" i="29"/>
  <c r="L161" i="29"/>
  <c r="K161" i="29"/>
  <c r="I161" i="29"/>
  <c r="H161" i="29"/>
  <c r="E161" i="29"/>
  <c r="F161" i="29" s="1"/>
  <c r="O160" i="29"/>
  <c r="N160" i="29"/>
  <c r="K160" i="29"/>
  <c r="L160" i="29" s="1"/>
  <c r="H160" i="29"/>
  <c r="I160" i="29" s="1"/>
  <c r="E160" i="29"/>
  <c r="F160" i="29" s="1"/>
  <c r="O159" i="29"/>
  <c r="N159" i="29"/>
  <c r="K159" i="29"/>
  <c r="L159" i="29" s="1"/>
  <c r="H159" i="29"/>
  <c r="I159" i="29" s="1"/>
  <c r="E159" i="29"/>
  <c r="F159" i="29" s="1"/>
  <c r="O158" i="29"/>
  <c r="N158" i="29"/>
  <c r="K158" i="29"/>
  <c r="L158" i="29" s="1"/>
  <c r="I158" i="29"/>
  <c r="H158" i="29"/>
  <c r="E158" i="29"/>
  <c r="F158" i="29" s="1"/>
  <c r="O157" i="29"/>
  <c r="N157" i="29"/>
  <c r="L157" i="29"/>
  <c r="K157" i="29"/>
  <c r="I157" i="29"/>
  <c r="H157" i="29"/>
  <c r="E157" i="29"/>
  <c r="F157" i="29" s="1"/>
  <c r="O156" i="29"/>
  <c r="N156" i="29"/>
  <c r="K156" i="29"/>
  <c r="L156" i="29" s="1"/>
  <c r="H156" i="29"/>
  <c r="I156" i="29" s="1"/>
  <c r="E156" i="29"/>
  <c r="F156" i="29" s="1"/>
  <c r="O155" i="29"/>
  <c r="N155" i="29"/>
  <c r="K155" i="29"/>
  <c r="L155" i="29" s="1"/>
  <c r="H155" i="29"/>
  <c r="I155" i="29" s="1"/>
  <c r="E155" i="29"/>
  <c r="F155" i="29" s="1"/>
  <c r="O154" i="29"/>
  <c r="N154" i="29"/>
  <c r="K154" i="29"/>
  <c r="L154" i="29" s="1"/>
  <c r="I154" i="29"/>
  <c r="H154" i="29"/>
  <c r="E154" i="29"/>
  <c r="F154" i="29" s="1"/>
  <c r="O153" i="29"/>
  <c r="N153" i="29"/>
  <c r="L153" i="29"/>
  <c r="K153" i="29"/>
  <c r="I153" i="29"/>
  <c r="H153" i="29"/>
  <c r="E153" i="29"/>
  <c r="F153" i="29" s="1"/>
  <c r="O152" i="29"/>
  <c r="O172" i="29" s="1"/>
  <c r="N152" i="29"/>
  <c r="N172" i="29" s="1"/>
  <c r="K152" i="29"/>
  <c r="K172" i="29" s="1"/>
  <c r="H152" i="29"/>
  <c r="H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O139" i="29"/>
  <c r="N139" i="29"/>
  <c r="K139" i="29"/>
  <c r="L139" i="29" s="1"/>
  <c r="H139" i="29"/>
  <c r="I139" i="29" s="1"/>
  <c r="F139" i="29"/>
  <c r="E139" i="29"/>
  <c r="O138" i="29"/>
  <c r="N138" i="29"/>
  <c r="K138" i="29"/>
  <c r="L138" i="29" s="1"/>
  <c r="H138" i="29"/>
  <c r="I138" i="29" s="1"/>
  <c r="F138" i="29"/>
  <c r="E138" i="29"/>
  <c r="O137" i="29"/>
  <c r="N137" i="29"/>
  <c r="L137" i="29"/>
  <c r="K137" i="29"/>
  <c r="H137" i="29"/>
  <c r="I137" i="29" s="1"/>
  <c r="F137" i="29"/>
  <c r="E137" i="29"/>
  <c r="O136" i="29"/>
  <c r="N136" i="29"/>
  <c r="L136" i="29"/>
  <c r="K136" i="29"/>
  <c r="H136" i="29"/>
  <c r="I136" i="29" s="1"/>
  <c r="F136" i="29"/>
  <c r="E136" i="29"/>
  <c r="O135" i="29"/>
  <c r="N135" i="29"/>
  <c r="K135" i="29"/>
  <c r="L135" i="29" s="1"/>
  <c r="H135" i="29"/>
  <c r="I135" i="29" s="1"/>
  <c r="F135" i="29"/>
  <c r="E135" i="29"/>
  <c r="O134" i="29"/>
  <c r="N134" i="29"/>
  <c r="K134" i="29"/>
  <c r="L134" i="29" s="1"/>
  <c r="H134" i="29"/>
  <c r="I134" i="29" s="1"/>
  <c r="F134" i="29"/>
  <c r="E134" i="29"/>
  <c r="O133" i="29"/>
  <c r="N133" i="29"/>
  <c r="L133" i="29"/>
  <c r="K133" i="29"/>
  <c r="H133" i="29"/>
  <c r="I133" i="29" s="1"/>
  <c r="F133" i="29"/>
  <c r="E133" i="29"/>
  <c r="O132" i="29"/>
  <c r="N132" i="29"/>
  <c r="L132" i="29"/>
  <c r="K132" i="29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O130" i="29"/>
  <c r="N130" i="29"/>
  <c r="K130" i="29"/>
  <c r="L130" i="29" s="1"/>
  <c r="H130" i="29"/>
  <c r="I130" i="29" s="1"/>
  <c r="F130" i="29"/>
  <c r="E130" i="29"/>
  <c r="O129" i="29"/>
  <c r="N129" i="29"/>
  <c r="L129" i="29"/>
  <c r="K129" i="29"/>
  <c r="H129" i="29"/>
  <c r="I129" i="29" s="1"/>
  <c r="F129" i="29"/>
  <c r="E129" i="29"/>
  <c r="O128" i="29"/>
  <c r="N128" i="29"/>
  <c r="L128" i="29"/>
  <c r="K128" i="29"/>
  <c r="H128" i="29"/>
  <c r="I128" i="29" s="1"/>
  <c r="F128" i="29"/>
  <c r="E128" i="29"/>
  <c r="O127" i="29"/>
  <c r="N127" i="29"/>
  <c r="K127" i="29"/>
  <c r="L127" i="29" s="1"/>
  <c r="H127" i="29"/>
  <c r="I127" i="29" s="1"/>
  <c r="F127" i="29"/>
  <c r="E127" i="29"/>
  <c r="O126" i="29"/>
  <c r="N126" i="29"/>
  <c r="K126" i="29"/>
  <c r="L126" i="29" s="1"/>
  <c r="H126" i="29"/>
  <c r="I126" i="29" s="1"/>
  <c r="F126" i="29"/>
  <c r="E126" i="29"/>
  <c r="O125" i="29"/>
  <c r="O145" i="29" s="1"/>
  <c r="N125" i="29"/>
  <c r="N145" i="29" s="1"/>
  <c r="L125" i="29"/>
  <c r="K125" i="29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L117" i="29"/>
  <c r="K117" i="29"/>
  <c r="H117" i="29"/>
  <c r="I117" i="29" s="1"/>
  <c r="F117" i="29"/>
  <c r="E117" i="29"/>
  <c r="O116" i="29"/>
  <c r="N116" i="29"/>
  <c r="L116" i="29"/>
  <c r="K116" i="29"/>
  <c r="H116" i="29"/>
  <c r="I116" i="29" s="1"/>
  <c r="F116" i="29"/>
  <c r="E116" i="29"/>
  <c r="O115" i="29"/>
  <c r="N115" i="29"/>
  <c r="K115" i="29"/>
  <c r="L115" i="29" s="1"/>
  <c r="H115" i="29"/>
  <c r="I115" i="29" s="1"/>
  <c r="F115" i="29"/>
  <c r="E115" i="29"/>
  <c r="O114" i="29"/>
  <c r="N114" i="29"/>
  <c r="K114" i="29"/>
  <c r="L114" i="29" s="1"/>
  <c r="H114" i="29"/>
  <c r="I114" i="29" s="1"/>
  <c r="F114" i="29"/>
  <c r="E114" i="29"/>
  <c r="O113" i="29"/>
  <c r="N113" i="29"/>
  <c r="L113" i="29"/>
  <c r="K113" i="29"/>
  <c r="H113" i="29"/>
  <c r="I113" i="29" s="1"/>
  <c r="F113" i="29"/>
  <c r="E113" i="29"/>
  <c r="O112" i="29"/>
  <c r="N112" i="29"/>
  <c r="L112" i="29"/>
  <c r="K112" i="29"/>
  <c r="H112" i="29"/>
  <c r="I112" i="29" s="1"/>
  <c r="F112" i="29"/>
  <c r="E112" i="29"/>
  <c r="O111" i="29"/>
  <c r="N111" i="29"/>
  <c r="K111" i="29"/>
  <c r="L111" i="29" s="1"/>
  <c r="H111" i="29"/>
  <c r="I111" i="29" s="1"/>
  <c r="F111" i="29"/>
  <c r="E111" i="29"/>
  <c r="O110" i="29"/>
  <c r="N110" i="29"/>
  <c r="L110" i="29"/>
  <c r="K110" i="29"/>
  <c r="H110" i="29"/>
  <c r="I110" i="29" s="1"/>
  <c r="F110" i="29"/>
  <c r="E110" i="29"/>
  <c r="O109" i="29"/>
  <c r="N109" i="29"/>
  <c r="L109" i="29"/>
  <c r="K109" i="29"/>
  <c r="H109" i="29"/>
  <c r="I109" i="29" s="1"/>
  <c r="F109" i="29"/>
  <c r="E109" i="29"/>
  <c r="O108" i="29"/>
  <c r="N108" i="29"/>
  <c r="L108" i="29"/>
  <c r="K108" i="29"/>
  <c r="H108" i="29"/>
  <c r="I108" i="29" s="1"/>
  <c r="F108" i="29"/>
  <c r="E108" i="29"/>
  <c r="O107" i="29"/>
  <c r="N107" i="29"/>
  <c r="K107" i="29"/>
  <c r="L107" i="29" s="1"/>
  <c r="H107" i="29"/>
  <c r="I107" i="29" s="1"/>
  <c r="F107" i="29"/>
  <c r="E107" i="29"/>
  <c r="O106" i="29"/>
  <c r="N106" i="29"/>
  <c r="K106" i="29"/>
  <c r="L106" i="29" s="1"/>
  <c r="H106" i="29"/>
  <c r="I106" i="29" s="1"/>
  <c r="F106" i="29"/>
  <c r="E106" i="29"/>
  <c r="O105" i="29"/>
  <c r="N105" i="29"/>
  <c r="L105" i="29"/>
  <c r="K105" i="29"/>
  <c r="H105" i="29"/>
  <c r="I105" i="29" s="1"/>
  <c r="F105" i="29"/>
  <c r="E105" i="29"/>
  <c r="O104" i="29"/>
  <c r="N104" i="29"/>
  <c r="L104" i="29"/>
  <c r="K104" i="29"/>
  <c r="H104" i="29"/>
  <c r="I104" i="29" s="1"/>
  <c r="F104" i="29"/>
  <c r="E104" i="29"/>
  <c r="O103" i="29"/>
  <c r="N103" i="29"/>
  <c r="K103" i="29"/>
  <c r="L103" i="29" s="1"/>
  <c r="H103" i="29"/>
  <c r="I103" i="29" s="1"/>
  <c r="F103" i="29"/>
  <c r="E103" i="29"/>
  <c r="O102" i="29"/>
  <c r="N102" i="29"/>
  <c r="K102" i="29"/>
  <c r="L102" i="29" s="1"/>
  <c r="H102" i="29"/>
  <c r="I102" i="29" s="1"/>
  <c r="E102" i="29"/>
  <c r="F102" i="29" s="1"/>
  <c r="O101" i="29"/>
  <c r="N101" i="29"/>
  <c r="L101" i="29"/>
  <c r="K101" i="29"/>
  <c r="H101" i="29"/>
  <c r="I101" i="29" s="1"/>
  <c r="F101" i="29"/>
  <c r="E101" i="29"/>
  <c r="O100" i="29"/>
  <c r="N100" i="29"/>
  <c r="K100" i="29"/>
  <c r="L100" i="29" s="1"/>
  <c r="H100" i="29"/>
  <c r="I100" i="29" s="1"/>
  <c r="F100" i="29"/>
  <c r="E100" i="29"/>
  <c r="O99" i="29"/>
  <c r="N99" i="29"/>
  <c r="K99" i="29"/>
  <c r="L99" i="29" s="1"/>
  <c r="H99" i="29"/>
  <c r="I99" i="29" s="1"/>
  <c r="F99" i="29"/>
  <c r="E99" i="29"/>
  <c r="O98" i="29"/>
  <c r="O118" i="29" s="1"/>
  <c r="N98" i="29"/>
  <c r="N118" i="29" s="1"/>
  <c r="L98" i="29"/>
  <c r="K98" i="29"/>
  <c r="K118" i="29" s="1"/>
  <c r="H98" i="29"/>
  <c r="F98" i="29"/>
  <c r="E98" i="29"/>
  <c r="E118" i="29" s="1"/>
  <c r="M96" i="29"/>
  <c r="J96" i="29"/>
  <c r="G96" i="29"/>
  <c r="D96" i="29"/>
  <c r="B96" i="29"/>
  <c r="M95" i="29"/>
  <c r="G95" i="29"/>
  <c r="N91" i="29"/>
  <c r="B91" i="29"/>
  <c r="O90" i="29"/>
  <c r="N90" i="29"/>
  <c r="L90" i="29"/>
  <c r="K90" i="29"/>
  <c r="I90" i="29"/>
  <c r="H90" i="29"/>
  <c r="F90" i="29"/>
  <c r="E90" i="29"/>
  <c r="O89" i="29"/>
  <c r="N89" i="29"/>
  <c r="L89" i="29"/>
  <c r="K89" i="29"/>
  <c r="I89" i="29"/>
  <c r="H89" i="29"/>
  <c r="F89" i="29"/>
  <c r="E89" i="29"/>
  <c r="O88" i="29"/>
  <c r="N88" i="29"/>
  <c r="L88" i="29"/>
  <c r="K88" i="29"/>
  <c r="I88" i="29"/>
  <c r="H88" i="29"/>
  <c r="F88" i="29"/>
  <c r="E88" i="29"/>
  <c r="O87" i="29"/>
  <c r="N87" i="29"/>
  <c r="L87" i="29"/>
  <c r="K87" i="29"/>
  <c r="I87" i="29"/>
  <c r="H87" i="29"/>
  <c r="F87" i="29"/>
  <c r="E87" i="29"/>
  <c r="O86" i="29"/>
  <c r="N86" i="29"/>
  <c r="L86" i="29"/>
  <c r="K86" i="29"/>
  <c r="I86" i="29"/>
  <c r="H86" i="29"/>
  <c r="F86" i="29"/>
  <c r="E86" i="29"/>
  <c r="O85" i="29"/>
  <c r="N85" i="29"/>
  <c r="L85" i="29"/>
  <c r="K85" i="29"/>
  <c r="I85" i="29"/>
  <c r="H85" i="29"/>
  <c r="F85" i="29"/>
  <c r="E85" i="29"/>
  <c r="O84" i="29"/>
  <c r="N84" i="29"/>
  <c r="L84" i="29"/>
  <c r="K84" i="29"/>
  <c r="I84" i="29"/>
  <c r="H84" i="29"/>
  <c r="F84" i="29"/>
  <c r="E84" i="29"/>
  <c r="O83" i="29"/>
  <c r="N83" i="29"/>
  <c r="L83" i="29"/>
  <c r="K83" i="29"/>
  <c r="I83" i="29"/>
  <c r="H83" i="29"/>
  <c r="F83" i="29"/>
  <c r="E83" i="29"/>
  <c r="O82" i="29"/>
  <c r="N82" i="29"/>
  <c r="L82" i="29"/>
  <c r="K82" i="29"/>
  <c r="I82" i="29"/>
  <c r="H82" i="29"/>
  <c r="F82" i="29"/>
  <c r="E82" i="29"/>
  <c r="O81" i="29"/>
  <c r="N81" i="29"/>
  <c r="L81" i="29"/>
  <c r="K81" i="29"/>
  <c r="I81" i="29"/>
  <c r="H81" i="29"/>
  <c r="F81" i="29"/>
  <c r="E81" i="29"/>
  <c r="O80" i="29"/>
  <c r="N80" i="29"/>
  <c r="L80" i="29"/>
  <c r="K80" i="29"/>
  <c r="I80" i="29"/>
  <c r="H80" i="29"/>
  <c r="F80" i="29"/>
  <c r="E80" i="29"/>
  <c r="O79" i="29"/>
  <c r="N79" i="29"/>
  <c r="L79" i="29"/>
  <c r="K79" i="29"/>
  <c r="I79" i="29"/>
  <c r="H79" i="29"/>
  <c r="F79" i="29"/>
  <c r="E79" i="29"/>
  <c r="O78" i="29"/>
  <c r="N78" i="29"/>
  <c r="L78" i="29"/>
  <c r="K78" i="29"/>
  <c r="I78" i="29"/>
  <c r="H78" i="29"/>
  <c r="F78" i="29"/>
  <c r="E78" i="29"/>
  <c r="O77" i="29"/>
  <c r="N77" i="29"/>
  <c r="L77" i="29"/>
  <c r="K77" i="29"/>
  <c r="I77" i="29"/>
  <c r="H77" i="29"/>
  <c r="F77" i="29"/>
  <c r="E77" i="29"/>
  <c r="O76" i="29"/>
  <c r="N76" i="29"/>
  <c r="L76" i="29"/>
  <c r="K76" i="29"/>
  <c r="I76" i="29"/>
  <c r="H76" i="29"/>
  <c r="F76" i="29"/>
  <c r="E76" i="29"/>
  <c r="O75" i="29"/>
  <c r="N75" i="29"/>
  <c r="L75" i="29"/>
  <c r="K75" i="29"/>
  <c r="I75" i="29"/>
  <c r="H75" i="29"/>
  <c r="F75" i="29"/>
  <c r="E75" i="29"/>
  <c r="O74" i="29"/>
  <c r="N74" i="29"/>
  <c r="L74" i="29"/>
  <c r="K74" i="29"/>
  <c r="I74" i="29"/>
  <c r="H74" i="29"/>
  <c r="F74" i="29"/>
  <c r="E74" i="29"/>
  <c r="O73" i="29"/>
  <c r="N73" i="29"/>
  <c r="L73" i="29"/>
  <c r="K73" i="29"/>
  <c r="I73" i="29"/>
  <c r="H73" i="29"/>
  <c r="F73" i="29"/>
  <c r="E73" i="29"/>
  <c r="O72" i="29"/>
  <c r="N72" i="29"/>
  <c r="L72" i="29"/>
  <c r="K72" i="29"/>
  <c r="I72" i="29"/>
  <c r="H72" i="29"/>
  <c r="F72" i="29"/>
  <c r="E72" i="29"/>
  <c r="O71" i="29"/>
  <c r="O91" i="29" s="1"/>
  <c r="N71" i="29"/>
  <c r="L71" i="29"/>
  <c r="L91" i="29" s="1"/>
  <c r="K71" i="29"/>
  <c r="K91" i="29" s="1"/>
  <c r="I71" i="29"/>
  <c r="I91" i="29" s="1"/>
  <c r="H71" i="29"/>
  <c r="H91" i="29" s="1"/>
  <c r="F71" i="29"/>
  <c r="F91" i="29" s="1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K60" i="29"/>
  <c r="L60" i="29" s="1"/>
  <c r="I60" i="29"/>
  <c r="H60" i="29"/>
  <c r="F60" i="29"/>
  <c r="E60" i="29"/>
  <c r="O59" i="29"/>
  <c r="N59" i="29"/>
  <c r="K59" i="29"/>
  <c r="L59" i="29" s="1"/>
  <c r="I59" i="29"/>
  <c r="H59" i="29"/>
  <c r="F59" i="29"/>
  <c r="E59" i="29"/>
  <c r="O58" i="29"/>
  <c r="N58" i="29"/>
  <c r="K58" i="29"/>
  <c r="L58" i="29" s="1"/>
  <c r="H58" i="29"/>
  <c r="I58" i="29" s="1"/>
  <c r="F58" i="29"/>
  <c r="E58" i="29"/>
  <c r="O57" i="29"/>
  <c r="N57" i="29"/>
  <c r="K57" i="29"/>
  <c r="L57" i="29" s="1"/>
  <c r="H57" i="29"/>
  <c r="I57" i="29" s="1"/>
  <c r="F57" i="29"/>
  <c r="E57" i="29"/>
  <c r="O56" i="29"/>
  <c r="N56" i="29"/>
  <c r="L56" i="29"/>
  <c r="K56" i="29"/>
  <c r="H56" i="29"/>
  <c r="I56" i="29" s="1"/>
  <c r="F56" i="29"/>
  <c r="E56" i="29"/>
  <c r="O55" i="29"/>
  <c r="N55" i="29"/>
  <c r="K55" i="29"/>
  <c r="L55" i="29" s="1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O53" i="29"/>
  <c r="N53" i="29"/>
  <c r="K53" i="29"/>
  <c r="L53" i="29" s="1"/>
  <c r="H53" i="29"/>
  <c r="I53" i="29" s="1"/>
  <c r="F53" i="29"/>
  <c r="E53" i="29"/>
  <c r="O52" i="29"/>
  <c r="N52" i="29"/>
  <c r="L52" i="29"/>
  <c r="K52" i="29"/>
  <c r="H52" i="29"/>
  <c r="I52" i="29" s="1"/>
  <c r="F52" i="29"/>
  <c r="E52" i="29"/>
  <c r="O51" i="29"/>
  <c r="N51" i="29"/>
  <c r="K51" i="29"/>
  <c r="L51" i="29" s="1"/>
  <c r="H51" i="29"/>
  <c r="I51" i="29" s="1"/>
  <c r="F51" i="29"/>
  <c r="E51" i="29"/>
  <c r="O50" i="29"/>
  <c r="N50" i="29"/>
  <c r="K50" i="29"/>
  <c r="L50" i="29" s="1"/>
  <c r="H50" i="29"/>
  <c r="I50" i="29" s="1"/>
  <c r="F50" i="29"/>
  <c r="E50" i="29"/>
  <c r="O49" i="29"/>
  <c r="N49" i="29"/>
  <c r="K49" i="29"/>
  <c r="L49" i="29" s="1"/>
  <c r="H49" i="29"/>
  <c r="I49" i="29" s="1"/>
  <c r="F49" i="29"/>
  <c r="E49" i="29"/>
  <c r="O48" i="29"/>
  <c r="N48" i="29"/>
  <c r="L48" i="29"/>
  <c r="K48" i="29"/>
  <c r="H48" i="29"/>
  <c r="I48" i="29" s="1"/>
  <c r="F48" i="29"/>
  <c r="E48" i="29"/>
  <c r="O47" i="29"/>
  <c r="N47" i="29"/>
  <c r="K47" i="29"/>
  <c r="L47" i="29" s="1"/>
  <c r="H47" i="29"/>
  <c r="I47" i="29" s="1"/>
  <c r="F47" i="29"/>
  <c r="E47" i="29"/>
  <c r="O46" i="29"/>
  <c r="N46" i="29"/>
  <c r="K46" i="29"/>
  <c r="L46" i="29" s="1"/>
  <c r="H46" i="29"/>
  <c r="I46" i="29" s="1"/>
  <c r="F46" i="29"/>
  <c r="E46" i="29"/>
  <c r="O45" i="29"/>
  <c r="N45" i="29"/>
  <c r="K45" i="29"/>
  <c r="L45" i="29" s="1"/>
  <c r="H45" i="29"/>
  <c r="I45" i="29" s="1"/>
  <c r="F45" i="29"/>
  <c r="E45" i="29"/>
  <c r="O44" i="29"/>
  <c r="O64" i="29" s="1"/>
  <c r="N44" i="29"/>
  <c r="N64" i="29" s="1"/>
  <c r="L44" i="29"/>
  <c r="K44" i="29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L168" i="28"/>
  <c r="K168" i="28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L164" i="28"/>
  <c r="K164" i="28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N161" i="28"/>
  <c r="O161" i="28" s="1"/>
  <c r="K161" i="28"/>
  <c r="L161" i="28" s="1"/>
  <c r="H161" i="28"/>
  <c r="I161" i="28" s="1"/>
  <c r="F161" i="28"/>
  <c r="E161" i="28"/>
  <c r="N160" i="28"/>
  <c r="O160" i="28" s="1"/>
  <c r="L160" i="28"/>
  <c r="K160" i="28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H143" i="28"/>
  <c r="I143" i="28" s="1"/>
  <c r="F143" i="28"/>
  <c r="E143" i="28"/>
  <c r="N142" i="28"/>
  <c r="O142" i="28" s="1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O139" i="28"/>
  <c r="N139" i="28"/>
  <c r="L139" i="28"/>
  <c r="K139" i="28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N136" i="28"/>
  <c r="O136" i="28" s="1"/>
  <c r="K136" i="28"/>
  <c r="L136" i="28" s="1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O134" i="28"/>
  <c r="N134" i="28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N131" i="28"/>
  <c r="O131" i="28" s="1"/>
  <c r="L131" i="28"/>
  <c r="K131" i="28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O128" i="28"/>
  <c r="N128" i="28"/>
  <c r="K128" i="28"/>
  <c r="L128" i="28" s="1"/>
  <c r="H128" i="28"/>
  <c r="I128" i="28" s="1"/>
  <c r="F128" i="28"/>
  <c r="E128" i="28"/>
  <c r="O127" i="28"/>
  <c r="N127" i="28"/>
  <c r="L127" i="28"/>
  <c r="K127" i="28"/>
  <c r="H127" i="28"/>
  <c r="I127" i="28" s="1"/>
  <c r="F127" i="28"/>
  <c r="E127" i="28"/>
  <c r="N126" i="28"/>
  <c r="O126" i="28" s="1"/>
  <c r="K126" i="28"/>
  <c r="L126" i="28" s="1"/>
  <c r="H126" i="28"/>
  <c r="I126" i="28" s="1"/>
  <c r="F126" i="28"/>
  <c r="E126" i="28"/>
  <c r="N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E117" i="28"/>
  <c r="F117" i="28" s="1"/>
  <c r="N116" i="28"/>
  <c r="O116" i="28" s="1"/>
  <c r="L116" i="28"/>
  <c r="K116" i="28"/>
  <c r="H116" i="28"/>
  <c r="I116" i="28" s="1"/>
  <c r="E116" i="28"/>
  <c r="F116" i="28" s="1"/>
  <c r="N115" i="28"/>
  <c r="O115" i="28" s="1"/>
  <c r="L115" i="28"/>
  <c r="K115" i="28"/>
  <c r="H115" i="28"/>
  <c r="I115" i="28" s="1"/>
  <c r="E115" i="28"/>
  <c r="F115" i="28" s="1"/>
  <c r="N114" i="28"/>
  <c r="O114" i="28" s="1"/>
  <c r="L114" i="28"/>
  <c r="K114" i="28"/>
  <c r="I114" i="28"/>
  <c r="H114" i="28"/>
  <c r="E114" i="28"/>
  <c r="F114" i="28" s="1"/>
  <c r="O113" i="28"/>
  <c r="N113" i="28"/>
  <c r="K113" i="28"/>
  <c r="L113" i="28" s="1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K111" i="28"/>
  <c r="L111" i="28" s="1"/>
  <c r="H111" i="28"/>
  <c r="I111" i="28" s="1"/>
  <c r="E111" i="28"/>
  <c r="F111" i="28" s="1"/>
  <c r="N110" i="28"/>
  <c r="O110" i="28" s="1"/>
  <c r="K110" i="28"/>
  <c r="L110" i="28" s="1"/>
  <c r="I110" i="28"/>
  <c r="H110" i="28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L108" i="28"/>
  <c r="K108" i="28"/>
  <c r="H108" i="28"/>
  <c r="I108" i="28" s="1"/>
  <c r="E108" i="28"/>
  <c r="F108" i="28" s="1"/>
  <c r="N107" i="28"/>
  <c r="O107" i="28" s="1"/>
  <c r="L107" i="28"/>
  <c r="K107" i="28"/>
  <c r="H107" i="28"/>
  <c r="I107" i="28" s="1"/>
  <c r="E107" i="28"/>
  <c r="F107" i="28" s="1"/>
  <c r="N106" i="28"/>
  <c r="O106" i="28" s="1"/>
  <c r="L106" i="28"/>
  <c r="K106" i="28"/>
  <c r="I106" i="28"/>
  <c r="H106" i="28"/>
  <c r="E106" i="28"/>
  <c r="F106" i="28" s="1"/>
  <c r="N105" i="28"/>
  <c r="O105" i="28" s="1"/>
  <c r="K105" i="28"/>
  <c r="L105" i="28" s="1"/>
  <c r="H105" i="28"/>
  <c r="I105" i="28" s="1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H103" i="28"/>
  <c r="I103" i="28" s="1"/>
  <c r="E103" i="28"/>
  <c r="F103" i="28" s="1"/>
  <c r="O102" i="28"/>
  <c r="N102" i="28"/>
  <c r="K102" i="28"/>
  <c r="L102" i="28" s="1"/>
  <c r="I102" i="28"/>
  <c r="H102" i="28"/>
  <c r="E102" i="28"/>
  <c r="F102" i="28" s="1"/>
  <c r="N101" i="28"/>
  <c r="O101" i="28" s="1"/>
  <c r="L101" i="28"/>
  <c r="K101" i="28"/>
  <c r="H101" i="28"/>
  <c r="I101" i="28" s="1"/>
  <c r="E101" i="28"/>
  <c r="F101" i="28" s="1"/>
  <c r="N100" i="28"/>
  <c r="O100" i="28" s="1"/>
  <c r="L100" i="28"/>
  <c r="K100" i="28"/>
  <c r="H100" i="28"/>
  <c r="I100" i="28" s="1"/>
  <c r="E100" i="28"/>
  <c r="F100" i="28" s="1"/>
  <c r="N99" i="28"/>
  <c r="O99" i="28" s="1"/>
  <c r="L99" i="28"/>
  <c r="K99" i="28"/>
  <c r="H99" i="28"/>
  <c r="I99" i="28" s="1"/>
  <c r="E99" i="28"/>
  <c r="F99" i="28" s="1"/>
  <c r="N98" i="28"/>
  <c r="L98" i="28"/>
  <c r="K98" i="28"/>
  <c r="I98" i="28"/>
  <c r="H98" i="28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L90" i="28"/>
  <c r="K90" i="28"/>
  <c r="I90" i="28"/>
  <c r="H90" i="28"/>
  <c r="E90" i="28"/>
  <c r="F90" i="28" s="1"/>
  <c r="O89" i="28"/>
  <c r="N89" i="28"/>
  <c r="K89" i="28"/>
  <c r="L89" i="28" s="1"/>
  <c r="H89" i="28"/>
  <c r="I89" i="28" s="1"/>
  <c r="E89" i="28"/>
  <c r="F89" i="28" s="1"/>
  <c r="O88" i="28"/>
  <c r="N88" i="28"/>
  <c r="L88" i="28"/>
  <c r="K88" i="28"/>
  <c r="H88" i="28"/>
  <c r="I88" i="28" s="1"/>
  <c r="E88" i="28"/>
  <c r="F88" i="28" s="1"/>
  <c r="N87" i="28"/>
  <c r="O87" i="28" s="1"/>
  <c r="K87" i="28"/>
  <c r="L87" i="28" s="1"/>
  <c r="H87" i="28"/>
  <c r="I87" i="28" s="1"/>
  <c r="E87" i="28"/>
  <c r="F87" i="28" s="1"/>
  <c r="O86" i="28"/>
  <c r="N86" i="28"/>
  <c r="L86" i="28"/>
  <c r="K86" i="28"/>
  <c r="I86" i="28"/>
  <c r="H86" i="28"/>
  <c r="E86" i="28"/>
  <c r="F86" i="28" s="1"/>
  <c r="N85" i="28"/>
  <c r="O85" i="28" s="1"/>
  <c r="L85" i="28"/>
  <c r="K85" i="28"/>
  <c r="H85" i="28"/>
  <c r="I85" i="28" s="1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I82" i="28"/>
  <c r="H82" i="28"/>
  <c r="E82" i="28"/>
  <c r="F82" i="28" s="1"/>
  <c r="O81" i="28"/>
  <c r="N81" i="28"/>
  <c r="L81" i="28"/>
  <c r="K81" i="28"/>
  <c r="H81" i="28"/>
  <c r="I81" i="28" s="1"/>
  <c r="E81" i="28"/>
  <c r="F81" i="28" s="1"/>
  <c r="O80" i="28"/>
  <c r="N80" i="28"/>
  <c r="K80" i="28"/>
  <c r="L80" i="28" s="1"/>
  <c r="H80" i="28"/>
  <c r="I80" i="28" s="1"/>
  <c r="E80" i="28"/>
  <c r="F80" i="28" s="1"/>
  <c r="O79" i="28"/>
  <c r="N79" i="28"/>
  <c r="L79" i="28"/>
  <c r="K79" i="28"/>
  <c r="H79" i="28"/>
  <c r="I79" i="28" s="1"/>
  <c r="E79" i="28"/>
  <c r="F79" i="28" s="1"/>
  <c r="N78" i="28"/>
  <c r="O78" i="28" s="1"/>
  <c r="K78" i="28"/>
  <c r="L78" i="28" s="1"/>
  <c r="I78" i="28"/>
  <c r="H78" i="28"/>
  <c r="E78" i="28"/>
  <c r="F78" i="28" s="1"/>
  <c r="O77" i="28"/>
  <c r="N77" i="28"/>
  <c r="K77" i="28"/>
  <c r="L77" i="28" s="1"/>
  <c r="H77" i="28"/>
  <c r="I77" i="28" s="1"/>
  <c r="E77" i="28"/>
  <c r="F77" i="28" s="1"/>
  <c r="O76" i="28"/>
  <c r="N76" i="28"/>
  <c r="L76" i="28"/>
  <c r="K76" i="28"/>
  <c r="H76" i="28"/>
  <c r="I76" i="28" s="1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I74" i="28"/>
  <c r="H74" i="28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L72" i="28"/>
  <c r="K72" i="28"/>
  <c r="H72" i="28"/>
  <c r="I72" i="28" s="1"/>
  <c r="E72" i="28"/>
  <c r="F72" i="28" s="1"/>
  <c r="N71" i="28"/>
  <c r="N91" i="28" s="1"/>
  <c r="K71" i="28"/>
  <c r="K91" i="28" s="1"/>
  <c r="H71" i="28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N62" i="28"/>
  <c r="O62" i="28" s="1"/>
  <c r="L62" i="28"/>
  <c r="K62" i="28"/>
  <c r="H62" i="28"/>
  <c r="I62" i="28" s="1"/>
  <c r="E62" i="28"/>
  <c r="F62" i="28" s="1"/>
  <c r="N61" i="28"/>
  <c r="O61" i="28" s="1"/>
  <c r="L61" i="28"/>
  <c r="K61" i="28"/>
  <c r="I61" i="28"/>
  <c r="H61" i="28"/>
  <c r="E61" i="28"/>
  <c r="F61" i="28" s="1"/>
  <c r="O60" i="28"/>
  <c r="N60" i="28"/>
  <c r="K60" i="28"/>
  <c r="L60" i="28" s="1"/>
  <c r="H60" i="28"/>
  <c r="I60" i="28" s="1"/>
  <c r="E60" i="28"/>
  <c r="F60" i="28" s="1"/>
  <c r="N59" i="28"/>
  <c r="O59" i="28" s="1"/>
  <c r="K59" i="28"/>
  <c r="L59" i="28" s="1"/>
  <c r="I59" i="28"/>
  <c r="H59" i="28"/>
  <c r="E59" i="28"/>
  <c r="F59" i="28" s="1"/>
  <c r="N58" i="28"/>
  <c r="O58" i="28" s="1"/>
  <c r="L58" i="28"/>
  <c r="K58" i="28"/>
  <c r="H58" i="28"/>
  <c r="I58" i="28" s="1"/>
  <c r="E58" i="28"/>
  <c r="F58" i="28" s="1"/>
  <c r="N57" i="28"/>
  <c r="O57" i="28" s="1"/>
  <c r="K57" i="28"/>
  <c r="L57" i="28" s="1"/>
  <c r="I57" i="28"/>
  <c r="H57" i="28"/>
  <c r="E57" i="28"/>
  <c r="F57" i="28" s="1"/>
  <c r="N56" i="28"/>
  <c r="O56" i="28" s="1"/>
  <c r="K56" i="28"/>
  <c r="L56" i="28" s="1"/>
  <c r="H56" i="28"/>
  <c r="I56" i="28" s="1"/>
  <c r="E56" i="28"/>
  <c r="F56" i="28" s="1"/>
  <c r="O55" i="28"/>
  <c r="N55" i="28"/>
  <c r="K55" i="28"/>
  <c r="L55" i="28" s="1"/>
  <c r="I55" i="28"/>
  <c r="H55" i="28"/>
  <c r="E55" i="28"/>
  <c r="F55" i="28" s="1"/>
  <c r="O54" i="28"/>
  <c r="N54" i="28"/>
  <c r="L54" i="28"/>
  <c r="K54" i="28"/>
  <c r="H54" i="28"/>
  <c r="I54" i="28" s="1"/>
  <c r="E54" i="28"/>
  <c r="F54" i="28" s="1"/>
  <c r="O53" i="28"/>
  <c r="N53" i="28"/>
  <c r="L53" i="28"/>
  <c r="K53" i="28"/>
  <c r="I53" i="28"/>
  <c r="H53" i="28"/>
  <c r="E53" i="28"/>
  <c r="F53" i="28" s="1"/>
  <c r="N52" i="28"/>
  <c r="O52" i="28" s="1"/>
  <c r="K52" i="28"/>
  <c r="L52" i="28" s="1"/>
  <c r="H52" i="28"/>
  <c r="I52" i="28" s="1"/>
  <c r="E52" i="28"/>
  <c r="F52" i="28" s="1"/>
  <c r="O51" i="28"/>
  <c r="N51" i="28"/>
  <c r="K51" i="28"/>
  <c r="L51" i="28" s="1"/>
  <c r="I51" i="28"/>
  <c r="H51" i="28"/>
  <c r="E51" i="28"/>
  <c r="F51" i="28" s="1"/>
  <c r="O50" i="28"/>
  <c r="N50" i="28"/>
  <c r="L50" i="28"/>
  <c r="K50" i="28"/>
  <c r="H50" i="28"/>
  <c r="I50" i="28" s="1"/>
  <c r="E50" i="28"/>
  <c r="F50" i="28" s="1"/>
  <c r="O49" i="28"/>
  <c r="N49" i="28"/>
  <c r="K49" i="28"/>
  <c r="L49" i="28" s="1"/>
  <c r="I49" i="28"/>
  <c r="H49" i="28"/>
  <c r="E49" i="28"/>
  <c r="F49" i="28" s="1"/>
  <c r="O48" i="28"/>
  <c r="N48" i="28"/>
  <c r="K48" i="28"/>
  <c r="L48" i="28" s="1"/>
  <c r="H48" i="28"/>
  <c r="I48" i="28" s="1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K46" i="28"/>
  <c r="L46" i="28" s="1"/>
  <c r="H46" i="28"/>
  <c r="I46" i="28" s="1"/>
  <c r="E46" i="28"/>
  <c r="F46" i="28" s="1"/>
  <c r="N45" i="28"/>
  <c r="O45" i="28" s="1"/>
  <c r="K45" i="28"/>
  <c r="L45" i="28" s="1"/>
  <c r="I45" i="28"/>
  <c r="H45" i="28"/>
  <c r="E45" i="28"/>
  <c r="F45" i="28" s="1"/>
  <c r="N44" i="28"/>
  <c r="K44" i="28"/>
  <c r="H44" i="28"/>
  <c r="H64" i="28" s="1"/>
  <c r="E44" i="28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O196" i="27"/>
  <c r="N196" i="27"/>
  <c r="K196" i="27"/>
  <c r="L196" i="27" s="1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O191" i="27"/>
  <c r="N191" i="27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N189" i="27"/>
  <c r="O189" i="27" s="1"/>
  <c r="K189" i="27"/>
  <c r="L189" i="27" s="1"/>
  <c r="H189" i="27"/>
  <c r="I189" i="27" s="1"/>
  <c r="F189" i="27"/>
  <c r="E189" i="27"/>
  <c r="N188" i="27"/>
  <c r="O188" i="27" s="1"/>
  <c r="K188" i="27"/>
  <c r="L188" i="27" s="1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N179" i="27"/>
  <c r="N199" i="27" s="1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O138" i="27"/>
  <c r="N138" i="27"/>
  <c r="L138" i="27"/>
  <c r="K138" i="27"/>
  <c r="I138" i="27"/>
  <c r="H138" i="27"/>
  <c r="F138" i="27"/>
  <c r="E138" i="27"/>
  <c r="O137" i="27"/>
  <c r="N137" i="27"/>
  <c r="L137" i="27"/>
  <c r="K137" i="27"/>
  <c r="I137" i="27"/>
  <c r="H137" i="27"/>
  <c r="F137" i="27"/>
  <c r="E137" i="27"/>
  <c r="O136" i="27"/>
  <c r="N136" i="27"/>
  <c r="L136" i="27"/>
  <c r="K136" i="27"/>
  <c r="I136" i="27"/>
  <c r="H136" i="27"/>
  <c r="F136" i="27"/>
  <c r="E136" i="27"/>
  <c r="O135" i="27"/>
  <c r="N135" i="27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O132" i="27"/>
  <c r="N132" i="27"/>
  <c r="L132" i="27"/>
  <c r="K132" i="27"/>
  <c r="I132" i="27"/>
  <c r="H132" i="27"/>
  <c r="F132" i="27"/>
  <c r="E132" i="27"/>
  <c r="O131" i="27"/>
  <c r="N131" i="27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L115" i="27"/>
  <c r="K115" i="27"/>
  <c r="H115" i="27"/>
  <c r="I115" i="27" s="1"/>
  <c r="F115" i="27"/>
  <c r="E115" i="27"/>
  <c r="O114" i="27"/>
  <c r="N114" i="27"/>
  <c r="K114" i="27"/>
  <c r="L114" i="27" s="1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F112" i="27"/>
  <c r="E112" i="27"/>
  <c r="O111" i="27"/>
  <c r="N111" i="27"/>
  <c r="L111" i="27"/>
  <c r="K111" i="27"/>
  <c r="H111" i="27"/>
  <c r="I111" i="27" s="1"/>
  <c r="F111" i="27"/>
  <c r="E111" i="27"/>
  <c r="N110" i="27"/>
  <c r="O110" i="27" s="1"/>
  <c r="K110" i="27"/>
  <c r="L110" i="27" s="1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L107" i="27"/>
  <c r="K107" i="27"/>
  <c r="H107" i="27"/>
  <c r="I107" i="27" s="1"/>
  <c r="F107" i="27"/>
  <c r="E107" i="27"/>
  <c r="O106" i="27"/>
  <c r="N106" i="27"/>
  <c r="K106" i="27"/>
  <c r="L106" i="27" s="1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F104" i="27"/>
  <c r="E104" i="27"/>
  <c r="O103" i="27"/>
  <c r="N103" i="27"/>
  <c r="L103" i="27"/>
  <c r="K103" i="27"/>
  <c r="H103" i="27"/>
  <c r="I103" i="27" s="1"/>
  <c r="F103" i="27"/>
  <c r="E103" i="27"/>
  <c r="N102" i="27"/>
  <c r="O102" i="27" s="1"/>
  <c r="K102" i="27"/>
  <c r="L102" i="27" s="1"/>
  <c r="H102" i="27"/>
  <c r="I102" i="27" s="1"/>
  <c r="F102" i="27"/>
  <c r="E102" i="27"/>
  <c r="O101" i="27"/>
  <c r="N101" i="27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N99" i="27"/>
  <c r="O99" i="27" s="1"/>
  <c r="L99" i="27"/>
  <c r="K99" i="27"/>
  <c r="H99" i="27"/>
  <c r="I99" i="27" s="1"/>
  <c r="F99" i="27"/>
  <c r="E99" i="27"/>
  <c r="N98" i="27"/>
  <c r="K98" i="27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O88" i="27"/>
  <c r="N88" i="27"/>
  <c r="K88" i="27"/>
  <c r="L88" i="27" s="1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O86" i="27"/>
  <c r="N86" i="27"/>
  <c r="L86" i="27"/>
  <c r="K86" i="27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K84" i="27"/>
  <c r="L84" i="27" s="1"/>
  <c r="H84" i="27"/>
  <c r="I84" i="27" s="1"/>
  <c r="F84" i="27"/>
  <c r="E84" i="27"/>
  <c r="N83" i="27"/>
  <c r="O83" i="27" s="1"/>
  <c r="L83" i="27"/>
  <c r="K83" i="27"/>
  <c r="H83" i="27"/>
  <c r="I83" i="27" s="1"/>
  <c r="F83" i="27"/>
  <c r="E83" i="27"/>
  <c r="N82" i="27"/>
  <c r="O82" i="27" s="1"/>
  <c r="L82" i="27"/>
  <c r="K82" i="27"/>
  <c r="H82" i="27"/>
  <c r="I82" i="27" s="1"/>
  <c r="F82" i="27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L78" i="27"/>
  <c r="K78" i="27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O76" i="27"/>
  <c r="N76" i="27"/>
  <c r="K76" i="27"/>
  <c r="L76" i="27" s="1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L74" i="27"/>
  <c r="K74" i="27"/>
  <c r="H74" i="27"/>
  <c r="I74" i="27" s="1"/>
  <c r="F74" i="27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I72" i="27" s="1"/>
  <c r="F72" i="27"/>
  <c r="E72" i="27"/>
  <c r="N71" i="27"/>
  <c r="N91" i="27" s="1"/>
  <c r="K71" i="27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N61" i="27"/>
  <c r="O61" i="27" s="1"/>
  <c r="L61" i="27"/>
  <c r="K61" i="27"/>
  <c r="H61" i="27"/>
  <c r="I61" i="27" s="1"/>
  <c r="F61" i="27"/>
  <c r="E61" i="27"/>
  <c r="O60" i="27"/>
  <c r="N60" i="27"/>
  <c r="K60" i="27"/>
  <c r="L60" i="27" s="1"/>
  <c r="I60" i="27"/>
  <c r="H60" i="27"/>
  <c r="F60" i="27"/>
  <c r="E60" i="27"/>
  <c r="N59" i="27"/>
  <c r="O59" i="27" s="1"/>
  <c r="K59" i="27"/>
  <c r="L59" i="27" s="1"/>
  <c r="I59" i="27"/>
  <c r="H59" i="27"/>
  <c r="F59" i="27"/>
  <c r="E59" i="27"/>
  <c r="O58" i="27"/>
  <c r="N58" i="27"/>
  <c r="K58" i="27"/>
  <c r="L58" i="27" s="1"/>
  <c r="I58" i="27"/>
  <c r="H58" i="27"/>
  <c r="F58" i="27"/>
  <c r="E58" i="27"/>
  <c r="O57" i="27"/>
  <c r="N57" i="27"/>
  <c r="K57" i="27"/>
  <c r="L57" i="27" s="1"/>
  <c r="I57" i="27"/>
  <c r="H57" i="27"/>
  <c r="F57" i="27"/>
  <c r="E57" i="27"/>
  <c r="O56" i="27"/>
  <c r="N56" i="27"/>
  <c r="K56" i="27"/>
  <c r="L56" i="27" s="1"/>
  <c r="I56" i="27"/>
  <c r="H56" i="27"/>
  <c r="F56" i="27"/>
  <c r="E56" i="27"/>
  <c r="N55" i="27"/>
  <c r="O55" i="27" s="1"/>
  <c r="K55" i="27"/>
  <c r="L55" i="27" s="1"/>
  <c r="I55" i="27"/>
  <c r="H55" i="27"/>
  <c r="F55" i="27"/>
  <c r="E55" i="27"/>
  <c r="O54" i="27"/>
  <c r="N54" i="27"/>
  <c r="K54" i="27"/>
  <c r="L54" i="27" s="1"/>
  <c r="I54" i="27"/>
  <c r="H54" i="27"/>
  <c r="E54" i="27"/>
  <c r="F54" i="27" s="1"/>
  <c r="O53" i="27"/>
  <c r="N53" i="27"/>
  <c r="K53" i="27"/>
  <c r="L53" i="27" s="1"/>
  <c r="H53" i="27"/>
  <c r="I53" i="27" s="1"/>
  <c r="F53" i="27"/>
  <c r="E53" i="27"/>
  <c r="O52" i="27"/>
  <c r="N52" i="27"/>
  <c r="L52" i="27"/>
  <c r="K52" i="27"/>
  <c r="H52" i="27"/>
  <c r="I52" i="27" s="1"/>
  <c r="F52" i="27"/>
  <c r="E52" i="27"/>
  <c r="O51" i="27"/>
  <c r="N51" i="27"/>
  <c r="L51" i="27"/>
  <c r="K51" i="27"/>
  <c r="H51" i="27"/>
  <c r="I51" i="27" s="1"/>
  <c r="F51" i="27"/>
  <c r="E51" i="27"/>
  <c r="O50" i="27"/>
  <c r="N50" i="27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O48" i="27"/>
  <c r="N48" i="27"/>
  <c r="L48" i="27"/>
  <c r="K48" i="27"/>
  <c r="H48" i="27"/>
  <c r="I48" i="27" s="1"/>
  <c r="F48" i="27"/>
  <c r="E48" i="27"/>
  <c r="N47" i="27"/>
  <c r="O47" i="27" s="1"/>
  <c r="L47" i="27"/>
  <c r="K47" i="27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E45" i="27"/>
  <c r="F45" i="27" s="1"/>
  <c r="N44" i="27"/>
  <c r="L44" i="27"/>
  <c r="K44" i="27"/>
  <c r="H44" i="27"/>
  <c r="I4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O170" i="26"/>
  <c r="N170" i="26"/>
  <c r="L170" i="26"/>
  <c r="K170" i="26"/>
  <c r="I170" i="26"/>
  <c r="H170" i="26"/>
  <c r="F170" i="26"/>
  <c r="E170" i="26"/>
  <c r="O169" i="26"/>
  <c r="N169" i="26"/>
  <c r="L169" i="26"/>
  <c r="K169" i="26"/>
  <c r="I169" i="26"/>
  <c r="H169" i="26"/>
  <c r="F169" i="26"/>
  <c r="E169" i="26"/>
  <c r="O168" i="26"/>
  <c r="N168" i="26"/>
  <c r="L168" i="26"/>
  <c r="K168" i="26"/>
  <c r="I168" i="26"/>
  <c r="H168" i="26"/>
  <c r="F168" i="26"/>
  <c r="E168" i="26"/>
  <c r="O167" i="26"/>
  <c r="N167" i="26"/>
  <c r="L167" i="26"/>
  <c r="K167" i="26"/>
  <c r="I167" i="26"/>
  <c r="H167" i="26"/>
  <c r="F167" i="26"/>
  <c r="E167" i="26"/>
  <c r="O166" i="26"/>
  <c r="N166" i="26"/>
  <c r="L166" i="26"/>
  <c r="K166" i="26"/>
  <c r="I166" i="26"/>
  <c r="H166" i="26"/>
  <c r="F166" i="26"/>
  <c r="E166" i="26"/>
  <c r="O165" i="26"/>
  <c r="N165" i="26"/>
  <c r="L165" i="26"/>
  <c r="K165" i="26"/>
  <c r="I165" i="26"/>
  <c r="H165" i="26"/>
  <c r="F165" i="26"/>
  <c r="E165" i="26"/>
  <c r="O164" i="26"/>
  <c r="N164" i="26"/>
  <c r="L164" i="26"/>
  <c r="K164" i="26"/>
  <c r="I164" i="26"/>
  <c r="H164" i="26"/>
  <c r="F164" i="26"/>
  <c r="E164" i="26"/>
  <c r="O163" i="26"/>
  <c r="N163" i="26"/>
  <c r="L163" i="26"/>
  <c r="K163" i="26"/>
  <c r="I163" i="26"/>
  <c r="H163" i="26"/>
  <c r="F163" i="26"/>
  <c r="E163" i="26"/>
  <c r="O162" i="26"/>
  <c r="N162" i="26"/>
  <c r="L162" i="26"/>
  <c r="K162" i="26"/>
  <c r="I162" i="26"/>
  <c r="H162" i="26"/>
  <c r="F162" i="26"/>
  <c r="E162" i="26"/>
  <c r="O161" i="26"/>
  <c r="N161" i="26"/>
  <c r="L161" i="26"/>
  <c r="K161" i="26"/>
  <c r="I161" i="26"/>
  <c r="H161" i="26"/>
  <c r="F161" i="26"/>
  <c r="E161" i="26"/>
  <c r="O160" i="26"/>
  <c r="N160" i="26"/>
  <c r="L160" i="26"/>
  <c r="K160" i="26"/>
  <c r="I160" i="26"/>
  <c r="H160" i="26"/>
  <c r="F160" i="26"/>
  <c r="E160" i="26"/>
  <c r="O159" i="26"/>
  <c r="N159" i="26"/>
  <c r="L159" i="26"/>
  <c r="K159" i="26"/>
  <c r="I159" i="26"/>
  <c r="H159" i="26"/>
  <c r="F159" i="26"/>
  <c r="E159" i="26"/>
  <c r="O158" i="26"/>
  <c r="N158" i="26"/>
  <c r="L158" i="26"/>
  <c r="K158" i="26"/>
  <c r="I158" i="26"/>
  <c r="H158" i="26"/>
  <c r="F158" i="26"/>
  <c r="E158" i="26"/>
  <c r="O157" i="26"/>
  <c r="N157" i="26"/>
  <c r="L157" i="26"/>
  <c r="K157" i="26"/>
  <c r="I157" i="26"/>
  <c r="H157" i="26"/>
  <c r="F157" i="26"/>
  <c r="E157" i="26"/>
  <c r="O156" i="26"/>
  <c r="N156" i="26"/>
  <c r="L156" i="26"/>
  <c r="K156" i="26"/>
  <c r="I156" i="26"/>
  <c r="H156" i="26"/>
  <c r="F156" i="26"/>
  <c r="E156" i="26"/>
  <c r="O155" i="26"/>
  <c r="N155" i="26"/>
  <c r="L155" i="26"/>
  <c r="K155" i="26"/>
  <c r="I155" i="26"/>
  <c r="H155" i="26"/>
  <c r="F155" i="26"/>
  <c r="E155" i="26"/>
  <c r="O154" i="26"/>
  <c r="N154" i="26"/>
  <c r="L154" i="26"/>
  <c r="K154" i="26"/>
  <c r="I154" i="26"/>
  <c r="H154" i="26"/>
  <c r="F154" i="26"/>
  <c r="E154" i="26"/>
  <c r="O153" i="26"/>
  <c r="N153" i="26"/>
  <c r="L153" i="26"/>
  <c r="K153" i="26"/>
  <c r="I153" i="26"/>
  <c r="H153" i="26"/>
  <c r="F153" i="26"/>
  <c r="E153" i="26"/>
  <c r="O152" i="26"/>
  <c r="O172" i="26" s="1"/>
  <c r="N152" i="26"/>
  <c r="N172" i="26" s="1"/>
  <c r="L152" i="26"/>
  <c r="L172" i="26" s="1"/>
  <c r="K152" i="26"/>
  <c r="K172" i="26" s="1"/>
  <c r="I152" i="26"/>
  <c r="I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N142" i="26"/>
  <c r="O142" i="26" s="1"/>
  <c r="L142" i="26"/>
  <c r="K142" i="26"/>
  <c r="I142" i="26"/>
  <c r="H142" i="26"/>
  <c r="F142" i="26"/>
  <c r="E142" i="26"/>
  <c r="N141" i="26"/>
  <c r="O141" i="26" s="1"/>
  <c r="L141" i="26"/>
  <c r="K141" i="26"/>
  <c r="I141" i="26"/>
  <c r="H141" i="26"/>
  <c r="F141" i="26"/>
  <c r="E141" i="26"/>
  <c r="N140" i="26"/>
  <c r="O140" i="26" s="1"/>
  <c r="L140" i="26"/>
  <c r="K140" i="26"/>
  <c r="I140" i="26"/>
  <c r="H140" i="26"/>
  <c r="F140" i="26"/>
  <c r="E140" i="26"/>
  <c r="N139" i="26"/>
  <c r="O139" i="26" s="1"/>
  <c r="L139" i="26"/>
  <c r="K139" i="26"/>
  <c r="I139" i="26"/>
  <c r="H139" i="26"/>
  <c r="F139" i="26"/>
  <c r="E139" i="26"/>
  <c r="N138" i="26"/>
  <c r="O138" i="26" s="1"/>
  <c r="L138" i="26"/>
  <c r="K138" i="26"/>
  <c r="I138" i="26"/>
  <c r="H138" i="26"/>
  <c r="F138" i="26"/>
  <c r="E138" i="26"/>
  <c r="N137" i="26"/>
  <c r="O137" i="26" s="1"/>
  <c r="L137" i="26"/>
  <c r="K137" i="26"/>
  <c r="I137" i="26"/>
  <c r="H137" i="26"/>
  <c r="F137" i="26"/>
  <c r="E137" i="26"/>
  <c r="N136" i="26"/>
  <c r="O136" i="26" s="1"/>
  <c r="L136" i="26"/>
  <c r="K136" i="26"/>
  <c r="I136" i="26"/>
  <c r="H136" i="26"/>
  <c r="F136" i="26"/>
  <c r="E136" i="26"/>
  <c r="N135" i="26"/>
  <c r="O135" i="26" s="1"/>
  <c r="L135" i="26"/>
  <c r="K135" i="26"/>
  <c r="I135" i="26"/>
  <c r="H135" i="26"/>
  <c r="F135" i="26"/>
  <c r="E135" i="26"/>
  <c r="N134" i="26"/>
  <c r="O134" i="26" s="1"/>
  <c r="L134" i="26"/>
  <c r="K134" i="26"/>
  <c r="I134" i="26"/>
  <c r="H134" i="26"/>
  <c r="F134" i="26"/>
  <c r="E134" i="26"/>
  <c r="N133" i="26"/>
  <c r="O133" i="26" s="1"/>
  <c r="L133" i="26"/>
  <c r="K133" i="26"/>
  <c r="I133" i="26"/>
  <c r="H133" i="26"/>
  <c r="F133" i="26"/>
  <c r="E133" i="26"/>
  <c r="N132" i="26"/>
  <c r="O132" i="26" s="1"/>
  <c r="L132" i="26"/>
  <c r="K132" i="26"/>
  <c r="I132" i="26"/>
  <c r="H132" i="26"/>
  <c r="F132" i="26"/>
  <c r="E132" i="26"/>
  <c r="N131" i="26"/>
  <c r="O131" i="26" s="1"/>
  <c r="L131" i="26"/>
  <c r="K131" i="26"/>
  <c r="I131" i="26"/>
  <c r="H131" i="26"/>
  <c r="F131" i="26"/>
  <c r="E131" i="26"/>
  <c r="N130" i="26"/>
  <c r="O130" i="26" s="1"/>
  <c r="L130" i="26"/>
  <c r="K130" i="26"/>
  <c r="I130" i="26"/>
  <c r="H130" i="26"/>
  <c r="F130" i="26"/>
  <c r="E130" i="26"/>
  <c r="N129" i="26"/>
  <c r="O129" i="26" s="1"/>
  <c r="L129" i="26"/>
  <c r="K129" i="26"/>
  <c r="I129" i="26"/>
  <c r="H129" i="26"/>
  <c r="F129" i="26"/>
  <c r="E129" i="26"/>
  <c r="N128" i="26"/>
  <c r="O128" i="26" s="1"/>
  <c r="L128" i="26"/>
  <c r="K128" i="26"/>
  <c r="I128" i="26"/>
  <c r="H128" i="26"/>
  <c r="F128" i="26"/>
  <c r="E128" i="26"/>
  <c r="N127" i="26"/>
  <c r="O127" i="26" s="1"/>
  <c r="L127" i="26"/>
  <c r="K127" i="26"/>
  <c r="I127" i="26"/>
  <c r="H127" i="26"/>
  <c r="F127" i="26"/>
  <c r="E127" i="26"/>
  <c r="N126" i="26"/>
  <c r="O126" i="26" s="1"/>
  <c r="L126" i="26"/>
  <c r="K126" i="26"/>
  <c r="I126" i="26"/>
  <c r="H126" i="26"/>
  <c r="F126" i="26"/>
  <c r="E126" i="26"/>
  <c r="N125" i="26"/>
  <c r="N145" i="26" s="1"/>
  <c r="L125" i="26"/>
  <c r="L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L117" i="26"/>
  <c r="K117" i="26"/>
  <c r="H117" i="26"/>
  <c r="I117" i="26" s="1"/>
  <c r="E117" i="26"/>
  <c r="F117" i="26" s="1"/>
  <c r="O116" i="26"/>
  <c r="N116" i="26"/>
  <c r="K116" i="26"/>
  <c r="L116" i="26" s="1"/>
  <c r="H116" i="26"/>
  <c r="I116" i="26" s="1"/>
  <c r="E116" i="26"/>
  <c r="F116" i="26" s="1"/>
  <c r="N115" i="26"/>
  <c r="O115" i="26" s="1"/>
  <c r="L115" i="26"/>
  <c r="K115" i="26"/>
  <c r="I115" i="26"/>
  <c r="H115" i="26"/>
  <c r="E115" i="26"/>
  <c r="F115" i="26" s="1"/>
  <c r="O114" i="26"/>
  <c r="N114" i="26"/>
  <c r="K114" i="26"/>
  <c r="L114" i="26" s="1"/>
  <c r="H114" i="26"/>
  <c r="I114" i="26" s="1"/>
  <c r="E114" i="26"/>
  <c r="F114" i="26" s="1"/>
  <c r="N113" i="26"/>
  <c r="O113" i="26" s="1"/>
  <c r="L113" i="26"/>
  <c r="K113" i="26"/>
  <c r="H113" i="26"/>
  <c r="I113" i="26" s="1"/>
  <c r="E113" i="26"/>
  <c r="F113" i="26" s="1"/>
  <c r="N112" i="26"/>
  <c r="O112" i="26" s="1"/>
  <c r="K112" i="26"/>
  <c r="L112" i="26" s="1"/>
  <c r="H112" i="26"/>
  <c r="I112" i="26" s="1"/>
  <c r="E112" i="26"/>
  <c r="F112" i="26" s="1"/>
  <c r="O111" i="26"/>
  <c r="N111" i="26"/>
  <c r="L111" i="26"/>
  <c r="K111" i="26"/>
  <c r="I111" i="26"/>
  <c r="H111" i="26"/>
  <c r="E111" i="26"/>
  <c r="F111" i="26" s="1"/>
  <c r="N110" i="26"/>
  <c r="O110" i="26" s="1"/>
  <c r="L110" i="26"/>
  <c r="K110" i="26"/>
  <c r="H110" i="26"/>
  <c r="I110" i="26" s="1"/>
  <c r="E110" i="26"/>
  <c r="F110" i="26" s="1"/>
  <c r="N109" i="26"/>
  <c r="O109" i="26" s="1"/>
  <c r="K109" i="26"/>
  <c r="L109" i="26" s="1"/>
  <c r="H109" i="26"/>
  <c r="I109" i="26" s="1"/>
  <c r="E109" i="26"/>
  <c r="F109" i="26" s="1"/>
  <c r="O108" i="26"/>
  <c r="N108" i="26"/>
  <c r="L108" i="26"/>
  <c r="K108" i="26"/>
  <c r="H108" i="26"/>
  <c r="I108" i="26" s="1"/>
  <c r="E108" i="26"/>
  <c r="F108" i="26" s="1"/>
  <c r="O107" i="26"/>
  <c r="N107" i="26"/>
  <c r="K107" i="26"/>
  <c r="L107" i="26" s="1"/>
  <c r="I107" i="26"/>
  <c r="H107" i="26"/>
  <c r="E107" i="26"/>
  <c r="F107" i="26" s="1"/>
  <c r="O106" i="26"/>
  <c r="N106" i="26"/>
  <c r="L106" i="26"/>
  <c r="K106" i="26"/>
  <c r="H106" i="26"/>
  <c r="I106" i="26" s="1"/>
  <c r="E106" i="26"/>
  <c r="F106" i="26" s="1"/>
  <c r="O105" i="26"/>
  <c r="N105" i="26"/>
  <c r="K105" i="26"/>
  <c r="L105" i="26" s="1"/>
  <c r="H105" i="26"/>
  <c r="I105" i="26" s="1"/>
  <c r="E105" i="26"/>
  <c r="F105" i="26" s="1"/>
  <c r="N104" i="26"/>
  <c r="O104" i="26" s="1"/>
  <c r="L104" i="26"/>
  <c r="K104" i="26"/>
  <c r="H104" i="26"/>
  <c r="I104" i="26" s="1"/>
  <c r="E104" i="26"/>
  <c r="F104" i="26" s="1"/>
  <c r="N103" i="26"/>
  <c r="O103" i="26" s="1"/>
  <c r="K103" i="26"/>
  <c r="L103" i="26" s="1"/>
  <c r="I103" i="26"/>
  <c r="H103" i="26"/>
  <c r="E103" i="26"/>
  <c r="F103" i="26" s="1"/>
  <c r="N102" i="26"/>
  <c r="O102" i="26" s="1"/>
  <c r="K102" i="26"/>
  <c r="L102" i="26" s="1"/>
  <c r="H102" i="26"/>
  <c r="I102" i="26" s="1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H100" i="26"/>
  <c r="I100" i="26" s="1"/>
  <c r="E100" i="26"/>
  <c r="F100" i="26" s="1"/>
  <c r="O99" i="26"/>
  <c r="N99" i="26"/>
  <c r="L99" i="26"/>
  <c r="K99" i="26"/>
  <c r="I99" i="26"/>
  <c r="H99" i="26"/>
  <c r="E99" i="26"/>
  <c r="F99" i="26" s="1"/>
  <c r="N98" i="26"/>
  <c r="L98" i="26"/>
  <c r="K98" i="26"/>
  <c r="H98" i="26"/>
  <c r="H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L89" i="26"/>
  <c r="K89" i="26"/>
  <c r="H89" i="26"/>
  <c r="I89" i="26" s="1"/>
  <c r="E89" i="26"/>
  <c r="F89" i="26" s="1"/>
  <c r="N88" i="26"/>
  <c r="O88" i="26" s="1"/>
  <c r="L88" i="26"/>
  <c r="K88" i="26"/>
  <c r="I88" i="26"/>
  <c r="H88" i="26"/>
  <c r="E88" i="26"/>
  <c r="F88" i="26" s="1"/>
  <c r="N87" i="26"/>
  <c r="O87" i="26" s="1"/>
  <c r="K87" i="26"/>
  <c r="L87" i="26" s="1"/>
  <c r="H87" i="26"/>
  <c r="I87" i="26" s="1"/>
  <c r="E87" i="26"/>
  <c r="F87" i="26" s="1"/>
  <c r="N86" i="26"/>
  <c r="O86" i="26" s="1"/>
  <c r="K86" i="26"/>
  <c r="L86" i="26" s="1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O84" i="26"/>
  <c r="N84" i="26"/>
  <c r="K84" i="26"/>
  <c r="L84" i="26" s="1"/>
  <c r="I84" i="26"/>
  <c r="H84" i="26"/>
  <c r="E84" i="26"/>
  <c r="F84" i="26" s="1"/>
  <c r="N83" i="26"/>
  <c r="O83" i="26" s="1"/>
  <c r="L83" i="26"/>
  <c r="K83" i="26"/>
  <c r="H83" i="26"/>
  <c r="I83" i="26" s="1"/>
  <c r="E83" i="26"/>
  <c r="F83" i="26" s="1"/>
  <c r="O82" i="26"/>
  <c r="N82" i="26"/>
  <c r="L82" i="26"/>
  <c r="K82" i="26"/>
  <c r="H82" i="26"/>
  <c r="I82" i="26" s="1"/>
  <c r="E82" i="26"/>
  <c r="F82" i="26" s="1"/>
  <c r="N81" i="26"/>
  <c r="O81" i="26" s="1"/>
  <c r="L81" i="26"/>
  <c r="K81" i="26"/>
  <c r="H81" i="26"/>
  <c r="I81" i="26" s="1"/>
  <c r="E81" i="26"/>
  <c r="F81" i="26" s="1"/>
  <c r="O80" i="26"/>
  <c r="N80" i="26"/>
  <c r="L80" i="26"/>
  <c r="K80" i="26"/>
  <c r="I80" i="26"/>
  <c r="H80" i="26"/>
  <c r="E80" i="26"/>
  <c r="F80" i="26" s="1"/>
  <c r="N79" i="26"/>
  <c r="O79" i="26" s="1"/>
  <c r="K79" i="26"/>
  <c r="L79" i="26" s="1"/>
  <c r="H79" i="26"/>
  <c r="I79" i="26" s="1"/>
  <c r="E79" i="26"/>
  <c r="F79" i="26" s="1"/>
  <c r="O78" i="26"/>
  <c r="N78" i="26"/>
  <c r="K78" i="26"/>
  <c r="L78" i="26" s="1"/>
  <c r="H78" i="26"/>
  <c r="I78" i="26" s="1"/>
  <c r="E78" i="26"/>
  <c r="F78" i="26" s="1"/>
  <c r="O77" i="26"/>
  <c r="N77" i="26"/>
  <c r="K77" i="26"/>
  <c r="L77" i="26" s="1"/>
  <c r="H77" i="26"/>
  <c r="I77" i="26" s="1"/>
  <c r="E77" i="26"/>
  <c r="F77" i="26" s="1"/>
  <c r="N76" i="26"/>
  <c r="O76" i="26" s="1"/>
  <c r="K76" i="26"/>
  <c r="L76" i="26" s="1"/>
  <c r="I76" i="26"/>
  <c r="H76" i="26"/>
  <c r="E76" i="26"/>
  <c r="F76" i="26" s="1"/>
  <c r="O75" i="26"/>
  <c r="N75" i="26"/>
  <c r="L75" i="26"/>
  <c r="K75" i="26"/>
  <c r="H75" i="26"/>
  <c r="I75" i="26" s="1"/>
  <c r="E75" i="26"/>
  <c r="F75" i="26" s="1"/>
  <c r="N74" i="26"/>
  <c r="O74" i="26" s="1"/>
  <c r="L74" i="26"/>
  <c r="K74" i="26"/>
  <c r="H74" i="26"/>
  <c r="I74" i="26" s="1"/>
  <c r="E74" i="26"/>
  <c r="F74" i="26" s="1"/>
  <c r="O73" i="26"/>
  <c r="N73" i="26"/>
  <c r="L73" i="26"/>
  <c r="K73" i="26"/>
  <c r="I73" i="26"/>
  <c r="H73" i="26"/>
  <c r="E73" i="26"/>
  <c r="F73" i="26" s="1"/>
  <c r="N72" i="26"/>
  <c r="O72" i="26" s="1"/>
  <c r="K72" i="26"/>
  <c r="L72" i="26" s="1"/>
  <c r="I72" i="26"/>
  <c r="H72" i="26"/>
  <c r="E72" i="26"/>
  <c r="F72" i="26" s="1"/>
  <c r="O71" i="26"/>
  <c r="N71" i="26"/>
  <c r="L71" i="26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L61" i="26"/>
  <c r="K61" i="26"/>
  <c r="H61" i="26"/>
  <c r="I61" i="26" s="1"/>
  <c r="E61" i="26"/>
  <c r="F61" i="26" s="1"/>
  <c r="N60" i="26"/>
  <c r="O60" i="26" s="1"/>
  <c r="K60" i="26"/>
  <c r="L60" i="26" s="1"/>
  <c r="H60" i="26"/>
  <c r="I60" i="26" s="1"/>
  <c r="E60" i="26"/>
  <c r="F60" i="26" s="1"/>
  <c r="N59" i="26"/>
  <c r="O59" i="26" s="1"/>
  <c r="L59" i="26"/>
  <c r="K59" i="26"/>
  <c r="I59" i="26"/>
  <c r="H59" i="26"/>
  <c r="E59" i="26"/>
  <c r="F59" i="26" s="1"/>
  <c r="N58" i="26"/>
  <c r="O58" i="26" s="1"/>
  <c r="L58" i="26"/>
  <c r="K58" i="26"/>
  <c r="I58" i="26"/>
  <c r="H58" i="26"/>
  <c r="E58" i="26"/>
  <c r="F58" i="26" s="1"/>
  <c r="O57" i="26"/>
  <c r="N57" i="26"/>
  <c r="K57" i="26"/>
  <c r="L57" i="26" s="1"/>
  <c r="H57" i="26"/>
  <c r="I57" i="26" s="1"/>
  <c r="E57" i="26"/>
  <c r="F57" i="26" s="1"/>
  <c r="N56" i="26"/>
  <c r="O56" i="26" s="1"/>
  <c r="L56" i="26"/>
  <c r="K56" i="26"/>
  <c r="H56" i="26"/>
  <c r="I56" i="26" s="1"/>
  <c r="E56" i="26"/>
  <c r="F56" i="26" s="1"/>
  <c r="N55" i="26"/>
  <c r="O55" i="26" s="1"/>
  <c r="K55" i="26"/>
  <c r="L55" i="26" s="1"/>
  <c r="I55" i="26"/>
  <c r="H55" i="26"/>
  <c r="E55" i="26"/>
  <c r="F55" i="26" s="1"/>
  <c r="N54" i="26"/>
  <c r="O54" i="26" s="1"/>
  <c r="L54" i="26"/>
  <c r="K54" i="26"/>
  <c r="I54" i="26"/>
  <c r="H54" i="26"/>
  <c r="E54" i="26"/>
  <c r="F54" i="26" s="1"/>
  <c r="O53" i="26"/>
  <c r="N53" i="26"/>
  <c r="L53" i="26"/>
  <c r="K53" i="26"/>
  <c r="H53" i="26"/>
  <c r="I53" i="26" s="1"/>
  <c r="E53" i="26"/>
  <c r="F53" i="26" s="1"/>
  <c r="N52" i="26"/>
  <c r="O52" i="26" s="1"/>
  <c r="K52" i="26"/>
  <c r="L52" i="26" s="1"/>
  <c r="H52" i="26"/>
  <c r="I52" i="26" s="1"/>
  <c r="E52" i="26"/>
  <c r="F52" i="26" s="1"/>
  <c r="N51" i="26"/>
  <c r="O51" i="26" s="1"/>
  <c r="L51" i="26"/>
  <c r="K51" i="26"/>
  <c r="I51" i="26"/>
  <c r="H51" i="26"/>
  <c r="E51" i="26"/>
  <c r="F51" i="26" s="1"/>
  <c r="N50" i="26"/>
  <c r="O50" i="26" s="1"/>
  <c r="L50" i="26"/>
  <c r="K50" i="26"/>
  <c r="I50" i="26"/>
  <c r="H50" i="26"/>
  <c r="E50" i="26"/>
  <c r="F50" i="26" s="1"/>
  <c r="N49" i="26"/>
  <c r="O49" i="26" s="1"/>
  <c r="K49" i="26"/>
  <c r="L49" i="26" s="1"/>
  <c r="H49" i="26"/>
  <c r="I49" i="26" s="1"/>
  <c r="E49" i="26"/>
  <c r="F49" i="26" s="1"/>
  <c r="N48" i="26"/>
  <c r="O48" i="26" s="1"/>
  <c r="L48" i="26"/>
  <c r="K48" i="26"/>
  <c r="H48" i="26"/>
  <c r="I48" i="26" s="1"/>
  <c r="E48" i="26"/>
  <c r="F48" i="26" s="1"/>
  <c r="O47" i="26"/>
  <c r="N47" i="26"/>
  <c r="K47" i="26"/>
  <c r="L47" i="26" s="1"/>
  <c r="I47" i="26"/>
  <c r="H47" i="26"/>
  <c r="E47" i="26"/>
  <c r="F47" i="26" s="1"/>
  <c r="N46" i="26"/>
  <c r="O46" i="26" s="1"/>
  <c r="L46" i="26"/>
  <c r="K46" i="26"/>
  <c r="I46" i="26"/>
  <c r="H46" i="26"/>
  <c r="E46" i="26"/>
  <c r="F46" i="26" s="1"/>
  <c r="N45" i="26"/>
  <c r="O45" i="26" s="1"/>
  <c r="L45" i="26"/>
  <c r="K45" i="26"/>
  <c r="H45" i="26"/>
  <c r="I45" i="26" s="1"/>
  <c r="E45" i="26"/>
  <c r="F45" i="26" s="1"/>
  <c r="N44" i="26"/>
  <c r="N64" i="26" s="1"/>
  <c r="K44" i="26"/>
  <c r="K64" i="26" s="1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O179" i="25" s="1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L168" i="25"/>
  <c r="K168" i="25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O165" i="25"/>
  <c r="N165" i="25"/>
  <c r="K165" i="25"/>
  <c r="L165" i="25" s="1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O163" i="25"/>
  <c r="N163" i="25"/>
  <c r="L163" i="25"/>
  <c r="K163" i="25"/>
  <c r="H163" i="25"/>
  <c r="I163" i="25" s="1"/>
  <c r="F163" i="25"/>
  <c r="E163" i="25"/>
  <c r="O162" i="25"/>
  <c r="N162" i="25"/>
  <c r="K162" i="25"/>
  <c r="L162" i="25" s="1"/>
  <c r="H162" i="25"/>
  <c r="I162" i="25" s="1"/>
  <c r="F162" i="25"/>
  <c r="E162" i="25"/>
  <c r="N161" i="25"/>
  <c r="O161" i="25" s="1"/>
  <c r="K161" i="25"/>
  <c r="L161" i="25" s="1"/>
  <c r="H161" i="25"/>
  <c r="I161" i="25" s="1"/>
  <c r="F161" i="25"/>
  <c r="E161" i="25"/>
  <c r="O160" i="25"/>
  <c r="N160" i="25"/>
  <c r="L160" i="25"/>
  <c r="K160" i="25"/>
  <c r="H160" i="25"/>
  <c r="I160" i="25" s="1"/>
  <c r="F160" i="25"/>
  <c r="E160" i="25"/>
  <c r="N159" i="25"/>
  <c r="O159" i="25" s="1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O157" i="25"/>
  <c r="N157" i="25"/>
  <c r="K157" i="25"/>
  <c r="L157" i="25" s="1"/>
  <c r="H157" i="25"/>
  <c r="I157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L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K143" i="25"/>
  <c r="L143" i="25" s="1"/>
  <c r="H143" i="25"/>
  <c r="I143" i="25" s="1"/>
  <c r="E143" i="25"/>
  <c r="F143" i="25" s="1"/>
  <c r="O142" i="25"/>
  <c r="N142" i="25"/>
  <c r="K142" i="25"/>
  <c r="L142" i="25" s="1"/>
  <c r="H142" i="25"/>
  <c r="I142" i="25" s="1"/>
  <c r="E142" i="25"/>
  <c r="F142" i="25" s="1"/>
  <c r="N141" i="25"/>
  <c r="O141" i="25" s="1"/>
  <c r="K141" i="25"/>
  <c r="L141" i="25" s="1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N139" i="25"/>
  <c r="O139" i="25" s="1"/>
  <c r="K139" i="25"/>
  <c r="L139" i="25" s="1"/>
  <c r="H139" i="25"/>
  <c r="I139" i="25" s="1"/>
  <c r="E139" i="25"/>
  <c r="F139" i="25" s="1"/>
  <c r="N138" i="25"/>
  <c r="O138" i="25" s="1"/>
  <c r="L138" i="25"/>
  <c r="K138" i="25"/>
  <c r="H138" i="25"/>
  <c r="I138" i="25" s="1"/>
  <c r="E138" i="25"/>
  <c r="F138" i="25" s="1"/>
  <c r="O137" i="25"/>
  <c r="N137" i="25"/>
  <c r="K137" i="25"/>
  <c r="L137" i="25" s="1"/>
  <c r="H137" i="25"/>
  <c r="I137" i="25" s="1"/>
  <c r="E137" i="25"/>
  <c r="F137" i="25" s="1"/>
  <c r="O136" i="25"/>
  <c r="N136" i="25"/>
  <c r="L136" i="25"/>
  <c r="K136" i="25"/>
  <c r="I136" i="25"/>
  <c r="H136" i="25"/>
  <c r="E136" i="25"/>
  <c r="F136" i="25" s="1"/>
  <c r="O135" i="25"/>
  <c r="N135" i="25"/>
  <c r="K135" i="25"/>
  <c r="L135" i="25" s="1"/>
  <c r="H135" i="25"/>
  <c r="I135" i="25" s="1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K133" i="25"/>
  <c r="L133" i="25" s="1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H131" i="25"/>
  <c r="I131" i="25" s="1"/>
  <c r="E131" i="25"/>
  <c r="F131" i="25" s="1"/>
  <c r="N130" i="25"/>
  <c r="O130" i="25" s="1"/>
  <c r="K130" i="25"/>
  <c r="L130" i="25" s="1"/>
  <c r="H130" i="25"/>
  <c r="I130" i="25" s="1"/>
  <c r="E130" i="25"/>
  <c r="F130" i="25" s="1"/>
  <c r="O129" i="25"/>
  <c r="N129" i="25"/>
  <c r="L129" i="25"/>
  <c r="K129" i="25"/>
  <c r="H129" i="25"/>
  <c r="I129" i="25" s="1"/>
  <c r="E129" i="25"/>
  <c r="F129" i="25" s="1"/>
  <c r="N128" i="25"/>
  <c r="O128" i="25" s="1"/>
  <c r="K128" i="25"/>
  <c r="L128" i="25" s="1"/>
  <c r="I128" i="25"/>
  <c r="H128" i="25"/>
  <c r="E128" i="25"/>
  <c r="F128" i="25" s="1"/>
  <c r="O127" i="25"/>
  <c r="N127" i="25"/>
  <c r="K127" i="25"/>
  <c r="L127" i="25" s="1"/>
  <c r="H127" i="25"/>
  <c r="I127" i="25" s="1"/>
  <c r="E127" i="25"/>
  <c r="F127" i="25" s="1"/>
  <c r="O126" i="25"/>
  <c r="N126" i="25"/>
  <c r="K126" i="25"/>
  <c r="L126" i="25" s="1"/>
  <c r="H126" i="25"/>
  <c r="I126" i="25" s="1"/>
  <c r="E126" i="25"/>
  <c r="F126" i="25" s="1"/>
  <c r="N125" i="25"/>
  <c r="N145" i="25" s="1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I117" i="25"/>
  <c r="H117" i="25"/>
  <c r="E117" i="25"/>
  <c r="F117" i="25" s="1"/>
  <c r="N116" i="25"/>
  <c r="O116" i="25" s="1"/>
  <c r="K116" i="25"/>
  <c r="L116" i="25" s="1"/>
  <c r="I116" i="25"/>
  <c r="H116" i="25"/>
  <c r="E116" i="25"/>
  <c r="F116" i="25" s="1"/>
  <c r="N115" i="25"/>
  <c r="O115" i="25" s="1"/>
  <c r="L115" i="25"/>
  <c r="K115" i="25"/>
  <c r="H115" i="25"/>
  <c r="I115" i="25" s="1"/>
  <c r="E115" i="25"/>
  <c r="F115" i="25" s="1"/>
  <c r="N114" i="25"/>
  <c r="O114" i="25" s="1"/>
  <c r="L114" i="25"/>
  <c r="K114" i="25"/>
  <c r="H114" i="25"/>
  <c r="I114" i="25" s="1"/>
  <c r="E114" i="25"/>
  <c r="F114" i="25" s="1"/>
  <c r="N113" i="25"/>
  <c r="O113" i="25" s="1"/>
  <c r="L113" i="25"/>
  <c r="K113" i="25"/>
  <c r="I113" i="25"/>
  <c r="H113" i="25"/>
  <c r="E113" i="25"/>
  <c r="F113" i="25" s="1"/>
  <c r="O112" i="25"/>
  <c r="N112" i="25"/>
  <c r="K112" i="25"/>
  <c r="L112" i="25" s="1"/>
  <c r="I112" i="25"/>
  <c r="H112" i="25"/>
  <c r="E112" i="25"/>
  <c r="F112" i="25" s="1"/>
  <c r="N111" i="25"/>
  <c r="O111" i="25" s="1"/>
  <c r="L111" i="25"/>
  <c r="K111" i="25"/>
  <c r="H111" i="25"/>
  <c r="I111" i="25" s="1"/>
  <c r="E111" i="25"/>
  <c r="F111" i="25" s="1"/>
  <c r="O110" i="25"/>
  <c r="N110" i="25"/>
  <c r="L110" i="25"/>
  <c r="K110" i="25"/>
  <c r="H110" i="25"/>
  <c r="I110" i="25" s="1"/>
  <c r="E110" i="25"/>
  <c r="F110" i="25" s="1"/>
  <c r="N109" i="25"/>
  <c r="O109" i="25" s="1"/>
  <c r="L109" i="25"/>
  <c r="K109" i="25"/>
  <c r="I109" i="25"/>
  <c r="H109" i="25"/>
  <c r="E109" i="25"/>
  <c r="F109" i="25" s="1"/>
  <c r="N108" i="25"/>
  <c r="O108" i="25" s="1"/>
  <c r="K108" i="25"/>
  <c r="L108" i="25" s="1"/>
  <c r="I108" i="25"/>
  <c r="H108" i="25"/>
  <c r="E108" i="25"/>
  <c r="F108" i="25" s="1"/>
  <c r="N107" i="25"/>
  <c r="O107" i="25" s="1"/>
  <c r="L107" i="25"/>
  <c r="K107" i="25"/>
  <c r="H107" i="25"/>
  <c r="I107" i="25" s="1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L105" i="25"/>
  <c r="K105" i="25"/>
  <c r="I105" i="25"/>
  <c r="H105" i="25"/>
  <c r="E105" i="25"/>
  <c r="F105" i="25" s="1"/>
  <c r="N104" i="25"/>
  <c r="O104" i="25" s="1"/>
  <c r="K104" i="25"/>
  <c r="L104" i="25" s="1"/>
  <c r="I104" i="25"/>
  <c r="H104" i="25"/>
  <c r="E104" i="25"/>
  <c r="F104" i="25" s="1"/>
  <c r="O103" i="25"/>
  <c r="N103" i="25"/>
  <c r="L103" i="25"/>
  <c r="K103" i="25"/>
  <c r="H103" i="25"/>
  <c r="I103" i="25" s="1"/>
  <c r="E103" i="25"/>
  <c r="F103" i="25" s="1"/>
  <c r="N102" i="25"/>
  <c r="O102" i="25" s="1"/>
  <c r="L102" i="25"/>
  <c r="K102" i="25"/>
  <c r="H102" i="25"/>
  <c r="I102" i="25" s="1"/>
  <c r="E102" i="25"/>
  <c r="F102" i="25" s="1"/>
  <c r="O101" i="25"/>
  <c r="N101" i="25"/>
  <c r="L101" i="25"/>
  <c r="K101" i="25"/>
  <c r="I101" i="25"/>
  <c r="H101" i="25"/>
  <c r="E101" i="25"/>
  <c r="F101" i="25" s="1"/>
  <c r="N100" i="25"/>
  <c r="O100" i="25" s="1"/>
  <c r="K100" i="25"/>
  <c r="L100" i="25" s="1"/>
  <c r="I100" i="25"/>
  <c r="H100" i="25"/>
  <c r="E100" i="25"/>
  <c r="F100" i="25" s="1"/>
  <c r="N99" i="25"/>
  <c r="O99" i="25" s="1"/>
  <c r="L99" i="25"/>
  <c r="K99" i="25"/>
  <c r="H99" i="25"/>
  <c r="I99" i="25" s="1"/>
  <c r="E99" i="25"/>
  <c r="F99" i="25" s="1"/>
  <c r="N98" i="25"/>
  <c r="N118" i="25" s="1"/>
  <c r="L98" i="25"/>
  <c r="K98" i="25"/>
  <c r="H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H90" i="25"/>
  <c r="I90" i="25" s="1"/>
  <c r="E90" i="25"/>
  <c r="F90" i="25" s="1"/>
  <c r="N89" i="25"/>
  <c r="O89" i="25" s="1"/>
  <c r="L89" i="25"/>
  <c r="K89" i="25"/>
  <c r="I89" i="25"/>
  <c r="H89" i="25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L87" i="25"/>
  <c r="K87" i="25"/>
  <c r="H87" i="25"/>
  <c r="I87" i="25" s="1"/>
  <c r="E87" i="25"/>
  <c r="F87" i="25" s="1"/>
  <c r="O86" i="25"/>
  <c r="N86" i="25"/>
  <c r="K86" i="25"/>
  <c r="L86" i="25" s="1"/>
  <c r="H86" i="25"/>
  <c r="I86" i="25" s="1"/>
  <c r="E86" i="25"/>
  <c r="F86" i="25" s="1"/>
  <c r="N85" i="25"/>
  <c r="O85" i="25" s="1"/>
  <c r="L85" i="25"/>
  <c r="K85" i="25"/>
  <c r="I85" i="25"/>
  <c r="H85" i="25"/>
  <c r="E85" i="25"/>
  <c r="F85" i="25" s="1"/>
  <c r="O84" i="25"/>
  <c r="N84" i="25"/>
  <c r="L84" i="25"/>
  <c r="K84" i="25"/>
  <c r="H84" i="25"/>
  <c r="I84" i="25" s="1"/>
  <c r="E84" i="25"/>
  <c r="F84" i="25" s="1"/>
  <c r="N83" i="25"/>
  <c r="O83" i="25" s="1"/>
  <c r="K83" i="25"/>
  <c r="L83" i="25" s="1"/>
  <c r="H83" i="25"/>
  <c r="I83" i="25" s="1"/>
  <c r="E83" i="25"/>
  <c r="F83" i="25" s="1"/>
  <c r="N82" i="25"/>
  <c r="O82" i="25" s="1"/>
  <c r="L82" i="25"/>
  <c r="K82" i="25"/>
  <c r="H82" i="25"/>
  <c r="I82" i="25" s="1"/>
  <c r="E82" i="25"/>
  <c r="F82" i="25" s="1"/>
  <c r="N81" i="25"/>
  <c r="O81" i="25" s="1"/>
  <c r="K81" i="25"/>
  <c r="L81" i="25" s="1"/>
  <c r="I81" i="25"/>
  <c r="H81" i="25"/>
  <c r="E81" i="25"/>
  <c r="F81" i="25" s="1"/>
  <c r="N80" i="25"/>
  <c r="O80" i="25" s="1"/>
  <c r="L80" i="25"/>
  <c r="K80" i="25"/>
  <c r="H80" i="25"/>
  <c r="I80" i="25" s="1"/>
  <c r="E80" i="25"/>
  <c r="F80" i="25" s="1"/>
  <c r="N79" i="25"/>
  <c r="O79" i="25" s="1"/>
  <c r="K79" i="25"/>
  <c r="L79" i="25" s="1"/>
  <c r="H79" i="25"/>
  <c r="I79" i="25" s="1"/>
  <c r="E79" i="25"/>
  <c r="F79" i="25" s="1"/>
  <c r="N78" i="25"/>
  <c r="O78" i="25" s="1"/>
  <c r="L78" i="25"/>
  <c r="K78" i="25"/>
  <c r="H78" i="25"/>
  <c r="I78" i="25" s="1"/>
  <c r="E78" i="25"/>
  <c r="F78" i="25" s="1"/>
  <c r="O77" i="25"/>
  <c r="N77" i="25"/>
  <c r="K77" i="25"/>
  <c r="L77" i="25" s="1"/>
  <c r="I77" i="25"/>
  <c r="H77" i="25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L75" i="25"/>
  <c r="K75" i="25"/>
  <c r="H75" i="25"/>
  <c r="I75" i="25" s="1"/>
  <c r="E75" i="25"/>
  <c r="F75" i="25" s="1"/>
  <c r="N74" i="25"/>
  <c r="O74" i="25" s="1"/>
  <c r="K74" i="25"/>
  <c r="L74" i="25" s="1"/>
  <c r="H74" i="25"/>
  <c r="I74" i="25" s="1"/>
  <c r="E74" i="25"/>
  <c r="F74" i="25" s="1"/>
  <c r="N73" i="25"/>
  <c r="O73" i="25" s="1"/>
  <c r="L73" i="25"/>
  <c r="K73" i="25"/>
  <c r="I73" i="25"/>
  <c r="H73" i="25"/>
  <c r="E73" i="25"/>
  <c r="F73" i="25" s="1"/>
  <c r="N72" i="25"/>
  <c r="O72" i="25" s="1"/>
  <c r="K72" i="25"/>
  <c r="L72" i="25" s="1"/>
  <c r="H72" i="25"/>
  <c r="I72" i="25" s="1"/>
  <c r="E72" i="25"/>
  <c r="F72" i="25" s="1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O61" i="25"/>
  <c r="N61" i="25"/>
  <c r="K61" i="25"/>
  <c r="L61" i="25" s="1"/>
  <c r="H61" i="25"/>
  <c r="I61" i="25" s="1"/>
  <c r="F61" i="25"/>
  <c r="E61" i="25"/>
  <c r="O60" i="25"/>
  <c r="N60" i="25"/>
  <c r="K60" i="25"/>
  <c r="L60" i="25" s="1"/>
  <c r="H60" i="25"/>
  <c r="I60" i="25" s="1"/>
  <c r="F60" i="25"/>
  <c r="E60" i="25"/>
  <c r="O59" i="25"/>
  <c r="N59" i="25"/>
  <c r="L59" i="25"/>
  <c r="K59" i="25"/>
  <c r="H59" i="25"/>
  <c r="I59" i="25" s="1"/>
  <c r="F59" i="25"/>
  <c r="E59" i="25"/>
  <c r="N58" i="25"/>
  <c r="O58" i="25" s="1"/>
  <c r="L58" i="25"/>
  <c r="K58" i="25"/>
  <c r="H58" i="25"/>
  <c r="I58" i="25" s="1"/>
  <c r="F58" i="25"/>
  <c r="E58" i="25"/>
  <c r="O57" i="25"/>
  <c r="N57" i="25"/>
  <c r="K57" i="25"/>
  <c r="L57" i="25" s="1"/>
  <c r="H57" i="25"/>
  <c r="I57" i="25" s="1"/>
  <c r="F57" i="25"/>
  <c r="E57" i="25"/>
  <c r="O56" i="25"/>
  <c r="N56" i="25"/>
  <c r="K56" i="25"/>
  <c r="L56" i="25" s="1"/>
  <c r="H56" i="25"/>
  <c r="I56" i="25" s="1"/>
  <c r="F56" i="25"/>
  <c r="E56" i="25"/>
  <c r="O55" i="25"/>
  <c r="N55" i="25"/>
  <c r="L55" i="25"/>
  <c r="K55" i="25"/>
  <c r="H55" i="25"/>
  <c r="I55" i="25" s="1"/>
  <c r="F55" i="25"/>
  <c r="E55" i="25"/>
  <c r="O54" i="25"/>
  <c r="N54" i="25"/>
  <c r="L54" i="25"/>
  <c r="K54" i="25"/>
  <c r="H54" i="25"/>
  <c r="I54" i="25" s="1"/>
  <c r="F54" i="25"/>
  <c r="E54" i="25"/>
  <c r="O53" i="25"/>
  <c r="N53" i="25"/>
  <c r="K53" i="25"/>
  <c r="L53" i="25" s="1"/>
  <c r="H53" i="25"/>
  <c r="I53" i="25" s="1"/>
  <c r="F53" i="25"/>
  <c r="E53" i="25"/>
  <c r="O52" i="25"/>
  <c r="N52" i="25"/>
  <c r="K52" i="25"/>
  <c r="L52" i="25" s="1"/>
  <c r="H52" i="25"/>
  <c r="I52" i="25" s="1"/>
  <c r="F52" i="25"/>
  <c r="E52" i="25"/>
  <c r="O51" i="25"/>
  <c r="N51" i="25"/>
  <c r="K51" i="25"/>
  <c r="L51" i="25" s="1"/>
  <c r="H51" i="25"/>
  <c r="I51" i="25" s="1"/>
  <c r="F51" i="25"/>
  <c r="E51" i="25"/>
  <c r="O50" i="25"/>
  <c r="N50" i="25"/>
  <c r="L50" i="25"/>
  <c r="K50" i="25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F48" i="25"/>
  <c r="E48" i="25"/>
  <c r="O47" i="25"/>
  <c r="N47" i="25"/>
  <c r="L47" i="25"/>
  <c r="K47" i="25"/>
  <c r="H47" i="25"/>
  <c r="I47" i="25" s="1"/>
  <c r="F47" i="25"/>
  <c r="E47" i="25"/>
  <c r="O46" i="25"/>
  <c r="N46" i="25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O64" i="25" s="1"/>
  <c r="N44" i="25"/>
  <c r="K44" i="25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O197" i="24"/>
  <c r="N197" i="24"/>
  <c r="K197" i="24"/>
  <c r="L197" i="24" s="1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N193" i="24"/>
  <c r="O193" i="24" s="1"/>
  <c r="K193" i="24"/>
  <c r="L193" i="24" s="1"/>
  <c r="H193" i="24"/>
  <c r="I193" i="24" s="1"/>
  <c r="F193" i="24"/>
  <c r="E193" i="24"/>
  <c r="N192" i="24"/>
  <c r="O192" i="24" s="1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N190" i="24"/>
  <c r="O190" i="24" s="1"/>
  <c r="L190" i="24"/>
  <c r="K190" i="24"/>
  <c r="H190" i="24"/>
  <c r="I190" i="24" s="1"/>
  <c r="F190" i="24"/>
  <c r="E190" i="24"/>
  <c r="N189" i="24"/>
  <c r="O189" i="24" s="1"/>
  <c r="K189" i="24"/>
  <c r="L189" i="24" s="1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L186" i="24"/>
  <c r="K186" i="24"/>
  <c r="H186" i="24"/>
  <c r="I186" i="24" s="1"/>
  <c r="F186" i="24"/>
  <c r="E186" i="24"/>
  <c r="N185" i="24"/>
  <c r="O185" i="24" s="1"/>
  <c r="K185" i="24"/>
  <c r="L185" i="24" s="1"/>
  <c r="H185" i="24"/>
  <c r="I185" i="24" s="1"/>
  <c r="F185" i="24"/>
  <c r="E185" i="24"/>
  <c r="N184" i="24"/>
  <c r="O184" i="24" s="1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O181" i="24"/>
  <c r="N181" i="24"/>
  <c r="K181" i="24"/>
  <c r="L181" i="24" s="1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F171" i="24"/>
  <c r="E171" i="24"/>
  <c r="N170" i="24"/>
  <c r="O170" i="24" s="1"/>
  <c r="K170" i="24"/>
  <c r="L170" i="24" s="1"/>
  <c r="H170" i="24"/>
  <c r="I170" i="24" s="1"/>
  <c r="F170" i="24"/>
  <c r="E170" i="24"/>
  <c r="N169" i="24"/>
  <c r="O169" i="24" s="1"/>
  <c r="L169" i="24"/>
  <c r="K169" i="24"/>
  <c r="H169" i="24"/>
  <c r="I169" i="24" s="1"/>
  <c r="F169" i="24"/>
  <c r="E169" i="24"/>
  <c r="N168" i="24"/>
  <c r="O168" i="24" s="1"/>
  <c r="K168" i="24"/>
  <c r="L168" i="24" s="1"/>
  <c r="H168" i="24"/>
  <c r="I168" i="24" s="1"/>
  <c r="F168" i="24"/>
  <c r="E168" i="24"/>
  <c r="O167" i="24"/>
  <c r="N167" i="24"/>
  <c r="L167" i="24"/>
  <c r="K167" i="24"/>
  <c r="H167" i="24"/>
  <c r="I167" i="24" s="1"/>
  <c r="F167" i="24"/>
  <c r="E167" i="24"/>
  <c r="N166" i="24"/>
  <c r="O166" i="24" s="1"/>
  <c r="K166" i="24"/>
  <c r="L166" i="24" s="1"/>
  <c r="H166" i="24"/>
  <c r="I166" i="24" s="1"/>
  <c r="F166" i="24"/>
  <c r="E166" i="24"/>
  <c r="N165" i="24"/>
  <c r="O165" i="24" s="1"/>
  <c r="L165" i="24"/>
  <c r="K165" i="24"/>
  <c r="H165" i="24"/>
  <c r="I165" i="24" s="1"/>
  <c r="F165" i="24"/>
  <c r="E165" i="24"/>
  <c r="O164" i="24"/>
  <c r="N164" i="24"/>
  <c r="K164" i="24"/>
  <c r="L164" i="24" s="1"/>
  <c r="H164" i="24"/>
  <c r="I164" i="24" s="1"/>
  <c r="F164" i="24"/>
  <c r="E164" i="24"/>
  <c r="N163" i="24"/>
  <c r="O163" i="24" s="1"/>
  <c r="L163" i="24"/>
  <c r="K163" i="24"/>
  <c r="H163" i="24"/>
  <c r="I163" i="24" s="1"/>
  <c r="F163" i="24"/>
  <c r="E163" i="24"/>
  <c r="N162" i="24"/>
  <c r="O162" i="24" s="1"/>
  <c r="K162" i="24"/>
  <c r="L162" i="24" s="1"/>
  <c r="H162" i="24"/>
  <c r="I162" i="24" s="1"/>
  <c r="F162" i="24"/>
  <c r="E162" i="24"/>
  <c r="N161" i="24"/>
  <c r="O161" i="24" s="1"/>
  <c r="L161" i="24"/>
  <c r="K161" i="24"/>
  <c r="H161" i="24"/>
  <c r="I161" i="24" s="1"/>
  <c r="F161" i="24"/>
  <c r="E161" i="24"/>
  <c r="N160" i="24"/>
  <c r="O160" i="24" s="1"/>
  <c r="K160" i="24"/>
  <c r="L160" i="24" s="1"/>
  <c r="H160" i="24"/>
  <c r="I160" i="24" s="1"/>
  <c r="F160" i="24"/>
  <c r="E160" i="24"/>
  <c r="O159" i="24"/>
  <c r="N159" i="24"/>
  <c r="L159" i="24"/>
  <c r="K159" i="24"/>
  <c r="H159" i="24"/>
  <c r="I159" i="24" s="1"/>
  <c r="F159" i="24"/>
  <c r="E159" i="24"/>
  <c r="N158" i="24"/>
  <c r="O158" i="24" s="1"/>
  <c r="K158" i="24"/>
  <c r="L158" i="24" s="1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O156" i="24"/>
  <c r="N156" i="24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L153" i="24"/>
  <c r="K153" i="24"/>
  <c r="H153" i="24"/>
  <c r="I153" i="24" s="1"/>
  <c r="F153" i="24"/>
  <c r="E153" i="24"/>
  <c r="N152" i="24"/>
  <c r="K152" i="24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H144" i="24"/>
  <c r="I144" i="24" s="1"/>
  <c r="E144" i="24"/>
  <c r="F144" i="24" s="1"/>
  <c r="N143" i="24"/>
  <c r="O143" i="24" s="1"/>
  <c r="K143" i="24"/>
  <c r="L143" i="24" s="1"/>
  <c r="H143" i="24"/>
  <c r="I143" i="24" s="1"/>
  <c r="E143" i="24"/>
  <c r="F143" i="24" s="1"/>
  <c r="N142" i="24"/>
  <c r="O142" i="24" s="1"/>
  <c r="L142" i="24"/>
  <c r="K142" i="24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F141" i="24" s="1"/>
  <c r="N140" i="24"/>
  <c r="O140" i="24" s="1"/>
  <c r="K140" i="24"/>
  <c r="L140" i="24" s="1"/>
  <c r="H140" i="24"/>
  <c r="I140" i="24" s="1"/>
  <c r="E140" i="24"/>
  <c r="F140" i="24" s="1"/>
  <c r="O139" i="24"/>
  <c r="N139" i="24"/>
  <c r="L139" i="24"/>
  <c r="K139" i="24"/>
  <c r="H139" i="24"/>
  <c r="I139" i="24" s="1"/>
  <c r="E139" i="24"/>
  <c r="F139" i="24" s="1"/>
  <c r="N138" i="24"/>
  <c r="O138" i="24" s="1"/>
  <c r="K138" i="24"/>
  <c r="L138" i="24" s="1"/>
  <c r="H138" i="24"/>
  <c r="I138" i="24" s="1"/>
  <c r="E138" i="24"/>
  <c r="F138" i="24" s="1"/>
  <c r="N137" i="24"/>
  <c r="O137" i="24" s="1"/>
  <c r="L137" i="24"/>
  <c r="K137" i="24"/>
  <c r="I137" i="24"/>
  <c r="H137" i="24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O134" i="24"/>
  <c r="N134" i="24"/>
  <c r="K134" i="24"/>
  <c r="L134" i="24" s="1"/>
  <c r="H134" i="24"/>
  <c r="I134" i="24" s="1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L132" i="24"/>
  <c r="K132" i="24"/>
  <c r="H132" i="24"/>
  <c r="I132" i="24" s="1"/>
  <c r="E132" i="24"/>
  <c r="F132" i="24" s="1"/>
  <c r="O131" i="24"/>
  <c r="N131" i="24"/>
  <c r="K131" i="24"/>
  <c r="L131" i="24" s="1"/>
  <c r="H131" i="24"/>
  <c r="I131" i="24" s="1"/>
  <c r="E131" i="24"/>
  <c r="F131" i="24" s="1"/>
  <c r="N130" i="24"/>
  <c r="O130" i="24" s="1"/>
  <c r="L130" i="24"/>
  <c r="K130" i="24"/>
  <c r="H130" i="24"/>
  <c r="I130" i="24" s="1"/>
  <c r="E130" i="24"/>
  <c r="F130" i="24" s="1"/>
  <c r="O129" i="24"/>
  <c r="N129" i="24"/>
  <c r="K129" i="24"/>
  <c r="L129" i="24" s="1"/>
  <c r="I129" i="24"/>
  <c r="H129" i="24"/>
  <c r="E129" i="24"/>
  <c r="F129" i="24" s="1"/>
  <c r="N128" i="24"/>
  <c r="O128" i="24" s="1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O126" i="24"/>
  <c r="N126" i="24"/>
  <c r="L126" i="24"/>
  <c r="K126" i="24"/>
  <c r="H126" i="24"/>
  <c r="I126" i="24" s="1"/>
  <c r="E126" i="24"/>
  <c r="F126" i="24" s="1"/>
  <c r="N125" i="24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7" i="24"/>
  <c r="N117" i="24"/>
  <c r="K117" i="24"/>
  <c r="L117" i="24" s="1"/>
  <c r="H117" i="24"/>
  <c r="I117" i="24" s="1"/>
  <c r="E117" i="24"/>
  <c r="F117" i="24" s="1"/>
  <c r="O116" i="24"/>
  <c r="N116" i="24"/>
  <c r="L116" i="24"/>
  <c r="K116" i="24"/>
  <c r="H116" i="24"/>
  <c r="I116" i="24" s="1"/>
  <c r="E116" i="24"/>
  <c r="F116" i="24" s="1"/>
  <c r="N115" i="24"/>
  <c r="O115" i="24" s="1"/>
  <c r="K115" i="24"/>
  <c r="L115" i="24" s="1"/>
  <c r="H115" i="24"/>
  <c r="I115" i="24" s="1"/>
  <c r="E115" i="24"/>
  <c r="F115" i="24" s="1"/>
  <c r="O114" i="24"/>
  <c r="N114" i="24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O112" i="24"/>
  <c r="N112" i="24"/>
  <c r="K112" i="24"/>
  <c r="L112" i="24" s="1"/>
  <c r="H112" i="24"/>
  <c r="I112" i="24" s="1"/>
  <c r="E112" i="24"/>
  <c r="F112" i="24" s="1"/>
  <c r="O111" i="24"/>
  <c r="N111" i="24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O109" i="24"/>
  <c r="N109" i="24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N106" i="24"/>
  <c r="O106" i="24" s="1"/>
  <c r="K106" i="24"/>
  <c r="L106" i="24" s="1"/>
  <c r="I106" i="24"/>
  <c r="H106" i="24"/>
  <c r="E106" i="24"/>
  <c r="F106" i="24" s="1"/>
  <c r="N105" i="24"/>
  <c r="O105" i="24" s="1"/>
  <c r="K105" i="24"/>
  <c r="L105" i="24" s="1"/>
  <c r="H105" i="24"/>
  <c r="I105" i="24" s="1"/>
  <c r="E105" i="24"/>
  <c r="F105" i="24" s="1"/>
  <c r="O104" i="24"/>
  <c r="N104" i="24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O101" i="24"/>
  <c r="N101" i="24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N99" i="24"/>
  <c r="O99" i="24" s="1"/>
  <c r="K99" i="24"/>
  <c r="L99" i="24" s="1"/>
  <c r="H99" i="24"/>
  <c r="I99" i="24" s="1"/>
  <c r="E99" i="24"/>
  <c r="F99" i="24" s="1"/>
  <c r="O98" i="24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O86" i="24"/>
  <c r="N86" i="24"/>
  <c r="L86" i="24"/>
  <c r="K86" i="24"/>
  <c r="H86" i="24"/>
  <c r="I86" i="24" s="1"/>
  <c r="E86" i="24"/>
  <c r="F86" i="24" s="1"/>
  <c r="N85" i="24"/>
  <c r="O85" i="24" s="1"/>
  <c r="K85" i="24"/>
  <c r="L85" i="24" s="1"/>
  <c r="H85" i="24"/>
  <c r="I85" i="24" s="1"/>
  <c r="E85" i="24"/>
  <c r="F85" i="24" s="1"/>
  <c r="N84" i="24"/>
  <c r="O84" i="24" s="1"/>
  <c r="L84" i="24"/>
  <c r="K84" i="24"/>
  <c r="H84" i="24"/>
  <c r="I84" i="24" s="1"/>
  <c r="E84" i="24"/>
  <c r="F84" i="24" s="1"/>
  <c r="N83" i="24"/>
  <c r="O83" i="24" s="1"/>
  <c r="K83" i="24"/>
  <c r="L83" i="24" s="1"/>
  <c r="I83" i="24"/>
  <c r="H83" i="24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N79" i="24"/>
  <c r="O79" i="24" s="1"/>
  <c r="K79" i="24"/>
  <c r="L79" i="24" s="1"/>
  <c r="I79" i="24"/>
  <c r="H79" i="24"/>
  <c r="E79" i="24"/>
  <c r="F79" i="24" s="1"/>
  <c r="O78" i="24"/>
  <c r="N78" i="24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N76" i="24"/>
  <c r="O76" i="24" s="1"/>
  <c r="K76" i="24"/>
  <c r="L76" i="24" s="1"/>
  <c r="H76" i="24"/>
  <c r="I76" i="24" s="1"/>
  <c r="E76" i="24"/>
  <c r="F76" i="24" s="1"/>
  <c r="O75" i="24"/>
  <c r="N75" i="24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H72" i="24"/>
  <c r="I72" i="24" s="1"/>
  <c r="E72" i="24"/>
  <c r="F72" i="24" s="1"/>
  <c r="N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N61" i="24"/>
  <c r="O61" i="24" s="1"/>
  <c r="L61" i="24"/>
  <c r="K61" i="24"/>
  <c r="H61" i="24"/>
  <c r="I61" i="24" s="1"/>
  <c r="E61" i="24"/>
  <c r="F61" i="24" s="1"/>
  <c r="N60" i="24"/>
  <c r="O60" i="24" s="1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O51" i="24"/>
  <c r="N51" i="24"/>
  <c r="K51" i="24"/>
  <c r="L51" i="24" s="1"/>
  <c r="H51" i="24"/>
  <c r="I51" i="24" s="1"/>
  <c r="E51" i="24"/>
  <c r="F51" i="24" s="1"/>
  <c r="N50" i="24"/>
  <c r="O50" i="24" s="1"/>
  <c r="K50" i="24"/>
  <c r="L50" i="24" s="1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K48" i="24"/>
  <c r="L48" i="24" s="1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L45" i="24"/>
  <c r="K45" i="24"/>
  <c r="H45" i="24"/>
  <c r="I45" i="24" s="1"/>
  <c r="E45" i="24"/>
  <c r="F45" i="24" s="1"/>
  <c r="N44" i="24"/>
  <c r="N64" i="24" s="1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L152" i="29" l="1"/>
  <c r="L172" i="29" s="1"/>
  <c r="K145" i="29"/>
  <c r="L145" i="29"/>
  <c r="L118" i="29"/>
  <c r="L64" i="29"/>
  <c r="K64" i="29"/>
  <c r="I152" i="29"/>
  <c r="I172" i="29" s="1"/>
  <c r="I125" i="29"/>
  <c r="I145" i="29" s="1"/>
  <c r="H118" i="29"/>
  <c r="I98" i="29"/>
  <c r="I118" i="29" s="1"/>
  <c r="I44" i="29"/>
  <c r="I64" i="29" s="1"/>
  <c r="F152" i="29"/>
  <c r="F172" i="29" s="1"/>
  <c r="F118" i="29"/>
  <c r="O199" i="28"/>
  <c r="N199" i="28"/>
  <c r="O172" i="28"/>
  <c r="N172" i="28"/>
  <c r="N145" i="28"/>
  <c r="O125" i="28"/>
  <c r="O145" i="28" s="1"/>
  <c r="N118" i="28"/>
  <c r="O98" i="28"/>
  <c r="O118" i="28" s="1"/>
  <c r="O71" i="28"/>
  <c r="O91" i="28" s="1"/>
  <c r="N64" i="28"/>
  <c r="O44" i="28"/>
  <c r="O64" i="28" s="1"/>
  <c r="K37" i="29"/>
  <c r="O37" i="29"/>
  <c r="F37" i="29"/>
  <c r="N37" i="29"/>
  <c r="E37" i="29"/>
  <c r="I37" i="29"/>
  <c r="H37" i="29"/>
  <c r="L37" i="29"/>
  <c r="G5" i="29"/>
  <c r="G7" i="29"/>
  <c r="G3" i="29"/>
  <c r="G9" i="29"/>
  <c r="K199" i="28"/>
  <c r="L179" i="28"/>
  <c r="L199" i="28" s="1"/>
  <c r="K172" i="28"/>
  <c r="L152" i="28"/>
  <c r="L172" i="28" s="1"/>
  <c r="K145" i="28"/>
  <c r="L125" i="28"/>
  <c r="L145" i="28" s="1"/>
  <c r="L118" i="28"/>
  <c r="K118" i="28"/>
  <c r="L71" i="28"/>
  <c r="L91" i="28" s="1"/>
  <c r="K64" i="28"/>
  <c r="L44" i="28"/>
  <c r="L64" i="28" s="1"/>
  <c r="I179" i="28"/>
  <c r="I199" i="28" s="1"/>
  <c r="I152" i="28"/>
  <c r="I172" i="28" s="1"/>
  <c r="I125" i="28"/>
  <c r="I145" i="28" s="1"/>
  <c r="I118" i="28"/>
  <c r="H118" i="28"/>
  <c r="H91" i="28"/>
  <c r="I71" i="28"/>
  <c r="I91" i="28" s="1"/>
  <c r="I44" i="28"/>
  <c r="I64" i="28" s="1"/>
  <c r="F98" i="28"/>
  <c r="F118" i="28" s="1"/>
  <c r="F71" i="28"/>
  <c r="F91" i="28" s="1"/>
  <c r="E64" i="28"/>
  <c r="F44" i="28"/>
  <c r="F64" i="28" s="1"/>
  <c r="O179" i="27"/>
  <c r="O199" i="27" s="1"/>
  <c r="O152" i="27"/>
  <c r="O172" i="27" s="1"/>
  <c r="O125" i="27"/>
  <c r="O145" i="27" s="1"/>
  <c r="N118" i="27"/>
  <c r="O98" i="27"/>
  <c r="O118" i="27" s="1"/>
  <c r="O71" i="27"/>
  <c r="O91" i="27" s="1"/>
  <c r="N64" i="27"/>
  <c r="O44" i="27"/>
  <c r="O64" i="27" s="1"/>
  <c r="H37" i="28"/>
  <c r="L37" i="28"/>
  <c r="E37" i="28"/>
  <c r="I37" i="28"/>
  <c r="F37" i="28"/>
  <c r="N37" i="28"/>
  <c r="K37" i="28"/>
  <c r="O37" i="28"/>
  <c r="G9" i="28"/>
  <c r="G5" i="28"/>
  <c r="G7" i="28"/>
  <c r="G3" i="28"/>
  <c r="K199" i="27"/>
  <c r="L179" i="27"/>
  <c r="L199" i="27" s="1"/>
  <c r="K118" i="27"/>
  <c r="L98" i="27"/>
  <c r="L118" i="27" s="1"/>
  <c r="K91" i="27"/>
  <c r="L71" i="27"/>
  <c r="L91" i="27" s="1"/>
  <c r="L64" i="27"/>
  <c r="K64" i="27"/>
  <c r="I179" i="27"/>
  <c r="I199" i="27" s="1"/>
  <c r="G9" i="27" s="1"/>
  <c r="I98" i="27"/>
  <c r="I118" i="27" s="1"/>
  <c r="I71" i="27"/>
  <c r="I91" i="27" s="1"/>
  <c r="I64" i="27"/>
  <c r="H64" i="27"/>
  <c r="F64" i="27"/>
  <c r="O179" i="26"/>
  <c r="O199" i="26" s="1"/>
  <c r="O125" i="26"/>
  <c r="O145" i="26" s="1"/>
  <c r="N118" i="26"/>
  <c r="G3" i="26" s="1"/>
  <c r="O98" i="26"/>
  <c r="O118" i="26" s="1"/>
  <c r="N91" i="26"/>
  <c r="O91" i="26"/>
  <c r="O44" i="26"/>
  <c r="O64" i="26" s="1"/>
  <c r="H37" i="27"/>
  <c r="L37" i="27"/>
  <c r="E37" i="27"/>
  <c r="I37" i="27"/>
  <c r="F37" i="27"/>
  <c r="N37" i="27"/>
  <c r="K37" i="27"/>
  <c r="O37" i="27"/>
  <c r="G5" i="27"/>
  <c r="G7" i="27"/>
  <c r="G3" i="27"/>
  <c r="L118" i="26"/>
  <c r="K118" i="26"/>
  <c r="K91" i="26"/>
  <c r="L91" i="26"/>
  <c r="G7" i="26" s="1"/>
  <c r="L44" i="26"/>
  <c r="L64" i="26" s="1"/>
  <c r="I98" i="26"/>
  <c r="I118" i="26" s="1"/>
  <c r="I71" i="26"/>
  <c r="I91" i="26" s="1"/>
  <c r="H64" i="26"/>
  <c r="I44" i="26"/>
  <c r="I64" i="26" s="1"/>
  <c r="F98" i="26"/>
  <c r="F118" i="26" s="1"/>
  <c r="F71" i="26"/>
  <c r="F91" i="26" s="1"/>
  <c r="F44" i="26"/>
  <c r="F64" i="26" s="1"/>
  <c r="O199" i="25"/>
  <c r="O172" i="25"/>
  <c r="N172" i="25"/>
  <c r="O125" i="25"/>
  <c r="O145" i="25" s="1"/>
  <c r="O98" i="25"/>
  <c r="O118" i="25" s="1"/>
  <c r="N91" i="25"/>
  <c r="O71" i="25"/>
  <c r="O91" i="25" s="1"/>
  <c r="N64" i="25"/>
  <c r="K37" i="26"/>
  <c r="O37" i="26"/>
  <c r="H37" i="26"/>
  <c r="L37" i="26"/>
  <c r="E37" i="26"/>
  <c r="I37" i="26"/>
  <c r="F37" i="26"/>
  <c r="N37" i="26"/>
  <c r="G9" i="26"/>
  <c r="G5" i="26"/>
  <c r="K199" i="25"/>
  <c r="L199" i="25"/>
  <c r="K172" i="25"/>
  <c r="L172" i="25"/>
  <c r="K145" i="25"/>
  <c r="L125" i="25"/>
  <c r="L145" i="25" s="1"/>
  <c r="L118" i="25"/>
  <c r="K118" i="25"/>
  <c r="G3" i="25" s="1"/>
  <c r="K91" i="25"/>
  <c r="L91" i="25"/>
  <c r="K64" i="25"/>
  <c r="L44" i="25"/>
  <c r="L64" i="25" s="1"/>
  <c r="I179" i="25"/>
  <c r="I199" i="25" s="1"/>
  <c r="I152" i="25"/>
  <c r="I172" i="25" s="1"/>
  <c r="H145" i="25"/>
  <c r="I125" i="25"/>
  <c r="I145" i="25" s="1"/>
  <c r="H118" i="25"/>
  <c r="I98" i="25"/>
  <c r="I118" i="25" s="1"/>
  <c r="H91" i="25"/>
  <c r="I71" i="25"/>
  <c r="I91" i="25" s="1"/>
  <c r="I44" i="25"/>
  <c r="I64" i="25" s="1"/>
  <c r="F125" i="25"/>
  <c r="F145" i="25" s="1"/>
  <c r="F98" i="25"/>
  <c r="F118" i="25" s="1"/>
  <c r="F71" i="25"/>
  <c r="F91" i="25" s="1"/>
  <c r="O199" i="24"/>
  <c r="G9" i="24" s="1"/>
  <c r="N199" i="24"/>
  <c r="N172" i="24"/>
  <c r="O152" i="24"/>
  <c r="O172" i="24" s="1"/>
  <c r="N145" i="24"/>
  <c r="O125" i="24"/>
  <c r="O145" i="24" s="1"/>
  <c r="O118" i="24"/>
  <c r="G3" i="24" s="1"/>
  <c r="N118" i="24"/>
  <c r="N91" i="24"/>
  <c r="O71" i="24"/>
  <c r="O91" i="24" s="1"/>
  <c r="O44" i="24"/>
  <c r="O64" i="24" s="1"/>
  <c r="N199" i="25"/>
  <c r="E37" i="25"/>
  <c r="I37" i="25"/>
  <c r="H37" i="25"/>
  <c r="L37" i="25"/>
  <c r="O37" i="25"/>
  <c r="N37" i="25"/>
  <c r="F37" i="25"/>
  <c r="K37" i="25"/>
  <c r="G5" i="25"/>
  <c r="G7" i="25"/>
  <c r="K199" i="24"/>
  <c r="L179" i="24"/>
  <c r="L199" i="24" s="1"/>
  <c r="K172" i="24"/>
  <c r="L152" i="24"/>
  <c r="L172" i="24" s="1"/>
  <c r="L125" i="24"/>
  <c r="L145" i="24" s="1"/>
  <c r="L118" i="24"/>
  <c r="K118" i="24"/>
  <c r="K91" i="24"/>
  <c r="L71" i="24"/>
  <c r="L91" i="24" s="1"/>
  <c r="K64" i="24"/>
  <c r="L44" i="24"/>
  <c r="L64" i="24" s="1"/>
  <c r="I179" i="24"/>
  <c r="I199" i="24" s="1"/>
  <c r="I152" i="24"/>
  <c r="I172" i="24" s="1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91" i="24" s="1"/>
  <c r="G7" i="24" s="1"/>
  <c r="F44" i="24"/>
  <c r="F64" i="24" s="1"/>
  <c r="K37" i="24"/>
  <c r="O37" i="24"/>
  <c r="L37" i="24"/>
  <c r="F37" i="24"/>
  <c r="N37" i="24"/>
  <c r="H37" i="24"/>
  <c r="E37" i="24"/>
  <c r="I37" i="24"/>
  <c r="G5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29" l="1"/>
  <c r="G11" i="28"/>
  <c r="G11" i="27"/>
  <c r="G9" i="25"/>
  <c r="G11" i="2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C219" i="9"/>
  <c r="F257" i="9"/>
  <c r="H39" i="9"/>
  <c r="K269" i="9"/>
  <c r="H175" i="9"/>
  <c r="F279" i="9"/>
  <c r="O148" i="9"/>
  <c r="I51" i="9"/>
  <c r="N76" i="9"/>
  <c r="E98" i="9"/>
  <c r="K20" i="3"/>
  <c r="E26" i="9"/>
  <c r="L255" i="9"/>
  <c r="C264" i="9"/>
  <c r="I212" i="9"/>
  <c r="F215" i="9"/>
  <c r="I158" i="9"/>
  <c r="O100" i="9"/>
  <c r="K9" i="5"/>
  <c r="O145" i="9"/>
  <c r="O28" i="9"/>
  <c r="O73" i="9"/>
  <c r="E151" i="9"/>
  <c r="C266" i="9"/>
  <c r="O237" i="9"/>
  <c r="O72" i="3"/>
  <c r="L67" i="9"/>
  <c r="C121" i="9"/>
  <c r="I266" i="9"/>
  <c r="O57" i="3"/>
  <c r="O230" i="9"/>
  <c r="C221" i="9"/>
  <c r="H227" i="9"/>
  <c r="I217" i="9"/>
  <c r="O25" i="9"/>
  <c r="F64" i="9"/>
  <c r="H140" i="9"/>
  <c r="O71" i="9"/>
  <c r="F213" i="9"/>
  <c r="K190" i="9"/>
  <c r="O225" i="9"/>
  <c r="O159" i="9"/>
  <c r="E29" i="9"/>
  <c r="G56" i="3"/>
  <c r="O59" i="3"/>
  <c r="E83" i="9"/>
  <c r="C88" i="9"/>
  <c r="O187" i="9"/>
  <c r="K104" i="9"/>
  <c r="I177" i="9"/>
  <c r="F235" i="9"/>
  <c r="O63" i="3"/>
  <c r="N114" i="9"/>
  <c r="L66" i="9"/>
  <c r="N100" i="9"/>
  <c r="O228" i="9"/>
  <c r="E75" i="9"/>
  <c r="O232" i="9"/>
  <c r="K187" i="9"/>
  <c r="E228" i="9"/>
  <c r="K25" i="5"/>
  <c r="H35" i="9"/>
  <c r="E184" i="9"/>
  <c r="K264" i="9"/>
  <c r="K116" i="9"/>
  <c r="N89" i="9"/>
  <c r="C226" i="9"/>
  <c r="F43" i="9"/>
  <c r="H75" i="9"/>
  <c r="I27" i="9"/>
  <c r="L125" i="9"/>
  <c r="O60" i="3"/>
  <c r="I160" i="9"/>
  <c r="K197" i="9"/>
  <c r="N184" i="9"/>
  <c r="N111" i="9"/>
  <c r="F253" i="9"/>
  <c r="I36" i="9"/>
  <c r="C271" i="9"/>
  <c r="N237" i="9"/>
  <c r="E41" i="9"/>
  <c r="I136" i="9"/>
  <c r="H187" i="9"/>
  <c r="N123" i="9"/>
  <c r="H201" i="9"/>
  <c r="H109" i="9"/>
  <c r="C24" i="9"/>
  <c r="N119" i="9"/>
  <c r="C136" i="9"/>
  <c r="L77" i="9"/>
  <c r="O139" i="9"/>
  <c r="H151" i="9"/>
  <c r="I189" i="9"/>
  <c r="O216" i="9"/>
  <c r="N272" i="9"/>
  <c r="I123" i="9"/>
  <c r="O74" i="3"/>
  <c r="F203" i="9"/>
  <c r="F75" i="9"/>
  <c r="H228" i="9"/>
  <c r="O137" i="9"/>
  <c r="F150" i="9"/>
  <c r="F46" i="9"/>
  <c r="K219" i="9"/>
  <c r="I255" i="9"/>
  <c r="K23" i="3"/>
  <c r="O70" i="9"/>
  <c r="N214" i="9"/>
  <c r="N178" i="9"/>
  <c r="K148" i="9"/>
  <c r="G73" i="3"/>
  <c r="F90" i="9"/>
  <c r="I145" i="9"/>
  <c r="L65" i="9"/>
  <c r="F107" i="9"/>
  <c r="K62" i="9"/>
  <c r="O156" i="9"/>
  <c r="K11" i="5"/>
  <c r="L157" i="9"/>
  <c r="L231" i="9"/>
  <c r="C275" i="9"/>
  <c r="H146" i="9"/>
  <c r="E218" i="9"/>
  <c r="O112" i="9"/>
  <c r="C162" i="9"/>
  <c r="F183" i="9"/>
  <c r="I277" i="9"/>
  <c r="O152" i="9"/>
  <c r="N274" i="9"/>
  <c r="K278" i="9"/>
  <c r="L280" i="9"/>
  <c r="H204" i="9"/>
  <c r="H33" i="9"/>
  <c r="L165" i="9"/>
  <c r="C199" i="9"/>
  <c r="C122" i="9"/>
  <c r="C181" i="9"/>
  <c r="C49" i="9"/>
  <c r="N68" i="9"/>
  <c r="I216" i="9"/>
  <c r="H74" i="9"/>
  <c r="F32" i="9"/>
  <c r="H274" i="9"/>
  <c r="K58" i="3"/>
  <c r="N222" i="9"/>
  <c r="F70" i="9"/>
  <c r="C268" i="9"/>
  <c r="I110" i="9"/>
  <c r="N34" i="9"/>
  <c r="F105" i="9"/>
  <c r="E27" i="9"/>
  <c r="C141" i="9"/>
  <c r="F280" i="9"/>
  <c r="N192" i="9"/>
  <c r="C45" i="9"/>
  <c r="O227" i="9"/>
  <c r="E239" i="9"/>
  <c r="N140" i="9"/>
  <c r="F76" i="9"/>
  <c r="N224" i="9"/>
  <c r="I78" i="9"/>
  <c r="N101" i="9"/>
  <c r="H225" i="9"/>
  <c r="F256" i="9"/>
  <c r="C220" i="9"/>
  <c r="N251" i="9"/>
  <c r="F51" i="9"/>
  <c r="C198" i="9"/>
  <c r="K57" i="3"/>
  <c r="H199" i="9"/>
  <c r="I149" i="9"/>
  <c r="L145" i="9"/>
  <c r="L199" i="9"/>
  <c r="K6" i="3"/>
  <c r="O257" i="9"/>
  <c r="F275" i="9"/>
  <c r="E159" i="9"/>
  <c r="N175" i="9"/>
  <c r="N151" i="9"/>
  <c r="N28" i="9"/>
  <c r="C179" i="9"/>
  <c r="I125" i="9"/>
  <c r="N162" i="9"/>
  <c r="E24" i="9"/>
  <c r="I193" i="9"/>
  <c r="K265" i="9"/>
  <c r="L166" i="9"/>
  <c r="K23" i="9"/>
  <c r="K8" i="3"/>
  <c r="H85" i="9"/>
  <c r="N159" i="9"/>
  <c r="N107" i="9"/>
  <c r="O199" i="9"/>
  <c r="N148" i="9"/>
  <c r="L72" i="9"/>
  <c r="L237" i="9"/>
  <c r="O48" i="9"/>
  <c r="C192" i="9"/>
  <c r="N266" i="9"/>
  <c r="K38" i="3"/>
  <c r="E278" i="9"/>
  <c r="G36" i="3"/>
  <c r="F236" i="9"/>
  <c r="H48" i="9"/>
  <c r="K262" i="9"/>
  <c r="K126" i="9"/>
  <c r="K218" i="9"/>
  <c r="I72" i="9"/>
  <c r="C115" i="9"/>
  <c r="C52" i="9"/>
  <c r="G48" i="3"/>
  <c r="O83" i="9"/>
  <c r="L109" i="9"/>
  <c r="K271" i="9"/>
  <c r="F44" i="9"/>
  <c r="H237" i="9"/>
  <c r="N125" i="9"/>
  <c r="E117" i="9"/>
  <c r="N147" i="9"/>
  <c r="K110" i="9"/>
  <c r="H218" i="9"/>
  <c r="I101" i="9"/>
  <c r="E267" i="9"/>
  <c r="G74" i="3"/>
  <c r="F155" i="9"/>
  <c r="H126" i="9"/>
  <c r="K46" i="3"/>
  <c r="I214" i="9"/>
  <c r="H23" i="9"/>
  <c r="F182" i="9"/>
  <c r="C23" i="9"/>
  <c r="L45" i="9"/>
  <c r="C189" i="9"/>
  <c r="N223" i="9"/>
  <c r="N82" i="9"/>
  <c r="N241" i="9"/>
  <c r="K198" i="9"/>
  <c r="F103" i="9"/>
  <c r="F111" i="9"/>
  <c r="K276" i="9"/>
  <c r="L48" i="9"/>
  <c r="I61" i="9"/>
  <c r="O262" i="9"/>
  <c r="F121" i="9"/>
  <c r="K230" i="9"/>
  <c r="C61" i="9"/>
  <c r="K143" i="9"/>
  <c r="C259" i="9"/>
  <c r="F218" i="9"/>
  <c r="L270" i="9"/>
  <c r="C36" i="9"/>
  <c r="O260" i="9"/>
  <c r="F31" i="9"/>
  <c r="E187" i="9"/>
  <c r="E121" i="9"/>
  <c r="N40" i="9"/>
  <c r="I215" i="9"/>
  <c r="E229" i="9"/>
  <c r="N141" i="9"/>
  <c r="E269" i="9"/>
  <c r="C113" i="9"/>
  <c r="K47" i="9"/>
  <c r="N106" i="9"/>
  <c r="K40" i="3"/>
  <c r="O64" i="3"/>
  <c r="C35" i="9"/>
  <c r="E194" i="9"/>
  <c r="O115" i="9"/>
  <c r="E270" i="9"/>
  <c r="E143" i="9"/>
  <c r="I238" i="9"/>
  <c r="E212" i="9"/>
  <c r="F163" i="9"/>
  <c r="I38" i="9"/>
  <c r="H186" i="9"/>
  <c r="O114" i="9"/>
  <c r="C194" i="9"/>
  <c r="N144" i="9"/>
  <c r="N181" i="9"/>
  <c r="K18" i="3"/>
  <c r="I229" i="9"/>
  <c r="H270" i="9"/>
  <c r="C278" i="9"/>
  <c r="L89" i="9"/>
  <c r="O56" i="3"/>
  <c r="F216" i="9"/>
  <c r="C104" i="9"/>
  <c r="G46" i="3"/>
  <c r="C200" i="9"/>
  <c r="L44" i="9"/>
  <c r="H159" i="9"/>
  <c r="L198" i="9"/>
  <c r="I176" i="9"/>
  <c r="G35" i="3"/>
  <c r="E199" i="9"/>
  <c r="I25" i="9"/>
  <c r="F217" i="9"/>
  <c r="K13" i="3"/>
  <c r="K45" i="9"/>
  <c r="H241" i="9"/>
  <c r="H121" i="9"/>
  <c r="O276" i="9"/>
  <c r="I175" i="9"/>
  <c r="H100" i="9"/>
  <c r="H256" i="9"/>
  <c r="L28" i="9"/>
  <c r="H260" i="9"/>
  <c r="F24" i="9"/>
  <c r="K180" i="9"/>
  <c r="E105" i="9"/>
  <c r="I241" i="9"/>
  <c r="N80" i="9"/>
  <c r="C269" i="9"/>
  <c r="E263" i="9"/>
  <c r="O269" i="9"/>
  <c r="O23" i="9"/>
  <c r="H136" i="9"/>
  <c r="H235" i="9"/>
  <c r="L142" i="9"/>
  <c r="K21" i="5"/>
  <c r="L146" i="9"/>
  <c r="C157" i="9"/>
  <c r="F196" i="9"/>
  <c r="C252" i="9"/>
  <c r="N271" i="9"/>
  <c r="O146" i="9"/>
  <c r="I32" i="9"/>
  <c r="O106" i="9"/>
  <c r="L186" i="9"/>
  <c r="L161" i="9"/>
  <c r="H163" i="9"/>
  <c r="F25" i="9"/>
  <c r="E141" i="9"/>
  <c r="E225" i="9"/>
  <c r="L117" i="9"/>
  <c r="E256" i="9"/>
  <c r="K105" i="9"/>
  <c r="E154" i="9"/>
  <c r="H45" i="9"/>
  <c r="H149" i="9"/>
  <c r="N270" i="9"/>
  <c r="E39" i="9"/>
  <c r="N227" i="9"/>
  <c r="L187" i="9"/>
  <c r="H200" i="9"/>
  <c r="K31" i="9"/>
  <c r="K32" i="9"/>
  <c r="O239" i="9"/>
  <c r="L76" i="9"/>
  <c r="O142" i="9"/>
  <c r="L85" i="9"/>
  <c r="O184" i="9"/>
  <c r="G71" i="3"/>
  <c r="H259" i="9"/>
  <c r="O252" i="9"/>
  <c r="E107" i="9"/>
  <c r="K24" i="5"/>
  <c r="H196" i="9"/>
  <c r="N69" i="9"/>
  <c r="F192" i="9"/>
  <c r="N65" i="9"/>
  <c r="O177" i="9"/>
  <c r="F262" i="9"/>
  <c r="N221" i="9"/>
  <c r="E119" i="9"/>
  <c r="O175" i="9"/>
  <c r="H239" i="9"/>
  <c r="O80" i="9"/>
  <c r="H233" i="9"/>
  <c r="K41" i="3"/>
  <c r="E196" i="9"/>
  <c r="O75" i="3"/>
  <c r="N23" i="9"/>
  <c r="O155" i="9"/>
  <c r="L279" i="9"/>
  <c r="C237" i="9"/>
  <c r="C90" i="9"/>
  <c r="H265" i="9"/>
  <c r="I272" i="9"/>
  <c r="H122" i="9"/>
  <c r="K203" i="9"/>
  <c r="E188" i="9"/>
  <c r="K14" i="3"/>
  <c r="C228" i="9"/>
  <c r="C175" i="9"/>
  <c r="I66" i="9"/>
  <c r="O157" i="9"/>
  <c r="F49" i="9"/>
  <c r="E150" i="9"/>
  <c r="O27" i="9"/>
  <c r="C203" i="9"/>
  <c r="F140" i="9"/>
  <c r="E137" i="9"/>
  <c r="K165" i="9"/>
  <c r="O149" i="9"/>
  <c r="F266" i="9"/>
  <c r="H253" i="9"/>
  <c r="I259" i="9"/>
  <c r="I76" i="9"/>
  <c r="L192" i="9"/>
  <c r="I199" i="9"/>
  <c r="G75" i="3"/>
  <c r="O63" i="9"/>
  <c r="N183" i="9"/>
  <c r="I35" i="9"/>
  <c r="K162" i="9"/>
  <c r="K194" i="9"/>
  <c r="F197" i="9"/>
  <c r="N189" i="9"/>
  <c r="O180" i="9"/>
  <c r="H61" i="9"/>
  <c r="N64" i="9"/>
  <c r="O127" i="9"/>
  <c r="I239" i="9"/>
  <c r="C242" i="9"/>
  <c r="L253" i="9"/>
  <c r="C197" i="9"/>
  <c r="E226" i="9"/>
  <c r="F229" i="9"/>
  <c r="I100" i="9"/>
  <c r="F72" i="9"/>
  <c r="G40" i="3"/>
  <c r="H44" i="9"/>
  <c r="H268" i="9"/>
  <c r="I50" i="9"/>
  <c r="O42" i="9"/>
  <c r="K46" i="9"/>
  <c r="F33" i="9"/>
  <c r="F158" i="9"/>
  <c r="K239" i="9"/>
  <c r="F109" i="9"/>
  <c r="L193" i="9"/>
  <c r="I183" i="9"/>
  <c r="K50" i="3"/>
  <c r="L271" i="9"/>
  <c r="O143" i="9"/>
  <c r="K156" i="9"/>
  <c r="I104" i="9"/>
  <c r="F141" i="9"/>
  <c r="N31" i="9"/>
  <c r="C270" i="9"/>
  <c r="O261" i="9"/>
  <c r="I106" i="9"/>
  <c r="E66" i="9"/>
  <c r="E242" i="9"/>
  <c r="K175" i="9"/>
  <c r="E45" i="9"/>
  <c r="K234" i="9"/>
  <c r="L112" i="9"/>
  <c r="F138" i="9"/>
  <c r="E25" i="9"/>
  <c r="C75" i="9"/>
  <c r="K84" i="9"/>
  <c r="L73" i="9"/>
  <c r="F144" i="9"/>
  <c r="N126" i="9"/>
  <c r="N98" i="9"/>
  <c r="N202" i="9"/>
  <c r="F232" i="9"/>
  <c r="O278" i="9"/>
  <c r="C107" i="9"/>
  <c r="K99" i="9"/>
  <c r="L180" i="9"/>
  <c r="F60" i="9"/>
  <c r="F123" i="9"/>
  <c r="H195" i="9"/>
  <c r="F50" i="9"/>
  <c r="O192" i="9"/>
  <c r="E123" i="9"/>
  <c r="C64" i="9"/>
  <c r="L33" i="9"/>
  <c r="L260" i="9"/>
  <c r="E126" i="9"/>
  <c r="L215" i="9"/>
  <c r="F250" i="9"/>
  <c r="K70" i="3"/>
  <c r="C100" i="9"/>
  <c r="F161" i="9"/>
  <c r="L68" i="9"/>
  <c r="H148" i="9"/>
  <c r="N44" i="9"/>
  <c r="H72" i="9"/>
  <c r="K253" i="9"/>
  <c r="F230" i="9"/>
  <c r="C140" i="9"/>
  <c r="I87" i="9"/>
  <c r="N264" i="9"/>
  <c r="E32" i="9"/>
  <c r="L102" i="9"/>
  <c r="C178" i="9"/>
  <c r="K34" i="9"/>
  <c r="F263" i="9"/>
  <c r="C72" i="9"/>
  <c r="F201" i="9"/>
  <c r="K140" i="9"/>
  <c r="G38" i="3"/>
  <c r="C277" i="9"/>
  <c r="E36" i="9"/>
  <c r="K19" i="5"/>
  <c r="L184" i="9"/>
  <c r="H192" i="9"/>
  <c r="H107" i="9"/>
  <c r="C123" i="9"/>
  <c r="F233" i="9"/>
  <c r="O280" i="9"/>
  <c r="C126" i="9"/>
  <c r="O226" i="9"/>
  <c r="N194" i="9"/>
  <c r="N109" i="9"/>
  <c r="N86" i="9"/>
  <c r="H99" i="9"/>
  <c r="F267" i="9"/>
  <c r="O84" i="9"/>
  <c r="E220" i="9"/>
  <c r="K64" i="3"/>
  <c r="N233" i="9"/>
  <c r="I44" i="9"/>
  <c r="I260" i="9"/>
  <c r="L52" i="9"/>
  <c r="E102" i="9"/>
  <c r="L174" i="9"/>
  <c r="K113" i="9"/>
  <c r="L31" i="9"/>
  <c r="K69" i="9"/>
  <c r="C204" i="9"/>
  <c r="O251" i="9"/>
  <c r="I26" i="9"/>
  <c r="F117" i="9"/>
  <c r="K35" i="3"/>
  <c r="K8" i="5"/>
  <c r="E73" i="9"/>
  <c r="L114" i="9"/>
  <c r="K85" i="9"/>
  <c r="L189" i="9"/>
  <c r="C124" i="9"/>
  <c r="E156" i="9"/>
  <c r="O50" i="3"/>
  <c r="N153" i="9"/>
  <c r="O74" i="9"/>
  <c r="I154" i="9"/>
  <c r="C80" i="9"/>
  <c r="K75" i="9"/>
  <c r="O43" i="9"/>
  <c r="K192" i="9"/>
  <c r="K33" i="9"/>
  <c r="C214" i="9"/>
  <c r="I22" i="9"/>
  <c r="I67" i="9"/>
  <c r="K121" i="9"/>
  <c r="C239" i="9"/>
  <c r="C68" i="9"/>
  <c r="H141" i="9"/>
  <c r="F67" i="9"/>
  <c r="F254" i="9"/>
  <c r="G58" i="3"/>
  <c r="N137" i="9"/>
  <c r="H143" i="9"/>
  <c r="L26" i="9"/>
  <c r="O66" i="9"/>
  <c r="H262" i="9"/>
  <c r="E197" i="9"/>
  <c r="L261" i="9"/>
  <c r="K184" i="9"/>
  <c r="O75" i="9"/>
  <c r="E52" i="9"/>
  <c r="I201" i="9"/>
  <c r="H81" i="9"/>
  <c r="F195" i="9"/>
  <c r="I48" i="9"/>
  <c r="K73" i="3"/>
  <c r="N41" i="9"/>
  <c r="O161" i="9"/>
  <c r="N84" i="9"/>
  <c r="K24" i="9"/>
  <c r="C41" i="9"/>
  <c r="L156" i="9"/>
  <c r="N166" i="9"/>
  <c r="N26" i="9"/>
  <c r="N105" i="9"/>
  <c r="C37" i="9"/>
  <c r="L214" i="9"/>
  <c r="I166" i="9"/>
  <c r="K42" i="9"/>
  <c r="E195" i="9"/>
  <c r="L144" i="9"/>
  <c r="E234" i="9"/>
  <c r="C22" i="9"/>
  <c r="I195" i="9"/>
  <c r="C183" i="9"/>
  <c r="I192" i="9"/>
  <c r="L47" i="9"/>
  <c r="F102" i="9"/>
  <c r="O186" i="9"/>
  <c r="K68" i="9"/>
  <c r="F125" i="9"/>
  <c r="I84" i="9"/>
  <c r="K161" i="9"/>
  <c r="I279" i="9"/>
  <c r="E125" i="9"/>
  <c r="F148" i="9"/>
  <c r="K270" i="9"/>
  <c r="N70" i="9"/>
  <c r="O99" i="9"/>
  <c r="C137" i="9"/>
  <c r="H24" i="9"/>
  <c r="O236" i="9"/>
  <c r="C222" i="9"/>
  <c r="O35" i="9"/>
  <c r="F79" i="9"/>
  <c r="I275" i="9"/>
  <c r="I49" i="9"/>
  <c r="L238" i="9"/>
  <c r="N22" i="9"/>
  <c r="K98" i="9"/>
  <c r="I179" i="9"/>
  <c r="O202" i="9"/>
  <c r="K6" i="5"/>
  <c r="K43" i="3"/>
  <c r="N179" i="9"/>
  <c r="I204" i="9"/>
  <c r="O26" i="9"/>
  <c r="E180" i="9"/>
  <c r="E237" i="9"/>
  <c r="K17" i="5"/>
  <c r="C261" i="9"/>
  <c r="I73" i="9"/>
  <c r="O47" i="3"/>
  <c r="K22" i="9"/>
  <c r="E182" i="9"/>
  <c r="K149" i="9"/>
  <c r="O107" i="9"/>
  <c r="I159" i="9"/>
  <c r="K49" i="9"/>
  <c r="K33" i="3"/>
  <c r="C87" i="9"/>
  <c r="K151" i="9"/>
  <c r="O144" i="9"/>
  <c r="K189" i="9"/>
  <c r="K23" i="5"/>
  <c r="F68" i="9"/>
  <c r="F26" i="9"/>
  <c r="O69" i="9"/>
  <c r="H157" i="9"/>
  <c r="E82" i="9"/>
  <c r="L228" i="9"/>
  <c r="O140" i="9"/>
  <c r="E215" i="9"/>
  <c r="K101" i="9"/>
  <c r="K178" i="9"/>
  <c r="F261" i="9"/>
  <c r="K250" i="9"/>
  <c r="K74" i="3"/>
  <c r="K112" i="9"/>
  <c r="C224" i="9"/>
  <c r="K158" i="9"/>
  <c r="K159" i="9"/>
  <c r="N150" i="9"/>
  <c r="C190" i="9"/>
  <c r="F190" i="9"/>
  <c r="F214" i="9"/>
  <c r="N115" i="9"/>
  <c r="E99" i="9"/>
  <c r="F274" i="9"/>
  <c r="F104" i="9"/>
  <c r="K7" i="3"/>
  <c r="E224" i="9"/>
  <c r="L213" i="9"/>
  <c r="L83" i="9"/>
  <c r="O43" i="3"/>
  <c r="K225" i="9"/>
  <c r="K111" i="9"/>
  <c r="H64" i="9"/>
  <c r="F221" i="9"/>
  <c r="I151" i="9"/>
  <c r="N139" i="9"/>
  <c r="C234" i="9"/>
  <c r="F136" i="9"/>
  <c r="I105" i="9"/>
  <c r="N37" i="9"/>
  <c r="L81" i="9"/>
  <c r="K252" i="9"/>
  <c r="C85" i="9"/>
  <c r="H84" i="9"/>
  <c r="O138" i="9"/>
  <c r="C251" i="9"/>
  <c r="G50" i="3"/>
  <c r="H87" i="9"/>
  <c r="H66" i="9"/>
  <c r="E250" i="9"/>
  <c r="H116" i="9"/>
  <c r="O256" i="9"/>
  <c r="K70" i="9"/>
  <c r="F74" i="9"/>
  <c r="I242" i="9"/>
  <c r="E48" i="9"/>
  <c r="K201" i="9"/>
  <c r="L75" i="9"/>
  <c r="K109" i="9"/>
  <c r="K60" i="3"/>
  <c r="E38" i="9"/>
  <c r="L203" i="9"/>
  <c r="O122" i="9"/>
  <c r="H108" i="9"/>
  <c r="O123" i="9"/>
  <c r="E61" i="9"/>
  <c r="L188" i="9"/>
  <c r="F62" i="9"/>
  <c r="H271" i="9"/>
  <c r="O81" i="9"/>
  <c r="H90" i="9"/>
  <c r="E122" i="9"/>
  <c r="K66" i="9"/>
  <c r="E275" i="9"/>
  <c r="I80" i="9"/>
  <c r="K50" i="9"/>
  <c r="O77" i="9"/>
  <c r="C71" i="9"/>
  <c r="C120" i="9"/>
  <c r="I47" i="9"/>
  <c r="C82" i="9"/>
  <c r="N195" i="9"/>
  <c r="L126" i="9"/>
  <c r="E113" i="9"/>
  <c r="E189" i="9"/>
  <c r="L151" i="9"/>
  <c r="E190" i="9"/>
  <c r="L79" i="9"/>
  <c r="F166" i="9"/>
  <c r="K36" i="3"/>
  <c r="F186" i="9"/>
  <c r="C280" i="9"/>
  <c r="I186" i="9"/>
  <c r="N47" i="9"/>
  <c r="K254" i="9"/>
  <c r="N217" i="9"/>
  <c r="H63" i="9"/>
  <c r="N231" i="9"/>
  <c r="L139" i="9"/>
  <c r="N256" i="9"/>
  <c r="F198" i="9"/>
  <c r="F228" i="9"/>
  <c r="H156" i="9"/>
  <c r="E51" i="9"/>
  <c r="K31" i="3"/>
  <c r="K12" i="5"/>
  <c r="E183" i="9"/>
  <c r="F258" i="9"/>
  <c r="H223" i="9"/>
  <c r="F174" i="9"/>
  <c r="H115" i="9"/>
  <c r="N265" i="9"/>
  <c r="K27" i="9"/>
  <c r="E72" i="9"/>
  <c r="E62" i="9"/>
  <c r="K115" i="9"/>
  <c r="O24" i="9"/>
  <c r="N158" i="9"/>
  <c r="O66" i="3"/>
  <c r="F84" i="9"/>
  <c r="C79" i="9"/>
  <c r="H266" i="9"/>
  <c r="O203" i="9"/>
  <c r="F120" i="9"/>
  <c r="F142" i="9"/>
  <c r="O113" i="9"/>
  <c r="K120" i="9"/>
  <c r="L147" i="9"/>
  <c r="G33" i="3"/>
  <c r="C216" i="9"/>
  <c r="H70" i="9"/>
  <c r="C272" i="9"/>
  <c r="I108" i="9"/>
  <c r="C51" i="9"/>
  <c r="O64" i="9"/>
  <c r="O213" i="9"/>
  <c r="O197" i="9"/>
  <c r="F222" i="9"/>
  <c r="I250" i="9"/>
  <c r="O200" i="9"/>
  <c r="C73" i="9"/>
  <c r="G60" i="3"/>
  <c r="I103" i="9"/>
  <c r="L265" i="9"/>
  <c r="C116" i="9"/>
  <c r="I115" i="9"/>
  <c r="O31" i="3"/>
  <c r="O166" i="9"/>
  <c r="E155" i="9"/>
  <c r="K251" i="9"/>
  <c r="E191" i="9"/>
  <c r="O241" i="9"/>
  <c r="N261" i="9"/>
  <c r="L82" i="9"/>
  <c r="I70" i="9"/>
  <c r="C139" i="9"/>
  <c r="I184" i="9"/>
  <c r="N138" i="9"/>
  <c r="O221" i="9"/>
  <c r="I235" i="9"/>
  <c r="H226" i="9"/>
  <c r="F118" i="9"/>
  <c r="O250" i="9"/>
  <c r="I64" i="9"/>
  <c r="E181" i="9"/>
  <c r="K47" i="3"/>
  <c r="N61" i="9"/>
  <c r="L259" i="9"/>
  <c r="F272" i="9"/>
  <c r="F271" i="9"/>
  <c r="N260" i="9"/>
  <c r="O158" i="9"/>
  <c r="H110" i="9"/>
  <c r="H117" i="9"/>
  <c r="F151" i="9"/>
  <c r="E264" i="9"/>
  <c r="F164" i="9"/>
  <c r="O65" i="9"/>
  <c r="F157" i="9"/>
  <c r="G31" i="3"/>
  <c r="N29" i="9"/>
  <c r="I280" i="9"/>
  <c r="K106" i="9"/>
  <c r="N238" i="9"/>
  <c r="N161" i="9"/>
  <c r="H118" i="9"/>
  <c r="I120" i="9"/>
  <c r="H147" i="9"/>
  <c r="N85" i="9"/>
  <c r="K38" i="9"/>
  <c r="O105" i="9"/>
  <c r="F159" i="9"/>
  <c r="H236" i="9"/>
  <c r="I226" i="9"/>
  <c r="K21" i="3"/>
  <c r="H145" i="9"/>
  <c r="E164" i="9"/>
  <c r="K44" i="3"/>
  <c r="L128" i="9"/>
  <c r="O258" i="9"/>
  <c r="I118" i="9"/>
  <c r="K277" i="9"/>
  <c r="F268" i="9"/>
  <c r="N24" i="9"/>
  <c r="F273" i="9"/>
  <c r="O253" i="9"/>
  <c r="K32" i="3"/>
  <c r="E241" i="9"/>
  <c r="H98" i="9"/>
  <c r="L98" i="9"/>
  <c r="O101" i="9"/>
  <c r="K16" i="5"/>
  <c r="C230" i="9"/>
  <c r="F66" i="9"/>
  <c r="E157" i="9"/>
  <c r="E176" i="9"/>
  <c r="H79" i="9"/>
  <c r="L223" i="9"/>
  <c r="E223" i="9"/>
  <c r="L51" i="9"/>
  <c r="H31" i="9"/>
  <c r="G32" i="3"/>
  <c r="L111" i="9"/>
  <c r="N39" i="9"/>
  <c r="H191" i="9"/>
  <c r="K139" i="9"/>
  <c r="L42" i="9"/>
  <c r="O265" i="9"/>
  <c r="K9" i="3"/>
  <c r="N27" i="9"/>
  <c r="H49" i="9"/>
  <c r="L150" i="9"/>
  <c r="E65" i="9"/>
  <c r="O34" i="9"/>
  <c r="N234" i="9"/>
  <c r="O188" i="9"/>
  <c r="K123" i="9"/>
  <c r="O29" i="9"/>
  <c r="F137" i="9"/>
  <c r="K141" i="9"/>
  <c r="L227" i="9"/>
  <c r="K213" i="9"/>
  <c r="E43" i="9"/>
  <c r="O118" i="9"/>
  <c r="F63" i="9"/>
  <c r="I161" i="9"/>
  <c r="O40" i="3"/>
  <c r="K20" i="5"/>
  <c r="I83" i="9"/>
  <c r="O240" i="9"/>
  <c r="H155" i="9"/>
  <c r="O277" i="9"/>
  <c r="C83" i="9"/>
  <c r="N235" i="9"/>
  <c r="K153" i="9"/>
  <c r="G47" i="3"/>
  <c r="E276" i="9"/>
  <c r="G49" i="3"/>
  <c r="O150" i="9"/>
  <c r="H103" i="9"/>
  <c r="L122" i="9"/>
  <c r="O49" i="9"/>
  <c r="E203" i="9"/>
  <c r="I40" i="9"/>
  <c r="G43" i="3"/>
  <c r="C110" i="9"/>
  <c r="L276" i="9"/>
  <c r="I240" i="9"/>
  <c r="N154" i="9"/>
  <c r="N116" i="9"/>
  <c r="H221" i="9"/>
  <c r="N268" i="9"/>
  <c r="O125" i="9"/>
  <c r="H80" i="9"/>
  <c r="L149" i="9"/>
  <c r="E233" i="9"/>
  <c r="O109" i="9"/>
  <c r="I137" i="9"/>
  <c r="I89" i="9"/>
  <c r="I270" i="9"/>
  <c r="N90" i="9"/>
  <c r="K212" i="9"/>
  <c r="L274" i="9"/>
  <c r="C159" i="9"/>
  <c r="I128" i="9"/>
  <c r="N200" i="9"/>
  <c r="E142" i="9"/>
  <c r="I111" i="9"/>
  <c r="F143" i="9"/>
  <c r="N112" i="9"/>
  <c r="E74" i="9"/>
  <c r="C223" i="9"/>
  <c r="F152" i="9"/>
  <c r="E136" i="9"/>
  <c r="O229" i="9"/>
  <c r="N36" i="9"/>
  <c r="H125" i="9"/>
  <c r="C160" i="9"/>
  <c r="E37" i="9"/>
  <c r="E277" i="9"/>
  <c r="K73" i="9"/>
  <c r="C184" i="9"/>
  <c r="N176" i="9"/>
  <c r="N228" i="9"/>
  <c r="K224" i="9"/>
  <c r="O41" i="3"/>
  <c r="E110" i="9"/>
  <c r="C48" i="9"/>
  <c r="L23" i="9"/>
  <c r="E200" i="9"/>
  <c r="E255" i="9"/>
  <c r="O72" i="9"/>
  <c r="C138" i="9"/>
  <c r="L225" i="9"/>
  <c r="L197" i="9"/>
  <c r="I188" i="9"/>
  <c r="F88" i="9"/>
  <c r="H177" i="9"/>
  <c r="H114" i="9"/>
  <c r="O121" i="9"/>
  <c r="O195" i="9"/>
  <c r="C27" i="9"/>
  <c r="H180" i="9"/>
  <c r="N262" i="9"/>
  <c r="I65" i="9"/>
  <c r="K183" i="9"/>
  <c r="O191" i="9"/>
  <c r="H255" i="9"/>
  <c r="K142" i="9"/>
  <c r="O39" i="9"/>
  <c r="N78" i="9"/>
  <c r="K227" i="9"/>
  <c r="N142" i="9"/>
  <c r="K17" i="3"/>
  <c r="E109" i="9"/>
  <c r="E44" i="9"/>
  <c r="O154" i="9"/>
  <c r="O266" i="9"/>
  <c r="O52" i="9"/>
  <c r="O110" i="9"/>
  <c r="E186" i="9"/>
  <c r="F224" i="9"/>
  <c r="L257" i="9"/>
  <c r="L177" i="9"/>
  <c r="C39" i="9"/>
  <c r="I231" i="9"/>
  <c r="C241" i="9"/>
  <c r="H62" i="9"/>
  <c r="K18" i="5"/>
  <c r="I34" i="9"/>
  <c r="G61" i="3"/>
  <c r="F119" i="9"/>
  <c r="K64" i="9"/>
  <c r="E115" i="9"/>
  <c r="L221" i="9"/>
  <c r="H190" i="9"/>
  <c r="C152" i="9"/>
  <c r="L218" i="9"/>
  <c r="C118" i="9"/>
  <c r="L74" i="9"/>
  <c r="O88" i="9"/>
  <c r="L190" i="9"/>
  <c r="E162" i="9"/>
  <c r="I264" i="9"/>
  <c r="F204" i="9"/>
  <c r="E152" i="9"/>
  <c r="K258" i="9"/>
  <c r="I269" i="9"/>
  <c r="K49" i="3"/>
  <c r="L229" i="9"/>
  <c r="O22" i="9"/>
  <c r="G41" i="3"/>
  <c r="H106" i="9"/>
  <c r="N182" i="9"/>
  <c r="N33" i="9"/>
  <c r="K103" i="9"/>
  <c r="L34" i="9"/>
  <c r="I124" i="9"/>
  <c r="C262" i="9"/>
  <c r="E87" i="9"/>
  <c r="E262" i="9"/>
  <c r="N143" i="9"/>
  <c r="N259" i="9"/>
  <c r="K25" i="3"/>
  <c r="L137" i="9"/>
  <c r="O35" i="3"/>
  <c r="F188" i="9"/>
  <c r="E192" i="9"/>
  <c r="O254" i="9"/>
  <c r="F83" i="9"/>
  <c r="N38" i="9"/>
  <c r="L273" i="9"/>
  <c r="G44" i="3"/>
  <c r="C215" i="9"/>
  <c r="K82" i="9"/>
  <c r="L204" i="9"/>
  <c r="G65" i="3"/>
  <c r="K48" i="9"/>
  <c r="K108" i="9"/>
  <c r="O273" i="9"/>
  <c r="F147" i="9"/>
  <c r="F77" i="9"/>
  <c r="F78" i="9"/>
  <c r="F113" i="9"/>
  <c r="H139" i="9"/>
  <c r="F82" i="9"/>
  <c r="L35" i="9"/>
  <c r="C263" i="9"/>
  <c r="C40" i="9"/>
  <c r="F99" i="9"/>
  <c r="O189" i="9"/>
  <c r="H37" i="9"/>
  <c r="C31" i="9"/>
  <c r="F176" i="9"/>
  <c r="C26" i="9"/>
  <c r="K45" i="3"/>
  <c r="E69" i="9"/>
  <c r="K235" i="9"/>
  <c r="I274" i="9"/>
  <c r="H124" i="9"/>
  <c r="E60" i="9"/>
  <c r="I263" i="9"/>
  <c r="I185" i="9"/>
  <c r="K220" i="9"/>
  <c r="I141" i="9"/>
  <c r="C143" i="9"/>
  <c r="O67" i="3"/>
  <c r="I23" i="9"/>
  <c r="O163" i="9"/>
  <c r="H76" i="9"/>
  <c r="L116" i="9"/>
  <c r="H28" i="9"/>
  <c r="F122" i="9"/>
  <c r="H161" i="9"/>
  <c r="I146" i="9"/>
  <c r="E85" i="9"/>
  <c r="K65" i="3"/>
  <c r="L152" i="9"/>
  <c r="C30" i="9"/>
  <c r="E178" i="9"/>
  <c r="E160" i="9"/>
  <c r="E271" i="9"/>
  <c r="F185" i="9"/>
  <c r="E257" i="9"/>
  <c r="L219" i="9"/>
  <c r="H272" i="9"/>
  <c r="E128" i="9"/>
  <c r="K14" i="5"/>
  <c r="G67" i="3"/>
  <c r="C69" i="9"/>
  <c r="L236" i="9"/>
  <c r="F149" i="9"/>
  <c r="H212" i="9"/>
  <c r="L110" i="9"/>
  <c r="I63" i="9"/>
  <c r="O214" i="9"/>
  <c r="H198" i="9"/>
  <c r="L264" i="9"/>
  <c r="K118" i="9"/>
  <c r="I257" i="9"/>
  <c r="N149" i="9"/>
  <c r="L46" i="9"/>
  <c r="H60" i="9"/>
  <c r="E35" i="9"/>
  <c r="K163" i="9"/>
  <c r="N163" i="9"/>
  <c r="H213" i="9"/>
  <c r="O87" i="9"/>
  <c r="O238" i="9"/>
  <c r="E272" i="9"/>
  <c r="E216" i="9"/>
  <c r="K144" i="9"/>
  <c r="C161" i="9"/>
  <c r="C154" i="9"/>
  <c r="L60" i="9"/>
  <c r="I150" i="9"/>
  <c r="O153" i="9"/>
  <c r="K182" i="9"/>
  <c r="I41" i="9"/>
  <c r="O85" i="9"/>
  <c r="O181" i="9"/>
  <c r="H164" i="9"/>
  <c r="C174" i="9"/>
  <c r="E118" i="9"/>
  <c r="O38" i="3"/>
  <c r="L108" i="9"/>
  <c r="O45" i="9"/>
  <c r="G63" i="3"/>
  <c r="E175" i="9"/>
  <c r="H165" i="9"/>
  <c r="L90" i="9"/>
  <c r="N185" i="9"/>
  <c r="C218" i="9"/>
  <c r="K145" i="9"/>
  <c r="K240" i="9"/>
  <c r="K80" i="9"/>
  <c r="O198" i="9"/>
  <c r="O263" i="9"/>
  <c r="L124" i="9"/>
  <c r="E147" i="9"/>
  <c r="C117" i="9"/>
  <c r="K102" i="9"/>
  <c r="K191" i="9"/>
  <c r="F202" i="9"/>
  <c r="N75" i="9"/>
  <c r="O219" i="9"/>
  <c r="I218" i="9"/>
  <c r="F81" i="9"/>
  <c r="H202" i="9"/>
  <c r="F241" i="9"/>
  <c r="H102" i="9"/>
  <c r="N215" i="9"/>
  <c r="L70" i="9"/>
  <c r="O42" i="3"/>
  <c r="C165" i="9"/>
  <c r="N180" i="9"/>
  <c r="O50" i="9"/>
  <c r="L254" i="9"/>
  <c r="N191" i="9"/>
  <c r="O222" i="9"/>
  <c r="I276" i="9"/>
  <c r="C33" i="9"/>
  <c r="H222" i="9"/>
  <c r="O215" i="9"/>
  <c r="E179" i="9"/>
  <c r="N67" i="9"/>
  <c r="I119" i="9"/>
  <c r="O34" i="3"/>
  <c r="K268" i="9"/>
  <c r="H160" i="9"/>
  <c r="L63" i="9"/>
  <c r="L262" i="9"/>
  <c r="O78" i="9"/>
  <c r="O76" i="9"/>
  <c r="F251" i="9"/>
  <c r="K202" i="9"/>
  <c r="K122" i="9"/>
  <c r="I162" i="9"/>
  <c r="O179" i="9"/>
  <c r="I252" i="9"/>
  <c r="K186" i="9"/>
  <c r="K19" i="3"/>
  <c r="H279" i="9"/>
  <c r="E138" i="9"/>
  <c r="F165" i="9"/>
  <c r="K63" i="9"/>
  <c r="K233" i="9"/>
  <c r="O44" i="3"/>
  <c r="K13" i="5"/>
  <c r="N240" i="9"/>
  <c r="K86" i="9"/>
  <c r="N269" i="9"/>
  <c r="N42" i="9"/>
  <c r="H68" i="9"/>
  <c r="N160" i="9"/>
  <c r="F153" i="9"/>
  <c r="K229" i="9"/>
  <c r="O178" i="9"/>
  <c r="I31" i="9"/>
  <c r="N103" i="9"/>
  <c r="H162" i="9"/>
  <c r="H69" i="9"/>
  <c r="O151" i="9"/>
  <c r="I194" i="9"/>
  <c r="I139" i="9"/>
  <c r="K236" i="9"/>
  <c r="L115" i="9"/>
  <c r="F145" i="9"/>
  <c r="F106" i="9"/>
  <c r="C258" i="9"/>
  <c r="O79" i="9"/>
  <c r="N52" i="9"/>
  <c r="F40" i="9"/>
  <c r="L103" i="9"/>
  <c r="L104" i="9"/>
  <c r="L120" i="9"/>
  <c r="I46" i="9"/>
  <c r="O147" i="9"/>
  <c r="H42" i="9"/>
  <c r="H30" i="9"/>
  <c r="N120" i="9"/>
  <c r="L27" i="9"/>
  <c r="E146" i="9"/>
  <c r="F234" i="9"/>
  <c r="E63" i="9"/>
  <c r="L22" i="9"/>
  <c r="N66" i="9"/>
  <c r="C256" i="9"/>
  <c r="C260" i="9"/>
  <c r="F226" i="9"/>
  <c r="I117" i="9"/>
  <c r="E219" i="9"/>
  <c r="K51" i="9"/>
  <c r="I144" i="9"/>
  <c r="I155" i="9"/>
  <c r="C146" i="9"/>
  <c r="K204" i="9"/>
  <c r="C158" i="9"/>
  <c r="C46" i="9"/>
  <c r="O61" i="9"/>
  <c r="F34" i="9"/>
  <c r="C78" i="9"/>
  <c r="K221" i="9"/>
  <c r="L240" i="9"/>
  <c r="F146" i="9"/>
  <c r="K257" i="9"/>
  <c r="I237" i="9"/>
  <c r="O275" i="9"/>
  <c r="O231" i="9"/>
  <c r="I163" i="9"/>
  <c r="K152" i="9"/>
  <c r="H50" i="9"/>
  <c r="F260" i="9"/>
  <c r="N87" i="9"/>
  <c r="O41" i="9"/>
  <c r="N273" i="9"/>
  <c r="K79" i="9"/>
  <c r="H67" i="9"/>
  <c r="H194" i="9"/>
  <c r="N213" i="9"/>
  <c r="O108" i="9"/>
  <c r="H176" i="9"/>
  <c r="E90" i="9"/>
  <c r="I268" i="9"/>
  <c r="I24" i="9"/>
  <c r="C108" i="9"/>
  <c r="L140" i="9"/>
  <c r="O162" i="9"/>
  <c r="N30" i="9"/>
  <c r="O220" i="9"/>
  <c r="H183" i="9"/>
  <c r="K16" i="3"/>
  <c r="O141" i="9"/>
  <c r="F22" i="9"/>
  <c r="K114" i="9"/>
  <c r="I52" i="9"/>
  <c r="N157" i="9"/>
  <c r="E84" i="9"/>
  <c r="E79" i="9"/>
  <c r="L87" i="9"/>
  <c r="I98" i="9"/>
  <c r="E166" i="9"/>
  <c r="F187" i="9"/>
  <c r="K75" i="3"/>
  <c r="K261" i="9"/>
  <c r="F184" i="9"/>
  <c r="E204" i="9"/>
  <c r="C102" i="9"/>
  <c r="H27" i="9"/>
  <c r="O259" i="9"/>
  <c r="N152" i="9"/>
  <c r="E227" i="9"/>
  <c r="L233" i="9"/>
  <c r="E193" i="9"/>
  <c r="E88" i="9"/>
  <c r="C70" i="9"/>
  <c r="C267" i="9"/>
  <c r="N216" i="9"/>
  <c r="E101" i="9"/>
  <c r="K266" i="9"/>
  <c r="K166" i="9"/>
  <c r="G42" i="3"/>
  <c r="H153" i="9"/>
  <c r="G39" i="3"/>
  <c r="K71" i="3"/>
  <c r="L201" i="9"/>
  <c r="E279" i="9"/>
  <c r="O264" i="9"/>
  <c r="N204" i="9"/>
  <c r="C217" i="9"/>
  <c r="O31" i="9"/>
  <c r="L154" i="9"/>
  <c r="C212" i="9"/>
  <c r="N174" i="9"/>
  <c r="F108" i="9"/>
  <c r="L69" i="9"/>
  <c r="C240" i="9"/>
  <c r="K238" i="9"/>
  <c r="G37" i="3"/>
  <c r="L43" i="9"/>
  <c r="N239" i="9"/>
  <c r="F270" i="9"/>
  <c r="H158" i="9"/>
  <c r="F154" i="9"/>
  <c r="H229" i="9"/>
  <c r="H181" i="9"/>
  <c r="C156" i="9"/>
  <c r="G62" i="3"/>
  <c r="L222" i="9"/>
  <c r="N165" i="9"/>
  <c r="F36" i="9"/>
  <c r="K61" i="3"/>
  <c r="K147" i="9"/>
  <c r="L106" i="9"/>
  <c r="C153" i="9"/>
  <c r="O36" i="9"/>
  <c r="L101" i="9"/>
  <c r="C66" i="9"/>
  <c r="H261" i="9"/>
  <c r="N236" i="9"/>
  <c r="L185" i="9"/>
  <c r="E232" i="9"/>
  <c r="K267" i="9"/>
  <c r="H179" i="9"/>
  <c r="L159" i="9"/>
  <c r="E221" i="9"/>
  <c r="O46" i="3"/>
  <c r="N46" i="9"/>
  <c r="O223" i="9"/>
  <c r="E260" i="9"/>
  <c r="I233" i="9"/>
  <c r="C150" i="9"/>
  <c r="E50" i="9"/>
  <c r="L202" i="9"/>
  <c r="C128" i="9"/>
  <c r="H240" i="9"/>
  <c r="C89" i="9"/>
  <c r="L235" i="9"/>
  <c r="N124" i="9"/>
  <c r="K217" i="9"/>
  <c r="I69" i="9"/>
  <c r="F269" i="9"/>
  <c r="K37" i="3"/>
  <c r="C195" i="9"/>
  <c r="O268" i="9"/>
  <c r="E185" i="9"/>
  <c r="N257" i="9"/>
  <c r="N121" i="9"/>
  <c r="O73" i="3"/>
  <c r="K138" i="9"/>
  <c r="L86" i="9"/>
  <c r="O49" i="3"/>
  <c r="K88" i="9"/>
  <c r="F219" i="9"/>
  <c r="C257" i="9"/>
  <c r="E261" i="9"/>
  <c r="F73" i="9"/>
  <c r="L38" i="9"/>
  <c r="E106" i="9"/>
  <c r="H184" i="9"/>
  <c r="K35" i="9"/>
  <c r="C81" i="9"/>
  <c r="E153" i="9"/>
  <c r="F177" i="9"/>
  <c r="K89" i="9"/>
  <c r="E31" i="9"/>
  <c r="O30" i="9"/>
  <c r="N201" i="9"/>
  <c r="F48" i="9"/>
  <c r="I258" i="9"/>
  <c r="O86" i="9"/>
  <c r="F255" i="9"/>
  <c r="K83" i="9"/>
  <c r="E100" i="9"/>
  <c r="I262" i="9"/>
  <c r="L141" i="9"/>
  <c r="E77" i="9"/>
  <c r="H203" i="9"/>
  <c r="H189" i="9"/>
  <c r="H101" i="9"/>
  <c r="E28" i="9"/>
  <c r="C231" i="9"/>
  <c r="C147" i="9"/>
  <c r="L160" i="9"/>
  <c r="E161" i="9"/>
  <c r="L143" i="9"/>
  <c r="E116" i="9"/>
  <c r="C274" i="9"/>
  <c r="H51" i="9"/>
  <c r="K259" i="9"/>
  <c r="O61" i="3"/>
  <c r="L99" i="9"/>
  <c r="H22" i="9"/>
  <c r="K43" i="9"/>
  <c r="F231" i="9"/>
  <c r="K30" i="9"/>
  <c r="K11" i="3"/>
  <c r="K67" i="9"/>
  <c r="L251" i="9"/>
  <c r="K195" i="9"/>
  <c r="F101" i="9"/>
  <c r="E273" i="9"/>
  <c r="I142" i="9"/>
  <c r="E251" i="9"/>
  <c r="F239" i="9"/>
  <c r="H185" i="9"/>
  <c r="N225" i="9"/>
  <c r="H166" i="9"/>
  <c r="O119" i="9"/>
  <c r="C166" i="9"/>
  <c r="I79" i="9"/>
  <c r="N32" i="9"/>
  <c r="N198" i="9"/>
  <c r="N45" i="9"/>
  <c r="N254" i="9"/>
  <c r="I107" i="9"/>
  <c r="O62" i="3"/>
  <c r="O98" i="9"/>
  <c r="G72" i="3"/>
  <c r="E140" i="9"/>
  <c r="G69" i="3"/>
  <c r="H232" i="9"/>
  <c r="H25" i="9"/>
  <c r="E222" i="9"/>
  <c r="H119" i="9"/>
  <c r="H123" i="9"/>
  <c r="F42" i="9"/>
  <c r="K146" i="9"/>
  <c r="I82" i="9"/>
  <c r="K154" i="9"/>
  <c r="O204" i="9"/>
  <c r="L105" i="9"/>
  <c r="O267" i="9"/>
  <c r="F200" i="9"/>
  <c r="N190" i="9"/>
  <c r="E76" i="9"/>
  <c r="O279" i="9"/>
  <c r="C180" i="9"/>
  <c r="O242" i="9"/>
  <c r="K87" i="9"/>
  <c r="O194" i="9"/>
  <c r="F156" i="9"/>
  <c r="F27" i="9"/>
  <c r="H252" i="9"/>
  <c r="F178" i="9"/>
  <c r="L118" i="9"/>
  <c r="I164" i="9"/>
  <c r="N81" i="9"/>
  <c r="N277" i="9"/>
  <c r="H258" i="9"/>
  <c r="H89" i="9"/>
  <c r="F45" i="9"/>
  <c r="L217" i="9"/>
  <c r="H178" i="9"/>
  <c r="K279" i="9"/>
  <c r="K179" i="9"/>
  <c r="I140" i="9"/>
  <c r="K65" i="9"/>
  <c r="E120" i="9"/>
  <c r="K174" i="9"/>
  <c r="H264" i="9"/>
  <c r="F47" i="9"/>
  <c r="C176" i="9"/>
  <c r="I251" i="9"/>
  <c r="H83" i="9"/>
  <c r="K263" i="9"/>
  <c r="C47" i="9"/>
  <c r="O32" i="9"/>
  <c r="E127" i="9"/>
  <c r="N267" i="9"/>
  <c r="E33" i="9"/>
  <c r="I116" i="9"/>
  <c r="K69" i="3"/>
  <c r="N188" i="9"/>
  <c r="L183" i="9"/>
  <c r="C254" i="9"/>
  <c r="L29" i="9"/>
  <c r="K48" i="3"/>
  <c r="H257" i="9"/>
  <c r="N117" i="9"/>
  <c r="E34" i="9"/>
  <c r="O116" i="9"/>
  <c r="I228" i="9"/>
  <c r="I197" i="9"/>
  <c r="K274" i="9"/>
  <c r="L258" i="9"/>
  <c r="N164" i="9"/>
  <c r="K176" i="9"/>
  <c r="I102" i="9"/>
  <c r="H276" i="9"/>
  <c r="K22" i="3"/>
  <c r="N50" i="9"/>
  <c r="N197" i="9"/>
  <c r="F276" i="9"/>
  <c r="H193" i="9"/>
  <c r="O47" i="9"/>
  <c r="O128" i="9"/>
  <c r="F240" i="9"/>
  <c r="N203" i="9"/>
  <c r="K231" i="9"/>
  <c r="I109" i="9"/>
  <c r="L138" i="9"/>
  <c r="L200" i="9"/>
  <c r="K216" i="9"/>
  <c r="E30" i="9"/>
  <c r="I178" i="9"/>
  <c r="L100" i="9"/>
  <c r="O33" i="9"/>
  <c r="I182" i="9"/>
  <c r="K44" i="9"/>
  <c r="F193" i="9"/>
  <c r="N219" i="9"/>
  <c r="I225" i="9"/>
  <c r="N83" i="9"/>
  <c r="H111" i="9"/>
  <c r="C63" i="9"/>
  <c r="N49" i="9"/>
  <c r="C155" i="9"/>
  <c r="I222" i="9"/>
  <c r="I147" i="9"/>
  <c r="E23" i="9"/>
  <c r="H242" i="9"/>
  <c r="K77" i="9"/>
  <c r="K36" i="9"/>
  <c r="O255" i="9"/>
  <c r="N79" i="9"/>
  <c r="F277" i="9"/>
  <c r="F189" i="9"/>
  <c r="K193" i="9"/>
  <c r="H152" i="9"/>
  <c r="C98" i="9"/>
  <c r="F128" i="9"/>
  <c r="H197" i="9"/>
  <c r="C145" i="9"/>
  <c r="H52" i="9"/>
  <c r="H278" i="9"/>
  <c r="E198" i="9"/>
  <c r="C213" i="9"/>
  <c r="L220" i="9"/>
  <c r="N232" i="9"/>
  <c r="I198" i="9"/>
  <c r="O270" i="9"/>
  <c r="H29" i="9"/>
  <c r="E139" i="9"/>
  <c r="I156" i="9"/>
  <c r="I30" i="9"/>
  <c r="N186" i="9"/>
  <c r="C232" i="9"/>
  <c r="E49" i="9"/>
  <c r="O212" i="9"/>
  <c r="H38" i="9"/>
  <c r="E236" i="9"/>
  <c r="L275" i="9"/>
  <c r="E40" i="9"/>
  <c r="L266" i="9"/>
  <c r="K56" i="3"/>
  <c r="E158" i="9"/>
  <c r="K137" i="9"/>
  <c r="L267" i="9"/>
  <c r="F61" i="9"/>
  <c r="C186" i="9"/>
  <c r="I234" i="9"/>
  <c r="H254" i="9"/>
  <c r="N250" i="9"/>
  <c r="O274" i="9"/>
  <c r="L194" i="9"/>
  <c r="H251" i="9"/>
  <c r="F194" i="9"/>
  <c r="K150" i="9"/>
  <c r="L78" i="9"/>
  <c r="L176" i="9"/>
  <c r="E144" i="9"/>
  <c r="C202" i="9"/>
  <c r="O111" i="9"/>
  <c r="K226" i="9"/>
  <c r="O193" i="9"/>
  <c r="L25" i="9"/>
  <c r="C187" i="9"/>
  <c r="I213" i="9"/>
  <c r="I227" i="9"/>
  <c r="K34" i="3"/>
  <c r="K24" i="3"/>
  <c r="E145" i="9"/>
  <c r="C50" i="9"/>
  <c r="O103" i="9"/>
  <c r="E104" i="9"/>
  <c r="H174" i="9"/>
  <c r="O58" i="3"/>
  <c r="O37" i="9"/>
  <c r="I68" i="9"/>
  <c r="C182" i="9"/>
  <c r="L181" i="9"/>
  <c r="I203" i="9"/>
  <c r="O33" i="3"/>
  <c r="L36" i="9"/>
  <c r="L179" i="9"/>
  <c r="H142" i="9"/>
  <c r="F181" i="9"/>
  <c r="G70" i="3"/>
  <c r="C279" i="9"/>
  <c r="C42" i="9"/>
  <c r="E67" i="9"/>
  <c r="I196" i="9"/>
  <c r="C250" i="9"/>
  <c r="L226" i="9"/>
  <c r="L62" i="9"/>
  <c r="K177" i="9"/>
  <c r="I88" i="9"/>
  <c r="O65" i="3"/>
  <c r="H219" i="9"/>
  <c r="L239" i="9"/>
  <c r="L113" i="9"/>
  <c r="C177" i="9"/>
  <c r="H217" i="9"/>
  <c r="K228" i="9"/>
  <c r="O104" i="9"/>
  <c r="N110" i="9"/>
  <c r="K157" i="9"/>
  <c r="H40" i="9"/>
  <c r="I200" i="9"/>
  <c r="C276" i="9"/>
  <c r="N156" i="9"/>
  <c r="C38" i="9"/>
  <c r="I121" i="9"/>
  <c r="O89" i="9"/>
  <c r="L84" i="9"/>
  <c r="K237" i="9"/>
  <c r="E201" i="9"/>
  <c r="K12" i="3"/>
  <c r="N25" i="9"/>
  <c r="K68" i="3"/>
  <c r="L252" i="9"/>
  <c r="E177" i="9"/>
  <c r="C238" i="9"/>
  <c r="L64" i="9"/>
  <c r="I75" i="9"/>
  <c r="L49" i="9"/>
  <c r="K60" i="9"/>
  <c r="L250" i="9"/>
  <c r="H86" i="9"/>
  <c r="L182" i="9"/>
  <c r="K164" i="9"/>
  <c r="E238" i="9"/>
  <c r="C77" i="9"/>
  <c r="O185" i="9"/>
  <c r="L191" i="9"/>
  <c r="C114" i="9"/>
  <c r="K28" i="9"/>
  <c r="H231" i="9"/>
  <c r="I45" i="9"/>
  <c r="F38" i="9"/>
  <c r="H277" i="9"/>
  <c r="L107" i="9"/>
  <c r="C32" i="9"/>
  <c r="C112" i="9"/>
  <c r="L234" i="9"/>
  <c r="N226" i="9"/>
  <c r="L158" i="9"/>
  <c r="L242" i="9"/>
  <c r="K273" i="9"/>
  <c r="K62" i="3"/>
  <c r="L50" i="9"/>
  <c r="N118" i="9"/>
  <c r="E124" i="9"/>
  <c r="I157" i="9"/>
  <c r="L153" i="9"/>
  <c r="N35" i="9"/>
  <c r="K222" i="9"/>
  <c r="N253" i="9"/>
  <c r="N196" i="9"/>
  <c r="K260" i="9"/>
  <c r="H105" i="9"/>
  <c r="I60" i="9"/>
  <c r="O235" i="9"/>
  <c r="K71" i="9"/>
  <c r="E111" i="9"/>
  <c r="F89" i="9"/>
  <c r="E103" i="9"/>
  <c r="H32" i="9"/>
  <c r="I181" i="9"/>
  <c r="C29" i="9"/>
  <c r="O271" i="9"/>
  <c r="I261" i="9"/>
  <c r="L241" i="9"/>
  <c r="E230" i="9"/>
  <c r="N43" i="9"/>
  <c r="O44" i="9"/>
  <c r="H77" i="9"/>
  <c r="K74" i="9"/>
  <c r="K72" i="3"/>
  <c r="N155" i="9"/>
  <c r="O68" i="9"/>
  <c r="K117" i="9"/>
  <c r="C105" i="9"/>
  <c r="E112" i="9"/>
  <c r="E71" i="9"/>
  <c r="O32" i="3"/>
  <c r="I223" i="9"/>
  <c r="O70" i="3"/>
  <c r="I42" i="9"/>
  <c r="L61" i="9"/>
  <c r="K125" i="9"/>
  <c r="N276" i="9"/>
  <c r="L163" i="9"/>
  <c r="E47" i="9"/>
  <c r="H182" i="9"/>
  <c r="H78" i="9"/>
  <c r="N263" i="9"/>
  <c r="C125" i="9"/>
  <c r="F252" i="9"/>
  <c r="F41" i="9"/>
  <c r="I39" i="9"/>
  <c r="L277" i="9"/>
  <c r="N275" i="9"/>
  <c r="G34" i="3"/>
  <c r="O117" i="9"/>
  <c r="F227" i="9"/>
  <c r="F237" i="9"/>
  <c r="L119" i="9"/>
  <c r="C235" i="9"/>
  <c r="C188" i="9"/>
  <c r="L37" i="9"/>
  <c r="F116" i="9"/>
  <c r="N51" i="9"/>
  <c r="I126" i="9"/>
  <c r="F30" i="9"/>
  <c r="C227" i="9"/>
  <c r="O233" i="9"/>
  <c r="K255" i="9"/>
  <c r="O136" i="9"/>
  <c r="O46" i="9"/>
  <c r="C225" i="9"/>
  <c r="C149" i="9"/>
  <c r="N255" i="9"/>
  <c r="F225" i="9"/>
  <c r="E174" i="9"/>
  <c r="F191" i="9"/>
  <c r="N48" i="9"/>
  <c r="E108" i="9"/>
  <c r="F223" i="9"/>
  <c r="E265" i="9"/>
  <c r="N212" i="9"/>
  <c r="C265" i="9"/>
  <c r="F127" i="9"/>
  <c r="H88" i="9"/>
  <c r="C144" i="9"/>
  <c r="K155" i="9"/>
  <c r="F179" i="9"/>
  <c r="K136" i="9"/>
  <c r="F98" i="9"/>
  <c r="I127" i="9"/>
  <c r="I180" i="9"/>
  <c r="O82" i="9"/>
  <c r="O160" i="9"/>
  <c r="F114" i="9"/>
  <c r="O102" i="9"/>
  <c r="H154" i="9"/>
  <c r="H224" i="9"/>
  <c r="H128" i="9"/>
  <c r="L40" i="9"/>
  <c r="K63" i="3"/>
  <c r="N122" i="9"/>
  <c r="L278" i="9"/>
  <c r="O164" i="9"/>
  <c r="I165" i="9"/>
  <c r="K41" i="9"/>
  <c r="K52" i="9"/>
  <c r="K128" i="9"/>
  <c r="K275" i="9"/>
  <c r="F175" i="9"/>
  <c r="O234" i="9"/>
  <c r="C28" i="9"/>
  <c r="N252" i="9"/>
  <c r="K214" i="9"/>
  <c r="O38" i="9"/>
  <c r="L175" i="9"/>
  <c r="H104" i="9"/>
  <c r="E253" i="9"/>
  <c r="H46" i="9"/>
  <c r="H71" i="9"/>
  <c r="F35" i="9"/>
  <c r="K232" i="9"/>
  <c r="I219" i="9"/>
  <c r="I232" i="9"/>
  <c r="N230" i="9"/>
  <c r="F162" i="9"/>
  <c r="I112" i="9"/>
  <c r="H36" i="9"/>
  <c r="N71" i="9"/>
  <c r="I224" i="9"/>
  <c r="H26" i="9"/>
  <c r="I271" i="9"/>
  <c r="C151" i="9"/>
  <c r="E80" i="9"/>
  <c r="K22" i="5"/>
  <c r="I256" i="9"/>
  <c r="K76" i="9"/>
  <c r="C229" i="9"/>
  <c r="G68" i="3"/>
  <c r="E46" i="9"/>
  <c r="E217" i="9"/>
  <c r="N199" i="9"/>
  <c r="K61" i="9"/>
  <c r="F65" i="9"/>
  <c r="L24" i="9"/>
  <c r="L196" i="9"/>
  <c r="H220" i="9"/>
  <c r="E268" i="9"/>
  <c r="H250" i="9"/>
  <c r="O272" i="9"/>
  <c r="I77" i="9"/>
  <c r="H275" i="9"/>
  <c r="L136" i="9"/>
  <c r="C65" i="9"/>
  <c r="L212" i="9"/>
  <c r="L256" i="9"/>
  <c r="I187" i="9"/>
  <c r="L162" i="9"/>
  <c r="F264" i="9"/>
  <c r="K256" i="9"/>
  <c r="E259" i="9"/>
  <c r="L164" i="9"/>
  <c r="G64" i="3"/>
  <c r="N187" i="9"/>
  <c r="O40" i="9"/>
  <c r="K81" i="9"/>
  <c r="E114" i="9"/>
  <c r="K119" i="9"/>
  <c r="I253" i="9"/>
  <c r="H138" i="9"/>
  <c r="L71" i="9"/>
  <c r="E165" i="9"/>
  <c r="O217" i="9"/>
  <c r="O224" i="9"/>
  <c r="C106" i="9"/>
  <c r="K185" i="9"/>
  <c r="E86" i="9"/>
  <c r="E240" i="9"/>
  <c r="N280" i="9"/>
  <c r="H113" i="9"/>
  <c r="I278" i="9"/>
  <c r="O60" i="9"/>
  <c r="I37" i="9"/>
  <c r="K15" i="3"/>
  <c r="I190" i="9"/>
  <c r="L263" i="9"/>
  <c r="I143" i="9"/>
  <c r="L232" i="9"/>
  <c r="N177" i="9"/>
  <c r="N218" i="9"/>
  <c r="K280" i="9"/>
  <c r="O201" i="9"/>
  <c r="C164" i="9"/>
  <c r="E231" i="9"/>
  <c r="I62" i="9"/>
  <c r="E213" i="9"/>
  <c r="K200" i="9"/>
  <c r="F69" i="9"/>
  <c r="L269" i="9"/>
  <c r="N102" i="9"/>
  <c r="K124" i="9"/>
  <c r="I71" i="9"/>
  <c r="C67" i="9"/>
  <c r="E89" i="9"/>
  <c r="L230" i="9"/>
  <c r="I267" i="9"/>
  <c r="F278" i="9"/>
  <c r="E266" i="9"/>
  <c r="K7" i="5"/>
  <c r="N63" i="9"/>
  <c r="N258" i="9"/>
  <c r="C74" i="9"/>
  <c r="H238" i="9"/>
  <c r="H73" i="9"/>
  <c r="C119" i="9"/>
  <c r="N104" i="9"/>
  <c r="K160" i="9"/>
  <c r="F242" i="9"/>
  <c r="H144" i="9"/>
  <c r="K242" i="9"/>
  <c r="O120" i="9"/>
  <c r="I113" i="9"/>
  <c r="K10" i="3"/>
  <c r="I230" i="9"/>
  <c r="O71" i="3"/>
  <c r="F212" i="9"/>
  <c r="H214" i="9"/>
  <c r="I273" i="9"/>
  <c r="O68" i="3"/>
  <c r="I174" i="9"/>
  <c r="O190" i="9"/>
  <c r="H41" i="9"/>
  <c r="N145" i="9"/>
  <c r="K181" i="9"/>
  <c r="O126" i="9"/>
  <c r="L155" i="9"/>
  <c r="O36" i="3"/>
  <c r="K10" i="5"/>
  <c r="K199" i="9"/>
  <c r="N279" i="9"/>
  <c r="K72" i="9"/>
  <c r="K223" i="9"/>
  <c r="E258" i="9"/>
  <c r="I81" i="9"/>
  <c r="C99" i="9"/>
  <c r="F199" i="9"/>
  <c r="F37" i="9"/>
  <c r="C84" i="9"/>
  <c r="L39" i="9"/>
  <c r="E149" i="9"/>
  <c r="F86" i="9"/>
  <c r="K15" i="5"/>
  <c r="H137" i="9"/>
  <c r="I99" i="9"/>
  <c r="O176" i="9"/>
  <c r="L272" i="9"/>
  <c r="E70" i="9"/>
  <c r="F28" i="9"/>
  <c r="F265" i="9"/>
  <c r="L178" i="9"/>
  <c r="C233" i="9"/>
  <c r="C185" i="9"/>
  <c r="I148" i="9"/>
  <c r="F80" i="9"/>
  <c r="F180" i="9"/>
  <c r="I265" i="9"/>
  <c r="K66" i="3"/>
  <c r="H43" i="9"/>
  <c r="C148" i="9"/>
  <c r="K107" i="9"/>
  <c r="C191" i="9"/>
  <c r="N229" i="9"/>
  <c r="O62" i="9"/>
  <c r="I152" i="9"/>
  <c r="E214" i="9"/>
  <c r="C103" i="9"/>
  <c r="H269" i="9"/>
  <c r="K29" i="9"/>
  <c r="I236" i="9"/>
  <c r="G45" i="3"/>
  <c r="H230" i="9"/>
  <c r="I33" i="9"/>
  <c r="H82" i="9"/>
  <c r="C76" i="9"/>
  <c r="I28" i="9"/>
  <c r="C236" i="9"/>
  <c r="I220" i="9"/>
  <c r="L216" i="9"/>
  <c r="H267" i="9"/>
  <c r="H150" i="9"/>
  <c r="F126" i="9"/>
  <c r="N73" i="9"/>
  <c r="E274" i="9"/>
  <c r="L268" i="9"/>
  <c r="C25" i="9"/>
  <c r="F110" i="9"/>
  <c r="K215" i="9"/>
  <c r="E202" i="9"/>
  <c r="O69" i="3"/>
  <c r="F115" i="9"/>
  <c r="C255" i="9"/>
  <c r="C111" i="9"/>
  <c r="I191" i="9"/>
  <c r="E81" i="9"/>
  <c r="H34" i="9"/>
  <c r="F100" i="9"/>
  <c r="O183" i="9"/>
  <c r="H280" i="9"/>
  <c r="O218" i="9"/>
  <c r="K90" i="9"/>
  <c r="E254" i="9"/>
  <c r="N220" i="9"/>
  <c r="C196" i="9"/>
  <c r="N77" i="9"/>
  <c r="I153" i="9"/>
  <c r="C34" i="9"/>
  <c r="C127" i="9"/>
  <c r="K37" i="9"/>
  <c r="C62" i="9"/>
  <c r="L41" i="9"/>
  <c r="K39" i="9"/>
  <c r="O165" i="9"/>
  <c r="H120" i="9"/>
  <c r="H112" i="9"/>
  <c r="N113" i="9"/>
  <c r="O174" i="9"/>
  <c r="L123" i="9"/>
  <c r="G57" i="3"/>
  <c r="N60" i="9"/>
  <c r="N242" i="9"/>
  <c r="K26" i="9"/>
  <c r="C44" i="9"/>
  <c r="G59" i="3"/>
  <c r="E163" i="9"/>
  <c r="E22" i="9"/>
  <c r="K241" i="9"/>
  <c r="F112" i="9"/>
  <c r="K39" i="3"/>
  <c r="L32" i="9"/>
  <c r="C163" i="9"/>
  <c r="O37" i="3"/>
  <c r="O51" i="9"/>
  <c r="K25" i="9"/>
  <c r="L195" i="9"/>
  <c r="N127" i="9"/>
  <c r="E252" i="9"/>
  <c r="L148" i="9"/>
  <c r="I202" i="9"/>
  <c r="F39" i="9"/>
  <c r="O196" i="9"/>
  <c r="L127" i="9"/>
  <c r="H65" i="9"/>
  <c r="L80" i="9"/>
  <c r="K272" i="9"/>
  <c r="E148" i="9"/>
  <c r="F23" i="9"/>
  <c r="K127" i="9"/>
  <c r="E64" i="9"/>
  <c r="F220" i="9"/>
  <c r="I74" i="9"/>
  <c r="N88" i="9"/>
  <c r="K100" i="9"/>
  <c r="C253" i="9"/>
  <c r="K188" i="9"/>
  <c r="E42" i="9"/>
  <c r="E280" i="9"/>
  <c r="K78" i="9"/>
  <c r="N99" i="9"/>
  <c r="I86" i="9"/>
  <c r="H263" i="9"/>
  <c r="L224" i="9"/>
  <c r="K59" i="3"/>
  <c r="I90" i="9"/>
  <c r="C43" i="9"/>
  <c r="O67" i="9"/>
  <c r="N278" i="9"/>
  <c r="H216" i="9"/>
  <c r="N74" i="9"/>
  <c r="N62" i="9"/>
  <c r="N108" i="9"/>
  <c r="C86" i="9"/>
  <c r="F87" i="9"/>
  <c r="O48" i="3"/>
  <c r="L121" i="9"/>
  <c r="F71" i="9"/>
  <c r="K196" i="9"/>
  <c r="N72" i="9"/>
  <c r="O90" i="9"/>
  <c r="I85" i="9"/>
  <c r="K42" i="3"/>
  <c r="N136" i="9"/>
  <c r="O124" i="9"/>
  <c r="H188" i="9"/>
  <c r="F160" i="9"/>
  <c r="H273" i="9"/>
  <c r="K67" i="3"/>
  <c r="I221" i="9"/>
  <c r="C193" i="9"/>
  <c r="L30" i="9"/>
  <c r="E78" i="9"/>
  <c r="F259" i="9"/>
  <c r="F85" i="9"/>
  <c r="H215" i="9"/>
  <c r="C201" i="9"/>
  <c r="I254" i="9"/>
  <c r="E235" i="9"/>
  <c r="F139" i="9"/>
  <c r="G66" i="3"/>
  <c r="I29" i="9"/>
  <c r="F238" i="9"/>
  <c r="O39" i="3"/>
  <c r="C273" i="9"/>
  <c r="I43" i="9"/>
  <c r="N128" i="9"/>
  <c r="I122" i="9"/>
  <c r="I138" i="9"/>
  <c r="H234" i="9"/>
  <c r="E68" i="9"/>
  <c r="O182" i="9"/>
  <c r="F29" i="9"/>
  <c r="C101" i="9"/>
  <c r="H127" i="9"/>
  <c r="K40" i="9"/>
  <c r="C60" i="9"/>
  <c r="C142" i="9"/>
  <c r="F124" i="9"/>
  <c r="N146" i="9"/>
  <c r="H47" i="9"/>
  <c r="F52" i="9"/>
  <c r="N193" i="9"/>
  <c r="O45" i="3"/>
  <c r="I114" i="9"/>
  <c r="L88" i="9"/>
  <c r="C109" i="9"/>
  <c r="G109" i="9" l="1"/>
  <c r="D109" i="9"/>
  <c r="J109" i="9"/>
  <c r="M109" i="9"/>
  <c r="P45" i="3"/>
  <c r="Q45" i="3"/>
  <c r="R45" i="3"/>
  <c r="D142" i="9"/>
  <c r="G142" i="9"/>
  <c r="M142" i="9"/>
  <c r="J142" i="9"/>
  <c r="D60" i="9"/>
  <c r="C92" i="9"/>
  <c r="G60" i="9"/>
  <c r="J60" i="9"/>
  <c r="M60" i="9"/>
  <c r="G101" i="9"/>
  <c r="M101" i="9"/>
  <c r="D101" i="9"/>
  <c r="J101" i="9"/>
  <c r="J273" i="9"/>
  <c r="G273" i="9"/>
  <c r="D273" i="9"/>
  <c r="M273" i="9"/>
  <c r="R39" i="3"/>
  <c r="Q39" i="3"/>
  <c r="P39" i="3"/>
  <c r="H66" i="3"/>
  <c r="I66" i="3"/>
  <c r="J66" i="3"/>
  <c r="G201" i="9"/>
  <c r="M201" i="9"/>
  <c r="J201" i="9"/>
  <c r="D201" i="9"/>
  <c r="J193" i="9"/>
  <c r="M193" i="9"/>
  <c r="D193" i="9"/>
  <c r="G193" i="9"/>
  <c r="M67" i="3"/>
  <c r="L67" i="3"/>
  <c r="N67" i="3"/>
  <c r="M42" i="3"/>
  <c r="L42" i="3"/>
  <c r="N42" i="3"/>
  <c r="R48" i="3"/>
  <c r="Q48" i="3"/>
  <c r="P48" i="3"/>
  <c r="M86" i="9"/>
  <c r="D86" i="9"/>
  <c r="J86" i="9"/>
  <c r="G86" i="9"/>
  <c r="D43" i="9"/>
  <c r="J43" i="9"/>
  <c r="M43" i="9"/>
  <c r="G43" i="9"/>
  <c r="M59" i="3"/>
  <c r="N59" i="3"/>
  <c r="L59" i="3"/>
  <c r="J253" i="9"/>
  <c r="D253" i="9"/>
  <c r="M253" i="9"/>
  <c r="G253" i="9"/>
  <c r="Q37" i="3"/>
  <c r="R37" i="3"/>
  <c r="P37" i="3"/>
  <c r="J163" i="9"/>
  <c r="D163" i="9"/>
  <c r="G163" i="9"/>
  <c r="M163" i="9"/>
  <c r="L39" i="3"/>
  <c r="M39" i="3"/>
  <c r="N39" i="3"/>
  <c r="J59" i="3"/>
  <c r="H59" i="3"/>
  <c r="I59" i="3"/>
  <c r="M44" i="9"/>
  <c r="G44" i="9"/>
  <c r="J44" i="9"/>
  <c r="D44" i="9"/>
  <c r="I57" i="3"/>
  <c r="J57" i="3"/>
  <c r="H57" i="3"/>
  <c r="O206" i="9"/>
  <c r="N206" i="9" s="1"/>
  <c r="M8" i="9" s="1"/>
  <c r="M62" i="9"/>
  <c r="J62" i="9"/>
  <c r="G62" i="9"/>
  <c r="D62" i="9"/>
  <c r="G127" i="9"/>
  <c r="D127" i="9"/>
  <c r="J127" i="9"/>
  <c r="M127" i="9"/>
  <c r="M34" i="9"/>
  <c r="J34" i="9"/>
  <c r="G34" i="9"/>
  <c r="D34" i="9"/>
  <c r="D196" i="9"/>
  <c r="J196" i="9"/>
  <c r="G196" i="9"/>
  <c r="M196" i="9"/>
  <c r="G111" i="9"/>
  <c r="D111" i="9"/>
  <c r="J111" i="9"/>
  <c r="M111" i="9"/>
  <c r="J255" i="9"/>
  <c r="D255" i="9"/>
  <c r="M255" i="9"/>
  <c r="G255" i="9"/>
  <c r="P69" i="3"/>
  <c r="R69" i="3"/>
  <c r="Q69" i="3"/>
  <c r="J25" i="9"/>
  <c r="G25" i="9"/>
  <c r="D25" i="9"/>
  <c r="M25" i="9"/>
  <c r="J236" i="9"/>
  <c r="D236" i="9"/>
  <c r="M236" i="9"/>
  <c r="G236" i="9"/>
  <c r="J76" i="9"/>
  <c r="M76" i="9"/>
  <c r="G76" i="9"/>
  <c r="D76" i="9"/>
  <c r="J45" i="3"/>
  <c r="H45" i="3"/>
  <c r="I45" i="3"/>
  <c r="M103" i="9"/>
  <c r="J103" i="9"/>
  <c r="D103" i="9"/>
  <c r="G103" i="9"/>
  <c r="J191" i="9"/>
  <c r="G191" i="9"/>
  <c r="M191" i="9"/>
  <c r="D191" i="9"/>
  <c r="M148" i="9"/>
  <c r="J148" i="9"/>
  <c r="D148" i="9"/>
  <c r="G148" i="9"/>
  <c r="M66" i="3"/>
  <c r="N66" i="3"/>
  <c r="L66" i="3"/>
  <c r="J185" i="9"/>
  <c r="M185" i="9"/>
  <c r="D185" i="9"/>
  <c r="G185" i="9"/>
  <c r="J233" i="9"/>
  <c r="M233" i="9"/>
  <c r="G233" i="9"/>
  <c r="D233" i="9"/>
  <c r="N15" i="5"/>
  <c r="M15" i="5"/>
  <c r="L15" i="5"/>
  <c r="D84" i="9"/>
  <c r="J84" i="9"/>
  <c r="G84" i="9"/>
  <c r="M84" i="9"/>
  <c r="D99" i="9"/>
  <c r="G99" i="9"/>
  <c r="M99" i="9"/>
  <c r="J99" i="9"/>
  <c r="M10" i="5"/>
  <c r="L10" i="5"/>
  <c r="N10" i="5"/>
  <c r="Q36" i="3"/>
  <c r="P36" i="3"/>
  <c r="R36" i="3"/>
  <c r="I206" i="9"/>
  <c r="H206" i="9" s="1"/>
  <c r="G8" i="9" s="1"/>
  <c r="Q68" i="3"/>
  <c r="P68" i="3"/>
  <c r="R68" i="3"/>
  <c r="F244" i="9"/>
  <c r="E244" i="9" s="1"/>
  <c r="D10" i="9" s="1"/>
  <c r="P71" i="3"/>
  <c r="Q71" i="3"/>
  <c r="R71" i="3"/>
  <c r="N10" i="3"/>
  <c r="M10" i="3"/>
  <c r="L10" i="3"/>
  <c r="D119" i="9"/>
  <c r="G119" i="9"/>
  <c r="M119" i="9"/>
  <c r="J119" i="9"/>
  <c r="M74" i="9"/>
  <c r="J74" i="9"/>
  <c r="D74" i="9"/>
  <c r="G74" i="9"/>
  <c r="N7" i="5"/>
  <c r="L7" i="5"/>
  <c r="M7" i="5"/>
  <c r="D67" i="9"/>
  <c r="G67" i="9"/>
  <c r="M67" i="9"/>
  <c r="J67" i="9"/>
  <c r="J164" i="9"/>
  <c r="G164" i="9"/>
  <c r="M164" i="9"/>
  <c r="D164" i="9"/>
  <c r="M15" i="3"/>
  <c r="N15" i="3"/>
  <c r="L15" i="3"/>
  <c r="O92" i="9"/>
  <c r="N92" i="9" s="1"/>
  <c r="M4" i="9" s="1"/>
  <c r="J106" i="9"/>
  <c r="D106" i="9"/>
  <c r="G106" i="9"/>
  <c r="M106" i="9"/>
  <c r="I64" i="3"/>
  <c r="H64" i="3"/>
  <c r="J64" i="3"/>
  <c r="L244" i="9"/>
  <c r="K244" i="9" s="1"/>
  <c r="J10" i="9" s="1"/>
  <c r="M65" i="9"/>
  <c r="J65" i="9"/>
  <c r="D65" i="9"/>
  <c r="G65" i="9"/>
  <c r="L168" i="9"/>
  <c r="K168" i="9" s="1"/>
  <c r="J12" i="9" s="1"/>
  <c r="J68" i="3"/>
  <c r="H68" i="3"/>
  <c r="I68" i="3"/>
  <c r="D229" i="9"/>
  <c r="M229" i="9"/>
  <c r="J229" i="9"/>
  <c r="G229" i="9"/>
  <c r="L22" i="5"/>
  <c r="N22" i="5"/>
  <c r="M22" i="5"/>
  <c r="M151" i="9"/>
  <c r="J151" i="9"/>
  <c r="D151" i="9"/>
  <c r="G151" i="9"/>
  <c r="D28" i="9"/>
  <c r="G28" i="9"/>
  <c r="M28" i="9"/>
  <c r="J28" i="9"/>
  <c r="M63" i="3"/>
  <c r="L63" i="3"/>
  <c r="N63" i="3"/>
  <c r="F130" i="9"/>
  <c r="E130" i="9" s="1"/>
  <c r="D6" i="9" s="1"/>
  <c r="J144" i="9"/>
  <c r="M144" i="9"/>
  <c r="G144" i="9"/>
  <c r="D144" i="9"/>
  <c r="D265" i="9"/>
  <c r="G265" i="9"/>
  <c r="M265" i="9"/>
  <c r="J265" i="9"/>
  <c r="J149" i="9"/>
  <c r="M149" i="9"/>
  <c r="G149" i="9"/>
  <c r="D149" i="9"/>
  <c r="D225" i="9"/>
  <c r="J225" i="9"/>
  <c r="M225" i="9"/>
  <c r="G225" i="9"/>
  <c r="O168" i="9"/>
  <c r="N168" i="9" s="1"/>
  <c r="M12" i="9" s="1"/>
  <c r="J227" i="9"/>
  <c r="M227" i="9"/>
  <c r="G227" i="9"/>
  <c r="D227" i="9"/>
  <c r="J188" i="9"/>
  <c r="D188" i="9"/>
  <c r="M188" i="9"/>
  <c r="G188" i="9"/>
  <c r="G235" i="9"/>
  <c r="D235" i="9"/>
  <c r="M235" i="9"/>
  <c r="J235" i="9"/>
  <c r="H34" i="3"/>
  <c r="I34" i="3"/>
  <c r="J34" i="3"/>
  <c r="J125" i="9"/>
  <c r="G125" i="9"/>
  <c r="D125" i="9"/>
  <c r="M125" i="9"/>
  <c r="R70" i="3"/>
  <c r="Q70" i="3"/>
  <c r="P70" i="3"/>
  <c r="R32" i="3"/>
  <c r="P32" i="3"/>
  <c r="Q32" i="3"/>
  <c r="J105" i="9"/>
  <c r="G105" i="9"/>
  <c r="D105" i="9"/>
  <c r="M105" i="9"/>
  <c r="M72" i="3"/>
  <c r="L72" i="3"/>
  <c r="N72" i="3"/>
  <c r="J29" i="9"/>
  <c r="D29" i="9"/>
  <c r="M29" i="9"/>
  <c r="G29" i="9"/>
  <c r="I92" i="9"/>
  <c r="H92" i="9" s="1"/>
  <c r="G4" i="9" s="1"/>
  <c r="N62" i="3"/>
  <c r="M62" i="3"/>
  <c r="L62" i="3"/>
  <c r="D112" i="9"/>
  <c r="G112" i="9"/>
  <c r="J112" i="9"/>
  <c r="M112" i="9"/>
  <c r="J32" i="9"/>
  <c r="M32" i="9"/>
  <c r="G32" i="9"/>
  <c r="D32" i="9"/>
  <c r="M114" i="9"/>
  <c r="G114" i="9"/>
  <c r="D114" i="9"/>
  <c r="J114" i="9"/>
  <c r="M77" i="9"/>
  <c r="G77" i="9"/>
  <c r="J77" i="9"/>
  <c r="D77" i="9"/>
  <c r="L282" i="9"/>
  <c r="K282" i="9" s="1"/>
  <c r="J14" i="9" s="1"/>
  <c r="M238" i="9"/>
  <c r="G238" i="9"/>
  <c r="D238" i="9"/>
  <c r="J238" i="9"/>
  <c r="N68" i="3"/>
  <c r="M68" i="3"/>
  <c r="L68" i="3"/>
  <c r="L12" i="3"/>
  <c r="N12" i="3"/>
  <c r="M12" i="3"/>
  <c r="D38" i="9"/>
  <c r="G38" i="9"/>
  <c r="J38" i="9"/>
  <c r="M38" i="9"/>
  <c r="D276" i="9"/>
  <c r="G276" i="9"/>
  <c r="J276" i="9"/>
  <c r="M276" i="9"/>
  <c r="J177" i="9"/>
  <c r="M177" i="9"/>
  <c r="D177" i="9"/>
  <c r="G177" i="9"/>
  <c r="R65" i="3"/>
  <c r="P65" i="3"/>
  <c r="Q65" i="3"/>
  <c r="J250" i="9"/>
  <c r="M250" i="9"/>
  <c r="D250" i="9"/>
  <c r="G250" i="9"/>
  <c r="C282" i="9"/>
  <c r="G42" i="9"/>
  <c r="M42" i="9"/>
  <c r="J42" i="9"/>
  <c r="D42" i="9"/>
  <c r="G279" i="9"/>
  <c r="J279" i="9"/>
  <c r="M279" i="9"/>
  <c r="D279" i="9"/>
  <c r="J70" i="3"/>
  <c r="H70" i="3"/>
  <c r="I70" i="3"/>
  <c r="Q33" i="3"/>
  <c r="R33" i="3"/>
  <c r="P33" i="3"/>
  <c r="G182" i="9"/>
  <c r="M182" i="9"/>
  <c r="J182" i="9"/>
  <c r="D182" i="9"/>
  <c r="P58" i="3"/>
  <c r="R58" i="3"/>
  <c r="Q58" i="3"/>
  <c r="J50" i="9"/>
  <c r="G50" i="9"/>
  <c r="D50" i="9"/>
  <c r="M50" i="9"/>
  <c r="M24" i="3"/>
  <c r="N24" i="3"/>
  <c r="L24" i="3"/>
  <c r="N34" i="3"/>
  <c r="L34" i="3"/>
  <c r="M34" i="3"/>
  <c r="D187" i="9"/>
  <c r="M187" i="9"/>
  <c r="J187" i="9"/>
  <c r="G187" i="9"/>
  <c r="G202" i="9"/>
  <c r="M202" i="9"/>
  <c r="D202" i="9"/>
  <c r="J202" i="9"/>
  <c r="D186" i="9"/>
  <c r="M186" i="9"/>
  <c r="J186" i="9"/>
  <c r="G186" i="9"/>
  <c r="M56" i="3"/>
  <c r="N56" i="3"/>
  <c r="L56" i="3"/>
  <c r="O244" i="9"/>
  <c r="N244" i="9" s="1"/>
  <c r="M10" i="9" s="1"/>
  <c r="G232" i="9"/>
  <c r="D232" i="9"/>
  <c r="M232" i="9"/>
  <c r="J232" i="9"/>
  <c r="G213" i="9"/>
  <c r="D213" i="9"/>
  <c r="M213" i="9"/>
  <c r="J213" i="9"/>
  <c r="M145" i="9"/>
  <c r="J145" i="9"/>
  <c r="G145" i="9"/>
  <c r="D145" i="9"/>
  <c r="C130" i="9"/>
  <c r="J98" i="9"/>
  <c r="G98" i="9"/>
  <c r="M98" i="9"/>
  <c r="D98" i="9"/>
  <c r="J155" i="9"/>
  <c r="M155" i="9"/>
  <c r="G155" i="9"/>
  <c r="D155" i="9"/>
  <c r="J63" i="9"/>
  <c r="M63" i="9"/>
  <c r="D63" i="9"/>
  <c r="G63" i="9"/>
  <c r="M22" i="3"/>
  <c r="L22" i="3"/>
  <c r="N22" i="3"/>
  <c r="L48" i="3"/>
  <c r="N48" i="3"/>
  <c r="M48" i="3"/>
  <c r="G254" i="9"/>
  <c r="M254" i="9"/>
  <c r="J254" i="9"/>
  <c r="D254" i="9"/>
  <c r="M69" i="3"/>
  <c r="L69" i="3"/>
  <c r="N69" i="3"/>
  <c r="J47" i="9"/>
  <c r="G47" i="9"/>
  <c r="D47" i="9"/>
  <c r="M47" i="9"/>
  <c r="D176" i="9"/>
  <c r="M176" i="9"/>
  <c r="J176" i="9"/>
  <c r="G176" i="9"/>
  <c r="G180" i="9"/>
  <c r="M180" i="9"/>
  <c r="D180" i="9"/>
  <c r="J180" i="9"/>
  <c r="J69" i="3"/>
  <c r="I69" i="3"/>
  <c r="H69" i="3"/>
  <c r="H72" i="3"/>
  <c r="J72" i="3"/>
  <c r="I72" i="3"/>
  <c r="O130" i="9"/>
  <c r="N130" i="9" s="1"/>
  <c r="M6" i="9" s="1"/>
  <c r="P62" i="3"/>
  <c r="R62" i="3"/>
  <c r="Q62" i="3"/>
  <c r="G166" i="9"/>
  <c r="D166" i="9"/>
  <c r="J166" i="9"/>
  <c r="M166" i="9"/>
  <c r="L11" i="3"/>
  <c r="M11" i="3"/>
  <c r="N11" i="3"/>
  <c r="R61" i="3"/>
  <c r="Q61" i="3"/>
  <c r="P61" i="3"/>
  <c r="D274" i="9"/>
  <c r="M274" i="9"/>
  <c r="J274" i="9"/>
  <c r="G274" i="9"/>
  <c r="D147" i="9"/>
  <c r="G147" i="9"/>
  <c r="J147" i="9"/>
  <c r="M147" i="9"/>
  <c r="D231" i="9"/>
  <c r="J231" i="9"/>
  <c r="M231" i="9"/>
  <c r="G231" i="9"/>
  <c r="G81" i="9"/>
  <c r="J81" i="9"/>
  <c r="M81" i="9"/>
  <c r="D81" i="9"/>
  <c r="M257" i="9"/>
  <c r="D257" i="9"/>
  <c r="G257" i="9"/>
  <c r="J257" i="9"/>
  <c r="R49" i="3"/>
  <c r="Q49" i="3"/>
  <c r="P49" i="3"/>
  <c r="Q73" i="3"/>
  <c r="R73" i="3"/>
  <c r="P73" i="3"/>
  <c r="G195" i="9"/>
  <c r="M195" i="9"/>
  <c r="D195" i="9"/>
  <c r="J195" i="9"/>
  <c r="L37" i="3"/>
  <c r="N37" i="3"/>
  <c r="M37" i="3"/>
  <c r="J89" i="9"/>
  <c r="G89" i="9"/>
  <c r="M89" i="9"/>
  <c r="D89" i="9"/>
  <c r="J128" i="9"/>
  <c r="D128" i="9"/>
  <c r="G128" i="9"/>
  <c r="M128" i="9"/>
  <c r="G150" i="9"/>
  <c r="J150" i="9"/>
  <c r="D150" i="9"/>
  <c r="M150" i="9"/>
  <c r="Q46" i="3"/>
  <c r="R46" i="3"/>
  <c r="P46" i="3"/>
  <c r="J66" i="9"/>
  <c r="G66" i="9"/>
  <c r="D66" i="9"/>
  <c r="M66" i="9"/>
  <c r="M153" i="9"/>
  <c r="G153" i="9"/>
  <c r="J153" i="9"/>
  <c r="D153" i="9"/>
  <c r="L61" i="3"/>
  <c r="N61" i="3"/>
  <c r="M61" i="3"/>
  <c r="J62" i="3"/>
  <c r="H62" i="3"/>
  <c r="I62" i="3"/>
  <c r="G156" i="9"/>
  <c r="M156" i="9"/>
  <c r="J156" i="9"/>
  <c r="D156" i="9"/>
  <c r="H37" i="3"/>
  <c r="I37" i="3"/>
  <c r="J37" i="3"/>
  <c r="D240" i="9"/>
  <c r="M240" i="9"/>
  <c r="J240" i="9"/>
  <c r="G240" i="9"/>
  <c r="J212" i="9"/>
  <c r="D212" i="9"/>
  <c r="M212" i="9"/>
  <c r="C244" i="9"/>
  <c r="G212" i="9"/>
  <c r="G217" i="9"/>
  <c r="D217" i="9"/>
  <c r="M217" i="9"/>
  <c r="J217" i="9"/>
  <c r="L71" i="3"/>
  <c r="M71" i="3"/>
  <c r="N71" i="3"/>
  <c r="J39" i="3"/>
  <c r="H39" i="3"/>
  <c r="I39" i="3"/>
  <c r="I42" i="3"/>
  <c r="H42" i="3"/>
  <c r="J42" i="3"/>
  <c r="J267" i="9"/>
  <c r="D267" i="9"/>
  <c r="M267" i="9"/>
  <c r="G267" i="9"/>
  <c r="D70" i="9"/>
  <c r="M70" i="9"/>
  <c r="J70" i="9"/>
  <c r="G70" i="9"/>
  <c r="J102" i="9"/>
  <c r="D102" i="9"/>
  <c r="G102" i="9"/>
  <c r="M102" i="9"/>
  <c r="L75" i="3"/>
  <c r="N75" i="3"/>
  <c r="M75" i="3"/>
  <c r="I130" i="9"/>
  <c r="H130" i="9" s="1"/>
  <c r="G6" i="9" s="1"/>
  <c r="F54" i="9"/>
  <c r="M16" i="3"/>
  <c r="L16" i="3"/>
  <c r="N16" i="3"/>
  <c r="M108" i="9"/>
  <c r="D108" i="9"/>
  <c r="J108" i="9"/>
  <c r="G108" i="9"/>
  <c r="D78" i="9"/>
  <c r="M78" i="9"/>
  <c r="G78" i="9"/>
  <c r="J78" i="9"/>
  <c r="J46" i="9"/>
  <c r="M46" i="9"/>
  <c r="G46" i="9"/>
  <c r="D46" i="9"/>
  <c r="D158" i="9"/>
  <c r="G158" i="9"/>
  <c r="M158" i="9"/>
  <c r="J158" i="9"/>
  <c r="J146" i="9"/>
  <c r="M146" i="9"/>
  <c r="D146" i="9"/>
  <c r="G146" i="9"/>
  <c r="M260" i="9"/>
  <c r="D260" i="9"/>
  <c r="J260" i="9"/>
  <c r="G260" i="9"/>
  <c r="D256" i="9"/>
  <c r="M256" i="9"/>
  <c r="J256" i="9"/>
  <c r="G256" i="9"/>
  <c r="L54" i="9"/>
  <c r="K54" i="9" s="1"/>
  <c r="J16" i="9" s="1"/>
  <c r="M258" i="9"/>
  <c r="G258" i="9"/>
  <c r="D258" i="9"/>
  <c r="J258" i="9"/>
  <c r="L13" i="5"/>
  <c r="M13" i="5"/>
  <c r="N13" i="5"/>
  <c r="P44" i="3"/>
  <c r="R44" i="3"/>
  <c r="Q44" i="3"/>
  <c r="N19" i="3"/>
  <c r="L19" i="3"/>
  <c r="M19" i="3"/>
  <c r="P34" i="3"/>
  <c r="R34" i="3"/>
  <c r="Q34" i="3"/>
  <c r="G33" i="9"/>
  <c r="M33" i="9"/>
  <c r="D33" i="9"/>
  <c r="J33" i="9"/>
  <c r="D165" i="9"/>
  <c r="M165" i="9"/>
  <c r="J165" i="9"/>
  <c r="G165" i="9"/>
  <c r="Q42" i="3"/>
  <c r="P42" i="3"/>
  <c r="R42" i="3"/>
  <c r="G117" i="9"/>
  <c r="J117" i="9"/>
  <c r="M117" i="9"/>
  <c r="D117" i="9"/>
  <c r="D218" i="9"/>
  <c r="G218" i="9"/>
  <c r="J218" i="9"/>
  <c r="M218" i="9"/>
  <c r="H63" i="3"/>
  <c r="I63" i="3"/>
  <c r="J63" i="3"/>
  <c r="R38" i="3"/>
  <c r="P38" i="3"/>
  <c r="Q38" i="3"/>
  <c r="C206" i="9"/>
  <c r="D174" i="9"/>
  <c r="J174" i="9"/>
  <c r="M174" i="9"/>
  <c r="G174" i="9"/>
  <c r="L92" i="9"/>
  <c r="K92" i="9" s="1"/>
  <c r="J4" i="9" s="1"/>
  <c r="D154" i="9"/>
  <c r="M154" i="9"/>
  <c r="J154" i="9"/>
  <c r="G154" i="9"/>
  <c r="D161" i="9"/>
  <c r="G161" i="9"/>
  <c r="J161" i="9"/>
  <c r="M161" i="9"/>
  <c r="M69" i="9"/>
  <c r="D69" i="9"/>
  <c r="G69" i="9"/>
  <c r="J69" i="9"/>
  <c r="I67" i="3"/>
  <c r="H67" i="3"/>
  <c r="J67" i="3"/>
  <c r="M14" i="5"/>
  <c r="N14" i="5"/>
  <c r="L14" i="5"/>
  <c r="M30" i="9"/>
  <c r="G30" i="9"/>
  <c r="D30" i="9"/>
  <c r="J30" i="9"/>
  <c r="M65" i="3"/>
  <c r="N65" i="3"/>
  <c r="L65" i="3"/>
  <c r="Q67" i="3"/>
  <c r="P67" i="3"/>
  <c r="R67" i="3"/>
  <c r="G143" i="9"/>
  <c r="D143" i="9"/>
  <c r="M143" i="9"/>
  <c r="J143" i="9"/>
  <c r="M45" i="3"/>
  <c r="L45" i="3"/>
  <c r="N45" i="3"/>
  <c r="J26" i="9"/>
  <c r="M26" i="9"/>
  <c r="D26" i="9"/>
  <c r="G26" i="9"/>
  <c r="G31" i="9"/>
  <c r="D31" i="9"/>
  <c r="J31" i="9"/>
  <c r="M31" i="9"/>
  <c r="G40" i="9"/>
  <c r="M40" i="9"/>
  <c r="D40" i="9"/>
  <c r="J40" i="9"/>
  <c r="M263" i="9"/>
  <c r="J263" i="9"/>
  <c r="G263" i="9"/>
  <c r="D263" i="9"/>
  <c r="I65" i="3"/>
  <c r="J65" i="3"/>
  <c r="H65" i="3"/>
  <c r="G215" i="9"/>
  <c r="M215" i="9"/>
  <c r="D215" i="9"/>
  <c r="J215" i="9"/>
  <c r="H44" i="3"/>
  <c r="J44" i="3"/>
  <c r="I44" i="3"/>
  <c r="R35" i="3"/>
  <c r="Q35" i="3"/>
  <c r="P35" i="3"/>
  <c r="N25" i="3"/>
  <c r="M25" i="3"/>
  <c r="L25" i="3"/>
  <c r="M262" i="9"/>
  <c r="D262" i="9"/>
  <c r="G262" i="9"/>
  <c r="J262" i="9"/>
  <c r="J41" i="3"/>
  <c r="H41" i="3"/>
  <c r="I41" i="3"/>
  <c r="O54" i="9"/>
  <c r="N54" i="9" s="1"/>
  <c r="M16" i="9" s="1"/>
  <c r="N49" i="3"/>
  <c r="L49" i="3"/>
  <c r="M49" i="3"/>
  <c r="G118" i="9"/>
  <c r="J118" i="9"/>
  <c r="D118" i="9"/>
  <c r="M118" i="9"/>
  <c r="J152" i="9"/>
  <c r="M152" i="9"/>
  <c r="G152" i="9"/>
  <c r="D152" i="9"/>
  <c r="I61" i="3"/>
  <c r="H61" i="3"/>
  <c r="J61" i="3"/>
  <c r="M18" i="5"/>
  <c r="N18" i="5"/>
  <c r="L18" i="5"/>
  <c r="D241" i="9"/>
  <c r="G241" i="9"/>
  <c r="M241" i="9"/>
  <c r="J241" i="9"/>
  <c r="D39" i="9"/>
  <c r="J39" i="9"/>
  <c r="G39" i="9"/>
  <c r="M39" i="9"/>
  <c r="N17" i="3"/>
  <c r="L17" i="3"/>
  <c r="M17" i="3"/>
  <c r="M27" i="9"/>
  <c r="D27" i="9"/>
  <c r="G27" i="9"/>
  <c r="J27" i="9"/>
  <c r="D138" i="9"/>
  <c r="M138" i="9"/>
  <c r="G138" i="9"/>
  <c r="J138" i="9"/>
  <c r="J48" i="9"/>
  <c r="M48" i="9"/>
  <c r="G48" i="9"/>
  <c r="D48" i="9"/>
  <c r="R41" i="3"/>
  <c r="Q41" i="3"/>
  <c r="P41" i="3"/>
  <c r="G184" i="9"/>
  <c r="M184" i="9"/>
  <c r="J184" i="9"/>
  <c r="D184" i="9"/>
  <c r="G160" i="9"/>
  <c r="M160" i="9"/>
  <c r="D160" i="9"/>
  <c r="J160" i="9"/>
  <c r="J223" i="9"/>
  <c r="M223" i="9"/>
  <c r="D223" i="9"/>
  <c r="G223" i="9"/>
  <c r="D159" i="9"/>
  <c r="G159" i="9"/>
  <c r="J159" i="9"/>
  <c r="M159" i="9"/>
  <c r="M110" i="9"/>
  <c r="D110" i="9"/>
  <c r="G110" i="9"/>
  <c r="J110" i="9"/>
  <c r="H43" i="3"/>
  <c r="I43" i="3"/>
  <c r="J43" i="3"/>
  <c r="H49" i="3"/>
  <c r="I49" i="3"/>
  <c r="J49" i="3"/>
  <c r="J47" i="3"/>
  <c r="H47" i="3"/>
  <c r="I47" i="3"/>
  <c r="G83" i="9"/>
  <c r="J83" i="9"/>
  <c r="M83" i="9"/>
  <c r="D83" i="9"/>
  <c r="N20" i="5"/>
  <c r="L20" i="5"/>
  <c r="M20" i="5"/>
  <c r="P40" i="3"/>
  <c r="Q40" i="3"/>
  <c r="R40" i="3"/>
  <c r="M9" i="3"/>
  <c r="N9" i="3"/>
  <c r="L9" i="3"/>
  <c r="I32" i="3"/>
  <c r="J32" i="3"/>
  <c r="H32" i="3"/>
  <c r="M230" i="9"/>
  <c r="D230" i="9"/>
  <c r="G230" i="9"/>
  <c r="J230" i="9"/>
  <c r="M16" i="5"/>
  <c r="L16" i="5"/>
  <c r="N16" i="5"/>
  <c r="L130" i="9"/>
  <c r="K130" i="9" s="1"/>
  <c r="J6" i="9" s="1"/>
  <c r="N32" i="3"/>
  <c r="L32" i="3"/>
  <c r="M32" i="3"/>
  <c r="M44" i="3"/>
  <c r="N44" i="3"/>
  <c r="L44" i="3"/>
  <c r="M21" i="3"/>
  <c r="N21" i="3"/>
  <c r="L21" i="3"/>
  <c r="H31" i="3"/>
  <c r="J31" i="3"/>
  <c r="I31" i="3"/>
  <c r="N47" i="3"/>
  <c r="L47" i="3"/>
  <c r="M47" i="3"/>
  <c r="O282" i="9"/>
  <c r="N282" i="9" s="1"/>
  <c r="M14" i="9" s="1"/>
  <c r="M139" i="9"/>
  <c r="G139" i="9"/>
  <c r="D139" i="9"/>
  <c r="J139" i="9"/>
  <c r="P31" i="3"/>
  <c r="Q31" i="3"/>
  <c r="R31" i="3"/>
  <c r="D116" i="9"/>
  <c r="J116" i="9"/>
  <c r="G116" i="9"/>
  <c r="M116" i="9"/>
  <c r="H60" i="3"/>
  <c r="J60" i="3"/>
  <c r="I60" i="3"/>
  <c r="D73" i="9"/>
  <c r="G73" i="9"/>
  <c r="J73" i="9"/>
  <c r="M73" i="9"/>
  <c r="I282" i="9"/>
  <c r="H282" i="9" s="1"/>
  <c r="G14" i="9" s="1"/>
  <c r="D51" i="9"/>
  <c r="J51" i="9"/>
  <c r="G51" i="9"/>
  <c r="M51" i="9"/>
  <c r="G272" i="9"/>
  <c r="D272" i="9"/>
  <c r="J272" i="9"/>
  <c r="M272" i="9"/>
  <c r="D216" i="9"/>
  <c r="M216" i="9"/>
  <c r="J216" i="9"/>
  <c r="G216" i="9"/>
  <c r="J33" i="3"/>
  <c r="I33" i="3"/>
  <c r="H33" i="3"/>
  <c r="G79" i="9"/>
  <c r="D79" i="9"/>
  <c r="J79" i="9"/>
  <c r="M79" i="9"/>
  <c r="R66" i="3"/>
  <c r="P66" i="3"/>
  <c r="Q66" i="3"/>
  <c r="F206" i="9"/>
  <c r="E206" i="9" s="1"/>
  <c r="D8" i="9" s="1"/>
  <c r="N12" i="5"/>
  <c r="M12" i="5"/>
  <c r="L12" i="5"/>
  <c r="L31" i="3"/>
  <c r="N31" i="3"/>
  <c r="M31" i="3"/>
  <c r="G280" i="9"/>
  <c r="D280" i="9"/>
  <c r="J280" i="9"/>
  <c r="M280" i="9"/>
  <c r="M36" i="3"/>
  <c r="N36" i="3"/>
  <c r="L36" i="3"/>
  <c r="M82" i="9"/>
  <c r="J82" i="9"/>
  <c r="G82" i="9"/>
  <c r="D82" i="9"/>
  <c r="D120" i="9"/>
  <c r="M120" i="9"/>
  <c r="J120" i="9"/>
  <c r="G120" i="9"/>
  <c r="D71" i="9"/>
  <c r="G71" i="9"/>
  <c r="J71" i="9"/>
  <c r="M71" i="9"/>
  <c r="N60" i="3"/>
  <c r="M60" i="3"/>
  <c r="L60" i="3"/>
  <c r="I50" i="3"/>
  <c r="J50" i="3"/>
  <c r="H50" i="3"/>
  <c r="M251" i="9"/>
  <c r="D251" i="9"/>
  <c r="J251" i="9"/>
  <c r="G251" i="9"/>
  <c r="G85" i="9"/>
  <c r="M85" i="9"/>
  <c r="J85" i="9"/>
  <c r="D85" i="9"/>
  <c r="F168" i="9"/>
  <c r="E168" i="9" s="1"/>
  <c r="D12" i="9" s="1"/>
  <c r="J234" i="9"/>
  <c r="D234" i="9"/>
  <c r="G234" i="9"/>
  <c r="M234" i="9"/>
  <c r="P43" i="3"/>
  <c r="Q43" i="3"/>
  <c r="R43" i="3"/>
  <c r="M7" i="3"/>
  <c r="N7" i="3"/>
  <c r="L7" i="3"/>
  <c r="D190" i="9"/>
  <c r="M190" i="9"/>
  <c r="J190" i="9"/>
  <c r="G190" i="9"/>
  <c r="J224" i="9"/>
  <c r="G224" i="9"/>
  <c r="M224" i="9"/>
  <c r="D224" i="9"/>
  <c r="L74" i="3"/>
  <c r="M74" i="3"/>
  <c r="N74" i="3"/>
  <c r="M23" i="5"/>
  <c r="N23" i="5"/>
  <c r="L23" i="5"/>
  <c r="M87" i="9"/>
  <c r="G87" i="9"/>
  <c r="D87" i="9"/>
  <c r="J87" i="9"/>
  <c r="M33" i="3"/>
  <c r="N33" i="3"/>
  <c r="L33" i="3"/>
  <c r="Q47" i="3"/>
  <c r="P47" i="3"/>
  <c r="R47" i="3"/>
  <c r="J261" i="9"/>
  <c r="D261" i="9"/>
  <c r="M261" i="9"/>
  <c r="G261" i="9"/>
  <c r="L17" i="5"/>
  <c r="M17" i="5"/>
  <c r="N17" i="5"/>
  <c r="M43" i="3"/>
  <c r="L43" i="3"/>
  <c r="N43" i="3"/>
  <c r="N6" i="5"/>
  <c r="M6" i="5"/>
  <c r="L6" i="5"/>
  <c r="M222" i="9"/>
  <c r="J222" i="9"/>
  <c r="G222" i="9"/>
  <c r="D222" i="9"/>
  <c r="G137" i="9"/>
  <c r="J137" i="9"/>
  <c r="D137" i="9"/>
  <c r="M137" i="9"/>
  <c r="M183" i="9"/>
  <c r="G183" i="9"/>
  <c r="J183" i="9"/>
  <c r="D183" i="9"/>
  <c r="C54" i="9"/>
  <c r="J22" i="9"/>
  <c r="D22" i="9"/>
  <c r="G22" i="9"/>
  <c r="M22" i="9"/>
  <c r="J37" i="9"/>
  <c r="D37" i="9"/>
  <c r="M37" i="9"/>
  <c r="G37" i="9"/>
  <c r="M41" i="9"/>
  <c r="J41" i="9"/>
  <c r="G41" i="9"/>
  <c r="D41" i="9"/>
  <c r="L73" i="3"/>
  <c r="N73" i="3"/>
  <c r="M73" i="3"/>
  <c r="I58" i="3"/>
  <c r="J58" i="3"/>
  <c r="H58" i="3"/>
  <c r="J68" i="9"/>
  <c r="G68" i="9"/>
  <c r="M68" i="9"/>
  <c r="D68" i="9"/>
  <c r="J239" i="9"/>
  <c r="G239" i="9"/>
  <c r="M239" i="9"/>
  <c r="D239" i="9"/>
  <c r="I54" i="9"/>
  <c r="H54" i="9" s="1"/>
  <c r="G16" i="9" s="1"/>
  <c r="G214" i="9"/>
  <c r="D214" i="9"/>
  <c r="J214" i="9"/>
  <c r="M214" i="9"/>
  <c r="G80" i="9"/>
  <c r="D80" i="9"/>
  <c r="M80" i="9"/>
  <c r="J80" i="9"/>
  <c r="P50" i="3"/>
  <c r="R50" i="3"/>
  <c r="Q50" i="3"/>
  <c r="D124" i="9"/>
  <c r="J124" i="9"/>
  <c r="M124" i="9"/>
  <c r="G124" i="9"/>
  <c r="L8" i="5"/>
  <c r="N8" i="5"/>
  <c r="M8" i="5"/>
  <c r="N35" i="3"/>
  <c r="L35" i="3"/>
  <c r="M35" i="3"/>
  <c r="J204" i="9"/>
  <c r="M204" i="9"/>
  <c r="D204" i="9"/>
  <c r="G204" i="9"/>
  <c r="L206" i="9"/>
  <c r="K206" i="9" s="1"/>
  <c r="J8" i="9" s="1"/>
  <c r="M64" i="3"/>
  <c r="N64" i="3"/>
  <c r="L64" i="3"/>
  <c r="J126" i="9"/>
  <c r="G126" i="9"/>
  <c r="D126" i="9"/>
  <c r="M126" i="9"/>
  <c r="M123" i="9"/>
  <c r="G123" i="9"/>
  <c r="J123" i="9"/>
  <c r="D123" i="9"/>
  <c r="L19" i="5"/>
  <c r="N19" i="5"/>
  <c r="M19" i="5"/>
  <c r="D277" i="9"/>
  <c r="J277" i="9"/>
  <c r="M277" i="9"/>
  <c r="G277" i="9"/>
  <c r="H38" i="3"/>
  <c r="J38" i="3"/>
  <c r="I38" i="3"/>
  <c r="J72" i="9"/>
  <c r="D72" i="9"/>
  <c r="G72" i="9"/>
  <c r="M72" i="9"/>
  <c r="M178" i="9"/>
  <c r="G178" i="9"/>
  <c r="J178" i="9"/>
  <c r="D178" i="9"/>
  <c r="D140" i="9"/>
  <c r="J140" i="9"/>
  <c r="M140" i="9"/>
  <c r="G140" i="9"/>
  <c r="D100" i="9"/>
  <c r="G100" i="9"/>
  <c r="J100" i="9"/>
  <c r="M100" i="9"/>
  <c r="M70" i="3"/>
  <c r="N70" i="3"/>
  <c r="L70" i="3"/>
  <c r="F282" i="9"/>
  <c r="E282" i="9" s="1"/>
  <c r="D14" i="9" s="1"/>
  <c r="G64" i="9"/>
  <c r="D64" i="9"/>
  <c r="M64" i="9"/>
  <c r="J64" i="9"/>
  <c r="F92" i="9"/>
  <c r="E92" i="9" s="1"/>
  <c r="D4" i="9" s="1"/>
  <c r="M107" i="9"/>
  <c r="J107" i="9"/>
  <c r="D107" i="9"/>
  <c r="G107" i="9"/>
  <c r="M75" i="9"/>
  <c r="G75" i="9"/>
  <c r="J75" i="9"/>
  <c r="D75" i="9"/>
  <c r="J270" i="9"/>
  <c r="M270" i="9"/>
  <c r="G270" i="9"/>
  <c r="D270" i="9"/>
  <c r="M50" i="3"/>
  <c r="N50" i="3"/>
  <c r="L50" i="3"/>
  <c r="I40" i="3"/>
  <c r="H40" i="3"/>
  <c r="J40" i="3"/>
  <c r="M197" i="9"/>
  <c r="D197" i="9"/>
  <c r="J197" i="9"/>
  <c r="G197" i="9"/>
  <c r="G242" i="9"/>
  <c r="D242" i="9"/>
  <c r="J242" i="9"/>
  <c r="M242" i="9"/>
  <c r="I75" i="3"/>
  <c r="H75" i="3"/>
  <c r="J75" i="3"/>
  <c r="G203" i="9"/>
  <c r="J203" i="9"/>
  <c r="M203" i="9"/>
  <c r="D203" i="9"/>
  <c r="G175" i="9"/>
  <c r="D175" i="9"/>
  <c r="M175" i="9"/>
  <c r="J175" i="9"/>
  <c r="D228" i="9"/>
  <c r="M228" i="9"/>
  <c r="G228" i="9"/>
  <c r="J228" i="9"/>
  <c r="N14" i="3"/>
  <c r="M14" i="3"/>
  <c r="L14" i="3"/>
  <c r="D90" i="9"/>
  <c r="J90" i="9"/>
  <c r="G90" i="9"/>
  <c r="M90" i="9"/>
  <c r="G237" i="9"/>
  <c r="D237" i="9"/>
  <c r="J237" i="9"/>
  <c r="M237" i="9"/>
  <c r="P75" i="3"/>
  <c r="R75" i="3"/>
  <c r="Q75" i="3"/>
  <c r="M41" i="3"/>
  <c r="N41" i="3"/>
  <c r="L41" i="3"/>
  <c r="L24" i="5"/>
  <c r="M24" i="5"/>
  <c r="N24" i="5"/>
  <c r="H71" i="3"/>
  <c r="I71" i="3"/>
  <c r="J71" i="3"/>
  <c r="J252" i="9"/>
  <c r="M252" i="9"/>
  <c r="G252" i="9"/>
  <c r="D252" i="9"/>
  <c r="G157" i="9"/>
  <c r="D157" i="9"/>
  <c r="J157" i="9"/>
  <c r="M157" i="9"/>
  <c r="L21" i="5"/>
  <c r="N21" i="5"/>
  <c r="M21" i="5"/>
  <c r="G269" i="9"/>
  <c r="M269" i="9"/>
  <c r="J269" i="9"/>
  <c r="D269" i="9"/>
  <c r="M13" i="3"/>
  <c r="N13" i="3"/>
  <c r="L13" i="3"/>
  <c r="H35" i="3"/>
  <c r="I35" i="3"/>
  <c r="J35" i="3"/>
  <c r="G200" i="9"/>
  <c r="D200" i="9"/>
  <c r="M200" i="9"/>
  <c r="J200" i="9"/>
  <c r="H46" i="3"/>
  <c r="I46" i="3"/>
  <c r="J46" i="3"/>
  <c r="M104" i="9"/>
  <c r="J104" i="9"/>
  <c r="D104" i="9"/>
  <c r="G104" i="9"/>
  <c r="R56" i="3"/>
  <c r="Q56" i="3"/>
  <c r="P56" i="3"/>
  <c r="D278" i="9"/>
  <c r="J278" i="9"/>
  <c r="M278" i="9"/>
  <c r="G278" i="9"/>
  <c r="L18" i="3"/>
  <c r="M18" i="3"/>
  <c r="N18" i="3"/>
  <c r="J194" i="9"/>
  <c r="G194" i="9"/>
  <c r="D194" i="9"/>
  <c r="M194" i="9"/>
  <c r="M35" i="9"/>
  <c r="G35" i="9"/>
  <c r="D35" i="9"/>
  <c r="J35" i="9"/>
  <c r="P64" i="3"/>
  <c r="Q64" i="3"/>
  <c r="R64" i="3"/>
  <c r="N40" i="3"/>
  <c r="L40" i="3"/>
  <c r="M40" i="3"/>
  <c r="J113" i="9"/>
  <c r="G113" i="9"/>
  <c r="M113" i="9"/>
  <c r="D113" i="9"/>
  <c r="G36" i="9"/>
  <c r="J36" i="9"/>
  <c r="D36" i="9"/>
  <c r="M36" i="9"/>
  <c r="J259" i="9"/>
  <c r="M259" i="9"/>
  <c r="D259" i="9"/>
  <c r="G259" i="9"/>
  <c r="G61" i="9"/>
  <c r="J61" i="9"/>
  <c r="D61" i="9"/>
  <c r="M61" i="9"/>
  <c r="G189" i="9"/>
  <c r="J189" i="9"/>
  <c r="M189" i="9"/>
  <c r="D189" i="9"/>
  <c r="G23" i="9"/>
  <c r="M23" i="9"/>
  <c r="D23" i="9"/>
  <c r="J23" i="9"/>
  <c r="L46" i="3"/>
  <c r="N46" i="3"/>
  <c r="M46" i="3"/>
  <c r="H74" i="3"/>
  <c r="I74" i="3"/>
  <c r="J74" i="3"/>
  <c r="H48" i="3"/>
  <c r="J48" i="3"/>
  <c r="I48" i="3"/>
  <c r="J52" i="9"/>
  <c r="M52" i="9"/>
  <c r="G52" i="9"/>
  <c r="D52" i="9"/>
  <c r="G115" i="9"/>
  <c r="D115" i="9"/>
  <c r="J115" i="9"/>
  <c r="M115" i="9"/>
  <c r="I36" i="3"/>
  <c r="J36" i="3"/>
  <c r="H36" i="3"/>
  <c r="M38" i="3"/>
  <c r="N38" i="3"/>
  <c r="L38" i="3"/>
  <c r="G192" i="9"/>
  <c r="J192" i="9"/>
  <c r="D192" i="9"/>
  <c r="M192" i="9"/>
  <c r="N8" i="3"/>
  <c r="M8" i="3"/>
  <c r="L8" i="3"/>
  <c r="D179" i="9"/>
  <c r="J179" i="9"/>
  <c r="G179" i="9"/>
  <c r="M179" i="9"/>
  <c r="N6" i="3"/>
  <c r="M6" i="3"/>
  <c r="L6" i="3"/>
  <c r="M57" i="3"/>
  <c r="N57" i="3"/>
  <c r="L57" i="3"/>
  <c r="M198" i="9"/>
  <c r="J198" i="9"/>
  <c r="D198" i="9"/>
  <c r="G198" i="9"/>
  <c r="M220" i="9"/>
  <c r="G220" i="9"/>
  <c r="D220" i="9"/>
  <c r="J220" i="9"/>
  <c r="M45" i="9"/>
  <c r="J45" i="9"/>
  <c r="G45" i="9"/>
  <c r="D45" i="9"/>
  <c r="D141" i="9"/>
  <c r="M141" i="9"/>
  <c r="J141" i="9"/>
  <c r="G141" i="9"/>
  <c r="J268" i="9"/>
  <c r="G268" i="9"/>
  <c r="M268" i="9"/>
  <c r="D268" i="9"/>
  <c r="M58" i="3"/>
  <c r="L58" i="3"/>
  <c r="N58" i="3"/>
  <c r="D49" i="9"/>
  <c r="M49" i="9"/>
  <c r="J49" i="9"/>
  <c r="G49" i="9"/>
  <c r="D181" i="9"/>
  <c r="M181" i="9"/>
  <c r="G181" i="9"/>
  <c r="J181" i="9"/>
  <c r="G122" i="9"/>
  <c r="D122" i="9"/>
  <c r="J122" i="9"/>
  <c r="M122" i="9"/>
  <c r="J199" i="9"/>
  <c r="G199" i="9"/>
  <c r="M199" i="9"/>
  <c r="D199" i="9"/>
  <c r="D162" i="9"/>
  <c r="J162" i="9"/>
  <c r="M162" i="9"/>
  <c r="G162" i="9"/>
  <c r="M275" i="9"/>
  <c r="G275" i="9"/>
  <c r="D275" i="9"/>
  <c r="J275" i="9"/>
  <c r="N11" i="5"/>
  <c r="M11" i="5"/>
  <c r="L11" i="5"/>
  <c r="H73" i="3"/>
  <c r="I73" i="3"/>
  <c r="J73" i="3"/>
  <c r="L23" i="3"/>
  <c r="M23" i="3"/>
  <c r="N23" i="3"/>
  <c r="Q74" i="3"/>
  <c r="R74" i="3"/>
  <c r="P74" i="3"/>
  <c r="D136" i="9"/>
  <c r="C168" i="9"/>
  <c r="G136" i="9"/>
  <c r="M136" i="9"/>
  <c r="J136" i="9"/>
  <c r="G24" i="9"/>
  <c r="D24" i="9"/>
  <c r="J24" i="9"/>
  <c r="M24" i="9"/>
  <c r="I168" i="9"/>
  <c r="H168" i="9" s="1"/>
  <c r="G12" i="9" s="1"/>
  <c r="J271" i="9"/>
  <c r="G271" i="9"/>
  <c r="D271" i="9"/>
  <c r="M271" i="9"/>
  <c r="R60" i="3"/>
  <c r="P60" i="3"/>
  <c r="Q60" i="3"/>
  <c r="J226" i="9"/>
  <c r="G226" i="9"/>
  <c r="D226" i="9"/>
  <c r="M226" i="9"/>
  <c r="M25" i="5"/>
  <c r="L25" i="5"/>
  <c r="N25" i="5"/>
  <c r="P63" i="3"/>
  <c r="R63" i="3"/>
  <c r="Q63" i="3"/>
  <c r="G88" i="9"/>
  <c r="J88" i="9"/>
  <c r="D88" i="9"/>
  <c r="M88" i="9"/>
  <c r="R59" i="3"/>
  <c r="P59" i="3"/>
  <c r="Q59" i="3"/>
  <c r="I56" i="3"/>
  <c r="J56" i="3"/>
  <c r="H56" i="3"/>
  <c r="G221" i="9"/>
  <c r="D221" i="9"/>
  <c r="J221" i="9"/>
  <c r="M221" i="9"/>
  <c r="P57" i="3"/>
  <c r="R57" i="3"/>
  <c r="Q57" i="3"/>
  <c r="M121" i="9"/>
  <c r="D121" i="9"/>
  <c r="J121" i="9"/>
  <c r="G121" i="9"/>
  <c r="Q72" i="3"/>
  <c r="P72" i="3"/>
  <c r="R72" i="3"/>
  <c r="J266" i="9"/>
  <c r="M266" i="9"/>
  <c r="G266" i="9"/>
  <c r="D266" i="9"/>
  <c r="L9" i="5"/>
  <c r="M9" i="5"/>
  <c r="N9" i="5"/>
  <c r="I244" i="9"/>
  <c r="H244" i="9" s="1"/>
  <c r="G10" i="9" s="1"/>
  <c r="M264" i="9"/>
  <c r="D264" i="9"/>
  <c r="J264" i="9"/>
  <c r="G264" i="9"/>
  <c r="L20" i="3"/>
  <c r="N20" i="3"/>
  <c r="M20" i="3"/>
  <c r="J219" i="9"/>
  <c r="M219" i="9"/>
  <c r="D219" i="9"/>
  <c r="G219" i="9"/>
  <c r="D168" i="9" l="1"/>
  <c r="G168" i="9"/>
  <c r="J54" i="9"/>
  <c r="M206" i="9"/>
  <c r="G130" i="9"/>
  <c r="D282" i="9"/>
  <c r="M92" i="9"/>
  <c r="D92" i="9"/>
  <c r="M54" i="9"/>
  <c r="J206" i="9"/>
  <c r="E54" i="9"/>
  <c r="D16" i="9" s="1"/>
  <c r="B12" i="9" s="1"/>
  <c r="M244" i="9"/>
  <c r="J130" i="9"/>
  <c r="M282" i="9"/>
  <c r="J92" i="9"/>
  <c r="G92" i="9"/>
  <c r="J168" i="9"/>
  <c r="G54" i="9"/>
  <c r="D206" i="9"/>
  <c r="D244" i="9"/>
  <c r="D130" i="9"/>
  <c r="J282" i="9"/>
  <c r="M168" i="9"/>
  <c r="D54" i="9"/>
  <c r="G206" i="9"/>
  <c r="G244" i="9"/>
  <c r="J244" i="9"/>
  <c r="M130" i="9"/>
  <c r="G282" i="9"/>
  <c r="B9" i="9" l="1"/>
  <c r="B14" i="9"/>
  <c r="B13" i="9"/>
  <c r="B3" i="9"/>
  <c r="B5" i="9"/>
  <c r="B8" i="9"/>
  <c r="B10" i="9"/>
  <c r="B7" i="9"/>
  <c r="B4" i="9"/>
  <c r="B15" i="9"/>
  <c r="B11" i="9"/>
  <c r="B16" i="9"/>
  <c r="B6" i="9"/>
</calcChain>
</file>

<file path=xl/sharedStrings.xml><?xml version="1.0" encoding="utf-8"?>
<sst xmlns="http://schemas.openxmlformats.org/spreadsheetml/2006/main" count="3485" uniqueCount="331">
  <si>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</si>
  <si>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</si>
  <si>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</si>
  <si>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</si>
  <si>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</si>
  <si>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</si>
  <si>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</si>
  <si>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</si>
  <si>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</si>
  <si>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</si>
  <si>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</si>
  <si>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</si>
  <si>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</si>
  <si>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</si>
  <si>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</si>
  <si>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</si>
  <si>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</si>
  <si>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</si>
  <si>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</si>
  <si>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</si>
  <si>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</si>
  <si>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</si>
  <si>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</si>
  <si>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</si>
  <si>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</si>
  <si>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</si>
  <si>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</si>
  <si>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</si>
  <si>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</si>
  <si>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</si>
  <si>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</si>
  <si>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</si>
  <si>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</si>
  <si>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</si>
  <si>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</si>
  <si>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</si>
  <si>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</si>
  <si>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</si>
  <si>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</si>
  <si>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</si>
  <si>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</si>
  <si>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</si>
  <si>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</si>
  <si>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</si>
  <si>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</si>
  <si>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</si>
  <si>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</si>
  <si>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</si>
  <si>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</si>
  <si>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</si>
  <si>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</si>
  <si>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</si>
  <si>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</si>
  <si>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</si>
  <si>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</si>
  <si>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</si>
  <si>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</si>
  <si>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</si>
  <si>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</si>
  <si>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</si>
  <si>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</si>
  <si>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</si>
  <si>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</si>
  <si>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</si>
  <si>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</si>
  <si>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</si>
  <si>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</si>
  <si>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</si>
  <si>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</si>
  <si>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</si>
  <si>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</si>
  <si>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</si>
  <si>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</si>
  <si>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</si>
  <si>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</si>
  <si>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</si>
  <si>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</si>
  <si>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</si>
  <si>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</si>
  <si>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</si>
  <si>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</si>
  <si>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</si>
  <si>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</si>
  <si>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</si>
  <si>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</si>
  <si>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</si>
  <si>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</si>
  <si>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</si>
  <si>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</si>
  <si>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</si>
  <si>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</si>
  <si>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</si>
  <si>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</si>
  <si>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</si>
  <si>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</si>
  <si>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</si>
  <si>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</si>
  <si>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</si>
  <si>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</si>
  <si>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</si>
  <si>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</si>
  <si>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</si>
  <si>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</si>
  <si>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</si>
  <si>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</si>
  <si>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</si>
  <si>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</si>
  <si>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</si>
  <si>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</si>
  <si>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</si>
  <si>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</si>
  <si>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</si>
  <si>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</si>
  <si>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</si>
  <si>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</si>
  <si>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</si>
  <si>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</si>
  <si>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</si>
  <si>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</si>
  <si>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</si>
  <si>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</si>
  <si>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</si>
  <si>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</si>
  <si>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</si>
  <si>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</si>
  <si>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</si>
  <si>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</si>
  <si>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</si>
  <si>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</si>
  <si>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</si>
  <si>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</si>
  <si>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</si>
  <si>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</si>
  <si>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</si>
  <si>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</si>
  <si>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</si>
  <si>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</si>
  <si>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</si>
  <si>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</si>
  <si>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</si>
  <si>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</si>
  <si>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</si>
  <si>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</si>
  <si>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</si>
  <si>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</si>
  <si>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</si>
  <si>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</si>
  <si>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</si>
  <si>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</si>
  <si>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</si>
  <si>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</si>
  <si>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</si>
  <si>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</si>
  <si>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</si>
  <si>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</si>
  <si>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</si>
  <si>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</si>
  <si>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</si>
  <si>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</si>
  <si>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</si>
  <si>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</si>
  <si>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</si>
  <si>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</si>
  <si>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</si>
  <si>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</si>
  <si>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</si>
  <si>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</si>
  <si>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</si>
  <si>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</si>
  <si>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</si>
  <si>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</si>
  <si>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</si>
  <si>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</si>
  <si>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</si>
  <si>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</si>
  <si>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</si>
  <si>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</si>
  <si>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</si>
  <si>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</si>
  <si>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</si>
  <si>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</si>
  <si>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</si>
  <si>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</si>
  <si>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</si>
  <si>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</si>
  <si>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</si>
  <si>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</si>
  <si>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</si>
  <si>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</si>
  <si>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</si>
  <si>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</si>
  <si>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</si>
  <si>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</si>
  <si>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</si>
  <si>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</si>
  <si>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</si>
  <si>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</si>
  <si>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</si>
  <si>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</si>
  <si>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</si>
  <si>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</si>
  <si>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</si>
  <si>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</si>
  <si>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</si>
  <si>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</si>
  <si>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</si>
  <si>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</si>
  <si>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</si>
  <si>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</si>
  <si>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</si>
  <si>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</si>
  <si>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</si>
  <si>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</si>
  <si>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</si>
  <si>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</si>
  <si>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</si>
  <si>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</si>
  <si>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</si>
  <si>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</si>
  <si>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</si>
  <si>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</si>
  <si>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</si>
  <si>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</si>
  <si>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</si>
  <si>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</si>
  <si>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</si>
  <si>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</si>
  <si>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</si>
  <si>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</si>
  <si>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</si>
  <si>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</si>
  <si>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</si>
  <si>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</si>
  <si>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</si>
  <si>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</si>
  <si>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</si>
  <si>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</si>
  <si>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</si>
  <si>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</si>
  <si>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</si>
  <si>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</si>
  <si>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</si>
  <si>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</si>
  <si>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</si>
  <si>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</si>
  <si>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</si>
  <si>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</si>
  <si>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</si>
  <si>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</si>
  <si>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</si>
  <si>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</si>
  <si>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</si>
  <si>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</si>
  <si>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</si>
  <si>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</si>
  <si>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</si>
  <si>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</si>
  <si>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</si>
  <si>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</si>
  <si>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</si>
  <si>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</si>
  <si>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</si>
  <si>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</si>
  <si>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</si>
  <si>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</si>
  <si>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</si>
  <si>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</si>
  <si>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</si>
  <si>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</si>
  <si>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</si>
  <si>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</si>
  <si>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</si>
  <si>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</si>
  <si>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</si>
  <si>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</si>
  <si>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</si>
  <si>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</si>
  <si>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</si>
  <si>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</si>
  <si>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</si>
  <si>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</si>
  <si>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</si>
  <si>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</si>
  <si>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</si>
  <si>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</si>
  <si>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</si>
  <si>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</si>
  <si>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</si>
  <si>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</si>
  <si>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</si>
  <si>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</si>
  <si>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</si>
  <si>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</si>
  <si>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</si>
  <si>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</si>
  <si>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</si>
  <si>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</si>
  <si>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</si>
  <si>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</si>
  <si>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</si>
  <si>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</si>
  <si>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</si>
  <si>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</si>
  <si>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</si>
  <si>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</si>
  <si>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</si>
  <si>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</si>
  <si>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</si>
  <si>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</si>
  <si>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</si>
  <si>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</si>
  <si>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</si>
  <si>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</si>
  <si>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</si>
  <si>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</si>
  <si>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</si>
  <si>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</si>
  <si>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</si>
  <si>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</si>
  <si>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</si>
  <si>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</si>
  <si>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</si>
  <si>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</si>
  <si>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</si>
  <si>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</si>
  <si>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</si>
  <si>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</si>
  <si>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KRW-XEC</t>
  </si>
  <si>
    <t>이캐시</t>
  </si>
  <si>
    <t/>
  </si>
  <si>
    <t>2021.10.06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</si>
</sst>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6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67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44287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" t="s">
        <v>3</v>
      </c>
      <c r="B2" s="237" t="s">
        <v>4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5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4" t="s">
        <v>7</v>
      </c>
      <c r="B3" s="228" t="s">
        <v>8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5"/>
      <c r="I3" s="226"/>
      <c r="J3" s="4" t="s">
        <v>7</v>
      </c>
      <c r="K3" s="228" t="s">
        <v>9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8" t="s">
        <v>12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13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8" t="s">
        <v>16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5"/>
      <c r="I5" s="226"/>
      <c r="J5" s="4" t="s">
        <v>15</v>
      </c>
      <c r="K5" s="228" t="s">
        <v>17</v>
      </c>
      <c r="L5" s="229"/>
      <c r="M5" s="229"/>
      <c r="N5" s="229"/>
      <c r="O5" s="230"/>
    </row>
    <row r="6" spans="1:19">
      <c r="A6" s="4" t="s">
        <v>18</v>
      </c>
      <c r="B6" s="228" t="s">
        <v>19</v>
      </c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20</v>
      </c>
      <c r="L6" s="229"/>
      <c r="M6" s="229"/>
      <c r="N6" s="229"/>
      <c r="O6" s="230"/>
    </row>
    <row r="7" spans="1:19" ht="17.25" thickBot="1">
      <c r="A7" s="4" t="s">
        <v>21</v>
      </c>
      <c r="B7" s="228" t="s">
        <v>22</v>
      </c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5"/>
      <c r="I7" s="226"/>
      <c r="J7" s="4" t="s">
        <v>21</v>
      </c>
      <c r="K7" s="228" t="s">
        <v>23</v>
      </c>
      <c r="L7" s="229"/>
      <c r="M7" s="229"/>
      <c r="N7" s="229"/>
      <c r="O7" s="230"/>
    </row>
    <row r="8" spans="1:19" ht="17.25" thickBot="1">
      <c r="A8" s="4" t="s">
        <v>24</v>
      </c>
      <c r="B8" s="228" t="s">
        <v>25</v>
      </c>
      <c r="C8" s="229"/>
      <c r="D8" s="229"/>
      <c r="E8" s="229"/>
      <c r="F8" s="230"/>
      <c r="G8" s="231" t="s">
        <v>253</v>
      </c>
      <c r="H8" s="232"/>
      <c r="I8" s="233"/>
      <c r="J8" s="4" t="s">
        <v>24</v>
      </c>
      <c r="K8" s="228" t="s">
        <v>26</v>
      </c>
      <c r="L8" s="229"/>
      <c r="M8" s="229"/>
      <c r="N8" s="229"/>
      <c r="O8" s="230"/>
      <c r="Q8" s="203" t="s">
        <v>27</v>
      </c>
      <c r="R8" s="205"/>
    </row>
    <row r="9" spans="1:19" ht="17.25" thickBot="1">
      <c r="A9" s="4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5"/>
      <c r="I9" s="226"/>
      <c r="J9" s="4" t="s">
        <v>28</v>
      </c>
      <c r="K9" s="228" t="s">
        <v>261</v>
      </c>
      <c r="L9" s="229"/>
      <c r="M9" s="229"/>
      <c r="N9" s="229"/>
      <c r="O9" s="230"/>
      <c r="Q9" s="2" t="s">
        <v>29</v>
      </c>
      <c r="R9" s="6">
        <v>10</v>
      </c>
    </row>
    <row r="10" spans="1:19">
      <c r="A10" s="4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/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7" t="s">
        <v>32</v>
      </c>
      <c r="B11" s="221"/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/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34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11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62630000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1.5632601400000001E-2</v>
      </c>
      <c r="N14" s="210"/>
      <c r="O14" s="211"/>
      <c r="Q14" s="202"/>
      <c r="R14" s="202"/>
      <c r="S14" s="202"/>
    </row>
    <row r="15" spans="1:19" ht="17.25" customHeight="1" thickBot="1">
      <c r="A15" s="227" t="s">
        <v>39</v>
      </c>
      <c r="B15" s="219" t="str">
        <f>TEXT($G$1, "[$-ko-KR]yyyy-mm-dd(ddd) ") &amp; "오전 00:00"</f>
        <v>2021-04-01(목) 오전 00:00</v>
      </c>
      <c r="C15" s="220"/>
      <c r="D15" s="216" t="str">
        <f>TEXT($G$1, "[$-ko-KR]yyyy-mm-dd(ddd) ") &amp; "오후 14:00"</f>
        <v>2021-04-01(목) 오후 14:00</v>
      </c>
      <c r="E15" s="217"/>
      <c r="F15" s="218"/>
      <c r="G15" s="216" t="str">
        <f>TEXT($G$1, "[$-ko-KR]yyyy-mm-dd(ddd) ") &amp; "오후 19:00"</f>
        <v>2021-04-01(목) 오후 19:00</v>
      </c>
      <c r="H15" s="217"/>
      <c r="I15" s="218"/>
      <c r="J15" s="216" t="str">
        <f>TEXT($G$1, "[$-ko-KR]yyyy-mm-dd(ddd) ") &amp; "오후 21:00"</f>
        <v>2021-04-01(목) 오후 21:00</v>
      </c>
      <c r="K15" s="217"/>
      <c r="L15" s="218"/>
      <c r="M15" s="216" t="str">
        <f>TEXT($G$1+1, "[$-ko-KR]yyyy-mm-dd(ddd) ") &amp; "오전 00:00"</f>
        <v>2021-04-02(금) 오전 00:00</v>
      </c>
      <c r="N15" s="217"/>
      <c r="O15" s="218"/>
      <c r="Q15" s="202"/>
      <c r="R15" s="202"/>
      <c r="S15" s="202"/>
    </row>
    <row r="16" spans="1:19" ht="17.25" customHeight="1" thickBot="1">
      <c r="A16" s="22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26" t="s">
        <v>42</v>
      </c>
      <c r="B37" s="190">
        <v>300000</v>
      </c>
      <c r="C37" s="19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11" t="s">
        <v>265</v>
      </c>
      <c r="B41" s="203" t="s">
        <v>49</v>
      </c>
      <c r="C41" s="205"/>
      <c r="D41" s="203" t="s">
        <v>58</v>
      </c>
      <c r="E41" s="204"/>
      <c r="F41" s="205"/>
      <c r="G41" s="206">
        <f>_xlfn.IFNA(VLOOKUP(B41, 현재가테이블!$B$2:$D$200, 2, FALSE), "-")</f>
        <v>62630000</v>
      </c>
      <c r="H41" s="207"/>
      <c r="I41" s="208"/>
      <c r="J41" s="203" t="s">
        <v>59</v>
      </c>
      <c r="K41" s="204"/>
      <c r="L41" s="205"/>
      <c r="M41" s="209">
        <f>_xlfn.IFNA(VLOOKUP(B41, 현재가테이블!$B$2:$D$200, 3, FALSE), "-")</f>
        <v>1.5632601400000001E-2</v>
      </c>
      <c r="N41" s="210"/>
      <c r="O41" s="211"/>
      <c r="Q41" s="202"/>
      <c r="R41" s="202"/>
      <c r="S41" s="202"/>
    </row>
    <row r="42" spans="1:19" ht="17.25" customHeight="1" thickBot="1">
      <c r="A42" s="212" t="s">
        <v>55</v>
      </c>
      <c r="B42" s="214" t="str">
        <f>TEXT($G$1, "[$-ko-KR]yyyy-mm-dd(ddd) ") &amp; "오전 00:00"</f>
        <v>2021-04-01(목) 오전 00:00</v>
      </c>
      <c r="C42" s="215"/>
      <c r="D42" s="216" t="str">
        <f>TEXT($G$1, "[$-ko-KR]yyyy-mm-dd(ddd) ") &amp; "오후 14:00"</f>
        <v>2021-04-01(목) 오후 14:00</v>
      </c>
      <c r="E42" s="217"/>
      <c r="F42" s="218"/>
      <c r="G42" s="216" t="str">
        <f>TEXT($G$1, "[$-ko-KR]yyyy-mm-dd(ddd) ") &amp; "오후 19:00"</f>
        <v>2021-04-01(목) 오후 19:00</v>
      </c>
      <c r="H42" s="217"/>
      <c r="I42" s="218"/>
      <c r="J42" s="216" t="str">
        <f>TEXT($G$1, "[$-ko-KR]yyyy-mm-dd(ddd) ") &amp; "오후 21:00"</f>
        <v>2021-04-01(목) 오후 21:00</v>
      </c>
      <c r="K42" s="217"/>
      <c r="L42" s="218"/>
      <c r="M42" s="216" t="str">
        <f>TEXT($G$1+1, "[$-ko-KR]yyyy-mm-dd(ddd) ") &amp; "오전 00:00"</f>
        <v>2021-04-02(금) 오전 00:00</v>
      </c>
      <c r="N42" s="217"/>
      <c r="O42" s="218"/>
      <c r="Q42" s="202"/>
      <c r="R42" s="202"/>
      <c r="S42" s="202"/>
    </row>
    <row r="43" spans="1:19" ht="17.25" customHeight="1" thickBot="1">
      <c r="A43" s="213"/>
      <c r="B43" s="2" t="s">
        <v>58</v>
      </c>
      <c r="C43" s="10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192"/>
      <c r="R43" s="192"/>
      <c r="S43" s="192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2"/>
      <c r="R44" s="202"/>
      <c r="S44" s="20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2"/>
      <c r="R45" s="202"/>
      <c r="S45" s="20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2"/>
      <c r="R46" s="192"/>
      <c r="S46" s="192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2"/>
      <c r="R47" s="192"/>
      <c r="S47" s="192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2"/>
      <c r="R48" s="192"/>
      <c r="S48" s="192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2"/>
      <c r="R49" s="192"/>
      <c r="S49" s="192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2"/>
      <c r="R50" s="192"/>
      <c r="S50" s="192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2"/>
      <c r="R51" s="192"/>
      <c r="S51" s="192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3"/>
      <c r="R53" s="194"/>
      <c r="S53" s="195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6"/>
      <c r="R54" s="197"/>
      <c r="S54" s="198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9"/>
      <c r="R55" s="200"/>
      <c r="S55" s="201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2"/>
      <c r="R56" s="192"/>
      <c r="S56" s="192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2"/>
      <c r="R57" s="202"/>
      <c r="S57" s="20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2"/>
      <c r="R58" s="202"/>
      <c r="S58" s="20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2"/>
      <c r="R59" s="192"/>
      <c r="S59" s="192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2"/>
      <c r="R60" s="192"/>
      <c r="S60" s="192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2"/>
      <c r="R61" s="192"/>
      <c r="S61" s="192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1"/>
      <c r="R62" s="182"/>
      <c r="S62" s="18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4"/>
      <c r="R63" s="185"/>
      <c r="S63" s="186"/>
    </row>
    <row r="64" spans="1:19" ht="17.25" customHeight="1" thickBot="1">
      <c r="A64" s="26" t="s">
        <v>268</v>
      </c>
      <c r="B64" s="190">
        <f>$B$37</f>
        <v>300000</v>
      </c>
      <c r="C64" s="191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11" t="s">
        <v>265</v>
      </c>
      <c r="B68" s="203" t="s">
        <v>49</v>
      </c>
      <c r="C68" s="205"/>
      <c r="D68" s="203" t="s">
        <v>58</v>
      </c>
      <c r="E68" s="204"/>
      <c r="F68" s="205"/>
      <c r="G68" s="206">
        <f>_xlfn.IFNA(VLOOKUP(B68, 현재가테이블!$B$2:$D$200, 2, FALSE), "-")</f>
        <v>62630000</v>
      </c>
      <c r="H68" s="207"/>
      <c r="I68" s="208"/>
      <c r="J68" s="203" t="s">
        <v>59</v>
      </c>
      <c r="K68" s="204"/>
      <c r="L68" s="205"/>
      <c r="M68" s="209">
        <f>_xlfn.IFNA(VLOOKUP(B68, 현재가테이블!$B$2:$D$200, 3, FALSE), "-")</f>
        <v>1.5632601400000001E-2</v>
      </c>
      <c r="N68" s="210"/>
      <c r="O68" s="211"/>
      <c r="Q68" s="202"/>
      <c r="R68" s="202"/>
      <c r="S68" s="202"/>
    </row>
    <row r="69" spans="1:19" ht="17.25" thickBot="1">
      <c r="A69" s="212" t="s">
        <v>55</v>
      </c>
      <c r="B69" s="214" t="str">
        <f>TEXT($G$1, "[$-ko-KR]yyyy-mm-dd(ddd) ") &amp; "오전 00:00"</f>
        <v>2021-04-01(목) 오전 00:00</v>
      </c>
      <c r="C69" s="215"/>
      <c r="D69" s="216" t="str">
        <f>TEXT($G$1, "[$-ko-KR]yyyy-mm-dd(ddd) ") &amp; "오후 14:00"</f>
        <v>2021-04-01(목) 오후 14:00</v>
      </c>
      <c r="E69" s="217"/>
      <c r="F69" s="218"/>
      <c r="G69" s="216" t="str">
        <f>TEXT($G$1, "[$-ko-KR]yyyy-mm-dd(ddd) ") &amp; "오후 19:00"</f>
        <v>2021-04-01(목) 오후 19:00</v>
      </c>
      <c r="H69" s="217"/>
      <c r="I69" s="218"/>
      <c r="J69" s="216" t="str">
        <f>TEXT($G$1, "[$-ko-KR]yyyy-mm-dd(ddd) ") &amp; "오후 21:00"</f>
        <v>2021-04-01(목) 오후 21:00</v>
      </c>
      <c r="K69" s="217"/>
      <c r="L69" s="218"/>
      <c r="M69" s="216" t="str">
        <f>TEXT($G$1+1, "[$-ko-KR]yyyy-mm-dd(ddd) ") &amp; "오전 00:00"</f>
        <v>2021-04-02(금) 오전 00:00</v>
      </c>
      <c r="N69" s="217"/>
      <c r="O69" s="218"/>
      <c r="Q69" s="202"/>
      <c r="R69" s="202"/>
      <c r="S69" s="202"/>
    </row>
    <row r="70" spans="1:19" ht="17.25" thickBot="1">
      <c r="A70" s="213"/>
      <c r="B70" s="2" t="s">
        <v>58</v>
      </c>
      <c r="C70" s="10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192"/>
      <c r="R70" s="192"/>
      <c r="S70" s="192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2"/>
      <c r="R71" s="202"/>
      <c r="S71" s="20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2"/>
      <c r="R72" s="202"/>
      <c r="S72" s="20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2"/>
      <c r="R73" s="192"/>
      <c r="S73" s="192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2"/>
      <c r="R74" s="192"/>
      <c r="S74" s="192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2"/>
      <c r="R75" s="192"/>
      <c r="S75" s="192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2"/>
      <c r="R76" s="192"/>
      <c r="S76" s="192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2"/>
      <c r="R77" s="192"/>
      <c r="S77" s="192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2"/>
      <c r="R78" s="192"/>
      <c r="S78" s="192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3"/>
      <c r="R80" s="194"/>
      <c r="S80" s="195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6"/>
      <c r="R81" s="197"/>
      <c r="S81" s="198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9"/>
      <c r="R82" s="200"/>
      <c r="S82" s="201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2"/>
      <c r="R83" s="192"/>
      <c r="S83" s="192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2"/>
      <c r="R84" s="202"/>
      <c r="S84" s="20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2"/>
      <c r="R85" s="202"/>
      <c r="S85" s="20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2"/>
      <c r="R86" s="192"/>
      <c r="S86" s="192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2"/>
      <c r="R87" s="192"/>
      <c r="S87" s="192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2"/>
      <c r="R88" s="192"/>
      <c r="S88" s="192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1"/>
      <c r="R89" s="182"/>
      <c r="S89" s="18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4"/>
      <c r="R90" s="185"/>
      <c r="S90" s="186"/>
    </row>
    <row r="91" spans="1:19" ht="17.25" thickBot="1">
      <c r="A91" s="26" t="s">
        <v>268</v>
      </c>
      <c r="B91" s="190">
        <f>$B$37</f>
        <v>300000</v>
      </c>
      <c r="C91" s="191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11" t="s">
        <v>265</v>
      </c>
      <c r="B95" s="203" t="s">
        <v>49</v>
      </c>
      <c r="C95" s="205"/>
      <c r="D95" s="203" t="s">
        <v>58</v>
      </c>
      <c r="E95" s="204"/>
      <c r="F95" s="205"/>
      <c r="G95" s="206">
        <f>_xlfn.IFNA(VLOOKUP(B95, 현재가테이블!$B$2:$D$200, 2, FALSE), "-")</f>
        <v>62630000</v>
      </c>
      <c r="H95" s="207"/>
      <c r="I95" s="208"/>
      <c r="J95" s="203" t="s">
        <v>59</v>
      </c>
      <c r="K95" s="204"/>
      <c r="L95" s="205"/>
      <c r="M95" s="209">
        <f>_xlfn.IFNA(VLOOKUP(B95, 현재가테이블!$B$2:$D$200, 3, FALSE), "-")</f>
        <v>1.5632601400000001E-2</v>
      </c>
      <c r="N95" s="210"/>
      <c r="O95" s="211"/>
      <c r="Q95" s="202"/>
      <c r="R95" s="202"/>
      <c r="S95" s="202"/>
    </row>
    <row r="96" spans="1:19" ht="17.25" thickBot="1">
      <c r="A96" s="212" t="s">
        <v>55</v>
      </c>
      <c r="B96" s="214" t="str">
        <f>TEXT($G$1, "[$-ko-KR]yyyy-mm-dd(ddd) ") &amp; "오전 00:00"</f>
        <v>2021-04-01(목) 오전 00:00</v>
      </c>
      <c r="C96" s="215"/>
      <c r="D96" s="216" t="str">
        <f>TEXT($G$1, "[$-ko-KR]yyyy-mm-dd(ddd) ") &amp; "오후 14:00"</f>
        <v>2021-04-01(목) 오후 14:00</v>
      </c>
      <c r="E96" s="217"/>
      <c r="F96" s="218"/>
      <c r="G96" s="216" t="str">
        <f>TEXT($G$1, "[$-ko-KR]yyyy-mm-dd(ddd) ") &amp; "오후 19:00"</f>
        <v>2021-04-01(목) 오후 19:00</v>
      </c>
      <c r="H96" s="217"/>
      <c r="I96" s="218"/>
      <c r="J96" s="216" t="str">
        <f>TEXT($G$1, "[$-ko-KR]yyyy-mm-dd(ddd) ") &amp; "오후 21:00"</f>
        <v>2021-04-01(목) 오후 21:00</v>
      </c>
      <c r="K96" s="217"/>
      <c r="L96" s="218"/>
      <c r="M96" s="216" t="str">
        <f>TEXT($G$1+1, "[$-ko-KR]yyyy-mm-dd(ddd) ") &amp; "오전 00:00"</f>
        <v>2021-04-02(금) 오전 00:00</v>
      </c>
      <c r="N96" s="217"/>
      <c r="O96" s="218"/>
      <c r="Q96" s="202"/>
      <c r="R96" s="202"/>
      <c r="S96" s="202"/>
    </row>
    <row r="97" spans="1:19" ht="17.25" thickBot="1">
      <c r="A97" s="213"/>
      <c r="B97" s="2" t="s">
        <v>58</v>
      </c>
      <c r="C97" s="10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192"/>
      <c r="R97" s="192"/>
      <c r="S97" s="192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2"/>
      <c r="R98" s="202"/>
      <c r="S98" s="20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2"/>
      <c r="R99" s="202"/>
      <c r="S99" s="20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2"/>
      <c r="R100" s="192"/>
      <c r="S100" s="192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2"/>
      <c r="R101" s="192"/>
      <c r="S101" s="192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2"/>
      <c r="R102" s="192"/>
      <c r="S102" s="192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2"/>
      <c r="R103" s="192"/>
      <c r="S103" s="192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2"/>
      <c r="R104" s="192"/>
      <c r="S104" s="192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2"/>
      <c r="R105" s="192"/>
      <c r="S105" s="192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3"/>
      <c r="R107" s="194"/>
      <c r="S107" s="195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6"/>
      <c r="R108" s="197"/>
      <c r="S108" s="198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9"/>
      <c r="R109" s="200"/>
      <c r="S109" s="201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2"/>
      <c r="R110" s="192"/>
      <c r="S110" s="192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2"/>
      <c r="R111" s="202"/>
      <c r="S111" s="20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2"/>
      <c r="R112" s="202"/>
      <c r="S112" s="20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2"/>
      <c r="R113" s="192"/>
      <c r="S113" s="192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2"/>
      <c r="R114" s="192"/>
      <c r="S114" s="192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2"/>
      <c r="R115" s="192"/>
      <c r="S115" s="192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1"/>
      <c r="R116" s="182"/>
      <c r="S116" s="18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4"/>
      <c r="R117" s="185"/>
      <c r="S117" s="186"/>
    </row>
    <row r="118" spans="1:19" ht="17.25" thickBot="1">
      <c r="A118" s="26" t="s">
        <v>268</v>
      </c>
      <c r="B118" s="190">
        <f>$B$37</f>
        <v>300000</v>
      </c>
      <c r="C118" s="191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187"/>
      <c r="R118" s="188"/>
      <c r="S118" s="189"/>
    </row>
    <row r="120" spans="1:19" ht="17.25" thickBot="1"/>
    <row r="121" spans="1:19" ht="17.25" thickBot="1">
      <c r="A121" s="203" t="s">
        <v>256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11" t="s">
        <v>265</v>
      </c>
      <c r="B122" s="203" t="s">
        <v>49</v>
      </c>
      <c r="C122" s="205"/>
      <c r="D122" s="203" t="s">
        <v>58</v>
      </c>
      <c r="E122" s="204"/>
      <c r="F122" s="205"/>
      <c r="G122" s="206">
        <f>_xlfn.IFNA(VLOOKUP(B122, 현재가테이블!$B$2:$D$200, 2, FALSE), "-")</f>
        <v>62630000</v>
      </c>
      <c r="H122" s="207"/>
      <c r="I122" s="208"/>
      <c r="J122" s="203" t="s">
        <v>59</v>
      </c>
      <c r="K122" s="204"/>
      <c r="L122" s="205"/>
      <c r="M122" s="209">
        <f>_xlfn.IFNA(VLOOKUP(B122, 현재가테이블!$B$2:$D$200, 3, FALSE), "-")</f>
        <v>1.5632601400000001E-2</v>
      </c>
      <c r="N122" s="210"/>
      <c r="O122" s="211"/>
      <c r="Q122" s="202"/>
      <c r="R122" s="202"/>
      <c r="S122" s="202"/>
    </row>
    <row r="123" spans="1:19" ht="17.25" thickBot="1">
      <c r="A123" s="212" t="s">
        <v>55</v>
      </c>
      <c r="B123" s="214" t="str">
        <f>TEXT($G$1, "[$-ko-KR]yyyy-mm-dd(ddd) ") &amp; "오전 00:00"</f>
        <v>2021-04-01(목) 오전 00:00</v>
      </c>
      <c r="C123" s="215"/>
      <c r="D123" s="216" t="str">
        <f>TEXT($G$1, "[$-ko-KR]yyyy-mm-dd(ddd) ") &amp; "오후 14:00"</f>
        <v>2021-04-01(목) 오후 14:00</v>
      </c>
      <c r="E123" s="217"/>
      <c r="F123" s="218"/>
      <c r="G123" s="216" t="str">
        <f>TEXT($G$1, "[$-ko-KR]yyyy-mm-dd(ddd) ") &amp; "오후 19:00"</f>
        <v>2021-04-01(목) 오후 19:00</v>
      </c>
      <c r="H123" s="217"/>
      <c r="I123" s="218"/>
      <c r="J123" s="216" t="str">
        <f>TEXT($G$1, "[$-ko-KR]yyyy-mm-dd(ddd) ") &amp; "오후 21:00"</f>
        <v>2021-04-01(목) 오후 21:00</v>
      </c>
      <c r="K123" s="217"/>
      <c r="L123" s="218"/>
      <c r="M123" s="216" t="str">
        <f>TEXT($G$1+1, "[$-ko-KR]yyyy-mm-dd(ddd) ") &amp; "오전 00:00"</f>
        <v>2021-04-02(금) 오전 00:00</v>
      </c>
      <c r="N123" s="217"/>
      <c r="O123" s="218"/>
      <c r="Q123" s="202"/>
      <c r="R123" s="202"/>
      <c r="S123" s="202"/>
    </row>
    <row r="124" spans="1:19" ht="17.25" thickBot="1">
      <c r="A124" s="213"/>
      <c r="B124" s="2" t="s">
        <v>58</v>
      </c>
      <c r="C124" s="10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192"/>
      <c r="R124" s="192"/>
      <c r="S124" s="192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2"/>
      <c r="R125" s="202"/>
      <c r="S125" s="20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2"/>
      <c r="R126" s="202"/>
      <c r="S126" s="20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2"/>
      <c r="R127" s="192"/>
      <c r="S127" s="192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2"/>
      <c r="R128" s="192"/>
      <c r="S128" s="192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2"/>
      <c r="R129" s="192"/>
      <c r="S129" s="192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2"/>
      <c r="R130" s="192"/>
      <c r="S130" s="192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2"/>
      <c r="R131" s="192"/>
      <c r="S131" s="192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2"/>
      <c r="R132" s="192"/>
      <c r="S132" s="192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3"/>
      <c r="R134" s="194"/>
      <c r="S134" s="195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6"/>
      <c r="R135" s="197"/>
      <c r="S135" s="198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9"/>
      <c r="R136" s="200"/>
      <c r="S136" s="201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2"/>
      <c r="R137" s="192"/>
      <c r="S137" s="192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2"/>
      <c r="R138" s="202"/>
      <c r="S138" s="20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2"/>
      <c r="R139" s="202"/>
      <c r="S139" s="20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2"/>
      <c r="R140" s="192"/>
      <c r="S140" s="192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2"/>
      <c r="R141" s="192"/>
      <c r="S141" s="192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2"/>
      <c r="R142" s="192"/>
      <c r="S142" s="192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1"/>
      <c r="R143" s="182"/>
      <c r="S143" s="18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4"/>
      <c r="R144" s="185"/>
      <c r="S144" s="186"/>
    </row>
    <row r="145" spans="1:19" ht="17.25" thickBot="1">
      <c r="A145" s="26" t="s">
        <v>268</v>
      </c>
      <c r="B145" s="190">
        <f>$B$37</f>
        <v>300000</v>
      </c>
      <c r="C145" s="191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187"/>
      <c r="R145" s="188"/>
      <c r="S145" s="189"/>
    </row>
    <row r="147" spans="1:19" ht="17.25" thickBot="1"/>
    <row r="148" spans="1:19" ht="17.25" thickBot="1">
      <c r="A148" s="203" t="s">
        <v>257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11" t="s">
        <v>265</v>
      </c>
      <c r="B149" s="203" t="s">
        <v>49</v>
      </c>
      <c r="C149" s="205"/>
      <c r="D149" s="203" t="s">
        <v>58</v>
      </c>
      <c r="E149" s="204"/>
      <c r="F149" s="205"/>
      <c r="G149" s="206">
        <f>_xlfn.IFNA(VLOOKUP(B149, 현재가테이블!$B$2:$D$200, 2, FALSE), "-")</f>
        <v>62630000</v>
      </c>
      <c r="H149" s="207"/>
      <c r="I149" s="208"/>
      <c r="J149" s="203" t="s">
        <v>59</v>
      </c>
      <c r="K149" s="204"/>
      <c r="L149" s="205"/>
      <c r="M149" s="209">
        <f>_xlfn.IFNA(VLOOKUP(B149, 현재가테이블!$B$2:$D$200, 3, FALSE), "-")</f>
        <v>1.5632601400000001E-2</v>
      </c>
      <c r="N149" s="210"/>
      <c r="O149" s="211"/>
      <c r="Q149" s="202"/>
      <c r="R149" s="202"/>
      <c r="S149" s="202"/>
    </row>
    <row r="150" spans="1:19" ht="17.25" thickBot="1">
      <c r="A150" s="212" t="s">
        <v>55</v>
      </c>
      <c r="B150" s="214" t="str">
        <f>TEXT($G$1, "[$-ko-KR]yyyy-mm-dd(ddd) ") &amp; "오전 00:00"</f>
        <v>2021-04-01(목) 오전 00:00</v>
      </c>
      <c r="C150" s="215"/>
      <c r="D150" s="216" t="str">
        <f>TEXT($G$1, "[$-ko-KR]yyyy-mm-dd(ddd) ") &amp; "오후 14:00"</f>
        <v>2021-04-01(목) 오후 14:00</v>
      </c>
      <c r="E150" s="217"/>
      <c r="F150" s="218"/>
      <c r="G150" s="216" t="str">
        <f>TEXT($G$1, "[$-ko-KR]yyyy-mm-dd(ddd) ") &amp; "오후 19:00"</f>
        <v>2021-04-01(목) 오후 19:00</v>
      </c>
      <c r="H150" s="217"/>
      <c r="I150" s="218"/>
      <c r="J150" s="216" t="str">
        <f>TEXT($G$1, "[$-ko-KR]yyyy-mm-dd(ddd) ") &amp; "오후 21:00"</f>
        <v>2021-04-01(목) 오후 21:00</v>
      </c>
      <c r="K150" s="217"/>
      <c r="L150" s="218"/>
      <c r="M150" s="216" t="str">
        <f>TEXT($G$1+1, "[$-ko-KR]yyyy-mm-dd(ddd) ") &amp; "오전 00:00"</f>
        <v>2021-04-02(금) 오전 00:00</v>
      </c>
      <c r="N150" s="217"/>
      <c r="O150" s="218"/>
      <c r="Q150" s="202"/>
      <c r="R150" s="202"/>
      <c r="S150" s="202"/>
    </row>
    <row r="151" spans="1:19" ht="17.25" thickBot="1">
      <c r="A151" s="213"/>
      <c r="B151" s="2" t="s">
        <v>58</v>
      </c>
      <c r="C151" s="10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192"/>
      <c r="R151" s="192"/>
      <c r="S151" s="192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2"/>
      <c r="R152" s="202"/>
      <c r="S152" s="20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2"/>
      <c r="R153" s="202"/>
      <c r="S153" s="20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2"/>
      <c r="R154" s="192"/>
      <c r="S154" s="192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2"/>
      <c r="R155" s="192"/>
      <c r="S155" s="192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2"/>
      <c r="R156" s="192"/>
      <c r="S156" s="192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2"/>
      <c r="R157" s="192"/>
      <c r="S157" s="192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2"/>
      <c r="R158" s="192"/>
      <c r="S158" s="192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2"/>
      <c r="R159" s="192"/>
      <c r="S159" s="192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3"/>
      <c r="R161" s="194"/>
      <c r="S161" s="195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6"/>
      <c r="R162" s="197"/>
      <c r="S162" s="198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9"/>
      <c r="R163" s="200"/>
      <c r="S163" s="201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2"/>
      <c r="R164" s="192"/>
      <c r="S164" s="192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2"/>
      <c r="R165" s="202"/>
      <c r="S165" s="20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2"/>
      <c r="R166" s="202"/>
      <c r="S166" s="20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2"/>
      <c r="R167" s="192"/>
      <c r="S167" s="192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2"/>
      <c r="R168" s="192"/>
      <c r="S168" s="192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2"/>
      <c r="R169" s="192"/>
      <c r="S169" s="192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1"/>
      <c r="R170" s="182"/>
      <c r="S170" s="18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4"/>
      <c r="R171" s="185"/>
      <c r="S171" s="186"/>
    </row>
    <row r="172" spans="1:19" ht="17.25" thickBot="1">
      <c r="A172" s="26" t="s">
        <v>268</v>
      </c>
      <c r="B172" s="190">
        <f>$B$37</f>
        <v>300000</v>
      </c>
      <c r="C172" s="191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187"/>
      <c r="R172" s="188"/>
      <c r="S172" s="189"/>
    </row>
    <row r="174" spans="1:19" ht="17.25" thickBot="1"/>
    <row r="175" spans="1:19" ht="17.25" thickBot="1">
      <c r="A175" s="203" t="s">
        <v>253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11" t="s">
        <v>265</v>
      </c>
      <c r="B176" s="203" t="s">
        <v>49</v>
      </c>
      <c r="C176" s="205"/>
      <c r="D176" s="203" t="s">
        <v>58</v>
      </c>
      <c r="E176" s="204"/>
      <c r="F176" s="205"/>
      <c r="G176" s="206">
        <f>_xlfn.IFNA(VLOOKUP(B176, 현재가테이블!$B$2:$D$200, 2, FALSE), "-")</f>
        <v>62630000</v>
      </c>
      <c r="H176" s="207"/>
      <c r="I176" s="208"/>
      <c r="J176" s="203" t="s">
        <v>59</v>
      </c>
      <c r="K176" s="204"/>
      <c r="L176" s="205"/>
      <c r="M176" s="209">
        <f>_xlfn.IFNA(VLOOKUP(B176, 현재가테이블!$B$2:$D$200, 3, FALSE), "-")</f>
        <v>1.5632601400000001E-2</v>
      </c>
      <c r="N176" s="210"/>
      <c r="O176" s="211"/>
      <c r="Q176" s="202"/>
      <c r="R176" s="202"/>
      <c r="S176" s="202"/>
    </row>
    <row r="177" spans="1:19" ht="17.25" thickBot="1">
      <c r="A177" s="212" t="s">
        <v>55</v>
      </c>
      <c r="B177" s="214" t="str">
        <f>TEXT($G$1, "[$-ko-KR]yyyy-mm-dd(ddd) ") &amp; "오전 00:00"</f>
        <v>2021-04-01(목) 오전 00:00</v>
      </c>
      <c r="C177" s="215"/>
      <c r="D177" s="216" t="str">
        <f>TEXT($G$1, "[$-ko-KR]yyyy-mm-dd(ddd) ") &amp; "오후 14:00"</f>
        <v>2021-04-01(목) 오후 14:00</v>
      </c>
      <c r="E177" s="217"/>
      <c r="F177" s="218"/>
      <c r="G177" s="216" t="str">
        <f>TEXT($G$1, "[$-ko-KR]yyyy-mm-dd(ddd) ") &amp; "오후 19:00"</f>
        <v>2021-04-01(목) 오후 19:00</v>
      </c>
      <c r="H177" s="217"/>
      <c r="I177" s="218"/>
      <c r="J177" s="216" t="str">
        <f>TEXT($G$1, "[$-ko-KR]yyyy-mm-dd(ddd) ") &amp; "오후 21:00"</f>
        <v>2021-04-01(목) 오후 21:00</v>
      </c>
      <c r="K177" s="217"/>
      <c r="L177" s="218"/>
      <c r="M177" s="216" t="str">
        <f>TEXT($G$1+1, "[$-ko-KR]yyyy-mm-dd(ddd) ") &amp; "오전 00:00"</f>
        <v>2021-04-02(금) 오전 00:00</v>
      </c>
      <c r="N177" s="217"/>
      <c r="O177" s="218"/>
      <c r="Q177" s="202"/>
      <c r="R177" s="202"/>
      <c r="S177" s="202"/>
    </row>
    <row r="178" spans="1:19" ht="17.25" thickBot="1">
      <c r="A178" s="213"/>
      <c r="B178" s="2" t="s">
        <v>58</v>
      </c>
      <c r="C178" s="10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192"/>
      <c r="R178" s="192"/>
      <c r="S178" s="192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2"/>
      <c r="R179" s="202"/>
      <c r="S179" s="20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2"/>
      <c r="R180" s="202"/>
      <c r="S180" s="20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2"/>
      <c r="R181" s="192"/>
      <c r="S181" s="192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2"/>
      <c r="R182" s="192"/>
      <c r="S182" s="192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2"/>
      <c r="R183" s="192"/>
      <c r="S183" s="192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2"/>
      <c r="R184" s="192"/>
      <c r="S184" s="192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2"/>
      <c r="R185" s="192"/>
      <c r="S185" s="192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2"/>
      <c r="R186" s="192"/>
      <c r="S186" s="192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3"/>
      <c r="R188" s="194"/>
      <c r="S188" s="195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6"/>
      <c r="R189" s="197"/>
      <c r="S189" s="198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9"/>
      <c r="R190" s="200"/>
      <c r="S190" s="201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2"/>
      <c r="R191" s="192"/>
      <c r="S191" s="192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2"/>
      <c r="R192" s="202"/>
      <c r="S192" s="20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2"/>
      <c r="R193" s="202"/>
      <c r="S193" s="20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2"/>
      <c r="R194" s="192"/>
      <c r="S194" s="192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2"/>
      <c r="R195" s="192"/>
      <c r="S195" s="192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2"/>
      <c r="R196" s="192"/>
      <c r="S196" s="192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1"/>
      <c r="R197" s="182"/>
      <c r="S197" s="18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4"/>
      <c r="R198" s="185"/>
      <c r="S198" s="186"/>
    </row>
    <row r="199" spans="1:19" ht="17.25" thickBot="1">
      <c r="A199" s="26" t="s">
        <v>268</v>
      </c>
      <c r="B199" s="190">
        <f>$B$37</f>
        <v>300000</v>
      </c>
      <c r="C199" s="191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187"/>
      <c r="R199" s="188"/>
      <c r="S199" s="1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7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7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7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7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7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7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6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6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6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6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65" priority="157">
      <formula>AND($N17 &gt; 0, ISNUMBER($N17))</formula>
    </cfRule>
    <cfRule type="expression" dxfId="1664" priority="158">
      <formula>AND($N17 = 0 * ISNUMBER($N17))</formula>
    </cfRule>
    <cfRule type="expression" dxfId="1663" priority="159">
      <formula>AND($N17 &lt; 0, ISNUMBER($N17))</formula>
    </cfRule>
  </conditionalFormatting>
  <conditionalFormatting sqref="A17:F36">
    <cfRule type="expression" dxfId="1662" priority="166">
      <formula>AND($E17 &gt; 0, ISNUMBER($E17))</formula>
    </cfRule>
    <cfRule type="expression" dxfId="1661" priority="167">
      <formula>AND($E17 = 0 * ISNUMBER($E17))</formula>
    </cfRule>
    <cfRule type="expression" dxfId="1660" priority="168">
      <formula>AND($E17 &lt; 0, ISNUMBER($E17))</formula>
    </cfRule>
  </conditionalFormatting>
  <conditionalFormatting sqref="A17:C36 G17:I36">
    <cfRule type="expression" dxfId="1659" priority="163">
      <formula>AND($H17 &gt; 0, ISNUMBER($H17))</formula>
    </cfRule>
    <cfRule type="expression" dxfId="1658" priority="164">
      <formula>AND($H17 = 0 * ISNUMBER($H17))</formula>
    </cfRule>
    <cfRule type="expression" dxfId="1657" priority="165">
      <formula>AND($H17 &lt; 0, ISNUMBER($H17))</formula>
    </cfRule>
  </conditionalFormatting>
  <conditionalFormatting sqref="A17:C36 J17:L36">
    <cfRule type="expression" dxfId="1656" priority="160">
      <formula>AND($K17 &gt; 0, ISNUMBER($K17))</formula>
    </cfRule>
    <cfRule type="expression" dxfId="1655" priority="161">
      <formula>AND($K17 = 0 * ISNUMBER($K17))</formula>
    </cfRule>
    <cfRule type="expression" dxfId="1654" priority="162">
      <formula>AND($K17 &lt; 0, ISNUMBER($K17))</formula>
    </cfRule>
  </conditionalFormatting>
  <conditionalFormatting sqref="D15:F16 E37:F37">
    <cfRule type="expression" dxfId="1653" priority="154">
      <formula>$E$37 &gt; 0</formula>
    </cfRule>
    <cfRule type="expression" dxfId="1652" priority="155">
      <formula>$E$37 = 0</formula>
    </cfRule>
    <cfRule type="expression" dxfId="1651" priority="156">
      <formula>$E$37 &lt; 0</formula>
    </cfRule>
  </conditionalFormatting>
  <conditionalFormatting sqref="G15:I16 H37:I37">
    <cfRule type="expression" dxfId="1650" priority="151">
      <formula>$H$37 &gt; 0</formula>
    </cfRule>
    <cfRule type="expression" dxfId="1649" priority="152">
      <formula>$H$37 = 0</formula>
    </cfRule>
    <cfRule type="expression" dxfId="1648" priority="153">
      <formula>$H$37 &lt; 0</formula>
    </cfRule>
  </conditionalFormatting>
  <conditionalFormatting sqref="J15:L16 K37:L37">
    <cfRule type="expression" dxfId="1647" priority="148">
      <formula>$K$37 &gt; 0</formula>
    </cfRule>
    <cfRule type="expression" dxfId="1646" priority="149">
      <formula>$K$37 = 0</formula>
    </cfRule>
    <cfRule type="expression" dxfId="1645" priority="150">
      <formula>$K$37 &lt; 0</formula>
    </cfRule>
  </conditionalFormatting>
  <conditionalFormatting sqref="M15:O16 N37:O37">
    <cfRule type="expression" dxfId="1644" priority="145">
      <formula>$N$37 &gt; 0</formula>
    </cfRule>
    <cfRule type="expression" dxfId="1643" priority="146">
      <formula>$N$37 = 0</formula>
    </cfRule>
    <cfRule type="expression" dxfId="1642" priority="147">
      <formula>$N$37 &lt; 0</formula>
    </cfRule>
  </conditionalFormatting>
  <conditionalFormatting sqref="A44:C63 M44:O63">
    <cfRule type="expression" dxfId="1641" priority="133">
      <formula>AND($N44 &gt; 0, ISNUMBER($N44))</formula>
    </cfRule>
    <cfRule type="expression" dxfId="1640" priority="134">
      <formula>AND($N44 = 0 * ISNUMBER($N44))</formula>
    </cfRule>
    <cfRule type="expression" dxfId="1639" priority="135">
      <formula>AND($N44 &lt; 0, ISNUMBER($N44))</formula>
    </cfRule>
  </conditionalFormatting>
  <conditionalFormatting sqref="A44:F63">
    <cfRule type="expression" dxfId="1638" priority="142">
      <formula>AND($E44 &gt; 0, ISNUMBER($E44))</formula>
    </cfRule>
    <cfRule type="expression" dxfId="1637" priority="143">
      <formula>AND($E44 = 0 * ISNUMBER($E44))</formula>
    </cfRule>
    <cfRule type="expression" dxfId="1636" priority="144">
      <formula>AND($E44 &lt; 0, ISNUMBER($E44))</formula>
    </cfRule>
  </conditionalFormatting>
  <conditionalFormatting sqref="A44:C63 G44:I63">
    <cfRule type="expression" dxfId="1635" priority="139">
      <formula>AND($H44 &gt; 0, ISNUMBER($H44))</formula>
    </cfRule>
    <cfRule type="expression" dxfId="1634" priority="140">
      <formula>AND($H44 = 0 * ISNUMBER($H44))</formula>
    </cfRule>
    <cfRule type="expression" dxfId="1633" priority="141">
      <formula>AND($H44 &lt; 0, ISNUMBER($H44))</formula>
    </cfRule>
  </conditionalFormatting>
  <conditionalFormatting sqref="A44:C63 J44:L63">
    <cfRule type="expression" dxfId="1632" priority="136">
      <formula>AND($K44 &gt; 0, ISNUMBER($K44))</formula>
    </cfRule>
    <cfRule type="expression" dxfId="1631" priority="137">
      <formula>AND($K44 = 0 * ISNUMBER($K44))</formula>
    </cfRule>
    <cfRule type="expression" dxfId="1630" priority="138">
      <formula>AND($K44 &lt; 0, ISNUMBER($K44))</formula>
    </cfRule>
  </conditionalFormatting>
  <conditionalFormatting sqref="D42:F43 E64:F64">
    <cfRule type="expression" dxfId="1629" priority="130">
      <formula>$E$64 &gt; 0</formula>
    </cfRule>
    <cfRule type="expression" dxfId="1628" priority="131">
      <formula>$E$64 = 0</formula>
    </cfRule>
    <cfRule type="expression" dxfId="1627" priority="132">
      <formula>$E$64 &lt; 0</formula>
    </cfRule>
  </conditionalFormatting>
  <conditionalFormatting sqref="G42:I43 H64:I64">
    <cfRule type="expression" dxfId="1626" priority="127">
      <formula>$H$64 &gt; 0</formula>
    </cfRule>
    <cfRule type="expression" dxfId="1625" priority="128">
      <formula>$H$64 = 0</formula>
    </cfRule>
    <cfRule type="expression" dxfId="1624" priority="129">
      <formula>$H$64 &lt; 0</formula>
    </cfRule>
  </conditionalFormatting>
  <conditionalFormatting sqref="J42:L43 K64:L64">
    <cfRule type="expression" dxfId="1623" priority="124">
      <formula>$K$64 &gt; 0</formula>
    </cfRule>
    <cfRule type="expression" dxfId="1622" priority="125">
      <formula>$K$64 = 0</formula>
    </cfRule>
    <cfRule type="expression" dxfId="1621" priority="126">
      <formula>$K$64 &lt; 0</formula>
    </cfRule>
  </conditionalFormatting>
  <conditionalFormatting sqref="M42:O43 N64:O64">
    <cfRule type="expression" dxfId="1620" priority="121">
      <formula>$N$64 &gt; 0</formula>
    </cfRule>
    <cfRule type="expression" dxfId="1619" priority="122">
      <formula>$N$64 = 0</formula>
    </cfRule>
    <cfRule type="expression" dxfId="1618" priority="123">
      <formula>$N$64 &lt; 0</formula>
    </cfRule>
  </conditionalFormatting>
  <conditionalFormatting sqref="A71:C90 M71:O90">
    <cfRule type="expression" dxfId="1617" priority="109">
      <formula>AND($N71 &gt; 0, ISNUMBER($N71))</formula>
    </cfRule>
    <cfRule type="expression" dxfId="1616" priority="110">
      <formula>AND($N71 = 0 * ISNUMBER($N71))</formula>
    </cfRule>
    <cfRule type="expression" dxfId="1615" priority="111">
      <formula>AND($N71 &lt; 0, ISNUMBER($N71))</formula>
    </cfRule>
  </conditionalFormatting>
  <conditionalFormatting sqref="A71:F90">
    <cfRule type="expression" dxfId="1614" priority="118">
      <formula>AND($E71 &gt; 0, ISNUMBER($E71))</formula>
    </cfRule>
    <cfRule type="expression" dxfId="1613" priority="119">
      <formula>AND($E71 = 0 * ISNUMBER($E71))</formula>
    </cfRule>
    <cfRule type="expression" dxfId="1612" priority="120">
      <formula>AND($E71 &lt; 0, ISNUMBER($E71))</formula>
    </cfRule>
  </conditionalFormatting>
  <conditionalFormatting sqref="A71:C90 G71:I90">
    <cfRule type="expression" dxfId="1611" priority="115">
      <formula>AND($H71 &gt; 0, ISNUMBER($H71))</formula>
    </cfRule>
    <cfRule type="expression" dxfId="1610" priority="116">
      <formula>AND($H71 = 0 * ISNUMBER($H71))</formula>
    </cfRule>
    <cfRule type="expression" dxfId="1609" priority="117">
      <formula>AND($H71 &lt; 0, ISNUMBER($H71))</formula>
    </cfRule>
  </conditionalFormatting>
  <conditionalFormatting sqref="A71:C90 J71:L90">
    <cfRule type="expression" dxfId="1608" priority="112">
      <formula>AND($K71 &gt; 0, ISNUMBER($K71))</formula>
    </cfRule>
    <cfRule type="expression" dxfId="1607" priority="113">
      <formula>AND($K71 = 0 * ISNUMBER($K71))</formula>
    </cfRule>
    <cfRule type="expression" dxfId="1606" priority="114">
      <formula>AND($K71 &lt; 0, ISNUMBER($K71))</formula>
    </cfRule>
  </conditionalFormatting>
  <conditionalFormatting sqref="D69:F70 E91:F91">
    <cfRule type="expression" dxfId="1605" priority="106">
      <formula>$E$91 &gt; 0</formula>
    </cfRule>
    <cfRule type="expression" dxfId="1604" priority="107">
      <formula>$E$91 = 0</formula>
    </cfRule>
    <cfRule type="expression" dxfId="1603" priority="108">
      <formula>$E$91 &lt; 0</formula>
    </cfRule>
  </conditionalFormatting>
  <conditionalFormatting sqref="G69:I70 H91:I91">
    <cfRule type="expression" dxfId="1602" priority="103">
      <formula>$H$91 &gt; 0</formula>
    </cfRule>
    <cfRule type="expression" dxfId="1601" priority="104">
      <formula>$H$91 = 0</formula>
    </cfRule>
    <cfRule type="expression" dxfId="1600" priority="105">
      <formula>$H$91 &lt; 0</formula>
    </cfRule>
  </conditionalFormatting>
  <conditionalFormatting sqref="J69:L70 K91:L91">
    <cfRule type="expression" dxfId="1599" priority="100">
      <formula>$K$91 &gt; 0</formula>
    </cfRule>
    <cfRule type="expression" dxfId="1598" priority="101">
      <formula>$K$91 = 0</formula>
    </cfRule>
    <cfRule type="expression" dxfId="1597" priority="102">
      <formula>$K$91 &lt; 0</formula>
    </cfRule>
  </conditionalFormatting>
  <conditionalFormatting sqref="M69:O70 N91:O91">
    <cfRule type="expression" dxfId="1596" priority="97">
      <formula>$N$91 &gt; 0</formula>
    </cfRule>
    <cfRule type="expression" dxfId="1595" priority="98">
      <formula>$N$91 = 0</formula>
    </cfRule>
    <cfRule type="expression" dxfId="1594" priority="99">
      <formula>$N$91 &lt; 0</formula>
    </cfRule>
  </conditionalFormatting>
  <conditionalFormatting sqref="A98:C117 M98:O117">
    <cfRule type="expression" dxfId="1593" priority="85">
      <formula>AND($N98 &gt; 0, ISNUMBER($N98))</formula>
    </cfRule>
    <cfRule type="expression" dxfId="1592" priority="86">
      <formula>AND($N98 = 0 * ISNUMBER($N98))</formula>
    </cfRule>
    <cfRule type="expression" dxfId="1591" priority="87">
      <formula>AND($N98 &lt; 0, ISNUMBER($N98))</formula>
    </cfRule>
  </conditionalFormatting>
  <conditionalFormatting sqref="A98:F117">
    <cfRule type="expression" dxfId="1590" priority="94">
      <formula>AND($E98 &gt; 0, ISNUMBER($E98))</formula>
    </cfRule>
    <cfRule type="expression" dxfId="1589" priority="95">
      <formula>AND($E98 = 0 * ISNUMBER($E98))</formula>
    </cfRule>
    <cfRule type="expression" dxfId="1588" priority="96">
      <formula>AND($E98 &lt; 0, ISNUMBER($E98))</formula>
    </cfRule>
  </conditionalFormatting>
  <conditionalFormatting sqref="A98:C117 G98:I117">
    <cfRule type="expression" dxfId="1587" priority="91">
      <formula>AND($H98 &gt; 0, ISNUMBER($H98))</formula>
    </cfRule>
    <cfRule type="expression" dxfId="1586" priority="92">
      <formula>AND($H98 = 0 * ISNUMBER($H98))</formula>
    </cfRule>
    <cfRule type="expression" dxfId="1585" priority="93">
      <formula>AND($H98 &lt; 0, ISNUMBER($H98))</formula>
    </cfRule>
  </conditionalFormatting>
  <conditionalFormatting sqref="A98:C117 J98:L117">
    <cfRule type="expression" dxfId="1584" priority="88">
      <formula>AND($K98 &gt; 0, ISNUMBER($K98))</formula>
    </cfRule>
    <cfRule type="expression" dxfId="1583" priority="89">
      <formula>AND($K98 = 0 * ISNUMBER($K98))</formula>
    </cfRule>
    <cfRule type="expression" dxfId="1582" priority="90">
      <formula>AND($K98 &lt; 0, ISNUMBER($K98))</formula>
    </cfRule>
  </conditionalFormatting>
  <conditionalFormatting sqref="D96:F97 E118:F118">
    <cfRule type="expression" dxfId="1581" priority="82">
      <formula>$E$118 &gt; 0</formula>
    </cfRule>
    <cfRule type="expression" dxfId="1580" priority="83">
      <formula>$E$118 = 0</formula>
    </cfRule>
    <cfRule type="expression" dxfId="1579" priority="84">
      <formula>$E$118 &lt; 0</formula>
    </cfRule>
  </conditionalFormatting>
  <conditionalFormatting sqref="G96:I97 H118:I118">
    <cfRule type="expression" dxfId="1578" priority="79">
      <formula>$H$118 &gt; 0</formula>
    </cfRule>
    <cfRule type="expression" dxfId="1577" priority="80">
      <formula>$H$118 = 0</formula>
    </cfRule>
    <cfRule type="expression" dxfId="1576" priority="81">
      <formula>$H$118 &lt; 0</formula>
    </cfRule>
  </conditionalFormatting>
  <conditionalFormatting sqref="J96:L97 K118:L118">
    <cfRule type="expression" dxfId="1575" priority="76">
      <formula>$K$118 &gt; 0</formula>
    </cfRule>
    <cfRule type="expression" dxfId="1574" priority="77">
      <formula>$K$118 = 0</formula>
    </cfRule>
    <cfRule type="expression" dxfId="1573" priority="78">
      <formula>$K$118 &lt; 0</formula>
    </cfRule>
  </conditionalFormatting>
  <conditionalFormatting sqref="M96:O97 N118:O118">
    <cfRule type="expression" dxfId="1572" priority="73">
      <formula>$N$118 &gt; 0</formula>
    </cfRule>
    <cfRule type="expression" dxfId="1571" priority="74">
      <formula>$N$118 = 0</formula>
    </cfRule>
    <cfRule type="expression" dxfId="1570" priority="75">
      <formula>$N$118 &lt; 0</formula>
    </cfRule>
  </conditionalFormatting>
  <conditionalFormatting sqref="A125:C144 M125:O144">
    <cfRule type="expression" dxfId="1569" priority="61">
      <formula>AND($N125 &gt; 0, ISNUMBER($N125))</formula>
    </cfRule>
    <cfRule type="expression" dxfId="1568" priority="62">
      <formula>AND($N125 = 0 * ISNUMBER($N125))</formula>
    </cfRule>
    <cfRule type="expression" dxfId="1567" priority="63">
      <formula>AND($N125 &lt; 0, ISNUMBER($N125))</formula>
    </cfRule>
  </conditionalFormatting>
  <conditionalFormatting sqref="A125:F144">
    <cfRule type="expression" dxfId="1566" priority="70">
      <formula>AND($E125 &gt; 0, ISNUMBER($E125))</formula>
    </cfRule>
    <cfRule type="expression" dxfId="1565" priority="71">
      <formula>AND($E125 = 0 * ISNUMBER($E125))</formula>
    </cfRule>
    <cfRule type="expression" dxfId="1564" priority="72">
      <formula>AND($E125 &lt; 0, ISNUMBER($E125))</formula>
    </cfRule>
  </conditionalFormatting>
  <conditionalFormatting sqref="A125:C144 G125:I144">
    <cfRule type="expression" dxfId="1563" priority="67">
      <formula>AND($H125 &gt; 0, ISNUMBER($H125))</formula>
    </cfRule>
    <cfRule type="expression" dxfId="1562" priority="68">
      <formula>AND($H125 = 0 * ISNUMBER($H125))</formula>
    </cfRule>
    <cfRule type="expression" dxfId="1561" priority="69">
      <formula>AND($H125 &lt; 0, ISNUMBER($H125))</formula>
    </cfRule>
  </conditionalFormatting>
  <conditionalFormatting sqref="A125:C144 J125:L144">
    <cfRule type="expression" dxfId="1560" priority="64">
      <formula>AND($K125 &gt; 0, ISNUMBER($K125))</formula>
    </cfRule>
    <cfRule type="expression" dxfId="1559" priority="65">
      <formula>AND($K125 = 0 * ISNUMBER($K125))</formula>
    </cfRule>
    <cfRule type="expression" dxfId="1558" priority="66">
      <formula>AND($K125 &lt; 0, ISNUMBER($K125))</formula>
    </cfRule>
  </conditionalFormatting>
  <conditionalFormatting sqref="D123:F124 E145:F145">
    <cfRule type="expression" dxfId="1557" priority="58">
      <formula>$E$145 &gt; 0</formula>
    </cfRule>
    <cfRule type="expression" dxfId="1556" priority="59">
      <formula>$E$145 = 0</formula>
    </cfRule>
    <cfRule type="expression" dxfId="1555" priority="60">
      <formula>$E$145 &lt; 0</formula>
    </cfRule>
  </conditionalFormatting>
  <conditionalFormatting sqref="G123:I124 H145:I145">
    <cfRule type="expression" dxfId="1554" priority="55">
      <formula>$H$145 &gt; 0</formula>
    </cfRule>
    <cfRule type="expression" dxfId="1553" priority="56">
      <formula>$H$145 = 0</formula>
    </cfRule>
    <cfRule type="expression" dxfId="1552" priority="57">
      <formula>$H$145 &lt; 0</formula>
    </cfRule>
  </conditionalFormatting>
  <conditionalFormatting sqref="J123:L124 K145:L145">
    <cfRule type="expression" dxfId="1551" priority="52">
      <formula>$K$145 &gt; 0</formula>
    </cfRule>
    <cfRule type="expression" dxfId="1550" priority="53">
      <formula>$K$145 = 0</formula>
    </cfRule>
    <cfRule type="expression" dxfId="1549" priority="54">
      <formula>$K$145 &lt; 0</formula>
    </cfRule>
  </conditionalFormatting>
  <conditionalFormatting sqref="M123:O124 N145:O145">
    <cfRule type="expression" dxfId="1548" priority="49">
      <formula>$N$145 &gt; 0</formula>
    </cfRule>
    <cfRule type="expression" dxfId="1547" priority="50">
      <formula>$N$145 = 0</formula>
    </cfRule>
    <cfRule type="expression" dxfId="1546" priority="51">
      <formula>$N$145 &lt; 0</formula>
    </cfRule>
  </conditionalFormatting>
  <conditionalFormatting sqref="A152:C171 M152:O171">
    <cfRule type="expression" dxfId="1545" priority="37">
      <formula>AND($N152 &gt; 0, ISNUMBER($N152))</formula>
    </cfRule>
    <cfRule type="expression" dxfId="1544" priority="38">
      <formula>AND($N152 = 0 * ISNUMBER($N152))</formula>
    </cfRule>
    <cfRule type="expression" dxfId="1543" priority="39">
      <formula>AND($N152 &lt; 0, ISNUMBER($N152))</formula>
    </cfRule>
  </conditionalFormatting>
  <conditionalFormatting sqref="A152:F171">
    <cfRule type="expression" dxfId="1542" priority="46">
      <formula>AND($E152 &gt; 0, ISNUMBER($E152))</formula>
    </cfRule>
    <cfRule type="expression" dxfId="1541" priority="47">
      <formula>AND($E152 = 0 * ISNUMBER($E152))</formula>
    </cfRule>
    <cfRule type="expression" dxfId="1540" priority="48">
      <formula>AND($E152 &lt; 0, ISNUMBER($E152))</formula>
    </cfRule>
  </conditionalFormatting>
  <conditionalFormatting sqref="A152:C171 G152:I171">
    <cfRule type="expression" dxfId="1539" priority="43">
      <formula>AND($H152 &gt; 0, ISNUMBER($H152))</formula>
    </cfRule>
    <cfRule type="expression" dxfId="1538" priority="44">
      <formula>AND($H152 = 0 * ISNUMBER($H152))</formula>
    </cfRule>
    <cfRule type="expression" dxfId="1537" priority="45">
      <formula>AND($H152 &lt; 0, ISNUMBER($H152))</formula>
    </cfRule>
  </conditionalFormatting>
  <conditionalFormatting sqref="A152:C171 J152:L171">
    <cfRule type="expression" dxfId="1536" priority="40">
      <formula>AND($K152 &gt; 0, ISNUMBER($K152))</formula>
    </cfRule>
    <cfRule type="expression" dxfId="1535" priority="41">
      <formula>AND($K152 = 0 * ISNUMBER($K152))</formula>
    </cfRule>
    <cfRule type="expression" dxfId="1534" priority="42">
      <formula>AND($K152 &lt; 0, ISNUMBER($K152))</formula>
    </cfRule>
  </conditionalFormatting>
  <conditionalFormatting sqref="D150:F151 E172:F172">
    <cfRule type="expression" dxfId="1533" priority="34">
      <formula>$E$172 &gt; 0</formula>
    </cfRule>
    <cfRule type="expression" dxfId="1532" priority="35">
      <formula>$E$172 = 0</formula>
    </cfRule>
    <cfRule type="expression" dxfId="1531" priority="36">
      <formula>$E$172 &lt; 0</formula>
    </cfRule>
  </conditionalFormatting>
  <conditionalFormatting sqref="G150:I151 H172:I172">
    <cfRule type="expression" dxfId="1530" priority="31">
      <formula>$H$172 &gt; 0</formula>
    </cfRule>
    <cfRule type="expression" dxfId="1529" priority="32">
      <formula>$H$172 = 0</formula>
    </cfRule>
    <cfRule type="expression" dxfId="1528" priority="33">
      <formula>$H$172 &lt; 0</formula>
    </cfRule>
  </conditionalFormatting>
  <conditionalFormatting sqref="J150:L151 K172:L172">
    <cfRule type="expression" dxfId="1527" priority="28">
      <formula>$K$172 &gt; 0</formula>
    </cfRule>
    <cfRule type="expression" dxfId="1526" priority="29">
      <formula>$K$172 = 0</formula>
    </cfRule>
    <cfRule type="expression" dxfId="1525" priority="30">
      <formula>$K$172 &lt; 0</formula>
    </cfRule>
  </conditionalFormatting>
  <conditionalFormatting sqref="M150:O151 N172:O172">
    <cfRule type="expression" dxfId="1524" priority="25">
      <formula>$N$172 &gt; 0</formula>
    </cfRule>
    <cfRule type="expression" dxfId="1523" priority="26">
      <formula>$N$172 = 0</formula>
    </cfRule>
    <cfRule type="expression" dxfId="1522" priority="27">
      <formula>$N$172 &lt; 0</formula>
    </cfRule>
  </conditionalFormatting>
  <conditionalFormatting sqref="A179:C198 M179:O198">
    <cfRule type="expression" dxfId="1521" priority="13">
      <formula>AND($N179 &gt; 0, ISNUMBER($N179))</formula>
    </cfRule>
    <cfRule type="expression" dxfId="1520" priority="14">
      <formula>AND($N179 = 0 * ISNUMBER($N179))</formula>
    </cfRule>
    <cfRule type="expression" dxfId="1519" priority="15">
      <formula>AND($N179 &lt; 0, ISNUMBER($N179))</formula>
    </cfRule>
  </conditionalFormatting>
  <conditionalFormatting sqref="A179:F198">
    <cfRule type="expression" dxfId="1518" priority="22">
      <formula>AND($E179 &gt; 0, ISNUMBER($E179))</formula>
    </cfRule>
    <cfRule type="expression" dxfId="1517" priority="23">
      <formula>AND($E179 = 0 * ISNUMBER($E179))</formula>
    </cfRule>
    <cfRule type="expression" dxfId="1516" priority="24">
      <formula>AND($E179 &lt; 0, ISNUMBER($E179))</formula>
    </cfRule>
  </conditionalFormatting>
  <conditionalFormatting sqref="A179:C198 G179:I198">
    <cfRule type="expression" dxfId="1515" priority="19">
      <formula>AND($H179 &gt; 0, ISNUMBER($H179))</formula>
    </cfRule>
    <cfRule type="expression" dxfId="1514" priority="20">
      <formula>AND($H179 = 0 * ISNUMBER($H179))</formula>
    </cfRule>
    <cfRule type="expression" dxfId="1513" priority="21">
      <formula>AND($H179 &lt; 0, ISNUMBER($H179))</formula>
    </cfRule>
  </conditionalFormatting>
  <conditionalFormatting sqref="A179:C198 J179:L198">
    <cfRule type="expression" dxfId="1512" priority="16">
      <formula>AND($K179 &gt; 0, ISNUMBER($K179))</formula>
    </cfRule>
    <cfRule type="expression" dxfId="1511" priority="17">
      <formula>AND($K179 = 0 * ISNUMBER($K179))</formula>
    </cfRule>
    <cfRule type="expression" dxfId="1510" priority="18">
      <formula>AND($K179 &lt; 0, ISNUMBER($K179))</formula>
    </cfRule>
  </conditionalFormatting>
  <conditionalFormatting sqref="D177:F178 E199:F199">
    <cfRule type="expression" dxfId="1509" priority="10">
      <formula>$E$199 &gt; 0</formula>
    </cfRule>
    <cfRule type="expression" dxfId="1508" priority="11">
      <formula>$E$199 = 0</formula>
    </cfRule>
    <cfRule type="expression" dxfId="1507" priority="12">
      <formula>$E$199 &lt; 0</formula>
    </cfRule>
  </conditionalFormatting>
  <conditionalFormatting sqref="G177:I178 H199:I199">
    <cfRule type="expression" dxfId="1506" priority="7">
      <formula>$H$199 &gt; 0</formula>
    </cfRule>
    <cfRule type="expression" dxfId="1505" priority="8">
      <formula>$H$199 = 0</formula>
    </cfRule>
    <cfRule type="expression" dxfId="1504" priority="9">
      <formula>$H$199 &lt; 0</formula>
    </cfRule>
  </conditionalFormatting>
  <conditionalFormatting sqref="J177:L178 K199:L199">
    <cfRule type="expression" dxfId="1503" priority="4">
      <formula>$K$199 &gt; 0</formula>
    </cfRule>
    <cfRule type="expression" dxfId="1502" priority="5">
      <formula>$K$199 = 0</formula>
    </cfRule>
    <cfRule type="expression" dxfId="1501" priority="6">
      <formula>$K$199 &lt; 0</formula>
    </cfRule>
  </conditionalFormatting>
  <conditionalFormatting sqref="M177:O178 N199:O199">
    <cfRule type="expression" dxfId="1500" priority="1">
      <formula>$N$199 &gt; 0</formula>
    </cfRule>
    <cfRule type="expression" dxfId="1499" priority="2">
      <formula>$N$199 = 0</formula>
    </cfRule>
    <cfRule type="expression" dxfId="149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44470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318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326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5"/>
      <c r="I3" s="226"/>
      <c r="J3" s="4" t="s">
        <v>7</v>
      </c>
      <c r="K3" s="228" t="s">
        <v>319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320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317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5"/>
      <c r="I5" s="226"/>
      <c r="J5" s="4" t="s">
        <v>15</v>
      </c>
      <c r="K5" s="228" t="s">
        <v>321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322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5"/>
      <c r="I7" s="226"/>
      <c r="J7" s="4" t="s">
        <v>21</v>
      </c>
      <c r="K7" s="228" t="s">
        <v>323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31" t="s">
        <v>253</v>
      </c>
      <c r="H8" s="232"/>
      <c r="I8" s="233"/>
      <c r="J8" s="4" t="s">
        <v>24</v>
      </c>
      <c r="K8" s="228"/>
      <c r="L8" s="229"/>
      <c r="M8" s="229"/>
      <c r="N8" s="229"/>
      <c r="O8" s="230"/>
      <c r="Q8" s="203" t="s">
        <v>27</v>
      </c>
      <c r="R8" s="205"/>
    </row>
    <row r="9" spans="1:19" ht="17.25" thickBot="1">
      <c r="A9" s="118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5"/>
      <c r="I9" s="226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 t="s">
        <v>324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21" t="s">
        <v>325</v>
      </c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 t="s">
        <v>316</v>
      </c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34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16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62630000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1.5632601400000001E-2</v>
      </c>
      <c r="N14" s="210"/>
      <c r="O14" s="211"/>
      <c r="Q14" s="202"/>
      <c r="R14" s="202"/>
      <c r="S14" s="202"/>
    </row>
    <row r="15" spans="1:19" ht="17.25" customHeight="1" thickBot="1">
      <c r="A15" s="240" t="s">
        <v>39</v>
      </c>
      <c r="B15" s="241" t="str">
        <f>TEXT($G$1, "[$-ko-KR]yyyy-mm-dd(ddd) ") &amp; "오전 00:00"</f>
        <v>2021-10-01(금) 오전 00:00</v>
      </c>
      <c r="C15" s="242"/>
      <c r="D15" s="216" t="str">
        <f>TEXT($G$1, "[$-ko-KR]yyyy-mm-dd(ddd) ") &amp; "오후 14:00"</f>
        <v>2021-10-01(금) 오후 14:00</v>
      </c>
      <c r="E15" s="217"/>
      <c r="F15" s="218"/>
      <c r="G15" s="216" t="str">
        <f>TEXT($G$1, "[$-ko-KR]yyyy-mm-dd(ddd) ") &amp; "오후 19:00"</f>
        <v>2021-10-01(금) 오후 19:00</v>
      </c>
      <c r="H15" s="217"/>
      <c r="I15" s="218"/>
      <c r="J15" s="216" t="str">
        <f>TEXT($G$1, "[$-ko-KR]yyyy-mm-dd(ddd) ") &amp; "오후 21:00"</f>
        <v>2021-10-01(금) 오후 21:00</v>
      </c>
      <c r="K15" s="217"/>
      <c r="L15" s="218"/>
      <c r="M15" s="216" t="str">
        <f>TEXT($G$1+1, "[$-ko-KR]yyyy-mm-dd(ddd) ") &amp; "오전 00:00"</f>
        <v>2021-10-02(토) 오전 00:00</v>
      </c>
      <c r="N15" s="217"/>
      <c r="O15" s="218"/>
      <c r="Q15" s="202"/>
      <c r="R15" s="202"/>
      <c r="S15" s="202"/>
    </row>
    <row r="16" spans="1:19" ht="17.25" customHeight="1" thickBot="1">
      <c r="A16" s="24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132" t="s">
        <v>42</v>
      </c>
      <c r="B37" s="245">
        <v>150000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16" t="s">
        <v>265</v>
      </c>
      <c r="B41" s="203" t="s">
        <v>49</v>
      </c>
      <c r="C41" s="205"/>
      <c r="D41" s="203" t="s">
        <v>58</v>
      </c>
      <c r="E41" s="204"/>
      <c r="F41" s="205"/>
      <c r="G41" s="206">
        <f>_xlfn.IFNA(VLOOKUP(B41, 현재가테이블!$B$2:$D$200, 2, FALSE), "-")</f>
        <v>62630000</v>
      </c>
      <c r="H41" s="207"/>
      <c r="I41" s="208"/>
      <c r="J41" s="203" t="s">
        <v>59</v>
      </c>
      <c r="K41" s="204"/>
      <c r="L41" s="205"/>
      <c r="M41" s="209">
        <f>_xlfn.IFNA(VLOOKUP(B41, 현재가테이블!$B$2:$D$200, 3, FALSE), "-")</f>
        <v>1.5632601400000001E-2</v>
      </c>
      <c r="N41" s="210"/>
      <c r="O41" s="211"/>
      <c r="Q41" s="202"/>
      <c r="R41" s="202"/>
      <c r="S41" s="202"/>
    </row>
    <row r="42" spans="1:19" ht="17.25" customHeight="1" thickBot="1">
      <c r="A42" s="247" t="s">
        <v>55</v>
      </c>
      <c r="B42" s="243" t="str">
        <f>TEXT($G$1, "[$-ko-KR]yyyy-mm-dd(ddd) ") &amp; "오전 00:00"</f>
        <v>2021-10-01(금) 오전 00:00</v>
      </c>
      <c r="C42" s="244"/>
      <c r="D42" s="216" t="str">
        <f>TEXT($G$1, "[$-ko-KR]yyyy-mm-dd(ddd) ") &amp; "오후 14:00"</f>
        <v>2021-10-01(금) 오후 14:00</v>
      </c>
      <c r="E42" s="217"/>
      <c r="F42" s="218"/>
      <c r="G42" s="216" t="str">
        <f>TEXT($G$1, "[$-ko-KR]yyyy-mm-dd(ddd) ") &amp; "오후 19:00"</f>
        <v>2021-10-01(금) 오후 19:00</v>
      </c>
      <c r="H42" s="217"/>
      <c r="I42" s="218"/>
      <c r="J42" s="216" t="str">
        <f>TEXT($G$1, "[$-ko-KR]yyyy-mm-dd(ddd) ") &amp; "오후 21:00"</f>
        <v>2021-10-01(금) 오후 21:00</v>
      </c>
      <c r="K42" s="217"/>
      <c r="L42" s="218"/>
      <c r="M42" s="216" t="str">
        <f>TEXT($G$1+1, "[$-ko-KR]yyyy-mm-dd(ddd) ") &amp; "오전 00:00"</f>
        <v>2021-10-02(토) 오전 00:00</v>
      </c>
      <c r="N42" s="217"/>
      <c r="O42" s="218"/>
      <c r="Q42" s="202"/>
      <c r="R42" s="202"/>
      <c r="S42" s="202"/>
    </row>
    <row r="43" spans="1:19" ht="17.25" customHeight="1" thickBot="1">
      <c r="A43" s="24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192"/>
      <c r="R43" s="192"/>
      <c r="S43" s="192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2"/>
      <c r="R44" s="202"/>
      <c r="S44" s="20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2"/>
      <c r="R45" s="202"/>
      <c r="S45" s="20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2"/>
      <c r="R46" s="192"/>
      <c r="S46" s="192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2"/>
      <c r="R47" s="192"/>
      <c r="S47" s="192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2"/>
      <c r="R48" s="192"/>
      <c r="S48" s="192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2"/>
      <c r="R49" s="192"/>
      <c r="S49" s="192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2"/>
      <c r="R50" s="192"/>
      <c r="S50" s="192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2"/>
      <c r="R51" s="192"/>
      <c r="S51" s="192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3"/>
      <c r="R53" s="194"/>
      <c r="S53" s="195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6"/>
      <c r="R54" s="197"/>
      <c r="S54" s="198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9"/>
      <c r="R55" s="200"/>
      <c r="S55" s="201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2"/>
      <c r="R56" s="192"/>
      <c r="S56" s="192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2"/>
      <c r="R57" s="202"/>
      <c r="S57" s="20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2"/>
      <c r="R58" s="202"/>
      <c r="S58" s="20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2"/>
      <c r="R59" s="192"/>
      <c r="S59" s="192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2"/>
      <c r="R60" s="192"/>
      <c r="S60" s="192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2"/>
      <c r="R61" s="192"/>
      <c r="S61" s="192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1"/>
      <c r="R62" s="182"/>
      <c r="S62" s="18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4"/>
      <c r="R63" s="185"/>
      <c r="S63" s="186"/>
    </row>
    <row r="64" spans="1:19" ht="17.25" customHeight="1" thickBot="1">
      <c r="A64" s="132" t="s">
        <v>268</v>
      </c>
      <c r="B64" s="245">
        <f>$B$37</f>
        <v>150000</v>
      </c>
      <c r="C64" s="246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16" t="s">
        <v>265</v>
      </c>
      <c r="B68" s="203" t="s">
        <v>49</v>
      </c>
      <c r="C68" s="205"/>
      <c r="D68" s="203" t="s">
        <v>58</v>
      </c>
      <c r="E68" s="204"/>
      <c r="F68" s="205"/>
      <c r="G68" s="206">
        <f>_xlfn.IFNA(VLOOKUP(B68, 현재가테이블!$B$2:$D$200, 2, FALSE), "-")</f>
        <v>62630000</v>
      </c>
      <c r="H68" s="207"/>
      <c r="I68" s="208"/>
      <c r="J68" s="203" t="s">
        <v>59</v>
      </c>
      <c r="K68" s="204"/>
      <c r="L68" s="205"/>
      <c r="M68" s="209">
        <f>_xlfn.IFNA(VLOOKUP(B68, 현재가테이블!$B$2:$D$200, 3, FALSE), "-")</f>
        <v>1.5632601400000001E-2</v>
      </c>
      <c r="N68" s="210"/>
      <c r="O68" s="211"/>
      <c r="Q68" s="202"/>
      <c r="R68" s="202"/>
      <c r="S68" s="202"/>
    </row>
    <row r="69" spans="1:19" ht="17.25" thickBot="1">
      <c r="A69" s="247" t="s">
        <v>55</v>
      </c>
      <c r="B69" s="243" t="str">
        <f>TEXT($G$1, "[$-ko-KR]yyyy-mm-dd(ddd) ") &amp; "오전 00:00"</f>
        <v>2021-10-01(금) 오전 00:00</v>
      </c>
      <c r="C69" s="244"/>
      <c r="D69" s="216" t="str">
        <f>TEXT($G$1, "[$-ko-KR]yyyy-mm-dd(ddd) ") &amp; "오후 14:00"</f>
        <v>2021-10-01(금) 오후 14:00</v>
      </c>
      <c r="E69" s="217"/>
      <c r="F69" s="218"/>
      <c r="G69" s="216" t="str">
        <f>TEXT($G$1, "[$-ko-KR]yyyy-mm-dd(ddd) ") &amp; "오후 19:00"</f>
        <v>2021-10-01(금) 오후 19:00</v>
      </c>
      <c r="H69" s="217"/>
      <c r="I69" s="218"/>
      <c r="J69" s="216" t="str">
        <f>TEXT($G$1, "[$-ko-KR]yyyy-mm-dd(ddd) ") &amp; "오후 21:00"</f>
        <v>2021-10-01(금) 오후 21:00</v>
      </c>
      <c r="K69" s="217"/>
      <c r="L69" s="218"/>
      <c r="M69" s="216" t="str">
        <f>TEXT($G$1+1, "[$-ko-KR]yyyy-mm-dd(ddd) ") &amp; "오전 00:00"</f>
        <v>2021-10-02(토) 오전 00:00</v>
      </c>
      <c r="N69" s="217"/>
      <c r="O69" s="218"/>
      <c r="Q69" s="202"/>
      <c r="R69" s="202"/>
      <c r="S69" s="202"/>
    </row>
    <row r="70" spans="1:19" ht="17.25" thickBot="1">
      <c r="A70" s="24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192"/>
      <c r="R70" s="192"/>
      <c r="S70" s="192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2"/>
      <c r="R71" s="202"/>
      <c r="S71" s="20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2"/>
      <c r="R72" s="202"/>
      <c r="S72" s="20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2"/>
      <c r="R73" s="192"/>
      <c r="S73" s="192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2"/>
      <c r="R74" s="192"/>
      <c r="S74" s="192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2"/>
      <c r="R75" s="192"/>
      <c r="S75" s="192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2"/>
      <c r="R76" s="192"/>
      <c r="S76" s="192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2"/>
      <c r="R77" s="192"/>
      <c r="S77" s="192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2"/>
      <c r="R78" s="192"/>
      <c r="S78" s="192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3"/>
      <c r="R80" s="194"/>
      <c r="S80" s="195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6"/>
      <c r="R81" s="197"/>
      <c r="S81" s="198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9"/>
      <c r="R82" s="200"/>
      <c r="S82" s="201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2"/>
      <c r="R83" s="192"/>
      <c r="S83" s="192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2"/>
      <c r="R84" s="202"/>
      <c r="S84" s="20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2"/>
      <c r="R85" s="202"/>
      <c r="S85" s="20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2"/>
      <c r="R86" s="192"/>
      <c r="S86" s="192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2"/>
      <c r="R87" s="192"/>
      <c r="S87" s="192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2"/>
      <c r="R88" s="192"/>
      <c r="S88" s="192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1"/>
      <c r="R89" s="182"/>
      <c r="S89" s="183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4"/>
      <c r="R90" s="185"/>
      <c r="S90" s="186"/>
    </row>
    <row r="91" spans="1:19" ht="17.25" thickBot="1">
      <c r="A91" s="132" t="s">
        <v>268</v>
      </c>
      <c r="B91" s="245">
        <f>$B$37</f>
        <v>150000</v>
      </c>
      <c r="C91" s="246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16" t="s">
        <v>265</v>
      </c>
      <c r="B95" s="203" t="s">
        <v>49</v>
      </c>
      <c r="C95" s="205"/>
      <c r="D95" s="203" t="s">
        <v>58</v>
      </c>
      <c r="E95" s="204"/>
      <c r="F95" s="205"/>
      <c r="G95" s="206">
        <f>_xlfn.IFNA(VLOOKUP(B95, 현재가테이블!$B$2:$D$200, 2, FALSE), "-")</f>
        <v>62630000</v>
      </c>
      <c r="H95" s="207"/>
      <c r="I95" s="208"/>
      <c r="J95" s="203" t="s">
        <v>59</v>
      </c>
      <c r="K95" s="204"/>
      <c r="L95" s="205"/>
      <c r="M95" s="209">
        <f>_xlfn.IFNA(VLOOKUP(B95, 현재가테이블!$B$2:$D$200, 3, FALSE), "-")</f>
        <v>1.5632601400000001E-2</v>
      </c>
      <c r="N95" s="210"/>
      <c r="O95" s="211"/>
      <c r="Q95" s="202"/>
      <c r="R95" s="202"/>
      <c r="S95" s="202"/>
    </row>
    <row r="96" spans="1:19" ht="17.25" thickBot="1">
      <c r="A96" s="247" t="s">
        <v>55</v>
      </c>
      <c r="B96" s="243" t="str">
        <f>TEXT($G$1, "[$-ko-KR]yyyy-mm-dd(ddd) ") &amp; "오전 00:00"</f>
        <v>2021-10-01(금) 오전 00:00</v>
      </c>
      <c r="C96" s="244"/>
      <c r="D96" s="216" t="str">
        <f>TEXT($G$1, "[$-ko-KR]yyyy-mm-dd(ddd) ") &amp; "오후 14:00"</f>
        <v>2021-10-01(금) 오후 14:00</v>
      </c>
      <c r="E96" s="217"/>
      <c r="F96" s="218"/>
      <c r="G96" s="216" t="str">
        <f>TEXT($G$1, "[$-ko-KR]yyyy-mm-dd(ddd) ") &amp; "오후 19:00"</f>
        <v>2021-10-01(금) 오후 19:00</v>
      </c>
      <c r="H96" s="217"/>
      <c r="I96" s="218"/>
      <c r="J96" s="216" t="str">
        <f>TEXT($G$1, "[$-ko-KR]yyyy-mm-dd(ddd) ") &amp; "오후 21:00"</f>
        <v>2021-10-01(금) 오후 21:00</v>
      </c>
      <c r="K96" s="217"/>
      <c r="L96" s="218"/>
      <c r="M96" s="216" t="str">
        <f>TEXT($G$1+1, "[$-ko-KR]yyyy-mm-dd(ddd) ") &amp; "오전 00:00"</f>
        <v>2021-10-02(토) 오전 00:00</v>
      </c>
      <c r="N96" s="217"/>
      <c r="O96" s="218"/>
      <c r="Q96" s="202"/>
      <c r="R96" s="202"/>
      <c r="S96" s="202"/>
    </row>
    <row r="97" spans="1:19" ht="17.25" thickBot="1">
      <c r="A97" s="24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192"/>
      <c r="R97" s="192"/>
      <c r="S97" s="192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2"/>
      <c r="R98" s="202"/>
      <c r="S98" s="20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2"/>
      <c r="R99" s="202"/>
      <c r="S99" s="20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2"/>
      <c r="R100" s="192"/>
      <c r="S100" s="192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2"/>
      <c r="R101" s="192"/>
      <c r="S101" s="192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2"/>
      <c r="R102" s="192"/>
      <c r="S102" s="192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2"/>
      <c r="R103" s="192"/>
      <c r="S103" s="192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2"/>
      <c r="R104" s="192"/>
      <c r="S104" s="192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2"/>
      <c r="R105" s="192"/>
      <c r="S105" s="192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3"/>
      <c r="R107" s="194"/>
      <c r="S107" s="195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6"/>
      <c r="R108" s="197"/>
      <c r="S108" s="198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9"/>
      <c r="R109" s="200"/>
      <c r="S109" s="201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2"/>
      <c r="R110" s="192"/>
      <c r="S110" s="192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2"/>
      <c r="R111" s="202"/>
      <c r="S111" s="20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2"/>
      <c r="R112" s="202"/>
      <c r="S112" s="20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2"/>
      <c r="R113" s="192"/>
      <c r="S113" s="192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2"/>
      <c r="R114" s="192"/>
      <c r="S114" s="192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2"/>
      <c r="R115" s="192"/>
      <c r="S115" s="192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1"/>
      <c r="R116" s="182"/>
      <c r="S116" s="183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4"/>
      <c r="R117" s="185"/>
      <c r="S117" s="186"/>
    </row>
    <row r="118" spans="1:19" ht="17.25" thickBot="1">
      <c r="A118" s="132" t="s">
        <v>268</v>
      </c>
      <c r="B118" s="245">
        <f>$B$37</f>
        <v>150000</v>
      </c>
      <c r="C118" s="246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187"/>
      <c r="R118" s="188"/>
      <c r="S118" s="189"/>
    </row>
    <row r="120" spans="1:19" ht="17.25" thickBot="1"/>
    <row r="121" spans="1:19" ht="17.25" thickBot="1">
      <c r="A121" s="203" t="s">
        <v>256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16" t="s">
        <v>265</v>
      </c>
      <c r="B122" s="203" t="s">
        <v>49</v>
      </c>
      <c r="C122" s="205"/>
      <c r="D122" s="203" t="s">
        <v>58</v>
      </c>
      <c r="E122" s="204"/>
      <c r="F122" s="205"/>
      <c r="G122" s="206">
        <f>_xlfn.IFNA(VLOOKUP(B122, 현재가테이블!$B$2:$D$200, 2, FALSE), "-")</f>
        <v>62630000</v>
      </c>
      <c r="H122" s="207"/>
      <c r="I122" s="208"/>
      <c r="J122" s="203" t="s">
        <v>59</v>
      </c>
      <c r="K122" s="204"/>
      <c r="L122" s="205"/>
      <c r="M122" s="209">
        <f>_xlfn.IFNA(VLOOKUP(B122, 현재가테이블!$B$2:$D$200, 3, FALSE), "-")</f>
        <v>1.5632601400000001E-2</v>
      </c>
      <c r="N122" s="210"/>
      <c r="O122" s="211"/>
      <c r="Q122" s="202"/>
      <c r="R122" s="202"/>
      <c r="S122" s="202"/>
    </row>
    <row r="123" spans="1:19" ht="17.25" thickBot="1">
      <c r="A123" s="247" t="s">
        <v>55</v>
      </c>
      <c r="B123" s="243" t="str">
        <f>TEXT($G$1, "[$-ko-KR]yyyy-mm-dd(ddd) ") &amp; "오전 00:00"</f>
        <v>2021-10-01(금) 오전 00:00</v>
      </c>
      <c r="C123" s="244"/>
      <c r="D123" s="216" t="str">
        <f>TEXT($G$1, "[$-ko-KR]yyyy-mm-dd(ddd) ") &amp; "오후 14:00"</f>
        <v>2021-10-01(금) 오후 14:00</v>
      </c>
      <c r="E123" s="217"/>
      <c r="F123" s="218"/>
      <c r="G123" s="216" t="str">
        <f>TEXT($G$1, "[$-ko-KR]yyyy-mm-dd(ddd) ") &amp; "오후 19:00"</f>
        <v>2021-10-01(금) 오후 19:00</v>
      </c>
      <c r="H123" s="217"/>
      <c r="I123" s="218"/>
      <c r="J123" s="216" t="str">
        <f>TEXT($G$1, "[$-ko-KR]yyyy-mm-dd(ddd) ") &amp; "오후 21:00"</f>
        <v>2021-10-01(금) 오후 21:00</v>
      </c>
      <c r="K123" s="217"/>
      <c r="L123" s="218"/>
      <c r="M123" s="216" t="str">
        <f>TEXT($G$1+1, "[$-ko-KR]yyyy-mm-dd(ddd) ") &amp; "오전 00:00"</f>
        <v>2021-10-02(토) 오전 00:00</v>
      </c>
      <c r="N123" s="217"/>
      <c r="O123" s="218"/>
      <c r="Q123" s="202"/>
      <c r="R123" s="202"/>
      <c r="S123" s="202"/>
    </row>
    <row r="124" spans="1:19" ht="17.25" thickBot="1">
      <c r="A124" s="24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192"/>
      <c r="R124" s="192"/>
      <c r="S124" s="192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2"/>
      <c r="R125" s="202"/>
      <c r="S125" s="20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2"/>
      <c r="R126" s="202"/>
      <c r="S126" s="20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2"/>
      <c r="R127" s="192"/>
      <c r="S127" s="192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2"/>
      <c r="R128" s="192"/>
      <c r="S128" s="192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2"/>
      <c r="R129" s="192"/>
      <c r="S129" s="192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2"/>
      <c r="R130" s="192"/>
      <c r="S130" s="192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2"/>
      <c r="R131" s="192"/>
      <c r="S131" s="192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2"/>
      <c r="R132" s="192"/>
      <c r="S132" s="192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3"/>
      <c r="R134" s="194"/>
      <c r="S134" s="195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6"/>
      <c r="R135" s="197"/>
      <c r="S135" s="198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9"/>
      <c r="R136" s="200"/>
      <c r="S136" s="201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2"/>
      <c r="R137" s="192"/>
      <c r="S137" s="192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2"/>
      <c r="R138" s="202"/>
      <c r="S138" s="20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2"/>
      <c r="R139" s="202"/>
      <c r="S139" s="20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2"/>
      <c r="R140" s="192"/>
      <c r="S140" s="192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2"/>
      <c r="R141" s="192"/>
      <c r="S141" s="192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2"/>
      <c r="R142" s="192"/>
      <c r="S142" s="192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1"/>
      <c r="R143" s="182"/>
      <c r="S143" s="18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4"/>
      <c r="R144" s="185"/>
      <c r="S144" s="186"/>
    </row>
    <row r="145" spans="1:19" ht="17.25" thickBot="1">
      <c r="A145" s="132" t="s">
        <v>268</v>
      </c>
      <c r="B145" s="245">
        <f>$B$37</f>
        <v>150000</v>
      </c>
      <c r="C145" s="246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187"/>
      <c r="R145" s="188"/>
      <c r="S145" s="189"/>
    </row>
    <row r="147" spans="1:19" ht="17.25" thickBot="1"/>
    <row r="148" spans="1:19" ht="17.25" thickBot="1">
      <c r="A148" s="203" t="s">
        <v>257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16" t="s">
        <v>265</v>
      </c>
      <c r="B149" s="203" t="s">
        <v>49</v>
      </c>
      <c r="C149" s="205"/>
      <c r="D149" s="203" t="s">
        <v>58</v>
      </c>
      <c r="E149" s="204"/>
      <c r="F149" s="205"/>
      <c r="G149" s="206">
        <f>_xlfn.IFNA(VLOOKUP(B149, 현재가테이블!$B$2:$D$200, 2, FALSE), "-")</f>
        <v>62630000</v>
      </c>
      <c r="H149" s="207"/>
      <c r="I149" s="208"/>
      <c r="J149" s="203" t="s">
        <v>59</v>
      </c>
      <c r="K149" s="204"/>
      <c r="L149" s="205"/>
      <c r="M149" s="209">
        <f>_xlfn.IFNA(VLOOKUP(B149, 현재가테이블!$B$2:$D$200, 3, FALSE), "-")</f>
        <v>1.5632601400000001E-2</v>
      </c>
      <c r="N149" s="210"/>
      <c r="O149" s="211"/>
      <c r="Q149" s="202"/>
      <c r="R149" s="202"/>
      <c r="S149" s="202"/>
    </row>
    <row r="150" spans="1:19" ht="17.25" thickBot="1">
      <c r="A150" s="247" t="s">
        <v>55</v>
      </c>
      <c r="B150" s="243" t="str">
        <f>TEXT($G$1, "[$-ko-KR]yyyy-mm-dd(ddd) ") &amp; "오전 00:00"</f>
        <v>2021-10-01(금) 오전 00:00</v>
      </c>
      <c r="C150" s="244"/>
      <c r="D150" s="216" t="str">
        <f>TEXT($G$1, "[$-ko-KR]yyyy-mm-dd(ddd) ") &amp; "오후 14:00"</f>
        <v>2021-10-01(금) 오후 14:00</v>
      </c>
      <c r="E150" s="217"/>
      <c r="F150" s="218"/>
      <c r="G150" s="216" t="str">
        <f>TEXT($G$1, "[$-ko-KR]yyyy-mm-dd(ddd) ") &amp; "오후 19:00"</f>
        <v>2021-10-01(금) 오후 19:00</v>
      </c>
      <c r="H150" s="217"/>
      <c r="I150" s="218"/>
      <c r="J150" s="216" t="str">
        <f>TEXT($G$1, "[$-ko-KR]yyyy-mm-dd(ddd) ") &amp; "오후 21:00"</f>
        <v>2021-10-01(금) 오후 21:00</v>
      </c>
      <c r="K150" s="217"/>
      <c r="L150" s="218"/>
      <c r="M150" s="216" t="str">
        <f>TEXT($G$1+1, "[$-ko-KR]yyyy-mm-dd(ddd) ") &amp; "오전 00:00"</f>
        <v>2021-10-02(토) 오전 00:00</v>
      </c>
      <c r="N150" s="217"/>
      <c r="O150" s="218"/>
      <c r="Q150" s="202"/>
      <c r="R150" s="202"/>
      <c r="S150" s="202"/>
    </row>
    <row r="151" spans="1:19" ht="17.25" thickBot="1">
      <c r="A151" s="24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192"/>
      <c r="R151" s="192"/>
      <c r="S151" s="192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2"/>
      <c r="R152" s="202"/>
      <c r="S152" s="20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2"/>
      <c r="R153" s="202"/>
      <c r="S153" s="20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2"/>
      <c r="R154" s="192"/>
      <c r="S154" s="192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2"/>
      <c r="R155" s="192"/>
      <c r="S155" s="192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2"/>
      <c r="R156" s="192"/>
      <c r="S156" s="192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2"/>
      <c r="R157" s="192"/>
      <c r="S157" s="192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2"/>
      <c r="R158" s="192"/>
      <c r="S158" s="192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2"/>
      <c r="R159" s="192"/>
      <c r="S159" s="192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3"/>
      <c r="R161" s="194"/>
      <c r="S161" s="195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6"/>
      <c r="R162" s="197"/>
      <c r="S162" s="198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9"/>
      <c r="R163" s="200"/>
      <c r="S163" s="201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2"/>
      <c r="R164" s="192"/>
      <c r="S164" s="192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2"/>
      <c r="R165" s="202"/>
      <c r="S165" s="20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2"/>
      <c r="R166" s="202"/>
      <c r="S166" s="20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2"/>
      <c r="R167" s="192"/>
      <c r="S167" s="192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2"/>
      <c r="R168" s="192"/>
      <c r="S168" s="192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2"/>
      <c r="R169" s="192"/>
      <c r="S169" s="192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1"/>
      <c r="R170" s="182"/>
      <c r="S170" s="183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4"/>
      <c r="R171" s="185"/>
      <c r="S171" s="186"/>
    </row>
    <row r="172" spans="1:19" ht="17.25" thickBot="1">
      <c r="A172" s="132" t="s">
        <v>268</v>
      </c>
      <c r="B172" s="245">
        <f>$B$37</f>
        <v>150000</v>
      </c>
      <c r="C172" s="246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187"/>
      <c r="R172" s="188"/>
      <c r="S172" s="189"/>
    </row>
    <row r="174" spans="1:19" ht="17.25" thickBot="1"/>
    <row r="175" spans="1:19" ht="17.25" thickBot="1">
      <c r="A175" s="203" t="s">
        <v>253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16" t="s">
        <v>265</v>
      </c>
      <c r="B176" s="203" t="s">
        <v>49</v>
      </c>
      <c r="C176" s="205"/>
      <c r="D176" s="203" t="s">
        <v>58</v>
      </c>
      <c r="E176" s="204"/>
      <c r="F176" s="205"/>
      <c r="G176" s="206">
        <f>_xlfn.IFNA(VLOOKUP(B176, 현재가테이블!$B$2:$D$200, 2, FALSE), "-")</f>
        <v>62630000</v>
      </c>
      <c r="H176" s="207"/>
      <c r="I176" s="208"/>
      <c r="J176" s="203" t="s">
        <v>59</v>
      </c>
      <c r="K176" s="204"/>
      <c r="L176" s="205"/>
      <c r="M176" s="209">
        <f>_xlfn.IFNA(VLOOKUP(B176, 현재가테이블!$B$2:$D$200, 3, FALSE), "-")</f>
        <v>1.5632601400000001E-2</v>
      </c>
      <c r="N176" s="210"/>
      <c r="O176" s="211"/>
      <c r="Q176" s="202"/>
      <c r="R176" s="202"/>
      <c r="S176" s="202"/>
    </row>
    <row r="177" spans="1:19" ht="17.25" thickBot="1">
      <c r="A177" s="247" t="s">
        <v>55</v>
      </c>
      <c r="B177" s="243" t="str">
        <f>TEXT($G$1, "[$-ko-KR]yyyy-mm-dd(ddd) ") &amp; "오전 00:00"</f>
        <v>2021-10-01(금) 오전 00:00</v>
      </c>
      <c r="C177" s="244"/>
      <c r="D177" s="216" t="str">
        <f>TEXT($G$1, "[$-ko-KR]yyyy-mm-dd(ddd) ") &amp; "오후 14:00"</f>
        <v>2021-10-01(금) 오후 14:00</v>
      </c>
      <c r="E177" s="217"/>
      <c r="F177" s="218"/>
      <c r="G177" s="216" t="str">
        <f>TEXT($G$1, "[$-ko-KR]yyyy-mm-dd(ddd) ") &amp; "오후 19:00"</f>
        <v>2021-10-01(금) 오후 19:00</v>
      </c>
      <c r="H177" s="217"/>
      <c r="I177" s="218"/>
      <c r="J177" s="216" t="str">
        <f>TEXT($G$1, "[$-ko-KR]yyyy-mm-dd(ddd) ") &amp; "오후 21:00"</f>
        <v>2021-10-01(금) 오후 21:00</v>
      </c>
      <c r="K177" s="217"/>
      <c r="L177" s="218"/>
      <c r="M177" s="216" t="str">
        <f>TEXT($G$1+1, "[$-ko-KR]yyyy-mm-dd(ddd) ") &amp; "오전 00:00"</f>
        <v>2021-10-02(토) 오전 00:00</v>
      </c>
      <c r="N177" s="217"/>
      <c r="O177" s="218"/>
      <c r="Q177" s="202"/>
      <c r="R177" s="202"/>
      <c r="S177" s="202"/>
    </row>
    <row r="178" spans="1:19" ht="17.25" thickBot="1">
      <c r="A178" s="24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192"/>
      <c r="R178" s="192"/>
      <c r="S178" s="192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2"/>
      <c r="R179" s="202"/>
      <c r="S179" s="20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2"/>
      <c r="R180" s="202"/>
      <c r="S180" s="20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2"/>
      <c r="R181" s="192"/>
      <c r="S181" s="192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2"/>
      <c r="R182" s="192"/>
      <c r="S182" s="192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2"/>
      <c r="R183" s="192"/>
      <c r="S183" s="192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2"/>
      <c r="R184" s="192"/>
      <c r="S184" s="192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2"/>
      <c r="R185" s="192"/>
      <c r="S185" s="192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2"/>
      <c r="R186" s="192"/>
      <c r="S186" s="192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3"/>
      <c r="R188" s="194"/>
      <c r="S188" s="195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6"/>
      <c r="R189" s="197"/>
      <c r="S189" s="198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9"/>
      <c r="R190" s="200"/>
      <c r="S190" s="201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2"/>
      <c r="R191" s="192"/>
      <c r="S191" s="192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2"/>
      <c r="R192" s="202"/>
      <c r="S192" s="20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2"/>
      <c r="R193" s="202"/>
      <c r="S193" s="20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2"/>
      <c r="R194" s="192"/>
      <c r="S194" s="192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2"/>
      <c r="R195" s="192"/>
      <c r="S195" s="192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2"/>
      <c r="R196" s="192"/>
      <c r="S196" s="192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1"/>
      <c r="R197" s="182"/>
      <c r="S197" s="183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4"/>
      <c r="R198" s="185"/>
      <c r="S198" s="186"/>
    </row>
    <row r="199" spans="1:19" ht="17.25" thickBot="1">
      <c r="A199" s="132" t="s">
        <v>268</v>
      </c>
      <c r="B199" s="245">
        <f>$B$37</f>
        <v>150000</v>
      </c>
      <c r="C199" s="246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187"/>
      <c r="R199" s="188"/>
      <c r="S199" s="189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149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9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9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9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9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9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9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9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8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8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87" priority="289">
      <formula>AND($N17 &gt; 0, ISNUMBER($N17))</formula>
    </cfRule>
    <cfRule type="expression" dxfId="1486" priority="290">
      <formula>AND($N17 = 0 * ISNUMBER($N17))</formula>
    </cfRule>
    <cfRule type="expression" dxfId="1485" priority="291">
      <formula>AND($N17 &lt; 0, ISNUMBER($N17))</formula>
    </cfRule>
  </conditionalFormatting>
  <conditionalFormatting sqref="A17:C36 D17:F36">
    <cfRule type="expression" dxfId="1484" priority="298">
      <formula>AND($E17 &gt; 0, ISNUMBER($E17))</formula>
    </cfRule>
    <cfRule type="expression" dxfId="1483" priority="299">
      <formula>AND($E17 = 0 * ISNUMBER($E17))</formula>
    </cfRule>
    <cfRule type="expression" dxfId="1482" priority="300">
      <formula>AND($E17 &lt; 0, ISNUMBER($E17))</formula>
    </cfRule>
  </conditionalFormatting>
  <conditionalFormatting sqref="A17:C36 G17:I36">
    <cfRule type="expression" dxfId="1481" priority="295">
      <formula>AND($H17 &gt; 0, ISNUMBER($H17))</formula>
    </cfRule>
    <cfRule type="expression" dxfId="1480" priority="296">
      <formula>AND($H17 = 0 * ISNUMBER($H17))</formula>
    </cfRule>
    <cfRule type="expression" dxfId="1479" priority="297">
      <formula>AND($H17 &lt; 0, ISNUMBER($H17))</formula>
    </cfRule>
  </conditionalFormatting>
  <conditionalFormatting sqref="A17:C36 J17:L36">
    <cfRule type="expression" dxfId="1478" priority="292">
      <formula>AND($K17 &gt; 0, ISNUMBER($K17))</formula>
    </cfRule>
    <cfRule type="expression" dxfId="1477" priority="293">
      <formula>AND($K17 = 0 * ISNUMBER($K17))</formula>
    </cfRule>
    <cfRule type="expression" dxfId="1476" priority="294">
      <formula>AND($K17 &lt; 0, ISNUMBER($K17))</formula>
    </cfRule>
  </conditionalFormatting>
  <conditionalFormatting sqref="D15:F16 E37:F37">
    <cfRule type="expression" dxfId="1475" priority="286">
      <formula>$E$37 &gt; 0</formula>
    </cfRule>
    <cfRule type="expression" dxfId="1474" priority="287">
      <formula>$E$37 = 0</formula>
    </cfRule>
    <cfRule type="expression" dxfId="1473" priority="288">
      <formula>$E$37 &lt; 0</formula>
    </cfRule>
  </conditionalFormatting>
  <conditionalFormatting sqref="G15:I16 H37:I37">
    <cfRule type="expression" dxfId="1472" priority="283">
      <formula>$H$37 &gt; 0</formula>
    </cfRule>
    <cfRule type="expression" dxfId="1471" priority="284">
      <formula>$H$37 = 0</formula>
    </cfRule>
    <cfRule type="expression" dxfId="1470" priority="285">
      <formula>$H$37 &lt; 0</formula>
    </cfRule>
  </conditionalFormatting>
  <conditionalFormatting sqref="J15:L16 K37:L37">
    <cfRule type="expression" dxfId="1469" priority="280">
      <formula>$K$37 &gt; 0</formula>
    </cfRule>
    <cfRule type="expression" dxfId="1468" priority="281">
      <formula>$K$37 = 0</formula>
    </cfRule>
    <cfRule type="expression" dxfId="1467" priority="282">
      <formula>$K$37 &lt; 0</formula>
    </cfRule>
  </conditionalFormatting>
  <conditionalFormatting sqref="M15:O16 N37:O37">
    <cfRule type="expression" dxfId="1466" priority="277">
      <formula>$N$37 &gt; 0</formula>
    </cfRule>
    <cfRule type="expression" dxfId="1465" priority="278">
      <formula>$N$37 = 0</formula>
    </cfRule>
    <cfRule type="expression" dxfId="1464" priority="279">
      <formula>$N$37 &lt; 0</formula>
    </cfRule>
  </conditionalFormatting>
  <conditionalFormatting sqref="A44:C63 M44:O63">
    <cfRule type="expression" dxfId="1463" priority="265">
      <formula>AND($N44 &gt; 0, ISNUMBER($N44))</formula>
    </cfRule>
    <cfRule type="expression" dxfId="1462" priority="266">
      <formula>AND($N44 = 0 * ISNUMBER($N44))</formula>
    </cfRule>
    <cfRule type="expression" dxfId="1461" priority="267">
      <formula>AND($N44 &lt; 0, ISNUMBER($N44))</formula>
    </cfRule>
  </conditionalFormatting>
  <conditionalFormatting sqref="A44:F63">
    <cfRule type="expression" dxfId="1460" priority="274">
      <formula>AND($E44 &gt; 0, ISNUMBER($E44))</formula>
    </cfRule>
    <cfRule type="expression" dxfId="1459" priority="275">
      <formula>AND($E44 = 0 * ISNUMBER($E44))</formula>
    </cfRule>
    <cfRule type="expression" dxfId="1458" priority="276">
      <formula>AND($E44 &lt; 0, ISNUMBER($E44))</formula>
    </cfRule>
  </conditionalFormatting>
  <conditionalFormatting sqref="A44:C63 G44:I63">
    <cfRule type="expression" dxfId="1457" priority="271">
      <formula>AND($H44 &gt; 0, ISNUMBER($H44))</formula>
    </cfRule>
    <cfRule type="expression" dxfId="1456" priority="272">
      <formula>AND($H44 = 0 * ISNUMBER($H44))</formula>
    </cfRule>
    <cfRule type="expression" dxfId="1455" priority="273">
      <formula>AND($H44 &lt; 0, ISNUMBER($H44))</formula>
    </cfRule>
  </conditionalFormatting>
  <conditionalFormatting sqref="A44:C63 J44:L63">
    <cfRule type="expression" dxfId="1454" priority="268">
      <formula>AND($K44 &gt; 0, ISNUMBER($K44))</formula>
    </cfRule>
    <cfRule type="expression" dxfId="1453" priority="269">
      <formula>AND($K44 = 0 * ISNUMBER($K44))</formula>
    </cfRule>
    <cfRule type="expression" dxfId="1452" priority="270">
      <formula>AND($K44 &lt; 0, ISNUMBER($K44))</formula>
    </cfRule>
  </conditionalFormatting>
  <conditionalFormatting sqref="D42:F43 E64:F64">
    <cfRule type="expression" dxfId="1451" priority="262">
      <formula>$E$64 &gt; 0</formula>
    </cfRule>
    <cfRule type="expression" dxfId="1450" priority="263">
      <formula>$E$64 = 0</formula>
    </cfRule>
    <cfRule type="expression" dxfId="1449" priority="264">
      <formula>$E$64 &lt; 0</formula>
    </cfRule>
  </conditionalFormatting>
  <conditionalFormatting sqref="G42:I43 H64:I64">
    <cfRule type="expression" dxfId="1448" priority="259">
      <formula>$H$64 &gt; 0</formula>
    </cfRule>
    <cfRule type="expression" dxfId="1447" priority="260">
      <formula>$H$64 = 0</formula>
    </cfRule>
    <cfRule type="expression" dxfId="1446" priority="261">
      <formula>$H$64 &lt; 0</formula>
    </cfRule>
  </conditionalFormatting>
  <conditionalFormatting sqref="J42:L43 K64:L64">
    <cfRule type="expression" dxfId="1445" priority="256">
      <formula>$K$64 &gt; 0</formula>
    </cfRule>
    <cfRule type="expression" dxfId="1444" priority="257">
      <formula>$K$64 = 0</formula>
    </cfRule>
    <cfRule type="expression" dxfId="1443" priority="258">
      <formula>$K$64 &lt; 0</formula>
    </cfRule>
  </conditionalFormatting>
  <conditionalFormatting sqref="M42:O43 N64:O64">
    <cfRule type="expression" dxfId="1442" priority="253">
      <formula>$N$64 &gt; 0</formula>
    </cfRule>
    <cfRule type="expression" dxfId="1441" priority="254">
      <formula>$N$64 = 0</formula>
    </cfRule>
    <cfRule type="expression" dxfId="1440" priority="255">
      <formula>$N$64 &lt; 0</formula>
    </cfRule>
  </conditionalFormatting>
  <conditionalFormatting sqref="A71:C90 M71:O90">
    <cfRule type="expression" dxfId="1439" priority="109">
      <formula>AND($N71 &gt; 0, ISNUMBER($N71))</formula>
    </cfRule>
    <cfRule type="expression" dxfId="1438" priority="110">
      <formula>AND($N71 = 0 * ISNUMBER($N71))</formula>
    </cfRule>
    <cfRule type="expression" dxfId="1437" priority="111">
      <formula>AND($N71 &lt; 0, ISNUMBER($N71))</formula>
    </cfRule>
  </conditionalFormatting>
  <conditionalFormatting sqref="A71:F90">
    <cfRule type="expression" dxfId="1436" priority="118">
      <formula>AND($E71 &gt; 0, ISNUMBER($E71))</formula>
    </cfRule>
    <cfRule type="expression" dxfId="1435" priority="119">
      <formula>AND($E71 = 0 * ISNUMBER($E71))</formula>
    </cfRule>
    <cfRule type="expression" dxfId="1434" priority="120">
      <formula>AND($E71 &lt; 0, ISNUMBER($E71))</formula>
    </cfRule>
  </conditionalFormatting>
  <conditionalFormatting sqref="A71:C90 G71:I90">
    <cfRule type="expression" dxfId="1433" priority="115">
      <formula>AND($H71 &gt; 0, ISNUMBER($H71))</formula>
    </cfRule>
    <cfRule type="expression" dxfId="1432" priority="116">
      <formula>AND($H71 = 0 * ISNUMBER($H71))</formula>
    </cfRule>
    <cfRule type="expression" dxfId="1431" priority="117">
      <formula>AND($H71 &lt; 0, ISNUMBER($H71))</formula>
    </cfRule>
  </conditionalFormatting>
  <conditionalFormatting sqref="A71:C90 J71:L90">
    <cfRule type="expression" dxfId="1430" priority="112">
      <formula>AND($K71 &gt; 0, ISNUMBER($K71))</formula>
    </cfRule>
    <cfRule type="expression" dxfId="1429" priority="113">
      <formula>AND($K71 = 0 * ISNUMBER($K71))</formula>
    </cfRule>
    <cfRule type="expression" dxfId="1428" priority="114">
      <formula>AND($K71 &lt; 0, ISNUMBER($K71))</formula>
    </cfRule>
  </conditionalFormatting>
  <conditionalFormatting sqref="D69:F70 E91:F91">
    <cfRule type="expression" dxfId="1427" priority="106">
      <formula>$E$91 &gt; 0</formula>
    </cfRule>
    <cfRule type="expression" dxfId="1426" priority="107">
      <formula>$E$91 = 0</formula>
    </cfRule>
    <cfRule type="expression" dxfId="1425" priority="108">
      <formula>$E$91 &lt; 0</formula>
    </cfRule>
  </conditionalFormatting>
  <conditionalFormatting sqref="G69:I70 H91:I91">
    <cfRule type="expression" dxfId="1424" priority="103">
      <formula>$H$91 &gt; 0</formula>
    </cfRule>
    <cfRule type="expression" dxfId="1423" priority="104">
      <formula>$H$91 = 0</formula>
    </cfRule>
    <cfRule type="expression" dxfId="1422" priority="105">
      <formula>$H$91 &lt; 0</formula>
    </cfRule>
  </conditionalFormatting>
  <conditionalFormatting sqref="J69:L70 K91:L91">
    <cfRule type="expression" dxfId="1421" priority="100">
      <formula>$K$91 &gt; 0</formula>
    </cfRule>
    <cfRule type="expression" dxfId="1420" priority="101">
      <formula>$K$91 = 0</formula>
    </cfRule>
    <cfRule type="expression" dxfId="1419" priority="102">
      <formula>$K$91 &lt; 0</formula>
    </cfRule>
  </conditionalFormatting>
  <conditionalFormatting sqref="M69:O70 N91:O91">
    <cfRule type="expression" dxfId="1418" priority="97">
      <formula>$N$91 &gt; 0</formula>
    </cfRule>
    <cfRule type="expression" dxfId="1417" priority="98">
      <formula>$N$91 = 0</formula>
    </cfRule>
    <cfRule type="expression" dxfId="1416" priority="99">
      <formula>$N$91 &lt; 0</formula>
    </cfRule>
  </conditionalFormatting>
  <conditionalFormatting sqref="A98:C117 M98:O117">
    <cfRule type="expression" dxfId="1415" priority="85">
      <formula>AND($N98 &gt; 0, ISNUMBER($N98))</formula>
    </cfRule>
    <cfRule type="expression" dxfId="1414" priority="86">
      <formula>AND($N98 = 0 * ISNUMBER($N98))</formula>
    </cfRule>
    <cfRule type="expression" dxfId="1413" priority="87">
      <formula>AND($N98 &lt; 0, ISNUMBER($N98))</formula>
    </cfRule>
  </conditionalFormatting>
  <conditionalFormatting sqref="A98:F117">
    <cfRule type="expression" dxfId="1412" priority="94">
      <formula>AND($E98 &gt; 0, ISNUMBER($E98))</formula>
    </cfRule>
    <cfRule type="expression" dxfId="1411" priority="95">
      <formula>AND($E98 = 0 * ISNUMBER($E98))</formula>
    </cfRule>
    <cfRule type="expression" dxfId="1410" priority="96">
      <formula>AND($E98 &lt; 0, ISNUMBER($E98))</formula>
    </cfRule>
  </conditionalFormatting>
  <conditionalFormatting sqref="A98:C117 G98:I117">
    <cfRule type="expression" dxfId="1409" priority="91">
      <formula>AND($H98 &gt; 0, ISNUMBER($H98))</formula>
    </cfRule>
    <cfRule type="expression" dxfId="1408" priority="92">
      <formula>AND($H98 = 0 * ISNUMBER($H98))</formula>
    </cfRule>
    <cfRule type="expression" dxfId="1407" priority="93">
      <formula>AND($H98 &lt; 0, ISNUMBER($H98))</formula>
    </cfRule>
  </conditionalFormatting>
  <conditionalFormatting sqref="A98:C117 J98:L117">
    <cfRule type="expression" dxfId="1406" priority="88">
      <formula>AND($K98 &gt; 0, ISNUMBER($K98))</formula>
    </cfRule>
    <cfRule type="expression" dxfId="1405" priority="89">
      <formula>AND($K98 = 0 * ISNUMBER($K98))</formula>
    </cfRule>
    <cfRule type="expression" dxfId="1404" priority="90">
      <formula>AND($K98 &lt; 0, ISNUMBER($K98))</formula>
    </cfRule>
  </conditionalFormatting>
  <conditionalFormatting sqref="D96:F97 E118:F118">
    <cfRule type="expression" dxfId="1403" priority="82">
      <formula>$E$118 &gt; 0</formula>
    </cfRule>
    <cfRule type="expression" dxfId="1402" priority="83">
      <formula>$E$118 = 0</formula>
    </cfRule>
    <cfRule type="expression" dxfId="1401" priority="84">
      <formula>$E$118 &lt; 0</formula>
    </cfRule>
  </conditionalFormatting>
  <conditionalFormatting sqref="G96:I97 H118:I118">
    <cfRule type="expression" dxfId="1400" priority="79">
      <formula>$H$118 &gt; 0</formula>
    </cfRule>
    <cfRule type="expression" dxfId="1399" priority="80">
      <formula>$H$118 = 0</formula>
    </cfRule>
    <cfRule type="expression" dxfId="1398" priority="81">
      <formula>$H$118 &lt; 0</formula>
    </cfRule>
  </conditionalFormatting>
  <conditionalFormatting sqref="J96:L97 K118:L118">
    <cfRule type="expression" dxfId="1397" priority="76">
      <formula>$K$118 &gt; 0</formula>
    </cfRule>
    <cfRule type="expression" dxfId="1396" priority="77">
      <formula>$K$118 = 0</formula>
    </cfRule>
    <cfRule type="expression" dxfId="1395" priority="78">
      <formula>$K$118 &lt; 0</formula>
    </cfRule>
  </conditionalFormatting>
  <conditionalFormatting sqref="M96:O97 N118:O118">
    <cfRule type="expression" dxfId="1394" priority="73">
      <formula>$N$118 &gt; 0</formula>
    </cfRule>
    <cfRule type="expression" dxfId="1393" priority="74">
      <formula>$N$118 = 0</formula>
    </cfRule>
    <cfRule type="expression" dxfId="1392" priority="75">
      <formula>$N$118 &lt; 0</formula>
    </cfRule>
  </conditionalFormatting>
  <conditionalFormatting sqref="A125:C144 M125:O144">
    <cfRule type="expression" dxfId="1391" priority="61">
      <formula>AND($N125 &gt; 0, ISNUMBER($N125))</formula>
    </cfRule>
    <cfRule type="expression" dxfId="1390" priority="62">
      <formula>AND($N125 = 0 * ISNUMBER($N125))</formula>
    </cfRule>
    <cfRule type="expression" dxfId="1389" priority="63">
      <formula>AND($N125 &lt; 0, ISNUMBER($N125))</formula>
    </cfRule>
  </conditionalFormatting>
  <conditionalFormatting sqref="A125:F144">
    <cfRule type="expression" dxfId="1388" priority="70">
      <formula>AND($E125 &gt; 0, ISNUMBER($E125))</formula>
    </cfRule>
    <cfRule type="expression" dxfId="1387" priority="71">
      <formula>AND($E125 = 0 * ISNUMBER($E125))</formula>
    </cfRule>
    <cfRule type="expression" dxfId="1386" priority="72">
      <formula>AND($E125 &lt; 0, ISNUMBER($E125))</formula>
    </cfRule>
  </conditionalFormatting>
  <conditionalFormatting sqref="A125:C144 G125:I144">
    <cfRule type="expression" dxfId="1385" priority="67">
      <formula>AND($H125 &gt; 0, ISNUMBER($H125))</formula>
    </cfRule>
    <cfRule type="expression" dxfId="1384" priority="68">
      <formula>AND($H125 = 0 * ISNUMBER($H125))</formula>
    </cfRule>
    <cfRule type="expression" dxfId="1383" priority="69">
      <formula>AND($H125 &lt; 0, ISNUMBER($H125))</formula>
    </cfRule>
  </conditionalFormatting>
  <conditionalFormatting sqref="A125:C144 J125:L144">
    <cfRule type="expression" dxfId="1382" priority="64">
      <formula>AND($K125 &gt; 0, ISNUMBER($K125))</formula>
    </cfRule>
    <cfRule type="expression" dxfId="1381" priority="65">
      <formula>AND($K125 = 0 * ISNUMBER($K125))</formula>
    </cfRule>
    <cfRule type="expression" dxfId="1380" priority="66">
      <formula>AND($K125 &lt; 0, ISNUMBER($K125))</formula>
    </cfRule>
  </conditionalFormatting>
  <conditionalFormatting sqref="D123:F124 E145:F145">
    <cfRule type="expression" dxfId="1379" priority="58">
      <formula>$E$145 &gt; 0</formula>
    </cfRule>
    <cfRule type="expression" dxfId="1378" priority="59">
      <formula>$E$145 = 0</formula>
    </cfRule>
    <cfRule type="expression" dxfId="1377" priority="60">
      <formula>$E$145 &lt; 0</formula>
    </cfRule>
  </conditionalFormatting>
  <conditionalFormatting sqref="G123:I124 H145:I145">
    <cfRule type="expression" dxfId="1376" priority="55">
      <formula>$H$145 &gt; 0</formula>
    </cfRule>
    <cfRule type="expression" dxfId="1375" priority="56">
      <formula>$H$145 = 0</formula>
    </cfRule>
    <cfRule type="expression" dxfId="1374" priority="57">
      <formula>$H$145 &lt; 0</formula>
    </cfRule>
  </conditionalFormatting>
  <conditionalFormatting sqref="J123:L124 K145:L145">
    <cfRule type="expression" dxfId="1373" priority="52">
      <formula>$K$145 &gt; 0</formula>
    </cfRule>
    <cfRule type="expression" dxfId="1372" priority="53">
      <formula>$K$145 = 0</formula>
    </cfRule>
    <cfRule type="expression" dxfId="1371" priority="54">
      <formula>$K$145 &lt; 0</formula>
    </cfRule>
  </conditionalFormatting>
  <conditionalFormatting sqref="M123:O124 N145:O145">
    <cfRule type="expression" dxfId="1370" priority="49">
      <formula>$N$145 &gt; 0</formula>
    </cfRule>
    <cfRule type="expression" dxfId="1369" priority="50">
      <formula>$N$145 = 0</formula>
    </cfRule>
    <cfRule type="expression" dxfId="1368" priority="51">
      <formula>$N$145 &lt; 0</formula>
    </cfRule>
  </conditionalFormatting>
  <conditionalFormatting sqref="A152:C171 M152:O171">
    <cfRule type="expression" dxfId="1367" priority="37">
      <formula>AND($N152 &gt; 0, ISNUMBER($N152))</formula>
    </cfRule>
    <cfRule type="expression" dxfId="1366" priority="38">
      <formula>AND($N152 = 0 * ISNUMBER($N152))</formula>
    </cfRule>
    <cfRule type="expression" dxfId="1365" priority="39">
      <formula>AND($N152 &lt; 0, ISNUMBER($N152))</formula>
    </cfRule>
  </conditionalFormatting>
  <conditionalFormatting sqref="A152:F171">
    <cfRule type="expression" dxfId="1364" priority="46">
      <formula>AND($E152 &gt; 0, ISNUMBER($E152))</formula>
    </cfRule>
    <cfRule type="expression" dxfId="1363" priority="47">
      <formula>AND($E152 = 0 * ISNUMBER($E152))</formula>
    </cfRule>
    <cfRule type="expression" dxfId="1362" priority="48">
      <formula>AND($E152 &lt; 0, ISNUMBER($E152))</formula>
    </cfRule>
  </conditionalFormatting>
  <conditionalFormatting sqref="A152:C171 G152:I171">
    <cfRule type="expression" dxfId="1361" priority="43">
      <formula>AND($H152 &gt; 0, ISNUMBER($H152))</formula>
    </cfRule>
    <cfRule type="expression" dxfId="1360" priority="44">
      <formula>AND($H152 = 0 * ISNUMBER($H152))</formula>
    </cfRule>
    <cfRule type="expression" dxfId="1359" priority="45">
      <formula>AND($H152 &lt; 0, ISNUMBER($H152))</formula>
    </cfRule>
  </conditionalFormatting>
  <conditionalFormatting sqref="A152:C171 J152:L171">
    <cfRule type="expression" dxfId="1358" priority="40">
      <formula>AND($K152 &gt; 0, ISNUMBER($K152))</formula>
    </cfRule>
    <cfRule type="expression" dxfId="1357" priority="41">
      <formula>AND($K152 = 0 * ISNUMBER($K152))</formula>
    </cfRule>
    <cfRule type="expression" dxfId="1356" priority="42">
      <formula>AND($K152 &lt; 0, ISNUMBER($K152))</formula>
    </cfRule>
  </conditionalFormatting>
  <conditionalFormatting sqref="D150:F151 E172:F172">
    <cfRule type="expression" dxfId="1355" priority="34">
      <formula>$E$172 &gt; 0</formula>
    </cfRule>
    <cfRule type="expression" dxfId="1354" priority="35">
      <formula>$E$172 = 0</formula>
    </cfRule>
    <cfRule type="expression" dxfId="1353" priority="36">
      <formula>$E$172 &lt; 0</formula>
    </cfRule>
  </conditionalFormatting>
  <conditionalFormatting sqref="G150:I151 H172:I172">
    <cfRule type="expression" dxfId="1352" priority="31">
      <formula>$H$172 &gt; 0</formula>
    </cfRule>
    <cfRule type="expression" dxfId="1351" priority="32">
      <formula>$H$172 = 0</formula>
    </cfRule>
    <cfRule type="expression" dxfId="1350" priority="33">
      <formula>$H$172 &lt; 0</formula>
    </cfRule>
  </conditionalFormatting>
  <conditionalFormatting sqref="J150:L151 K172:L172">
    <cfRule type="expression" dxfId="1349" priority="28">
      <formula>$K$172 &gt; 0</formula>
    </cfRule>
    <cfRule type="expression" dxfId="1348" priority="29">
      <formula>$K$172 = 0</formula>
    </cfRule>
    <cfRule type="expression" dxfId="1347" priority="30">
      <formula>$K$172 &lt; 0</formula>
    </cfRule>
  </conditionalFormatting>
  <conditionalFormatting sqref="M150:O151 N172:O172">
    <cfRule type="expression" dxfId="1346" priority="25">
      <formula>$N$172 &gt; 0</formula>
    </cfRule>
    <cfRule type="expression" dxfId="1345" priority="26">
      <formula>$N$172 = 0</formula>
    </cfRule>
    <cfRule type="expression" dxfId="1344" priority="27">
      <formula>$N$172 &lt; 0</formula>
    </cfRule>
  </conditionalFormatting>
  <conditionalFormatting sqref="A179:C198 M179:O198">
    <cfRule type="expression" dxfId="1343" priority="13">
      <formula>AND($N179 &gt; 0, ISNUMBER($N179))</formula>
    </cfRule>
    <cfRule type="expression" dxfId="1342" priority="14">
      <formula>AND($N179 = 0 * ISNUMBER($N179))</formula>
    </cfRule>
    <cfRule type="expression" dxfId="1341" priority="15">
      <formula>AND($N179 &lt; 0, ISNUMBER($N179))</formula>
    </cfRule>
  </conditionalFormatting>
  <conditionalFormatting sqref="A179:F198">
    <cfRule type="expression" dxfId="1340" priority="22">
      <formula>AND($E179 &gt; 0, ISNUMBER($E179))</formula>
    </cfRule>
    <cfRule type="expression" dxfId="1339" priority="23">
      <formula>AND($E179 = 0 * ISNUMBER($E179))</formula>
    </cfRule>
    <cfRule type="expression" dxfId="1338" priority="24">
      <formula>AND($E179 &lt; 0, ISNUMBER($E179))</formula>
    </cfRule>
  </conditionalFormatting>
  <conditionalFormatting sqref="A179:C198 G179:I198">
    <cfRule type="expression" dxfId="1337" priority="19">
      <formula>AND($H179 &gt; 0, ISNUMBER($H179))</formula>
    </cfRule>
    <cfRule type="expression" dxfId="1336" priority="20">
      <formula>AND($H179 = 0 * ISNUMBER($H179))</formula>
    </cfRule>
    <cfRule type="expression" dxfId="1335" priority="21">
      <formula>AND($H179 &lt; 0, ISNUMBER($H179))</formula>
    </cfRule>
  </conditionalFormatting>
  <conditionalFormatting sqref="A179:C198 J179:L198">
    <cfRule type="expression" dxfId="1334" priority="16">
      <formula>AND($K179 &gt; 0, ISNUMBER($K179))</formula>
    </cfRule>
    <cfRule type="expression" dxfId="1333" priority="17">
      <formula>AND($K179 = 0 * ISNUMBER($K179))</formula>
    </cfRule>
    <cfRule type="expression" dxfId="1332" priority="18">
      <formula>AND($K179 &lt; 0, ISNUMBER($K179))</formula>
    </cfRule>
  </conditionalFormatting>
  <conditionalFormatting sqref="D177:F178 E199:F199">
    <cfRule type="expression" dxfId="1331" priority="10">
      <formula>$E$199 &gt; 0</formula>
    </cfRule>
    <cfRule type="expression" dxfId="1330" priority="11">
      <formula>$E$199 = 0</formula>
    </cfRule>
    <cfRule type="expression" dxfId="1329" priority="12">
      <formula>$E$199 &lt; 0</formula>
    </cfRule>
  </conditionalFormatting>
  <conditionalFormatting sqref="G177:I178 H199:I199">
    <cfRule type="expression" dxfId="1328" priority="7">
      <formula>$H$199 &gt; 0</formula>
    </cfRule>
    <cfRule type="expression" dxfId="1327" priority="8">
      <formula>$H$199 = 0</formula>
    </cfRule>
    <cfRule type="expression" dxfId="1326" priority="9">
      <formula>$H$199 &lt; 0</formula>
    </cfRule>
  </conditionalFormatting>
  <conditionalFormatting sqref="J177:L178 K199:L199">
    <cfRule type="expression" dxfId="1325" priority="4">
      <formula>$K$199 &gt; 0</formula>
    </cfRule>
    <cfRule type="expression" dxfId="1324" priority="5">
      <formula>$K$199 = 0</formula>
    </cfRule>
    <cfRule type="expression" dxfId="1323" priority="6">
      <formula>$K$199 &lt; 0</formula>
    </cfRule>
  </conditionalFormatting>
  <conditionalFormatting sqref="M177:O178 N199:O199">
    <cfRule type="expression" dxfId="1322" priority="1">
      <formula>$N$199 &gt; 0</formula>
    </cfRule>
    <cfRule type="expression" dxfId="1321" priority="2">
      <formula>$N$199 = 0</formula>
    </cfRule>
    <cfRule type="expression" dxfId="132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229</v>
      </c>
      <c r="B2" s="11" t="s">
        <v>230</v>
      </c>
      <c r="C2" s="95">
        <v>1360</v>
      </c>
      <c r="D2" s="92">
        <v>0.60188457009999996</v>
      </c>
      <c r="E2" s="93">
        <v>1054020177.5997162</v>
      </c>
      <c r="F2" s="35"/>
      <c r="G2" s="54"/>
      <c r="H2" s="35"/>
      <c r="I2" s="35"/>
    </row>
    <row r="3" spans="1:18" ht="17.25" thickBot="1">
      <c r="A3" s="40" t="s">
        <v>237</v>
      </c>
      <c r="B3" s="11" t="s">
        <v>238</v>
      </c>
      <c r="C3" s="95">
        <v>274</v>
      </c>
      <c r="D3" s="92">
        <v>0.53932584269999995</v>
      </c>
      <c r="E3" s="93">
        <v>10887669780.759319</v>
      </c>
      <c r="F3" s="35"/>
      <c r="G3" s="247" t="s">
        <v>258</v>
      </c>
      <c r="H3" s="259" t="s">
        <v>330</v>
      </c>
      <c r="I3" s="259"/>
      <c r="K3" s="203" t="s">
        <v>34</v>
      </c>
      <c r="L3" s="204"/>
      <c r="M3" s="204"/>
      <c r="N3" s="205"/>
      <c r="O3" s="203" t="s">
        <v>260</v>
      </c>
      <c r="P3" s="204"/>
      <c r="Q3" s="204"/>
      <c r="R3" s="205"/>
    </row>
    <row r="4" spans="1:18" ht="17.25" thickBot="1">
      <c r="A4" s="40" t="s">
        <v>233</v>
      </c>
      <c r="B4" s="11" t="s">
        <v>234</v>
      </c>
      <c r="C4" s="95">
        <v>898</v>
      </c>
      <c r="D4" s="92">
        <v>0.29956584660000002</v>
      </c>
      <c r="E4" s="93">
        <v>425717045.28660727</v>
      </c>
      <c r="F4" s="35"/>
      <c r="G4" s="248"/>
      <c r="H4" s="260"/>
      <c r="I4" s="260"/>
      <c r="K4" s="240" t="s">
        <v>55</v>
      </c>
      <c r="L4" s="256">
        <f ca="1">NOW()</f>
        <v>44475.879401736114</v>
      </c>
      <c r="M4" s="257"/>
      <c r="N4" s="258"/>
      <c r="O4" s="255" t="s">
        <v>55</v>
      </c>
      <c r="P4" s="256">
        <f ca="1">NOW()</f>
        <v>44475.879401736114</v>
      </c>
      <c r="Q4" s="257"/>
      <c r="R4" s="258"/>
    </row>
    <row r="5" spans="1:18" ht="17.25" thickBot="1">
      <c r="A5" s="40" t="s">
        <v>225</v>
      </c>
      <c r="B5" s="11" t="s">
        <v>226</v>
      </c>
      <c r="C5" s="95">
        <v>1135</v>
      </c>
      <c r="D5" s="92">
        <v>0.16171954960000001</v>
      </c>
      <c r="E5" s="93">
        <v>706658322.60083711</v>
      </c>
      <c r="F5" s="35"/>
      <c r="K5" s="248"/>
      <c r="L5" s="36" t="s">
        <v>58</v>
      </c>
      <c r="M5" s="73" t="s">
        <v>59</v>
      </c>
      <c r="N5" s="69" t="s">
        <v>262</v>
      </c>
      <c r="O5" s="248"/>
      <c r="P5" s="36" t="s">
        <v>58</v>
      </c>
      <c r="Q5" s="73" t="s">
        <v>59</v>
      </c>
      <c r="R5" s="69" t="s">
        <v>262</v>
      </c>
    </row>
    <row r="6" spans="1:18" ht="17.25" thickBot="1">
      <c r="A6" s="40" t="s">
        <v>215</v>
      </c>
      <c r="B6" s="11" t="s">
        <v>216</v>
      </c>
      <c r="C6" s="95">
        <v>160</v>
      </c>
      <c r="D6" s="92">
        <v>0.1034482759</v>
      </c>
      <c r="E6" s="93">
        <v>923599992.71206141</v>
      </c>
      <c r="F6" s="35"/>
      <c r="G6" s="203" t="s">
        <v>52</v>
      </c>
      <c r="H6" s="204"/>
      <c r="I6" s="205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하이브</v>
      </c>
      <c r="P6" s="38">
        <f t="shared" ref="P6:P25" si="2">_xlfn.IFNA(VLOOKUP(O6, $B$2:$D$200, 2, FALSE), "")</f>
        <v>1360</v>
      </c>
      <c r="Q6" s="76">
        <f t="shared" ref="Q6:Q25" si="3">_xlfn.IFNA(VLOOKUP(O6, $B$2:$D$200, 3, FALSE), "")</f>
        <v>0.60188457009999996</v>
      </c>
      <c r="R6" s="85">
        <f>_xlfn.IFNA(VLOOKUP(O6, $B$2:$E$200, 4, FALSE), "")</f>
        <v>1054020177.5997162</v>
      </c>
    </row>
    <row r="7" spans="1:18">
      <c r="A7" s="40" t="s">
        <v>197</v>
      </c>
      <c r="B7" s="11" t="s">
        <v>198</v>
      </c>
      <c r="C7" s="95">
        <v>224</v>
      </c>
      <c r="D7" s="92">
        <v>9.2682926799999996E-2</v>
      </c>
      <c r="E7" s="93">
        <v>803014885.82002199</v>
      </c>
      <c r="F7" s="35"/>
      <c r="G7" s="231" t="s">
        <v>36</v>
      </c>
      <c r="H7" s="232"/>
      <c r="I7" s="23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에스티피</v>
      </c>
      <c r="P7" s="39">
        <f t="shared" si="2"/>
        <v>274</v>
      </c>
      <c r="Q7" s="77">
        <f t="shared" si="3"/>
        <v>0.53932584269999995</v>
      </c>
      <c r="R7" s="86">
        <f t="shared" ref="R7:R25" si="5">_xlfn.IFNA(VLOOKUP(O7, $B$2:$E$200, 4, FALSE), "")</f>
        <v>10887669780.759319</v>
      </c>
    </row>
    <row r="8" spans="1:18" ht="17.25" thickBot="1">
      <c r="A8" s="40" t="s">
        <v>243</v>
      </c>
      <c r="B8" s="11" t="s">
        <v>244</v>
      </c>
      <c r="C8" s="95">
        <v>9280</v>
      </c>
      <c r="D8" s="92">
        <v>7.7190945999999996E-2</v>
      </c>
      <c r="E8" s="93">
        <v>10509271.4376199</v>
      </c>
      <c r="F8" s="35"/>
      <c r="G8" s="224"/>
      <c r="H8" s="225"/>
      <c r="I8" s="22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스팀</v>
      </c>
      <c r="P8" s="39">
        <f t="shared" si="2"/>
        <v>898</v>
      </c>
      <c r="Q8" s="77">
        <f t="shared" si="3"/>
        <v>0.29956584660000002</v>
      </c>
      <c r="R8" s="86">
        <f t="shared" si="5"/>
        <v>425717045.28660727</v>
      </c>
    </row>
    <row r="9" spans="1:18" ht="17.25" thickBot="1">
      <c r="A9" s="40" t="s">
        <v>251</v>
      </c>
      <c r="B9" s="11" t="s">
        <v>252</v>
      </c>
      <c r="C9" s="95">
        <v>441</v>
      </c>
      <c r="D9" s="92">
        <v>5.75539568E-2</v>
      </c>
      <c r="E9" s="93">
        <v>281396385.68638903</v>
      </c>
      <c r="F9" s="35"/>
      <c r="G9" s="9" t="s">
        <v>38</v>
      </c>
      <c r="H9" s="204" t="s">
        <v>37</v>
      </c>
      <c r="I9" s="20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헌트</v>
      </c>
      <c r="P9" s="39">
        <f t="shared" si="2"/>
        <v>1135</v>
      </c>
      <c r="Q9" s="77">
        <f t="shared" si="3"/>
        <v>0.16171954960000001</v>
      </c>
      <c r="R9" s="86">
        <f t="shared" si="5"/>
        <v>706658322.60083711</v>
      </c>
    </row>
    <row r="10" spans="1:18">
      <c r="A10" s="40" t="s">
        <v>189</v>
      </c>
      <c r="B10" s="11" t="s">
        <v>190</v>
      </c>
      <c r="C10" s="95">
        <v>466</v>
      </c>
      <c r="D10" s="92">
        <v>5.6689342400000002E-2</v>
      </c>
      <c r="E10" s="93">
        <v>295275529.76424676</v>
      </c>
      <c r="F10" s="35"/>
      <c r="G10" s="249">
        <f>_xlfn.IFNA(VLOOKUP(G7, $B$2:$D$200, 3, FALSE), "-")</f>
        <v>1.5632601400000001E-2</v>
      </c>
      <c r="H10" s="251">
        <f>_xlfn.IFNA(VLOOKUP(G7, $B$2:$D$200, 2, FALSE), "-")</f>
        <v>62630000</v>
      </c>
      <c r="I10" s="25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휴먼스케이프</v>
      </c>
      <c r="P10" s="39">
        <f t="shared" si="2"/>
        <v>160</v>
      </c>
      <c r="Q10" s="77">
        <f t="shared" si="3"/>
        <v>0.1034482759</v>
      </c>
      <c r="R10" s="90">
        <f t="shared" si="5"/>
        <v>923599992.71206141</v>
      </c>
    </row>
    <row r="11" spans="1:18" ht="17.25" thickBot="1">
      <c r="A11" s="40" t="s">
        <v>119</v>
      </c>
      <c r="B11" s="11" t="s">
        <v>120</v>
      </c>
      <c r="C11" s="95">
        <v>41</v>
      </c>
      <c r="D11" s="92">
        <v>5.3984575799999997E-2</v>
      </c>
      <c r="E11" s="93">
        <v>1158471458.1133003</v>
      </c>
      <c r="F11" s="35"/>
      <c r="G11" s="250"/>
      <c r="H11" s="253"/>
      <c r="I11" s="25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피르마체인</v>
      </c>
      <c r="P11" s="45">
        <f t="shared" si="2"/>
        <v>224</v>
      </c>
      <c r="Q11" s="80">
        <f t="shared" si="3"/>
        <v>9.2682926799999996E-2</v>
      </c>
      <c r="R11" s="99">
        <f t="shared" si="5"/>
        <v>803014885.82002199</v>
      </c>
    </row>
    <row r="12" spans="1:18" ht="17.25" thickBot="1">
      <c r="A12" s="40" t="s">
        <v>181</v>
      </c>
      <c r="B12" s="11" t="s">
        <v>182</v>
      </c>
      <c r="C12" s="95">
        <v>1675</v>
      </c>
      <c r="D12" s="92">
        <v>5.3459119499999999E-2</v>
      </c>
      <c r="E12" s="93">
        <v>37495257.168675378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스팀달러</v>
      </c>
      <c r="P12" s="39">
        <f t="shared" si="2"/>
        <v>9280</v>
      </c>
      <c r="Q12" s="77">
        <f t="shared" si="3"/>
        <v>7.7190945999999996E-2</v>
      </c>
      <c r="R12" s="86">
        <f t="shared" si="5"/>
        <v>10509271.4376199</v>
      </c>
    </row>
    <row r="13" spans="1:18" ht="17.25" thickBot="1">
      <c r="A13" s="40" t="s">
        <v>245</v>
      </c>
      <c r="B13" s="11" t="s">
        <v>246</v>
      </c>
      <c r="C13" s="95">
        <v>2720</v>
      </c>
      <c r="D13" s="92">
        <v>5.2224371399999997E-2</v>
      </c>
      <c r="E13" s="93">
        <v>17605705.210339699</v>
      </c>
      <c r="F13" s="35"/>
      <c r="G13" s="203" t="s">
        <v>70</v>
      </c>
      <c r="H13" s="204"/>
      <c r="I13" s="20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아더</v>
      </c>
      <c r="P13" s="39">
        <f t="shared" si="2"/>
        <v>441</v>
      </c>
      <c r="Q13" s="77">
        <f t="shared" si="3"/>
        <v>5.75539568E-2</v>
      </c>
      <c r="R13" s="86">
        <f t="shared" si="5"/>
        <v>281396385.68638903</v>
      </c>
    </row>
    <row r="14" spans="1:18">
      <c r="A14" s="40" t="s">
        <v>175</v>
      </c>
      <c r="B14" s="11" t="s">
        <v>176</v>
      </c>
      <c r="C14" s="95">
        <v>19</v>
      </c>
      <c r="D14" s="92">
        <v>4.9723756899999999E-2</v>
      </c>
      <c r="E14" s="93">
        <v>2099694859.9308429</v>
      </c>
      <c r="F14" s="35"/>
      <c r="G14" s="231" t="s">
        <v>36</v>
      </c>
      <c r="H14" s="232"/>
      <c r="I14" s="23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아르고</v>
      </c>
      <c r="P14" s="39">
        <f t="shared" si="2"/>
        <v>466</v>
      </c>
      <c r="Q14" s="77">
        <f t="shared" si="3"/>
        <v>5.6689342400000002E-2</v>
      </c>
      <c r="R14" s="86">
        <f t="shared" si="5"/>
        <v>295275529.76424676</v>
      </c>
    </row>
    <row r="15" spans="1:18" ht="17.25" thickBot="1">
      <c r="A15" s="40" t="s">
        <v>219</v>
      </c>
      <c r="B15" s="11" t="s">
        <v>220</v>
      </c>
      <c r="C15" s="95">
        <v>191</v>
      </c>
      <c r="D15" s="92">
        <v>4.9450549500000003E-2</v>
      </c>
      <c r="E15" s="93">
        <v>410503426.2913546</v>
      </c>
      <c r="F15" s="35"/>
      <c r="G15" s="224"/>
      <c r="H15" s="225"/>
      <c r="I15" s="22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스톰엑스</v>
      </c>
      <c r="P15" s="37">
        <f t="shared" si="2"/>
        <v>41</v>
      </c>
      <c r="Q15" s="79">
        <f t="shared" si="3"/>
        <v>5.3984575799999997E-2</v>
      </c>
      <c r="R15" s="87">
        <f t="shared" si="5"/>
        <v>1158471458.1133003</v>
      </c>
    </row>
    <row r="16" spans="1:18" ht="17.25" thickBot="1">
      <c r="A16" s="40" t="s">
        <v>191</v>
      </c>
      <c r="B16" s="11" t="s">
        <v>192</v>
      </c>
      <c r="C16" s="95">
        <v>128</v>
      </c>
      <c r="D16" s="92">
        <v>4.9180327900000001E-2</v>
      </c>
      <c r="E16" s="93">
        <v>317863479.80242783</v>
      </c>
      <c r="F16" s="35"/>
      <c r="G16" s="9" t="s">
        <v>38</v>
      </c>
      <c r="H16" s="204" t="s">
        <v>37</v>
      </c>
      <c r="I16" s="20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온톨로지가스</v>
      </c>
      <c r="P16" s="38">
        <f t="shared" si="2"/>
        <v>1675</v>
      </c>
      <c r="Q16" s="76">
        <f t="shared" si="3"/>
        <v>5.3459119499999999E-2</v>
      </c>
      <c r="R16" s="85">
        <f t="shared" si="5"/>
        <v>37495257.168675378</v>
      </c>
    </row>
    <row r="17" spans="1:18">
      <c r="A17" s="40" t="s">
        <v>147</v>
      </c>
      <c r="B17" s="11" t="s">
        <v>148</v>
      </c>
      <c r="C17" s="95">
        <v>12.9</v>
      </c>
      <c r="D17" s="92">
        <v>3.2000000000000001E-2</v>
      </c>
      <c r="E17" s="93">
        <v>4391937996.2530346</v>
      </c>
      <c r="F17" s="35"/>
      <c r="G17" s="249">
        <f>_xlfn.IFNA(VLOOKUP(G14, $B$2:$D$200, 3, FALSE), "-")</f>
        <v>1.5632601400000001E-2</v>
      </c>
      <c r="H17" s="251">
        <f>_xlfn.IFNA(VLOOKUP(G14, $B$2:$D$200, 2, FALSE), "-")</f>
        <v>62630000</v>
      </c>
      <c r="I17" s="25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스트라티스</v>
      </c>
      <c r="P17" s="39">
        <f t="shared" si="2"/>
        <v>2720</v>
      </c>
      <c r="Q17" s="77">
        <f t="shared" si="3"/>
        <v>5.2224371399999997E-2</v>
      </c>
      <c r="R17" s="86">
        <f t="shared" si="5"/>
        <v>17605705.210339699</v>
      </c>
    </row>
    <row r="18" spans="1:18" ht="17.25" thickBot="1">
      <c r="A18" s="40" t="s">
        <v>201</v>
      </c>
      <c r="B18" s="11" t="s">
        <v>202</v>
      </c>
      <c r="C18" s="95">
        <v>16.399999999999999</v>
      </c>
      <c r="D18" s="92">
        <v>3.14465409E-2</v>
      </c>
      <c r="E18" s="93">
        <v>2472020043.3221269</v>
      </c>
      <c r="F18" s="35"/>
      <c r="G18" s="250"/>
      <c r="H18" s="253"/>
      <c r="I18" s="25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에브리피디아</v>
      </c>
      <c r="P18" s="39">
        <f t="shared" si="2"/>
        <v>19</v>
      </c>
      <c r="Q18" s="77">
        <f t="shared" si="3"/>
        <v>4.9723756899999999E-2</v>
      </c>
      <c r="R18" s="86">
        <f t="shared" si="5"/>
        <v>2099694859.9308429</v>
      </c>
    </row>
    <row r="19" spans="1:18" ht="17.25" thickBot="1">
      <c r="A19" s="40" t="s">
        <v>183</v>
      </c>
      <c r="B19" s="11" t="s">
        <v>184</v>
      </c>
      <c r="C19" s="95">
        <v>10570</v>
      </c>
      <c r="D19" s="92">
        <v>3.1219512200000001E-2</v>
      </c>
      <c r="E19" s="93">
        <v>23826286.206914991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모스코인</v>
      </c>
      <c r="P19" s="39">
        <f t="shared" si="2"/>
        <v>191</v>
      </c>
      <c r="Q19" s="77">
        <f t="shared" si="3"/>
        <v>4.9450549500000003E-2</v>
      </c>
      <c r="R19" s="86">
        <f t="shared" si="5"/>
        <v>410503426.2913546</v>
      </c>
    </row>
    <row r="20" spans="1:18" ht="17.25" thickBot="1">
      <c r="A20" s="40" t="s">
        <v>235</v>
      </c>
      <c r="B20" s="11" t="s">
        <v>236</v>
      </c>
      <c r="C20" s="95">
        <v>133</v>
      </c>
      <c r="D20" s="92">
        <v>3.1007751900000002E-2</v>
      </c>
      <c r="E20" s="93">
        <v>493205598.99248105</v>
      </c>
      <c r="F20" s="35"/>
      <c r="G20" s="203" t="s">
        <v>254</v>
      </c>
      <c r="H20" s="204"/>
      <c r="I20" s="20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메타디움</v>
      </c>
      <c r="P20" s="39">
        <f t="shared" si="2"/>
        <v>128</v>
      </c>
      <c r="Q20" s="77">
        <f t="shared" si="3"/>
        <v>4.9180327900000001E-2</v>
      </c>
      <c r="R20" s="90">
        <f t="shared" si="5"/>
        <v>317863479.80242783</v>
      </c>
    </row>
    <row r="21" spans="1:18">
      <c r="A21" s="40" t="s">
        <v>145</v>
      </c>
      <c r="B21" s="11" t="s">
        <v>146</v>
      </c>
      <c r="C21" s="95">
        <v>22.6</v>
      </c>
      <c r="D21" s="92">
        <v>2.7272727300000001E-2</v>
      </c>
      <c r="E21" s="93">
        <v>9645030963.3010674</v>
      </c>
      <c r="F21" s="35"/>
      <c r="G21" s="231" t="s">
        <v>36</v>
      </c>
      <c r="H21" s="232"/>
      <c r="I21" s="23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캐리프로토콜</v>
      </c>
      <c r="P21" s="45">
        <f t="shared" si="2"/>
        <v>12.9</v>
      </c>
      <c r="Q21" s="80">
        <f t="shared" si="3"/>
        <v>3.2000000000000001E-2</v>
      </c>
      <c r="R21" s="99">
        <f t="shared" si="5"/>
        <v>4391937996.2530346</v>
      </c>
    </row>
    <row r="22" spans="1:18" ht="17.25" thickBot="1">
      <c r="A22" s="40" t="s">
        <v>217</v>
      </c>
      <c r="B22" s="11" t="s">
        <v>218</v>
      </c>
      <c r="C22" s="95">
        <v>266</v>
      </c>
      <c r="D22" s="92">
        <v>2.3076923100000001E-2</v>
      </c>
      <c r="E22" s="93">
        <v>210883271.6896936</v>
      </c>
      <c r="F22" s="35"/>
      <c r="G22" s="224"/>
      <c r="H22" s="225"/>
      <c r="I22" s="22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리퍼리움</v>
      </c>
      <c r="P22" s="39">
        <f t="shared" si="2"/>
        <v>16.399999999999999</v>
      </c>
      <c r="Q22" s="77">
        <f t="shared" si="3"/>
        <v>3.14465409E-2</v>
      </c>
      <c r="R22" s="86">
        <f t="shared" si="5"/>
        <v>2472020043.3221269</v>
      </c>
    </row>
    <row r="23" spans="1:18" ht="17.25" thickBot="1">
      <c r="A23" s="40" t="s">
        <v>117</v>
      </c>
      <c r="B23" s="11" t="s">
        <v>118</v>
      </c>
      <c r="C23" s="95">
        <v>4380</v>
      </c>
      <c r="D23" s="92">
        <v>1.8604651199999999E-2</v>
      </c>
      <c r="E23" s="93">
        <v>6704437.2211154401</v>
      </c>
      <c r="F23" s="35"/>
      <c r="G23" s="9" t="s">
        <v>38</v>
      </c>
      <c r="H23" s="204" t="s">
        <v>37</v>
      </c>
      <c r="I23" s="20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톤</v>
      </c>
      <c r="P23" s="39">
        <f t="shared" si="2"/>
        <v>10570</v>
      </c>
      <c r="Q23" s="77">
        <f t="shared" si="3"/>
        <v>3.1219512200000001E-2</v>
      </c>
      <c r="R23" s="86">
        <f t="shared" si="5"/>
        <v>23826286.206914991</v>
      </c>
    </row>
    <row r="24" spans="1:18">
      <c r="A24" s="40" t="s">
        <v>107</v>
      </c>
      <c r="B24" s="11" t="s">
        <v>108</v>
      </c>
      <c r="C24" s="95">
        <v>179</v>
      </c>
      <c r="D24" s="92">
        <v>1.7045454500000001E-2</v>
      </c>
      <c r="E24" s="93">
        <v>145014267.82071751</v>
      </c>
      <c r="F24" s="35"/>
      <c r="G24" s="249">
        <f>_xlfn.IFNA(VLOOKUP(G21, $B$2:$D$200, 3, FALSE), "-")</f>
        <v>1.5632601400000001E-2</v>
      </c>
      <c r="H24" s="251">
        <f>_xlfn.IFNA(VLOOKUP(G21, $B$2:$D$200, 2, FALSE), "-")</f>
        <v>62630000</v>
      </c>
      <c r="I24" s="25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룸네트워크</v>
      </c>
      <c r="P24" s="39">
        <f t="shared" si="2"/>
        <v>133</v>
      </c>
      <c r="Q24" s="77">
        <f t="shared" si="3"/>
        <v>3.1007751900000002E-2</v>
      </c>
      <c r="R24" s="86">
        <f t="shared" si="5"/>
        <v>493205598.99248105</v>
      </c>
    </row>
    <row r="25" spans="1:18" ht="17.25" thickBot="1">
      <c r="A25" s="40" t="s">
        <v>48</v>
      </c>
      <c r="B25" s="11" t="s">
        <v>49</v>
      </c>
      <c r="C25" s="95">
        <v>62630000</v>
      </c>
      <c r="D25" s="92">
        <v>1.5632601400000001E-2</v>
      </c>
      <c r="E25" s="93">
        <v>5387.1028397700002</v>
      </c>
      <c r="F25" s="35"/>
      <c r="G25" s="250"/>
      <c r="H25" s="253"/>
      <c r="I25" s="254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시아코인</v>
      </c>
      <c r="P25" s="37">
        <f t="shared" si="2"/>
        <v>22.6</v>
      </c>
      <c r="Q25" s="79">
        <f t="shared" si="3"/>
        <v>2.7272727300000001E-2</v>
      </c>
      <c r="R25" s="87">
        <f t="shared" si="5"/>
        <v>9645030963.3010674</v>
      </c>
    </row>
    <row r="26" spans="1:18">
      <c r="A26" s="40" t="s">
        <v>66</v>
      </c>
      <c r="B26" s="11" t="s">
        <v>67</v>
      </c>
      <c r="C26" s="95">
        <v>4385</v>
      </c>
      <c r="D26" s="92">
        <v>1.5046296299999999E-2</v>
      </c>
      <c r="E26" s="93">
        <v>6962289.8382749399</v>
      </c>
      <c r="F26" s="35"/>
    </row>
    <row r="27" spans="1:18" ht="17.25" thickBot="1">
      <c r="A27" s="40" t="s">
        <v>139</v>
      </c>
      <c r="B27" s="11" t="s">
        <v>140</v>
      </c>
      <c r="C27" s="95">
        <v>10980</v>
      </c>
      <c r="D27" s="92">
        <v>1.47874307E-2</v>
      </c>
      <c r="E27" s="93">
        <v>1896187.6931913199</v>
      </c>
      <c r="F27" s="35"/>
    </row>
    <row r="28" spans="1:18" ht="17.25" thickBot="1">
      <c r="A28" s="40" t="s">
        <v>127</v>
      </c>
      <c r="B28" s="11" t="s">
        <v>128</v>
      </c>
      <c r="C28" s="95">
        <v>146</v>
      </c>
      <c r="D28" s="92">
        <v>1.38888889E-2</v>
      </c>
      <c r="E28" s="93">
        <v>206273932.81256616</v>
      </c>
      <c r="F28" s="35"/>
      <c r="G28" s="203" t="s">
        <v>46</v>
      </c>
      <c r="H28" s="204"/>
      <c r="I28" s="204"/>
      <c r="J28" s="205"/>
      <c r="K28" s="203" t="s">
        <v>44</v>
      </c>
      <c r="L28" s="204"/>
      <c r="M28" s="204"/>
      <c r="N28" s="205"/>
      <c r="O28" s="203" t="s">
        <v>45</v>
      </c>
      <c r="P28" s="204"/>
      <c r="Q28" s="204"/>
      <c r="R28" s="205"/>
    </row>
    <row r="29" spans="1:18" ht="17.25" thickBot="1">
      <c r="A29" s="40" t="s">
        <v>121</v>
      </c>
      <c r="B29" s="11" t="s">
        <v>122</v>
      </c>
      <c r="C29" s="95">
        <v>635</v>
      </c>
      <c r="D29" s="92">
        <v>1.1146496800000001E-2</v>
      </c>
      <c r="E29" s="93">
        <v>161505927.19947106</v>
      </c>
      <c r="F29" s="35"/>
      <c r="G29" s="240" t="s">
        <v>55</v>
      </c>
      <c r="H29" s="256">
        <f ca="1">NOW()</f>
        <v>44475.879401736114</v>
      </c>
      <c r="I29" s="257"/>
      <c r="J29" s="258"/>
      <c r="K29" s="255" t="s">
        <v>55</v>
      </c>
      <c r="L29" s="256">
        <f ca="1">NOW()</f>
        <v>44475.879401736114</v>
      </c>
      <c r="M29" s="257"/>
      <c r="N29" s="258"/>
      <c r="O29" s="255" t="s">
        <v>55</v>
      </c>
      <c r="P29" s="256">
        <f ca="1">NOW()</f>
        <v>44475.879401736114</v>
      </c>
      <c r="Q29" s="257"/>
      <c r="R29" s="258"/>
    </row>
    <row r="30" spans="1:18" ht="17.25" thickBot="1">
      <c r="A30" s="40" t="s">
        <v>71</v>
      </c>
      <c r="B30" s="11" t="s">
        <v>72</v>
      </c>
      <c r="C30" s="95">
        <v>27.5</v>
      </c>
      <c r="D30" s="92">
        <v>1.10294118E-2</v>
      </c>
      <c r="E30" s="93">
        <v>539137000.74314785</v>
      </c>
      <c r="F30" s="35"/>
      <c r="G30" s="248"/>
      <c r="H30" s="36" t="s">
        <v>58</v>
      </c>
      <c r="I30" s="73" t="s">
        <v>59</v>
      </c>
      <c r="J30" s="69" t="s">
        <v>262</v>
      </c>
      <c r="K30" s="248"/>
      <c r="L30" s="36" t="s">
        <v>58</v>
      </c>
      <c r="M30" s="73" t="s">
        <v>59</v>
      </c>
      <c r="N30" s="69" t="s">
        <v>262</v>
      </c>
      <c r="O30" s="248"/>
      <c r="P30" s="36" t="s">
        <v>58</v>
      </c>
      <c r="Q30" s="73" t="s">
        <v>59</v>
      </c>
      <c r="R30" s="69" t="s">
        <v>262</v>
      </c>
    </row>
    <row r="31" spans="1:18">
      <c r="A31" s="40" t="s">
        <v>241</v>
      </c>
      <c r="B31" s="11" t="s">
        <v>242</v>
      </c>
      <c r="C31" s="95">
        <v>1985</v>
      </c>
      <c r="D31" s="92">
        <v>7.6142132E-3</v>
      </c>
      <c r="E31" s="93">
        <v>21662588.146073051</v>
      </c>
      <c r="F31" s="35"/>
      <c r="G31" s="55" t="str">
        <f ca="1">IFERROR(OFFSET(INDIRECT($H$3 &amp; "!A98"), 0, 0), "")</f>
        <v>에스티피</v>
      </c>
      <c r="H31" s="38">
        <f t="shared" ref="H31:H50" ca="1" si="7">_xlfn.IFNA(VLOOKUP(G31, $B$2:$D$200, 2, FALSE), "")</f>
        <v>274</v>
      </c>
      <c r="I31" s="76">
        <f t="shared" ref="I31:I50" ca="1" si="8">_xlfn.IFNA(VLOOKUP(G31, $B$2:$D$200, 3, FALSE), "")</f>
        <v>0.53932584269999995</v>
      </c>
      <c r="J31" s="85">
        <f ca="1">_xlfn.IFNA(VLOOKUP(G31, $B$2:$E$200, 4, FALSE), "")</f>
        <v>10887669780.759319</v>
      </c>
      <c r="K31" s="55" t="str">
        <f ca="1">IFERROR(OFFSET(INDIRECT($H$3 &amp; "!A44"), 0, 0), "")</f>
        <v>썬더토큰</v>
      </c>
      <c r="L31" s="38">
        <f t="shared" ref="L31:L50" ca="1" si="9">_xlfn.IFNA(VLOOKUP(K31, $B$2:$D$200, 2, FALSE), "")</f>
        <v>18.2</v>
      </c>
      <c r="M31" s="76">
        <f t="shared" ref="M31:M50" ca="1" si="10">_xlfn.IFNA(VLOOKUP(K31, $B$2:$D$200, 3, FALSE), "")</f>
        <v>-1.08695652E-2</v>
      </c>
      <c r="N31" s="85">
        <f ca="1">_xlfn.IFNA(VLOOKUP(K31, $B$2:$E$200, 4, FALSE), "")</f>
        <v>24806083294.614666</v>
      </c>
      <c r="O31" s="55" t="str">
        <f ca="1">IFERROR(OFFSET(INDIRECT($H$3 &amp; "!A71"), 0, 0), "")</f>
        <v>에스티피</v>
      </c>
      <c r="P31" s="38">
        <f t="shared" ref="P31:P50" ca="1" si="11">_xlfn.IFNA(VLOOKUP(O31, $B$2:$D$200, 2, FALSE), "")</f>
        <v>274</v>
      </c>
      <c r="Q31" s="76">
        <f t="shared" ref="Q31:Q50" ca="1" si="12">_xlfn.IFNA(VLOOKUP(O31, $B$2:$D$200, 3, FALSE), "")</f>
        <v>0.53932584269999995</v>
      </c>
      <c r="R31" s="85">
        <f ca="1">_xlfn.IFNA(VLOOKUP(O31, $B$2:$E$200, 4, FALSE), "")</f>
        <v>10887669780.759319</v>
      </c>
    </row>
    <row r="32" spans="1:18">
      <c r="A32" s="40" t="s">
        <v>171</v>
      </c>
      <c r="B32" s="11" t="s">
        <v>172</v>
      </c>
      <c r="C32" s="95">
        <v>448</v>
      </c>
      <c r="D32" s="92">
        <v>6.7415729999999998E-3</v>
      </c>
      <c r="E32" s="93">
        <v>106204946.16331758</v>
      </c>
      <c r="F32" s="35"/>
      <c r="G32" s="56" t="str">
        <f ca="1">IFERROR(OFFSET(INDIRECT($H$3 &amp; "!A98"), 1, 0), "")</f>
        <v>썬더토큰</v>
      </c>
      <c r="H32" s="39">
        <f t="shared" ca="1" si="7"/>
        <v>18.2</v>
      </c>
      <c r="I32" s="77">
        <f t="shared" ca="1" si="8"/>
        <v>-1.08695652E-2</v>
      </c>
      <c r="J32" s="86">
        <f t="shared" ref="J32:J50" ca="1" si="13">_xlfn.IFNA(VLOOKUP(G32, $B$2:$E$200, 4, FALSE), "")</f>
        <v>24806083294.614666</v>
      </c>
      <c r="K32" s="56" t="str">
        <f ca="1">IFERROR(OFFSET(INDIRECT($H$3 &amp; "!A44"), 1, 0), "")</f>
        <v>아하토큰</v>
      </c>
      <c r="L32" s="39">
        <f t="shared" ca="1" si="9"/>
        <v>14.9</v>
      </c>
      <c r="M32" s="77">
        <f t="shared" ca="1" si="10"/>
        <v>-6.6666666999999997E-3</v>
      </c>
      <c r="N32" s="86">
        <f t="shared" ref="N32:N50" ca="1" si="14">_xlfn.IFNA(VLOOKUP(K32, $B$2:$E$200, 4, FALSE), "")</f>
        <v>4690320727.3207092</v>
      </c>
      <c r="O32" s="56" t="str">
        <f ca="1">IFERROR(OFFSET(INDIRECT($H$3 &amp; "!A71"), 1, 0), "")</f>
        <v>모스코인</v>
      </c>
      <c r="P32" s="39">
        <f t="shared" ca="1" si="11"/>
        <v>191</v>
      </c>
      <c r="Q32" s="77">
        <f t="shared" ca="1" si="12"/>
        <v>4.9450549500000003E-2</v>
      </c>
      <c r="R32" s="86">
        <f t="shared" ref="R32:R50" ca="1" si="15">_xlfn.IFNA(VLOOKUP(O32, $B$2:$E$200, 4, FALSE), "")</f>
        <v>410503426.2913546</v>
      </c>
    </row>
    <row r="33" spans="1:18">
      <c r="A33" s="40" t="s">
        <v>187</v>
      </c>
      <c r="B33" s="11" t="s">
        <v>188</v>
      </c>
      <c r="C33" s="95">
        <v>18.7</v>
      </c>
      <c r="D33" s="92">
        <v>5.3763441000000004E-3</v>
      </c>
      <c r="E33" s="93">
        <v>2023979502.1960702</v>
      </c>
      <c r="F33" s="35"/>
      <c r="G33" s="56" t="str">
        <f ca="1">IFERROR(OFFSET(INDIRECT($H$3 &amp; "!A98"), 2, 0), "")</f>
        <v>아하토큰</v>
      </c>
      <c r="H33" s="39">
        <f t="shared" ca="1" si="7"/>
        <v>14.9</v>
      </c>
      <c r="I33" s="77">
        <f t="shared" ca="1" si="8"/>
        <v>-6.6666666999999997E-3</v>
      </c>
      <c r="J33" s="86">
        <f t="shared" ca="1" si="13"/>
        <v>4690320727.3207092</v>
      </c>
      <c r="K33" s="56" t="str">
        <f ca="1">IFERROR(OFFSET(INDIRECT($H$3 &amp; "!A44"), 2, 0), "")</f>
        <v>메디블록</v>
      </c>
      <c r="L33" s="39">
        <f t="shared" ca="1" si="9"/>
        <v>84.9</v>
      </c>
      <c r="M33" s="77">
        <f t="shared" ca="1" si="10"/>
        <v>-8.1775700999999999E-3</v>
      </c>
      <c r="N33" s="86">
        <f t="shared" ca="1" si="14"/>
        <v>956194915.50717866</v>
      </c>
      <c r="O33" s="56" t="str">
        <f ca="1">IFERROR(OFFSET(INDIRECT($H$3 &amp; "!A71"), 2, 0), "")</f>
        <v>메타디움</v>
      </c>
      <c r="P33" s="39">
        <f t="shared" ca="1" si="11"/>
        <v>128</v>
      </c>
      <c r="Q33" s="77">
        <f t="shared" ca="1" si="12"/>
        <v>4.9180327900000001E-2</v>
      </c>
      <c r="R33" s="86">
        <f t="shared" ca="1" si="15"/>
        <v>317863479.80242783</v>
      </c>
    </row>
    <row r="34" spans="1:18">
      <c r="A34" s="40" t="s">
        <v>203</v>
      </c>
      <c r="B34" s="11" t="s">
        <v>204</v>
      </c>
      <c r="C34" s="95">
        <v>1040</v>
      </c>
      <c r="D34" s="92">
        <v>4.8309179000000004E-3</v>
      </c>
      <c r="E34" s="93">
        <v>188648075.82799688</v>
      </c>
      <c r="F34" s="35"/>
      <c r="G34" s="56" t="str">
        <f ca="1">IFERROR(OFFSET(INDIRECT($H$3 &amp; "!A98"), 3, 0), "")</f>
        <v>메디블록</v>
      </c>
      <c r="H34" s="39">
        <f t="shared" ca="1" si="7"/>
        <v>84.9</v>
      </c>
      <c r="I34" s="77">
        <f t="shared" ca="1" si="8"/>
        <v>-8.1775700999999999E-3</v>
      </c>
      <c r="J34" s="86">
        <f t="shared" ca="1" si="13"/>
        <v>956194915.50717866</v>
      </c>
      <c r="K34" s="56" t="str">
        <f ca="1">IFERROR(OFFSET(INDIRECT($H$3 &amp; "!A44"), 3, 0), "")</f>
        <v>시아코인</v>
      </c>
      <c r="L34" s="39">
        <f t="shared" ca="1" si="9"/>
        <v>22.6</v>
      </c>
      <c r="M34" s="77">
        <f t="shared" ca="1" si="10"/>
        <v>2.7272727300000001E-2</v>
      </c>
      <c r="N34" s="86">
        <f t="shared" ca="1" si="14"/>
        <v>9645030963.3010674</v>
      </c>
      <c r="O34" s="56" t="str">
        <f ca="1">IFERROR(OFFSET(INDIRECT($H$3 &amp; "!A71"), 3, 0), "")</f>
        <v>디카르고</v>
      </c>
      <c r="P34" s="39">
        <f t="shared" ca="1" si="11"/>
        <v>179</v>
      </c>
      <c r="Q34" s="77">
        <f t="shared" ca="1" si="12"/>
        <v>1.7045454500000001E-2</v>
      </c>
      <c r="R34" s="86">
        <f t="shared" ca="1" si="15"/>
        <v>145014267.82071751</v>
      </c>
    </row>
    <row r="35" spans="1:18">
      <c r="A35" s="40" t="s">
        <v>209</v>
      </c>
      <c r="B35" s="11" t="s">
        <v>210</v>
      </c>
      <c r="C35" s="95">
        <v>1335</v>
      </c>
      <c r="D35" s="92">
        <v>3.7593984999999999E-3</v>
      </c>
      <c r="E35" s="93">
        <v>23224574.500257231</v>
      </c>
      <c r="F35" s="35"/>
      <c r="G35" s="58" t="str">
        <f ca="1">IFERROR(OFFSET(INDIRECT($H$3 &amp; "!A98"), 4, 0), "")</f>
        <v>시아코인</v>
      </c>
      <c r="H35" s="44">
        <f t="shared" ca="1" si="7"/>
        <v>22.6</v>
      </c>
      <c r="I35" s="78">
        <f t="shared" ca="1" si="8"/>
        <v>2.7272727300000001E-2</v>
      </c>
      <c r="J35" s="90">
        <f t="shared" ca="1" si="13"/>
        <v>9645030963.3010674</v>
      </c>
      <c r="K35" s="58" t="str">
        <f ca="1">IFERROR(OFFSET(INDIRECT($H$3 &amp; "!A44"), 4, 0), "")</f>
        <v>무비블록</v>
      </c>
      <c r="L35" s="44">
        <f t="shared" ca="1" si="9"/>
        <v>11.9</v>
      </c>
      <c r="M35" s="78">
        <f t="shared" ca="1" si="10"/>
        <v>-1.6528925600000001E-2</v>
      </c>
      <c r="N35" s="90">
        <f t="shared" ca="1" si="14"/>
        <v>3013081056.1843605</v>
      </c>
      <c r="O35" s="58" t="str">
        <f ca="1">IFERROR(OFFSET(INDIRECT($H$3 &amp; "!A71"), 4, 0), "")</f>
        <v>넴</v>
      </c>
      <c r="P35" s="44">
        <f t="shared" ca="1" si="11"/>
        <v>202</v>
      </c>
      <c r="Q35" s="78">
        <f t="shared" ca="1" si="12"/>
        <v>-9.8039215999999995E-3</v>
      </c>
      <c r="R35" s="90">
        <f t="shared" ca="1" si="15"/>
        <v>77049203.907570347</v>
      </c>
    </row>
    <row r="36" spans="1:18">
      <c r="A36" s="40" t="s">
        <v>223</v>
      </c>
      <c r="B36" s="11" t="s">
        <v>224</v>
      </c>
      <c r="C36" s="95">
        <v>1875</v>
      </c>
      <c r="D36" s="92">
        <v>2.6737967999999998E-3</v>
      </c>
      <c r="E36" s="93">
        <v>14233405.72795549</v>
      </c>
      <c r="F36" s="35"/>
      <c r="G36" s="56" t="str">
        <f ca="1">IFERROR(OFFSET(INDIRECT($H$3 &amp; "!A98"), 5, 0), "")</f>
        <v>무비블록</v>
      </c>
      <c r="H36" s="39">
        <f t="shared" ca="1" si="7"/>
        <v>11.9</v>
      </c>
      <c r="I36" s="77">
        <f t="shared" ca="1" si="8"/>
        <v>-1.6528925600000001E-2</v>
      </c>
      <c r="J36" s="99">
        <f t="shared" ca="1" si="13"/>
        <v>3013081056.1843605</v>
      </c>
      <c r="K36" s="56" t="str">
        <f ca="1">IFERROR(OFFSET(INDIRECT($H$3 &amp; "!A44"), 5, 0), "")</f>
        <v>캐리프로토콜</v>
      </c>
      <c r="L36" s="39">
        <f t="shared" ca="1" si="9"/>
        <v>12.9</v>
      </c>
      <c r="M36" s="77">
        <f t="shared" ca="1" si="10"/>
        <v>3.2000000000000001E-2</v>
      </c>
      <c r="N36" s="99">
        <f t="shared" ca="1" si="14"/>
        <v>4391937996.2530346</v>
      </c>
      <c r="O36" s="56" t="str">
        <f ca="1">IFERROR(OFFSET(INDIRECT($H$3 &amp; "!A71"), 5, 0), "")</f>
        <v>질리카</v>
      </c>
      <c r="P36" s="39">
        <f t="shared" ca="1" si="11"/>
        <v>117</v>
      </c>
      <c r="Q36" s="77">
        <f t="shared" ca="1" si="12"/>
        <v>-5.6451612900000003E-2</v>
      </c>
      <c r="R36" s="99">
        <f t="shared" ca="1" si="15"/>
        <v>121351884.22999156</v>
      </c>
    </row>
    <row r="37" spans="1:18">
      <c r="A37" s="40" t="s">
        <v>163</v>
      </c>
      <c r="B37" s="11" t="s">
        <v>164</v>
      </c>
      <c r="C37" s="95">
        <v>241</v>
      </c>
      <c r="D37" s="92">
        <v>0</v>
      </c>
      <c r="E37" s="93">
        <v>182304492.44605145</v>
      </c>
      <c r="F37" s="35"/>
      <c r="G37" s="56" t="str">
        <f ca="1">IFERROR(OFFSET(INDIRECT($H$3 &amp; "!A98"), 6, 0), "")</f>
        <v>모스코인</v>
      </c>
      <c r="H37" s="39">
        <f t="shared" ca="1" si="7"/>
        <v>191</v>
      </c>
      <c r="I37" s="77">
        <f t="shared" ca="1" si="8"/>
        <v>4.9450549500000003E-2</v>
      </c>
      <c r="J37" s="86">
        <f t="shared" ca="1" si="13"/>
        <v>410503426.2913546</v>
      </c>
      <c r="K37" s="56" t="str">
        <f ca="1">IFERROR(OFFSET(INDIRECT($H$3 &amp; "!A44"), 6, 0), "")</f>
        <v>메인프레임</v>
      </c>
      <c r="L37" s="39">
        <f t="shared" ca="1" si="9"/>
        <v>13.8</v>
      </c>
      <c r="M37" s="77">
        <f t="shared" ca="1" si="10"/>
        <v>-2.8169014100000001E-2</v>
      </c>
      <c r="N37" s="86">
        <f t="shared" ca="1" si="14"/>
        <v>1130092203.3981476</v>
      </c>
      <c r="O37" s="56" t="str">
        <f ca="1">IFERROR(OFFSET(INDIRECT($H$3 &amp; "!A71"), 6, 0), "")</f>
        <v>스테이터스네트워크토큰</v>
      </c>
      <c r="P37" s="39">
        <f t="shared" ca="1" si="11"/>
        <v>104</v>
      </c>
      <c r="Q37" s="77">
        <f t="shared" ca="1" si="12"/>
        <v>-2.8037383200000002E-2</v>
      </c>
      <c r="R37" s="86">
        <f t="shared" ca="1" si="15"/>
        <v>125849000.986716</v>
      </c>
    </row>
    <row r="38" spans="1:18">
      <c r="A38" s="40" t="s">
        <v>263</v>
      </c>
      <c r="B38" s="11" t="s">
        <v>264</v>
      </c>
      <c r="C38" s="95">
        <v>301</v>
      </c>
      <c r="D38" s="92">
        <v>-3.3112583000000002E-3</v>
      </c>
      <c r="E38" s="93">
        <v>1236547786.5884733</v>
      </c>
      <c r="F38" s="35"/>
      <c r="G38" s="56" t="str">
        <f ca="1">IFERROR(OFFSET(INDIRECT($H$3 &amp; "!A98"), 7, 0), "")</f>
        <v>톤</v>
      </c>
      <c r="H38" s="39">
        <f t="shared" ca="1" si="7"/>
        <v>10570</v>
      </c>
      <c r="I38" s="77">
        <f t="shared" ca="1" si="8"/>
        <v>3.1219512200000001E-2</v>
      </c>
      <c r="J38" s="86">
        <f t="shared" ca="1" si="13"/>
        <v>23826286.206914991</v>
      </c>
      <c r="K38" s="56" t="str">
        <f ca="1">IFERROR(OFFSET(INDIRECT($H$3 &amp; "!A44"), 7, 0), "")</f>
        <v>썸씽</v>
      </c>
      <c r="L38" s="39">
        <f t="shared" ca="1" si="9"/>
        <v>81.7</v>
      </c>
      <c r="M38" s="77">
        <f t="shared" ca="1" si="10"/>
        <v>-9.6969697000000004E-3</v>
      </c>
      <c r="N38" s="86">
        <f t="shared" ca="1" si="14"/>
        <v>418665880.92875528</v>
      </c>
      <c r="O38" s="56" t="str">
        <f ca="1">IFERROR(OFFSET(INDIRECT($H$3 &amp; "!A71"), 7, 0), "")</f>
        <v>앵커</v>
      </c>
      <c r="P38" s="39">
        <f t="shared" ca="1" si="11"/>
        <v>105</v>
      </c>
      <c r="Q38" s="77">
        <f t="shared" ca="1" si="12"/>
        <v>-4.5454545499999999E-2</v>
      </c>
      <c r="R38" s="86">
        <f t="shared" ca="1" si="15"/>
        <v>128045156.77401659</v>
      </c>
    </row>
    <row r="39" spans="1:18">
      <c r="A39" s="40" t="s">
        <v>115</v>
      </c>
      <c r="B39" s="11" t="s">
        <v>116</v>
      </c>
      <c r="C39" s="95">
        <v>217</v>
      </c>
      <c r="D39" s="92">
        <v>-4.5871560000000002E-3</v>
      </c>
      <c r="E39" s="93">
        <v>51224996.298061103</v>
      </c>
      <c r="F39" s="35"/>
      <c r="G39" s="56" t="str">
        <f ca="1">IFERROR(OFFSET(INDIRECT($H$3 &amp; "!A98"), 8, 0), "")</f>
        <v>알파쿼크</v>
      </c>
      <c r="H39" s="39">
        <f t="shared" ca="1" si="7"/>
        <v>4380</v>
      </c>
      <c r="I39" s="77">
        <f t="shared" ca="1" si="8"/>
        <v>1.8604651199999999E-2</v>
      </c>
      <c r="J39" s="86">
        <f t="shared" ca="1" si="13"/>
        <v>6704437.2211154401</v>
      </c>
      <c r="K39" s="56" t="str">
        <f ca="1">IFERROR(OFFSET(INDIRECT($H$3 &amp; "!A44"), 8, 0), "")</f>
        <v>저스트</v>
      </c>
      <c r="L39" s="39">
        <f t="shared" ca="1" si="9"/>
        <v>87.9</v>
      </c>
      <c r="M39" s="77">
        <f t="shared" ca="1" si="10"/>
        <v>-2.8729281799999999E-2</v>
      </c>
      <c r="N39" s="86">
        <f t="shared" ca="1" si="14"/>
        <v>188810916.61945435</v>
      </c>
      <c r="O39" s="56" t="str">
        <f ca="1">IFERROR(OFFSET(INDIRECT($H$3 &amp; "!A71"), 8, 0), "")</f>
        <v>오브스</v>
      </c>
      <c r="P39" s="39">
        <f t="shared" ca="1" si="11"/>
        <v>146</v>
      </c>
      <c r="Q39" s="77">
        <f t="shared" ca="1" si="12"/>
        <v>1.38888889E-2</v>
      </c>
      <c r="R39" s="86">
        <f t="shared" ca="1" si="15"/>
        <v>206273932.81256616</v>
      </c>
    </row>
    <row r="40" spans="1:18" ht="17.25" thickBot="1">
      <c r="A40" s="40" t="s">
        <v>207</v>
      </c>
      <c r="B40" s="11" t="s">
        <v>208</v>
      </c>
      <c r="C40" s="95">
        <v>14.9</v>
      </c>
      <c r="D40" s="92">
        <v>-6.6666666999999997E-3</v>
      </c>
      <c r="E40" s="93">
        <v>4690320727.3207092</v>
      </c>
      <c r="F40" s="35"/>
      <c r="G40" s="57" t="str">
        <f ca="1">IFERROR(OFFSET(INDIRECT($H$3 &amp; "!A98"), 9, 0), "")</f>
        <v>캐리프로토콜</v>
      </c>
      <c r="H40" s="37">
        <f t="shared" ca="1" si="7"/>
        <v>12.9</v>
      </c>
      <c r="I40" s="79">
        <f t="shared" ca="1" si="8"/>
        <v>3.2000000000000001E-2</v>
      </c>
      <c r="J40" s="87">
        <f t="shared" ca="1" si="13"/>
        <v>4391937996.2530346</v>
      </c>
      <c r="K40" s="57" t="str">
        <f ca="1">IFERROR(OFFSET(INDIRECT($H$3 &amp; "!A44"), 9, 0), "")</f>
        <v>에브리피디아</v>
      </c>
      <c r="L40" s="37">
        <f t="shared" ca="1" si="9"/>
        <v>19</v>
      </c>
      <c r="M40" s="79">
        <f t="shared" ca="1" si="10"/>
        <v>4.9723756899999999E-2</v>
      </c>
      <c r="N40" s="87">
        <f t="shared" ca="1" si="14"/>
        <v>2099694859.9308429</v>
      </c>
      <c r="O40" s="57" t="str">
        <f ca="1">IFERROR(OFFSET(INDIRECT($H$3 &amp; "!A71"), 9, 0), "")</f>
        <v>센티넬프로토콜</v>
      </c>
      <c r="P40" s="37">
        <f t="shared" ca="1" si="11"/>
        <v>266</v>
      </c>
      <c r="Q40" s="79">
        <f t="shared" ca="1" si="12"/>
        <v>2.3076923100000001E-2</v>
      </c>
      <c r="R40" s="87">
        <f t="shared" ca="1" si="15"/>
        <v>210883271.6896936</v>
      </c>
    </row>
    <row r="41" spans="1:18">
      <c r="A41" s="40" t="s">
        <v>227</v>
      </c>
      <c r="B41" s="11" t="s">
        <v>228</v>
      </c>
      <c r="C41" s="95">
        <v>366</v>
      </c>
      <c r="D41" s="92">
        <v>-8.1300812999999996E-3</v>
      </c>
      <c r="E41" s="93">
        <v>218796210.17743993</v>
      </c>
      <c r="F41" s="35"/>
      <c r="G41" s="59" t="str">
        <f ca="1">IFERROR(OFFSET(INDIRECT($H$3 &amp; "!A98"), 10, 0), "")</f>
        <v>메인프레임</v>
      </c>
      <c r="H41" s="38">
        <f t="shared" ca="1" si="7"/>
        <v>13.8</v>
      </c>
      <c r="I41" s="76">
        <f t="shared" ca="1" si="8"/>
        <v>-2.8169014100000001E-2</v>
      </c>
      <c r="J41" s="85">
        <f t="shared" ca="1" si="13"/>
        <v>1130092203.3981476</v>
      </c>
      <c r="K41" s="55" t="str">
        <f ca="1">IFERROR(OFFSET(INDIRECT($H$3 &amp; "!A44"), 10, 0), "")</f>
        <v>리퍼리움</v>
      </c>
      <c r="L41" s="38">
        <f t="shared" ca="1" si="9"/>
        <v>16.399999999999999</v>
      </c>
      <c r="M41" s="76">
        <f t="shared" ca="1" si="10"/>
        <v>3.14465409E-2</v>
      </c>
      <c r="N41" s="85">
        <f t="shared" ca="1" si="14"/>
        <v>2472020043.3221269</v>
      </c>
      <c r="O41" s="55" t="str">
        <f ca="1">IFERROR(OFFSET(INDIRECT($H$3 &amp; "!A71"), 10, 0), "")</f>
        <v>휴먼스케이프</v>
      </c>
      <c r="P41" s="38">
        <f t="shared" ca="1" si="11"/>
        <v>160</v>
      </c>
      <c r="Q41" s="76">
        <f t="shared" ca="1" si="12"/>
        <v>0.1034482759</v>
      </c>
      <c r="R41" s="85">
        <f t="shared" ca="1" si="15"/>
        <v>923599992.71206141</v>
      </c>
    </row>
    <row r="42" spans="1:18">
      <c r="A42" s="40" t="s">
        <v>199</v>
      </c>
      <c r="B42" s="11" t="s">
        <v>200</v>
      </c>
      <c r="C42" s="95">
        <v>84.9</v>
      </c>
      <c r="D42" s="92">
        <v>-8.1775700999999999E-3</v>
      </c>
      <c r="E42" s="93">
        <v>956194915.50717866</v>
      </c>
      <c r="F42" s="35"/>
      <c r="G42" s="56" t="str">
        <f ca="1">IFERROR(OFFSET(INDIRECT($H$3 &amp; "!A98"), 11, 0), "")</f>
        <v>메타디움</v>
      </c>
      <c r="H42" s="39">
        <f t="shared" ca="1" si="7"/>
        <v>128</v>
      </c>
      <c r="I42" s="77">
        <f t="shared" ca="1" si="8"/>
        <v>4.9180327900000001E-2</v>
      </c>
      <c r="J42" s="86">
        <f t="shared" ca="1" si="13"/>
        <v>317863479.80242783</v>
      </c>
      <c r="K42" s="56" t="str">
        <f ca="1">IFERROR(OFFSET(INDIRECT($H$3 &amp; "!A44"), 11, 0), "")</f>
        <v>스톰엑스</v>
      </c>
      <c r="L42" s="39">
        <f t="shared" ca="1" si="9"/>
        <v>41</v>
      </c>
      <c r="M42" s="77">
        <f t="shared" ca="1" si="10"/>
        <v>5.3984575799999997E-2</v>
      </c>
      <c r="N42" s="86">
        <f t="shared" ca="1" si="14"/>
        <v>1158471458.1133003</v>
      </c>
      <c r="O42" s="56" t="str">
        <f ca="1">IFERROR(OFFSET(INDIRECT($H$3 &amp; "!A71"), 11, 0), "")</f>
        <v>피르마체인</v>
      </c>
      <c r="P42" s="39">
        <f t="shared" ca="1" si="11"/>
        <v>224</v>
      </c>
      <c r="Q42" s="77">
        <f t="shared" ca="1" si="12"/>
        <v>9.2682926799999996E-2</v>
      </c>
      <c r="R42" s="86">
        <f t="shared" ca="1" si="15"/>
        <v>803014885.82002199</v>
      </c>
    </row>
    <row r="43" spans="1:18">
      <c r="A43" s="40" t="s">
        <v>249</v>
      </c>
      <c r="B43" s="11" t="s">
        <v>250</v>
      </c>
      <c r="C43" s="95">
        <v>1120</v>
      </c>
      <c r="D43" s="92">
        <v>-8.8495575000000007E-3</v>
      </c>
      <c r="E43" s="93">
        <v>13485743.39745019</v>
      </c>
      <c r="F43" s="35"/>
      <c r="G43" s="56" t="str">
        <f ca="1">IFERROR(OFFSET(INDIRECT($H$3 &amp; "!A98"), 12, 0), "")</f>
        <v>디카르고</v>
      </c>
      <c r="H43" s="39">
        <f t="shared" ca="1" si="7"/>
        <v>179</v>
      </c>
      <c r="I43" s="77">
        <f t="shared" ca="1" si="8"/>
        <v>1.7045454500000001E-2</v>
      </c>
      <c r="J43" s="86">
        <f t="shared" ca="1" si="13"/>
        <v>145014267.82071751</v>
      </c>
      <c r="K43" s="56" t="str">
        <f ca="1">IFERROR(OFFSET(INDIRECT($H$3 &amp; "!A44"), 12, 0), "")</f>
        <v>비트토렌트</v>
      </c>
      <c r="L43" s="39">
        <f t="shared" ca="1" si="9"/>
        <v>4.32</v>
      </c>
      <c r="M43" s="77">
        <f t="shared" ca="1" si="10"/>
        <v>-3.3557047E-2</v>
      </c>
      <c r="N43" s="86">
        <f t="shared" ca="1" si="14"/>
        <v>11120154476.461996</v>
      </c>
      <c r="O43" s="56" t="str">
        <f ca="1">IFERROR(OFFSET(INDIRECT($H$3 &amp; "!A71"), 12, 0), "")</f>
        <v>룸네트워크</v>
      </c>
      <c r="P43" s="39">
        <f t="shared" ca="1" si="11"/>
        <v>133</v>
      </c>
      <c r="Q43" s="77">
        <f t="shared" ca="1" si="12"/>
        <v>3.1007751900000002E-2</v>
      </c>
      <c r="R43" s="86">
        <f t="shared" ca="1" si="15"/>
        <v>493205598.99248105</v>
      </c>
    </row>
    <row r="44" spans="1:18">
      <c r="A44" s="40" t="s">
        <v>231</v>
      </c>
      <c r="B44" s="11" t="s">
        <v>232</v>
      </c>
      <c r="C44" s="95">
        <v>81.7</v>
      </c>
      <c r="D44" s="92">
        <v>-9.6969697000000004E-3</v>
      </c>
      <c r="E44" s="93">
        <v>418665880.92875528</v>
      </c>
      <c r="F44" s="35"/>
      <c r="G44" s="56" t="str">
        <f ca="1">IFERROR(OFFSET(INDIRECT($H$3 &amp; "!A98"), 13, 0), "")</f>
        <v>썸씽</v>
      </c>
      <c r="H44" s="39">
        <f t="shared" ca="1" si="7"/>
        <v>81.7</v>
      </c>
      <c r="I44" s="77">
        <f t="shared" ca="1" si="8"/>
        <v>-9.6969697000000004E-3</v>
      </c>
      <c r="J44" s="86">
        <f t="shared" ca="1" si="13"/>
        <v>418665880.92875528</v>
      </c>
      <c r="K44" s="56" t="str">
        <f ca="1">IFERROR(OFFSET(INDIRECT($H$3 &amp; "!A44"), 13, 0), "")</f>
        <v>엠블</v>
      </c>
      <c r="L44" s="39">
        <f t="shared" ca="1" si="9"/>
        <v>18.7</v>
      </c>
      <c r="M44" s="77">
        <f t="shared" ca="1" si="10"/>
        <v>5.3763441000000004E-3</v>
      </c>
      <c r="N44" s="86">
        <f t="shared" ca="1" si="14"/>
        <v>2023979502.1960702</v>
      </c>
      <c r="O44" s="56" t="str">
        <f ca="1">IFERROR(OFFSET(INDIRECT($H$3 &amp; "!A71"), 13, 0), "")</f>
        <v>보라</v>
      </c>
      <c r="P44" s="39">
        <f t="shared" ca="1" si="11"/>
        <v>241</v>
      </c>
      <c r="Q44" s="77">
        <f t="shared" ca="1" si="12"/>
        <v>0</v>
      </c>
      <c r="R44" s="86">
        <f t="shared" ca="1" si="15"/>
        <v>182304492.44605145</v>
      </c>
    </row>
    <row r="45" spans="1:18">
      <c r="A45" s="40" t="s">
        <v>56</v>
      </c>
      <c r="B45" s="11" t="s">
        <v>57</v>
      </c>
      <c r="C45" s="95">
        <v>202</v>
      </c>
      <c r="D45" s="92">
        <v>-9.8039215999999995E-3</v>
      </c>
      <c r="E45" s="93">
        <v>77049203.907570347</v>
      </c>
      <c r="F45" s="35"/>
      <c r="G45" s="58" t="str">
        <f ca="1">IFERROR(OFFSET(INDIRECT($H$3 &amp; "!A98"), 14, 0), "")</f>
        <v>저스트</v>
      </c>
      <c r="H45" s="44">
        <f t="shared" ca="1" si="7"/>
        <v>87.9</v>
      </c>
      <c r="I45" s="78">
        <f t="shared" ca="1" si="8"/>
        <v>-2.8729281799999999E-2</v>
      </c>
      <c r="J45" s="90">
        <f t="shared" ca="1" si="13"/>
        <v>188810916.61945435</v>
      </c>
      <c r="K45" s="58" t="str">
        <f ca="1">IFERROR(OFFSET(INDIRECT($H$3 &amp; "!A44"), 14, 0), "")</f>
        <v>쿼크체인</v>
      </c>
      <c r="L45" s="44">
        <f t="shared" ca="1" si="9"/>
        <v>27.5</v>
      </c>
      <c r="M45" s="78">
        <f t="shared" ca="1" si="10"/>
        <v>1.10294118E-2</v>
      </c>
      <c r="N45" s="90">
        <f t="shared" ca="1" si="14"/>
        <v>539137000.74314785</v>
      </c>
      <c r="O45" s="58" t="str">
        <f ca="1">IFERROR(OFFSET(INDIRECT($H$3 &amp; "!A71"), 14, 0), "")</f>
        <v>도지코인</v>
      </c>
      <c r="P45" s="44">
        <f t="shared" ca="1" si="11"/>
        <v>301</v>
      </c>
      <c r="Q45" s="78">
        <f t="shared" ca="1" si="12"/>
        <v>-3.3112583000000002E-3</v>
      </c>
      <c r="R45" s="90">
        <f t="shared" ca="1" si="15"/>
        <v>1236547786.5884733</v>
      </c>
    </row>
    <row r="46" spans="1:18">
      <c r="A46" s="40" t="s">
        <v>161</v>
      </c>
      <c r="B46" s="11" t="s">
        <v>162</v>
      </c>
      <c r="C46" s="95">
        <v>822</v>
      </c>
      <c r="D46" s="92">
        <v>-1.08303249E-2</v>
      </c>
      <c r="E46" s="93">
        <v>125398773.24158467</v>
      </c>
      <c r="F46" s="35"/>
      <c r="G46" s="56" t="str">
        <f ca="1">IFERROR(OFFSET(INDIRECT($H$3 &amp; "!A98"), 15, 0), "")</f>
        <v>아이콘</v>
      </c>
      <c r="H46" s="39">
        <f t="shared" ca="1" si="7"/>
        <v>2560</v>
      </c>
      <c r="I46" s="77">
        <f t="shared" ca="1" si="8"/>
        <v>-7.0780399300000005E-2</v>
      </c>
      <c r="J46" s="99">
        <f t="shared" ca="1" si="13"/>
        <v>14901258.51724921</v>
      </c>
      <c r="K46" s="56" t="str">
        <f ca="1">IFERROR(OFFSET(INDIRECT($H$3 &amp; "!A44"), 15, 0), "")</f>
        <v>아이오에스티</v>
      </c>
      <c r="L46" s="39">
        <f t="shared" ca="1" si="9"/>
        <v>64.099999999999994</v>
      </c>
      <c r="M46" s="77">
        <f t="shared" ca="1" si="10"/>
        <v>-4.4709389000000002E-2</v>
      </c>
      <c r="N46" s="99">
        <f t="shared" ca="1" si="14"/>
        <v>860396870.08203173</v>
      </c>
      <c r="O46" s="56" t="str">
        <f ca="1">IFERROR(OFFSET(INDIRECT($H$3 &amp; "!A71"), 15, 0), "")</f>
        <v>칠리즈</v>
      </c>
      <c r="P46" s="39">
        <f t="shared" ca="1" si="11"/>
        <v>353</v>
      </c>
      <c r="Q46" s="77">
        <f t="shared" ca="1" si="12"/>
        <v>-3.8147138999999997E-2</v>
      </c>
      <c r="R46" s="99">
        <f t="shared" ca="1" si="15"/>
        <v>38773264.977190152</v>
      </c>
    </row>
    <row r="47" spans="1:18">
      <c r="A47" s="40" t="s">
        <v>185</v>
      </c>
      <c r="B47" s="11" t="s">
        <v>186</v>
      </c>
      <c r="C47" s="95">
        <v>18.2</v>
      </c>
      <c r="D47" s="92">
        <v>-1.08695652E-2</v>
      </c>
      <c r="E47" s="93">
        <v>24806083294.614666</v>
      </c>
      <c r="F47" s="35"/>
      <c r="G47" s="56" t="str">
        <f ca="1">IFERROR(OFFSET(INDIRECT($H$3 &amp; "!A98"), 16, 0), "")</f>
        <v>넴</v>
      </c>
      <c r="H47" s="39">
        <f t="shared" ca="1" si="7"/>
        <v>202</v>
      </c>
      <c r="I47" s="77">
        <f t="shared" ca="1" si="8"/>
        <v>-9.8039215999999995E-3</v>
      </c>
      <c r="J47" s="86">
        <f t="shared" ca="1" si="13"/>
        <v>77049203.907570347</v>
      </c>
      <c r="K47" s="56" t="str">
        <f ca="1">IFERROR(OFFSET(INDIRECT($H$3 &amp; "!A44"), 16, 0), "")</f>
        <v>이캐시</v>
      </c>
      <c r="L47" s="39">
        <f t="shared" ca="1" si="9"/>
        <v>0.26400000000000001</v>
      </c>
      <c r="M47" s="77">
        <f t="shared" ca="1" si="10"/>
        <v>-5.71428571E-2</v>
      </c>
      <c r="N47" s="86">
        <f t="shared" ca="1" si="14"/>
        <v>670325663531.38892</v>
      </c>
      <c r="O47" s="56" t="str">
        <f ca="1">IFERROR(OFFSET(INDIRECT($H$3 &amp; "!A71"), 16, 0), "")</f>
        <v>스팀</v>
      </c>
      <c r="P47" s="39">
        <f t="shared" ca="1" si="11"/>
        <v>898</v>
      </c>
      <c r="Q47" s="77">
        <f t="shared" ca="1" si="12"/>
        <v>0.29956584660000002</v>
      </c>
      <c r="R47" s="86">
        <f t="shared" ca="1" si="15"/>
        <v>425717045.28660727</v>
      </c>
    </row>
    <row r="48" spans="1:18">
      <c r="A48" s="40" t="s">
        <v>165</v>
      </c>
      <c r="B48" s="11" t="s">
        <v>166</v>
      </c>
      <c r="C48" s="95">
        <v>1700</v>
      </c>
      <c r="D48" s="92">
        <v>-1.44927536E-2</v>
      </c>
      <c r="E48" s="93">
        <v>16973377.947862599</v>
      </c>
      <c r="F48" s="35"/>
      <c r="G48" s="56" t="str">
        <f ca="1">IFERROR(OFFSET(INDIRECT($H$3 &amp; "!A98"), 17, 0), "")</f>
        <v>에브리피디아</v>
      </c>
      <c r="H48" s="39">
        <f t="shared" ca="1" si="7"/>
        <v>19</v>
      </c>
      <c r="I48" s="77">
        <f t="shared" ca="1" si="8"/>
        <v>4.9723756899999999E-2</v>
      </c>
      <c r="J48" s="86">
        <f t="shared" ca="1" si="13"/>
        <v>2099694859.9308429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트론</v>
      </c>
      <c r="P48" s="39">
        <f t="shared" ca="1" si="11"/>
        <v>113</v>
      </c>
      <c r="Q48" s="77">
        <f t="shared" ca="1" si="12"/>
        <v>-1.73913043E-2</v>
      </c>
      <c r="R48" s="86">
        <f t="shared" ca="1" si="15"/>
        <v>298532240.93819278</v>
      </c>
    </row>
    <row r="49" spans="1:18">
      <c r="A49" s="40" t="s">
        <v>50</v>
      </c>
      <c r="B49" s="11" t="s">
        <v>51</v>
      </c>
      <c r="C49" s="95">
        <v>378</v>
      </c>
      <c r="D49" s="92">
        <v>-1.5625E-2</v>
      </c>
      <c r="E49" s="93">
        <v>44303975.402444899</v>
      </c>
      <c r="F49" s="35"/>
      <c r="G49" s="56" t="str">
        <f ca="1">IFERROR(OFFSET(INDIRECT($H$3 &amp; "!A98"), 18, 0), "")</f>
        <v>리퍼리움</v>
      </c>
      <c r="H49" s="39">
        <f t="shared" ca="1" si="7"/>
        <v>16.399999999999999</v>
      </c>
      <c r="I49" s="77">
        <f t="shared" ca="1" si="8"/>
        <v>3.14465409E-2</v>
      </c>
      <c r="J49" s="86">
        <f t="shared" ca="1" si="13"/>
        <v>2472020043.3221269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베이직어텐션토큰</v>
      </c>
      <c r="P49" s="39">
        <f t="shared" ca="1" si="11"/>
        <v>858</v>
      </c>
      <c r="Q49" s="77">
        <f t="shared" ca="1" si="12"/>
        <v>-3.7037037000000002E-2</v>
      </c>
      <c r="R49" s="86">
        <f t="shared" ca="1" si="15"/>
        <v>6052188.7242079303</v>
      </c>
    </row>
    <row r="50" spans="1:18" ht="17.25" thickBot="1">
      <c r="A50" s="40" t="s">
        <v>213</v>
      </c>
      <c r="B50" s="11" t="s">
        <v>214</v>
      </c>
      <c r="C50" s="95">
        <v>11.9</v>
      </c>
      <c r="D50" s="92">
        <v>-1.6528925600000001E-2</v>
      </c>
      <c r="E50" s="93">
        <v>3013081056.1843605</v>
      </c>
      <c r="F50" s="35"/>
      <c r="G50" s="57" t="str">
        <f ca="1">IFERROR(OFFSET(INDIRECT($H$3 &amp; "!A98"), 19, 0), "")</f>
        <v>코박토큰</v>
      </c>
      <c r="H50" s="37">
        <f t="shared" ca="1" si="7"/>
        <v>4385</v>
      </c>
      <c r="I50" s="79">
        <f t="shared" ca="1" si="8"/>
        <v>1.5046296299999999E-2</v>
      </c>
      <c r="J50" s="87">
        <f t="shared" ca="1" si="13"/>
        <v>6962289.8382749399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비체인</v>
      </c>
      <c r="P50" s="37">
        <f t="shared" ca="1" si="11"/>
        <v>130</v>
      </c>
      <c r="Q50" s="79">
        <f t="shared" ca="1" si="12"/>
        <v>-5.1094890499999997E-2</v>
      </c>
      <c r="R50" s="87">
        <f t="shared" ca="1" si="15"/>
        <v>174617604.23834455</v>
      </c>
    </row>
    <row r="51" spans="1:18">
      <c r="A51" s="40" t="s">
        <v>149</v>
      </c>
      <c r="B51" s="11" t="s">
        <v>150</v>
      </c>
      <c r="C51" s="95">
        <v>113</v>
      </c>
      <c r="D51" s="92">
        <v>-1.73913043E-2</v>
      </c>
      <c r="E51" s="93">
        <v>298532240.93819278</v>
      </c>
      <c r="F51" s="35"/>
    </row>
    <row r="52" spans="1:18" ht="17.25" thickBot="1">
      <c r="A52" s="40" t="s">
        <v>151</v>
      </c>
      <c r="B52" s="11" t="s">
        <v>152</v>
      </c>
      <c r="C52" s="95">
        <v>151400</v>
      </c>
      <c r="D52" s="92">
        <v>-1.8794556099999998E-2</v>
      </c>
      <c r="E52" s="93">
        <v>4074395.5098242401</v>
      </c>
      <c r="F52" s="35"/>
    </row>
    <row r="53" spans="1:18" ht="17.25" thickBot="1">
      <c r="A53" s="40" t="s">
        <v>169</v>
      </c>
      <c r="B53" s="11" t="s">
        <v>170</v>
      </c>
      <c r="C53" s="95">
        <v>4100</v>
      </c>
      <c r="D53" s="92">
        <v>-1.9138756E-2</v>
      </c>
      <c r="E53" s="93">
        <v>12267333.89845003</v>
      </c>
      <c r="F53" s="35"/>
      <c r="G53" s="203" t="s">
        <v>253</v>
      </c>
      <c r="H53" s="204"/>
      <c r="I53" s="204"/>
      <c r="J53" s="205"/>
      <c r="K53" s="203" t="s">
        <v>256</v>
      </c>
      <c r="L53" s="204"/>
      <c r="M53" s="204"/>
      <c r="N53" s="205"/>
      <c r="O53" s="203" t="s">
        <v>257</v>
      </c>
      <c r="P53" s="204"/>
      <c r="Q53" s="204"/>
      <c r="R53" s="205"/>
    </row>
    <row r="54" spans="1:18" ht="17.25" thickBot="1">
      <c r="A54" s="40" t="s">
        <v>93</v>
      </c>
      <c r="B54" s="11" t="s">
        <v>94</v>
      </c>
      <c r="C54" s="95">
        <v>4121000</v>
      </c>
      <c r="D54" s="92">
        <v>-2.1372595599999999E-2</v>
      </c>
      <c r="E54" s="93">
        <v>42280.421509350002</v>
      </c>
      <c r="F54" s="35"/>
      <c r="G54" s="240" t="s">
        <v>55</v>
      </c>
      <c r="H54" s="256">
        <f ca="1">NOW()</f>
        <v>44475.879401736114</v>
      </c>
      <c r="I54" s="257"/>
      <c r="J54" s="258"/>
      <c r="K54" s="255" t="s">
        <v>55</v>
      </c>
      <c r="L54" s="256">
        <f ca="1">NOW()</f>
        <v>44475.879401736114</v>
      </c>
      <c r="M54" s="257"/>
      <c r="N54" s="258"/>
      <c r="O54" s="255" t="s">
        <v>55</v>
      </c>
      <c r="P54" s="256">
        <f ca="1">NOW()</f>
        <v>44475.879401736114</v>
      </c>
      <c r="Q54" s="257"/>
      <c r="R54" s="258"/>
    </row>
    <row r="55" spans="1:18" ht="17.25" thickBot="1">
      <c r="A55" s="40" t="s">
        <v>193</v>
      </c>
      <c r="B55" s="11" t="s">
        <v>194</v>
      </c>
      <c r="C55" s="95">
        <v>3780</v>
      </c>
      <c r="D55" s="92">
        <v>-2.1992238000000001E-2</v>
      </c>
      <c r="E55" s="93">
        <v>6566457.1351528699</v>
      </c>
      <c r="F55" s="35"/>
      <c r="G55" s="248"/>
      <c r="H55" s="36" t="s">
        <v>58</v>
      </c>
      <c r="I55" s="73" t="s">
        <v>59</v>
      </c>
      <c r="J55" s="69" t="s">
        <v>262</v>
      </c>
      <c r="K55" s="248"/>
      <c r="L55" s="36" t="s">
        <v>58</v>
      </c>
      <c r="M55" s="73" t="s">
        <v>59</v>
      </c>
      <c r="N55" s="69" t="s">
        <v>262</v>
      </c>
      <c r="O55" s="248"/>
      <c r="P55" s="36" t="s">
        <v>58</v>
      </c>
      <c r="Q55" s="73" t="s">
        <v>59</v>
      </c>
      <c r="R55" s="69" t="s">
        <v>262</v>
      </c>
    </row>
    <row r="56" spans="1:18">
      <c r="A56" s="40" t="s">
        <v>77</v>
      </c>
      <c r="B56" s="11" t="s">
        <v>78</v>
      </c>
      <c r="C56" s="95">
        <v>693900</v>
      </c>
      <c r="D56" s="92">
        <v>-2.51475133E-2</v>
      </c>
      <c r="E56" s="93">
        <v>25189.927342930001</v>
      </c>
      <c r="F56" s="35"/>
      <c r="G56" s="55" t="str">
        <f ca="1">IFERROR(OFFSET(INDIRECT($H$3 &amp; "!A179"), 0, 0), "")</f>
        <v>파워렛저</v>
      </c>
      <c r="H56" s="38">
        <f t="shared" ref="H56:H65" ca="1" si="16">_xlfn.IFNA(VLOOKUP(G56, $B$2:$D$200, 2, FALSE), "")</f>
        <v>448</v>
      </c>
      <c r="I56" s="76">
        <f t="shared" ref="I56:I65" ca="1" si="17">_xlfn.IFNA(VLOOKUP(G56, $B$2:$D$200, 3, FALSE), "")</f>
        <v>6.7415729999999998E-3</v>
      </c>
      <c r="J56" s="85">
        <f ca="1">_xlfn.IFNA(VLOOKUP(G56, $B$2:$E$200, 4, FALSE), "")</f>
        <v>106204946.16331758</v>
      </c>
      <c r="K56" s="55" t="str">
        <f ca="1">IFERROR(OFFSET(INDIRECT($H$3 &amp; "!A125"), 0, 0), "")</f>
        <v>썬더토큰</v>
      </c>
      <c r="L56" s="38">
        <f t="shared" ref="L56:L75" ca="1" si="18">_xlfn.IFNA(VLOOKUP(K56, $B$2:$D$200, 2, FALSE), "")</f>
        <v>18.2</v>
      </c>
      <c r="M56" s="76">
        <f t="shared" ref="M56:M75" ca="1" si="19">_xlfn.IFNA(VLOOKUP(K56, $B$2:$D$200, 3, FALSE), "")</f>
        <v>-1.08695652E-2</v>
      </c>
      <c r="N56" s="85">
        <f ca="1">_xlfn.IFNA(VLOOKUP(K56, $B$2:$E$200, 4, FALSE), "")</f>
        <v>24806083294.614666</v>
      </c>
      <c r="O56" s="55" t="str">
        <f ca="1">IFERROR(OFFSET(INDIRECT($H$3 &amp; "!A152"), 0, 0), "")</f>
        <v>칠리즈</v>
      </c>
      <c r="P56" s="38">
        <f t="shared" ref="P56:P75" ca="1" si="20">_xlfn.IFNA(VLOOKUP(O56, $B$2:$D$200, 2, FALSE), "")</f>
        <v>353</v>
      </c>
      <c r="Q56" s="76">
        <f t="shared" ref="Q56:Q75" ca="1" si="21">_xlfn.IFNA(VLOOKUP(O56, $B$2:$D$200, 3, FALSE), "")</f>
        <v>-3.8147138999999997E-2</v>
      </c>
      <c r="R56" s="85">
        <f ca="1">_xlfn.IFNA(VLOOKUP(O56, $B$2:$E$200, 4, FALSE), "")</f>
        <v>38773264.977190152</v>
      </c>
    </row>
    <row r="57" spans="1:18">
      <c r="A57" s="40" t="s">
        <v>123</v>
      </c>
      <c r="B57" s="11" t="s">
        <v>124</v>
      </c>
      <c r="C57" s="95">
        <v>203000</v>
      </c>
      <c r="D57" s="92">
        <v>-2.6145358600000002E-2</v>
      </c>
      <c r="E57" s="93">
        <v>71918.872056980006</v>
      </c>
      <c r="F57" s="35"/>
      <c r="G57" s="56" t="str">
        <f ca="1">IFERROR(OFFSET(INDIRECT($H$3 &amp; "!A179"), 1, 0), "")</f>
        <v>시빅</v>
      </c>
      <c r="H57" s="39">
        <f t="shared" ca="1" si="16"/>
        <v>635</v>
      </c>
      <c r="I57" s="77">
        <f t="shared" ca="1" si="17"/>
        <v>1.1146496800000001E-2</v>
      </c>
      <c r="J57" s="86">
        <f t="shared" ref="J57:J75" ca="1" si="22">_xlfn.IFNA(VLOOKUP(G57, $B$2:$E$200, 4, FALSE), "")</f>
        <v>161505927.19947106</v>
      </c>
      <c r="K57" s="56" t="str">
        <f ca="1">IFERROR(OFFSET(INDIRECT($H$3 &amp; "!A125"), 1, 0), "")</f>
        <v>아하토큰</v>
      </c>
      <c r="L57" s="39">
        <f t="shared" ca="1" si="18"/>
        <v>14.9</v>
      </c>
      <c r="M57" s="77">
        <f t="shared" ca="1" si="19"/>
        <v>-6.6666666999999997E-3</v>
      </c>
      <c r="N57" s="86">
        <f t="shared" ref="N57:N75" ca="1" si="23">_xlfn.IFNA(VLOOKUP(K57, $B$2:$E$200, 4, FALSE), "")</f>
        <v>4690320727.3207092</v>
      </c>
      <c r="O57" s="56" t="str">
        <f ca="1">IFERROR(OFFSET(INDIRECT($H$3 &amp; "!A152"), 1, 0), "")</f>
        <v>스팀</v>
      </c>
      <c r="P57" s="39">
        <f t="shared" ca="1" si="20"/>
        <v>898</v>
      </c>
      <c r="Q57" s="77">
        <f t="shared" ca="1" si="21"/>
        <v>0.29956584660000002</v>
      </c>
      <c r="R57" s="86">
        <f t="shared" ref="R57:R75" ca="1" si="24">_xlfn.IFNA(VLOOKUP(O57, $B$2:$E$200, 4, FALSE), "")</f>
        <v>425717045.28660727</v>
      </c>
    </row>
    <row r="58" spans="1:18">
      <c r="A58" s="40" t="s">
        <v>101</v>
      </c>
      <c r="B58" s="11" t="s">
        <v>102</v>
      </c>
      <c r="C58" s="95">
        <v>1075</v>
      </c>
      <c r="D58" s="92">
        <v>-2.7149321300000001E-2</v>
      </c>
      <c r="E58" s="93">
        <v>9596348.3639289793</v>
      </c>
      <c r="F58" s="35"/>
      <c r="G58" s="56" t="str">
        <f ca="1">IFERROR(OFFSET(INDIRECT($H$3 &amp; "!A179"), 2, 0), "")</f>
        <v>비트코인에스브이</v>
      </c>
      <c r="H58" s="39">
        <f t="shared" ca="1" si="16"/>
        <v>231550</v>
      </c>
      <c r="I58" s="77">
        <f t="shared" ca="1" si="17"/>
        <v>-4.5154639199999999E-2</v>
      </c>
      <c r="J58" s="86">
        <f t="shared" ca="1" si="22"/>
        <v>38509.209459589998</v>
      </c>
      <c r="K58" s="56" t="str">
        <f ca="1">IFERROR(OFFSET(INDIRECT($H$3 &amp; "!A125"), 2, 0), "")</f>
        <v>메디블록</v>
      </c>
      <c r="L58" s="39">
        <f t="shared" ca="1" si="18"/>
        <v>84.9</v>
      </c>
      <c r="M58" s="77">
        <f t="shared" ca="1" si="19"/>
        <v>-8.1775700999999999E-3</v>
      </c>
      <c r="N58" s="86">
        <f t="shared" ca="1" si="23"/>
        <v>956194915.50717866</v>
      </c>
      <c r="O58" s="56" t="str">
        <f ca="1">IFERROR(OFFSET(INDIRECT($H$3 &amp; "!A152"), 2, 0), "")</f>
        <v>트론</v>
      </c>
      <c r="P58" s="39">
        <f t="shared" ca="1" si="20"/>
        <v>113</v>
      </c>
      <c r="Q58" s="77">
        <f t="shared" ca="1" si="21"/>
        <v>-1.73913043E-2</v>
      </c>
      <c r="R58" s="86">
        <f t="shared" ca="1" si="24"/>
        <v>298532240.93819278</v>
      </c>
    </row>
    <row r="59" spans="1:18">
      <c r="A59" s="40" t="s">
        <v>239</v>
      </c>
      <c r="B59" s="11" t="s">
        <v>240</v>
      </c>
      <c r="C59" s="95">
        <v>644</v>
      </c>
      <c r="D59" s="92">
        <v>-2.7190332300000002E-2</v>
      </c>
      <c r="E59" s="93">
        <v>42183060.020681001</v>
      </c>
      <c r="F59" s="35"/>
      <c r="G59" s="56" t="str">
        <f ca="1">IFERROR(OFFSET(INDIRECT($H$3 &amp; "!A179"), 3, 0), "")</f>
        <v>왁스</v>
      </c>
      <c r="H59" s="39">
        <f t="shared" ca="1" si="16"/>
        <v>366</v>
      </c>
      <c r="I59" s="77">
        <f t="shared" ca="1" si="17"/>
        <v>-8.1300812999999996E-3</v>
      </c>
      <c r="J59" s="86">
        <f t="shared" ca="1" si="22"/>
        <v>218796210.17743993</v>
      </c>
      <c r="K59" s="56" t="str">
        <f ca="1">IFERROR(OFFSET(INDIRECT($H$3 &amp; "!A125"), 3, 0), "")</f>
        <v>시아코인</v>
      </c>
      <c r="L59" s="39">
        <f t="shared" ca="1" si="18"/>
        <v>22.6</v>
      </c>
      <c r="M59" s="77">
        <f t="shared" ca="1" si="19"/>
        <v>2.7272727300000001E-2</v>
      </c>
      <c r="N59" s="86">
        <f t="shared" ca="1" si="23"/>
        <v>9645030963.3010674</v>
      </c>
      <c r="O59" s="56" t="str">
        <f ca="1">IFERROR(OFFSET(INDIRECT($H$3 &amp; "!A152"), 3, 0), "")</f>
        <v>베이직어텐션토큰</v>
      </c>
      <c r="P59" s="39">
        <f t="shared" ca="1" si="20"/>
        <v>858</v>
      </c>
      <c r="Q59" s="77">
        <f t="shared" ca="1" si="21"/>
        <v>-3.7037037000000002E-2</v>
      </c>
      <c r="R59" s="86">
        <f t="shared" ca="1" si="24"/>
        <v>6052188.7242079303</v>
      </c>
    </row>
    <row r="60" spans="1:18">
      <c r="A60" s="40" t="s">
        <v>159</v>
      </c>
      <c r="B60" s="11" t="s">
        <v>160</v>
      </c>
      <c r="C60" s="95">
        <v>104</v>
      </c>
      <c r="D60" s="92">
        <v>-2.8037383200000002E-2</v>
      </c>
      <c r="E60" s="93">
        <v>125849000.986716</v>
      </c>
      <c r="F60" s="35"/>
      <c r="G60" s="56" t="str">
        <f ca="1">IFERROR(OFFSET(INDIRECT($H$3 &amp; "!A179"), 4, 0), "")</f>
        <v>아르고</v>
      </c>
      <c r="H60" s="39">
        <f t="shared" ca="1" si="16"/>
        <v>466</v>
      </c>
      <c r="I60" s="77">
        <f t="shared" ca="1" si="17"/>
        <v>5.6689342400000002E-2</v>
      </c>
      <c r="J60" s="90">
        <f t="shared" ca="1" si="22"/>
        <v>295275529.76424676</v>
      </c>
      <c r="K60" s="58" t="str">
        <f ca="1">IFERROR(OFFSET(INDIRECT($H$3 &amp; "!A125"), 4, 0), "")</f>
        <v>무비블록</v>
      </c>
      <c r="L60" s="44">
        <f t="shared" ca="1" si="18"/>
        <v>11.9</v>
      </c>
      <c r="M60" s="78">
        <f t="shared" ca="1" si="19"/>
        <v>-1.6528925600000001E-2</v>
      </c>
      <c r="N60" s="90">
        <f t="shared" ca="1" si="23"/>
        <v>3013081056.1843605</v>
      </c>
      <c r="O60" s="58" t="str">
        <f ca="1">IFERROR(OFFSET(INDIRECT($H$3 &amp; "!A152"), 4, 0), "")</f>
        <v>비체인</v>
      </c>
      <c r="P60" s="44">
        <f t="shared" ca="1" si="20"/>
        <v>130</v>
      </c>
      <c r="Q60" s="78">
        <f t="shared" ca="1" si="21"/>
        <v>-5.1094890499999997E-2</v>
      </c>
      <c r="R60" s="90">
        <f t="shared" ca="1" si="24"/>
        <v>174617604.23834455</v>
      </c>
    </row>
    <row r="61" spans="1:18">
      <c r="A61" s="40" t="s">
        <v>113</v>
      </c>
      <c r="B61" s="11" t="s">
        <v>114</v>
      </c>
      <c r="C61" s="95">
        <v>7450</v>
      </c>
      <c r="D61" s="92">
        <v>-2.8049576E-2</v>
      </c>
      <c r="E61" s="93">
        <v>1455093.3811765499</v>
      </c>
      <c r="F61" s="35"/>
      <c r="G61" s="60" t="str">
        <f ca="1">IFERROR(OFFSET(INDIRECT($H$3 &amp; "!A179"), 5, 0), "")</f>
        <v>리스크</v>
      </c>
      <c r="H61" s="45">
        <f t="shared" ca="1" si="16"/>
        <v>4515</v>
      </c>
      <c r="I61" s="80">
        <f t="shared" ca="1" si="17"/>
        <v>-3.8338658099999999E-2</v>
      </c>
      <c r="J61" s="99">
        <f t="shared" ca="1" si="22"/>
        <v>4104759.9158723</v>
      </c>
      <c r="K61" s="56" t="str">
        <f ca="1">IFERROR(OFFSET(INDIRECT($H$3 &amp; "!A125"), 5, 0), "")</f>
        <v>캐리프로토콜</v>
      </c>
      <c r="L61" s="39">
        <f t="shared" ca="1" si="18"/>
        <v>12.9</v>
      </c>
      <c r="M61" s="77">
        <f t="shared" ca="1" si="19"/>
        <v>3.2000000000000001E-2</v>
      </c>
      <c r="N61" s="99">
        <f t="shared" ca="1" si="23"/>
        <v>4391937996.2530346</v>
      </c>
      <c r="O61" s="56" t="str">
        <f ca="1">IFERROR(OFFSET(INDIRECT($H$3 &amp; "!A152"), 5, 0), "")</f>
        <v>골렘</v>
      </c>
      <c r="P61" s="39">
        <f t="shared" ca="1" si="20"/>
        <v>644</v>
      </c>
      <c r="Q61" s="77">
        <f t="shared" ca="1" si="21"/>
        <v>-2.7190332300000002E-2</v>
      </c>
      <c r="R61" s="99">
        <f t="shared" ca="1" si="24"/>
        <v>42183060.020681001</v>
      </c>
    </row>
    <row r="62" spans="1:18">
      <c r="A62" s="40" t="s">
        <v>205</v>
      </c>
      <c r="B62" s="11" t="s">
        <v>206</v>
      </c>
      <c r="C62" s="95">
        <v>13.8</v>
      </c>
      <c r="D62" s="92">
        <v>-2.8169014100000001E-2</v>
      </c>
      <c r="E62" s="93">
        <v>1130092203.3981476</v>
      </c>
      <c r="F62" s="35"/>
      <c r="G62" s="56" t="str">
        <f ca="1">IFERROR(OFFSET(INDIRECT($H$3 &amp; "!A179"), 6, 0), "")</f>
        <v>헤데라해시그래프</v>
      </c>
      <c r="H62" s="39">
        <f t="shared" ca="1" si="16"/>
        <v>454</v>
      </c>
      <c r="I62" s="77">
        <f t="shared" ca="1" si="17"/>
        <v>-6.0041407900000003E-2</v>
      </c>
      <c r="J62" s="86">
        <f t="shared" ca="1" si="22"/>
        <v>48490940.866067</v>
      </c>
      <c r="K62" s="56" t="str">
        <f ca="1">IFERROR(OFFSET(INDIRECT($H$3 &amp; "!A125"), 6, 0), "")</f>
        <v>메인프레임</v>
      </c>
      <c r="L62" s="39">
        <f t="shared" ca="1" si="18"/>
        <v>13.8</v>
      </c>
      <c r="M62" s="77">
        <f t="shared" ca="1" si="19"/>
        <v>-2.8169014100000001E-2</v>
      </c>
      <c r="N62" s="86">
        <f t="shared" ca="1" si="23"/>
        <v>1130092203.3981476</v>
      </c>
      <c r="O62" s="56" t="str">
        <f ca="1">IFERROR(OFFSET(INDIRECT($H$3 &amp; "!A152"), 6, 0), "")</f>
        <v>쎄타퓨엘</v>
      </c>
      <c r="P62" s="39">
        <f t="shared" ca="1" si="20"/>
        <v>354</v>
      </c>
      <c r="Q62" s="77">
        <f t="shared" ca="1" si="21"/>
        <v>-4.3243243200000003E-2</v>
      </c>
      <c r="R62" s="86">
        <f t="shared" ca="1" si="24"/>
        <v>30279364.511931099</v>
      </c>
    </row>
    <row r="63" spans="1:18">
      <c r="A63" s="40" t="s">
        <v>247</v>
      </c>
      <c r="B63" s="11" t="s">
        <v>248</v>
      </c>
      <c r="C63" s="95">
        <v>87.9</v>
      </c>
      <c r="D63" s="92">
        <v>-2.8729281799999999E-2</v>
      </c>
      <c r="E63" s="93">
        <v>188810916.61945435</v>
      </c>
      <c r="F63" s="35"/>
      <c r="G63" s="56" t="str">
        <f ca="1">IFERROR(OFFSET(INDIRECT($H$3 &amp; "!A179"), 7, 0), "")</f>
        <v>이캐시</v>
      </c>
      <c r="H63" s="39">
        <f t="shared" ca="1" si="16"/>
        <v>0.26400000000000001</v>
      </c>
      <c r="I63" s="77">
        <f t="shared" ca="1" si="17"/>
        <v>-5.71428571E-2</v>
      </c>
      <c r="J63" s="86">
        <f t="shared" ca="1" si="22"/>
        <v>670325663531.38892</v>
      </c>
      <c r="K63" s="56" t="str">
        <f ca="1">IFERROR(OFFSET(INDIRECT($H$3 &amp; "!A125"), 7, 0), "")</f>
        <v>썸씽</v>
      </c>
      <c r="L63" s="39">
        <f t="shared" ca="1" si="18"/>
        <v>81.7</v>
      </c>
      <c r="M63" s="77">
        <f t="shared" ca="1" si="19"/>
        <v>-9.6969697000000004E-3</v>
      </c>
      <c r="N63" s="86">
        <f t="shared" ca="1" si="23"/>
        <v>418665880.92875528</v>
      </c>
      <c r="O63" s="56" t="str">
        <f ca="1">IFERROR(OFFSET(INDIRECT($H$3 &amp; "!A152"), 7, 0), "")</f>
        <v>크립토닷컴체인</v>
      </c>
      <c r="P63" s="39">
        <f t="shared" ca="1" si="20"/>
        <v>217</v>
      </c>
      <c r="Q63" s="77">
        <f t="shared" ca="1" si="21"/>
        <v>-4.5871560000000002E-3</v>
      </c>
      <c r="R63" s="86">
        <f t="shared" ca="1" si="24"/>
        <v>51224996.298061103</v>
      </c>
    </row>
    <row r="64" spans="1:18">
      <c r="A64" s="40" t="s">
        <v>179</v>
      </c>
      <c r="B64" s="11" t="s">
        <v>180</v>
      </c>
      <c r="C64" s="95">
        <v>67600</v>
      </c>
      <c r="D64" s="92">
        <v>-2.9293509499999999E-2</v>
      </c>
      <c r="E64" s="93">
        <v>282138.07649706001</v>
      </c>
      <c r="F64" s="35"/>
      <c r="G64" s="56" t="str">
        <f ca="1">IFERROR(OFFSET(INDIRECT($H$3 &amp; "!A179"), 8, 0), "")</f>
        <v>하이브</v>
      </c>
      <c r="H64" s="39">
        <f t="shared" ca="1" si="16"/>
        <v>1360</v>
      </c>
      <c r="I64" s="77">
        <f t="shared" ca="1" si="17"/>
        <v>0.60188457009999996</v>
      </c>
      <c r="J64" s="86">
        <f t="shared" ca="1" si="22"/>
        <v>1054020177.5997162</v>
      </c>
      <c r="K64" s="56" t="str">
        <f ca="1">IFERROR(OFFSET(INDIRECT($H$3 &amp; "!A125"), 8, 0), "")</f>
        <v>저스트</v>
      </c>
      <c r="L64" s="39">
        <f t="shared" ca="1" si="18"/>
        <v>87.9</v>
      </c>
      <c r="M64" s="77">
        <f t="shared" ca="1" si="19"/>
        <v>-2.8729281799999999E-2</v>
      </c>
      <c r="N64" s="86">
        <f t="shared" ca="1" si="23"/>
        <v>188810916.61945435</v>
      </c>
      <c r="O64" s="56" t="str">
        <f ca="1">IFERROR(OFFSET(INDIRECT($H$3 &amp; "!A152"), 8, 0), "")</f>
        <v>스텔라루멘</v>
      </c>
      <c r="P64" s="39">
        <f t="shared" ca="1" si="20"/>
        <v>378</v>
      </c>
      <c r="Q64" s="77">
        <f t="shared" ca="1" si="21"/>
        <v>-1.5625E-2</v>
      </c>
      <c r="R64" s="86">
        <f t="shared" ca="1" si="24"/>
        <v>44303975.402444899</v>
      </c>
    </row>
    <row r="65" spans="1:18" ht="17.25" thickBot="1">
      <c r="A65" s="40" t="s">
        <v>143</v>
      </c>
      <c r="B65" s="11" t="s">
        <v>144</v>
      </c>
      <c r="C65" s="95">
        <v>2930</v>
      </c>
      <c r="D65" s="92">
        <v>-2.98013245E-2</v>
      </c>
      <c r="E65" s="93">
        <v>14616195.580647189</v>
      </c>
      <c r="F65" s="35"/>
      <c r="G65" s="57" t="str">
        <f ca="1">IFERROR(OFFSET(INDIRECT($H$3 &amp; "!A179"), 9, 0), "")</f>
        <v>엘프</v>
      </c>
      <c r="H65" s="37">
        <f t="shared" ca="1" si="16"/>
        <v>822</v>
      </c>
      <c r="I65" s="79">
        <f t="shared" ca="1" si="17"/>
        <v>-1.08303249E-2</v>
      </c>
      <c r="J65" s="87">
        <f t="shared" ca="1" si="22"/>
        <v>125398773.24158467</v>
      </c>
      <c r="K65" s="57" t="str">
        <f ca="1">IFERROR(OFFSET(INDIRECT($H$3 &amp; "!A125"), 9, 0), "")</f>
        <v>에브리피디아</v>
      </c>
      <c r="L65" s="37">
        <f t="shared" ca="1" si="18"/>
        <v>19</v>
      </c>
      <c r="M65" s="79">
        <f t="shared" ca="1" si="19"/>
        <v>4.9723756899999999E-2</v>
      </c>
      <c r="N65" s="87">
        <f t="shared" ca="1" si="23"/>
        <v>2099694859.9308429</v>
      </c>
      <c r="O65" s="57" t="str">
        <f ca="1">IFERROR(OFFSET(INDIRECT($H$3 &amp; "!A152"), 9, 0), "")</f>
        <v>아더</v>
      </c>
      <c r="P65" s="37">
        <f t="shared" ca="1" si="20"/>
        <v>441</v>
      </c>
      <c r="Q65" s="79">
        <f t="shared" ca="1" si="21"/>
        <v>5.75539568E-2</v>
      </c>
      <c r="R65" s="87">
        <f t="shared" ca="1" si="24"/>
        <v>281396385.68638903</v>
      </c>
    </row>
    <row r="66" spans="1:18">
      <c r="A66" s="40" t="s">
        <v>81</v>
      </c>
      <c r="B66" s="11" t="s">
        <v>82</v>
      </c>
      <c r="C66" s="95">
        <v>2600</v>
      </c>
      <c r="D66" s="92">
        <v>-2.9850746300000001E-2</v>
      </c>
      <c r="E66" s="93">
        <v>19455040.564952899</v>
      </c>
      <c r="F66" s="35"/>
      <c r="G66" s="56" t="str">
        <f ca="1">IFERROR(OFFSET(INDIRECT($H$3 &amp; "!A179"), 10, 0), "")</f>
        <v>플레이댑</v>
      </c>
      <c r="H66" s="38">
        <f t="shared" ref="H66:H75" ca="1" si="25">_xlfn.IFNA(VLOOKUP(G66, $B$2:$D$200, 2, FALSE), "")</f>
        <v>1025</v>
      </c>
      <c r="I66" s="76">
        <f t="shared" ref="I66:I75" ca="1" si="26">_xlfn.IFNA(VLOOKUP(G66, $B$2:$D$200, 3, FALSE), "")</f>
        <v>-3.3018867899999998E-2</v>
      </c>
      <c r="J66" s="85">
        <f t="shared" ca="1" si="22"/>
        <v>71567837.114513353</v>
      </c>
      <c r="K66" s="55" t="str">
        <f ca="1">IFERROR(OFFSET(INDIRECT($H$3 &amp; "!A125"), 10, 0), "")</f>
        <v>리퍼리움</v>
      </c>
      <c r="L66" s="38">
        <f t="shared" ca="1" si="18"/>
        <v>16.399999999999999</v>
      </c>
      <c r="M66" s="76">
        <f t="shared" ca="1" si="19"/>
        <v>3.14465409E-2</v>
      </c>
      <c r="N66" s="85">
        <f t="shared" ca="1" si="23"/>
        <v>2472020043.3221269</v>
      </c>
      <c r="O66" s="55" t="str">
        <f ca="1">IFERROR(OFFSET(INDIRECT($H$3 &amp; "!A152"), 10, 0), "")</f>
        <v>디센트럴랜드</v>
      </c>
      <c r="P66" s="38">
        <f t="shared" ca="1" si="20"/>
        <v>905</v>
      </c>
      <c r="Q66" s="76">
        <f t="shared" ca="1" si="21"/>
        <v>-3.51812367E-2</v>
      </c>
      <c r="R66" s="85">
        <f t="shared" ca="1" si="24"/>
        <v>20360213.029665861</v>
      </c>
    </row>
    <row r="67" spans="1:18">
      <c r="A67" s="40" t="s">
        <v>167</v>
      </c>
      <c r="B67" s="11" t="s">
        <v>168</v>
      </c>
      <c r="C67" s="95">
        <v>29360</v>
      </c>
      <c r="D67" s="92">
        <v>-3.0062768399999999E-2</v>
      </c>
      <c r="E67" s="93">
        <v>387792.74684371002</v>
      </c>
      <c r="F67" s="35"/>
      <c r="G67" s="56" t="str">
        <f ca="1">IFERROR(OFFSET(INDIRECT($H$3 &amp; "!A179"), 11, 0), "")</f>
        <v>세럼</v>
      </c>
      <c r="H67" s="39">
        <f t="shared" ca="1" si="25"/>
        <v>9560</v>
      </c>
      <c r="I67" s="77">
        <f t="shared" ca="1" si="26"/>
        <v>-5.99803343E-2</v>
      </c>
      <c r="J67" s="86">
        <f t="shared" ca="1" si="22"/>
        <v>8255283.5643400298</v>
      </c>
      <c r="K67" s="56" t="str">
        <f ca="1">IFERROR(OFFSET(INDIRECT($H$3 &amp; "!A125"), 11, 0), "")</f>
        <v>스톰엑스</v>
      </c>
      <c r="L67" s="39">
        <f t="shared" ca="1" si="18"/>
        <v>41</v>
      </c>
      <c r="M67" s="77">
        <f t="shared" ca="1" si="19"/>
        <v>5.3984575799999997E-2</v>
      </c>
      <c r="N67" s="86">
        <f t="shared" ca="1" si="23"/>
        <v>1158471458.1133003</v>
      </c>
      <c r="O67" s="56" t="str">
        <f ca="1">IFERROR(OFFSET(INDIRECT($H$3 &amp; "!A152"), 11, 0), "")</f>
        <v>헌트</v>
      </c>
      <c r="P67" s="39">
        <f t="shared" ca="1" si="20"/>
        <v>1135</v>
      </c>
      <c r="Q67" s="77">
        <f t="shared" ca="1" si="21"/>
        <v>0.16171954960000001</v>
      </c>
      <c r="R67" s="86">
        <f t="shared" ca="1" si="24"/>
        <v>706658322.60083711</v>
      </c>
    </row>
    <row r="68" spans="1:18">
      <c r="A68" s="40" t="s">
        <v>157</v>
      </c>
      <c r="B68" s="11" t="s">
        <v>158</v>
      </c>
      <c r="C68" s="95">
        <v>1560</v>
      </c>
      <c r="D68" s="92">
        <v>-3.1055900599999998E-2</v>
      </c>
      <c r="E68" s="93">
        <v>11185760.02650157</v>
      </c>
      <c r="F68" s="35"/>
      <c r="G68" s="56" t="str">
        <f ca="1">IFERROR(OFFSET(INDIRECT($H$3 &amp; "!A179"), 12, 0), "")</f>
        <v>스택스</v>
      </c>
      <c r="H68" s="39">
        <f t="shared" ca="1" si="25"/>
        <v>1700</v>
      </c>
      <c r="I68" s="77">
        <f t="shared" ca="1" si="26"/>
        <v>-1.44927536E-2</v>
      </c>
      <c r="J68" s="86">
        <f t="shared" ca="1" si="22"/>
        <v>16973377.947862599</v>
      </c>
      <c r="K68" s="56" t="str">
        <f ca="1">IFERROR(OFFSET(INDIRECT($H$3 &amp; "!A125"), 12, 0), "")</f>
        <v>비트토렌트</v>
      </c>
      <c r="L68" s="39">
        <f t="shared" ca="1" si="18"/>
        <v>4.32</v>
      </c>
      <c r="M68" s="77">
        <f t="shared" ca="1" si="19"/>
        <v>-3.3557047E-2</v>
      </c>
      <c r="N68" s="86">
        <f t="shared" ca="1" si="23"/>
        <v>11120154476.461996</v>
      </c>
      <c r="O68" s="56" t="str">
        <f ca="1">IFERROR(OFFSET(INDIRECT($H$3 &amp; "!A152"), 12, 0), "")</f>
        <v>파워렛저</v>
      </c>
      <c r="P68" s="39">
        <f t="shared" ca="1" si="20"/>
        <v>448</v>
      </c>
      <c r="Q68" s="77">
        <f t="shared" ca="1" si="21"/>
        <v>6.7415729999999998E-3</v>
      </c>
      <c r="R68" s="86">
        <f t="shared" ca="1" si="24"/>
        <v>106204946.16331758</v>
      </c>
    </row>
    <row r="69" spans="1:18">
      <c r="A69" s="40" t="s">
        <v>211</v>
      </c>
      <c r="B69" s="11" t="s">
        <v>212</v>
      </c>
      <c r="C69" s="95">
        <v>1025</v>
      </c>
      <c r="D69" s="92">
        <v>-3.3018867899999998E-2</v>
      </c>
      <c r="E69" s="93">
        <v>71567837.114513353</v>
      </c>
      <c r="F69" s="35"/>
      <c r="G69" s="56" t="str">
        <f ca="1">IFERROR(OFFSET(INDIRECT($H$3 &amp; "!A179"), 13, 0), "")</f>
        <v>엑시인피니티</v>
      </c>
      <c r="H69" s="39">
        <f t="shared" ca="1" si="25"/>
        <v>151400</v>
      </c>
      <c r="I69" s="77">
        <f t="shared" ca="1" si="26"/>
        <v>-1.8794556099999998E-2</v>
      </c>
      <c r="J69" s="86">
        <f t="shared" ca="1" si="22"/>
        <v>4074395.5098242401</v>
      </c>
      <c r="K69" s="56" t="str">
        <f ca="1">IFERROR(OFFSET(INDIRECT($H$3 &amp; "!A125"), 13, 0), "")</f>
        <v>엠블</v>
      </c>
      <c r="L69" s="39">
        <f t="shared" ca="1" si="18"/>
        <v>18.7</v>
      </c>
      <c r="M69" s="77">
        <f t="shared" ca="1" si="19"/>
        <v>5.3763441000000004E-3</v>
      </c>
      <c r="N69" s="86">
        <f t="shared" ca="1" si="23"/>
        <v>2023979502.1960702</v>
      </c>
      <c r="O69" s="56" t="str">
        <f ca="1">IFERROR(OFFSET(INDIRECT($H$3 &amp; "!A152"), 13, 0), "")</f>
        <v>시빅</v>
      </c>
      <c r="P69" s="39">
        <f t="shared" ca="1" si="20"/>
        <v>635</v>
      </c>
      <c r="Q69" s="77">
        <f t="shared" ca="1" si="21"/>
        <v>1.1146496800000001E-2</v>
      </c>
      <c r="R69" s="86">
        <f t="shared" ca="1" si="24"/>
        <v>161505927.19947106</v>
      </c>
    </row>
    <row r="70" spans="1:18">
      <c r="A70" s="40" t="s">
        <v>97</v>
      </c>
      <c r="B70" s="11" t="s">
        <v>98</v>
      </c>
      <c r="C70" s="95">
        <v>4.32</v>
      </c>
      <c r="D70" s="92">
        <v>-3.3557047E-2</v>
      </c>
      <c r="E70" s="93">
        <v>11120154476.461996</v>
      </c>
      <c r="F70" s="35"/>
      <c r="G70" s="56" t="str">
        <f ca="1">IFERROR(OFFSET(INDIRECT($H$3 &amp; "!A179"), 14, 0), "")</f>
        <v>플로우</v>
      </c>
      <c r="H70" s="39">
        <f t="shared" ca="1" si="25"/>
        <v>23410</v>
      </c>
      <c r="I70" s="77">
        <f t="shared" ca="1" si="26"/>
        <v>-3.9786710400000001E-2</v>
      </c>
      <c r="J70" s="90">
        <f t="shared" ca="1" si="22"/>
        <v>3357222.3174654501</v>
      </c>
      <c r="K70" s="58" t="str">
        <f ca="1">IFERROR(OFFSET(INDIRECT($H$3 &amp; "!A125"), 14, 0), "")</f>
        <v>쿼크체인</v>
      </c>
      <c r="L70" s="44">
        <f t="shared" ca="1" si="18"/>
        <v>27.5</v>
      </c>
      <c r="M70" s="78">
        <f t="shared" ca="1" si="19"/>
        <v>1.10294118E-2</v>
      </c>
      <c r="N70" s="90">
        <f t="shared" ca="1" si="23"/>
        <v>539137000.74314785</v>
      </c>
      <c r="O70" s="58" t="str">
        <f ca="1">IFERROR(OFFSET(INDIRECT($H$3 &amp; "!A152"), 14, 0), "")</f>
        <v>왁스</v>
      </c>
      <c r="P70" s="44">
        <f t="shared" ca="1" si="20"/>
        <v>366</v>
      </c>
      <c r="Q70" s="78">
        <f t="shared" ca="1" si="21"/>
        <v>-8.1300812999999996E-3</v>
      </c>
      <c r="R70" s="90">
        <f t="shared" ca="1" si="24"/>
        <v>218796210.17743993</v>
      </c>
    </row>
    <row r="71" spans="1:18">
      <c r="A71" s="40" t="s">
        <v>99</v>
      </c>
      <c r="B71" s="11" t="s">
        <v>100</v>
      </c>
      <c r="C71" s="95">
        <v>63030</v>
      </c>
      <c r="D71" s="92">
        <v>-3.43189827E-2</v>
      </c>
      <c r="E71" s="93">
        <v>1198461.5797669</v>
      </c>
      <c r="F71" s="35"/>
      <c r="G71" s="60" t="str">
        <f ca="1">IFERROR(OFFSET(INDIRECT($H$3 &amp; "!A179"), 15, 0), "")</f>
        <v>샌드박스</v>
      </c>
      <c r="H71" s="45">
        <f t="shared" ca="1" si="25"/>
        <v>928</v>
      </c>
      <c r="I71" s="80">
        <f t="shared" ca="1" si="26"/>
        <v>-4.0330920399999998E-2</v>
      </c>
      <c r="J71" s="99">
        <f t="shared" ca="1" si="22"/>
        <v>71771928.016147256</v>
      </c>
      <c r="K71" s="56" t="str">
        <f ca="1">IFERROR(OFFSET(INDIRECT($H$3 &amp; "!A125"), 15, 0), "")</f>
        <v>아이오에스티</v>
      </c>
      <c r="L71" s="39">
        <f t="shared" ca="1" si="18"/>
        <v>64.099999999999994</v>
      </c>
      <c r="M71" s="77">
        <f t="shared" ca="1" si="19"/>
        <v>-4.4709389000000002E-2</v>
      </c>
      <c r="N71" s="99">
        <f t="shared" ca="1" si="23"/>
        <v>860396870.08203173</v>
      </c>
      <c r="O71" s="56" t="str">
        <f ca="1">IFERROR(OFFSET(INDIRECT($H$3 &amp; "!A152"), 15, 0), "")</f>
        <v>아르고</v>
      </c>
      <c r="P71" s="39">
        <f t="shared" ca="1" si="20"/>
        <v>466</v>
      </c>
      <c r="Q71" s="77">
        <f t="shared" ca="1" si="21"/>
        <v>5.6689342400000002E-2</v>
      </c>
      <c r="R71" s="99">
        <f t="shared" ca="1" si="24"/>
        <v>295275529.76424676</v>
      </c>
    </row>
    <row r="72" spans="1:18">
      <c r="A72" s="40" t="s">
        <v>89</v>
      </c>
      <c r="B72" s="11" t="s">
        <v>90</v>
      </c>
      <c r="C72" s="95">
        <v>1255</v>
      </c>
      <c r="D72" s="92">
        <v>-3.46153846E-2</v>
      </c>
      <c r="E72" s="93">
        <v>214398221.43882355</v>
      </c>
      <c r="F72" s="35"/>
      <c r="G72" s="56" t="str">
        <f ca="1">IFERROR(OFFSET(INDIRECT($H$3 &amp; "!A179"), 16, 0), "")</f>
        <v>오미세고</v>
      </c>
      <c r="H72" s="39">
        <f t="shared" ca="1" si="25"/>
        <v>17120</v>
      </c>
      <c r="I72" s="77">
        <f t="shared" ca="1" si="26"/>
        <v>-8.3511777300000006E-2</v>
      </c>
      <c r="J72" s="86">
        <f t="shared" ca="1" si="22"/>
        <v>15017053.337412231</v>
      </c>
      <c r="K72" s="56" t="str">
        <f ca="1">IFERROR(OFFSET(INDIRECT($H$3 &amp; "!A125"), 16, 0), "")</f>
        <v>이캐시</v>
      </c>
      <c r="L72" s="39">
        <f t="shared" ca="1" si="18"/>
        <v>0.26400000000000001</v>
      </c>
      <c r="M72" s="77">
        <f t="shared" ca="1" si="19"/>
        <v>-5.71428571E-2</v>
      </c>
      <c r="N72" s="86">
        <f t="shared" ca="1" si="23"/>
        <v>670325663531.38892</v>
      </c>
      <c r="O72" s="56" t="str">
        <f ca="1">IFERROR(OFFSET(INDIRECT($H$3 &amp; "!A152"), 16, 0), "")</f>
        <v>헤데라해시그래프</v>
      </c>
      <c r="P72" s="39">
        <f t="shared" ca="1" si="20"/>
        <v>454</v>
      </c>
      <c r="Q72" s="77">
        <f t="shared" ca="1" si="21"/>
        <v>-6.0041407900000003E-2</v>
      </c>
      <c r="R72" s="86">
        <f t="shared" ca="1" si="24"/>
        <v>48490940.866067</v>
      </c>
    </row>
    <row r="73" spans="1:18">
      <c r="A73" s="40" t="s">
        <v>60</v>
      </c>
      <c r="B73" s="11" t="s">
        <v>61</v>
      </c>
      <c r="C73" s="95">
        <v>905</v>
      </c>
      <c r="D73" s="92">
        <v>-3.51812367E-2</v>
      </c>
      <c r="E73" s="93">
        <v>20360213.029665861</v>
      </c>
      <c r="F73" s="35"/>
      <c r="G73" s="56" t="str">
        <f ca="1">IFERROR(OFFSET(INDIRECT($H$3 &amp; "!A179"), 17, 0), "")</f>
        <v>퀀텀</v>
      </c>
      <c r="H73" s="39">
        <f t="shared" ca="1" si="25"/>
        <v>15070</v>
      </c>
      <c r="I73" s="77">
        <f t="shared" ca="1" si="26"/>
        <v>-5.3986189599999998E-2</v>
      </c>
      <c r="J73" s="86">
        <f t="shared" ca="1" si="22"/>
        <v>3572883.7921934798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하이브</v>
      </c>
      <c r="P73" s="39">
        <f t="shared" ca="1" si="20"/>
        <v>1360</v>
      </c>
      <c r="Q73" s="77">
        <f t="shared" ca="1" si="21"/>
        <v>0.60188457009999996</v>
      </c>
      <c r="R73" s="86">
        <f t="shared" ca="1" si="24"/>
        <v>1054020177.5997162</v>
      </c>
    </row>
    <row r="74" spans="1:18">
      <c r="A74" s="40" t="s">
        <v>62</v>
      </c>
      <c r="B74" s="11" t="s">
        <v>63</v>
      </c>
      <c r="C74" s="95">
        <v>53700</v>
      </c>
      <c r="D74" s="92">
        <v>-3.6252692000000003E-2</v>
      </c>
      <c r="E74" s="93">
        <v>187043.81551499001</v>
      </c>
      <c r="F74" s="35"/>
      <c r="G74" s="56" t="str">
        <f ca="1">IFERROR(OFFSET(INDIRECT($H$3 &amp; "!A179"), 18, 0), "")</f>
        <v>테조스</v>
      </c>
      <c r="H74" s="39">
        <f t="shared" ca="1" si="25"/>
        <v>9045</v>
      </c>
      <c r="I74" s="77">
        <f t="shared" ca="1" si="26"/>
        <v>-4.9395690999999999E-2</v>
      </c>
      <c r="J74" s="86">
        <f t="shared" ca="1" si="22"/>
        <v>9874648.3942819797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엘프</v>
      </c>
      <c r="P74" s="39">
        <f t="shared" ca="1" si="20"/>
        <v>822</v>
      </c>
      <c r="Q74" s="77">
        <f t="shared" ca="1" si="21"/>
        <v>-1.08303249E-2</v>
      </c>
      <c r="R74" s="86">
        <f t="shared" ca="1" si="24"/>
        <v>125398773.24158467</v>
      </c>
    </row>
    <row r="75" spans="1:18" ht="17.25" thickBot="1">
      <c r="A75" s="40" t="s">
        <v>133</v>
      </c>
      <c r="B75" s="11" t="s">
        <v>134</v>
      </c>
      <c r="C75" s="95">
        <v>1990</v>
      </c>
      <c r="D75" s="92">
        <v>-3.6319612600000002E-2</v>
      </c>
      <c r="E75" s="93">
        <v>5508318.0577682601</v>
      </c>
      <c r="F75" s="35"/>
      <c r="G75" s="57" t="str">
        <f ca="1">IFERROR(OFFSET(INDIRECT($H$3 &amp; "!A179"), 19, 0), "")</f>
        <v>폴리매쓰</v>
      </c>
      <c r="H75" s="37">
        <f t="shared" ca="1" si="25"/>
        <v>1040</v>
      </c>
      <c r="I75" s="79">
        <f t="shared" ca="1" si="26"/>
        <v>4.8309179000000004E-3</v>
      </c>
      <c r="J75" s="87">
        <f t="shared" ca="1" si="22"/>
        <v>188648075.82799688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샌드박스</v>
      </c>
      <c r="P75" s="37">
        <f t="shared" ca="1" si="20"/>
        <v>928</v>
      </c>
      <c r="Q75" s="79">
        <f t="shared" ca="1" si="21"/>
        <v>-4.0330920399999998E-2</v>
      </c>
      <c r="R75" s="87">
        <f t="shared" ca="1" si="24"/>
        <v>71771928.016147256</v>
      </c>
    </row>
    <row r="76" spans="1:18">
      <c r="A76" s="40" t="s">
        <v>103</v>
      </c>
      <c r="B76" s="11" t="s">
        <v>104</v>
      </c>
      <c r="C76" s="95">
        <v>1190</v>
      </c>
      <c r="D76" s="92">
        <v>-3.6437246999999999E-2</v>
      </c>
      <c r="E76" s="93">
        <v>5095283.88061585</v>
      </c>
      <c r="F76" s="35"/>
      <c r="G76" s="35"/>
      <c r="H76" s="35"/>
      <c r="I76" s="35"/>
    </row>
    <row r="77" spans="1:18">
      <c r="A77" s="40" t="s">
        <v>79</v>
      </c>
      <c r="B77" s="11" t="s">
        <v>80</v>
      </c>
      <c r="C77" s="95">
        <v>858</v>
      </c>
      <c r="D77" s="92">
        <v>-3.7037037000000002E-2</v>
      </c>
      <c r="E77" s="93">
        <v>6052188.7242079303</v>
      </c>
      <c r="F77" s="35"/>
      <c r="G77" s="35"/>
      <c r="H77" s="35"/>
      <c r="I77" s="35"/>
    </row>
    <row r="78" spans="1:18">
      <c r="A78" s="40" t="s">
        <v>155</v>
      </c>
      <c r="B78" s="11" t="s">
        <v>156</v>
      </c>
      <c r="C78" s="95">
        <v>31850</v>
      </c>
      <c r="D78" s="92">
        <v>-3.7764350500000002E-2</v>
      </c>
      <c r="E78" s="93">
        <v>461876.94899901998</v>
      </c>
      <c r="F78" s="35"/>
      <c r="G78" s="35"/>
      <c r="H78" s="35"/>
      <c r="I78" s="35"/>
    </row>
    <row r="79" spans="1:18">
      <c r="A79" s="40" t="s">
        <v>85</v>
      </c>
      <c r="B79" s="11" t="s">
        <v>86</v>
      </c>
      <c r="C79" s="95">
        <v>353</v>
      </c>
      <c r="D79" s="92">
        <v>-3.8147138999999997E-2</v>
      </c>
      <c r="E79" s="93">
        <v>38773264.977190152</v>
      </c>
      <c r="F79" s="35"/>
      <c r="G79" s="35"/>
      <c r="H79" s="35"/>
      <c r="I79" s="35"/>
    </row>
    <row r="80" spans="1:18">
      <c r="A80" s="40" t="s">
        <v>221</v>
      </c>
      <c r="B80" s="11" t="s">
        <v>222</v>
      </c>
      <c r="C80" s="95">
        <v>4515</v>
      </c>
      <c r="D80" s="92">
        <v>-3.8338658099999999E-2</v>
      </c>
      <c r="E80" s="93">
        <v>4104759.9158723</v>
      </c>
      <c r="F80" s="35"/>
      <c r="G80" s="35"/>
      <c r="H80" s="35"/>
      <c r="I80" s="35"/>
    </row>
    <row r="81" spans="1:9">
      <c r="A81" s="40" t="s">
        <v>91</v>
      </c>
      <c r="B81" s="11" t="s">
        <v>92</v>
      </c>
      <c r="C81" s="95">
        <v>71820</v>
      </c>
      <c r="D81" s="92">
        <v>-3.9197324399999997E-2</v>
      </c>
      <c r="E81" s="93">
        <v>181303.53627606999</v>
      </c>
      <c r="F81" s="35"/>
      <c r="G81" s="35"/>
      <c r="H81" s="35"/>
      <c r="I81" s="35"/>
    </row>
    <row r="82" spans="1:9">
      <c r="A82" s="40" t="s">
        <v>195</v>
      </c>
      <c r="B82" s="11" t="s">
        <v>196</v>
      </c>
      <c r="C82" s="95">
        <v>23410</v>
      </c>
      <c r="D82" s="92">
        <v>-3.9786710400000001E-2</v>
      </c>
      <c r="E82" s="93">
        <v>3357222.3174654501</v>
      </c>
      <c r="F82" s="35"/>
      <c r="G82" s="35"/>
      <c r="H82" s="35"/>
      <c r="I82" s="35"/>
    </row>
    <row r="83" spans="1:9">
      <c r="A83" s="40" t="s">
        <v>111</v>
      </c>
      <c r="B83" s="11" t="s">
        <v>112</v>
      </c>
      <c r="C83" s="95">
        <v>928</v>
      </c>
      <c r="D83" s="92">
        <v>-4.0330920399999998E-2</v>
      </c>
      <c r="E83" s="93">
        <v>71771928.016147256</v>
      </c>
      <c r="F83" s="35"/>
      <c r="G83" s="35"/>
      <c r="H83" s="35"/>
      <c r="I83" s="35"/>
    </row>
    <row r="84" spans="1:9">
      <c r="A84" s="40" t="s">
        <v>131</v>
      </c>
      <c r="B84" s="11" t="s">
        <v>132</v>
      </c>
      <c r="C84" s="95">
        <v>36070</v>
      </c>
      <c r="D84" s="92">
        <v>-4.3236074300000003E-2</v>
      </c>
      <c r="E84" s="93">
        <v>876644.43081111996</v>
      </c>
      <c r="F84" s="35"/>
      <c r="G84" s="35"/>
      <c r="H84" s="35"/>
      <c r="I84" s="35"/>
    </row>
    <row r="85" spans="1:9">
      <c r="A85" s="40" t="s">
        <v>135</v>
      </c>
      <c r="B85" s="11" t="s">
        <v>136</v>
      </c>
      <c r="C85" s="95">
        <v>354</v>
      </c>
      <c r="D85" s="92">
        <v>-4.3243243200000003E-2</v>
      </c>
      <c r="E85" s="93">
        <v>30279364.511931099</v>
      </c>
      <c r="F85" s="35"/>
      <c r="G85" s="35"/>
      <c r="H85" s="35"/>
      <c r="I85" s="35"/>
    </row>
    <row r="86" spans="1:9">
      <c r="A86" s="40" t="s">
        <v>64</v>
      </c>
      <c r="B86" s="11" t="s">
        <v>65</v>
      </c>
      <c r="C86" s="95">
        <v>64.099999999999994</v>
      </c>
      <c r="D86" s="92">
        <v>-4.4709389000000002E-2</v>
      </c>
      <c r="E86" s="93">
        <v>860396870.08203173</v>
      </c>
      <c r="F86" s="35"/>
      <c r="G86" s="35"/>
      <c r="H86" s="35"/>
      <c r="I86" s="35"/>
    </row>
    <row r="87" spans="1:9">
      <c r="A87" s="40" t="s">
        <v>87</v>
      </c>
      <c r="B87" s="11" t="s">
        <v>88</v>
      </c>
      <c r="C87" s="95">
        <v>231550</v>
      </c>
      <c r="D87" s="92">
        <v>-4.5154639199999999E-2</v>
      </c>
      <c r="E87" s="93">
        <v>38509.209459589998</v>
      </c>
      <c r="F87" s="35"/>
      <c r="G87" s="35"/>
      <c r="H87" s="35"/>
      <c r="I87" s="35"/>
    </row>
    <row r="88" spans="1:9">
      <c r="A88" s="40" t="s">
        <v>141</v>
      </c>
      <c r="B88" s="11" t="s">
        <v>142</v>
      </c>
      <c r="C88" s="95">
        <v>105</v>
      </c>
      <c r="D88" s="92">
        <v>-4.5454545499999999E-2</v>
      </c>
      <c r="E88" s="93">
        <v>128045156.77401659</v>
      </c>
      <c r="F88" s="35"/>
      <c r="G88" s="35"/>
      <c r="H88" s="35"/>
      <c r="I88" s="35"/>
    </row>
    <row r="89" spans="1:9">
      <c r="A89" s="40" t="s">
        <v>73</v>
      </c>
      <c r="B89" s="11" t="s">
        <v>74</v>
      </c>
      <c r="C89" s="95">
        <v>42090</v>
      </c>
      <c r="D89" s="92">
        <v>-4.6010879400000003E-2</v>
      </c>
      <c r="E89" s="93">
        <v>1215412.28985708</v>
      </c>
      <c r="F89" s="35"/>
      <c r="G89" s="35"/>
      <c r="H89" s="35"/>
      <c r="I89" s="35"/>
    </row>
    <row r="90" spans="1:9">
      <c r="A90" s="40" t="s">
        <v>83</v>
      </c>
      <c r="B90" s="11" t="s">
        <v>84</v>
      </c>
      <c r="C90" s="95">
        <v>5405</v>
      </c>
      <c r="D90" s="92">
        <v>-4.7577092500000001E-2</v>
      </c>
      <c r="E90" s="93">
        <v>10123263.4331201</v>
      </c>
      <c r="F90" s="35"/>
      <c r="G90" s="35"/>
      <c r="H90" s="35"/>
      <c r="I90" s="35"/>
    </row>
    <row r="91" spans="1:9">
      <c r="A91" s="40" t="s">
        <v>75</v>
      </c>
      <c r="B91" s="11" t="s">
        <v>76</v>
      </c>
      <c r="C91" s="95">
        <v>31140</v>
      </c>
      <c r="D91" s="92">
        <v>-4.7997554300000002E-2</v>
      </c>
      <c r="E91" s="93">
        <v>593831.54663631006</v>
      </c>
      <c r="F91" s="35"/>
      <c r="G91" s="35"/>
      <c r="H91" s="35"/>
      <c r="I91" s="35"/>
    </row>
    <row r="92" spans="1:9">
      <c r="A92" s="40" t="s">
        <v>173</v>
      </c>
      <c r="B92" s="11" t="s">
        <v>174</v>
      </c>
      <c r="C92" s="95">
        <v>1485</v>
      </c>
      <c r="D92" s="92">
        <v>-4.8076923100000002E-2</v>
      </c>
      <c r="E92" s="93">
        <v>15344497.808268869</v>
      </c>
      <c r="F92" s="35"/>
      <c r="G92" s="35"/>
      <c r="H92" s="35"/>
      <c r="I92" s="35"/>
    </row>
    <row r="93" spans="1:9">
      <c r="A93" s="40" t="s">
        <v>95</v>
      </c>
      <c r="B93" s="11" t="s">
        <v>96</v>
      </c>
      <c r="C93" s="95">
        <v>9045</v>
      </c>
      <c r="D93" s="92">
        <v>-4.9395690999999999E-2</v>
      </c>
      <c r="E93" s="93">
        <v>9874648.3942819797</v>
      </c>
      <c r="F93" s="35"/>
      <c r="G93" s="35"/>
      <c r="H93" s="35"/>
      <c r="I93" s="35"/>
    </row>
    <row r="94" spans="1:9">
      <c r="A94" s="40" t="s">
        <v>125</v>
      </c>
      <c r="B94" s="11" t="s">
        <v>126</v>
      </c>
      <c r="C94" s="95">
        <v>130</v>
      </c>
      <c r="D94" s="92">
        <v>-5.1094890499999997E-2</v>
      </c>
      <c r="E94" s="93">
        <v>174617604.23834455</v>
      </c>
      <c r="F94" s="35"/>
      <c r="G94" s="35"/>
      <c r="H94" s="35"/>
      <c r="I94" s="35"/>
    </row>
    <row r="95" spans="1:9">
      <c r="A95" s="40" t="s">
        <v>177</v>
      </c>
      <c r="B95" s="11" t="s">
        <v>178</v>
      </c>
      <c r="C95" s="95">
        <v>15070</v>
      </c>
      <c r="D95" s="92">
        <v>-5.3986189599999998E-2</v>
      </c>
      <c r="E95" s="93">
        <v>3572883.7921934798</v>
      </c>
      <c r="F95" s="35"/>
      <c r="G95" s="35"/>
      <c r="H95" s="35"/>
      <c r="I95" s="35"/>
    </row>
    <row r="96" spans="1:9">
      <c r="A96" s="40" t="s">
        <v>153</v>
      </c>
      <c r="B96" s="11" t="s">
        <v>154</v>
      </c>
      <c r="C96" s="95">
        <v>1920</v>
      </c>
      <c r="D96" s="92">
        <v>-5.4187192100000003E-2</v>
      </c>
      <c r="E96" s="93">
        <v>5264491.95490456</v>
      </c>
      <c r="F96" s="35"/>
      <c r="G96" s="35"/>
      <c r="H96" s="35"/>
      <c r="I96" s="35"/>
    </row>
    <row r="97" spans="1:9">
      <c r="A97" s="40" t="s">
        <v>129</v>
      </c>
      <c r="B97" s="11" t="s">
        <v>130</v>
      </c>
      <c r="C97" s="95">
        <v>117</v>
      </c>
      <c r="D97" s="92">
        <v>-5.6451612900000003E-2</v>
      </c>
      <c r="E97" s="93">
        <v>121351884.22999156</v>
      </c>
      <c r="F97" s="35"/>
      <c r="G97" s="35"/>
      <c r="H97" s="35"/>
      <c r="I97" s="35"/>
    </row>
    <row r="98" spans="1:9">
      <c r="A98" s="40" t="s">
        <v>327</v>
      </c>
      <c r="B98" s="11" t="s">
        <v>328</v>
      </c>
      <c r="C98" s="95">
        <v>0.26400000000000001</v>
      </c>
      <c r="D98" s="92">
        <v>-5.71428571E-2</v>
      </c>
      <c r="E98" s="93">
        <v>670325663531.38892</v>
      </c>
      <c r="F98" s="35"/>
      <c r="G98" s="35"/>
      <c r="H98" s="35"/>
      <c r="I98" s="35"/>
    </row>
    <row r="99" spans="1:9">
      <c r="A99" s="40" t="s">
        <v>109</v>
      </c>
      <c r="B99" s="11" t="s">
        <v>110</v>
      </c>
      <c r="C99" s="95">
        <v>7600</v>
      </c>
      <c r="D99" s="92">
        <v>-5.76565406E-2</v>
      </c>
      <c r="E99" s="93">
        <v>1274223.1961389901</v>
      </c>
      <c r="F99" s="35"/>
      <c r="G99" s="35"/>
      <c r="H99" s="35"/>
      <c r="I99" s="35"/>
    </row>
    <row r="100" spans="1:9">
      <c r="A100" s="40" t="s">
        <v>68</v>
      </c>
      <c r="B100" s="11" t="s">
        <v>69</v>
      </c>
      <c r="C100" s="95">
        <v>9560</v>
      </c>
      <c r="D100" s="92">
        <v>-5.99803343E-2</v>
      </c>
      <c r="E100" s="93">
        <v>8255283.5643400298</v>
      </c>
      <c r="F100" s="35"/>
      <c r="G100" s="35"/>
      <c r="H100" s="35"/>
      <c r="I100" s="35"/>
    </row>
    <row r="101" spans="1:9">
      <c r="A101" s="40" t="s">
        <v>53</v>
      </c>
      <c r="B101" s="11" t="s">
        <v>54</v>
      </c>
      <c r="C101" s="95">
        <v>454</v>
      </c>
      <c r="D101" s="92">
        <v>-6.0041407900000003E-2</v>
      </c>
      <c r="E101" s="93">
        <v>48490940.866067</v>
      </c>
      <c r="F101" s="35"/>
      <c r="G101" s="35"/>
      <c r="H101" s="35"/>
      <c r="I101" s="35"/>
    </row>
    <row r="102" spans="1:9">
      <c r="A102" s="40" t="s">
        <v>105</v>
      </c>
      <c r="B102" s="11" t="s">
        <v>106</v>
      </c>
      <c r="C102" s="95">
        <v>2560</v>
      </c>
      <c r="D102" s="92">
        <v>-7.0780399300000005E-2</v>
      </c>
      <c r="E102" s="93">
        <v>14901258.51724921</v>
      </c>
      <c r="F102" s="35"/>
      <c r="G102" s="35"/>
      <c r="H102" s="35"/>
      <c r="I102" s="35"/>
    </row>
    <row r="103" spans="1:9">
      <c r="A103" s="40" t="s">
        <v>137</v>
      </c>
      <c r="B103" s="11" t="s">
        <v>138</v>
      </c>
      <c r="C103" s="95">
        <v>17120</v>
      </c>
      <c r="D103" s="92">
        <v>-8.3511777300000006E-2</v>
      </c>
      <c r="E103" s="93">
        <v>15017053.337412231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229</v>
      </c>
      <c r="B2" s="11" t="s">
        <v>230</v>
      </c>
      <c r="C2" s="95">
        <v>1360</v>
      </c>
      <c r="D2" s="92">
        <v>0.60188457009999996</v>
      </c>
      <c r="E2" s="93">
        <v>1054020177.5997162</v>
      </c>
      <c r="F2" s="35"/>
      <c r="G2" s="54"/>
      <c r="H2" s="35"/>
      <c r="I2" s="35"/>
    </row>
    <row r="3" spans="1:18" ht="17.25" thickBot="1">
      <c r="A3" s="40" t="s">
        <v>237</v>
      </c>
      <c r="B3" s="11" t="s">
        <v>238</v>
      </c>
      <c r="C3" s="95">
        <v>274</v>
      </c>
      <c r="D3" s="92">
        <v>0.53932584269999995</v>
      </c>
      <c r="E3" s="93">
        <v>10887669780.759319</v>
      </c>
      <c r="F3" s="35"/>
      <c r="G3" s="247" t="s">
        <v>258</v>
      </c>
      <c r="H3" s="259" t="s">
        <v>330</v>
      </c>
      <c r="I3" s="259"/>
      <c r="K3" s="203" t="s">
        <v>34</v>
      </c>
      <c r="L3" s="204"/>
      <c r="M3" s="204"/>
      <c r="N3" s="205"/>
      <c r="O3" s="203" t="s">
        <v>259</v>
      </c>
      <c r="P3" s="204"/>
      <c r="Q3" s="204"/>
      <c r="R3" s="205"/>
    </row>
    <row r="4" spans="1:18" ht="17.25" thickBot="1">
      <c r="A4" s="40" t="s">
        <v>233</v>
      </c>
      <c r="B4" s="11" t="s">
        <v>234</v>
      </c>
      <c r="C4" s="95">
        <v>898</v>
      </c>
      <c r="D4" s="92">
        <v>0.29956584660000002</v>
      </c>
      <c r="E4" s="93">
        <v>425717045.28660727</v>
      </c>
      <c r="F4" s="35"/>
      <c r="G4" s="248"/>
      <c r="H4" s="260"/>
      <c r="I4" s="260"/>
      <c r="K4" s="240" t="s">
        <v>55</v>
      </c>
      <c r="L4" s="256">
        <f ca="1">NOW()</f>
        <v>44475.879401736114</v>
      </c>
      <c r="M4" s="257"/>
      <c r="N4" s="258"/>
      <c r="O4" s="255" t="s">
        <v>55</v>
      </c>
      <c r="P4" s="256">
        <f ca="1">NOW()</f>
        <v>44475.879401736114</v>
      </c>
      <c r="Q4" s="257"/>
      <c r="R4" s="258"/>
    </row>
    <row r="5" spans="1:18" ht="17.25" thickBot="1">
      <c r="A5" s="40" t="s">
        <v>225</v>
      </c>
      <c r="B5" s="11" t="s">
        <v>226</v>
      </c>
      <c r="C5" s="95">
        <v>1135</v>
      </c>
      <c r="D5" s="92">
        <v>0.16171954960000001</v>
      </c>
      <c r="E5" s="93">
        <v>706658322.60083711</v>
      </c>
      <c r="F5" s="35"/>
      <c r="K5" s="248"/>
      <c r="L5" s="51" t="s">
        <v>58</v>
      </c>
      <c r="M5" s="73" t="s">
        <v>59</v>
      </c>
      <c r="N5" s="69" t="s">
        <v>262</v>
      </c>
      <c r="O5" s="226"/>
      <c r="P5" s="51" t="s">
        <v>58</v>
      </c>
      <c r="Q5" s="73" t="s">
        <v>59</v>
      </c>
      <c r="R5" s="91" t="s">
        <v>262</v>
      </c>
    </row>
    <row r="6" spans="1:18" ht="17.25" thickBot="1">
      <c r="A6" s="40" t="s">
        <v>215</v>
      </c>
      <c r="B6" s="11" t="s">
        <v>216</v>
      </c>
      <c r="C6" s="95">
        <v>160</v>
      </c>
      <c r="D6" s="92">
        <v>0.1034482759</v>
      </c>
      <c r="E6" s="93">
        <v>923599992.71206141</v>
      </c>
      <c r="F6" s="35"/>
      <c r="G6" s="203" t="s">
        <v>52</v>
      </c>
      <c r="H6" s="204"/>
      <c r="I6" s="205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230</v>
      </c>
      <c r="P6" s="38">
        <f t="shared" ref="P6:P25" si="2">_xlfn.IFNA(VLOOKUP(O6, $B$2:$D$200, 2, FALSE), "")</f>
        <v>1360</v>
      </c>
      <c r="Q6" s="76">
        <f t="shared" ref="Q6:Q25" si="3">_xlfn.IFNA(VLOOKUP(O6, $B$2:$D$200, 3, FALSE), "")</f>
        <v>0.60188457009999996</v>
      </c>
      <c r="R6" s="85">
        <f>_xlfn.IFNA(VLOOKUP(O6, $B$2:$E$200, 4, FALSE), "")</f>
        <v>1054020177.5997162</v>
      </c>
    </row>
    <row r="7" spans="1:18">
      <c r="A7" s="40" t="s">
        <v>197</v>
      </c>
      <c r="B7" s="11" t="s">
        <v>198</v>
      </c>
      <c r="C7" s="95">
        <v>224</v>
      </c>
      <c r="D7" s="92">
        <v>9.2682926799999996E-2</v>
      </c>
      <c r="E7" s="93">
        <v>803014885.82002199</v>
      </c>
      <c r="F7" s="35"/>
      <c r="G7" s="231" t="s">
        <v>36</v>
      </c>
      <c r="H7" s="232"/>
      <c r="I7" s="23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238</v>
      </c>
      <c r="P7" s="39">
        <f t="shared" si="2"/>
        <v>274</v>
      </c>
      <c r="Q7" s="77">
        <f t="shared" si="3"/>
        <v>0.53932584269999995</v>
      </c>
      <c r="R7" s="86">
        <f t="shared" ref="R7:R25" si="5">_xlfn.IFNA(VLOOKUP(O7, $B$2:$E$200, 4, FALSE), "")</f>
        <v>10887669780.759319</v>
      </c>
    </row>
    <row r="8" spans="1:18" ht="17.25" thickBot="1">
      <c r="A8" s="40" t="s">
        <v>243</v>
      </c>
      <c r="B8" s="11" t="s">
        <v>244</v>
      </c>
      <c r="C8" s="95">
        <v>9280</v>
      </c>
      <c r="D8" s="92">
        <v>7.7190945999999996E-2</v>
      </c>
      <c r="E8" s="93">
        <v>10509271.4376199</v>
      </c>
      <c r="F8" s="35"/>
      <c r="G8" s="224"/>
      <c r="H8" s="225"/>
      <c r="I8" s="22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234</v>
      </c>
      <c r="P8" s="39">
        <f t="shared" si="2"/>
        <v>898</v>
      </c>
      <c r="Q8" s="77">
        <f t="shared" si="3"/>
        <v>0.29956584660000002</v>
      </c>
      <c r="R8" s="86">
        <f t="shared" si="5"/>
        <v>425717045.28660727</v>
      </c>
    </row>
    <row r="9" spans="1:18" ht="17.25" thickBot="1">
      <c r="A9" s="40" t="s">
        <v>251</v>
      </c>
      <c r="B9" s="11" t="s">
        <v>252</v>
      </c>
      <c r="C9" s="95">
        <v>441</v>
      </c>
      <c r="D9" s="92">
        <v>5.75539568E-2</v>
      </c>
      <c r="E9" s="93">
        <v>281396385.68638903</v>
      </c>
      <c r="F9" s="35"/>
      <c r="G9" s="50" t="s">
        <v>38</v>
      </c>
      <c r="H9" s="204" t="s">
        <v>37</v>
      </c>
      <c r="I9" s="20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226</v>
      </c>
      <c r="P9" s="39">
        <f t="shared" si="2"/>
        <v>1135</v>
      </c>
      <c r="Q9" s="77">
        <f t="shared" si="3"/>
        <v>0.16171954960000001</v>
      </c>
      <c r="R9" s="86">
        <f t="shared" si="5"/>
        <v>706658322.60083711</v>
      </c>
    </row>
    <row r="10" spans="1:18">
      <c r="A10" s="40" t="s">
        <v>189</v>
      </c>
      <c r="B10" s="11" t="s">
        <v>190</v>
      </c>
      <c r="C10" s="95">
        <v>466</v>
      </c>
      <c r="D10" s="92">
        <v>5.6689342400000002E-2</v>
      </c>
      <c r="E10" s="93">
        <v>295275529.76424676</v>
      </c>
      <c r="F10" s="35"/>
      <c r="G10" s="249">
        <f>_xlfn.IFNA(VLOOKUP(G7, $B$2:$D$200, 3, FALSE), "-")</f>
        <v>1.5632601400000001E-2</v>
      </c>
      <c r="H10" s="251">
        <f>_xlfn.IFNA(VLOOKUP(G7, $B$2:$D$200, 2, FALSE), "-")</f>
        <v>62630000</v>
      </c>
      <c r="I10" s="25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216</v>
      </c>
      <c r="P10" s="39">
        <f t="shared" si="2"/>
        <v>160</v>
      </c>
      <c r="Q10" s="77">
        <f t="shared" si="3"/>
        <v>0.1034482759</v>
      </c>
      <c r="R10" s="90">
        <f t="shared" si="5"/>
        <v>923599992.71206141</v>
      </c>
    </row>
    <row r="11" spans="1:18" ht="17.25" thickBot="1">
      <c r="A11" s="40" t="s">
        <v>119</v>
      </c>
      <c r="B11" s="11" t="s">
        <v>120</v>
      </c>
      <c r="C11" s="95">
        <v>41</v>
      </c>
      <c r="D11" s="92">
        <v>5.3984575799999997E-2</v>
      </c>
      <c r="E11" s="93">
        <v>1158471458.1133003</v>
      </c>
      <c r="F11" s="35"/>
      <c r="G11" s="250"/>
      <c r="H11" s="253"/>
      <c r="I11" s="25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198</v>
      </c>
      <c r="P11" s="45">
        <f t="shared" si="2"/>
        <v>224</v>
      </c>
      <c r="Q11" s="80">
        <f t="shared" si="3"/>
        <v>9.2682926799999996E-2</v>
      </c>
      <c r="R11" s="99">
        <f t="shared" si="5"/>
        <v>803014885.82002199</v>
      </c>
    </row>
    <row r="12" spans="1:18" ht="17.25" thickBot="1">
      <c r="A12" s="40" t="s">
        <v>181</v>
      </c>
      <c r="B12" s="11" t="s">
        <v>182</v>
      </c>
      <c r="C12" s="95">
        <v>1675</v>
      </c>
      <c r="D12" s="92">
        <v>5.3459119499999999E-2</v>
      </c>
      <c r="E12" s="93">
        <v>37495257.168675378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244</v>
      </c>
      <c r="P12" s="39">
        <f t="shared" si="2"/>
        <v>9280</v>
      </c>
      <c r="Q12" s="77">
        <f t="shared" si="3"/>
        <v>7.7190945999999996E-2</v>
      </c>
      <c r="R12" s="86">
        <f t="shared" si="5"/>
        <v>10509271.4376199</v>
      </c>
    </row>
    <row r="13" spans="1:18" ht="17.25" thickBot="1">
      <c r="A13" s="40" t="s">
        <v>245</v>
      </c>
      <c r="B13" s="11" t="s">
        <v>246</v>
      </c>
      <c r="C13" s="95">
        <v>2720</v>
      </c>
      <c r="D13" s="92">
        <v>5.2224371399999997E-2</v>
      </c>
      <c r="E13" s="93">
        <v>17605705.210339699</v>
      </c>
      <c r="F13" s="35"/>
      <c r="G13" s="203" t="s">
        <v>70</v>
      </c>
      <c r="H13" s="204"/>
      <c r="I13" s="20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252</v>
      </c>
      <c r="P13" s="39">
        <f t="shared" si="2"/>
        <v>441</v>
      </c>
      <c r="Q13" s="77">
        <f t="shared" si="3"/>
        <v>5.75539568E-2</v>
      </c>
      <c r="R13" s="86">
        <f t="shared" si="5"/>
        <v>281396385.68638903</v>
      </c>
    </row>
    <row r="14" spans="1:18">
      <c r="A14" s="40" t="s">
        <v>175</v>
      </c>
      <c r="B14" s="11" t="s">
        <v>176</v>
      </c>
      <c r="C14" s="95">
        <v>19</v>
      </c>
      <c r="D14" s="92">
        <v>4.9723756899999999E-2</v>
      </c>
      <c r="E14" s="93">
        <v>2099694859.9308429</v>
      </c>
      <c r="F14" s="35"/>
      <c r="G14" s="231" t="s">
        <v>36</v>
      </c>
      <c r="H14" s="232"/>
      <c r="I14" s="23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190</v>
      </c>
      <c r="P14" s="39">
        <f t="shared" si="2"/>
        <v>466</v>
      </c>
      <c r="Q14" s="77">
        <f t="shared" si="3"/>
        <v>5.6689342400000002E-2</v>
      </c>
      <c r="R14" s="86">
        <f t="shared" si="5"/>
        <v>295275529.76424676</v>
      </c>
    </row>
    <row r="15" spans="1:18" ht="17.25" thickBot="1">
      <c r="A15" s="40" t="s">
        <v>219</v>
      </c>
      <c r="B15" s="11" t="s">
        <v>220</v>
      </c>
      <c r="C15" s="95">
        <v>191</v>
      </c>
      <c r="D15" s="92">
        <v>4.9450549500000003E-2</v>
      </c>
      <c r="E15" s="93">
        <v>410503426.2913546</v>
      </c>
      <c r="F15" s="35"/>
      <c r="G15" s="224"/>
      <c r="H15" s="225"/>
      <c r="I15" s="22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120</v>
      </c>
      <c r="P15" s="37">
        <f t="shared" si="2"/>
        <v>41</v>
      </c>
      <c r="Q15" s="79">
        <f t="shared" si="3"/>
        <v>5.3984575799999997E-2</v>
      </c>
      <c r="R15" s="87">
        <f t="shared" si="5"/>
        <v>1158471458.1133003</v>
      </c>
    </row>
    <row r="16" spans="1:18" ht="17.25" thickBot="1">
      <c r="A16" s="40" t="s">
        <v>191</v>
      </c>
      <c r="B16" s="11" t="s">
        <v>192</v>
      </c>
      <c r="C16" s="95">
        <v>128</v>
      </c>
      <c r="D16" s="92">
        <v>4.9180327900000001E-2</v>
      </c>
      <c r="E16" s="93">
        <v>317863479.80242783</v>
      </c>
      <c r="F16" s="35"/>
      <c r="G16" s="50" t="s">
        <v>38</v>
      </c>
      <c r="H16" s="204" t="s">
        <v>37</v>
      </c>
      <c r="I16" s="20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182</v>
      </c>
      <c r="P16" s="38">
        <f t="shared" si="2"/>
        <v>1675</v>
      </c>
      <c r="Q16" s="76">
        <f t="shared" si="3"/>
        <v>5.3459119499999999E-2</v>
      </c>
      <c r="R16" s="85">
        <f t="shared" si="5"/>
        <v>37495257.168675378</v>
      </c>
    </row>
    <row r="17" spans="1:18">
      <c r="A17" s="40" t="s">
        <v>147</v>
      </c>
      <c r="B17" s="11" t="s">
        <v>148</v>
      </c>
      <c r="C17" s="95">
        <v>12.9</v>
      </c>
      <c r="D17" s="92">
        <v>3.2000000000000001E-2</v>
      </c>
      <c r="E17" s="93">
        <v>4391937996.2530346</v>
      </c>
      <c r="F17" s="35"/>
      <c r="G17" s="249">
        <f>_xlfn.IFNA(VLOOKUP(G14, $B$2:$D$200, 3, FALSE), "-")</f>
        <v>1.5632601400000001E-2</v>
      </c>
      <c r="H17" s="251">
        <f>_xlfn.IFNA(VLOOKUP(G14, $B$2:$D$200, 2, FALSE), "-")</f>
        <v>62630000</v>
      </c>
      <c r="I17" s="25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246</v>
      </c>
      <c r="P17" s="39">
        <f t="shared" si="2"/>
        <v>2720</v>
      </c>
      <c r="Q17" s="77">
        <f t="shared" si="3"/>
        <v>5.2224371399999997E-2</v>
      </c>
      <c r="R17" s="86">
        <f t="shared" si="5"/>
        <v>17605705.210339699</v>
      </c>
    </row>
    <row r="18" spans="1:18" ht="17.25" thickBot="1">
      <c r="A18" s="40" t="s">
        <v>201</v>
      </c>
      <c r="B18" s="11" t="s">
        <v>202</v>
      </c>
      <c r="C18" s="95">
        <v>16.399999999999999</v>
      </c>
      <c r="D18" s="92">
        <v>3.14465409E-2</v>
      </c>
      <c r="E18" s="93">
        <v>2472020043.3221269</v>
      </c>
      <c r="F18" s="35"/>
      <c r="G18" s="250"/>
      <c r="H18" s="253"/>
      <c r="I18" s="25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176</v>
      </c>
      <c r="P18" s="39">
        <f t="shared" si="2"/>
        <v>19</v>
      </c>
      <c r="Q18" s="77">
        <f t="shared" si="3"/>
        <v>4.9723756899999999E-2</v>
      </c>
      <c r="R18" s="86">
        <f t="shared" si="5"/>
        <v>2099694859.9308429</v>
      </c>
    </row>
    <row r="19" spans="1:18" ht="17.25" thickBot="1">
      <c r="A19" s="40" t="s">
        <v>183</v>
      </c>
      <c r="B19" s="11" t="s">
        <v>184</v>
      </c>
      <c r="C19" s="95">
        <v>10570</v>
      </c>
      <c r="D19" s="92">
        <v>3.1219512200000001E-2</v>
      </c>
      <c r="E19" s="93">
        <v>23826286.206914991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220</v>
      </c>
      <c r="P19" s="39">
        <f t="shared" si="2"/>
        <v>191</v>
      </c>
      <c r="Q19" s="77">
        <f t="shared" si="3"/>
        <v>4.9450549500000003E-2</v>
      </c>
      <c r="R19" s="86">
        <f t="shared" si="5"/>
        <v>410503426.2913546</v>
      </c>
    </row>
    <row r="20" spans="1:18" ht="17.25" thickBot="1">
      <c r="A20" s="40" t="s">
        <v>235</v>
      </c>
      <c r="B20" s="11" t="s">
        <v>236</v>
      </c>
      <c r="C20" s="95">
        <v>133</v>
      </c>
      <c r="D20" s="92">
        <v>3.1007751900000002E-2</v>
      </c>
      <c r="E20" s="93">
        <v>493205598.99248105</v>
      </c>
      <c r="F20" s="35"/>
      <c r="G20" s="203" t="s">
        <v>254</v>
      </c>
      <c r="H20" s="204"/>
      <c r="I20" s="20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192</v>
      </c>
      <c r="P20" s="39">
        <f t="shared" si="2"/>
        <v>128</v>
      </c>
      <c r="Q20" s="77">
        <f t="shared" si="3"/>
        <v>4.9180327900000001E-2</v>
      </c>
      <c r="R20" s="90">
        <f t="shared" si="5"/>
        <v>317863479.80242783</v>
      </c>
    </row>
    <row r="21" spans="1:18">
      <c r="A21" s="40" t="s">
        <v>145</v>
      </c>
      <c r="B21" s="11" t="s">
        <v>146</v>
      </c>
      <c r="C21" s="95">
        <v>22.6</v>
      </c>
      <c r="D21" s="92">
        <v>2.7272727300000001E-2</v>
      </c>
      <c r="E21" s="93">
        <v>9645030963.3010674</v>
      </c>
      <c r="F21" s="35"/>
      <c r="G21" s="231" t="s">
        <v>36</v>
      </c>
      <c r="H21" s="232"/>
      <c r="I21" s="23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148</v>
      </c>
      <c r="P21" s="45">
        <f t="shared" si="2"/>
        <v>12.9</v>
      </c>
      <c r="Q21" s="80">
        <f t="shared" si="3"/>
        <v>3.2000000000000001E-2</v>
      </c>
      <c r="R21" s="99">
        <f t="shared" si="5"/>
        <v>4391937996.2530346</v>
      </c>
    </row>
    <row r="22" spans="1:18" ht="17.25" thickBot="1">
      <c r="A22" s="40" t="s">
        <v>217</v>
      </c>
      <c r="B22" s="11" t="s">
        <v>218</v>
      </c>
      <c r="C22" s="95">
        <v>266</v>
      </c>
      <c r="D22" s="92">
        <v>2.3076923100000001E-2</v>
      </c>
      <c r="E22" s="93">
        <v>210883271.6896936</v>
      </c>
      <c r="F22" s="35"/>
      <c r="G22" s="224"/>
      <c r="H22" s="225"/>
      <c r="I22" s="22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202</v>
      </c>
      <c r="P22" s="39">
        <f t="shared" si="2"/>
        <v>16.399999999999999</v>
      </c>
      <c r="Q22" s="77">
        <f t="shared" si="3"/>
        <v>3.14465409E-2</v>
      </c>
      <c r="R22" s="86">
        <f t="shared" si="5"/>
        <v>2472020043.3221269</v>
      </c>
    </row>
    <row r="23" spans="1:18" ht="17.25" thickBot="1">
      <c r="A23" s="40" t="s">
        <v>117</v>
      </c>
      <c r="B23" s="11" t="s">
        <v>118</v>
      </c>
      <c r="C23" s="95">
        <v>4380</v>
      </c>
      <c r="D23" s="92">
        <v>1.8604651199999999E-2</v>
      </c>
      <c r="E23" s="93">
        <v>6704437.2211154401</v>
      </c>
      <c r="F23" s="35"/>
      <c r="G23" s="50" t="s">
        <v>38</v>
      </c>
      <c r="H23" s="204" t="s">
        <v>37</v>
      </c>
      <c r="I23" s="20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184</v>
      </c>
      <c r="P23" s="39">
        <f t="shared" si="2"/>
        <v>10570</v>
      </c>
      <c r="Q23" s="77">
        <f t="shared" si="3"/>
        <v>3.1219512200000001E-2</v>
      </c>
      <c r="R23" s="86">
        <f t="shared" si="5"/>
        <v>23826286.206914991</v>
      </c>
    </row>
    <row r="24" spans="1:18">
      <c r="A24" s="40" t="s">
        <v>107</v>
      </c>
      <c r="B24" s="11" t="s">
        <v>108</v>
      </c>
      <c r="C24" s="95">
        <v>179</v>
      </c>
      <c r="D24" s="92">
        <v>1.7045454500000001E-2</v>
      </c>
      <c r="E24" s="93">
        <v>145014267.82071751</v>
      </c>
      <c r="F24" s="35"/>
      <c r="G24" s="249">
        <f>_xlfn.IFNA(VLOOKUP(G21, $B$2:$D$200, 3, FALSE), "-")</f>
        <v>1.5632601400000001E-2</v>
      </c>
      <c r="H24" s="251">
        <f>_xlfn.IFNA(VLOOKUP(G21, $B$2:$D$200, 2, FALSE), "-")</f>
        <v>62630000</v>
      </c>
      <c r="I24" s="25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236</v>
      </c>
      <c r="P24" s="39">
        <f t="shared" si="2"/>
        <v>133</v>
      </c>
      <c r="Q24" s="77">
        <f t="shared" si="3"/>
        <v>3.1007751900000002E-2</v>
      </c>
      <c r="R24" s="86">
        <f t="shared" si="5"/>
        <v>493205598.99248105</v>
      </c>
    </row>
    <row r="25" spans="1:18" ht="17.25" thickBot="1">
      <c r="A25" s="40" t="s">
        <v>48</v>
      </c>
      <c r="B25" s="11" t="s">
        <v>49</v>
      </c>
      <c r="C25" s="95">
        <v>62630000</v>
      </c>
      <c r="D25" s="92">
        <v>1.5632601400000001E-2</v>
      </c>
      <c r="E25" s="93">
        <v>5387.1028397700002</v>
      </c>
      <c r="F25" s="35"/>
      <c r="G25" s="250"/>
      <c r="H25" s="253"/>
      <c r="I25" s="254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146</v>
      </c>
      <c r="P25" s="37">
        <f t="shared" si="2"/>
        <v>22.6</v>
      </c>
      <c r="Q25" s="79">
        <f t="shared" si="3"/>
        <v>2.7272727300000001E-2</v>
      </c>
      <c r="R25" s="87">
        <f t="shared" si="5"/>
        <v>9645030963.3010674</v>
      </c>
    </row>
    <row r="26" spans="1:18">
      <c r="A26" s="40" t="s">
        <v>66</v>
      </c>
      <c r="B26" s="11" t="s">
        <v>67</v>
      </c>
      <c r="C26" s="95">
        <v>4385</v>
      </c>
      <c r="D26" s="92">
        <v>1.5046296299999999E-2</v>
      </c>
      <c r="E26" s="93">
        <v>6962289.8382749399</v>
      </c>
      <c r="F26" s="35"/>
    </row>
    <row r="27" spans="1:18" ht="17.25" thickBot="1">
      <c r="A27" s="40" t="s">
        <v>139</v>
      </c>
      <c r="B27" s="11" t="s">
        <v>140</v>
      </c>
      <c r="C27" s="95">
        <v>10980</v>
      </c>
      <c r="D27" s="92">
        <v>1.47874307E-2</v>
      </c>
      <c r="E27" s="93">
        <v>1896187.6931913199</v>
      </c>
      <c r="F27" s="35"/>
    </row>
    <row r="28" spans="1:18" ht="17.25" thickBot="1">
      <c r="A28" s="40" t="s">
        <v>127</v>
      </c>
      <c r="B28" s="11" t="s">
        <v>128</v>
      </c>
      <c r="C28" s="95">
        <v>146</v>
      </c>
      <c r="D28" s="92">
        <v>1.38888889E-2</v>
      </c>
      <c r="E28" s="93">
        <v>206273932.81256616</v>
      </c>
      <c r="F28" s="35"/>
      <c r="G28" s="203" t="s">
        <v>46</v>
      </c>
      <c r="H28" s="204"/>
      <c r="I28" s="204"/>
      <c r="J28" s="205"/>
      <c r="K28" s="203" t="s">
        <v>44</v>
      </c>
      <c r="L28" s="204"/>
      <c r="M28" s="204"/>
      <c r="N28" s="205"/>
      <c r="O28" s="203" t="s">
        <v>45</v>
      </c>
      <c r="P28" s="204"/>
      <c r="Q28" s="204"/>
      <c r="R28" s="205"/>
    </row>
    <row r="29" spans="1:18" ht="17.25" thickBot="1">
      <c r="A29" s="40" t="s">
        <v>121</v>
      </c>
      <c r="B29" s="11" t="s">
        <v>122</v>
      </c>
      <c r="C29" s="95">
        <v>635</v>
      </c>
      <c r="D29" s="92">
        <v>1.1146496800000001E-2</v>
      </c>
      <c r="E29" s="93">
        <v>161505927.19947106</v>
      </c>
      <c r="F29" s="35"/>
      <c r="G29" s="240" t="s">
        <v>55</v>
      </c>
      <c r="H29" s="256">
        <f ca="1">NOW()</f>
        <v>44475.879401736114</v>
      </c>
      <c r="I29" s="257"/>
      <c r="J29" s="258"/>
      <c r="K29" s="255" t="s">
        <v>55</v>
      </c>
      <c r="L29" s="256">
        <f ca="1">NOW()</f>
        <v>44475.879401736114</v>
      </c>
      <c r="M29" s="257"/>
      <c r="N29" s="258"/>
      <c r="O29" s="255" t="s">
        <v>55</v>
      </c>
      <c r="P29" s="256">
        <f ca="1">NOW()</f>
        <v>44475.879401736114</v>
      </c>
      <c r="Q29" s="257"/>
      <c r="R29" s="258"/>
    </row>
    <row r="30" spans="1:18" ht="17.25" thickBot="1">
      <c r="A30" s="40" t="s">
        <v>71</v>
      </c>
      <c r="B30" s="11" t="s">
        <v>72</v>
      </c>
      <c r="C30" s="95">
        <v>27.5</v>
      </c>
      <c r="D30" s="92">
        <v>1.10294118E-2</v>
      </c>
      <c r="E30" s="93">
        <v>539137000.74314785</v>
      </c>
      <c r="F30" s="35"/>
      <c r="G30" s="248"/>
      <c r="H30" s="51" t="s">
        <v>58</v>
      </c>
      <c r="I30" s="73" t="s">
        <v>59</v>
      </c>
      <c r="J30" s="69" t="s">
        <v>262</v>
      </c>
      <c r="K30" s="226"/>
      <c r="L30" s="51" t="s">
        <v>58</v>
      </c>
      <c r="M30" s="73" t="s">
        <v>59</v>
      </c>
      <c r="N30" s="91" t="s">
        <v>262</v>
      </c>
      <c r="O30" s="226"/>
      <c r="P30" s="51" t="s">
        <v>58</v>
      </c>
      <c r="Q30" s="73" t="s">
        <v>59</v>
      </c>
      <c r="R30" s="91" t="s">
        <v>262</v>
      </c>
    </row>
    <row r="31" spans="1:18">
      <c r="A31" s="40" t="s">
        <v>241</v>
      </c>
      <c r="B31" s="11" t="s">
        <v>242</v>
      </c>
      <c r="C31" s="95">
        <v>1985</v>
      </c>
      <c r="D31" s="92">
        <v>7.6142132E-3</v>
      </c>
      <c r="E31" s="93">
        <v>21662588.146073051</v>
      </c>
      <c r="F31" s="35"/>
      <c r="G31" s="52" t="s">
        <v>230</v>
      </c>
      <c r="H31" s="38">
        <f t="shared" ref="H31:H50" si="6">_xlfn.IFNA(VLOOKUP(G31, $B$2:$D$200, 2, FALSE), "")</f>
        <v>1360</v>
      </c>
      <c r="I31" s="76">
        <f t="shared" ref="I31:I50" si="7">_xlfn.IFNA(VLOOKUP(G31, $B$2:$D$200, 3, FALSE), "")</f>
        <v>0.60188457009999996</v>
      </c>
      <c r="J31" s="85">
        <f>_xlfn.IFNA(VLOOKUP(G31, $B$2:$E$200, 4, FALSE), "")</f>
        <v>1054020177.5997162</v>
      </c>
      <c r="K31" s="81" t="s">
        <v>120</v>
      </c>
      <c r="L31" s="38">
        <f t="shared" ref="L31:L50" si="8">_xlfn.IFNA(VLOOKUP(K31, $B$2:$D$200, 2, FALSE), "")</f>
        <v>41</v>
      </c>
      <c r="M31" s="76">
        <f t="shared" ref="M31:M50" si="9">_xlfn.IFNA(VLOOKUP(K31, $B$2:$D$200, 3, FALSE), "")</f>
        <v>5.3984575799999997E-2</v>
      </c>
      <c r="N31" s="85">
        <f>_xlfn.IFNA(VLOOKUP(K31, $B$2:$E$200, 4, FALSE), "")</f>
        <v>1158471458.1133003</v>
      </c>
      <c r="O31" s="81" t="s">
        <v>238</v>
      </c>
      <c r="P31" s="38">
        <f t="shared" ref="P31:P50" si="10">_xlfn.IFNA(VLOOKUP(O31, $B$2:$D$200, 2, FALSE), "")</f>
        <v>274</v>
      </c>
      <c r="Q31" s="76">
        <f t="shared" ref="Q31:Q50" si="11">_xlfn.IFNA(VLOOKUP(O31, $B$2:$D$200, 3, FALSE), "")</f>
        <v>0.53932584269999995</v>
      </c>
      <c r="R31" s="85">
        <f>_xlfn.IFNA(VLOOKUP(O31, $B$2:$E$200, 4, FALSE), "")</f>
        <v>10887669780.759319</v>
      </c>
    </row>
    <row r="32" spans="1:18">
      <c r="A32" s="40" t="s">
        <v>171</v>
      </c>
      <c r="B32" s="11" t="s">
        <v>172</v>
      </c>
      <c r="C32" s="95">
        <v>448</v>
      </c>
      <c r="D32" s="92">
        <v>6.7415729999999998E-3</v>
      </c>
      <c r="E32" s="93">
        <v>106204946.16331758</v>
      </c>
      <c r="F32" s="35"/>
      <c r="G32" s="47" t="s">
        <v>238</v>
      </c>
      <c r="H32" s="39">
        <f t="shared" si="6"/>
        <v>274</v>
      </c>
      <c r="I32" s="77">
        <f t="shared" si="7"/>
        <v>0.53932584269999995</v>
      </c>
      <c r="J32" s="86">
        <f t="shared" ref="J32:J50" si="12">_xlfn.IFNA(VLOOKUP(G32, $B$2:$E$200, 4, FALSE), "")</f>
        <v>10887669780.759319</v>
      </c>
      <c r="K32" s="82" t="s">
        <v>176</v>
      </c>
      <c r="L32" s="39">
        <f t="shared" si="8"/>
        <v>19</v>
      </c>
      <c r="M32" s="77">
        <f t="shared" si="9"/>
        <v>4.9723756899999999E-2</v>
      </c>
      <c r="N32" s="86">
        <f t="shared" ref="N32:N50" si="13">_xlfn.IFNA(VLOOKUP(K32, $B$2:$E$200, 4, FALSE), "")</f>
        <v>2099694859.9308429</v>
      </c>
      <c r="O32" s="82" t="s">
        <v>234</v>
      </c>
      <c r="P32" s="39">
        <f t="shared" si="10"/>
        <v>898</v>
      </c>
      <c r="Q32" s="77">
        <f t="shared" si="11"/>
        <v>0.29956584660000002</v>
      </c>
      <c r="R32" s="86">
        <f t="shared" ref="R32:R50" si="14">_xlfn.IFNA(VLOOKUP(O32, $B$2:$E$200, 4, FALSE), "")</f>
        <v>425717045.28660727</v>
      </c>
    </row>
    <row r="33" spans="1:18">
      <c r="A33" s="40" t="s">
        <v>187</v>
      </c>
      <c r="B33" s="11" t="s">
        <v>188</v>
      </c>
      <c r="C33" s="95">
        <v>18.7</v>
      </c>
      <c r="D33" s="92">
        <v>5.3763441000000004E-3</v>
      </c>
      <c r="E33" s="93">
        <v>2023979502.1960702</v>
      </c>
      <c r="F33" s="35"/>
      <c r="G33" s="47" t="s">
        <v>234</v>
      </c>
      <c r="H33" s="39">
        <f t="shared" si="6"/>
        <v>898</v>
      </c>
      <c r="I33" s="77">
        <f t="shared" si="7"/>
        <v>0.29956584660000002</v>
      </c>
      <c r="J33" s="86">
        <f t="shared" si="12"/>
        <v>425717045.28660727</v>
      </c>
      <c r="K33" s="82" t="s">
        <v>148</v>
      </c>
      <c r="L33" s="39">
        <f t="shared" si="8"/>
        <v>12.9</v>
      </c>
      <c r="M33" s="77">
        <f t="shared" si="9"/>
        <v>3.2000000000000001E-2</v>
      </c>
      <c r="N33" s="86">
        <f t="shared" si="13"/>
        <v>4391937996.2530346</v>
      </c>
      <c r="O33" s="82" t="s">
        <v>216</v>
      </c>
      <c r="P33" s="39">
        <f t="shared" si="10"/>
        <v>160</v>
      </c>
      <c r="Q33" s="77">
        <f t="shared" si="11"/>
        <v>0.1034482759</v>
      </c>
      <c r="R33" s="86">
        <f t="shared" si="14"/>
        <v>923599992.71206141</v>
      </c>
    </row>
    <row r="34" spans="1:18">
      <c r="A34" s="40" t="s">
        <v>203</v>
      </c>
      <c r="B34" s="11" t="s">
        <v>204</v>
      </c>
      <c r="C34" s="95">
        <v>1040</v>
      </c>
      <c r="D34" s="92">
        <v>4.8309179000000004E-3</v>
      </c>
      <c r="E34" s="93">
        <v>188648075.82799688</v>
      </c>
      <c r="F34" s="35"/>
      <c r="G34" s="47" t="s">
        <v>226</v>
      </c>
      <c r="H34" s="39">
        <f t="shared" si="6"/>
        <v>1135</v>
      </c>
      <c r="I34" s="77">
        <f t="shared" si="7"/>
        <v>0.16171954960000001</v>
      </c>
      <c r="J34" s="86">
        <f t="shared" si="12"/>
        <v>706658322.60083711</v>
      </c>
      <c r="K34" s="82" t="s">
        <v>202</v>
      </c>
      <c r="L34" s="39">
        <f t="shared" si="8"/>
        <v>16.399999999999999</v>
      </c>
      <c r="M34" s="77">
        <f t="shared" si="9"/>
        <v>3.14465409E-2</v>
      </c>
      <c r="N34" s="86">
        <f t="shared" si="13"/>
        <v>2472020043.3221269</v>
      </c>
      <c r="O34" s="82" t="s">
        <v>198</v>
      </c>
      <c r="P34" s="39">
        <f t="shared" si="10"/>
        <v>224</v>
      </c>
      <c r="Q34" s="77">
        <f t="shared" si="11"/>
        <v>9.2682926799999996E-2</v>
      </c>
      <c r="R34" s="86">
        <f t="shared" si="14"/>
        <v>803014885.82002199</v>
      </c>
    </row>
    <row r="35" spans="1:18">
      <c r="A35" s="40" t="s">
        <v>209</v>
      </c>
      <c r="B35" s="11" t="s">
        <v>210</v>
      </c>
      <c r="C35" s="95">
        <v>1335</v>
      </c>
      <c r="D35" s="92">
        <v>3.7593984999999999E-3</v>
      </c>
      <c r="E35" s="93">
        <v>23224574.500257231</v>
      </c>
      <c r="F35" s="35"/>
      <c r="G35" s="47" t="s">
        <v>216</v>
      </c>
      <c r="H35" s="44">
        <f t="shared" si="6"/>
        <v>160</v>
      </c>
      <c r="I35" s="78">
        <f t="shared" si="7"/>
        <v>0.1034482759</v>
      </c>
      <c r="J35" s="90">
        <f t="shared" si="12"/>
        <v>923599992.71206141</v>
      </c>
      <c r="K35" s="83" t="s">
        <v>146</v>
      </c>
      <c r="L35" s="44">
        <f t="shared" si="8"/>
        <v>22.6</v>
      </c>
      <c r="M35" s="78">
        <f t="shared" si="9"/>
        <v>2.7272727300000001E-2</v>
      </c>
      <c r="N35" s="90">
        <f t="shared" si="13"/>
        <v>9645030963.3010674</v>
      </c>
      <c r="O35" s="83" t="s">
        <v>252</v>
      </c>
      <c r="P35" s="44">
        <f t="shared" si="10"/>
        <v>441</v>
      </c>
      <c r="Q35" s="78">
        <f t="shared" si="11"/>
        <v>5.75539568E-2</v>
      </c>
      <c r="R35" s="90">
        <f t="shared" si="14"/>
        <v>281396385.68638903</v>
      </c>
    </row>
    <row r="36" spans="1:18">
      <c r="A36" s="40" t="s">
        <v>223</v>
      </c>
      <c r="B36" s="11" t="s">
        <v>224</v>
      </c>
      <c r="C36" s="95">
        <v>1875</v>
      </c>
      <c r="D36" s="92">
        <v>2.6737967999999998E-3</v>
      </c>
      <c r="E36" s="93">
        <v>14233405.72795549</v>
      </c>
      <c r="F36" s="35"/>
      <c r="G36" s="49" t="s">
        <v>198</v>
      </c>
      <c r="H36" s="39">
        <f t="shared" si="6"/>
        <v>224</v>
      </c>
      <c r="I36" s="77">
        <f t="shared" si="7"/>
        <v>9.2682926799999996E-2</v>
      </c>
      <c r="J36" s="99">
        <f t="shared" si="12"/>
        <v>803014885.82002199</v>
      </c>
      <c r="K36" s="82" t="s">
        <v>72</v>
      </c>
      <c r="L36" s="39">
        <f t="shared" si="8"/>
        <v>27.5</v>
      </c>
      <c r="M36" s="77">
        <f t="shared" si="9"/>
        <v>1.10294118E-2</v>
      </c>
      <c r="N36" s="99">
        <f t="shared" si="13"/>
        <v>539137000.74314785</v>
      </c>
      <c r="O36" s="82" t="s">
        <v>190</v>
      </c>
      <c r="P36" s="39">
        <f t="shared" si="10"/>
        <v>466</v>
      </c>
      <c r="Q36" s="77">
        <f t="shared" si="11"/>
        <v>5.6689342400000002E-2</v>
      </c>
      <c r="R36" s="99">
        <f t="shared" si="14"/>
        <v>295275529.76424676</v>
      </c>
    </row>
    <row r="37" spans="1:18">
      <c r="A37" s="40" t="s">
        <v>163</v>
      </c>
      <c r="B37" s="11" t="s">
        <v>164</v>
      </c>
      <c r="C37" s="95">
        <v>241</v>
      </c>
      <c r="D37" s="92">
        <v>0</v>
      </c>
      <c r="E37" s="93">
        <v>182304492.44605145</v>
      </c>
      <c r="F37" s="35"/>
      <c r="G37" s="47" t="s">
        <v>244</v>
      </c>
      <c r="H37" s="39">
        <f t="shared" si="6"/>
        <v>9280</v>
      </c>
      <c r="I37" s="77">
        <f t="shared" si="7"/>
        <v>7.7190945999999996E-2</v>
      </c>
      <c r="J37" s="86">
        <f t="shared" si="12"/>
        <v>10509271.4376199</v>
      </c>
      <c r="K37" s="82" t="s">
        <v>188</v>
      </c>
      <c r="L37" s="39">
        <f t="shared" si="8"/>
        <v>18.7</v>
      </c>
      <c r="M37" s="77">
        <f t="shared" si="9"/>
        <v>5.3763441000000004E-3</v>
      </c>
      <c r="N37" s="86">
        <f t="shared" si="13"/>
        <v>2023979502.1960702</v>
      </c>
      <c r="O37" s="82" t="s">
        <v>220</v>
      </c>
      <c r="P37" s="39">
        <f t="shared" si="10"/>
        <v>191</v>
      </c>
      <c r="Q37" s="77">
        <f t="shared" si="11"/>
        <v>4.9450549500000003E-2</v>
      </c>
      <c r="R37" s="86">
        <f t="shared" si="14"/>
        <v>410503426.2913546</v>
      </c>
    </row>
    <row r="38" spans="1:18">
      <c r="A38" s="40" t="s">
        <v>263</v>
      </c>
      <c r="B38" s="11" t="s">
        <v>264</v>
      </c>
      <c r="C38" s="95">
        <v>301</v>
      </c>
      <c r="D38" s="92">
        <v>-3.3112583000000002E-3</v>
      </c>
      <c r="E38" s="93">
        <v>1236547786.5884733</v>
      </c>
      <c r="F38" s="35"/>
      <c r="G38" s="47" t="s">
        <v>252</v>
      </c>
      <c r="H38" s="39">
        <f t="shared" si="6"/>
        <v>441</v>
      </c>
      <c r="I38" s="77">
        <f t="shared" si="7"/>
        <v>5.75539568E-2</v>
      </c>
      <c r="J38" s="86">
        <f t="shared" si="12"/>
        <v>281396385.68638903</v>
      </c>
      <c r="K38" s="82" t="s">
        <v>208</v>
      </c>
      <c r="L38" s="39">
        <f t="shared" si="8"/>
        <v>14.9</v>
      </c>
      <c r="M38" s="77">
        <f t="shared" si="9"/>
        <v>-6.6666666999999997E-3</v>
      </c>
      <c r="N38" s="86">
        <f t="shared" si="13"/>
        <v>4690320727.3207092</v>
      </c>
      <c r="O38" s="82" t="s">
        <v>192</v>
      </c>
      <c r="P38" s="39">
        <f t="shared" si="10"/>
        <v>128</v>
      </c>
      <c r="Q38" s="77">
        <f t="shared" si="11"/>
        <v>4.9180327900000001E-2</v>
      </c>
      <c r="R38" s="86">
        <f t="shared" si="14"/>
        <v>317863479.80242783</v>
      </c>
    </row>
    <row r="39" spans="1:18">
      <c r="A39" s="40" t="s">
        <v>115</v>
      </c>
      <c r="B39" s="11" t="s">
        <v>116</v>
      </c>
      <c r="C39" s="95">
        <v>217</v>
      </c>
      <c r="D39" s="92">
        <v>-4.5871560000000002E-3</v>
      </c>
      <c r="E39" s="93">
        <v>51224996.298061103</v>
      </c>
      <c r="F39" s="35"/>
      <c r="G39" s="47" t="s">
        <v>190</v>
      </c>
      <c r="H39" s="39">
        <f t="shared" si="6"/>
        <v>466</v>
      </c>
      <c r="I39" s="77">
        <f t="shared" si="7"/>
        <v>5.6689342400000002E-2</v>
      </c>
      <c r="J39" s="86">
        <f t="shared" si="12"/>
        <v>295275529.76424676</v>
      </c>
      <c r="K39" s="82" t="s">
        <v>200</v>
      </c>
      <c r="L39" s="39">
        <f t="shared" si="8"/>
        <v>84.9</v>
      </c>
      <c r="M39" s="77">
        <f t="shared" si="9"/>
        <v>-8.1775700999999999E-3</v>
      </c>
      <c r="N39" s="86">
        <f t="shared" si="13"/>
        <v>956194915.50717866</v>
      </c>
      <c r="O39" s="82" t="s">
        <v>236</v>
      </c>
      <c r="P39" s="39">
        <f t="shared" si="10"/>
        <v>133</v>
      </c>
      <c r="Q39" s="77">
        <f t="shared" si="11"/>
        <v>3.1007751900000002E-2</v>
      </c>
      <c r="R39" s="86">
        <f t="shared" si="14"/>
        <v>493205598.99248105</v>
      </c>
    </row>
    <row r="40" spans="1:18" ht="17.25" thickBot="1">
      <c r="A40" s="40" t="s">
        <v>207</v>
      </c>
      <c r="B40" s="11" t="s">
        <v>208</v>
      </c>
      <c r="C40" s="95">
        <v>14.9</v>
      </c>
      <c r="D40" s="92">
        <v>-6.6666666999999997E-3</v>
      </c>
      <c r="E40" s="93">
        <v>4690320727.3207092</v>
      </c>
      <c r="F40" s="35"/>
      <c r="G40" s="53" t="s">
        <v>120</v>
      </c>
      <c r="H40" s="37">
        <f t="shared" si="6"/>
        <v>41</v>
      </c>
      <c r="I40" s="79">
        <f t="shared" si="7"/>
        <v>5.3984575799999997E-2</v>
      </c>
      <c r="J40" s="87">
        <f t="shared" si="12"/>
        <v>1158471458.1133003</v>
      </c>
      <c r="K40" s="84" t="s">
        <v>232</v>
      </c>
      <c r="L40" s="37">
        <f t="shared" si="8"/>
        <v>81.7</v>
      </c>
      <c r="M40" s="79">
        <f t="shared" si="9"/>
        <v>-9.6969697000000004E-3</v>
      </c>
      <c r="N40" s="87">
        <f t="shared" si="13"/>
        <v>418665880.92875528</v>
      </c>
      <c r="O40" s="84" t="s">
        <v>218</v>
      </c>
      <c r="P40" s="37">
        <f t="shared" si="10"/>
        <v>266</v>
      </c>
      <c r="Q40" s="79">
        <f t="shared" si="11"/>
        <v>2.3076923100000001E-2</v>
      </c>
      <c r="R40" s="87">
        <f t="shared" si="14"/>
        <v>210883271.6896936</v>
      </c>
    </row>
    <row r="41" spans="1:18">
      <c r="A41" s="40" t="s">
        <v>227</v>
      </c>
      <c r="B41" s="11" t="s">
        <v>228</v>
      </c>
      <c r="C41" s="95">
        <v>366</v>
      </c>
      <c r="D41" s="92">
        <v>-8.1300812999999996E-3</v>
      </c>
      <c r="E41" s="93">
        <v>218796210.17743993</v>
      </c>
      <c r="F41" s="35"/>
      <c r="G41" s="52" t="s">
        <v>182</v>
      </c>
      <c r="H41" s="38">
        <f t="shared" si="6"/>
        <v>1675</v>
      </c>
      <c r="I41" s="76">
        <f t="shared" si="7"/>
        <v>5.3459119499999999E-2</v>
      </c>
      <c r="J41" s="85">
        <f t="shared" si="12"/>
        <v>37495257.168675378</v>
      </c>
      <c r="K41" s="81" t="s">
        <v>186</v>
      </c>
      <c r="L41" s="38">
        <f t="shared" si="8"/>
        <v>18.2</v>
      </c>
      <c r="M41" s="76">
        <f t="shared" si="9"/>
        <v>-1.08695652E-2</v>
      </c>
      <c r="N41" s="85">
        <f t="shared" si="13"/>
        <v>24806083294.614666</v>
      </c>
      <c r="O41" s="81" t="s">
        <v>108</v>
      </c>
      <c r="P41" s="38">
        <f t="shared" si="10"/>
        <v>179</v>
      </c>
      <c r="Q41" s="76">
        <f t="shared" si="11"/>
        <v>1.7045454500000001E-2</v>
      </c>
      <c r="R41" s="85">
        <f t="shared" si="14"/>
        <v>145014267.82071751</v>
      </c>
    </row>
    <row r="42" spans="1:18">
      <c r="A42" s="40" t="s">
        <v>199</v>
      </c>
      <c r="B42" s="11" t="s">
        <v>200</v>
      </c>
      <c r="C42" s="95">
        <v>84.9</v>
      </c>
      <c r="D42" s="92">
        <v>-8.1775700999999999E-3</v>
      </c>
      <c r="E42" s="93">
        <v>956194915.50717866</v>
      </c>
      <c r="F42" s="35"/>
      <c r="G42" s="47" t="s">
        <v>246</v>
      </c>
      <c r="H42" s="39">
        <f t="shared" si="6"/>
        <v>2720</v>
      </c>
      <c r="I42" s="77">
        <f t="shared" si="7"/>
        <v>5.2224371399999997E-2</v>
      </c>
      <c r="J42" s="86">
        <f t="shared" si="12"/>
        <v>17605705.210339699</v>
      </c>
      <c r="K42" s="82" t="s">
        <v>214</v>
      </c>
      <c r="L42" s="39">
        <f t="shared" si="8"/>
        <v>11.9</v>
      </c>
      <c r="M42" s="77">
        <f t="shared" si="9"/>
        <v>-1.6528925600000001E-2</v>
      </c>
      <c r="N42" s="86">
        <f t="shared" si="13"/>
        <v>3013081056.1843605</v>
      </c>
      <c r="O42" s="82" t="s">
        <v>128</v>
      </c>
      <c r="P42" s="39">
        <f t="shared" si="10"/>
        <v>146</v>
      </c>
      <c r="Q42" s="77">
        <f t="shared" si="11"/>
        <v>1.38888889E-2</v>
      </c>
      <c r="R42" s="86">
        <f t="shared" si="14"/>
        <v>206273932.81256616</v>
      </c>
    </row>
    <row r="43" spans="1:18">
      <c r="A43" s="40" t="s">
        <v>249</v>
      </c>
      <c r="B43" s="11" t="s">
        <v>250</v>
      </c>
      <c r="C43" s="95">
        <v>1120</v>
      </c>
      <c r="D43" s="92">
        <v>-8.8495575000000007E-3</v>
      </c>
      <c r="E43" s="93">
        <v>13485743.39745019</v>
      </c>
      <c r="F43" s="35"/>
      <c r="G43" s="47" t="s">
        <v>176</v>
      </c>
      <c r="H43" s="39">
        <f t="shared" si="6"/>
        <v>19</v>
      </c>
      <c r="I43" s="77">
        <f t="shared" si="7"/>
        <v>4.9723756899999999E-2</v>
      </c>
      <c r="J43" s="86">
        <f t="shared" si="12"/>
        <v>2099694859.9308429</v>
      </c>
      <c r="K43" s="82" t="s">
        <v>206</v>
      </c>
      <c r="L43" s="39">
        <f t="shared" si="8"/>
        <v>13.8</v>
      </c>
      <c r="M43" s="77">
        <f t="shared" si="9"/>
        <v>-2.8169014100000001E-2</v>
      </c>
      <c r="N43" s="86">
        <f t="shared" si="13"/>
        <v>1130092203.3981476</v>
      </c>
      <c r="O43" s="82" t="s">
        <v>122</v>
      </c>
      <c r="P43" s="39">
        <f t="shared" si="10"/>
        <v>635</v>
      </c>
      <c r="Q43" s="77">
        <f t="shared" si="11"/>
        <v>1.1146496800000001E-2</v>
      </c>
      <c r="R43" s="86">
        <f t="shared" si="14"/>
        <v>161505927.19947106</v>
      </c>
    </row>
    <row r="44" spans="1:18">
      <c r="A44" s="40" t="s">
        <v>231</v>
      </c>
      <c r="B44" s="11" t="s">
        <v>232</v>
      </c>
      <c r="C44" s="95">
        <v>81.7</v>
      </c>
      <c r="D44" s="92">
        <v>-9.6969697000000004E-3</v>
      </c>
      <c r="E44" s="93">
        <v>418665880.92875528</v>
      </c>
      <c r="F44" s="35"/>
      <c r="G44" s="47" t="s">
        <v>220</v>
      </c>
      <c r="H44" s="39">
        <f t="shared" si="6"/>
        <v>191</v>
      </c>
      <c r="I44" s="77">
        <f t="shared" si="7"/>
        <v>4.9450549500000003E-2</v>
      </c>
      <c r="J44" s="86">
        <f t="shared" si="12"/>
        <v>410503426.2913546</v>
      </c>
      <c r="K44" s="82" t="s">
        <v>248</v>
      </c>
      <c r="L44" s="39">
        <f t="shared" si="8"/>
        <v>87.9</v>
      </c>
      <c r="M44" s="77">
        <f t="shared" si="9"/>
        <v>-2.8729281799999999E-2</v>
      </c>
      <c r="N44" s="86">
        <f t="shared" si="13"/>
        <v>188810916.61945435</v>
      </c>
      <c r="O44" s="82" t="s">
        <v>172</v>
      </c>
      <c r="P44" s="39">
        <f t="shared" si="10"/>
        <v>448</v>
      </c>
      <c r="Q44" s="77">
        <f t="shared" si="11"/>
        <v>6.7415729999999998E-3</v>
      </c>
      <c r="R44" s="86">
        <f t="shared" si="14"/>
        <v>106204946.16331758</v>
      </c>
    </row>
    <row r="45" spans="1:18">
      <c r="A45" s="40" t="s">
        <v>56</v>
      </c>
      <c r="B45" s="11" t="s">
        <v>57</v>
      </c>
      <c r="C45" s="95">
        <v>202</v>
      </c>
      <c r="D45" s="92">
        <v>-9.8039215999999995E-3</v>
      </c>
      <c r="E45" s="93">
        <v>77049203.907570347</v>
      </c>
      <c r="F45" s="35"/>
      <c r="G45" s="47" t="s">
        <v>192</v>
      </c>
      <c r="H45" s="44">
        <f t="shared" si="6"/>
        <v>128</v>
      </c>
      <c r="I45" s="78">
        <f t="shared" si="7"/>
        <v>4.9180327900000001E-2</v>
      </c>
      <c r="J45" s="90">
        <f t="shared" si="12"/>
        <v>317863479.80242783</v>
      </c>
      <c r="K45" s="83" t="s">
        <v>98</v>
      </c>
      <c r="L45" s="44">
        <f t="shared" si="8"/>
        <v>4.32</v>
      </c>
      <c r="M45" s="78">
        <f t="shared" si="9"/>
        <v>-3.3557047E-2</v>
      </c>
      <c r="N45" s="90">
        <f t="shared" si="13"/>
        <v>11120154476.461996</v>
      </c>
      <c r="O45" s="83" t="s">
        <v>164</v>
      </c>
      <c r="P45" s="44">
        <f t="shared" si="10"/>
        <v>241</v>
      </c>
      <c r="Q45" s="78">
        <f t="shared" si="11"/>
        <v>0</v>
      </c>
      <c r="R45" s="90">
        <f t="shared" si="14"/>
        <v>182304492.44605145</v>
      </c>
    </row>
    <row r="46" spans="1:18">
      <c r="A46" s="40" t="s">
        <v>161</v>
      </c>
      <c r="B46" s="11" t="s">
        <v>162</v>
      </c>
      <c r="C46" s="95">
        <v>822</v>
      </c>
      <c r="D46" s="92">
        <v>-1.08303249E-2</v>
      </c>
      <c r="E46" s="93">
        <v>125398773.24158467</v>
      </c>
      <c r="F46" s="35"/>
      <c r="G46" s="49" t="s">
        <v>148</v>
      </c>
      <c r="H46" s="39">
        <f t="shared" si="6"/>
        <v>12.9</v>
      </c>
      <c r="I46" s="77">
        <f t="shared" si="7"/>
        <v>3.2000000000000001E-2</v>
      </c>
      <c r="J46" s="99">
        <f t="shared" si="12"/>
        <v>4391937996.2530346</v>
      </c>
      <c r="K46" s="82" t="s">
        <v>65</v>
      </c>
      <c r="L46" s="39">
        <f t="shared" si="8"/>
        <v>64.099999999999994</v>
      </c>
      <c r="M46" s="77">
        <f t="shared" si="9"/>
        <v>-4.4709389000000002E-2</v>
      </c>
      <c r="N46" s="99">
        <f t="shared" si="13"/>
        <v>860396870.08203173</v>
      </c>
      <c r="O46" s="82" t="s">
        <v>264</v>
      </c>
      <c r="P46" s="39">
        <f t="shared" si="10"/>
        <v>301</v>
      </c>
      <c r="Q46" s="77">
        <f t="shared" si="11"/>
        <v>-3.3112583000000002E-3</v>
      </c>
      <c r="R46" s="99">
        <f t="shared" si="14"/>
        <v>1236547786.5884733</v>
      </c>
    </row>
    <row r="47" spans="1:18">
      <c r="A47" s="40" t="s">
        <v>185</v>
      </c>
      <c r="B47" s="11" t="s">
        <v>186</v>
      </c>
      <c r="C47" s="95">
        <v>18.2</v>
      </c>
      <c r="D47" s="92">
        <v>-1.08695652E-2</v>
      </c>
      <c r="E47" s="93">
        <v>24806083294.614666</v>
      </c>
      <c r="F47" s="35"/>
      <c r="G47" s="47" t="s">
        <v>202</v>
      </c>
      <c r="H47" s="39">
        <f t="shared" si="6"/>
        <v>16.399999999999999</v>
      </c>
      <c r="I47" s="77">
        <f t="shared" si="7"/>
        <v>3.14465409E-2</v>
      </c>
      <c r="J47" s="86">
        <f t="shared" si="12"/>
        <v>2472020043.3221269</v>
      </c>
      <c r="K47" s="82" t="s">
        <v>328</v>
      </c>
      <c r="L47" s="39">
        <f t="shared" si="8"/>
        <v>0.26400000000000001</v>
      </c>
      <c r="M47" s="77">
        <f t="shared" si="9"/>
        <v>-5.71428571E-2</v>
      </c>
      <c r="N47" s="86">
        <f t="shared" si="13"/>
        <v>670325663531.38892</v>
      </c>
      <c r="O47" s="82" t="s">
        <v>116</v>
      </c>
      <c r="P47" s="39">
        <f t="shared" si="10"/>
        <v>217</v>
      </c>
      <c r="Q47" s="77">
        <f t="shared" si="11"/>
        <v>-4.5871560000000002E-3</v>
      </c>
      <c r="R47" s="86">
        <f t="shared" si="14"/>
        <v>51224996.298061103</v>
      </c>
    </row>
    <row r="48" spans="1:18">
      <c r="A48" s="40" t="s">
        <v>165</v>
      </c>
      <c r="B48" s="11" t="s">
        <v>166</v>
      </c>
      <c r="C48" s="95">
        <v>1700</v>
      </c>
      <c r="D48" s="92">
        <v>-1.44927536E-2</v>
      </c>
      <c r="E48" s="93">
        <v>16973377.947862599</v>
      </c>
      <c r="F48" s="35"/>
      <c r="G48" s="47" t="s">
        <v>184</v>
      </c>
      <c r="H48" s="39">
        <f t="shared" si="6"/>
        <v>10570</v>
      </c>
      <c r="I48" s="77">
        <f t="shared" si="7"/>
        <v>3.1219512200000001E-2</v>
      </c>
      <c r="J48" s="86">
        <f t="shared" si="12"/>
        <v>23826286.206914991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228</v>
      </c>
      <c r="P48" s="39">
        <f t="shared" si="10"/>
        <v>366</v>
      </c>
      <c r="Q48" s="77">
        <f t="shared" si="11"/>
        <v>-8.1300812999999996E-3</v>
      </c>
      <c r="R48" s="86">
        <f t="shared" si="14"/>
        <v>218796210.17743993</v>
      </c>
    </row>
    <row r="49" spans="1:18">
      <c r="A49" s="40" t="s">
        <v>50</v>
      </c>
      <c r="B49" s="11" t="s">
        <v>51</v>
      </c>
      <c r="C49" s="95">
        <v>378</v>
      </c>
      <c r="D49" s="92">
        <v>-1.5625E-2</v>
      </c>
      <c r="E49" s="93">
        <v>44303975.402444899</v>
      </c>
      <c r="F49" s="35"/>
      <c r="G49" s="47" t="s">
        <v>236</v>
      </c>
      <c r="H49" s="39">
        <f t="shared" si="6"/>
        <v>133</v>
      </c>
      <c r="I49" s="77">
        <f t="shared" si="7"/>
        <v>3.1007751900000002E-2</v>
      </c>
      <c r="J49" s="86">
        <f t="shared" si="12"/>
        <v>493205598.99248105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57</v>
      </c>
      <c r="P49" s="39">
        <f t="shared" si="10"/>
        <v>202</v>
      </c>
      <c r="Q49" s="77">
        <f t="shared" si="11"/>
        <v>-9.8039215999999995E-3</v>
      </c>
      <c r="R49" s="86">
        <f t="shared" si="14"/>
        <v>77049203.907570347</v>
      </c>
    </row>
    <row r="50" spans="1:18" ht="17.25" thickBot="1">
      <c r="A50" s="40" t="s">
        <v>213</v>
      </c>
      <c r="B50" s="11" t="s">
        <v>214</v>
      </c>
      <c r="C50" s="95">
        <v>11.9</v>
      </c>
      <c r="D50" s="92">
        <v>-1.6528925600000001E-2</v>
      </c>
      <c r="E50" s="93">
        <v>3013081056.1843605</v>
      </c>
      <c r="F50" s="35"/>
      <c r="G50" s="53" t="s">
        <v>146</v>
      </c>
      <c r="H50" s="37">
        <f t="shared" si="6"/>
        <v>22.6</v>
      </c>
      <c r="I50" s="79">
        <f t="shared" si="7"/>
        <v>2.7272727300000001E-2</v>
      </c>
      <c r="J50" s="87">
        <f t="shared" si="12"/>
        <v>9645030963.3010674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162</v>
      </c>
      <c r="P50" s="37">
        <f t="shared" si="10"/>
        <v>822</v>
      </c>
      <c r="Q50" s="79">
        <f t="shared" si="11"/>
        <v>-1.08303249E-2</v>
      </c>
      <c r="R50" s="87">
        <f t="shared" si="14"/>
        <v>125398773.24158467</v>
      </c>
    </row>
    <row r="51" spans="1:18">
      <c r="A51" s="40" t="s">
        <v>149</v>
      </c>
      <c r="B51" s="11" t="s">
        <v>150</v>
      </c>
      <c r="C51" s="95">
        <v>113</v>
      </c>
      <c r="D51" s="92">
        <v>-1.73913043E-2</v>
      </c>
      <c r="E51" s="93">
        <v>298532240.93819278</v>
      </c>
      <c r="F51" s="35"/>
    </row>
    <row r="52" spans="1:18" ht="17.25" thickBot="1">
      <c r="A52" s="40" t="s">
        <v>151</v>
      </c>
      <c r="B52" s="11" t="s">
        <v>152</v>
      </c>
      <c r="C52" s="95">
        <v>151400</v>
      </c>
      <c r="D52" s="92">
        <v>-1.8794556099999998E-2</v>
      </c>
      <c r="E52" s="93">
        <v>4074395.5098242401</v>
      </c>
      <c r="F52" s="35"/>
    </row>
    <row r="53" spans="1:18" ht="17.25" thickBot="1">
      <c r="A53" s="40" t="s">
        <v>169</v>
      </c>
      <c r="B53" s="11" t="s">
        <v>170</v>
      </c>
      <c r="C53" s="95">
        <v>4100</v>
      </c>
      <c r="D53" s="92">
        <v>-1.9138756E-2</v>
      </c>
      <c r="E53" s="93">
        <v>12267333.89845003</v>
      </c>
      <c r="F53" s="35"/>
      <c r="G53" s="203" t="s">
        <v>253</v>
      </c>
      <c r="H53" s="204"/>
      <c r="I53" s="204"/>
      <c r="J53" s="205"/>
      <c r="K53" s="203" t="s">
        <v>256</v>
      </c>
      <c r="L53" s="204"/>
      <c r="M53" s="204"/>
      <c r="N53" s="205"/>
      <c r="O53" s="203" t="s">
        <v>257</v>
      </c>
      <c r="P53" s="204"/>
      <c r="Q53" s="204"/>
      <c r="R53" s="205"/>
    </row>
    <row r="54" spans="1:18" ht="17.25" thickBot="1">
      <c r="A54" s="40" t="s">
        <v>93</v>
      </c>
      <c r="B54" s="11" t="s">
        <v>94</v>
      </c>
      <c r="C54" s="95">
        <v>4121000</v>
      </c>
      <c r="D54" s="92">
        <v>-2.1372595599999999E-2</v>
      </c>
      <c r="E54" s="93">
        <v>42280.421509350002</v>
      </c>
      <c r="F54" s="35"/>
      <c r="G54" s="240" t="s">
        <v>55</v>
      </c>
      <c r="H54" s="256">
        <f ca="1">NOW()</f>
        <v>44475.879401736114</v>
      </c>
      <c r="I54" s="257"/>
      <c r="J54" s="258"/>
      <c r="K54" s="255" t="s">
        <v>55</v>
      </c>
      <c r="L54" s="256">
        <f ca="1">NOW()</f>
        <v>44475.879401736114</v>
      </c>
      <c r="M54" s="257"/>
      <c r="N54" s="258"/>
      <c r="O54" s="255" t="s">
        <v>55</v>
      </c>
      <c r="P54" s="256">
        <f ca="1">NOW()</f>
        <v>44475.879401736114</v>
      </c>
      <c r="Q54" s="257"/>
      <c r="R54" s="258"/>
    </row>
    <row r="55" spans="1:18" ht="17.25" thickBot="1">
      <c r="A55" s="40" t="s">
        <v>193</v>
      </c>
      <c r="B55" s="11" t="s">
        <v>194</v>
      </c>
      <c r="C55" s="95">
        <v>3780</v>
      </c>
      <c r="D55" s="92">
        <v>-2.1992238000000001E-2</v>
      </c>
      <c r="E55" s="93">
        <v>6566457.1351528699</v>
      </c>
      <c r="F55" s="35"/>
      <c r="G55" s="248"/>
      <c r="H55" s="51" t="s">
        <v>58</v>
      </c>
      <c r="I55" s="73" t="s">
        <v>59</v>
      </c>
      <c r="J55" s="69" t="s">
        <v>262</v>
      </c>
      <c r="K55" s="226"/>
      <c r="L55" s="51" t="s">
        <v>58</v>
      </c>
      <c r="M55" s="73" t="s">
        <v>59</v>
      </c>
      <c r="N55" s="69" t="s">
        <v>262</v>
      </c>
      <c r="O55" s="226"/>
      <c r="P55" s="51" t="s">
        <v>58</v>
      </c>
      <c r="Q55" s="73" t="s">
        <v>59</v>
      </c>
      <c r="R55" s="69" t="s">
        <v>262</v>
      </c>
    </row>
    <row r="56" spans="1:18">
      <c r="A56" s="40" t="s">
        <v>77</v>
      </c>
      <c r="B56" s="11" t="s">
        <v>78</v>
      </c>
      <c r="C56" s="95">
        <v>693900</v>
      </c>
      <c r="D56" s="92">
        <v>-2.51475133E-2</v>
      </c>
      <c r="E56" s="93">
        <v>25189.927342930001</v>
      </c>
      <c r="F56" s="35"/>
      <c r="G56" s="55" t="s">
        <v>132</v>
      </c>
      <c r="H56" s="38">
        <f t="shared" ref="H56:H75" si="15">_xlfn.IFNA(VLOOKUP(G56, $B$2:$D$200, 2, FALSE), "")</f>
        <v>36070</v>
      </c>
      <c r="I56" s="76">
        <f t="shared" ref="I56:I65" si="16">_xlfn.IFNA(VLOOKUP(G56, $B$2:$D$200, 3, FALSE), "")</f>
        <v>-4.3236074300000003E-2</v>
      </c>
      <c r="J56" s="85">
        <f>_xlfn.IFNA(VLOOKUP(G56, $B$2:$E$200, 4, FALSE), "")</f>
        <v>876644.43081111996</v>
      </c>
      <c r="K56" s="81" t="s">
        <v>120</v>
      </c>
      <c r="L56" s="38">
        <f t="shared" ref="L56:L75" si="17">_xlfn.IFNA(VLOOKUP(K56, $B$2:$D$200, 2, FALSE), "")</f>
        <v>41</v>
      </c>
      <c r="M56" s="76">
        <f t="shared" ref="M56:M75" si="18">_xlfn.IFNA(VLOOKUP(K56, $B$2:$D$200, 3, FALSE), "")</f>
        <v>5.3984575799999997E-2</v>
      </c>
      <c r="N56" s="85">
        <f>_xlfn.IFNA(VLOOKUP(K56, $B$2:$E$200, 4, FALSE), "")</f>
        <v>1158471458.1133003</v>
      </c>
      <c r="O56" s="81" t="s">
        <v>172</v>
      </c>
      <c r="P56" s="38">
        <f t="shared" ref="P56:P75" si="19">_xlfn.IFNA(VLOOKUP(O56, $B$2:$D$200, 2, FALSE), "")</f>
        <v>448</v>
      </c>
      <c r="Q56" s="76">
        <f t="shared" ref="Q56:Q75" si="20">_xlfn.IFNA(VLOOKUP(O56, $B$2:$D$200, 3, FALSE), "")</f>
        <v>6.7415729999999998E-3</v>
      </c>
      <c r="R56" s="85">
        <f>_xlfn.IFNA(VLOOKUP(O56, $B$2:$E$200, 4, FALSE), "")</f>
        <v>106204946.16331758</v>
      </c>
    </row>
    <row r="57" spans="1:18">
      <c r="A57" s="40" t="s">
        <v>123</v>
      </c>
      <c r="B57" s="11" t="s">
        <v>124</v>
      </c>
      <c r="C57" s="95">
        <v>203000</v>
      </c>
      <c r="D57" s="92">
        <v>-2.6145358600000002E-2</v>
      </c>
      <c r="E57" s="93">
        <v>71918.872056980006</v>
      </c>
      <c r="F57" s="35"/>
      <c r="G57" s="56" t="s">
        <v>136</v>
      </c>
      <c r="H57" s="39">
        <f t="shared" si="15"/>
        <v>354</v>
      </c>
      <c r="I57" s="77">
        <f t="shared" si="16"/>
        <v>-4.3243243200000003E-2</v>
      </c>
      <c r="J57" s="86">
        <f t="shared" ref="J57:J75" si="21">_xlfn.IFNA(VLOOKUP(G57, $B$2:$E$200, 4, FALSE), "")</f>
        <v>30279364.511931099</v>
      </c>
      <c r="K57" s="82" t="s">
        <v>176</v>
      </c>
      <c r="L57" s="39">
        <f t="shared" si="17"/>
        <v>19</v>
      </c>
      <c r="M57" s="77">
        <f t="shared" si="18"/>
        <v>4.9723756899999999E-2</v>
      </c>
      <c r="N57" s="86">
        <f t="shared" ref="N57:N75" si="22">_xlfn.IFNA(VLOOKUP(K57, $B$2:$E$200, 4, FALSE), "")</f>
        <v>2099694859.9308429</v>
      </c>
      <c r="O57" s="82" t="s">
        <v>164</v>
      </c>
      <c r="P57" s="39">
        <f t="shared" si="19"/>
        <v>241</v>
      </c>
      <c r="Q57" s="77">
        <f t="shared" si="20"/>
        <v>0</v>
      </c>
      <c r="R57" s="86">
        <f t="shared" ref="R57:R75" si="23">_xlfn.IFNA(VLOOKUP(O57, $B$2:$E$200, 4, FALSE), "")</f>
        <v>182304492.44605145</v>
      </c>
    </row>
    <row r="58" spans="1:18">
      <c r="A58" s="40" t="s">
        <v>101</v>
      </c>
      <c r="B58" s="11" t="s">
        <v>102</v>
      </c>
      <c r="C58" s="95">
        <v>1075</v>
      </c>
      <c r="D58" s="92">
        <v>-2.7149321300000001E-2</v>
      </c>
      <c r="E58" s="93">
        <v>9596348.3639289793</v>
      </c>
      <c r="F58" s="35"/>
      <c r="G58" s="56" t="s">
        <v>65</v>
      </c>
      <c r="H58" s="39">
        <f t="shared" si="15"/>
        <v>64.099999999999994</v>
      </c>
      <c r="I58" s="77">
        <f t="shared" si="16"/>
        <v>-4.4709389000000002E-2</v>
      </c>
      <c r="J58" s="86">
        <f t="shared" si="21"/>
        <v>860396870.08203173</v>
      </c>
      <c r="K58" s="82" t="s">
        <v>148</v>
      </c>
      <c r="L58" s="39">
        <f t="shared" si="17"/>
        <v>12.9</v>
      </c>
      <c r="M58" s="77">
        <f t="shared" si="18"/>
        <v>3.2000000000000001E-2</v>
      </c>
      <c r="N58" s="86">
        <f t="shared" si="22"/>
        <v>4391937996.2530346</v>
      </c>
      <c r="O58" s="82" t="s">
        <v>264</v>
      </c>
      <c r="P58" s="39">
        <f t="shared" si="19"/>
        <v>301</v>
      </c>
      <c r="Q58" s="77">
        <f t="shared" si="20"/>
        <v>-3.3112583000000002E-3</v>
      </c>
      <c r="R58" s="86">
        <f t="shared" si="23"/>
        <v>1236547786.5884733</v>
      </c>
    </row>
    <row r="59" spans="1:18">
      <c r="A59" s="40" t="s">
        <v>239</v>
      </c>
      <c r="B59" s="11" t="s">
        <v>240</v>
      </c>
      <c r="C59" s="95">
        <v>644</v>
      </c>
      <c r="D59" s="92">
        <v>-2.7190332300000002E-2</v>
      </c>
      <c r="E59" s="93">
        <v>42183060.020681001</v>
      </c>
      <c r="F59" s="35"/>
      <c r="G59" s="56" t="s">
        <v>88</v>
      </c>
      <c r="H59" s="39">
        <f t="shared" si="15"/>
        <v>231550</v>
      </c>
      <c r="I59" s="77">
        <f t="shared" si="16"/>
        <v>-4.5154639199999999E-2</v>
      </c>
      <c r="J59" s="86">
        <f t="shared" si="21"/>
        <v>38509.209459589998</v>
      </c>
      <c r="K59" s="82" t="s">
        <v>202</v>
      </c>
      <c r="L59" s="39">
        <f t="shared" si="17"/>
        <v>16.399999999999999</v>
      </c>
      <c r="M59" s="77">
        <f t="shared" si="18"/>
        <v>3.14465409E-2</v>
      </c>
      <c r="N59" s="86">
        <f t="shared" si="22"/>
        <v>2472020043.3221269</v>
      </c>
      <c r="O59" s="82" t="s">
        <v>116</v>
      </c>
      <c r="P59" s="39">
        <f t="shared" si="19"/>
        <v>217</v>
      </c>
      <c r="Q59" s="77">
        <f t="shared" si="20"/>
        <v>-4.5871560000000002E-3</v>
      </c>
      <c r="R59" s="86">
        <f t="shared" si="23"/>
        <v>51224996.298061103</v>
      </c>
    </row>
    <row r="60" spans="1:18">
      <c r="A60" s="40" t="s">
        <v>159</v>
      </c>
      <c r="B60" s="11" t="s">
        <v>160</v>
      </c>
      <c r="C60" s="95">
        <v>104</v>
      </c>
      <c r="D60" s="92">
        <v>-2.8037383200000002E-2</v>
      </c>
      <c r="E60" s="93">
        <v>125849000.986716</v>
      </c>
      <c r="F60" s="35"/>
      <c r="G60" s="56" t="s">
        <v>142</v>
      </c>
      <c r="H60" s="39">
        <f t="shared" si="15"/>
        <v>105</v>
      </c>
      <c r="I60" s="77">
        <f t="shared" si="16"/>
        <v>-4.5454545499999999E-2</v>
      </c>
      <c r="J60" s="90">
        <f t="shared" si="21"/>
        <v>128045156.77401659</v>
      </c>
      <c r="K60" s="83" t="s">
        <v>146</v>
      </c>
      <c r="L60" s="44">
        <f t="shared" si="17"/>
        <v>22.6</v>
      </c>
      <c r="M60" s="78">
        <f t="shared" si="18"/>
        <v>2.7272727300000001E-2</v>
      </c>
      <c r="N60" s="90">
        <f t="shared" si="22"/>
        <v>9645030963.3010674</v>
      </c>
      <c r="O60" s="83" t="s">
        <v>228</v>
      </c>
      <c r="P60" s="44">
        <f t="shared" si="19"/>
        <v>366</v>
      </c>
      <c r="Q60" s="78">
        <f t="shared" si="20"/>
        <v>-8.1300812999999996E-3</v>
      </c>
      <c r="R60" s="90">
        <f t="shared" si="23"/>
        <v>218796210.17743993</v>
      </c>
    </row>
    <row r="61" spans="1:18">
      <c r="A61" s="40" t="s">
        <v>113</v>
      </c>
      <c r="B61" s="11" t="s">
        <v>114</v>
      </c>
      <c r="C61" s="95">
        <v>7450</v>
      </c>
      <c r="D61" s="92">
        <v>-2.8049576E-2</v>
      </c>
      <c r="E61" s="93">
        <v>1455093.3811765499</v>
      </c>
      <c r="F61" s="35"/>
      <c r="G61" s="60" t="s">
        <v>74</v>
      </c>
      <c r="H61" s="45">
        <f t="shared" si="15"/>
        <v>42090</v>
      </c>
      <c r="I61" s="80">
        <f t="shared" si="16"/>
        <v>-4.6010879400000003E-2</v>
      </c>
      <c r="J61" s="99">
        <f t="shared" si="21"/>
        <v>1215412.28985708</v>
      </c>
      <c r="K61" s="82" t="s">
        <v>72</v>
      </c>
      <c r="L61" s="39">
        <f t="shared" si="17"/>
        <v>27.5</v>
      </c>
      <c r="M61" s="77">
        <f t="shared" si="18"/>
        <v>1.10294118E-2</v>
      </c>
      <c r="N61" s="99">
        <f t="shared" si="22"/>
        <v>539137000.74314785</v>
      </c>
      <c r="O61" s="82" t="s">
        <v>57</v>
      </c>
      <c r="P61" s="39">
        <f t="shared" si="19"/>
        <v>202</v>
      </c>
      <c r="Q61" s="77">
        <f t="shared" si="20"/>
        <v>-9.8039215999999995E-3</v>
      </c>
      <c r="R61" s="99">
        <f t="shared" si="23"/>
        <v>77049203.907570347</v>
      </c>
    </row>
    <row r="62" spans="1:18">
      <c r="A62" s="40" t="s">
        <v>205</v>
      </c>
      <c r="B62" s="11" t="s">
        <v>206</v>
      </c>
      <c r="C62" s="95">
        <v>13.8</v>
      </c>
      <c r="D62" s="92">
        <v>-2.8169014100000001E-2</v>
      </c>
      <c r="E62" s="93">
        <v>1130092203.3981476</v>
      </c>
      <c r="F62" s="35"/>
      <c r="G62" s="56" t="s">
        <v>84</v>
      </c>
      <c r="H62" s="39">
        <f t="shared" si="15"/>
        <v>5405</v>
      </c>
      <c r="I62" s="77">
        <f t="shared" si="16"/>
        <v>-4.7577092500000001E-2</v>
      </c>
      <c r="J62" s="86">
        <f t="shared" si="21"/>
        <v>10123263.4331201</v>
      </c>
      <c r="K62" s="82" t="s">
        <v>188</v>
      </c>
      <c r="L62" s="39">
        <f t="shared" si="17"/>
        <v>18.7</v>
      </c>
      <c r="M62" s="77">
        <f t="shared" si="18"/>
        <v>5.3763441000000004E-3</v>
      </c>
      <c r="N62" s="86">
        <f t="shared" si="22"/>
        <v>2023979502.1960702</v>
      </c>
      <c r="O62" s="82" t="s">
        <v>162</v>
      </c>
      <c r="P62" s="39">
        <f t="shared" si="19"/>
        <v>822</v>
      </c>
      <c r="Q62" s="77">
        <f t="shared" si="20"/>
        <v>-1.08303249E-2</v>
      </c>
      <c r="R62" s="86">
        <f t="shared" si="23"/>
        <v>125398773.24158467</v>
      </c>
    </row>
    <row r="63" spans="1:18">
      <c r="A63" s="40" t="s">
        <v>247</v>
      </c>
      <c r="B63" s="11" t="s">
        <v>248</v>
      </c>
      <c r="C63" s="95">
        <v>87.9</v>
      </c>
      <c r="D63" s="92">
        <v>-2.8729281799999999E-2</v>
      </c>
      <c r="E63" s="93">
        <v>188810916.61945435</v>
      </c>
      <c r="F63" s="35"/>
      <c r="G63" s="56" t="s">
        <v>76</v>
      </c>
      <c r="H63" s="39">
        <f t="shared" si="15"/>
        <v>31140</v>
      </c>
      <c r="I63" s="77">
        <f t="shared" si="16"/>
        <v>-4.7997554300000002E-2</v>
      </c>
      <c r="J63" s="86">
        <f t="shared" si="21"/>
        <v>593831.54663631006</v>
      </c>
      <c r="K63" s="82" t="s">
        <v>208</v>
      </c>
      <c r="L63" s="39">
        <f t="shared" si="17"/>
        <v>14.9</v>
      </c>
      <c r="M63" s="77">
        <f t="shared" si="18"/>
        <v>-6.6666666999999997E-3</v>
      </c>
      <c r="N63" s="86">
        <f t="shared" si="22"/>
        <v>4690320727.3207092</v>
      </c>
      <c r="O63" s="82" t="s">
        <v>51</v>
      </c>
      <c r="P63" s="39">
        <f t="shared" si="19"/>
        <v>378</v>
      </c>
      <c r="Q63" s="77">
        <f t="shared" si="20"/>
        <v>-1.5625E-2</v>
      </c>
      <c r="R63" s="86">
        <f t="shared" si="23"/>
        <v>44303975.402444899</v>
      </c>
    </row>
    <row r="64" spans="1:18">
      <c r="A64" s="40" t="s">
        <v>179</v>
      </c>
      <c r="B64" s="11" t="s">
        <v>180</v>
      </c>
      <c r="C64" s="95">
        <v>67600</v>
      </c>
      <c r="D64" s="92">
        <v>-2.9293509499999999E-2</v>
      </c>
      <c r="E64" s="93">
        <v>282138.07649706001</v>
      </c>
      <c r="F64" s="35"/>
      <c r="G64" s="56" t="s">
        <v>174</v>
      </c>
      <c r="H64" s="39">
        <f t="shared" si="15"/>
        <v>1485</v>
      </c>
      <c r="I64" s="77">
        <f t="shared" si="16"/>
        <v>-4.8076923100000002E-2</v>
      </c>
      <c r="J64" s="86">
        <f t="shared" si="21"/>
        <v>15344497.808268869</v>
      </c>
      <c r="K64" s="82" t="s">
        <v>200</v>
      </c>
      <c r="L64" s="39">
        <f t="shared" si="17"/>
        <v>84.9</v>
      </c>
      <c r="M64" s="77">
        <f t="shared" si="18"/>
        <v>-8.1775700999999999E-3</v>
      </c>
      <c r="N64" s="86">
        <f t="shared" si="22"/>
        <v>956194915.50717866</v>
      </c>
      <c r="O64" s="82" t="s">
        <v>150</v>
      </c>
      <c r="P64" s="39">
        <f t="shared" si="19"/>
        <v>113</v>
      </c>
      <c r="Q64" s="77">
        <f t="shared" si="20"/>
        <v>-1.73913043E-2</v>
      </c>
      <c r="R64" s="86">
        <f t="shared" si="23"/>
        <v>298532240.93819278</v>
      </c>
    </row>
    <row r="65" spans="1:18" ht="17.25" thickBot="1">
      <c r="A65" s="40" t="s">
        <v>143</v>
      </c>
      <c r="B65" s="11" t="s">
        <v>144</v>
      </c>
      <c r="C65" s="95">
        <v>2930</v>
      </c>
      <c r="D65" s="92">
        <v>-2.98013245E-2</v>
      </c>
      <c r="E65" s="93">
        <v>14616195.580647189</v>
      </c>
      <c r="F65" s="35"/>
      <c r="G65" s="57" t="s">
        <v>96</v>
      </c>
      <c r="H65" s="37">
        <f t="shared" si="15"/>
        <v>9045</v>
      </c>
      <c r="I65" s="79">
        <f t="shared" si="16"/>
        <v>-4.9395690999999999E-2</v>
      </c>
      <c r="J65" s="87">
        <f t="shared" si="21"/>
        <v>9874648.3942819797</v>
      </c>
      <c r="K65" s="84" t="s">
        <v>232</v>
      </c>
      <c r="L65" s="37">
        <f t="shared" si="17"/>
        <v>81.7</v>
      </c>
      <c r="M65" s="79">
        <f t="shared" si="18"/>
        <v>-9.6969697000000004E-3</v>
      </c>
      <c r="N65" s="87">
        <f t="shared" si="22"/>
        <v>418665880.92875528</v>
      </c>
      <c r="O65" s="84" t="s">
        <v>240</v>
      </c>
      <c r="P65" s="37">
        <f t="shared" si="19"/>
        <v>644</v>
      </c>
      <c r="Q65" s="79">
        <f t="shared" si="20"/>
        <v>-2.7190332300000002E-2</v>
      </c>
      <c r="R65" s="87">
        <f t="shared" si="23"/>
        <v>42183060.020681001</v>
      </c>
    </row>
    <row r="66" spans="1:18">
      <c r="A66" s="40" t="s">
        <v>81</v>
      </c>
      <c r="B66" s="11" t="s">
        <v>82</v>
      </c>
      <c r="C66" s="95">
        <v>2600</v>
      </c>
      <c r="D66" s="92">
        <v>-2.9850746300000001E-2</v>
      </c>
      <c r="E66" s="93">
        <v>19455040.564952899</v>
      </c>
      <c r="F66" s="35"/>
      <c r="G66" s="56" t="s">
        <v>126</v>
      </c>
      <c r="H66" s="38">
        <f t="shared" si="15"/>
        <v>130</v>
      </c>
      <c r="I66" s="76">
        <f t="shared" ref="I66:I75" si="24">_xlfn.IFNA(VLOOKUP(G66, $B$2:$D$200, 3, FALSE), "")</f>
        <v>-5.1094890499999997E-2</v>
      </c>
      <c r="J66" s="85">
        <f t="shared" si="21"/>
        <v>174617604.23834455</v>
      </c>
      <c r="K66" s="81" t="s">
        <v>186</v>
      </c>
      <c r="L66" s="38">
        <f t="shared" si="17"/>
        <v>18.2</v>
      </c>
      <c r="M66" s="76">
        <f t="shared" si="18"/>
        <v>-1.08695652E-2</v>
      </c>
      <c r="N66" s="85">
        <f t="shared" si="22"/>
        <v>24806083294.614666</v>
      </c>
      <c r="O66" s="81" t="s">
        <v>160</v>
      </c>
      <c r="P66" s="38">
        <f t="shared" si="19"/>
        <v>104</v>
      </c>
      <c r="Q66" s="76">
        <f t="shared" si="20"/>
        <v>-2.8037383200000002E-2</v>
      </c>
      <c r="R66" s="85">
        <f t="shared" si="23"/>
        <v>125849000.986716</v>
      </c>
    </row>
    <row r="67" spans="1:18">
      <c r="A67" s="40" t="s">
        <v>167</v>
      </c>
      <c r="B67" s="11" t="s">
        <v>168</v>
      </c>
      <c r="C67" s="95">
        <v>29360</v>
      </c>
      <c r="D67" s="92">
        <v>-3.0062768399999999E-2</v>
      </c>
      <c r="E67" s="93">
        <v>387792.74684371002</v>
      </c>
      <c r="F67" s="35"/>
      <c r="G67" s="56" t="s">
        <v>178</v>
      </c>
      <c r="H67" s="39">
        <f t="shared" si="15"/>
        <v>15070</v>
      </c>
      <c r="I67" s="77">
        <f t="shared" si="24"/>
        <v>-5.3986189599999998E-2</v>
      </c>
      <c r="J67" s="86">
        <f t="shared" si="21"/>
        <v>3572883.7921934798</v>
      </c>
      <c r="K67" s="82" t="s">
        <v>214</v>
      </c>
      <c r="L67" s="39">
        <f t="shared" si="17"/>
        <v>11.9</v>
      </c>
      <c r="M67" s="77">
        <f t="shared" si="18"/>
        <v>-1.6528925600000001E-2</v>
      </c>
      <c r="N67" s="86">
        <f t="shared" si="22"/>
        <v>3013081056.1843605</v>
      </c>
      <c r="O67" s="82" t="s">
        <v>61</v>
      </c>
      <c r="P67" s="39">
        <f t="shared" si="19"/>
        <v>905</v>
      </c>
      <c r="Q67" s="77">
        <f t="shared" si="20"/>
        <v>-3.51812367E-2</v>
      </c>
      <c r="R67" s="86">
        <f t="shared" si="23"/>
        <v>20360213.029665861</v>
      </c>
    </row>
    <row r="68" spans="1:18">
      <c r="A68" s="40" t="s">
        <v>157</v>
      </c>
      <c r="B68" s="11" t="s">
        <v>158</v>
      </c>
      <c r="C68" s="95">
        <v>1560</v>
      </c>
      <c r="D68" s="92">
        <v>-3.1055900599999998E-2</v>
      </c>
      <c r="E68" s="93">
        <v>11185760.02650157</v>
      </c>
      <c r="F68" s="35"/>
      <c r="G68" s="56" t="s">
        <v>154</v>
      </c>
      <c r="H68" s="39">
        <f t="shared" si="15"/>
        <v>1920</v>
      </c>
      <c r="I68" s="77">
        <f t="shared" si="24"/>
        <v>-5.4187192100000003E-2</v>
      </c>
      <c r="J68" s="86">
        <f t="shared" si="21"/>
        <v>5264491.95490456</v>
      </c>
      <c r="K68" s="82" t="s">
        <v>206</v>
      </c>
      <c r="L68" s="39">
        <f t="shared" si="17"/>
        <v>13.8</v>
      </c>
      <c r="M68" s="77">
        <f t="shared" si="18"/>
        <v>-2.8169014100000001E-2</v>
      </c>
      <c r="N68" s="86">
        <f t="shared" si="22"/>
        <v>1130092203.3981476</v>
      </c>
      <c r="O68" s="82" t="s">
        <v>80</v>
      </c>
      <c r="P68" s="39">
        <f t="shared" si="19"/>
        <v>858</v>
      </c>
      <c r="Q68" s="77">
        <f t="shared" si="20"/>
        <v>-3.7037037000000002E-2</v>
      </c>
      <c r="R68" s="86">
        <f t="shared" si="23"/>
        <v>6052188.7242079303</v>
      </c>
    </row>
    <row r="69" spans="1:18">
      <c r="A69" s="40" t="s">
        <v>211</v>
      </c>
      <c r="B69" s="11" t="s">
        <v>212</v>
      </c>
      <c r="C69" s="95">
        <v>1025</v>
      </c>
      <c r="D69" s="92">
        <v>-3.3018867899999998E-2</v>
      </c>
      <c r="E69" s="93">
        <v>71567837.114513353</v>
      </c>
      <c r="F69" s="35"/>
      <c r="G69" s="56" t="s">
        <v>130</v>
      </c>
      <c r="H69" s="39">
        <f t="shared" si="15"/>
        <v>117</v>
      </c>
      <c r="I69" s="77">
        <f t="shared" si="24"/>
        <v>-5.6451612900000003E-2</v>
      </c>
      <c r="J69" s="86">
        <f t="shared" si="21"/>
        <v>121351884.22999156</v>
      </c>
      <c r="K69" s="82" t="s">
        <v>248</v>
      </c>
      <c r="L69" s="39">
        <f t="shared" si="17"/>
        <v>87.9</v>
      </c>
      <c r="M69" s="77">
        <f t="shared" si="18"/>
        <v>-2.8729281799999999E-2</v>
      </c>
      <c r="N69" s="86">
        <f t="shared" si="22"/>
        <v>188810916.61945435</v>
      </c>
      <c r="O69" s="82" t="s">
        <v>86</v>
      </c>
      <c r="P69" s="39">
        <f t="shared" si="19"/>
        <v>353</v>
      </c>
      <c r="Q69" s="77">
        <f t="shared" si="20"/>
        <v>-3.8147138999999997E-2</v>
      </c>
      <c r="R69" s="86">
        <f t="shared" si="23"/>
        <v>38773264.977190152</v>
      </c>
    </row>
    <row r="70" spans="1:18">
      <c r="A70" s="40" t="s">
        <v>97</v>
      </c>
      <c r="B70" s="11" t="s">
        <v>98</v>
      </c>
      <c r="C70" s="95">
        <v>4.32</v>
      </c>
      <c r="D70" s="92">
        <v>-3.3557047E-2</v>
      </c>
      <c r="E70" s="93">
        <v>11120154476.461996</v>
      </c>
      <c r="F70" s="35"/>
      <c r="G70" s="56" t="s">
        <v>328</v>
      </c>
      <c r="H70" s="39">
        <f t="shared" si="15"/>
        <v>0.26400000000000001</v>
      </c>
      <c r="I70" s="77">
        <f t="shared" si="24"/>
        <v>-5.71428571E-2</v>
      </c>
      <c r="J70" s="90">
        <f t="shared" si="21"/>
        <v>670325663531.38892</v>
      </c>
      <c r="K70" s="83" t="s">
        <v>98</v>
      </c>
      <c r="L70" s="44">
        <f t="shared" si="17"/>
        <v>4.32</v>
      </c>
      <c r="M70" s="78">
        <f t="shared" si="18"/>
        <v>-3.3557047E-2</v>
      </c>
      <c r="N70" s="90">
        <f t="shared" si="22"/>
        <v>11120154476.461996</v>
      </c>
      <c r="O70" s="83" t="s">
        <v>112</v>
      </c>
      <c r="P70" s="44">
        <f t="shared" si="19"/>
        <v>928</v>
      </c>
      <c r="Q70" s="78">
        <f t="shared" si="20"/>
        <v>-4.0330920399999998E-2</v>
      </c>
      <c r="R70" s="90">
        <f t="shared" si="23"/>
        <v>71771928.016147256</v>
      </c>
    </row>
    <row r="71" spans="1:18">
      <c r="A71" s="40" t="s">
        <v>99</v>
      </c>
      <c r="B71" s="11" t="s">
        <v>100</v>
      </c>
      <c r="C71" s="95">
        <v>63030</v>
      </c>
      <c r="D71" s="92">
        <v>-3.43189827E-2</v>
      </c>
      <c r="E71" s="93">
        <v>1198461.5797669</v>
      </c>
      <c r="F71" s="35"/>
      <c r="G71" s="60" t="s">
        <v>110</v>
      </c>
      <c r="H71" s="45">
        <f t="shared" si="15"/>
        <v>7600</v>
      </c>
      <c r="I71" s="80">
        <f t="shared" si="24"/>
        <v>-5.76565406E-2</v>
      </c>
      <c r="J71" s="99">
        <f t="shared" si="21"/>
        <v>1274223.1961389901</v>
      </c>
      <c r="K71" s="82" t="s">
        <v>65</v>
      </c>
      <c r="L71" s="39">
        <f t="shared" si="17"/>
        <v>64.099999999999994</v>
      </c>
      <c r="M71" s="77">
        <f t="shared" si="18"/>
        <v>-4.4709389000000002E-2</v>
      </c>
      <c r="N71" s="99">
        <f t="shared" si="22"/>
        <v>860396870.08203173</v>
      </c>
      <c r="O71" s="82" t="s">
        <v>136</v>
      </c>
      <c r="P71" s="39">
        <f t="shared" si="19"/>
        <v>354</v>
      </c>
      <c r="Q71" s="77">
        <f t="shared" si="20"/>
        <v>-4.3243243200000003E-2</v>
      </c>
      <c r="R71" s="99">
        <f t="shared" si="23"/>
        <v>30279364.511931099</v>
      </c>
    </row>
    <row r="72" spans="1:18">
      <c r="A72" s="40" t="s">
        <v>89</v>
      </c>
      <c r="B72" s="11" t="s">
        <v>90</v>
      </c>
      <c r="C72" s="95">
        <v>1255</v>
      </c>
      <c r="D72" s="92">
        <v>-3.46153846E-2</v>
      </c>
      <c r="E72" s="93">
        <v>214398221.43882355</v>
      </c>
      <c r="F72" s="35"/>
      <c r="G72" s="56" t="s">
        <v>69</v>
      </c>
      <c r="H72" s="39">
        <f t="shared" si="15"/>
        <v>9560</v>
      </c>
      <c r="I72" s="77">
        <f t="shared" si="24"/>
        <v>-5.99803343E-2</v>
      </c>
      <c r="J72" s="86">
        <f t="shared" si="21"/>
        <v>8255283.5643400298</v>
      </c>
      <c r="K72" s="82" t="s">
        <v>328</v>
      </c>
      <c r="L72" s="39">
        <f t="shared" si="17"/>
        <v>0.26400000000000001</v>
      </c>
      <c r="M72" s="77">
        <f t="shared" si="18"/>
        <v>-5.71428571E-2</v>
      </c>
      <c r="N72" s="86">
        <f t="shared" si="22"/>
        <v>670325663531.38892</v>
      </c>
      <c r="O72" s="82" t="s">
        <v>142</v>
      </c>
      <c r="P72" s="39">
        <f t="shared" si="19"/>
        <v>105</v>
      </c>
      <c r="Q72" s="77">
        <f t="shared" si="20"/>
        <v>-4.5454545499999999E-2</v>
      </c>
      <c r="R72" s="86">
        <f t="shared" si="23"/>
        <v>128045156.77401659</v>
      </c>
    </row>
    <row r="73" spans="1:18">
      <c r="A73" s="40" t="s">
        <v>60</v>
      </c>
      <c r="B73" s="11" t="s">
        <v>61</v>
      </c>
      <c r="C73" s="95">
        <v>905</v>
      </c>
      <c r="D73" s="92">
        <v>-3.51812367E-2</v>
      </c>
      <c r="E73" s="93">
        <v>20360213.029665861</v>
      </c>
      <c r="F73" s="35"/>
      <c r="G73" s="56" t="s">
        <v>54</v>
      </c>
      <c r="H73" s="39">
        <f t="shared" si="15"/>
        <v>454</v>
      </c>
      <c r="I73" s="77">
        <f t="shared" si="24"/>
        <v>-6.0041407900000003E-2</v>
      </c>
      <c r="J73" s="86">
        <f t="shared" si="21"/>
        <v>48490940.866067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126</v>
      </c>
      <c r="P73" s="39">
        <f t="shared" si="19"/>
        <v>130</v>
      </c>
      <c r="Q73" s="77">
        <f t="shared" si="20"/>
        <v>-5.1094890499999997E-2</v>
      </c>
      <c r="R73" s="86">
        <f t="shared" si="23"/>
        <v>174617604.23834455</v>
      </c>
    </row>
    <row r="74" spans="1:18">
      <c r="A74" s="40" t="s">
        <v>62</v>
      </c>
      <c r="B74" s="11" t="s">
        <v>63</v>
      </c>
      <c r="C74" s="95">
        <v>53700</v>
      </c>
      <c r="D74" s="92">
        <v>-3.6252692000000003E-2</v>
      </c>
      <c r="E74" s="93">
        <v>187043.81551499001</v>
      </c>
      <c r="F74" s="35"/>
      <c r="G74" s="56" t="s">
        <v>106</v>
      </c>
      <c r="H74" s="39">
        <f t="shared" si="15"/>
        <v>2560</v>
      </c>
      <c r="I74" s="77">
        <f t="shared" si="24"/>
        <v>-7.0780399300000005E-2</v>
      </c>
      <c r="J74" s="86">
        <f t="shared" si="21"/>
        <v>14901258.51724921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130</v>
      </c>
      <c r="P74" s="39">
        <f t="shared" si="19"/>
        <v>117</v>
      </c>
      <c r="Q74" s="77">
        <f t="shared" si="20"/>
        <v>-5.6451612900000003E-2</v>
      </c>
      <c r="R74" s="86">
        <f t="shared" si="23"/>
        <v>121351884.22999156</v>
      </c>
    </row>
    <row r="75" spans="1:18" ht="17.25" thickBot="1">
      <c r="A75" s="40" t="s">
        <v>133</v>
      </c>
      <c r="B75" s="11" t="s">
        <v>134</v>
      </c>
      <c r="C75" s="95">
        <v>1990</v>
      </c>
      <c r="D75" s="92">
        <v>-3.6319612600000002E-2</v>
      </c>
      <c r="E75" s="93">
        <v>5508318.0577682601</v>
      </c>
      <c r="F75" s="35"/>
      <c r="G75" s="57" t="s">
        <v>138</v>
      </c>
      <c r="H75" s="37">
        <f t="shared" si="15"/>
        <v>17120</v>
      </c>
      <c r="I75" s="79">
        <f t="shared" si="24"/>
        <v>-8.3511777300000006E-2</v>
      </c>
      <c r="J75" s="87">
        <f t="shared" si="21"/>
        <v>15017053.337412231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54</v>
      </c>
      <c r="P75" s="37">
        <f t="shared" si="19"/>
        <v>454</v>
      </c>
      <c r="Q75" s="79">
        <f t="shared" si="20"/>
        <v>-6.0041407900000003E-2</v>
      </c>
      <c r="R75" s="87">
        <f t="shared" si="23"/>
        <v>48490940.866067</v>
      </c>
    </row>
    <row r="76" spans="1:18">
      <c r="A76" s="40" t="s">
        <v>103</v>
      </c>
      <c r="B76" s="11" t="s">
        <v>104</v>
      </c>
      <c r="C76" s="95">
        <v>1190</v>
      </c>
      <c r="D76" s="92">
        <v>-3.6437246999999999E-2</v>
      </c>
      <c r="E76" s="93">
        <v>5095283.88061585</v>
      </c>
      <c r="F76" s="35"/>
      <c r="G76" s="35"/>
      <c r="H76" s="35"/>
      <c r="I76" s="35"/>
    </row>
    <row r="77" spans="1:18">
      <c r="A77" s="40" t="s">
        <v>79</v>
      </c>
      <c r="B77" s="11" t="s">
        <v>80</v>
      </c>
      <c r="C77" s="95">
        <v>858</v>
      </c>
      <c r="D77" s="92">
        <v>-3.7037037000000002E-2</v>
      </c>
      <c r="E77" s="93">
        <v>6052188.7242079303</v>
      </c>
      <c r="F77" s="35"/>
      <c r="G77" s="35"/>
      <c r="H77" s="35"/>
      <c r="I77" s="35"/>
    </row>
    <row r="78" spans="1:18">
      <c r="A78" s="40" t="s">
        <v>155</v>
      </c>
      <c r="B78" s="11" t="s">
        <v>156</v>
      </c>
      <c r="C78" s="95">
        <v>31850</v>
      </c>
      <c r="D78" s="92">
        <v>-3.7764350500000002E-2</v>
      </c>
      <c r="E78" s="93">
        <v>461876.94899901998</v>
      </c>
      <c r="F78" s="35"/>
      <c r="G78" s="35"/>
      <c r="H78" s="35"/>
      <c r="I78" s="35"/>
    </row>
    <row r="79" spans="1:18">
      <c r="A79" s="40" t="s">
        <v>85</v>
      </c>
      <c r="B79" s="11" t="s">
        <v>86</v>
      </c>
      <c r="C79" s="95">
        <v>353</v>
      </c>
      <c r="D79" s="92">
        <v>-3.8147138999999997E-2</v>
      </c>
      <c r="E79" s="93">
        <v>38773264.977190152</v>
      </c>
      <c r="F79" s="35"/>
      <c r="G79" s="35"/>
      <c r="H79" s="35"/>
      <c r="I79" s="35"/>
    </row>
    <row r="80" spans="1:18">
      <c r="A80" s="40" t="s">
        <v>221</v>
      </c>
      <c r="B80" s="11" t="s">
        <v>222</v>
      </c>
      <c r="C80" s="95">
        <v>4515</v>
      </c>
      <c r="D80" s="92">
        <v>-3.8338658099999999E-2</v>
      </c>
      <c r="E80" s="93">
        <v>4104759.9158723</v>
      </c>
      <c r="F80" s="35"/>
      <c r="G80" s="35"/>
      <c r="H80" s="35"/>
      <c r="I80" s="35"/>
    </row>
    <row r="81" spans="1:9">
      <c r="A81" s="40" t="s">
        <v>91</v>
      </c>
      <c r="B81" s="11" t="s">
        <v>92</v>
      </c>
      <c r="C81" s="95">
        <v>71820</v>
      </c>
      <c r="D81" s="92">
        <v>-3.9197324399999997E-2</v>
      </c>
      <c r="E81" s="93">
        <v>181303.53627606999</v>
      </c>
      <c r="F81" s="35"/>
      <c r="G81" s="35"/>
      <c r="H81" s="35"/>
      <c r="I81" s="35"/>
    </row>
    <row r="82" spans="1:9">
      <c r="A82" s="40" t="s">
        <v>195</v>
      </c>
      <c r="B82" s="11" t="s">
        <v>196</v>
      </c>
      <c r="C82" s="95">
        <v>23410</v>
      </c>
      <c r="D82" s="92">
        <v>-3.9786710400000001E-2</v>
      </c>
      <c r="E82" s="93">
        <v>3357222.3174654501</v>
      </c>
      <c r="F82" s="35"/>
      <c r="G82" s="35"/>
      <c r="H82" s="35"/>
      <c r="I82" s="35"/>
    </row>
    <row r="83" spans="1:9">
      <c r="A83" s="40" t="s">
        <v>111</v>
      </c>
      <c r="B83" s="11" t="s">
        <v>112</v>
      </c>
      <c r="C83" s="95">
        <v>928</v>
      </c>
      <c r="D83" s="92">
        <v>-4.0330920399999998E-2</v>
      </c>
      <c r="E83" s="93">
        <v>71771928.016147256</v>
      </c>
      <c r="F83" s="35"/>
      <c r="G83" s="35"/>
      <c r="H83" s="35"/>
      <c r="I83" s="35"/>
    </row>
    <row r="84" spans="1:9">
      <c r="A84" s="40" t="s">
        <v>131</v>
      </c>
      <c r="B84" s="11" t="s">
        <v>132</v>
      </c>
      <c r="C84" s="95">
        <v>36070</v>
      </c>
      <c r="D84" s="92">
        <v>-4.3236074300000003E-2</v>
      </c>
      <c r="E84" s="93">
        <v>876644.43081111996</v>
      </c>
      <c r="F84" s="35"/>
      <c r="G84" s="35"/>
      <c r="H84" s="35"/>
      <c r="I84" s="35"/>
    </row>
    <row r="85" spans="1:9">
      <c r="A85" s="40" t="s">
        <v>135</v>
      </c>
      <c r="B85" s="11" t="s">
        <v>136</v>
      </c>
      <c r="C85" s="95">
        <v>354</v>
      </c>
      <c r="D85" s="92">
        <v>-4.3243243200000003E-2</v>
      </c>
      <c r="E85" s="93">
        <v>30279364.511931099</v>
      </c>
      <c r="F85" s="35"/>
      <c r="G85" s="35"/>
      <c r="H85" s="35"/>
      <c r="I85" s="35"/>
    </row>
    <row r="86" spans="1:9">
      <c r="A86" s="40" t="s">
        <v>64</v>
      </c>
      <c r="B86" s="11" t="s">
        <v>65</v>
      </c>
      <c r="C86" s="95">
        <v>64.099999999999994</v>
      </c>
      <c r="D86" s="92">
        <v>-4.4709389000000002E-2</v>
      </c>
      <c r="E86" s="93">
        <v>860396870.08203173</v>
      </c>
      <c r="F86" s="35"/>
      <c r="G86" s="35"/>
      <c r="H86" s="35"/>
      <c r="I86" s="35"/>
    </row>
    <row r="87" spans="1:9">
      <c r="A87" s="40" t="s">
        <v>87</v>
      </c>
      <c r="B87" s="11" t="s">
        <v>88</v>
      </c>
      <c r="C87" s="95">
        <v>231550</v>
      </c>
      <c r="D87" s="92">
        <v>-4.5154639199999999E-2</v>
      </c>
      <c r="E87" s="93">
        <v>38509.209459589998</v>
      </c>
      <c r="F87" s="35"/>
      <c r="G87" s="35"/>
      <c r="H87" s="35"/>
      <c r="I87" s="35"/>
    </row>
    <row r="88" spans="1:9">
      <c r="A88" s="40" t="s">
        <v>141</v>
      </c>
      <c r="B88" s="11" t="s">
        <v>142</v>
      </c>
      <c r="C88" s="95">
        <v>105</v>
      </c>
      <c r="D88" s="92">
        <v>-4.5454545499999999E-2</v>
      </c>
      <c r="E88" s="93">
        <v>128045156.77401659</v>
      </c>
      <c r="F88" s="35"/>
      <c r="G88" s="35"/>
      <c r="H88" s="35"/>
      <c r="I88" s="35"/>
    </row>
    <row r="89" spans="1:9">
      <c r="A89" s="40" t="s">
        <v>73</v>
      </c>
      <c r="B89" s="11" t="s">
        <v>74</v>
      </c>
      <c r="C89" s="95">
        <v>42090</v>
      </c>
      <c r="D89" s="92">
        <v>-4.6010879400000003E-2</v>
      </c>
      <c r="E89" s="93">
        <v>1215412.28985708</v>
      </c>
      <c r="F89" s="35"/>
      <c r="G89" s="35"/>
      <c r="H89" s="35"/>
      <c r="I89" s="35"/>
    </row>
    <row r="90" spans="1:9">
      <c r="A90" s="40" t="s">
        <v>83</v>
      </c>
      <c r="B90" s="11" t="s">
        <v>84</v>
      </c>
      <c r="C90" s="95">
        <v>5405</v>
      </c>
      <c r="D90" s="92">
        <v>-4.7577092500000001E-2</v>
      </c>
      <c r="E90" s="93">
        <v>10123263.4331201</v>
      </c>
      <c r="F90" s="35"/>
      <c r="G90" s="35"/>
      <c r="H90" s="35"/>
      <c r="I90" s="35"/>
    </row>
    <row r="91" spans="1:9">
      <c r="A91" s="40" t="s">
        <v>75</v>
      </c>
      <c r="B91" s="11" t="s">
        <v>76</v>
      </c>
      <c r="C91" s="95">
        <v>31140</v>
      </c>
      <c r="D91" s="92">
        <v>-4.7997554300000002E-2</v>
      </c>
      <c r="E91" s="93">
        <v>593831.54663631006</v>
      </c>
      <c r="F91" s="35"/>
      <c r="G91" s="35"/>
      <c r="H91" s="35"/>
      <c r="I91" s="35"/>
    </row>
    <row r="92" spans="1:9">
      <c r="A92" s="40" t="s">
        <v>173</v>
      </c>
      <c r="B92" s="11" t="s">
        <v>174</v>
      </c>
      <c r="C92" s="95">
        <v>1485</v>
      </c>
      <c r="D92" s="92">
        <v>-4.8076923100000002E-2</v>
      </c>
      <c r="E92" s="93">
        <v>15344497.808268869</v>
      </c>
      <c r="F92" s="35"/>
      <c r="G92" s="35"/>
      <c r="H92" s="35"/>
      <c r="I92" s="35"/>
    </row>
    <row r="93" spans="1:9">
      <c r="A93" s="40" t="s">
        <v>95</v>
      </c>
      <c r="B93" s="11" t="s">
        <v>96</v>
      </c>
      <c r="C93" s="95">
        <v>9045</v>
      </c>
      <c r="D93" s="92">
        <v>-4.9395690999999999E-2</v>
      </c>
      <c r="E93" s="93">
        <v>9874648.3942819797</v>
      </c>
      <c r="F93" s="35"/>
      <c r="G93" s="35"/>
      <c r="H93" s="35"/>
      <c r="I93" s="35"/>
    </row>
    <row r="94" spans="1:9">
      <c r="A94" s="40" t="s">
        <v>125</v>
      </c>
      <c r="B94" s="11" t="s">
        <v>126</v>
      </c>
      <c r="C94" s="95">
        <v>130</v>
      </c>
      <c r="D94" s="92">
        <v>-5.1094890499999997E-2</v>
      </c>
      <c r="E94" s="93">
        <v>174617604.23834455</v>
      </c>
      <c r="F94" s="35"/>
      <c r="G94" s="35"/>
      <c r="H94" s="35"/>
      <c r="I94" s="35"/>
    </row>
    <row r="95" spans="1:9">
      <c r="A95" s="40" t="s">
        <v>177</v>
      </c>
      <c r="B95" s="11" t="s">
        <v>178</v>
      </c>
      <c r="C95" s="95">
        <v>15070</v>
      </c>
      <c r="D95" s="92">
        <v>-5.3986189599999998E-2</v>
      </c>
      <c r="E95" s="93">
        <v>3572883.7921934798</v>
      </c>
      <c r="F95" s="35"/>
      <c r="G95" s="35"/>
      <c r="H95" s="35"/>
      <c r="I95" s="35"/>
    </row>
    <row r="96" spans="1:9">
      <c r="A96" s="40" t="s">
        <v>153</v>
      </c>
      <c r="B96" s="11" t="s">
        <v>154</v>
      </c>
      <c r="C96" s="95">
        <v>1920</v>
      </c>
      <c r="D96" s="92">
        <v>-5.4187192100000003E-2</v>
      </c>
      <c r="E96" s="93">
        <v>5264491.95490456</v>
      </c>
      <c r="F96" s="35"/>
      <c r="G96" s="35"/>
      <c r="H96" s="35"/>
      <c r="I96" s="35"/>
    </row>
    <row r="97" spans="1:9">
      <c r="A97" s="40" t="s">
        <v>129</v>
      </c>
      <c r="B97" s="11" t="s">
        <v>130</v>
      </c>
      <c r="C97" s="95">
        <v>117</v>
      </c>
      <c r="D97" s="92">
        <v>-5.6451612900000003E-2</v>
      </c>
      <c r="E97" s="93">
        <v>121351884.22999156</v>
      </c>
      <c r="F97" s="35"/>
      <c r="G97" s="35"/>
      <c r="H97" s="35"/>
      <c r="I97" s="35"/>
    </row>
    <row r="98" spans="1:9">
      <c r="A98" s="40" t="s">
        <v>327</v>
      </c>
      <c r="B98" s="11" t="s">
        <v>328</v>
      </c>
      <c r="C98" s="95">
        <v>0.26400000000000001</v>
      </c>
      <c r="D98" s="92">
        <v>-5.71428571E-2</v>
      </c>
      <c r="E98" s="93">
        <v>670325663531.38892</v>
      </c>
      <c r="F98" s="35"/>
      <c r="G98" s="35"/>
      <c r="H98" s="35"/>
      <c r="I98" s="35"/>
    </row>
    <row r="99" spans="1:9">
      <c r="A99" s="40" t="s">
        <v>109</v>
      </c>
      <c r="B99" s="11" t="s">
        <v>110</v>
      </c>
      <c r="C99" s="95">
        <v>7600</v>
      </c>
      <c r="D99" s="92">
        <v>-5.76565406E-2</v>
      </c>
      <c r="E99" s="93">
        <v>1274223.1961389901</v>
      </c>
      <c r="F99" s="35"/>
      <c r="G99" s="35"/>
      <c r="H99" s="35"/>
      <c r="I99" s="35"/>
    </row>
    <row r="100" spans="1:9">
      <c r="A100" s="40" t="s">
        <v>68</v>
      </c>
      <c r="B100" s="11" t="s">
        <v>69</v>
      </c>
      <c r="C100" s="95">
        <v>9560</v>
      </c>
      <c r="D100" s="92">
        <v>-5.99803343E-2</v>
      </c>
      <c r="E100" s="93">
        <v>8255283.5643400298</v>
      </c>
      <c r="F100" s="35"/>
      <c r="G100" s="35"/>
      <c r="H100" s="35"/>
      <c r="I100" s="35"/>
    </row>
    <row r="101" spans="1:9">
      <c r="A101" s="40" t="s">
        <v>53</v>
      </c>
      <c r="B101" s="11" t="s">
        <v>54</v>
      </c>
      <c r="C101" s="95">
        <v>454</v>
      </c>
      <c r="D101" s="92">
        <v>-6.0041407900000003E-2</v>
      </c>
      <c r="E101" s="93">
        <v>48490940.866067</v>
      </c>
      <c r="F101" s="35"/>
      <c r="G101" s="35"/>
      <c r="H101" s="35"/>
      <c r="I101" s="35"/>
    </row>
    <row r="102" spans="1:9">
      <c r="A102" s="40" t="s">
        <v>105</v>
      </c>
      <c r="B102" s="11" t="s">
        <v>106</v>
      </c>
      <c r="C102" s="95">
        <v>2560</v>
      </c>
      <c r="D102" s="92">
        <v>-7.0780399300000005E-2</v>
      </c>
      <c r="E102" s="93">
        <v>14901258.51724921</v>
      </c>
      <c r="F102" s="35"/>
      <c r="G102" s="35"/>
      <c r="H102" s="35"/>
      <c r="I102" s="35"/>
    </row>
    <row r="103" spans="1:9">
      <c r="A103" s="40" t="s">
        <v>137</v>
      </c>
      <c r="B103" s="11" t="s">
        <v>138</v>
      </c>
      <c r="C103" s="95">
        <v>17120</v>
      </c>
      <c r="D103" s="92">
        <v>-8.3511777300000006E-2</v>
      </c>
      <c r="E103" s="93">
        <v>15017053.337412231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33" workbookViewId="0">
      <selection activeCell="A133" sqref="A133:O168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34" t="str">
        <f>TEXT(투자전략!$G$1, "[$-ko-KR]yyyy년 mm월") &amp; " 총결산"</f>
        <v>2021년 10월 총결산</v>
      </c>
      <c r="B1" s="235"/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6"/>
    </row>
    <row r="2" spans="1:15" ht="16.5" customHeight="1" thickBot="1">
      <c r="A2" s="231" t="s">
        <v>287</v>
      </c>
      <c r="B2" s="232"/>
      <c r="C2" s="232"/>
      <c r="D2" s="204" t="s">
        <v>283</v>
      </c>
      <c r="E2" s="204"/>
      <c r="F2" s="205"/>
      <c r="G2" s="234" t="s">
        <v>284</v>
      </c>
      <c r="H2" s="235"/>
      <c r="I2" s="236"/>
      <c r="J2" s="203" t="s">
        <v>285</v>
      </c>
      <c r="K2" s="204"/>
      <c r="L2" s="204"/>
      <c r="M2" s="204" t="s">
        <v>286</v>
      </c>
      <c r="N2" s="204"/>
      <c r="O2" s="205"/>
    </row>
    <row r="3" spans="1:15" ht="16.5" customHeight="1">
      <c r="A3" s="261">
        <v>1</v>
      </c>
      <c r="B3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엽전코인 Top20</v>
      </c>
      <c r="C3" s="233"/>
      <c r="D3" s="231" t="s">
        <v>288</v>
      </c>
      <c r="E3" s="232"/>
      <c r="F3" s="233"/>
      <c r="G3" s="231" t="s">
        <v>295</v>
      </c>
      <c r="H3" s="232"/>
      <c r="I3" s="233"/>
      <c r="J3" s="231" t="s">
        <v>302</v>
      </c>
      <c r="K3" s="232"/>
      <c r="L3" s="233"/>
      <c r="M3" s="231" t="s">
        <v>309</v>
      </c>
      <c r="N3" s="232"/>
      <c r="O3" s="233"/>
    </row>
    <row r="4" spans="1:15" ht="16.5" customHeight="1" thickBot="1">
      <c r="A4" s="262"/>
      <c r="B4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910,490 KRW (32.81%)</v>
      </c>
      <c r="C4" s="226"/>
      <c r="D4" s="224" t="str">
        <f ca="1" xml:space="preserve"> TEXT($F$92, "#,##0") &amp; " KRW (" &amp; TEXT($E$92, "0.00%)")</f>
        <v>127,676 KRW (4.60%)</v>
      </c>
      <c r="E4" s="225"/>
      <c r="F4" s="226"/>
      <c r="G4" s="224" t="str">
        <f ca="1" xml:space="preserve"> TEXT($I$92, "#,##0") &amp; " KRW (" &amp; TEXT($H$92, "0.00%)")</f>
        <v>366,122 KRW (13.19%)</v>
      </c>
      <c r="H4" s="225"/>
      <c r="I4" s="226"/>
      <c r="J4" s="224" t="str">
        <f ca="1" xml:space="preserve"> TEXT($L$92, "#,##0") &amp; " KRW (" &amp; TEXT($K$92, "0.00%)")</f>
        <v>910,490 KRW (32.81%)</v>
      </c>
      <c r="K4" s="225"/>
      <c r="L4" s="226"/>
      <c r="M4" s="224" t="str">
        <f ca="1" xml:space="preserve"> TEXT($O$92, "#,##0") &amp; " KRW (" &amp; TEXT($N$92, "0.00%)")</f>
        <v>625,053 KRW (22.52%)</v>
      </c>
      <c r="N4" s="225"/>
      <c r="O4" s="226"/>
    </row>
    <row r="5" spans="1:15" ht="16.5" customHeight="1">
      <c r="A5" s="261">
        <v>2</v>
      </c>
      <c r="B5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엽전코인 Top20</v>
      </c>
      <c r="C5" s="233"/>
      <c r="D5" s="231" t="s">
        <v>289</v>
      </c>
      <c r="E5" s="232"/>
      <c r="F5" s="233"/>
      <c r="G5" s="231" t="s">
        <v>296</v>
      </c>
      <c r="H5" s="232"/>
      <c r="I5" s="233"/>
      <c r="J5" s="231" t="s">
        <v>303</v>
      </c>
      <c r="K5" s="232"/>
      <c r="L5" s="233"/>
      <c r="M5" s="231" t="s">
        <v>310</v>
      </c>
      <c r="N5" s="232"/>
      <c r="O5" s="233"/>
    </row>
    <row r="6" spans="1:15" ht="16.5" customHeight="1" thickBot="1">
      <c r="A6" s="262"/>
      <c r="B6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910,490 KRW (32.81%)</v>
      </c>
      <c r="C6" s="226"/>
      <c r="D6" s="224" t="str">
        <f ca="1" xml:space="preserve"> TEXT($F$130, "#,##0") &amp; " KRW (" &amp; TEXT($E$130, "0.00%)")</f>
        <v>380,333 KRW (12.68%)</v>
      </c>
      <c r="E6" s="225"/>
      <c r="F6" s="226"/>
      <c r="G6" s="224" t="str">
        <f ca="1" xml:space="preserve"> TEXT($I$130, "#,##0") &amp; " KRW (" &amp; TEXT($H$130, "0.00%)")</f>
        <v>478,762 KRW (15.96%)</v>
      </c>
      <c r="H6" s="225"/>
      <c r="I6" s="226"/>
      <c r="J6" s="224" t="str">
        <f ca="1" xml:space="preserve"> TEXT($L$130, "#,##0") &amp; " KRW (" &amp; TEXT($K$130, "0.00%)")</f>
        <v>667,096 KRW (22.24%)</v>
      </c>
      <c r="K6" s="225"/>
      <c r="L6" s="226"/>
      <c r="M6" s="224" t="str">
        <f ca="1" xml:space="preserve"> TEXT($O$130, "#,##0") &amp; " KRW (" &amp; TEXT($N$130, "0.00%)")</f>
        <v>437,869 KRW (14.60%)</v>
      </c>
      <c r="N6" s="225"/>
      <c r="O6" s="226"/>
    </row>
    <row r="7" spans="1:15" ht="16.5" customHeight="1">
      <c r="A7" s="261">
        <v>3</v>
      </c>
      <c r="B7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동전코인 Bottom20</v>
      </c>
      <c r="C7" s="233"/>
      <c r="D7" s="231" t="s">
        <v>290</v>
      </c>
      <c r="E7" s="232"/>
      <c r="F7" s="233"/>
      <c r="G7" s="231" t="s">
        <v>297</v>
      </c>
      <c r="H7" s="232"/>
      <c r="I7" s="233"/>
      <c r="J7" s="231" t="s">
        <v>304</v>
      </c>
      <c r="K7" s="232"/>
      <c r="L7" s="233"/>
      <c r="M7" s="231" t="s">
        <v>311</v>
      </c>
      <c r="N7" s="232"/>
      <c r="O7" s="233"/>
    </row>
    <row r="8" spans="1:15" ht="16.5" customHeight="1" thickBot="1">
      <c r="A8" s="262"/>
      <c r="B8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749,094 KRW (24.97%)</v>
      </c>
      <c r="C8" s="226"/>
      <c r="D8" s="224" t="str">
        <f ca="1" xml:space="preserve"> TEXT($F$206, "#,##0") &amp; " KRW (" &amp; TEXT($E$206, "0.00%)")</f>
        <v>127,676 KRW (4.60%)</v>
      </c>
      <c r="E8" s="225"/>
      <c r="F8" s="226"/>
      <c r="G8" s="224" t="str">
        <f ca="1" xml:space="preserve"> TEXT($I$206, "#,##0") &amp; " KRW (" &amp; TEXT($H$206, "0.00%)")</f>
        <v>366,122 KRW (13.19%)</v>
      </c>
      <c r="H8" s="225"/>
      <c r="I8" s="226"/>
      <c r="J8" s="224" t="str">
        <f ca="1" xml:space="preserve"> TEXT($L$206, "#,##0") &amp; " KRW (" &amp; TEXT($K$206, "0.00%)")</f>
        <v>910,490 KRW (32.81%)</v>
      </c>
      <c r="K8" s="225"/>
      <c r="L8" s="226"/>
      <c r="M8" s="224" t="str">
        <f ca="1" xml:space="preserve"> TEXT($O$206, "#,##0") &amp; " KRW (" &amp; TEXT($N$206, "0.00%)")</f>
        <v>625,053 KRW (22.52%)</v>
      </c>
      <c r="N8" s="225"/>
      <c r="O8" s="226"/>
    </row>
    <row r="9" spans="1:15" ht="16.5" customHeight="1">
      <c r="A9" s="261">
        <v>4</v>
      </c>
      <c r="B9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동전코인 Top20</v>
      </c>
      <c r="C9" s="233"/>
      <c r="D9" s="231" t="s">
        <v>291</v>
      </c>
      <c r="E9" s="232"/>
      <c r="F9" s="233"/>
      <c r="G9" s="231" t="s">
        <v>298</v>
      </c>
      <c r="H9" s="232"/>
      <c r="I9" s="233"/>
      <c r="J9" s="231" t="s">
        <v>305</v>
      </c>
      <c r="K9" s="232"/>
      <c r="L9" s="233"/>
      <c r="M9" s="231" t="s">
        <v>312</v>
      </c>
      <c r="N9" s="232"/>
      <c r="O9" s="233"/>
    </row>
    <row r="10" spans="1:15" ht="16.5" customHeight="1" thickBot="1">
      <c r="A10" s="262"/>
      <c r="B10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667,096 KRW (22.24%)</v>
      </c>
      <c r="C10" s="226"/>
      <c r="D10" s="224" t="str">
        <f ca="1" xml:space="preserve"> TEXT($F$244, "#,##0") &amp; " KRW (" &amp; TEXT($E$244, "0.00%)")</f>
        <v>442,306 KRW (14.74%)</v>
      </c>
      <c r="E10" s="225"/>
      <c r="F10" s="226"/>
      <c r="G10" s="224" t="str">
        <f ca="1" xml:space="preserve"> TEXT($I$244, "#,##0") &amp; " KRW (" &amp; TEXT($H$244, "0.00%)")</f>
        <v>497,580 KRW (16.59%)</v>
      </c>
      <c r="H10" s="225"/>
      <c r="I10" s="226"/>
      <c r="J10" s="224" t="str">
        <f ca="1" xml:space="preserve"> TEXT($L$244, "#,##0") &amp; " KRW (" &amp; TEXT($K$244, "0.00%)")</f>
        <v>749,094 KRW (24.97%)</v>
      </c>
      <c r="K10" s="225"/>
      <c r="L10" s="226"/>
      <c r="M10" s="224" t="str">
        <f ca="1" xml:space="preserve"> TEXT($O$244, "#,##0") &amp; " KRW (" &amp; TEXT($N$244, "0.00%)")</f>
        <v>506,858 KRW (16.90%)</v>
      </c>
      <c r="N10" s="225"/>
      <c r="O10" s="226"/>
    </row>
    <row r="11" spans="1:15" ht="16.5" customHeight="1">
      <c r="A11" s="261">
        <v>5</v>
      </c>
      <c r="B11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엽전코인 Top20</v>
      </c>
      <c r="C11" s="233"/>
      <c r="D11" s="231" t="s">
        <v>292</v>
      </c>
      <c r="E11" s="232"/>
      <c r="F11" s="233"/>
      <c r="G11" s="231" t="s">
        <v>299</v>
      </c>
      <c r="H11" s="232"/>
      <c r="I11" s="233"/>
      <c r="J11" s="231" t="s">
        <v>306</v>
      </c>
      <c r="K11" s="232"/>
      <c r="L11" s="233"/>
      <c r="M11" s="231" t="s">
        <v>313</v>
      </c>
      <c r="N11" s="232"/>
      <c r="O11" s="233"/>
    </row>
    <row r="12" spans="1:15" ht="16.5" customHeight="1" thickBot="1">
      <c r="A12" s="262"/>
      <c r="B12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625,053 KRW (22.52%)</v>
      </c>
      <c r="C12" s="226"/>
      <c r="D12" s="224" t="str">
        <f ca="1" xml:space="preserve"> TEXT($F$168, "#,##0") &amp; " KRW (" &amp; TEXT($E$168, "0.00%)")</f>
        <v>223,388 KRW (7.45%)</v>
      </c>
      <c r="E12" s="225"/>
      <c r="F12" s="226"/>
      <c r="G12" s="224" t="str">
        <f ca="1" xml:space="preserve"> TEXT($I$168, "#,##0") &amp; " KRW (" &amp; TEXT($H$168, "0.00%)")</f>
        <v>453,359 KRW (15.11%)</v>
      </c>
      <c r="H12" s="225"/>
      <c r="I12" s="226"/>
      <c r="J12" s="224" t="str">
        <f ca="1" xml:space="preserve"> TEXT($L$168, "#,##0") &amp; " KRW (" &amp; TEXT($K$168, "0.00%)")</f>
        <v>597,055 KRW (19.90%)</v>
      </c>
      <c r="K12" s="225"/>
      <c r="L12" s="226"/>
      <c r="M12" s="224" t="str">
        <f ca="1" xml:space="preserve"> TEXT($O$168, "#,##0") &amp; " KRW (" &amp; TEXT($N$168, "0.00%)")</f>
        <v>346,568 KRW (11.55%)</v>
      </c>
      <c r="N12" s="225"/>
      <c r="O12" s="226"/>
    </row>
    <row r="13" spans="1:15" ht="16.5" customHeight="1">
      <c r="A13" s="261">
        <v>6</v>
      </c>
      <c r="B13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엽전코인 Top20</v>
      </c>
      <c r="C13" s="233"/>
      <c r="D13" s="231" t="s">
        <v>293</v>
      </c>
      <c r="E13" s="232"/>
      <c r="F13" s="233"/>
      <c r="G13" s="231" t="s">
        <v>300</v>
      </c>
      <c r="H13" s="232"/>
      <c r="I13" s="233"/>
      <c r="J13" s="231" t="s">
        <v>307</v>
      </c>
      <c r="K13" s="232"/>
      <c r="L13" s="233"/>
      <c r="M13" s="231" t="s">
        <v>314</v>
      </c>
      <c r="N13" s="232"/>
      <c r="O13" s="233"/>
    </row>
    <row r="14" spans="1:15" ht="16.5" customHeight="1" thickBot="1">
      <c r="A14" s="262"/>
      <c r="B14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625,053 KRW (22.52%)</v>
      </c>
      <c r="C14" s="226"/>
      <c r="D14" s="224" t="str">
        <f ca="1" xml:space="preserve"> TEXT($F$282, "#,##0") &amp; " KRW (" &amp; TEXT($E$282, "0.00%)")</f>
        <v>304,341 KRW (10.14%)</v>
      </c>
      <c r="E14" s="225"/>
      <c r="F14" s="226"/>
      <c r="G14" s="224" t="str">
        <f ca="1" xml:space="preserve"> TEXT($I$282, "#,##0") &amp; " KRW (" &amp; TEXT($H$282, "0.00%)")</f>
        <v>373,987 KRW (12.47%)</v>
      </c>
      <c r="H14" s="225"/>
      <c r="I14" s="226"/>
      <c r="J14" s="224" t="str">
        <f ca="1" xml:space="preserve"> TEXT($L$282, "#,##0") &amp; " KRW (" &amp; TEXT($K$282, "0.00%)")</f>
        <v>584,597 KRW (19.49%)</v>
      </c>
      <c r="K14" s="225"/>
      <c r="L14" s="226"/>
      <c r="M14" s="224" t="str">
        <f ca="1" xml:space="preserve"> TEXT($O$282, "#,##0") &amp; " KRW (" &amp; TEXT($N$282, "0.00%)")</f>
        <v>444,352 KRW (14.81%)</v>
      </c>
      <c r="N14" s="225"/>
      <c r="O14" s="226"/>
    </row>
    <row r="15" spans="1:15" ht="16.5" customHeight="1">
      <c r="A15" s="261">
        <v>7</v>
      </c>
      <c r="B15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전일대비 상승률 Top20</v>
      </c>
      <c r="C15" s="233"/>
      <c r="D15" s="231" t="s">
        <v>294</v>
      </c>
      <c r="E15" s="232"/>
      <c r="F15" s="233"/>
      <c r="G15" s="231" t="s">
        <v>301</v>
      </c>
      <c r="H15" s="232"/>
      <c r="I15" s="233"/>
      <c r="J15" s="231" t="s">
        <v>308</v>
      </c>
      <c r="K15" s="232"/>
      <c r="L15" s="233"/>
      <c r="M15" s="231" t="s">
        <v>315</v>
      </c>
      <c r="N15" s="232"/>
      <c r="O15" s="233"/>
    </row>
    <row r="16" spans="1:15" ht="16.5" customHeight="1" thickBot="1">
      <c r="A16" s="262"/>
      <c r="B16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597,055 KRW (19.90%)</v>
      </c>
      <c r="C16" s="226"/>
      <c r="D16" s="224" t="str">
        <f ca="1" xml:space="preserve"> TEXT($F$54, "#,##0") &amp; " KRW (" &amp; TEXT($E$54, "0.00%)")</f>
        <v>0 KRW (0.00%)</v>
      </c>
      <c r="E16" s="225"/>
      <c r="F16" s="226"/>
      <c r="G16" s="224" t="str">
        <f ca="1" xml:space="preserve"> TEXT($I$54, "#,##0") &amp; " KRW (" &amp; TEXT($H$54, "0.00%)")</f>
        <v>0 KRW (0.00%)</v>
      </c>
      <c r="H16" s="225"/>
      <c r="I16" s="226"/>
      <c r="J16" s="224" t="str">
        <f ca="1" xml:space="preserve"> TEXT($L$54, "#,##0") &amp; " KRW (" &amp; TEXT($K$54, "0.00%)")</f>
        <v>0 KRW (0.00%)</v>
      </c>
      <c r="K16" s="225"/>
      <c r="L16" s="226"/>
      <c r="M16" s="224" t="str">
        <f ca="1" xml:space="preserve"> TEXT($O$54, "#,##0") &amp; " KRW (" &amp; TEXT($N$54, "0.00%)")</f>
        <v>0 KRW (0.00%)</v>
      </c>
      <c r="N16" s="225"/>
      <c r="O16" s="226"/>
    </row>
    <row r="18" spans="1:15" ht="16.5" customHeight="1" thickBot="1"/>
    <row r="19" spans="1:15" ht="16.5" customHeight="1" thickBot="1">
      <c r="A19" s="203" t="str">
        <f>TEXT(투자전략!$G$1, "[$-ko-KR]yyyy년 mm월 ") &amp; "실거래 월말결산"</f>
        <v>2021년 10월 실거래 월말결산</v>
      </c>
      <c r="B19" s="204"/>
      <c r="C19" s="204"/>
      <c r="D19" s="204"/>
      <c r="E19" s="204"/>
      <c r="F19" s="204"/>
      <c r="G19" s="204"/>
      <c r="H19" s="204"/>
      <c r="I19" s="204"/>
      <c r="J19" s="204"/>
      <c r="K19" s="204"/>
      <c r="L19" s="204"/>
      <c r="M19" s="204"/>
      <c r="N19" s="204"/>
      <c r="O19" s="205"/>
    </row>
    <row r="20" spans="1:15" ht="16.5" customHeight="1" thickBot="1">
      <c r="A20" s="247" t="s">
        <v>282</v>
      </c>
      <c r="B20" s="224" t="s">
        <v>280</v>
      </c>
      <c r="C20" s="226"/>
      <c r="D20" s="224" t="s">
        <v>272</v>
      </c>
      <c r="E20" s="225"/>
      <c r="F20" s="226"/>
      <c r="G20" s="224" t="s">
        <v>273</v>
      </c>
      <c r="H20" s="225"/>
      <c r="I20" s="226"/>
      <c r="J20" s="224" t="s">
        <v>274</v>
      </c>
      <c r="K20" s="225"/>
      <c r="L20" s="226"/>
      <c r="M20" s="224" t="s">
        <v>275</v>
      </c>
      <c r="N20" s="225"/>
      <c r="O20" s="226"/>
    </row>
    <row r="21" spans="1:15" ht="16.5" customHeight="1" thickBot="1">
      <c r="A21" s="240"/>
      <c r="B21" s="146" t="s">
        <v>270</v>
      </c>
      <c r="C21" s="146" t="s">
        <v>42</v>
      </c>
      <c r="D21" s="121" t="s">
        <v>271</v>
      </c>
      <c r="E21" s="133" t="s">
        <v>40</v>
      </c>
      <c r="F21" s="149" t="s">
        <v>41</v>
      </c>
      <c r="G21" s="121" t="s">
        <v>271</v>
      </c>
      <c r="H21" s="133" t="s">
        <v>40</v>
      </c>
      <c r="I21" s="149" t="s">
        <v>41</v>
      </c>
      <c r="J21" s="121" t="s">
        <v>271</v>
      </c>
      <c r="K21" s="133" t="s">
        <v>40</v>
      </c>
      <c r="L21" s="149" t="s">
        <v>41</v>
      </c>
      <c r="M21" s="121" t="s">
        <v>271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2021.10.01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2021.10.02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2021.10.03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2021.10.04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2021.10.05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2021.10.06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2021.10.07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2021.10.08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2021.10.09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2021.10.10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2021.10.11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2021.10.12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2021.10.13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2021.10.14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2021.10.15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2021.10.16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2021.10.17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2021.10.18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2021.10.19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2021.10.20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2021.10.21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2021.10.22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2021.10.23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2021.10.24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2021.10.25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2021.10.26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2021.10.27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2021.10.28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2021.10.29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2021.10.30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31" t="s">
        <v>281</v>
      </c>
      <c r="B53" s="233"/>
      <c r="C53" s="132" t="s">
        <v>276</v>
      </c>
      <c r="D53" s="143" t="s">
        <v>277</v>
      </c>
      <c r="E53" s="144" t="s">
        <v>278</v>
      </c>
      <c r="F53" s="145" t="s">
        <v>279</v>
      </c>
      <c r="G53" s="143" t="s">
        <v>277</v>
      </c>
      <c r="H53" s="144" t="s">
        <v>278</v>
      </c>
      <c r="I53" s="145" t="s">
        <v>279</v>
      </c>
      <c r="J53" s="143" t="s">
        <v>277</v>
      </c>
      <c r="K53" s="144" t="s">
        <v>278</v>
      </c>
      <c r="L53" s="145" t="s">
        <v>279</v>
      </c>
      <c r="M53" s="143" t="s">
        <v>277</v>
      </c>
      <c r="N53" s="144" t="s">
        <v>278</v>
      </c>
      <c r="O53" s="145" t="s">
        <v>279</v>
      </c>
    </row>
    <row r="54" spans="1:15" ht="16.5" customHeight="1" thickBot="1">
      <c r="A54" s="224"/>
      <c r="B54" s="226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03" t="str">
        <f>TEXT(투자전략!$G$1, "[$-ko-KR]yyyy년 mm월 ") &amp; "[엽전코인] 전일대비 상승률 Top20 월말결산"</f>
        <v>2021년 10월 [엽전코인] 전일대비 상승률 Top20 월말결산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204"/>
      <c r="M57" s="204"/>
      <c r="N57" s="204"/>
      <c r="O57" s="205"/>
    </row>
    <row r="58" spans="1:15" ht="16.5" customHeight="1" thickBot="1">
      <c r="A58" s="247" t="s">
        <v>282</v>
      </c>
      <c r="B58" s="224" t="s">
        <v>280</v>
      </c>
      <c r="C58" s="226"/>
      <c r="D58" s="224" t="s">
        <v>272</v>
      </c>
      <c r="E58" s="225"/>
      <c r="F58" s="226"/>
      <c r="G58" s="224" t="s">
        <v>273</v>
      </c>
      <c r="H58" s="225"/>
      <c r="I58" s="226"/>
      <c r="J58" s="224" t="s">
        <v>274</v>
      </c>
      <c r="K58" s="225"/>
      <c r="L58" s="226"/>
      <c r="M58" s="224" t="s">
        <v>275</v>
      </c>
      <c r="N58" s="225"/>
      <c r="O58" s="226"/>
    </row>
    <row r="59" spans="1:15" ht="16.5" customHeight="1" thickBot="1">
      <c r="A59" s="240"/>
      <c r="B59" s="154" t="s">
        <v>270</v>
      </c>
      <c r="C59" s="154" t="s">
        <v>42</v>
      </c>
      <c r="D59" s="121" t="s">
        <v>271</v>
      </c>
      <c r="E59" s="133" t="s">
        <v>40</v>
      </c>
      <c r="F59" s="156" t="s">
        <v>41</v>
      </c>
      <c r="G59" s="121" t="s">
        <v>271</v>
      </c>
      <c r="H59" s="133" t="s">
        <v>40</v>
      </c>
      <c r="I59" s="156" t="s">
        <v>41</v>
      </c>
      <c r="J59" s="121" t="s">
        <v>271</v>
      </c>
      <c r="K59" s="133" t="s">
        <v>40</v>
      </c>
      <c r="L59" s="156" t="s">
        <v>41</v>
      </c>
      <c r="M59" s="121" t="s">
        <v>271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2021.10.01</v>
      </c>
      <c r="C60" s="134">
        <f ca="1">IFERROR(COUNTA(INDIRECT($B60&amp;"!A44:A63")) * INDIRECT($B60&amp;"!B64"), "")</f>
        <v>3000000</v>
      </c>
      <c r="D60" s="142">
        <f ca="1">IFERROR($C60 * (1 + E60), "")</f>
        <v>3022673.7634750791</v>
      </c>
      <c r="E60" s="76">
        <f ca="1">IFERROR(INDIRECT($B60&amp;"!E64"), "")</f>
        <v>7.5579211583596028E-3</v>
      </c>
      <c r="F60" s="141">
        <f ca="1">IFERROR(INDIRECT($B60&amp;"!F64"), "")</f>
        <v>22673.763475078809</v>
      </c>
      <c r="G60" s="142">
        <f ca="1">IFERROR($C60 * (1 + H60), "")</f>
        <v>3064558.229055441</v>
      </c>
      <c r="H60" s="76">
        <f ca="1">IFERROR(INDIRECT($B60&amp;"!H64"), "")</f>
        <v>2.1519409685146991E-2</v>
      </c>
      <c r="I60" s="141">
        <f ca="1">IFERROR(INDIRECT($B60&amp;"!I64"), "")</f>
        <v>64558.22905544097</v>
      </c>
      <c r="J60" s="142">
        <f ca="1">IFERROR($C60 * (1 + K60), "")</f>
        <v>3155678.4631958157</v>
      </c>
      <c r="K60" s="76">
        <f ca="1">IFERROR(INDIRECT($B60&amp;"!K64"), "")</f>
        <v>5.1892821065271821E-2</v>
      </c>
      <c r="L60" s="141">
        <f ca="1">IFERROR(INDIRECT($B60&amp;"!L64"), "")</f>
        <v>155678.46319581548</v>
      </c>
      <c r="M60" s="142">
        <f ca="1">IFERROR($C60 * (1 + N60), "")</f>
        <v>3132605.4671471957</v>
      </c>
      <c r="N60" s="76">
        <f ca="1">IFERROR(INDIRECT($B60&amp;"!N64"), "")</f>
        <v>4.4201822382398649E-2</v>
      </c>
      <c r="O60" s="141">
        <f ca="1">IFERROR(INDIRECT($B60&amp;"!O64"), "")</f>
        <v>132605.46714719594</v>
      </c>
    </row>
    <row r="61" spans="1:15" ht="16.5" customHeight="1">
      <c r="A61" s="153">
        <v>2</v>
      </c>
      <c r="B61" s="153" t="str">
        <f>TEXT(투자전략!$G$1+1, "[$-ko-KR]yyyy.mm.dd")</f>
        <v>2021.10.02</v>
      </c>
      <c r="C61" s="135">
        <f t="shared" ref="C61:C90" ca="1" si="13">IFERROR(COUNTA(INDIRECT($B61&amp;"!A44:A63")) * INDIRECT($B61&amp;"!B64"), "")</f>
        <v>2850000</v>
      </c>
      <c r="D61" s="139">
        <f t="shared" ref="D61:D90" ca="1" si="14">IFERROR($C61 * (1 + E61), "")</f>
        <v>2888611.8235641429</v>
      </c>
      <c r="E61" s="77">
        <f t="shared" ref="E61:E90" ca="1" si="15">IFERROR(INDIRECT($B61&amp;"!E64"), "")</f>
        <v>1.3548008268120365E-2</v>
      </c>
      <c r="F61" s="137">
        <f t="shared" ref="F61:F90" ca="1" si="16">IFERROR(INDIRECT($B61&amp;"!F64"), "")</f>
        <v>38611.823564143029</v>
      </c>
      <c r="G61" s="139">
        <f t="shared" ref="G61:G90" ca="1" si="17">IFERROR($C61 * (1 + H61), "")</f>
        <v>2928165.7049459652</v>
      </c>
      <c r="H61" s="77">
        <f t="shared" ref="H61:H90" ca="1" si="18">IFERROR(INDIRECT($B61&amp;"!H64"), "")</f>
        <v>2.7426563138935246E-2</v>
      </c>
      <c r="I61" s="137">
        <f t="shared" ref="I61:I90" ca="1" si="19">IFERROR(INDIRECT($B61&amp;"!I64"), "")</f>
        <v>78165.704945965437</v>
      </c>
      <c r="J61" s="139">
        <f t="shared" ref="J61:J90" ca="1" si="20">IFERROR($C61 * (1 + K61), "")</f>
        <v>2929249.1452435842</v>
      </c>
      <c r="K61" s="77">
        <f t="shared" ref="K61:K90" ca="1" si="21">IFERROR(INDIRECT($B61&amp;"!K64"), "")</f>
        <v>2.7806717629327807E-2</v>
      </c>
      <c r="L61" s="137">
        <f t="shared" ref="L61:L90" ca="1" si="22">IFERROR(INDIRECT($B61&amp;"!L64"), "")</f>
        <v>79249.145243584237</v>
      </c>
      <c r="M61" s="139">
        <f t="shared" ref="M61:M90" ca="1" si="23">IFERROR($C61 * (1 + N61), "")</f>
        <v>2968058.3105054605</v>
      </c>
      <c r="N61" s="77">
        <f t="shared" ref="N61:N90" ca="1" si="24">IFERROR(INDIRECT($B61&amp;"!N64"), "")</f>
        <v>4.1423968598407336E-2</v>
      </c>
      <c r="O61" s="137">
        <f t="shared" ref="O61:O90" ca="1" si="25">IFERROR(INDIRECT($B61&amp;"!O64"), "")</f>
        <v>118058.31050546089</v>
      </c>
    </row>
    <row r="62" spans="1:15" ht="16.5" customHeight="1">
      <c r="A62" s="153">
        <v>3</v>
      </c>
      <c r="B62" s="153" t="str">
        <f>TEXT(투자전략!$G$1+2, "[$-ko-KR]yyyy.mm.dd")</f>
        <v>2021.10.03</v>
      </c>
      <c r="C62" s="135">
        <f t="shared" ca="1" si="13"/>
        <v>2700000</v>
      </c>
      <c r="D62" s="139">
        <f t="shared" ca="1" si="14"/>
        <v>2683228.9422256132</v>
      </c>
      <c r="E62" s="77">
        <f t="shared" ca="1" si="15"/>
        <v>-6.2115028794025437E-3</v>
      </c>
      <c r="F62" s="137">
        <f t="shared" ca="1" si="16"/>
        <v>-16771.057774386867</v>
      </c>
      <c r="G62" s="139">
        <f t="shared" ca="1" si="17"/>
        <v>2657695.6908372315</v>
      </c>
      <c r="H62" s="77">
        <f t="shared" ca="1" si="18"/>
        <v>-1.5668262652877192E-2</v>
      </c>
      <c r="I62" s="137">
        <f t="shared" ca="1" si="19"/>
        <v>-42304.309162768404</v>
      </c>
      <c r="J62" s="139">
        <f t="shared" ca="1" si="20"/>
        <v>2661841.2127404124</v>
      </c>
      <c r="K62" s="77">
        <f t="shared" ca="1" si="21"/>
        <v>-1.4132884170217682E-2</v>
      </c>
      <c r="L62" s="137">
        <f t="shared" ca="1" si="22"/>
        <v>-38158.787259587742</v>
      </c>
      <c r="M62" s="139">
        <f t="shared" ca="1" si="23"/>
        <v>2675010.5767129301</v>
      </c>
      <c r="N62" s="77">
        <f t="shared" ca="1" si="24"/>
        <v>-9.2553419581740178E-3</v>
      </c>
      <c r="O62" s="137">
        <f t="shared" ca="1" si="25"/>
        <v>-24989.423287069851</v>
      </c>
    </row>
    <row r="63" spans="1:15" ht="16.5" customHeight="1">
      <c r="A63" s="153">
        <v>4</v>
      </c>
      <c r="B63" s="153" t="str">
        <f>TEXT(투자전략!$G$1+3, "[$-ko-KR]yyyy.mm.dd")</f>
        <v>2021.10.04</v>
      </c>
      <c r="C63" s="135">
        <f t="shared" ca="1" si="13"/>
        <v>2700000</v>
      </c>
      <c r="D63" s="139">
        <f t="shared" ca="1" si="14"/>
        <v>2648688.9265503576</v>
      </c>
      <c r="E63" s="77">
        <f t="shared" ca="1" si="15"/>
        <v>-1.9004101277645267E-2</v>
      </c>
      <c r="F63" s="137">
        <f t="shared" ca="1" si="16"/>
        <v>-51311.073449642216</v>
      </c>
      <c r="G63" s="139">
        <f t="shared" ca="1" si="17"/>
        <v>2633409.6215201975</v>
      </c>
      <c r="H63" s="77">
        <f t="shared" ca="1" si="18"/>
        <v>-2.4663103140667601E-2</v>
      </c>
      <c r="I63" s="137">
        <f t="shared" ca="1" si="19"/>
        <v>-66590.378479802515</v>
      </c>
      <c r="J63" s="139">
        <f t="shared" ca="1" si="20"/>
        <v>2623552.0503208702</v>
      </c>
      <c r="K63" s="77">
        <f t="shared" ca="1" si="21"/>
        <v>-2.8314055436714749E-2</v>
      </c>
      <c r="L63" s="137">
        <f t="shared" ca="1" si="22"/>
        <v>-76447.949679129844</v>
      </c>
      <c r="M63" s="139">
        <f t="shared" ca="1" si="23"/>
        <v>2614382.8510023346</v>
      </c>
      <c r="N63" s="77">
        <f t="shared" ca="1" si="24"/>
        <v>-3.1710055184320504E-2</v>
      </c>
      <c r="O63" s="137">
        <f t="shared" ca="1" si="25"/>
        <v>-85617.148997665354</v>
      </c>
    </row>
    <row r="64" spans="1:15" ht="16.5" customHeight="1">
      <c r="A64" s="153">
        <v>5</v>
      </c>
      <c r="B64" s="153" t="str">
        <f>TEXT(투자전략!$G$1+4, "[$-ko-KR]yyyy.mm.dd")</f>
        <v>2021.10.05</v>
      </c>
      <c r="C64" s="135">
        <f t="shared" ca="1" si="13"/>
        <v>2850000</v>
      </c>
      <c r="D64" s="139">
        <f t="shared" ca="1" si="14"/>
        <v>2917012.5551407062</v>
      </c>
      <c r="E64" s="77">
        <f t="shared" ca="1" si="15"/>
        <v>2.3513177242353155E-2</v>
      </c>
      <c r="F64" s="137">
        <f t="shared" ca="1" si="16"/>
        <v>67012.555140706507</v>
      </c>
      <c r="G64" s="139">
        <f t="shared" ca="1" si="17"/>
        <v>3108369.1364201908</v>
      </c>
      <c r="H64" s="77">
        <f t="shared" ca="1" si="18"/>
        <v>9.0655837340417739E-2</v>
      </c>
      <c r="I64" s="137">
        <f t="shared" ca="1" si="19"/>
        <v>258369.13642019057</v>
      </c>
      <c r="J64" s="139">
        <f t="shared" ca="1" si="20"/>
        <v>3547360.5236464958</v>
      </c>
      <c r="K64" s="77">
        <f t="shared" ca="1" si="21"/>
        <v>0.24468790303385832</v>
      </c>
      <c r="L64" s="137">
        <f t="shared" ca="1" si="22"/>
        <v>697360.523646496</v>
      </c>
      <c r="M64" s="139">
        <f t="shared" ca="1" si="23"/>
        <v>3334995.9233449167</v>
      </c>
      <c r="N64" s="77">
        <f t="shared" ca="1" si="24"/>
        <v>0.17017400819119885</v>
      </c>
      <c r="O64" s="137">
        <f t="shared" ca="1" si="25"/>
        <v>484995.92334491666</v>
      </c>
    </row>
    <row r="65" spans="1:15" ht="16.5" customHeight="1">
      <c r="A65" s="153">
        <v>6</v>
      </c>
      <c r="B65" s="153" t="str">
        <f>TEXT(투자전략!$G$1+5, "[$-ko-KR]yyyy.mm.dd")</f>
        <v>2021.10.06</v>
      </c>
      <c r="C65" s="135">
        <f t="shared" ca="1" si="13"/>
        <v>2550000</v>
      </c>
      <c r="D65" s="139">
        <f t="shared" ca="1" si="14"/>
        <v>2617459.5564580155</v>
      </c>
      <c r="E65" s="77">
        <f t="shared" ca="1" si="15"/>
        <v>2.6454728022751169E-2</v>
      </c>
      <c r="F65" s="137">
        <f t="shared" ca="1" si="16"/>
        <v>67459.55645801549</v>
      </c>
      <c r="G65" s="139">
        <f t="shared" ca="1" si="17"/>
        <v>2623923.5626488305</v>
      </c>
      <c r="H65" s="77">
        <f t="shared" ca="1" si="18"/>
        <v>2.8989632411306171E-2</v>
      </c>
      <c r="I65" s="137">
        <f t="shared" ca="1" si="19"/>
        <v>73923.562648830746</v>
      </c>
      <c r="J65" s="139">
        <f t="shared" ca="1" si="20"/>
        <v>2642808.8525642725</v>
      </c>
      <c r="K65" s="77">
        <f t="shared" ca="1" si="21"/>
        <v>3.6395628456577379E-2</v>
      </c>
      <c r="L65" s="137">
        <f t="shared" ca="1" si="22"/>
        <v>92808.852564272311</v>
      </c>
      <c r="M65" s="139">
        <f t="shared" ca="1" si="23"/>
        <v>2550000</v>
      </c>
      <c r="N65" s="77">
        <f t="shared" ca="1" si="24"/>
        <v>0</v>
      </c>
      <c r="O65" s="137">
        <f t="shared" ca="1" si="25"/>
        <v>0</v>
      </c>
    </row>
    <row r="66" spans="1:15" ht="16.5" customHeight="1" thickBot="1">
      <c r="A66" s="155">
        <v>7</v>
      </c>
      <c r="B66" s="155" t="str">
        <f>TEXT(투자전략!$G$1+6, "[$-ko-KR]yyyy.mm.dd")</f>
        <v>2021.10.07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2021.10.08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2021.10.09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2021.10.10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2021.10.11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2021.10.12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2021.10.13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2021.10.14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2021.10.15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2021.10.16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2021.10.17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2021.10.18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2021.10.19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2021.10.20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2021.10.21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2021.10.22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2021.10.23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2021.10.24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2021.10.25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2021.10.26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2021.10.27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2021.10.28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2021.10.29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2021.10.30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31" t="s">
        <v>281</v>
      </c>
      <c r="B91" s="233"/>
      <c r="C91" s="132" t="s">
        <v>276</v>
      </c>
      <c r="D91" s="150" t="s">
        <v>277</v>
      </c>
      <c r="E91" s="151" t="s">
        <v>278</v>
      </c>
      <c r="F91" s="152" t="s">
        <v>279</v>
      </c>
      <c r="G91" s="150" t="s">
        <v>277</v>
      </c>
      <c r="H91" s="151" t="s">
        <v>278</v>
      </c>
      <c r="I91" s="152" t="s">
        <v>279</v>
      </c>
      <c r="J91" s="150" t="s">
        <v>277</v>
      </c>
      <c r="K91" s="151" t="s">
        <v>278</v>
      </c>
      <c r="L91" s="152" t="s">
        <v>279</v>
      </c>
      <c r="M91" s="150" t="s">
        <v>277</v>
      </c>
      <c r="N91" s="151" t="s">
        <v>278</v>
      </c>
      <c r="O91" s="152" t="s">
        <v>279</v>
      </c>
    </row>
    <row r="92" spans="1:15" ht="16.5" customHeight="1" thickBot="1">
      <c r="A92" s="224"/>
      <c r="B92" s="226"/>
      <c r="C92" s="136">
        <f ca="1">SUM(C60:C90)</f>
        <v>16650000</v>
      </c>
      <c r="D92" s="140">
        <f ca="1">SUM(D60:D90)</f>
        <v>16777675.567413915</v>
      </c>
      <c r="E92" s="79">
        <f ca="1">IFERROR(F92 / (SUM($C60:$C90) / COUNT($C60:$C90)), 0)</f>
        <v>4.6009213482491797E-2</v>
      </c>
      <c r="F92" s="138">
        <f ca="1">SUM(F60:F90)</f>
        <v>127675.56741391474</v>
      </c>
      <c r="G92" s="140">
        <f ca="1">SUM(G60:G90)</f>
        <v>17016121.945427857</v>
      </c>
      <c r="H92" s="79">
        <f ca="1">IFERROR(I92 / (SUM($C60:$C90) / COUNT($C60:$C90)), 0)</f>
        <v>0.13193583619021867</v>
      </c>
      <c r="I92" s="138">
        <f ca="1">SUM(I60:I90)</f>
        <v>366121.94542785682</v>
      </c>
      <c r="J92" s="140">
        <f ca="1">SUM(J60:J90)</f>
        <v>17560490.24771145</v>
      </c>
      <c r="K92" s="79">
        <f ca="1">IFERROR(L92 / (SUM($C60:$C90) / COUNT($C60:$C90)), 0)</f>
        <v>0.32810459376989204</v>
      </c>
      <c r="L92" s="138">
        <f ca="1">SUM(L60:L90)</f>
        <v>910490.24771145044</v>
      </c>
      <c r="M92" s="140">
        <f ca="1">SUM(M60:M90)</f>
        <v>17275053.12871284</v>
      </c>
      <c r="N92" s="79">
        <f ca="1">IFERROR(O92 / (SUM($C60:$C90) / COUNT($C60:$C90)), 0)</f>
        <v>0.22524437070732911</v>
      </c>
      <c r="O92" s="138">
        <f ca="1">SUM(O60:O90)</f>
        <v>625053.12871283828</v>
      </c>
    </row>
    <row r="94" spans="1:15" ht="16.5" customHeight="1" thickBot="1"/>
    <row r="95" spans="1:15" ht="16.5" customHeight="1" thickBot="1">
      <c r="A95" s="203" t="str">
        <f>TEXT(투자전략!$G$1, "[$-ko-KR]yyyy년 mm월 ") &amp; "[동전코인] 전일대비 상승률 Top20 월말결산"</f>
        <v>2021년 10월 [동전코인] 전일대비 상승률 Top20 월말결산</v>
      </c>
      <c r="B95" s="204"/>
      <c r="C95" s="204"/>
      <c r="D95" s="204"/>
      <c r="E95" s="204"/>
      <c r="F95" s="204"/>
      <c r="G95" s="204"/>
      <c r="H95" s="204"/>
      <c r="I95" s="204"/>
      <c r="J95" s="204"/>
      <c r="K95" s="204"/>
      <c r="L95" s="204"/>
      <c r="M95" s="204"/>
      <c r="N95" s="204"/>
      <c r="O95" s="205"/>
    </row>
    <row r="96" spans="1:15" ht="16.5" customHeight="1" thickBot="1">
      <c r="A96" s="247" t="s">
        <v>282</v>
      </c>
      <c r="B96" s="224" t="s">
        <v>280</v>
      </c>
      <c r="C96" s="226"/>
      <c r="D96" s="224" t="s">
        <v>272</v>
      </c>
      <c r="E96" s="225"/>
      <c r="F96" s="226"/>
      <c r="G96" s="224" t="s">
        <v>273</v>
      </c>
      <c r="H96" s="225"/>
      <c r="I96" s="226"/>
      <c r="J96" s="224" t="s">
        <v>274</v>
      </c>
      <c r="K96" s="225"/>
      <c r="L96" s="226"/>
      <c r="M96" s="224" t="s">
        <v>275</v>
      </c>
      <c r="N96" s="225"/>
      <c r="O96" s="226"/>
    </row>
    <row r="97" spans="1:15" ht="16.5" customHeight="1" thickBot="1">
      <c r="A97" s="240"/>
      <c r="B97" s="154" t="s">
        <v>270</v>
      </c>
      <c r="C97" s="154" t="s">
        <v>42</v>
      </c>
      <c r="D97" s="121" t="s">
        <v>271</v>
      </c>
      <c r="E97" s="133" t="s">
        <v>40</v>
      </c>
      <c r="F97" s="156" t="s">
        <v>41</v>
      </c>
      <c r="G97" s="121" t="s">
        <v>271</v>
      </c>
      <c r="H97" s="133" t="s">
        <v>40</v>
      </c>
      <c r="I97" s="156" t="s">
        <v>41</v>
      </c>
      <c r="J97" s="121" t="s">
        <v>271</v>
      </c>
      <c r="K97" s="133" t="s">
        <v>40</v>
      </c>
      <c r="L97" s="156" t="s">
        <v>41</v>
      </c>
      <c r="M97" s="121" t="s">
        <v>271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2021.10.01</v>
      </c>
      <c r="C98" s="134">
        <f ca="1">IFERROR(COUNTA(INDIRECT($B98&amp;"!A71:A90")) * INDIRECT($B98&amp;"!B91"), "")</f>
        <v>3000000</v>
      </c>
      <c r="D98" s="142">
        <f ca="1">IFERROR($C98 * (1 + E98), "")</f>
        <v>3123372.1209502923</v>
      </c>
      <c r="E98" s="76">
        <f ca="1">IFERROR(INDIRECT($B98&amp;"!E91"), "")</f>
        <v>4.1124040316764199E-2</v>
      </c>
      <c r="F98" s="141">
        <f ca="1">IFERROR(INDIRECT($B98&amp;"!F91"), "")</f>
        <v>123372.12095029259</v>
      </c>
      <c r="G98" s="142">
        <f ca="1">IFERROR($C98 * (1 + H98), "")</f>
        <v>3137462.0865730089</v>
      </c>
      <c r="H98" s="76">
        <f ca="1">IFERROR(INDIRECT($B98&amp;"!H91"), "")</f>
        <v>4.5820695524336368E-2</v>
      </c>
      <c r="I98" s="141">
        <f ca="1">IFERROR(INDIRECT($B98&amp;"!I91"), "")</f>
        <v>137462.08657300912</v>
      </c>
      <c r="J98" s="142">
        <f ca="1">IFERROR($C98 * (1 + K98), "")</f>
        <v>3223961.8495289623</v>
      </c>
      <c r="K98" s="76">
        <f ca="1">IFERROR(INDIRECT($B98&amp;"!K91"), "")</f>
        <v>7.465394984298751E-2</v>
      </c>
      <c r="L98" s="141">
        <f ca="1">IFERROR(INDIRECT($B98&amp;"!L91"), "")</f>
        <v>223961.84952896251</v>
      </c>
      <c r="M98" s="142">
        <f ca="1">IFERROR($C98 * (1 + N98), "")</f>
        <v>3216783.0691326289</v>
      </c>
      <c r="N98" s="76">
        <f ca="1">IFERROR(INDIRECT($B98&amp;"!N91"), "")</f>
        <v>7.2261023044209519E-2</v>
      </c>
      <c r="O98" s="141">
        <f ca="1">IFERROR(INDIRECT($B98&amp;"!O91"), "")</f>
        <v>216783.06913262856</v>
      </c>
    </row>
    <row r="99" spans="1:15" ht="16.5" customHeight="1">
      <c r="A99" s="153">
        <v>2</v>
      </c>
      <c r="B99" s="153" t="str">
        <f>TEXT(투자전략!$G$1+1, "[$-ko-KR]yyyy.mm.dd")</f>
        <v>2021.10.02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3087980.2257261891</v>
      </c>
      <c r="E99" s="77">
        <f t="shared" ref="E99:E128" ca="1" si="28">IFERROR(INDIRECT($B99&amp;"!E91"), "")</f>
        <v>2.9326741908729699E-2</v>
      </c>
      <c r="F99" s="137">
        <f t="shared" ref="F99:F128" ca="1" si="29">IFERROR(INDIRECT($B99&amp;"!F91"), "")</f>
        <v>87980.225726189092</v>
      </c>
      <c r="G99" s="139">
        <f t="shared" ref="G99:G128" ca="1" si="30">IFERROR($C99 * (1 + H99), "")</f>
        <v>3134546.471465339</v>
      </c>
      <c r="H99" s="77">
        <f t="shared" ref="H99:H128" ca="1" si="31">IFERROR(INDIRECT($B99&amp;"!H91"), "")</f>
        <v>4.4848823821779724E-2</v>
      </c>
      <c r="I99" s="137">
        <f t="shared" ref="I99:I128" ca="1" si="32">IFERROR(INDIRECT($B99&amp;"!I91"), "")</f>
        <v>134546.47146533916</v>
      </c>
      <c r="J99" s="139">
        <f t="shared" ref="J99:J128" ca="1" si="33">IFERROR($C99 * (1 + K99), "")</f>
        <v>3135267.3893213742</v>
      </c>
      <c r="K99" s="77">
        <f t="shared" ref="K99:K128" ca="1" si="34">IFERROR(INDIRECT($B99&amp;"!K91"), "")</f>
        <v>4.5089129773791391E-2</v>
      </c>
      <c r="L99" s="137">
        <f t="shared" ref="L99:L128" ca="1" si="35">IFERROR(INDIRECT($B99&amp;"!L91"), "")</f>
        <v>135267.38932137421</v>
      </c>
      <c r="M99" s="139">
        <f t="shared" ref="M99:M128" ca="1" si="36">IFERROR($C99 * (1 + N99), "")</f>
        <v>3187573.224314922</v>
      </c>
      <c r="N99" s="77">
        <f t="shared" ref="N99:N128" ca="1" si="37">IFERROR(INDIRECT($B99&amp;"!N91"), "")</f>
        <v>6.2524408104974102E-2</v>
      </c>
      <c r="O99" s="137">
        <f t="shared" ref="O99:O128" ca="1" si="38">IFERROR(INDIRECT($B99&amp;"!O91"), "")</f>
        <v>187573.22431492235</v>
      </c>
    </row>
    <row r="100" spans="1:15" ht="16.5" customHeight="1">
      <c r="A100" s="153">
        <v>3</v>
      </c>
      <c r="B100" s="153" t="str">
        <f>TEXT(투자전략!$G$1+2, "[$-ko-KR]yyyy.mm.dd")</f>
        <v>2021.10.03</v>
      </c>
      <c r="C100" s="135">
        <f t="shared" ca="1" si="26"/>
        <v>3000000</v>
      </c>
      <c r="D100" s="139">
        <f t="shared" ca="1" si="27"/>
        <v>3029413.6205478688</v>
      </c>
      <c r="E100" s="77">
        <f t="shared" ca="1" si="28"/>
        <v>9.804540182623004E-3</v>
      </c>
      <c r="F100" s="137">
        <f t="shared" ca="1" si="29"/>
        <v>29413.62054786901</v>
      </c>
      <c r="G100" s="139">
        <f t="shared" ca="1" si="30"/>
        <v>2995677.6249760692</v>
      </c>
      <c r="H100" s="77">
        <f t="shared" ca="1" si="31"/>
        <v>-1.4407916746435683E-3</v>
      </c>
      <c r="I100" s="137">
        <f t="shared" ca="1" si="32"/>
        <v>-4322.3750239307064</v>
      </c>
      <c r="J100" s="139">
        <f t="shared" ca="1" si="33"/>
        <v>3001311.1311627985</v>
      </c>
      <c r="K100" s="77">
        <f t="shared" ca="1" si="34"/>
        <v>4.3704372093290449E-4</v>
      </c>
      <c r="L100" s="137">
        <f t="shared" ca="1" si="35"/>
        <v>1311.1311627987147</v>
      </c>
      <c r="M100" s="139">
        <f t="shared" ca="1" si="36"/>
        <v>3002905.7182866419</v>
      </c>
      <c r="N100" s="77">
        <f t="shared" ca="1" si="37"/>
        <v>9.6857276221404514E-4</v>
      </c>
      <c r="O100" s="137">
        <f t="shared" ca="1" si="38"/>
        <v>2905.7182866421354</v>
      </c>
    </row>
    <row r="101" spans="1:15" ht="16.5" customHeight="1">
      <c r="A101" s="153">
        <v>4</v>
      </c>
      <c r="B101" s="153" t="str">
        <f>TEXT(투자전략!$G$1+3, "[$-ko-KR]yyyy.mm.dd")</f>
        <v>2021.10.04</v>
      </c>
      <c r="C101" s="135">
        <f t="shared" ca="1" si="26"/>
        <v>3000000</v>
      </c>
      <c r="D101" s="139">
        <f t="shared" ca="1" si="27"/>
        <v>2973050.8882724494</v>
      </c>
      <c r="E101" s="77">
        <f t="shared" ca="1" si="28"/>
        <v>-8.9830372425167872E-3</v>
      </c>
      <c r="F101" s="137">
        <f t="shared" ca="1" si="29"/>
        <v>-26949.111727550364</v>
      </c>
      <c r="G101" s="139">
        <f t="shared" ca="1" si="30"/>
        <v>2966076.0845598574</v>
      </c>
      <c r="H101" s="77">
        <f t="shared" ca="1" si="31"/>
        <v>-1.1307971813380915E-2</v>
      </c>
      <c r="I101" s="137">
        <f t="shared" ca="1" si="32"/>
        <v>-33923.915440142744</v>
      </c>
      <c r="J101" s="139">
        <f t="shared" ca="1" si="33"/>
        <v>2968208.515278047</v>
      </c>
      <c r="K101" s="77">
        <f t="shared" ca="1" si="34"/>
        <v>-1.0597161573984357E-2</v>
      </c>
      <c r="L101" s="137">
        <f t="shared" ca="1" si="35"/>
        <v>-31791.484721953075</v>
      </c>
      <c r="M101" s="139">
        <f t="shared" ca="1" si="36"/>
        <v>2946244.8187271012</v>
      </c>
      <c r="N101" s="77">
        <f t="shared" ca="1" si="37"/>
        <v>-1.7918393757632954E-2</v>
      </c>
      <c r="O101" s="137">
        <f t="shared" ca="1" si="38"/>
        <v>-53755.181272898859</v>
      </c>
    </row>
    <row r="102" spans="1:15" ht="16.5" customHeight="1">
      <c r="A102" s="153">
        <v>5</v>
      </c>
      <c r="B102" s="153" t="str">
        <f>TEXT(투자전략!$G$1+4, "[$-ko-KR]yyyy.mm.dd")</f>
        <v>2021.10.05</v>
      </c>
      <c r="C102" s="135">
        <f t="shared" ca="1" si="26"/>
        <v>3000000</v>
      </c>
      <c r="D102" s="139">
        <f t="shared" ca="1" si="27"/>
        <v>3045479.9666261785</v>
      </c>
      <c r="E102" s="77">
        <f t="shared" ca="1" si="28"/>
        <v>1.5159988875392924E-2</v>
      </c>
      <c r="F102" s="137">
        <f t="shared" ca="1" si="29"/>
        <v>45479.966626178764</v>
      </c>
      <c r="G102" s="139">
        <f t="shared" ca="1" si="30"/>
        <v>3103625.8352207118</v>
      </c>
      <c r="H102" s="77">
        <f t="shared" ca="1" si="31"/>
        <v>3.4541945073570765E-2</v>
      </c>
      <c r="I102" s="137">
        <f t="shared" ca="1" si="32"/>
        <v>103625.83522071227</v>
      </c>
      <c r="J102" s="139">
        <f t="shared" ca="1" si="33"/>
        <v>3098919.8169645644</v>
      </c>
      <c r="K102" s="77">
        <f t="shared" ca="1" si="34"/>
        <v>3.2973272321521363E-2</v>
      </c>
      <c r="L102" s="137">
        <f t="shared" ca="1" si="35"/>
        <v>98919.816964564074</v>
      </c>
      <c r="M102" s="139">
        <f t="shared" ca="1" si="36"/>
        <v>3084362.5788769298</v>
      </c>
      <c r="N102" s="77">
        <f t="shared" ca="1" si="37"/>
        <v>2.812085962564324E-2</v>
      </c>
      <c r="O102" s="137">
        <f t="shared" ca="1" si="38"/>
        <v>84362.578876929692</v>
      </c>
    </row>
    <row r="103" spans="1:15" ht="16.5" customHeight="1">
      <c r="A103" s="153">
        <v>6</v>
      </c>
      <c r="B103" s="153" t="str">
        <f>TEXT(투자전략!$G$1+5, "[$-ko-KR]yyyy.mm.dd")</f>
        <v>2021.10.06</v>
      </c>
      <c r="C103" s="135">
        <f t="shared" ca="1" si="26"/>
        <v>3000000</v>
      </c>
      <c r="D103" s="139">
        <f t="shared" ca="1" si="27"/>
        <v>3121035.8120397595</v>
      </c>
      <c r="E103" s="77">
        <f t="shared" ca="1" si="28"/>
        <v>4.0345270679919838E-2</v>
      </c>
      <c r="F103" s="137">
        <f t="shared" ca="1" si="29"/>
        <v>121035.81203975953</v>
      </c>
      <c r="G103" s="139">
        <f t="shared" ca="1" si="30"/>
        <v>3141373.5665866896</v>
      </c>
      <c r="H103" s="77">
        <f t="shared" ca="1" si="31"/>
        <v>4.7124522195563082E-2</v>
      </c>
      <c r="I103" s="137">
        <f t="shared" ca="1" si="32"/>
        <v>141373.56658668927</v>
      </c>
      <c r="J103" s="139">
        <f t="shared" ca="1" si="33"/>
        <v>3239426.8932091193</v>
      </c>
      <c r="K103" s="77">
        <f t="shared" ca="1" si="34"/>
        <v>7.9808964403039834E-2</v>
      </c>
      <c r="L103" s="137">
        <f t="shared" ca="1" si="35"/>
        <v>239426.89320911953</v>
      </c>
      <c r="M103" s="139">
        <f t="shared" ca="1" si="36"/>
        <v>3000000</v>
      </c>
      <c r="N103" s="77">
        <f t="shared" ca="1" si="37"/>
        <v>0</v>
      </c>
      <c r="O103" s="137">
        <f t="shared" ca="1" si="38"/>
        <v>0</v>
      </c>
    </row>
    <row r="104" spans="1:15" ht="16.5" customHeight="1" thickBot="1">
      <c r="A104" s="155">
        <v>7</v>
      </c>
      <c r="B104" s="155" t="str">
        <f>TEXT(투자전략!$G$1+6, "[$-ko-KR]yyyy.mm.dd")</f>
        <v>2021.10.07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2021.10.08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2021.10.09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2021.10.10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2021.10.11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2021.10.12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2021.10.13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2021.10.14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2021.10.15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2021.10.16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2021.10.17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2021.10.18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2021.10.19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2021.10.20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2021.10.21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2021.10.22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2021.10.23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2021.10.24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2021.10.25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2021.10.26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2021.10.27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2021.10.28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2021.10.29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2021.10.30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31" t="s">
        <v>281</v>
      </c>
      <c r="B129" s="233"/>
      <c r="C129" s="132" t="s">
        <v>276</v>
      </c>
      <c r="D129" s="150" t="s">
        <v>277</v>
      </c>
      <c r="E129" s="151" t="s">
        <v>278</v>
      </c>
      <c r="F129" s="152" t="s">
        <v>279</v>
      </c>
      <c r="G129" s="150" t="s">
        <v>277</v>
      </c>
      <c r="H129" s="151" t="s">
        <v>278</v>
      </c>
      <c r="I129" s="152" t="s">
        <v>279</v>
      </c>
      <c r="J129" s="150" t="s">
        <v>277</v>
      </c>
      <c r="K129" s="151" t="s">
        <v>278</v>
      </c>
      <c r="L129" s="152" t="s">
        <v>279</v>
      </c>
      <c r="M129" s="150" t="s">
        <v>277</v>
      </c>
      <c r="N129" s="151" t="s">
        <v>278</v>
      </c>
      <c r="O129" s="152" t="s">
        <v>279</v>
      </c>
    </row>
    <row r="130" spans="1:15" ht="16.5" customHeight="1" thickBot="1">
      <c r="A130" s="224"/>
      <c r="B130" s="226"/>
      <c r="C130" s="136">
        <f ca="1">SUM(C98:C128)</f>
        <v>18000000</v>
      </c>
      <c r="D130" s="140">
        <f ca="1">SUM(D98:D128)</f>
        <v>18380332.634162739</v>
      </c>
      <c r="E130" s="79">
        <f ca="1">IFERROR(F130 / (SUM($C98:$C128) / COUNT($C98:$C128)), 0)</f>
        <v>0.12677754472091288</v>
      </c>
      <c r="F130" s="138">
        <f ca="1">SUM(F98:F128)</f>
        <v>380332.63416273863</v>
      </c>
      <c r="G130" s="140">
        <f ca="1">SUM(G98:G128)</f>
        <v>18478761.669381674</v>
      </c>
      <c r="H130" s="79">
        <f ca="1">IFERROR(I130 / (SUM($C98:$C128) / COUNT($C98:$C128)), 0)</f>
        <v>0.15958722312722548</v>
      </c>
      <c r="I130" s="138">
        <f ca="1">SUM(I98:I128)</f>
        <v>478761.66938167642</v>
      </c>
      <c r="J130" s="140">
        <f ca="1">SUM(J98:J128)</f>
        <v>18667095.595464867</v>
      </c>
      <c r="K130" s="79">
        <f ca="1">IFERROR(L130 / (SUM($C98:$C128) / COUNT($C98:$C128)), 0)</f>
        <v>0.22236519848828867</v>
      </c>
      <c r="L130" s="138">
        <f ca="1">SUM(L98:L128)</f>
        <v>667095.59546486603</v>
      </c>
      <c r="M130" s="140">
        <f ca="1">SUM(M98:M128)</f>
        <v>18437869.409338221</v>
      </c>
      <c r="N130" s="79">
        <f ca="1">IFERROR(O130 / (SUM($C98:$C128) / COUNT($C98:$C128)), 0)</f>
        <v>0.14595646977940799</v>
      </c>
      <c r="O130" s="138">
        <f ca="1">SUM(O98:O128)</f>
        <v>437869.40933822392</v>
      </c>
    </row>
    <row r="132" spans="1:15" ht="16.5" customHeight="1" thickBot="1"/>
    <row r="133" spans="1:15" ht="16.5" customHeight="1" thickBot="1">
      <c r="A133" s="203" t="str">
        <f>TEXT(투자전략!$G$1, "[$-ko-KR]yyyy년 mm월 ") &amp; "전일대비 상승률 Top20 월말결산"</f>
        <v>2021년 10월 전일대비 상승률 Top20 월말결산</v>
      </c>
      <c r="B133" s="204"/>
      <c r="C133" s="204"/>
      <c r="D133" s="204"/>
      <c r="E133" s="204"/>
      <c r="F133" s="204"/>
      <c r="G133" s="204"/>
      <c r="H133" s="204"/>
      <c r="I133" s="204"/>
      <c r="J133" s="204"/>
      <c r="K133" s="204"/>
      <c r="L133" s="204"/>
      <c r="M133" s="204"/>
      <c r="N133" s="204"/>
      <c r="O133" s="205"/>
    </row>
    <row r="134" spans="1:15" ht="16.5" customHeight="1" thickBot="1">
      <c r="A134" s="247" t="s">
        <v>282</v>
      </c>
      <c r="B134" s="224" t="s">
        <v>280</v>
      </c>
      <c r="C134" s="226"/>
      <c r="D134" s="224" t="s">
        <v>272</v>
      </c>
      <c r="E134" s="225"/>
      <c r="F134" s="226"/>
      <c r="G134" s="224" t="s">
        <v>273</v>
      </c>
      <c r="H134" s="225"/>
      <c r="I134" s="226"/>
      <c r="J134" s="224" t="s">
        <v>274</v>
      </c>
      <c r="K134" s="225"/>
      <c r="L134" s="226"/>
      <c r="M134" s="224" t="s">
        <v>275</v>
      </c>
      <c r="N134" s="225"/>
      <c r="O134" s="226"/>
    </row>
    <row r="135" spans="1:15" ht="16.5" customHeight="1" thickBot="1">
      <c r="A135" s="240"/>
      <c r="B135" s="154" t="s">
        <v>270</v>
      </c>
      <c r="C135" s="154" t="s">
        <v>42</v>
      </c>
      <c r="D135" s="121" t="s">
        <v>271</v>
      </c>
      <c r="E135" s="133" t="s">
        <v>40</v>
      </c>
      <c r="F135" s="156" t="s">
        <v>41</v>
      </c>
      <c r="G135" s="121" t="s">
        <v>271</v>
      </c>
      <c r="H135" s="133" t="s">
        <v>40</v>
      </c>
      <c r="I135" s="156" t="s">
        <v>41</v>
      </c>
      <c r="J135" s="121" t="s">
        <v>271</v>
      </c>
      <c r="K135" s="133" t="s">
        <v>40</v>
      </c>
      <c r="L135" s="156" t="s">
        <v>41</v>
      </c>
      <c r="M135" s="121" t="s">
        <v>271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2021.10.01</v>
      </c>
      <c r="C136" s="134">
        <f ca="1">IFERROR(COUNTA(INDIRECT($B136&amp;"!A98:A117")) * INDIRECT($B136&amp;"!B118"), "")</f>
        <v>3000000</v>
      </c>
      <c r="D136" s="142">
        <f ca="1">IFERROR($C136 * (1 + E136), "")</f>
        <v>3086052.1312034852</v>
      </c>
      <c r="E136" s="76">
        <f ca="1">IFERROR(INDIRECT($B136&amp;"!E118"), "")</f>
        <v>2.8684043734495068E-2</v>
      </c>
      <c r="F136" s="141">
        <f ca="1">IFERROR(INDIRECT($B136&amp;"!F118"), "")</f>
        <v>86052.131203485187</v>
      </c>
      <c r="G136" s="142">
        <f ca="1">IFERROR($C136 * (1 + H136), "")</f>
        <v>3116826.3824635614</v>
      </c>
      <c r="H136" s="76">
        <f ca="1">IFERROR(INDIRECT($B136&amp;"!H118"), "")</f>
        <v>3.8942127487853861E-2</v>
      </c>
      <c r="I136" s="141">
        <f ca="1">IFERROR(INDIRECT($B136&amp;"!I118"), "")</f>
        <v>116826.38246356156</v>
      </c>
      <c r="J136" s="142">
        <f ca="1">IFERROR($C136 * (1 + K136), "")</f>
        <v>3192574.9567175778</v>
      </c>
      <c r="K136" s="76">
        <f ca="1">IFERROR(INDIRECT($B136&amp;"!K118"), "")</f>
        <v>6.4191652239192459E-2</v>
      </c>
      <c r="L136" s="141">
        <f ca="1">IFERROR(INDIRECT($B136&amp;"!L118"), "")</f>
        <v>192574.95671757736</v>
      </c>
      <c r="M136" s="142">
        <f ca="1">IFERROR($C136 * (1 + N136), "")</f>
        <v>3166671.196459237</v>
      </c>
      <c r="N136" s="76">
        <f ca="1">IFERROR(INDIRECT($B136&amp;"!N118"), "")</f>
        <v>5.5557065486412316E-2</v>
      </c>
      <c r="O136" s="141">
        <f ca="1">IFERROR(INDIRECT($B136&amp;"!O118"), "")</f>
        <v>166671.19645923696</v>
      </c>
    </row>
    <row r="137" spans="1:15" ht="16.5" customHeight="1">
      <c r="A137" s="153">
        <v>2</v>
      </c>
      <c r="B137" s="153" t="str">
        <f>TEXT(투자전략!$G$1+1, "[$-ko-KR]yyyy.mm.dd")</f>
        <v>2021.10.02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3103480.511829522</v>
      </c>
      <c r="E137" s="77">
        <f t="shared" ref="E137:E166" ca="1" si="41">IFERROR(INDIRECT($B137&amp;"!E118"), "")</f>
        <v>3.4493503943173874E-2</v>
      </c>
      <c r="F137" s="137">
        <f t="shared" ref="F137:F166" ca="1" si="42">IFERROR(INDIRECT($B137&amp;"!F118"), "")</f>
        <v>103480.51182952162</v>
      </c>
      <c r="G137" s="139">
        <f t="shared" ref="G137:G166" ca="1" si="43">IFERROR($C137 * (1 + H137), "")</f>
        <v>3152321.7185670082</v>
      </c>
      <c r="H137" s="77">
        <f t="shared" ref="H137:H166" ca="1" si="44">IFERROR(INDIRECT($B137&amp;"!H118"), "")</f>
        <v>5.0773906189002592E-2</v>
      </c>
      <c r="I137" s="137">
        <f t="shared" ref="I137:I166" ca="1" si="45">IFERROR(INDIRECT($B137&amp;"!I118"), "")</f>
        <v>152321.71856700777</v>
      </c>
      <c r="J137" s="139">
        <f t="shared" ref="J137:J166" ca="1" si="46">IFERROR($C137 * (1 + K137), "")</f>
        <v>3169442.4859105484</v>
      </c>
      <c r="K137" s="77">
        <f t="shared" ref="K137:K166" ca="1" si="47">IFERROR(INDIRECT($B137&amp;"!K118"), "")</f>
        <v>5.648082863684941E-2</v>
      </c>
      <c r="L137" s="137">
        <f t="shared" ref="L137:L166" ca="1" si="48">IFERROR(INDIRECT($B137&amp;"!L118"), "")</f>
        <v>169442.48591054828</v>
      </c>
      <c r="M137" s="139">
        <f t="shared" ref="M137:M166" ca="1" si="49">IFERROR($C137 * (1 + N137), "")</f>
        <v>3222368.5753637324</v>
      </c>
      <c r="N137" s="77">
        <f t="shared" ref="N137:N166" ca="1" si="50">IFERROR(INDIRECT($B137&amp;"!N118"), "")</f>
        <v>7.4122858454577473E-2</v>
      </c>
      <c r="O137" s="137">
        <f t="shared" ref="O137:O166" ca="1" si="51">IFERROR(INDIRECT($B137&amp;"!O118"), "")</f>
        <v>222368.57536373241</v>
      </c>
    </row>
    <row r="138" spans="1:15" ht="16.5" customHeight="1">
      <c r="A138" s="153">
        <v>3</v>
      </c>
      <c r="B138" s="153" t="str">
        <f>TEXT(투자전략!$G$1+2, "[$-ko-KR]yyyy.mm.dd")</f>
        <v>2021.10.03</v>
      </c>
      <c r="C138" s="135">
        <f t="shared" ca="1" si="39"/>
        <v>3000000</v>
      </c>
      <c r="D138" s="139">
        <f t="shared" ca="1" si="40"/>
        <v>3049377.0604946674</v>
      </c>
      <c r="E138" s="77">
        <f t="shared" ca="1" si="41"/>
        <v>1.6459020164888989E-2</v>
      </c>
      <c r="F138" s="137">
        <f t="shared" ca="1" si="42"/>
        <v>49377.060494666948</v>
      </c>
      <c r="G138" s="139">
        <f t="shared" ca="1" si="43"/>
        <v>3017674.5638033464</v>
      </c>
      <c r="H138" s="77">
        <f t="shared" ca="1" si="44"/>
        <v>5.8915212677820693E-3</v>
      </c>
      <c r="I138" s="137">
        <f t="shared" ca="1" si="45"/>
        <v>17674.563803346206</v>
      </c>
      <c r="J138" s="139">
        <f t="shared" ca="1" si="46"/>
        <v>3028229.6347677941</v>
      </c>
      <c r="K138" s="77">
        <f t="shared" ca="1" si="47"/>
        <v>9.4098782559313993E-3</v>
      </c>
      <c r="L138" s="137">
        <f t="shared" ca="1" si="48"/>
        <v>28229.634767794178</v>
      </c>
      <c r="M138" s="139">
        <f t="shared" ca="1" si="49"/>
        <v>3021896.6748219598</v>
      </c>
      <c r="N138" s="77">
        <f t="shared" ca="1" si="50"/>
        <v>7.2988916073200294E-3</v>
      </c>
      <c r="O138" s="137">
        <f t="shared" ca="1" si="51"/>
        <v>21896.674821960089</v>
      </c>
    </row>
    <row r="139" spans="1:15" ht="16.5" customHeight="1">
      <c r="A139" s="153">
        <v>4</v>
      </c>
      <c r="B139" s="153" t="str">
        <f>TEXT(투자전략!$G$1+3, "[$-ko-KR]yyyy.mm.dd")</f>
        <v>2021.10.04</v>
      </c>
      <c r="C139" s="135">
        <f t="shared" ca="1" si="39"/>
        <v>3000000</v>
      </c>
      <c r="D139" s="139">
        <f t="shared" ca="1" si="40"/>
        <v>2944917.4455503761</v>
      </c>
      <c r="E139" s="77">
        <f t="shared" ca="1" si="41"/>
        <v>-1.8360851483208009E-2</v>
      </c>
      <c r="F139" s="137">
        <f t="shared" ca="1" si="42"/>
        <v>-55082.554449624047</v>
      </c>
      <c r="G139" s="139">
        <f t="shared" ca="1" si="43"/>
        <v>2948649.2503051148</v>
      </c>
      <c r="H139" s="77">
        <f t="shared" ca="1" si="44"/>
        <v>-1.7116916564961678E-2</v>
      </c>
      <c r="I139" s="137">
        <f t="shared" ca="1" si="45"/>
        <v>-51350.749694885038</v>
      </c>
      <c r="J139" s="139">
        <f t="shared" ca="1" si="46"/>
        <v>2958910.8658420704</v>
      </c>
      <c r="K139" s="77">
        <f t="shared" ca="1" si="47"/>
        <v>-1.3696378052643149E-2</v>
      </c>
      <c r="L139" s="137">
        <f t="shared" ca="1" si="48"/>
        <v>-41089.134157929446</v>
      </c>
      <c r="M139" s="139">
        <f t="shared" ca="1" si="49"/>
        <v>2915599.476381815</v>
      </c>
      <c r="N139" s="77">
        <f t="shared" ca="1" si="50"/>
        <v>-2.8133507872728357E-2</v>
      </c>
      <c r="O139" s="137">
        <f t="shared" ca="1" si="51"/>
        <v>-84400.523618185092</v>
      </c>
    </row>
    <row r="140" spans="1:15" ht="16.5" customHeight="1">
      <c r="A140" s="153">
        <v>5</v>
      </c>
      <c r="B140" s="153" t="str">
        <f>TEXT(투자전략!$G$1+4, "[$-ko-KR]yyyy.mm.dd")</f>
        <v>2021.10.05</v>
      </c>
      <c r="C140" s="135">
        <f t="shared" ca="1" si="39"/>
        <v>3000000</v>
      </c>
      <c r="D140" s="139">
        <f t="shared" ca="1" si="40"/>
        <v>3003800.6530604511</v>
      </c>
      <c r="E140" s="77">
        <f t="shared" ca="1" si="41"/>
        <v>1.2668843534837119E-3</v>
      </c>
      <c r="F140" s="137">
        <f t="shared" ca="1" si="42"/>
        <v>3800.6530604511427</v>
      </c>
      <c r="G140" s="139">
        <f t="shared" ca="1" si="43"/>
        <v>3072283.7266658386</v>
      </c>
      <c r="H140" s="77">
        <f t="shared" ca="1" si="44"/>
        <v>2.4094575555279586E-2</v>
      </c>
      <c r="I140" s="137">
        <f t="shared" ca="1" si="45"/>
        <v>72283.726665838753</v>
      </c>
      <c r="J140" s="139">
        <f t="shared" ca="1" si="46"/>
        <v>3053218.8251773417</v>
      </c>
      <c r="K140" s="77">
        <f t="shared" ca="1" si="47"/>
        <v>1.7739608392447294E-2</v>
      </c>
      <c r="L140" s="137">
        <f t="shared" ca="1" si="48"/>
        <v>53218.825177341889</v>
      </c>
      <c r="M140" s="139">
        <f t="shared" ca="1" si="49"/>
        <v>3020031.8984902431</v>
      </c>
      <c r="N140" s="77">
        <f t="shared" ca="1" si="50"/>
        <v>6.6772994967477708E-3</v>
      </c>
      <c r="O140" s="137">
        <f t="shared" ca="1" si="51"/>
        <v>20031.898490243319</v>
      </c>
    </row>
    <row r="141" spans="1:15" ht="16.5" customHeight="1">
      <c r="A141" s="153">
        <v>6</v>
      </c>
      <c r="B141" s="153" t="str">
        <f>TEXT(투자전략!$G$1+5, "[$-ko-KR]yyyy.mm.dd")</f>
        <v>2021.10.06</v>
      </c>
      <c r="C141" s="135">
        <f t="shared" ca="1" si="39"/>
        <v>3000000</v>
      </c>
      <c r="D141" s="139">
        <f t="shared" ca="1" si="40"/>
        <v>3035759.7143435599</v>
      </c>
      <c r="E141" s="77">
        <f t="shared" ca="1" si="41"/>
        <v>1.1919904781186711E-2</v>
      </c>
      <c r="F141" s="137">
        <f t="shared" ca="1" si="42"/>
        <v>35759.714343560117</v>
      </c>
      <c r="G141" s="139">
        <f t="shared" ca="1" si="43"/>
        <v>3145603.2395828241</v>
      </c>
      <c r="H141" s="77">
        <f t="shared" ca="1" si="44"/>
        <v>4.853441319427465E-2</v>
      </c>
      <c r="I141" s="137">
        <f t="shared" ca="1" si="45"/>
        <v>145603.23958282394</v>
      </c>
      <c r="J141" s="139">
        <f t="shared" ca="1" si="46"/>
        <v>3194678.6950384248</v>
      </c>
      <c r="K141" s="77">
        <f t="shared" ca="1" si="47"/>
        <v>6.4892898346141648E-2</v>
      </c>
      <c r="L141" s="137">
        <f t="shared" ca="1" si="48"/>
        <v>194678.69503842495</v>
      </c>
      <c r="M141" s="139">
        <f t="shared" ca="1" si="49"/>
        <v>3000000</v>
      </c>
      <c r="N141" s="77">
        <f t="shared" ca="1" si="50"/>
        <v>0</v>
      </c>
      <c r="O141" s="137">
        <f t="shared" ca="1" si="51"/>
        <v>0</v>
      </c>
    </row>
    <row r="142" spans="1:15" ht="16.5" customHeight="1" thickBot="1">
      <c r="A142" s="155">
        <v>7</v>
      </c>
      <c r="B142" s="155" t="str">
        <f>TEXT(투자전략!$G$1+6, "[$-ko-KR]yyyy.mm.dd")</f>
        <v>2021.10.07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2021.10.08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2021.10.09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2021.10.10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2021.10.11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2021.10.12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2021.10.13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2021.10.14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2021.10.15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2021.10.16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2021.10.17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2021.10.18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2021.10.19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2021.10.20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2021.10.21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2021.10.22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2021.10.23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2021.10.24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2021.10.25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2021.10.26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2021.10.27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2021.10.28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2021.10.29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2021.10.30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31" t="s">
        <v>281</v>
      </c>
      <c r="B167" s="233"/>
      <c r="C167" s="132" t="s">
        <v>276</v>
      </c>
      <c r="D167" s="150" t="s">
        <v>277</v>
      </c>
      <c r="E167" s="151" t="s">
        <v>278</v>
      </c>
      <c r="F167" s="152" t="s">
        <v>279</v>
      </c>
      <c r="G167" s="150" t="s">
        <v>277</v>
      </c>
      <c r="H167" s="151" t="s">
        <v>278</v>
      </c>
      <c r="I167" s="152" t="s">
        <v>279</v>
      </c>
      <c r="J167" s="150" t="s">
        <v>277</v>
      </c>
      <c r="K167" s="151" t="s">
        <v>278</v>
      </c>
      <c r="L167" s="152" t="s">
        <v>279</v>
      </c>
      <c r="M167" s="150" t="s">
        <v>277</v>
      </c>
      <c r="N167" s="151" t="s">
        <v>278</v>
      </c>
      <c r="O167" s="152" t="s">
        <v>279</v>
      </c>
    </row>
    <row r="168" spans="1:15" ht="16.5" customHeight="1" thickBot="1">
      <c r="A168" s="224"/>
      <c r="B168" s="226"/>
      <c r="C168" s="136">
        <f ca="1">SUM(C136:C166)</f>
        <v>18000000</v>
      </c>
      <c r="D168" s="140">
        <f ca="1">SUM(D136:D166)</f>
        <v>18223387.516482063</v>
      </c>
      <c r="E168" s="79">
        <f ca="1">IFERROR(F168 / (SUM($C136:$C166) / COUNT($C136:$C166)), 0)</f>
        <v>7.4462505494020323E-2</v>
      </c>
      <c r="F168" s="138">
        <f ca="1">SUM(F136:F166)</f>
        <v>223387.51648206095</v>
      </c>
      <c r="G168" s="140">
        <f ca="1">SUM(G136:G166)</f>
        <v>18453358.881387696</v>
      </c>
      <c r="H168" s="79">
        <f ca="1">IFERROR(I168 / (SUM($C136:$C166) / COUNT($C136:$C166)), 0)</f>
        <v>0.15111962712923105</v>
      </c>
      <c r="I168" s="138">
        <f ca="1">SUM(I136:I166)</f>
        <v>453358.88138769317</v>
      </c>
      <c r="J168" s="140">
        <f ca="1">SUM(J136:J166)</f>
        <v>18597055.463453755</v>
      </c>
      <c r="K168" s="79">
        <f ca="1">IFERROR(L168 / (SUM($C136:$C166) / COUNT($C136:$C166)), 0)</f>
        <v>0.19901848781791909</v>
      </c>
      <c r="L168" s="138">
        <f ca="1">SUM(L136:L166)</f>
        <v>597055.46345375723</v>
      </c>
      <c r="M168" s="140">
        <f ca="1">SUM(M136:M166)</f>
        <v>18346567.821516987</v>
      </c>
      <c r="N168" s="79">
        <f ca="1">IFERROR(O168 / (SUM($C136:$C166) / COUNT($C136:$C166)), 0)</f>
        <v>0.11552260717232923</v>
      </c>
      <c r="O168" s="138">
        <f ca="1">SUM(O136:O166)</f>
        <v>346567.82151698769</v>
      </c>
    </row>
    <row r="170" spans="1:15" ht="16.5" customHeight="1" thickBot="1"/>
    <row r="171" spans="1:15" ht="16.5" customHeight="1" thickBot="1">
      <c r="A171" s="203" t="str">
        <f>TEXT(투자전략!$G$1, "[$-ko-KR]yyyy년 mm월 ") &amp; "[엽전코인] 전일대비 상승률 Bottom20 월말결산"</f>
        <v>2021년 10월 [엽전코인] 전일대비 상승률 Bottom20 월말결산</v>
      </c>
      <c r="B171" s="204"/>
      <c r="C171" s="204"/>
      <c r="D171" s="204"/>
      <c r="E171" s="204"/>
      <c r="F171" s="204"/>
      <c r="G171" s="204"/>
      <c r="H171" s="204"/>
      <c r="I171" s="204"/>
      <c r="J171" s="204"/>
      <c r="K171" s="204"/>
      <c r="L171" s="204"/>
      <c r="M171" s="204"/>
      <c r="N171" s="204"/>
      <c r="O171" s="205"/>
    </row>
    <row r="172" spans="1:15" ht="16.5" customHeight="1" thickBot="1">
      <c r="A172" s="247" t="s">
        <v>282</v>
      </c>
      <c r="B172" s="224" t="s">
        <v>280</v>
      </c>
      <c r="C172" s="226"/>
      <c r="D172" s="224" t="s">
        <v>272</v>
      </c>
      <c r="E172" s="225"/>
      <c r="F172" s="226"/>
      <c r="G172" s="224" t="s">
        <v>273</v>
      </c>
      <c r="H172" s="225"/>
      <c r="I172" s="226"/>
      <c r="J172" s="224" t="s">
        <v>274</v>
      </c>
      <c r="K172" s="225"/>
      <c r="L172" s="226"/>
      <c r="M172" s="224" t="s">
        <v>275</v>
      </c>
      <c r="N172" s="225"/>
      <c r="O172" s="226"/>
    </row>
    <row r="173" spans="1:15" ht="16.5" customHeight="1" thickBot="1">
      <c r="A173" s="240"/>
      <c r="B173" s="154" t="s">
        <v>270</v>
      </c>
      <c r="C173" s="154" t="s">
        <v>42</v>
      </c>
      <c r="D173" s="121" t="s">
        <v>271</v>
      </c>
      <c r="E173" s="133" t="s">
        <v>40</v>
      </c>
      <c r="F173" s="156" t="s">
        <v>41</v>
      </c>
      <c r="G173" s="121" t="s">
        <v>271</v>
      </c>
      <c r="H173" s="133" t="s">
        <v>40</v>
      </c>
      <c r="I173" s="156" t="s">
        <v>41</v>
      </c>
      <c r="J173" s="121" t="s">
        <v>271</v>
      </c>
      <c r="K173" s="133" t="s">
        <v>40</v>
      </c>
      <c r="L173" s="156" t="s">
        <v>41</v>
      </c>
      <c r="M173" s="121" t="s">
        <v>271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2021.10.01</v>
      </c>
      <c r="C174" s="134">
        <f ca="1">IFERROR(COUNTA(INDIRECT($B174&amp;"!A125:A144")) * INDIRECT($B174&amp;"!B145"), "")</f>
        <v>3000000</v>
      </c>
      <c r="D174" s="142">
        <f ca="1">IFERROR($C174 * (1 + E174), "")</f>
        <v>3022673.7634750791</v>
      </c>
      <c r="E174" s="76">
        <f ca="1">IFERROR(INDIRECT($B174&amp;"!E145"), "")</f>
        <v>7.5579211583596028E-3</v>
      </c>
      <c r="F174" s="141">
        <f ca="1">IFERROR(INDIRECT($B174&amp;"!F145"), "")</f>
        <v>22673.763475078809</v>
      </c>
      <c r="G174" s="142">
        <f ca="1">IFERROR($C174 * (1 + H174), "")</f>
        <v>3064558.229055441</v>
      </c>
      <c r="H174" s="76">
        <f ca="1">IFERROR(INDIRECT($B174&amp;"!H145"), "")</f>
        <v>2.1519409685146991E-2</v>
      </c>
      <c r="I174" s="141">
        <f ca="1">IFERROR(INDIRECT($B174&amp;"!I145"), "")</f>
        <v>64558.22905544097</v>
      </c>
      <c r="J174" s="142">
        <f ca="1">IFERROR($C174 * (1 + K174), "")</f>
        <v>3155678.4631958157</v>
      </c>
      <c r="K174" s="76">
        <f ca="1">IFERROR(INDIRECT($B174&amp;"!K145"), "")</f>
        <v>5.1892821065271821E-2</v>
      </c>
      <c r="L174" s="141">
        <f ca="1">IFERROR(INDIRECT($B174&amp;"!L145"), "")</f>
        <v>155678.46319581548</v>
      </c>
      <c r="M174" s="142">
        <f ca="1">IFERROR($C174 * (1 + N174), "")</f>
        <v>3132605.4671471957</v>
      </c>
      <c r="N174" s="76">
        <f ca="1">IFERROR(INDIRECT($B174&amp;"!N145"), "")</f>
        <v>4.4201822382398649E-2</v>
      </c>
      <c r="O174" s="141">
        <f ca="1">IFERROR(INDIRECT($B174&amp;"!O145"), "")</f>
        <v>132605.46714719594</v>
      </c>
    </row>
    <row r="175" spans="1:15" ht="16.5" customHeight="1">
      <c r="A175" s="153">
        <v>2</v>
      </c>
      <c r="B175" s="153" t="str">
        <f>TEXT(투자전략!$G$1+1, "[$-ko-KR]yyyy.mm.dd")</f>
        <v>2021.10.02</v>
      </c>
      <c r="C175" s="135">
        <f t="shared" ref="C175:C204" ca="1" si="52">IFERROR(COUNTA(INDIRECT($B175&amp;"!A125:A144")) * INDIRECT($B175&amp;"!B145"), "")</f>
        <v>2850000</v>
      </c>
      <c r="D175" s="139">
        <f t="shared" ref="D175:D204" ca="1" si="53">IFERROR($C175 * (1 + E175), "")</f>
        <v>2888611.8235641429</v>
      </c>
      <c r="E175" s="77">
        <f t="shared" ref="E175:E204" ca="1" si="54">IFERROR(INDIRECT($B175&amp;"!E145"), "")</f>
        <v>1.3548008268120365E-2</v>
      </c>
      <c r="F175" s="137">
        <f t="shared" ref="F175:F204" ca="1" si="55">IFERROR(INDIRECT($B175&amp;"!F145"), "")</f>
        <v>38611.823564143029</v>
      </c>
      <c r="G175" s="139">
        <f t="shared" ref="G175:G204" ca="1" si="56">IFERROR($C175 * (1 + H175), "")</f>
        <v>2928165.7049459652</v>
      </c>
      <c r="H175" s="77">
        <f t="shared" ref="H175:H204" ca="1" si="57">IFERROR(INDIRECT($B175&amp;"!H145"), "")</f>
        <v>2.7426563138935246E-2</v>
      </c>
      <c r="I175" s="137">
        <f t="shared" ref="I175:I204" ca="1" si="58">IFERROR(INDIRECT($B175&amp;"!I145"), "")</f>
        <v>78165.704945965437</v>
      </c>
      <c r="J175" s="139">
        <f t="shared" ref="J175:J204" ca="1" si="59">IFERROR($C175 * (1 + K175), "")</f>
        <v>2929249.1452435842</v>
      </c>
      <c r="K175" s="77">
        <f t="shared" ref="K175:K204" ca="1" si="60">IFERROR(INDIRECT($B175&amp;"!K145"), "")</f>
        <v>2.7806717629327807E-2</v>
      </c>
      <c r="L175" s="137">
        <f t="shared" ref="L175:L204" ca="1" si="61">IFERROR(INDIRECT($B175&amp;"!L145"), "")</f>
        <v>79249.145243584237</v>
      </c>
      <c r="M175" s="139">
        <f t="shared" ref="M175:M204" ca="1" si="62">IFERROR($C175 * (1 + N175), "")</f>
        <v>2968058.3105054605</v>
      </c>
      <c r="N175" s="77">
        <f t="shared" ref="N175:N204" ca="1" si="63">IFERROR(INDIRECT($B175&amp;"!N145"), "")</f>
        <v>4.1423968598407336E-2</v>
      </c>
      <c r="O175" s="137">
        <f t="shared" ref="O175:O204" ca="1" si="64">IFERROR(INDIRECT($B175&amp;"!O145"), "")</f>
        <v>118058.31050546089</v>
      </c>
    </row>
    <row r="176" spans="1:15" ht="16.5" customHeight="1">
      <c r="A176" s="153">
        <v>3</v>
      </c>
      <c r="B176" s="153" t="str">
        <f>TEXT(투자전략!$G$1+2, "[$-ko-KR]yyyy.mm.dd")</f>
        <v>2021.10.03</v>
      </c>
      <c r="C176" s="135">
        <f t="shared" ca="1" si="52"/>
        <v>2700000</v>
      </c>
      <c r="D176" s="139">
        <f t="shared" ca="1" si="53"/>
        <v>2683228.9422256132</v>
      </c>
      <c r="E176" s="77">
        <f t="shared" ca="1" si="54"/>
        <v>-6.2115028794025437E-3</v>
      </c>
      <c r="F176" s="137">
        <f t="shared" ca="1" si="55"/>
        <v>-16771.057774386867</v>
      </c>
      <c r="G176" s="139">
        <f t="shared" ca="1" si="56"/>
        <v>2657695.6908372315</v>
      </c>
      <c r="H176" s="77">
        <f t="shared" ca="1" si="57"/>
        <v>-1.5668262652877192E-2</v>
      </c>
      <c r="I176" s="137">
        <f t="shared" ca="1" si="58"/>
        <v>-42304.309162768404</v>
      </c>
      <c r="J176" s="139">
        <f t="shared" ca="1" si="59"/>
        <v>2661841.2127404124</v>
      </c>
      <c r="K176" s="77">
        <f t="shared" ca="1" si="60"/>
        <v>-1.4132884170217682E-2</v>
      </c>
      <c r="L176" s="137">
        <f t="shared" ca="1" si="61"/>
        <v>-38158.787259587742</v>
      </c>
      <c r="M176" s="139">
        <f t="shared" ca="1" si="62"/>
        <v>2675010.5767129301</v>
      </c>
      <c r="N176" s="77">
        <f t="shared" ca="1" si="63"/>
        <v>-9.2553419581740178E-3</v>
      </c>
      <c r="O176" s="137">
        <f t="shared" ca="1" si="64"/>
        <v>-24989.423287069851</v>
      </c>
    </row>
    <row r="177" spans="1:15" ht="16.5" customHeight="1">
      <c r="A177" s="153">
        <v>4</v>
      </c>
      <c r="B177" s="153" t="str">
        <f>TEXT(투자전략!$G$1+3, "[$-ko-KR]yyyy.mm.dd")</f>
        <v>2021.10.04</v>
      </c>
      <c r="C177" s="135">
        <f t="shared" ca="1" si="52"/>
        <v>2700000</v>
      </c>
      <c r="D177" s="139">
        <f t="shared" ca="1" si="53"/>
        <v>2648688.9265503576</v>
      </c>
      <c r="E177" s="77">
        <f t="shared" ca="1" si="54"/>
        <v>-1.9004101277645267E-2</v>
      </c>
      <c r="F177" s="137">
        <f t="shared" ca="1" si="55"/>
        <v>-51311.073449642216</v>
      </c>
      <c r="G177" s="139">
        <f t="shared" ca="1" si="56"/>
        <v>2633409.6215201975</v>
      </c>
      <c r="H177" s="77">
        <f t="shared" ca="1" si="57"/>
        <v>-2.4663103140667601E-2</v>
      </c>
      <c r="I177" s="137">
        <f t="shared" ca="1" si="58"/>
        <v>-66590.378479802515</v>
      </c>
      <c r="J177" s="139">
        <f t="shared" ca="1" si="59"/>
        <v>2623552.0503208702</v>
      </c>
      <c r="K177" s="77">
        <f t="shared" ca="1" si="60"/>
        <v>-2.8314055436714749E-2</v>
      </c>
      <c r="L177" s="137">
        <f t="shared" ca="1" si="61"/>
        <v>-76447.949679129844</v>
      </c>
      <c r="M177" s="139">
        <f t="shared" ca="1" si="62"/>
        <v>2614382.8510023346</v>
      </c>
      <c r="N177" s="77">
        <f t="shared" ca="1" si="63"/>
        <v>-3.1710055184320504E-2</v>
      </c>
      <c r="O177" s="137">
        <f t="shared" ca="1" si="64"/>
        <v>-85617.148997665354</v>
      </c>
    </row>
    <row r="178" spans="1:15" ht="16.5" customHeight="1">
      <c r="A178" s="153">
        <v>5</v>
      </c>
      <c r="B178" s="153" t="str">
        <f>TEXT(투자전략!$G$1+4, "[$-ko-KR]yyyy.mm.dd")</f>
        <v>2021.10.05</v>
      </c>
      <c r="C178" s="135">
        <f t="shared" ca="1" si="52"/>
        <v>2850000</v>
      </c>
      <c r="D178" s="139">
        <f t="shared" ca="1" si="53"/>
        <v>2917012.5551407062</v>
      </c>
      <c r="E178" s="77">
        <f t="shared" ca="1" si="54"/>
        <v>2.3513177242353155E-2</v>
      </c>
      <c r="F178" s="137">
        <f t="shared" ca="1" si="55"/>
        <v>67012.555140706507</v>
      </c>
      <c r="G178" s="139">
        <f t="shared" ca="1" si="56"/>
        <v>3108369.1364201908</v>
      </c>
      <c r="H178" s="77">
        <f t="shared" ca="1" si="57"/>
        <v>9.0655837340417739E-2</v>
      </c>
      <c r="I178" s="137">
        <f t="shared" ca="1" si="58"/>
        <v>258369.13642019057</v>
      </c>
      <c r="J178" s="139">
        <f t="shared" ca="1" si="59"/>
        <v>3547360.5236464958</v>
      </c>
      <c r="K178" s="77">
        <f t="shared" ca="1" si="60"/>
        <v>0.24468790303385832</v>
      </c>
      <c r="L178" s="137">
        <f t="shared" ca="1" si="61"/>
        <v>697360.523646496</v>
      </c>
      <c r="M178" s="139">
        <f t="shared" ca="1" si="62"/>
        <v>3334995.9233449167</v>
      </c>
      <c r="N178" s="77">
        <f t="shared" ca="1" si="63"/>
        <v>0.17017400819119885</v>
      </c>
      <c r="O178" s="137">
        <f t="shared" ca="1" si="64"/>
        <v>484995.92334491666</v>
      </c>
    </row>
    <row r="179" spans="1:15" ht="16.5" customHeight="1">
      <c r="A179" s="153">
        <v>6</v>
      </c>
      <c r="B179" s="153" t="str">
        <f>TEXT(투자전략!$G$1+5, "[$-ko-KR]yyyy.mm.dd")</f>
        <v>2021.10.06</v>
      </c>
      <c r="C179" s="135">
        <f t="shared" ca="1" si="52"/>
        <v>2550000</v>
      </c>
      <c r="D179" s="139">
        <f t="shared" ca="1" si="53"/>
        <v>2617459.5564580155</v>
      </c>
      <c r="E179" s="77">
        <f t="shared" ca="1" si="54"/>
        <v>2.6454728022751169E-2</v>
      </c>
      <c r="F179" s="137">
        <f t="shared" ca="1" si="55"/>
        <v>67459.55645801549</v>
      </c>
      <c r="G179" s="139">
        <f t="shared" ca="1" si="56"/>
        <v>2623923.5626488305</v>
      </c>
      <c r="H179" s="77">
        <f t="shared" ca="1" si="57"/>
        <v>2.8989632411306171E-2</v>
      </c>
      <c r="I179" s="137">
        <f t="shared" ca="1" si="58"/>
        <v>73923.562648830746</v>
      </c>
      <c r="J179" s="139">
        <f t="shared" ca="1" si="59"/>
        <v>2642808.8525642725</v>
      </c>
      <c r="K179" s="77">
        <f t="shared" ca="1" si="60"/>
        <v>3.6395628456577379E-2</v>
      </c>
      <c r="L179" s="137">
        <f t="shared" ca="1" si="61"/>
        <v>92808.852564272311</v>
      </c>
      <c r="M179" s="139">
        <f t="shared" ca="1" si="62"/>
        <v>2550000</v>
      </c>
      <c r="N179" s="77">
        <f t="shared" ca="1" si="63"/>
        <v>0</v>
      </c>
      <c r="O179" s="137">
        <f t="shared" ca="1" si="64"/>
        <v>0</v>
      </c>
    </row>
    <row r="180" spans="1:15" ht="16.5" customHeight="1" thickBot="1">
      <c r="A180" s="155">
        <v>7</v>
      </c>
      <c r="B180" s="155" t="str">
        <f>TEXT(투자전략!$G$1+6, "[$-ko-KR]yyyy.mm.dd")</f>
        <v>2021.10.07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2021.10.08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2021.10.09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2021.10.10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2021.10.11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2021.10.12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2021.10.13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2021.10.14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2021.10.15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2021.10.16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2021.10.17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2021.10.18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2021.10.19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2021.10.20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2021.10.21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2021.10.22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2021.10.23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2021.10.24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2021.10.25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2021.10.26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2021.10.27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2021.10.28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2021.10.29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2021.10.30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31" t="s">
        <v>281</v>
      </c>
      <c r="B205" s="233"/>
      <c r="C205" s="132" t="s">
        <v>276</v>
      </c>
      <c r="D205" s="150" t="s">
        <v>277</v>
      </c>
      <c r="E205" s="151" t="s">
        <v>278</v>
      </c>
      <c r="F205" s="152" t="s">
        <v>279</v>
      </c>
      <c r="G205" s="150" t="s">
        <v>277</v>
      </c>
      <c r="H205" s="151" t="s">
        <v>278</v>
      </c>
      <c r="I205" s="152" t="s">
        <v>279</v>
      </c>
      <c r="J205" s="150" t="s">
        <v>277</v>
      </c>
      <c r="K205" s="151" t="s">
        <v>278</v>
      </c>
      <c r="L205" s="152" t="s">
        <v>279</v>
      </c>
      <c r="M205" s="150" t="s">
        <v>277</v>
      </c>
      <c r="N205" s="151" t="s">
        <v>278</v>
      </c>
      <c r="O205" s="152" t="s">
        <v>279</v>
      </c>
    </row>
    <row r="206" spans="1:15" ht="16.5" customHeight="1" thickBot="1">
      <c r="A206" s="224"/>
      <c r="B206" s="226"/>
      <c r="C206" s="136">
        <f ca="1">SUM(C174:C204)</f>
        <v>16650000</v>
      </c>
      <c r="D206" s="140">
        <f ca="1">SUM(D174:D204)</f>
        <v>16777675.567413915</v>
      </c>
      <c r="E206" s="79">
        <f ca="1">IFERROR(F206 / (SUM($C174:$C204) / COUNT($C174:$C204)), 0)</f>
        <v>4.6009213482491797E-2</v>
      </c>
      <c r="F206" s="138">
        <f ca="1">SUM(F174:F204)</f>
        <v>127675.56741391474</v>
      </c>
      <c r="G206" s="140">
        <f ca="1">SUM(G174:G204)</f>
        <v>17016121.945427857</v>
      </c>
      <c r="H206" s="79">
        <f ca="1">IFERROR(I206 / (SUM($C174:$C204) / COUNT($C174:$C204)), 0)</f>
        <v>0.13193583619021867</v>
      </c>
      <c r="I206" s="138">
        <f ca="1">SUM(I174:I204)</f>
        <v>366121.94542785682</v>
      </c>
      <c r="J206" s="140">
        <f ca="1">SUM(J174:J204)</f>
        <v>17560490.24771145</v>
      </c>
      <c r="K206" s="79">
        <f ca="1">IFERROR(L206 / (SUM($C174:$C204) / COUNT($C174:$C204)), 0)</f>
        <v>0.32810459376989204</v>
      </c>
      <c r="L206" s="138">
        <f ca="1">SUM(L174:L204)</f>
        <v>910490.24771145044</v>
      </c>
      <c r="M206" s="140">
        <f ca="1">SUM(M174:M204)</f>
        <v>17275053.12871284</v>
      </c>
      <c r="N206" s="79">
        <f ca="1">IFERROR(O206 / (SUM($C174:$C204) / COUNT($C174:$C204)), 0)</f>
        <v>0.22524437070732911</v>
      </c>
      <c r="O206" s="138">
        <f ca="1">SUM(O174:O204)</f>
        <v>625053.12871283828</v>
      </c>
    </row>
    <row r="208" spans="1:15" ht="16.5" customHeight="1" thickBot="1"/>
    <row r="209" spans="1:15" ht="16.5" customHeight="1" thickBot="1">
      <c r="A209" s="203" t="str">
        <f>TEXT(투자전략!$G$1, "[$-ko-KR]yyyy년 mm월 ") &amp; "[동전코인] 전일대비 상승률 Bottom20 월말결산"</f>
        <v>2021년 10월 [동전코인] 전일대비 상승률 Bottom20 월말결산</v>
      </c>
      <c r="B209" s="204"/>
      <c r="C209" s="204"/>
      <c r="D209" s="204"/>
      <c r="E209" s="204"/>
      <c r="F209" s="204"/>
      <c r="G209" s="204"/>
      <c r="H209" s="204"/>
      <c r="I209" s="204"/>
      <c r="J209" s="204"/>
      <c r="K209" s="204"/>
      <c r="L209" s="204"/>
      <c r="M209" s="204"/>
      <c r="N209" s="204"/>
      <c r="O209" s="205"/>
    </row>
    <row r="210" spans="1:15" ht="16.5" customHeight="1" thickBot="1">
      <c r="A210" s="247" t="s">
        <v>282</v>
      </c>
      <c r="B210" s="224" t="s">
        <v>280</v>
      </c>
      <c r="C210" s="226"/>
      <c r="D210" s="224" t="s">
        <v>272</v>
      </c>
      <c r="E210" s="225"/>
      <c r="F210" s="226"/>
      <c r="G210" s="224" t="s">
        <v>273</v>
      </c>
      <c r="H210" s="225"/>
      <c r="I210" s="226"/>
      <c r="J210" s="224" t="s">
        <v>274</v>
      </c>
      <c r="K210" s="225"/>
      <c r="L210" s="226"/>
      <c r="M210" s="224" t="s">
        <v>275</v>
      </c>
      <c r="N210" s="225"/>
      <c r="O210" s="226"/>
    </row>
    <row r="211" spans="1:15" ht="16.5" customHeight="1" thickBot="1">
      <c r="A211" s="240"/>
      <c r="B211" s="154" t="s">
        <v>270</v>
      </c>
      <c r="C211" s="154" t="s">
        <v>42</v>
      </c>
      <c r="D211" s="121" t="s">
        <v>271</v>
      </c>
      <c r="E211" s="133" t="s">
        <v>40</v>
      </c>
      <c r="F211" s="156" t="s">
        <v>41</v>
      </c>
      <c r="G211" s="121" t="s">
        <v>271</v>
      </c>
      <c r="H211" s="133" t="s">
        <v>40</v>
      </c>
      <c r="I211" s="156" t="s">
        <v>41</v>
      </c>
      <c r="J211" s="121" t="s">
        <v>271</v>
      </c>
      <c r="K211" s="133" t="s">
        <v>40</v>
      </c>
      <c r="L211" s="156" t="s">
        <v>41</v>
      </c>
      <c r="M211" s="121" t="s">
        <v>271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2021.10.01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3094484.4068795652</v>
      </c>
      <c r="E212" s="76">
        <f ca="1">IFERROR(INDIRECT($B212&amp;"!E172"), "")</f>
        <v>3.1494802293188441E-2</v>
      </c>
      <c r="F212" s="141">
        <f ca="1">IFERROR(INDIRECT($B212&amp;"!F172"), "")</f>
        <v>94484.4068795653</v>
      </c>
      <c r="G212" s="142">
        <f ca="1">IFERROR($C212 * (1 + H212), "")</f>
        <v>3155121.0363195539</v>
      </c>
      <c r="H212" s="76">
        <f ca="1">IFERROR(INDIRECT($B212&amp;"!H172"), "")</f>
        <v>5.1707012106517999E-2</v>
      </c>
      <c r="I212" s="141">
        <f ca="1">IFERROR(INDIRECT($B212&amp;"!I172"), "")</f>
        <v>155121.03631955403</v>
      </c>
      <c r="J212" s="142">
        <f ca="1">IFERROR($C212 * (1 + K212), "")</f>
        <v>3244133.3353463132</v>
      </c>
      <c r="K212" s="76">
        <f ca="1">IFERROR(INDIRECT($B212&amp;"!K172"), "")</f>
        <v>8.1377778448771088E-2</v>
      </c>
      <c r="L212" s="141">
        <f ca="1">IFERROR(INDIRECT($B212&amp;"!L172"), "")</f>
        <v>244133.33534631325</v>
      </c>
      <c r="M212" s="142">
        <f ca="1">IFERROR($C212 * (1 + N212), "")</f>
        <v>3224791.9636872527</v>
      </c>
      <c r="N212" s="76">
        <f ca="1">IFERROR(INDIRECT($B212&amp;"!N172"), "")</f>
        <v>7.4930654562417473E-2</v>
      </c>
      <c r="O212" s="141">
        <f ca="1">IFERROR(INDIRECT($B212&amp;"!O172"), "")</f>
        <v>224791.9636872524</v>
      </c>
    </row>
    <row r="213" spans="1:15" ht="16.5" customHeight="1">
      <c r="A213" s="153">
        <v>2</v>
      </c>
      <c r="B213" s="153" t="str">
        <f>TEXT(투자전략!$G$1+1, "[$-ko-KR]yyyy.mm.dd")</f>
        <v>2021.10.02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3071251.3979486614</v>
      </c>
      <c r="E213" s="77">
        <f t="shared" ref="E213:E242" ca="1" si="67">IFERROR(INDIRECT($B213&amp;"!E172"), "")</f>
        <v>2.3750465982887169E-2</v>
      </c>
      <c r="F213" s="137">
        <f t="shared" ref="F213:F242" ca="1" si="68">IFERROR(INDIRECT($B213&amp;"!F172"), "")</f>
        <v>71251.397948661514</v>
      </c>
      <c r="G213" s="139">
        <f t="shared" ref="G213:G242" ca="1" si="69">IFERROR($C213 * (1 + H213), "")</f>
        <v>3108061.926576179</v>
      </c>
      <c r="H213" s="77">
        <f t="shared" ref="H213:H242" ca="1" si="70">IFERROR(INDIRECT($B213&amp;"!H172"), "")</f>
        <v>3.6020642192059756E-2</v>
      </c>
      <c r="I213" s="137">
        <f t="shared" ref="I213:I242" ca="1" si="71">IFERROR(INDIRECT($B213&amp;"!I172"), "")</f>
        <v>108061.92657617925</v>
      </c>
      <c r="J213" s="139">
        <f t="shared" ref="J213:J242" ca="1" si="72">IFERROR($C213 * (1 + K213), "")</f>
        <v>3116222.1279999637</v>
      </c>
      <c r="K213" s="77">
        <f t="shared" ref="K213:K242" ca="1" si="73">IFERROR(INDIRECT($B213&amp;"!K172"), "")</f>
        <v>3.874070933332123E-2</v>
      </c>
      <c r="L213" s="137">
        <f t="shared" ref="L213:L242" ca="1" si="74">IFERROR(INDIRECT($B213&amp;"!L172"), "")</f>
        <v>116222.12799996369</v>
      </c>
      <c r="M213" s="139">
        <f t="shared" ref="M213:M242" ca="1" si="75">IFERROR($C213 * (1 + N213), "")</f>
        <v>3182222.218805782</v>
      </c>
      <c r="N213" s="77">
        <f t="shared" ref="N213:N242" ca="1" si="76">IFERROR(INDIRECT($B213&amp;"!N172"), "")</f>
        <v>6.0740739601927253E-2</v>
      </c>
      <c r="O213" s="137">
        <f t="shared" ref="O213:O242" ca="1" si="77">IFERROR(INDIRECT($B213&amp;"!O172"), "")</f>
        <v>182222.21880578174</v>
      </c>
    </row>
    <row r="214" spans="1:15" ht="16.5" customHeight="1">
      <c r="A214" s="153">
        <v>3</v>
      </c>
      <c r="B214" s="153" t="str">
        <f>TEXT(투자전략!$G$1+2, "[$-ko-KR]yyyy.mm.dd")</f>
        <v>2021.10.03</v>
      </c>
      <c r="C214" s="135">
        <f t="shared" ca="1" si="65"/>
        <v>3000000</v>
      </c>
      <c r="D214" s="139">
        <f t="shared" ca="1" si="66"/>
        <v>3038756.9019533112</v>
      </c>
      <c r="E214" s="77">
        <f t="shared" ca="1" si="67"/>
        <v>1.2918967317770338E-2</v>
      </c>
      <c r="F214" s="137">
        <f t="shared" ca="1" si="68"/>
        <v>38756.901953311011</v>
      </c>
      <c r="G214" s="139">
        <f t="shared" ca="1" si="69"/>
        <v>3008344.8185395938</v>
      </c>
      <c r="H214" s="77">
        <f t="shared" ca="1" si="70"/>
        <v>2.7816061798645641E-3</v>
      </c>
      <c r="I214" s="137">
        <f t="shared" ca="1" si="71"/>
        <v>8344.8185395936944</v>
      </c>
      <c r="J214" s="139">
        <f t="shared" ca="1" si="72"/>
        <v>3007977.9807826742</v>
      </c>
      <c r="K214" s="77">
        <f t="shared" ca="1" si="73"/>
        <v>2.6593269275581267E-3</v>
      </c>
      <c r="L214" s="137">
        <f t="shared" ca="1" si="74"/>
        <v>7977.9807826743818</v>
      </c>
      <c r="M214" s="139">
        <f t="shared" ca="1" si="75"/>
        <v>3022946.9981475347</v>
      </c>
      <c r="N214" s="77">
        <f t="shared" ca="1" si="76"/>
        <v>7.6489993825114592E-3</v>
      </c>
      <c r="O214" s="137">
        <f t="shared" ca="1" si="77"/>
        <v>22946.998147534381</v>
      </c>
    </row>
    <row r="215" spans="1:15" ht="16.5" customHeight="1">
      <c r="A215" s="153">
        <v>4</v>
      </c>
      <c r="B215" s="153" t="str">
        <f>TEXT(투자전략!$G$1+3, "[$-ko-KR]yyyy.mm.dd")</f>
        <v>2021.10.04</v>
      </c>
      <c r="C215" s="135">
        <f t="shared" ca="1" si="65"/>
        <v>3000000</v>
      </c>
      <c r="D215" s="139">
        <f t="shared" ca="1" si="66"/>
        <v>2954910.3619661406</v>
      </c>
      <c r="E215" s="77">
        <f t="shared" ca="1" si="67"/>
        <v>-1.5029879344619874E-2</v>
      </c>
      <c r="F215" s="137">
        <f t="shared" ca="1" si="68"/>
        <v>-45089.638033859614</v>
      </c>
      <c r="G215" s="139">
        <f t="shared" ca="1" si="69"/>
        <v>2954736.8321055467</v>
      </c>
      <c r="H215" s="77">
        <f t="shared" ca="1" si="70"/>
        <v>-1.5087722631484507E-2</v>
      </c>
      <c r="I215" s="137">
        <f t="shared" ca="1" si="71"/>
        <v>-45263.167894453516</v>
      </c>
      <c r="J215" s="139">
        <f t="shared" ca="1" si="72"/>
        <v>2948285.8403949854</v>
      </c>
      <c r="K215" s="77">
        <f t="shared" ca="1" si="73"/>
        <v>-1.7238053201671485E-2</v>
      </c>
      <c r="L215" s="137">
        <f t="shared" ca="1" si="74"/>
        <v>-51714.159605014458</v>
      </c>
      <c r="M215" s="139">
        <f t="shared" ca="1" si="75"/>
        <v>2945043.3403341025</v>
      </c>
      <c r="N215" s="77">
        <f t="shared" ca="1" si="76"/>
        <v>-1.8318886555299264E-2</v>
      </c>
      <c r="O215" s="137">
        <f t="shared" ca="1" si="77"/>
        <v>-54956.659665897801</v>
      </c>
    </row>
    <row r="216" spans="1:15" ht="16.5" customHeight="1">
      <c r="A216" s="153">
        <v>5</v>
      </c>
      <c r="B216" s="153" t="str">
        <f>TEXT(투자전략!$G$1+4, "[$-ko-KR]yyyy.mm.dd")</f>
        <v>2021.10.05</v>
      </c>
      <c r="C216" s="135">
        <f t="shared" ca="1" si="65"/>
        <v>3000000</v>
      </c>
      <c r="D216" s="139">
        <f t="shared" ca="1" si="66"/>
        <v>3044537.1445986088</v>
      </c>
      <c r="E216" s="77">
        <f t="shared" ca="1" si="67"/>
        <v>1.4845714866202796E-2</v>
      </c>
      <c r="F216" s="137">
        <f t="shared" ca="1" si="68"/>
        <v>44537.144598608371</v>
      </c>
      <c r="G216" s="139">
        <f t="shared" ca="1" si="69"/>
        <v>3117322.0543996408</v>
      </c>
      <c r="H216" s="77">
        <f t="shared" ca="1" si="70"/>
        <v>3.9107351466546932E-2</v>
      </c>
      <c r="I216" s="137">
        <f t="shared" ca="1" si="71"/>
        <v>117322.05439964079</v>
      </c>
      <c r="J216" s="139">
        <f t="shared" ca="1" si="72"/>
        <v>3219324.907739385</v>
      </c>
      <c r="K216" s="77">
        <f t="shared" ca="1" si="73"/>
        <v>7.3108302579795059E-2</v>
      </c>
      <c r="L216" s="137">
        <f t="shared" ca="1" si="74"/>
        <v>219324.90773938515</v>
      </c>
      <c r="M216" s="139">
        <f t="shared" ca="1" si="75"/>
        <v>3131853.0973914936</v>
      </c>
      <c r="N216" s="77">
        <f t="shared" ca="1" si="76"/>
        <v>4.3951032463831224E-2</v>
      </c>
      <c r="O216" s="137">
        <f t="shared" ca="1" si="77"/>
        <v>131853.09739149373</v>
      </c>
    </row>
    <row r="217" spans="1:15" ht="16.5" customHeight="1">
      <c r="A217" s="153">
        <v>6</v>
      </c>
      <c r="B217" s="153" t="str">
        <f>TEXT(투자전략!$G$1+5, "[$-ko-KR]yyyy.mm.dd")</f>
        <v>2021.10.06</v>
      </c>
      <c r="C217" s="135">
        <f t="shared" ca="1" si="65"/>
        <v>3000000</v>
      </c>
      <c r="D217" s="139">
        <f t="shared" ca="1" si="66"/>
        <v>3238366.1276066829</v>
      </c>
      <c r="E217" s="77">
        <f t="shared" ca="1" si="67"/>
        <v>7.9455375868894243E-2</v>
      </c>
      <c r="F217" s="137">
        <f t="shared" ca="1" si="68"/>
        <v>238366.12760668274</v>
      </c>
      <c r="G217" s="139">
        <f t="shared" ca="1" si="69"/>
        <v>3153992.9935037154</v>
      </c>
      <c r="H217" s="77">
        <f t="shared" ca="1" si="70"/>
        <v>5.1330997834571776E-2</v>
      </c>
      <c r="I217" s="137">
        <f t="shared" ca="1" si="71"/>
        <v>153992.99350371532</v>
      </c>
      <c r="J217" s="139">
        <f t="shared" ca="1" si="72"/>
        <v>3213149.5441647791</v>
      </c>
      <c r="K217" s="77">
        <f t="shared" ca="1" si="73"/>
        <v>7.104984805492634E-2</v>
      </c>
      <c r="L217" s="137">
        <f t="shared" ca="1" si="74"/>
        <v>213149.54416477901</v>
      </c>
      <c r="M217" s="139">
        <f t="shared" ca="1" si="75"/>
        <v>3000000</v>
      </c>
      <c r="N217" s="77">
        <f t="shared" ca="1" si="76"/>
        <v>0</v>
      </c>
      <c r="O217" s="137">
        <f t="shared" ca="1" si="77"/>
        <v>0</v>
      </c>
    </row>
    <row r="218" spans="1:15" ht="16.5" customHeight="1" thickBot="1">
      <c r="A218" s="155">
        <v>7</v>
      </c>
      <c r="B218" s="155" t="str">
        <f>TEXT(투자전략!$G$1+6, "[$-ko-KR]yyyy.mm.dd")</f>
        <v>2021.10.07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2021.10.08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2021.10.09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2021.10.10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2021.10.11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2021.10.12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2021.10.13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2021.10.14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2021.10.15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2021.10.16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2021.10.17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2021.10.18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2021.10.19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2021.10.20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2021.10.21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2021.10.22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2021.10.23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2021.10.24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2021.10.25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2021.10.26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2021.10.27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2021.10.28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2021.10.29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2021.10.30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31" t="s">
        <v>281</v>
      </c>
      <c r="B243" s="233"/>
      <c r="C243" s="132" t="s">
        <v>276</v>
      </c>
      <c r="D243" s="150" t="s">
        <v>277</v>
      </c>
      <c r="E243" s="151" t="s">
        <v>278</v>
      </c>
      <c r="F243" s="152" t="s">
        <v>279</v>
      </c>
      <c r="G243" s="150" t="s">
        <v>277</v>
      </c>
      <c r="H243" s="151" t="s">
        <v>278</v>
      </c>
      <c r="I243" s="152" t="s">
        <v>279</v>
      </c>
      <c r="J243" s="150" t="s">
        <v>277</v>
      </c>
      <c r="K243" s="151" t="s">
        <v>278</v>
      </c>
      <c r="L243" s="152" t="s">
        <v>279</v>
      </c>
      <c r="M243" s="150" t="s">
        <v>277</v>
      </c>
      <c r="N243" s="151" t="s">
        <v>278</v>
      </c>
      <c r="O243" s="152" t="s">
        <v>279</v>
      </c>
    </row>
    <row r="244" spans="1:15" ht="16.5" customHeight="1" thickBot="1">
      <c r="A244" s="224"/>
      <c r="B244" s="226"/>
      <c r="C244" s="136">
        <f ca="1">SUM(C212:C242)</f>
        <v>18000000</v>
      </c>
      <c r="D244" s="140">
        <f ca="1">SUM(D212:D242)</f>
        <v>18442306.34095297</v>
      </c>
      <c r="E244" s="79">
        <f ca="1">IFERROR(F244 / (SUM($C212:$C242) / COUNT($C212:$C242)), 0)</f>
        <v>0.14743544698432309</v>
      </c>
      <c r="F244" s="138">
        <f ca="1">SUM(F212:F242)</f>
        <v>442306.34095296927</v>
      </c>
      <c r="G244" s="140">
        <f ca="1">SUM(G212:G242)</f>
        <v>18497579.661444228</v>
      </c>
      <c r="H244" s="79">
        <f ca="1">IFERROR(I244 / (SUM($C212:$C242) / COUNT($C212:$C242)), 0)</f>
        <v>0.16585988714807653</v>
      </c>
      <c r="I244" s="138">
        <f ca="1">SUM(I212:I242)</f>
        <v>497579.6614442296</v>
      </c>
      <c r="J244" s="140">
        <f ca="1">SUM(J212:J242)</f>
        <v>18749093.736428101</v>
      </c>
      <c r="K244" s="79">
        <f ca="1">IFERROR(L244 / (SUM($C212:$C242) / COUNT($C212:$C242)), 0)</f>
        <v>0.24969791214270037</v>
      </c>
      <c r="L244" s="138">
        <f ca="1">SUM(L212:L242)</f>
        <v>749093.73642810108</v>
      </c>
      <c r="M244" s="140">
        <f ca="1">SUM(M212:M242)</f>
        <v>18506857.618366167</v>
      </c>
      <c r="N244" s="79">
        <f ca="1">IFERROR(O244 / (SUM($C212:$C242) / COUNT($C212:$C242)), 0)</f>
        <v>0.16895253945538816</v>
      </c>
      <c r="O244" s="138">
        <f ca="1">SUM(O212:O242)</f>
        <v>506857.6183661645</v>
      </c>
    </row>
    <row r="246" spans="1:15" ht="16.5" customHeight="1" thickBot="1"/>
    <row r="247" spans="1:15" ht="16.5" customHeight="1" thickBot="1">
      <c r="A247" s="203" t="str">
        <f>TEXT(투자전략!$G$1, "[$-ko-KR]yyyy년 mm월 ") &amp; "전일대비 상승률 Bottom20 월말결산"</f>
        <v>2021년 10월 전일대비 상승률 Bottom20 월말결산</v>
      </c>
      <c r="B247" s="204"/>
      <c r="C247" s="204"/>
      <c r="D247" s="204"/>
      <c r="E247" s="204"/>
      <c r="F247" s="204"/>
      <c r="G247" s="204"/>
      <c r="H247" s="204"/>
      <c r="I247" s="204"/>
      <c r="J247" s="204"/>
      <c r="K247" s="204"/>
      <c r="L247" s="204"/>
      <c r="M247" s="204"/>
      <c r="N247" s="204"/>
      <c r="O247" s="205"/>
    </row>
    <row r="248" spans="1:15" ht="16.5" customHeight="1" thickBot="1">
      <c r="A248" s="247" t="s">
        <v>282</v>
      </c>
      <c r="B248" s="224" t="s">
        <v>280</v>
      </c>
      <c r="C248" s="226"/>
      <c r="D248" s="224" t="s">
        <v>272</v>
      </c>
      <c r="E248" s="225"/>
      <c r="F248" s="226"/>
      <c r="G248" s="224" t="s">
        <v>273</v>
      </c>
      <c r="H248" s="225"/>
      <c r="I248" s="226"/>
      <c r="J248" s="224" t="s">
        <v>274</v>
      </c>
      <c r="K248" s="225"/>
      <c r="L248" s="226"/>
      <c r="M248" s="224" t="s">
        <v>275</v>
      </c>
      <c r="N248" s="225"/>
      <c r="O248" s="226"/>
    </row>
    <row r="249" spans="1:15" ht="16.5" customHeight="1" thickBot="1">
      <c r="A249" s="240"/>
      <c r="B249" s="154" t="s">
        <v>270</v>
      </c>
      <c r="C249" s="154" t="s">
        <v>42</v>
      </c>
      <c r="D249" s="121" t="s">
        <v>271</v>
      </c>
      <c r="E249" s="133" t="s">
        <v>40</v>
      </c>
      <c r="F249" s="156" t="s">
        <v>41</v>
      </c>
      <c r="G249" s="121" t="s">
        <v>271</v>
      </c>
      <c r="H249" s="133" t="s">
        <v>40</v>
      </c>
      <c r="I249" s="156" t="s">
        <v>41</v>
      </c>
      <c r="J249" s="121" t="s">
        <v>271</v>
      </c>
      <c r="K249" s="133" t="s">
        <v>40</v>
      </c>
      <c r="L249" s="156" t="s">
        <v>41</v>
      </c>
      <c r="M249" s="121" t="s">
        <v>271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2021.10.01</v>
      </c>
      <c r="C250" s="134">
        <f ca="1">IFERROR(COUNTA(INDIRECT($B250&amp;"!A179:A198")) * INDIRECT($B250&amp;"!B199"), "")</f>
        <v>3000000</v>
      </c>
      <c r="D250" s="142">
        <f ca="1">IFERROR($C250 * (1 + E250), "")</f>
        <v>3065782.7523155906</v>
      </c>
      <c r="E250" s="76">
        <f ca="1">IFERROR(INDIRECT($B250&amp;"!E199"), "")</f>
        <v>2.1927584105196816E-2</v>
      </c>
      <c r="F250" s="141">
        <f ca="1">IFERROR(INDIRECT($B250&amp;"!F199"), "")</f>
        <v>65782.752315590464</v>
      </c>
      <c r="G250" s="142">
        <f ca="1">IFERROR($C250 * (1 + H250), "")</f>
        <v>3127890.4903988</v>
      </c>
      <c r="H250" s="76">
        <f ca="1">IFERROR(INDIRECT($B250&amp;"!H199"), "")</f>
        <v>4.2630163466266656E-2</v>
      </c>
      <c r="I250" s="141">
        <f ca="1">IFERROR(INDIRECT($B250&amp;"!I199"), "")</f>
        <v>127890.49039879996</v>
      </c>
      <c r="J250" s="142">
        <f ca="1">IFERROR($C250 * (1 + K250), "")</f>
        <v>3224915.9405365041</v>
      </c>
      <c r="K250" s="76">
        <f ca="1">IFERROR(INDIRECT($B250&amp;"!K199"), "")</f>
        <v>7.4971980178834732E-2</v>
      </c>
      <c r="L250" s="141">
        <f ca="1">IFERROR(INDIRECT($B250&amp;"!L199"), "")</f>
        <v>224915.94053650417</v>
      </c>
      <c r="M250" s="142">
        <f ca="1">IFERROR($C250 * (1 + N250), "")</f>
        <v>3203582.6097422871</v>
      </c>
      <c r="N250" s="76">
        <f ca="1">IFERROR(INDIRECT($B250&amp;"!N199"), "")</f>
        <v>6.7860869914095623E-2</v>
      </c>
      <c r="O250" s="141">
        <f ca="1">IFERROR(INDIRECT($B250&amp;"!O199"), "")</f>
        <v>203582.60974228685</v>
      </c>
    </row>
    <row r="251" spans="1:15" ht="16.5" customHeight="1">
      <c r="A251" s="153">
        <v>2</v>
      </c>
      <c r="B251" s="153" t="str">
        <f>TEXT(투자전략!$G$1+1, "[$-ko-KR]yyyy.mm.dd")</f>
        <v>2021.10.02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3050529.0582561498</v>
      </c>
      <c r="E251" s="77">
        <f t="shared" ref="E251:E280" ca="1" si="80">IFERROR(INDIRECT($B251&amp;"!E199"), "")</f>
        <v>1.6843019418716573E-2</v>
      </c>
      <c r="F251" s="137">
        <f t="shared" ref="F251:F280" ca="1" si="81">IFERROR(INDIRECT($B251&amp;"!F199"), "")</f>
        <v>50529.058256149721</v>
      </c>
      <c r="G251" s="139">
        <f t="shared" ref="G251:G280" ca="1" si="82">IFERROR($C251 * (1 + H251), "")</f>
        <v>3094645.9168907087</v>
      </c>
      <c r="H251" s="77">
        <f t="shared" ref="H251:H280" ca="1" si="83">IFERROR(INDIRECT($B251&amp;"!H199"), "")</f>
        <v>3.1548638963569582E-2</v>
      </c>
      <c r="I251" s="137">
        <f t="shared" ref="I251:I280" ca="1" si="84">IFERROR(INDIRECT($B251&amp;"!I199"), "")</f>
        <v>94645.916890708744</v>
      </c>
      <c r="J251" s="139">
        <f t="shared" ref="J251:J280" ca="1" si="85">IFERROR($C251 * (1 + K251), "")</f>
        <v>3114493.9329761663</v>
      </c>
      <c r="K251" s="77">
        <f t="shared" ref="K251:K280" ca="1" si="86">IFERROR(INDIRECT($B251&amp;"!K199"), "")</f>
        <v>3.8164644325388741E-2</v>
      </c>
      <c r="L251" s="137">
        <f t="shared" ref="L251:L280" ca="1" si="87">IFERROR(INDIRECT($B251&amp;"!L199"), "")</f>
        <v>114493.93297616624</v>
      </c>
      <c r="M251" s="139">
        <f t="shared" ref="M251:M280" ca="1" si="88">IFERROR($C251 * (1 + N251), "")</f>
        <v>3175622.4938982381</v>
      </c>
      <c r="N251" s="77">
        <f t="shared" ref="N251:N280" ca="1" si="89">IFERROR(INDIRECT($B251&amp;"!N199"), "")</f>
        <v>5.8540831299412677E-2</v>
      </c>
      <c r="O251" s="137">
        <f t="shared" ref="O251:O280" ca="1" si="90">IFERROR(INDIRECT($B251&amp;"!O199"), "")</f>
        <v>175622.49389823797</v>
      </c>
    </row>
    <row r="252" spans="1:15" ht="16.5" customHeight="1">
      <c r="A252" s="153">
        <v>3</v>
      </c>
      <c r="B252" s="153" t="str">
        <f>TEXT(투자전략!$G$1+2, "[$-ko-KR]yyyy.mm.dd")</f>
        <v>2021.10.03</v>
      </c>
      <c r="C252" s="135">
        <f t="shared" ca="1" si="78"/>
        <v>3000000</v>
      </c>
      <c r="D252" s="139">
        <f t="shared" ca="1" si="79"/>
        <v>3025149.0026203655</v>
      </c>
      <c r="E252" s="77">
        <f t="shared" ca="1" si="80"/>
        <v>8.3830008734550668E-3</v>
      </c>
      <c r="F252" s="137">
        <f t="shared" ca="1" si="81"/>
        <v>25149.002620365209</v>
      </c>
      <c r="G252" s="139">
        <f t="shared" ca="1" si="82"/>
        <v>2983806.8321609981</v>
      </c>
      <c r="H252" s="77">
        <f t="shared" ca="1" si="83"/>
        <v>-5.3977226130006162E-3</v>
      </c>
      <c r="I252" s="137">
        <f t="shared" ca="1" si="84"/>
        <v>-16193.16783900185</v>
      </c>
      <c r="J252" s="139">
        <f t="shared" ca="1" si="85"/>
        <v>2987246.5695466432</v>
      </c>
      <c r="K252" s="77">
        <f t="shared" ca="1" si="86"/>
        <v>-4.2511434844521969E-3</v>
      </c>
      <c r="L252" s="137">
        <f t="shared" ca="1" si="87"/>
        <v>-12753.430453356592</v>
      </c>
      <c r="M252" s="139">
        <f t="shared" ca="1" si="88"/>
        <v>3003564.7212656257</v>
      </c>
      <c r="N252" s="77">
        <f t="shared" ca="1" si="89"/>
        <v>1.1882404218751714E-3</v>
      </c>
      <c r="O252" s="137">
        <f t="shared" ca="1" si="90"/>
        <v>3564.721265625516</v>
      </c>
    </row>
    <row r="253" spans="1:15" ht="16.5" customHeight="1">
      <c r="A253" s="153">
        <v>4</v>
      </c>
      <c r="B253" s="153" t="str">
        <f>TEXT(투자전략!$G$1+3, "[$-ko-KR]yyyy.mm.dd")</f>
        <v>2021.10.04</v>
      </c>
      <c r="C253" s="135">
        <f t="shared" ca="1" si="78"/>
        <v>3000000</v>
      </c>
      <c r="D253" s="139">
        <f t="shared" ca="1" si="79"/>
        <v>2941887.9151823395</v>
      </c>
      <c r="E253" s="77">
        <f t="shared" ca="1" si="80"/>
        <v>-1.9370694939220154E-2</v>
      </c>
      <c r="F253" s="137">
        <f t="shared" ca="1" si="81"/>
        <v>-58112.08481766047</v>
      </c>
      <c r="G253" s="139">
        <f t="shared" ca="1" si="82"/>
        <v>2955238.3261327082</v>
      </c>
      <c r="H253" s="77">
        <f t="shared" ca="1" si="83"/>
        <v>-1.4920557955763806E-2</v>
      </c>
      <c r="I253" s="137">
        <f t="shared" ca="1" si="84"/>
        <v>-44761.673867291414</v>
      </c>
      <c r="J253" s="139">
        <f t="shared" ca="1" si="85"/>
        <v>2952819.8913281718</v>
      </c>
      <c r="K253" s="77">
        <f t="shared" ca="1" si="86"/>
        <v>-1.572670289060938E-2</v>
      </c>
      <c r="L253" s="137">
        <f t="shared" ca="1" si="87"/>
        <v>-47180.108671828144</v>
      </c>
      <c r="M253" s="139">
        <f t="shared" ca="1" si="88"/>
        <v>2937423.6461010319</v>
      </c>
      <c r="N253" s="77">
        <f t="shared" ca="1" si="89"/>
        <v>-2.0858784632989329E-2</v>
      </c>
      <c r="O253" s="137">
        <f t="shared" ca="1" si="90"/>
        <v>-62576.353898967995</v>
      </c>
    </row>
    <row r="254" spans="1:15" ht="16.5" customHeight="1">
      <c r="A254" s="153">
        <v>5</v>
      </c>
      <c r="B254" s="153" t="str">
        <f>TEXT(투자전략!$G$1+4, "[$-ko-KR]yyyy.mm.dd")</f>
        <v>2021.10.05</v>
      </c>
      <c r="C254" s="135">
        <f t="shared" ca="1" si="78"/>
        <v>3000000</v>
      </c>
      <c r="D254" s="139">
        <f t="shared" ca="1" si="79"/>
        <v>3073162.2493164921</v>
      </c>
      <c r="E254" s="77">
        <f t="shared" ca="1" si="80"/>
        <v>2.4387416438830706E-2</v>
      </c>
      <c r="F254" s="137">
        <f t="shared" ca="1" si="81"/>
        <v>73162.249316492103</v>
      </c>
      <c r="G254" s="139">
        <f t="shared" ca="1" si="82"/>
        <v>3136758.3640757212</v>
      </c>
      <c r="H254" s="77">
        <f t="shared" ca="1" si="83"/>
        <v>4.5586121358573858E-2</v>
      </c>
      <c r="I254" s="137">
        <f t="shared" ca="1" si="84"/>
        <v>136758.36407572153</v>
      </c>
      <c r="J254" s="139">
        <f t="shared" ca="1" si="85"/>
        <v>3229150.9457697975</v>
      </c>
      <c r="K254" s="77">
        <f t="shared" ca="1" si="86"/>
        <v>7.6383648589932546E-2</v>
      </c>
      <c r="L254" s="137">
        <f t="shared" ca="1" si="87"/>
        <v>229150.94576979763</v>
      </c>
      <c r="M254" s="139">
        <f t="shared" ca="1" si="88"/>
        <v>3124158.7686567819</v>
      </c>
      <c r="N254" s="77">
        <f t="shared" ca="1" si="89"/>
        <v>4.1386256218927296E-2</v>
      </c>
      <c r="O254" s="137">
        <f t="shared" ca="1" si="90"/>
        <v>124158.76865678192</v>
      </c>
    </row>
    <row r="255" spans="1:15" ht="16.5" customHeight="1">
      <c r="A255" s="153">
        <v>6</v>
      </c>
      <c r="B255" s="153" t="str">
        <f>TEXT(투자전략!$G$1+5, "[$-ko-KR]yyyy.mm.dd")</f>
        <v>2021.10.06</v>
      </c>
      <c r="C255" s="135">
        <f t="shared" ca="1" si="78"/>
        <v>3000000</v>
      </c>
      <c r="D255" s="139">
        <f t="shared" ca="1" si="79"/>
        <v>3147829.6123437593</v>
      </c>
      <c r="E255" s="77">
        <f t="shared" ca="1" si="80"/>
        <v>4.9276537447919808E-2</v>
      </c>
      <c r="F255" s="137">
        <f t="shared" ca="1" si="81"/>
        <v>147829.61234375948</v>
      </c>
      <c r="G255" s="139">
        <f t="shared" ca="1" si="82"/>
        <v>3075647.472582303</v>
      </c>
      <c r="H255" s="77">
        <f t="shared" ca="1" si="83"/>
        <v>2.5215824194100865E-2</v>
      </c>
      <c r="I255" s="137">
        <f t="shared" ca="1" si="84"/>
        <v>75647.472582302609</v>
      </c>
      <c r="J255" s="139">
        <f t="shared" ca="1" si="85"/>
        <v>3075969.2842669818</v>
      </c>
      <c r="K255" s="77">
        <f t="shared" ca="1" si="86"/>
        <v>2.5323094755660653E-2</v>
      </c>
      <c r="L255" s="137">
        <f t="shared" ca="1" si="87"/>
        <v>75969.284266981966</v>
      </c>
      <c r="M255" s="139">
        <f t="shared" ca="1" si="88"/>
        <v>3000000</v>
      </c>
      <c r="N255" s="77">
        <f t="shared" ca="1" si="89"/>
        <v>0</v>
      </c>
      <c r="O255" s="137">
        <f t="shared" ca="1" si="90"/>
        <v>0</v>
      </c>
    </row>
    <row r="256" spans="1:15" ht="16.5" customHeight="1" thickBot="1">
      <c r="A256" s="155">
        <v>7</v>
      </c>
      <c r="B256" s="155" t="str">
        <f>TEXT(투자전략!$G$1+6, "[$-ko-KR]yyyy.mm.dd")</f>
        <v>2021.10.07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2021.10.08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2021.10.09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2021.10.10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2021.10.11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2021.10.12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2021.10.13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2021.10.14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2021.10.15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2021.10.16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2021.10.17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2021.10.18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2021.10.19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2021.10.20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2021.10.21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2021.10.22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2021.10.23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2021.10.24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2021.10.25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2021.10.26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2021.10.27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2021.10.28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2021.10.29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2021.10.30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31" t="s">
        <v>281</v>
      </c>
      <c r="B281" s="233"/>
      <c r="C281" s="132" t="s">
        <v>276</v>
      </c>
      <c r="D281" s="150" t="s">
        <v>277</v>
      </c>
      <c r="E281" s="151" t="s">
        <v>278</v>
      </c>
      <c r="F281" s="152" t="s">
        <v>279</v>
      </c>
      <c r="G281" s="150" t="s">
        <v>277</v>
      </c>
      <c r="H281" s="151" t="s">
        <v>278</v>
      </c>
      <c r="I281" s="152" t="s">
        <v>279</v>
      </c>
      <c r="J281" s="150" t="s">
        <v>277</v>
      </c>
      <c r="K281" s="151" t="s">
        <v>278</v>
      </c>
      <c r="L281" s="152" t="s">
        <v>279</v>
      </c>
      <c r="M281" s="150" t="s">
        <v>277</v>
      </c>
      <c r="N281" s="151" t="s">
        <v>278</v>
      </c>
      <c r="O281" s="152" t="s">
        <v>279</v>
      </c>
    </row>
    <row r="282" spans="1:15" ht="16.5" customHeight="1" thickBot="1">
      <c r="A282" s="224"/>
      <c r="B282" s="226"/>
      <c r="C282" s="136">
        <f ca="1">SUM(C250:C280)</f>
        <v>18000000</v>
      </c>
      <c r="D282" s="140">
        <f ca="1">SUM(D250:D280)</f>
        <v>18304340.590034697</v>
      </c>
      <c r="E282" s="79">
        <f ca="1">IFERROR(F282 / (SUM($C250:$C280) / COUNT($C250:$C280)), 0)</f>
        <v>0.10144686334489883</v>
      </c>
      <c r="F282" s="138">
        <f ca="1">SUM(F250:F280)</f>
        <v>304340.59003469651</v>
      </c>
      <c r="G282" s="140">
        <f ca="1">SUM(G250:G280)</f>
        <v>18373987.402241237</v>
      </c>
      <c r="H282" s="79">
        <f ca="1">IFERROR(I282 / (SUM($C250:$C280) / COUNT($C250:$C280)), 0)</f>
        <v>0.12466246741374652</v>
      </c>
      <c r="I282" s="138">
        <f ca="1">SUM(I250:I280)</f>
        <v>373987.40224123956</v>
      </c>
      <c r="J282" s="140">
        <f ca="1">SUM(J250:J280)</f>
        <v>18584596.564424265</v>
      </c>
      <c r="K282" s="79">
        <f ca="1">IFERROR(L282 / (SUM($C250:$C280) / COUNT($C250:$C280)), 0)</f>
        <v>0.19486552147475511</v>
      </c>
      <c r="L282" s="138">
        <f ca="1">SUM(L250:L280)</f>
        <v>584596.56442426529</v>
      </c>
      <c r="M282" s="140">
        <f ca="1">SUM(M250:M280)</f>
        <v>18444352.239663962</v>
      </c>
      <c r="N282" s="79">
        <f ca="1">IFERROR(O282 / (SUM($C250:$C280) / COUNT($C250:$C280)), 0)</f>
        <v>0.14811741322132141</v>
      </c>
      <c r="O282" s="138">
        <f ca="1">SUM(O250:O280)</f>
        <v>444352.2396639642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1319" priority="323">
      <formula>$E$54 &gt; 0</formula>
    </cfRule>
    <cfRule type="expression" dxfId="1318" priority="324">
      <formula>$E$54 = 0</formula>
    </cfRule>
    <cfRule type="expression" dxfId="1317" priority="325">
      <formula>$E$54 &lt; 0</formula>
    </cfRule>
  </conditionalFormatting>
  <conditionalFormatting sqref="G20:I21 H54:I54">
    <cfRule type="expression" dxfId="1316" priority="320">
      <formula>$H$54 &gt; 0</formula>
    </cfRule>
    <cfRule type="expression" dxfId="1315" priority="321">
      <formula>$H$54 = 0</formula>
    </cfRule>
    <cfRule type="expression" dxfId="1314" priority="322">
      <formula>$H$54 &lt; 0</formula>
    </cfRule>
  </conditionalFormatting>
  <conditionalFormatting sqref="J20:L21 K54:L54">
    <cfRule type="expression" dxfId="1313" priority="317">
      <formula>$K$54 &gt; 0</formula>
    </cfRule>
    <cfRule type="expression" dxfId="1312" priority="318">
      <formula>$K$54 = 0</formula>
    </cfRule>
    <cfRule type="expression" dxfId="1311" priority="319">
      <formula>$K$54 &lt; 0</formula>
    </cfRule>
  </conditionalFormatting>
  <conditionalFormatting sqref="M20:O21 N54:O54">
    <cfRule type="expression" dxfId="1310" priority="314">
      <formula>$N$54 &gt; 0</formula>
    </cfRule>
    <cfRule type="expression" dxfId="1309" priority="315">
      <formula>$N$54 = 0</formula>
    </cfRule>
    <cfRule type="expression" dxfId="1308" priority="316">
      <formula>$N$54 &lt; 0</formula>
    </cfRule>
  </conditionalFormatting>
  <conditionalFormatting sqref="D22:F52">
    <cfRule type="expression" dxfId="1307" priority="299">
      <formula>AND($E22 &gt; 0, ISNUMBER($E22))</formula>
    </cfRule>
    <cfRule type="expression" dxfId="1306" priority="300">
      <formula>AND($E22 = 0, ISNUMBER($E22))</formula>
    </cfRule>
    <cfRule type="expression" dxfId="1305" priority="301">
      <formula>AND($E22 &lt; 0, ISNUMBER($E22))</formula>
    </cfRule>
  </conditionalFormatting>
  <conditionalFormatting sqref="G22:I52">
    <cfRule type="expression" dxfId="1304" priority="296">
      <formula>AND($H22 &gt; 0, ISNUMBER($H22))</formula>
    </cfRule>
    <cfRule type="expression" dxfId="1303" priority="297">
      <formula>AND($H22 = 0, ISNUMBER($H22))</formula>
    </cfRule>
    <cfRule type="expression" dxfId="1302" priority="298">
      <formula>AND($H22 &lt; 0, ISNUMBER($H22))</formula>
    </cfRule>
  </conditionalFormatting>
  <conditionalFormatting sqref="J22:L52">
    <cfRule type="expression" dxfId="1301" priority="293">
      <formula>AND($K22 &gt; 0, ISNUMBER($K22))</formula>
    </cfRule>
    <cfRule type="expression" dxfId="1300" priority="294">
      <formula>AND($K22 = 0, ISNUMBER($K22))</formula>
    </cfRule>
    <cfRule type="expression" dxfId="1299" priority="295">
      <formula>AND($K22 &lt; 0, ISNUMBER($K22))</formula>
    </cfRule>
  </conditionalFormatting>
  <conditionalFormatting sqref="M22:O52">
    <cfRule type="expression" dxfId="1298" priority="290">
      <formula>AND($N22 &gt; 0, ISNUMBER($N22))</formula>
    </cfRule>
    <cfRule type="expression" dxfId="1297" priority="291">
      <formula>AND($N22 = 0, ISNUMBER($N22))</formula>
    </cfRule>
    <cfRule type="expression" dxfId="1296" priority="292">
      <formula>AND($N22 &lt; 0, ISNUMBER($N22))</formula>
    </cfRule>
  </conditionalFormatting>
  <conditionalFormatting sqref="D58:F59 E92:F92">
    <cfRule type="expression" dxfId="1295" priority="287">
      <formula>$E$92 &gt; 0</formula>
    </cfRule>
    <cfRule type="expression" dxfId="1294" priority="288">
      <formula>$E$92 = 0</formula>
    </cfRule>
    <cfRule type="expression" dxfId="1293" priority="289">
      <formula>$E$92 &lt; 0</formula>
    </cfRule>
  </conditionalFormatting>
  <conditionalFormatting sqref="G58:I59 H92:I92">
    <cfRule type="expression" dxfId="1292" priority="284">
      <formula>$H$92 &gt; 0</formula>
    </cfRule>
    <cfRule type="expression" dxfId="1291" priority="285">
      <formula>$H$92 = 0</formula>
    </cfRule>
    <cfRule type="expression" dxfId="1290" priority="286">
      <formula>$H$92 &lt; 0</formula>
    </cfRule>
  </conditionalFormatting>
  <conditionalFormatting sqref="J58:L59 K92:L92">
    <cfRule type="expression" dxfId="1289" priority="281">
      <formula>$K$92 &gt; 0</formula>
    </cfRule>
    <cfRule type="expression" dxfId="1288" priority="282">
      <formula>$K$92 = 0</formula>
    </cfRule>
    <cfRule type="expression" dxfId="1287" priority="283">
      <formula>$K$92 &lt; 0</formula>
    </cfRule>
  </conditionalFormatting>
  <conditionalFormatting sqref="M58:O59 N92:O92">
    <cfRule type="expression" dxfId="1286" priority="278">
      <formula>$N$92 &gt; 0</formula>
    </cfRule>
    <cfRule type="expression" dxfId="1285" priority="279">
      <formula>$N$92 = 0</formula>
    </cfRule>
    <cfRule type="expression" dxfId="1284" priority="280">
      <formula>$N$92 &lt; 0</formula>
    </cfRule>
  </conditionalFormatting>
  <conditionalFormatting sqref="D60:F90">
    <cfRule type="expression" dxfId="1283" priority="275">
      <formula>AND($E60 &gt; 0, ISNUMBER($E60))</formula>
    </cfRule>
    <cfRule type="expression" dxfId="1282" priority="276">
      <formula>AND($E60 = 0, ISNUMBER($E60))</formula>
    </cfRule>
    <cfRule type="expression" dxfId="1281" priority="277">
      <formula>AND($E60 &lt; 0, ISNUMBER($E60))</formula>
    </cfRule>
  </conditionalFormatting>
  <conditionalFormatting sqref="G60:I90">
    <cfRule type="expression" dxfId="1280" priority="272">
      <formula>AND($H60 &gt; 0, ISNUMBER($H60))</formula>
    </cfRule>
    <cfRule type="expression" dxfId="1279" priority="273">
      <formula>AND($H60 = 0, ISNUMBER($H60))</formula>
    </cfRule>
    <cfRule type="expression" dxfId="1278" priority="274">
      <formula>AND($H60 &lt; 0, ISNUMBER($H60))</formula>
    </cfRule>
  </conditionalFormatting>
  <conditionalFormatting sqref="J60:L90">
    <cfRule type="expression" dxfId="1277" priority="269">
      <formula>AND($K60 &gt; 0, ISNUMBER($K60))</formula>
    </cfRule>
    <cfRule type="expression" dxfId="1276" priority="270">
      <formula>AND($K60 = 0, ISNUMBER($K60))</formula>
    </cfRule>
    <cfRule type="expression" dxfId="1275" priority="271">
      <formula>AND($K60 &lt; 0, ISNUMBER($K60))</formula>
    </cfRule>
  </conditionalFormatting>
  <conditionalFormatting sqref="M60:O90">
    <cfRule type="expression" dxfId="1274" priority="266">
      <formula>AND($N60 &gt; 0, ISNUMBER($N60))</formula>
    </cfRule>
    <cfRule type="expression" dxfId="1273" priority="267">
      <formula>AND($N60 = 0, ISNUMBER($N60))</formula>
    </cfRule>
    <cfRule type="expression" dxfId="1272" priority="268">
      <formula>AND($N60 &lt; 0, ISNUMBER($N60))</formula>
    </cfRule>
  </conditionalFormatting>
  <conditionalFormatting sqref="D96:F97 E130:F130">
    <cfRule type="expression" dxfId="1271" priority="263">
      <formula>$E$130 &gt; 0</formula>
    </cfRule>
    <cfRule type="expression" dxfId="1270" priority="264">
      <formula>$E$130 = 0</formula>
    </cfRule>
    <cfRule type="expression" dxfId="1269" priority="265">
      <formula>$E$130 &lt; 0</formula>
    </cfRule>
  </conditionalFormatting>
  <conditionalFormatting sqref="G96:I97 H130:I130">
    <cfRule type="expression" dxfId="1268" priority="260">
      <formula>$H$130 &gt; 0</formula>
    </cfRule>
    <cfRule type="expression" dxfId="1267" priority="261">
      <formula>$H$130 = 0</formula>
    </cfRule>
    <cfRule type="expression" dxfId="1266" priority="262">
      <formula>$H$130 &lt; 0</formula>
    </cfRule>
  </conditionalFormatting>
  <conditionalFormatting sqref="J96:L97 K130:L130">
    <cfRule type="expression" dxfId="1265" priority="257">
      <formula>$K$130 &gt; 0</formula>
    </cfRule>
    <cfRule type="expression" dxfId="1264" priority="258">
      <formula>$K$130 = 0</formula>
    </cfRule>
    <cfRule type="expression" dxfId="1263" priority="259">
      <formula>$K$130 &lt; 0</formula>
    </cfRule>
  </conditionalFormatting>
  <conditionalFormatting sqref="M96:O97 N130:O130">
    <cfRule type="expression" dxfId="1262" priority="254">
      <formula>$N$130 &gt; 0</formula>
    </cfRule>
    <cfRule type="expression" dxfId="1261" priority="255">
      <formula>$N$130 = 0</formula>
    </cfRule>
    <cfRule type="expression" dxfId="1260" priority="256">
      <formula>$N$130 &lt; 0</formula>
    </cfRule>
  </conditionalFormatting>
  <conditionalFormatting sqref="D98:F128">
    <cfRule type="expression" dxfId="1259" priority="251">
      <formula>AND($E98 &gt; 0, ISNUMBER($E98))</formula>
    </cfRule>
    <cfRule type="expression" dxfId="1258" priority="252">
      <formula>AND($E98 = 0, ISNUMBER($E98))</formula>
    </cfRule>
    <cfRule type="expression" dxfId="1257" priority="253">
      <formula>AND($E98 &lt; 0, ISNUMBER($E98))</formula>
    </cfRule>
  </conditionalFormatting>
  <conditionalFormatting sqref="G98:I128">
    <cfRule type="expression" dxfId="1256" priority="248">
      <formula>AND($H98 &gt; 0, ISNUMBER($H98))</formula>
    </cfRule>
    <cfRule type="expression" dxfId="1255" priority="249">
      <formula>AND($H98 = 0, ISNUMBER($H98))</formula>
    </cfRule>
    <cfRule type="expression" dxfId="1254" priority="250">
      <formula>AND($H98 &lt; 0, ISNUMBER($H98))</formula>
    </cfRule>
  </conditionalFormatting>
  <conditionalFormatting sqref="J98:L128">
    <cfRule type="expression" dxfId="1253" priority="245">
      <formula>AND($K98 &gt; 0, ISNUMBER($K98))</formula>
    </cfRule>
    <cfRule type="expression" dxfId="1252" priority="246">
      <formula>AND($K98 = 0, ISNUMBER($K98))</formula>
    </cfRule>
    <cfRule type="expression" dxfId="1251" priority="247">
      <formula>AND($K98 &lt; 0, ISNUMBER($K98))</formula>
    </cfRule>
  </conditionalFormatting>
  <conditionalFormatting sqref="M98:O128">
    <cfRule type="expression" dxfId="1250" priority="242">
      <formula>AND($N98 &gt; 0, ISNUMBER($N98))</formula>
    </cfRule>
    <cfRule type="expression" dxfId="1249" priority="243">
      <formula>AND($N98 = 0, ISNUMBER($N98))</formula>
    </cfRule>
    <cfRule type="expression" dxfId="1248" priority="244">
      <formula>AND($N98 &lt; 0, ISNUMBER($N98))</formula>
    </cfRule>
  </conditionalFormatting>
  <conditionalFormatting sqref="D134:F135 E168:F168">
    <cfRule type="expression" dxfId="1247" priority="239">
      <formula>$E$168 &gt; 0</formula>
    </cfRule>
    <cfRule type="expression" dxfId="1246" priority="240">
      <formula>$E$168 = 0</formula>
    </cfRule>
    <cfRule type="expression" dxfId="1245" priority="241">
      <formula>$E$168 &lt; 0</formula>
    </cfRule>
  </conditionalFormatting>
  <conditionalFormatting sqref="G134:I135 H168:I168">
    <cfRule type="expression" dxfId="1244" priority="236">
      <formula>$H$168 &gt; 0</formula>
    </cfRule>
    <cfRule type="expression" dxfId="1243" priority="237">
      <formula>$H$168 = 0</formula>
    </cfRule>
    <cfRule type="expression" dxfId="1242" priority="238">
      <formula>$H$168 &lt; 0</formula>
    </cfRule>
  </conditionalFormatting>
  <conditionalFormatting sqref="J134:L135 K168:L168">
    <cfRule type="expression" dxfId="1241" priority="233">
      <formula>$K$168 &gt; 0</formula>
    </cfRule>
    <cfRule type="expression" dxfId="1240" priority="234">
      <formula>$K$168 = 0</formula>
    </cfRule>
    <cfRule type="expression" dxfId="1239" priority="235">
      <formula>$K$168 &lt; 0</formula>
    </cfRule>
  </conditionalFormatting>
  <conditionalFormatting sqref="M134:O135 N168:O168">
    <cfRule type="expression" dxfId="1238" priority="230">
      <formula>$N$168 &gt; 0</formula>
    </cfRule>
    <cfRule type="expression" dxfId="1237" priority="231">
      <formula>$N$168 = 0</formula>
    </cfRule>
    <cfRule type="expression" dxfId="1236" priority="232">
      <formula>$N$168 &lt; 0</formula>
    </cfRule>
  </conditionalFormatting>
  <conditionalFormatting sqref="D136:F166">
    <cfRule type="expression" dxfId="1235" priority="227">
      <formula>AND($E136 &gt; 0, ISNUMBER($E136))</formula>
    </cfRule>
    <cfRule type="expression" dxfId="1234" priority="228">
      <formula>AND($E136 = 0, ISNUMBER($E136))</formula>
    </cfRule>
    <cfRule type="expression" dxfId="1233" priority="229">
      <formula>AND($E136 &lt; 0, ISNUMBER($E136))</formula>
    </cfRule>
  </conditionalFormatting>
  <conditionalFormatting sqref="G136:I166">
    <cfRule type="expression" dxfId="1232" priority="224">
      <formula>AND($H136 &gt; 0, ISNUMBER($H136))</formula>
    </cfRule>
    <cfRule type="expression" dxfId="1231" priority="225">
      <formula>AND($H136 = 0, ISNUMBER($H136))</formula>
    </cfRule>
    <cfRule type="expression" dxfId="1230" priority="226">
      <formula>AND($H136 &lt; 0, ISNUMBER($H136))</formula>
    </cfRule>
  </conditionalFormatting>
  <conditionalFormatting sqref="J136:L166">
    <cfRule type="expression" dxfId="1229" priority="221">
      <formula>AND($K136 &gt; 0, ISNUMBER($K136))</formula>
    </cfRule>
    <cfRule type="expression" dxfId="1228" priority="222">
      <formula>AND($K136 = 0, ISNUMBER($K136))</formula>
    </cfRule>
    <cfRule type="expression" dxfId="1227" priority="223">
      <formula>AND($K136 &lt; 0, ISNUMBER($K136))</formula>
    </cfRule>
  </conditionalFormatting>
  <conditionalFormatting sqref="M136:O166">
    <cfRule type="expression" dxfId="1226" priority="218">
      <formula>AND($N136 &gt; 0, ISNUMBER($N136))</formula>
    </cfRule>
    <cfRule type="expression" dxfId="1225" priority="219">
      <formula>AND($N136 = 0, ISNUMBER($N136))</formula>
    </cfRule>
    <cfRule type="expression" dxfId="1224" priority="220">
      <formula>AND($N136 &lt; 0, ISNUMBER($N136))</formula>
    </cfRule>
  </conditionalFormatting>
  <conditionalFormatting sqref="D172:F173 E206:F206">
    <cfRule type="expression" dxfId="1223" priority="215">
      <formula>$E$206 &gt; 0</formula>
    </cfRule>
    <cfRule type="expression" dxfId="1222" priority="216">
      <formula>$E$206 = 0</formula>
    </cfRule>
    <cfRule type="expression" dxfId="1221" priority="217">
      <formula>$E$206 &lt; 0</formula>
    </cfRule>
  </conditionalFormatting>
  <conditionalFormatting sqref="G172:I173 H206:I206">
    <cfRule type="expression" dxfId="1220" priority="212">
      <formula>$H$206 &gt; 0</formula>
    </cfRule>
    <cfRule type="expression" dxfId="1219" priority="213">
      <formula>$H$206 = 0</formula>
    </cfRule>
    <cfRule type="expression" dxfId="1218" priority="214">
      <formula>$H$206 &lt; 0</formula>
    </cfRule>
  </conditionalFormatting>
  <conditionalFormatting sqref="J172:L173 K206:L206">
    <cfRule type="expression" dxfId="1217" priority="209">
      <formula>$K$206 &gt; 0</formula>
    </cfRule>
    <cfRule type="expression" dxfId="1216" priority="210">
      <formula>$K$206 = 0</formula>
    </cfRule>
    <cfRule type="expression" dxfId="1215" priority="211">
      <formula>$K$206 &lt; 0</formula>
    </cfRule>
  </conditionalFormatting>
  <conditionalFormatting sqref="M172:O173 N206:O206">
    <cfRule type="expression" dxfId="1214" priority="206">
      <formula>$N$206 &gt; 0</formula>
    </cfRule>
    <cfRule type="expression" dxfId="1213" priority="207">
      <formula>$N$206 = 0</formula>
    </cfRule>
    <cfRule type="expression" dxfId="1212" priority="208">
      <formula>$N$206 &lt; 0</formula>
    </cfRule>
  </conditionalFormatting>
  <conditionalFormatting sqref="D174:F204">
    <cfRule type="expression" dxfId="1211" priority="203">
      <formula>AND($E174 &gt; 0, ISNUMBER($E174))</formula>
    </cfRule>
    <cfRule type="expression" dxfId="1210" priority="204">
      <formula>AND($E174 = 0, ISNUMBER($E174))</formula>
    </cfRule>
    <cfRule type="expression" dxfId="1209" priority="205">
      <formula>AND($E174 &lt; 0, ISNUMBER($E174))</formula>
    </cfRule>
  </conditionalFormatting>
  <conditionalFormatting sqref="G174:I204">
    <cfRule type="expression" dxfId="1208" priority="200">
      <formula>AND($H174 &gt; 0, ISNUMBER($H174))</formula>
    </cfRule>
    <cfRule type="expression" dxfId="1207" priority="201">
      <formula>AND($H174 = 0, ISNUMBER($H174))</formula>
    </cfRule>
    <cfRule type="expression" dxfId="1206" priority="202">
      <formula>AND($H174 &lt; 0, ISNUMBER($H174))</formula>
    </cfRule>
  </conditionalFormatting>
  <conditionalFormatting sqref="J174:L204">
    <cfRule type="expression" dxfId="1205" priority="197">
      <formula>AND($K174 &gt; 0, ISNUMBER($K174))</formula>
    </cfRule>
    <cfRule type="expression" dxfId="1204" priority="198">
      <formula>AND($K174 = 0, ISNUMBER($K174))</formula>
    </cfRule>
    <cfRule type="expression" dxfId="1203" priority="199">
      <formula>AND($K174 &lt; 0, ISNUMBER($K174))</formula>
    </cfRule>
  </conditionalFormatting>
  <conditionalFormatting sqref="M174:O204">
    <cfRule type="expression" dxfId="1202" priority="194">
      <formula>AND($N174 &gt; 0, ISNUMBER($N174))</formula>
    </cfRule>
    <cfRule type="expression" dxfId="1201" priority="195">
      <formula>AND($N174 = 0, ISNUMBER($N174))</formula>
    </cfRule>
    <cfRule type="expression" dxfId="1200" priority="196">
      <formula>AND($N174 &lt; 0, ISNUMBER($N174))</formula>
    </cfRule>
  </conditionalFormatting>
  <conditionalFormatting sqref="D210:F211 E244:F244">
    <cfRule type="expression" dxfId="1199" priority="191">
      <formula>$E$244 &gt; 0</formula>
    </cfRule>
    <cfRule type="expression" dxfId="1198" priority="192">
      <formula>$E$244 = 0</formula>
    </cfRule>
    <cfRule type="expression" dxfId="1197" priority="193">
      <formula>$E$244 &lt; 0</formula>
    </cfRule>
  </conditionalFormatting>
  <conditionalFormatting sqref="G210:I211 H244:I244">
    <cfRule type="expression" dxfId="1196" priority="188">
      <formula>$H$244 &gt; 0</formula>
    </cfRule>
    <cfRule type="expression" dxfId="1195" priority="189">
      <formula>$H$244 = 0</formula>
    </cfRule>
    <cfRule type="expression" dxfId="1194" priority="190">
      <formula>$H$244 &lt; 0</formula>
    </cfRule>
  </conditionalFormatting>
  <conditionalFormatting sqref="J210:L211 K244:L244">
    <cfRule type="expression" dxfId="1193" priority="185">
      <formula>$K$244 &gt; 0</formula>
    </cfRule>
    <cfRule type="expression" dxfId="1192" priority="186">
      <formula>$K$244 = 0</formula>
    </cfRule>
    <cfRule type="expression" dxfId="1191" priority="187">
      <formula>$K$244 &lt; 0</formula>
    </cfRule>
  </conditionalFormatting>
  <conditionalFormatting sqref="M210:O211 N244:O244">
    <cfRule type="expression" dxfId="1190" priority="182">
      <formula>$N$244 &gt; 0</formula>
    </cfRule>
    <cfRule type="expression" dxfId="1189" priority="183">
      <formula>$N$244 = 0</formula>
    </cfRule>
    <cfRule type="expression" dxfId="1188" priority="184">
      <formula>$N$244 &lt; 0</formula>
    </cfRule>
  </conditionalFormatting>
  <conditionalFormatting sqref="D212:F242">
    <cfRule type="expression" dxfId="1187" priority="179">
      <formula>AND($E212 &gt; 0, ISNUMBER($E212))</formula>
    </cfRule>
    <cfRule type="expression" dxfId="1186" priority="180">
      <formula>AND($E212 = 0, ISNUMBER($E212))</formula>
    </cfRule>
    <cfRule type="expression" dxfId="1185" priority="181">
      <formula>AND($E212 &lt; 0, ISNUMBER($E212))</formula>
    </cfRule>
  </conditionalFormatting>
  <conditionalFormatting sqref="G212:I242">
    <cfRule type="expression" dxfId="1184" priority="176">
      <formula>AND($H212 &gt; 0, ISNUMBER($H212))</formula>
    </cfRule>
    <cfRule type="expression" dxfId="1183" priority="177">
      <formula>AND($H212 = 0, ISNUMBER($H212))</formula>
    </cfRule>
    <cfRule type="expression" dxfId="1182" priority="178">
      <formula>AND($H212 &lt; 0, ISNUMBER($H212))</formula>
    </cfRule>
  </conditionalFormatting>
  <conditionalFormatting sqref="J212:L242">
    <cfRule type="expression" dxfId="1181" priority="173">
      <formula>AND($K212 &gt; 0, ISNUMBER($K212))</formula>
    </cfRule>
    <cfRule type="expression" dxfId="1180" priority="174">
      <formula>AND($K212 = 0, ISNUMBER($K212))</formula>
    </cfRule>
    <cfRule type="expression" dxfId="1179" priority="175">
      <formula>AND($K212 &lt; 0, ISNUMBER($K212))</formula>
    </cfRule>
  </conditionalFormatting>
  <conditionalFormatting sqref="M212:O242">
    <cfRule type="expression" dxfId="1178" priority="170">
      <formula>AND($N212 &gt; 0, ISNUMBER($N212))</formula>
    </cfRule>
    <cfRule type="expression" dxfId="1177" priority="171">
      <formula>AND($N212 = 0, ISNUMBER($N212))</formula>
    </cfRule>
    <cfRule type="expression" dxfId="1176" priority="172">
      <formula>AND($N212 &lt; 0, ISNUMBER($N212))</formula>
    </cfRule>
  </conditionalFormatting>
  <conditionalFormatting sqref="D248:F249 E282:F282">
    <cfRule type="expression" dxfId="1175" priority="167">
      <formula>$E$282 &gt; 0</formula>
    </cfRule>
    <cfRule type="expression" dxfId="1174" priority="168">
      <formula>$E$282 = 0</formula>
    </cfRule>
    <cfRule type="expression" dxfId="1173" priority="169">
      <formula>$E$282 &lt; 0</formula>
    </cfRule>
  </conditionalFormatting>
  <conditionalFormatting sqref="G248:I249 H282:I282">
    <cfRule type="expression" dxfId="1172" priority="164">
      <formula>$H$282 &gt; 0</formula>
    </cfRule>
    <cfRule type="expression" dxfId="1171" priority="165">
      <formula>$H$282 = 0</formula>
    </cfRule>
    <cfRule type="expression" dxfId="1170" priority="166">
      <formula>$H$282 &lt; 0</formula>
    </cfRule>
  </conditionalFormatting>
  <conditionalFormatting sqref="J248:L249 K282:L282">
    <cfRule type="expression" dxfId="1169" priority="161">
      <formula>$K$282 &gt; 0</formula>
    </cfRule>
    <cfRule type="expression" dxfId="1168" priority="162">
      <formula>$K$282 = 0</formula>
    </cfRule>
    <cfRule type="expression" dxfId="1167" priority="163">
      <formula>$K$282 &lt; 0</formula>
    </cfRule>
  </conditionalFormatting>
  <conditionalFormatting sqref="M248:O249 N282:O282">
    <cfRule type="expression" dxfId="1166" priority="158">
      <formula>$N$282 &gt; 0</formula>
    </cfRule>
    <cfRule type="expression" dxfId="1165" priority="159">
      <formula>$N$282 = 0</formula>
    </cfRule>
    <cfRule type="expression" dxfId="1164" priority="160">
      <formula>$N$282 &lt; 0</formula>
    </cfRule>
  </conditionalFormatting>
  <conditionalFormatting sqref="D250:F280">
    <cfRule type="expression" dxfId="1163" priority="155">
      <formula>AND($E250 &gt; 0, ISNUMBER($E250))</formula>
    </cfRule>
    <cfRule type="expression" dxfId="1162" priority="156">
      <formula>AND($E250 = 0, ISNUMBER($E250))</formula>
    </cfRule>
    <cfRule type="expression" dxfId="1161" priority="157">
      <formula>AND($E250 &lt; 0, ISNUMBER($E250))</formula>
    </cfRule>
  </conditionalFormatting>
  <conditionalFormatting sqref="G250:I280">
    <cfRule type="expression" dxfId="1160" priority="152">
      <formula>AND($H250 &gt; 0, ISNUMBER($H250))</formula>
    </cfRule>
    <cfRule type="expression" dxfId="1159" priority="153">
      <formula>AND($H250 = 0, ISNUMBER($H250))</formula>
    </cfRule>
    <cfRule type="expression" dxfId="1158" priority="154">
      <formula>AND($H250 &lt; 0, ISNUMBER($H250))</formula>
    </cfRule>
  </conditionalFormatting>
  <conditionalFormatting sqref="J250:L280">
    <cfRule type="expression" dxfId="1157" priority="149">
      <formula>AND($K250 &gt; 0, ISNUMBER($K250))</formula>
    </cfRule>
    <cfRule type="expression" dxfId="1156" priority="150">
      <formula>AND($K250 = 0, ISNUMBER($K250))</formula>
    </cfRule>
    <cfRule type="expression" dxfId="1155" priority="151">
      <formula>AND($K250 &lt; 0, ISNUMBER($K250))</formula>
    </cfRule>
  </conditionalFormatting>
  <conditionalFormatting sqref="M250:O280">
    <cfRule type="expression" dxfId="1154" priority="146">
      <formula>AND($N250 &gt; 0, ISNUMBER($N250))</formula>
    </cfRule>
    <cfRule type="expression" dxfId="1153" priority="147">
      <formula>AND($N250 = 0, ISNUMBER($N250))</formula>
    </cfRule>
    <cfRule type="expression" dxfId="1152" priority="148">
      <formula>AND($N250 &lt; 0, ISNUMBER($N250))</formula>
    </cfRule>
  </conditionalFormatting>
  <conditionalFormatting sqref="D5:F6">
    <cfRule type="expression" dxfId="1151" priority="143">
      <formula>$F$130 &gt; 0</formula>
    </cfRule>
    <cfRule type="expression" dxfId="1150" priority="144">
      <formula>$F$130 = 0</formula>
    </cfRule>
    <cfRule type="expression" dxfId="1149" priority="145">
      <formula>$F$130 &lt; 0</formula>
    </cfRule>
  </conditionalFormatting>
  <conditionalFormatting sqref="D7:F8">
    <cfRule type="expression" dxfId="1148" priority="140">
      <formula>$F$206 &gt; 0</formula>
    </cfRule>
    <cfRule type="expression" dxfId="1147" priority="141">
      <formula>$F$206 = 0</formula>
    </cfRule>
    <cfRule type="expression" dxfId="1146" priority="142">
      <formula>$F$206 &lt; 0</formula>
    </cfRule>
  </conditionalFormatting>
  <conditionalFormatting sqref="D9:F10">
    <cfRule type="expression" dxfId="1145" priority="137">
      <formula>$F$244 &gt; 0</formula>
    </cfRule>
    <cfRule type="expression" dxfId="1144" priority="138">
      <formula>$F$244 = 0</formula>
    </cfRule>
    <cfRule type="expression" dxfId="1143" priority="139">
      <formula>$F$244 &lt; 0</formula>
    </cfRule>
  </conditionalFormatting>
  <conditionalFormatting sqref="D11:F12">
    <cfRule type="expression" dxfId="1142" priority="134">
      <formula>$F$168 &gt; 0</formula>
    </cfRule>
    <cfRule type="expression" dxfId="1141" priority="135">
      <formula>$F$168 = 0</formula>
    </cfRule>
    <cfRule type="expression" dxfId="1140" priority="136">
      <formula>$F$168 &lt; 0</formula>
    </cfRule>
  </conditionalFormatting>
  <conditionalFormatting sqref="D13:F14">
    <cfRule type="expression" dxfId="1139" priority="92">
      <formula>$F$282 &gt; 0</formula>
    </cfRule>
    <cfRule type="expression" dxfId="1138" priority="93">
      <formula>$F$282 = 0</formula>
    </cfRule>
    <cfRule type="expression" dxfId="1137" priority="94">
      <formula>$F$282 &lt; 0</formula>
    </cfRule>
  </conditionalFormatting>
  <conditionalFormatting sqref="D15:F16">
    <cfRule type="expression" dxfId="1136" priority="77">
      <formula>$F$54 &gt; 0</formula>
    </cfRule>
    <cfRule type="expression" dxfId="1135" priority="78">
      <formula>$F$54 = 0</formula>
    </cfRule>
    <cfRule type="expression" dxfId="1134" priority="79">
      <formula>$F$54 &lt; 0</formula>
    </cfRule>
  </conditionalFormatting>
  <conditionalFormatting sqref="G5:I6">
    <cfRule type="expression" dxfId="1133" priority="65">
      <formula>$I$130 &gt; 0</formula>
    </cfRule>
    <cfRule type="expression" dxfId="1132" priority="66">
      <formula>$I$130 = 0</formula>
    </cfRule>
    <cfRule type="expression" dxfId="1131" priority="67">
      <formula>$I$130 &lt; 0</formula>
    </cfRule>
  </conditionalFormatting>
  <conditionalFormatting sqref="G7:I8">
    <cfRule type="expression" dxfId="1130" priority="62">
      <formula>$I$206 &gt; 0</formula>
    </cfRule>
    <cfRule type="expression" dxfId="1129" priority="63">
      <formula>$I$206 = 0</formula>
    </cfRule>
    <cfRule type="expression" dxfId="1128" priority="64">
      <formula>$I$206 &lt; 0</formula>
    </cfRule>
  </conditionalFormatting>
  <conditionalFormatting sqref="G9:I10">
    <cfRule type="expression" dxfId="1127" priority="59">
      <formula>$I$244 &gt; 0</formula>
    </cfRule>
    <cfRule type="expression" dxfId="1126" priority="60">
      <formula>$I$244 = 0</formula>
    </cfRule>
    <cfRule type="expression" dxfId="1125" priority="61">
      <formula>$I$244 &lt; 0</formula>
    </cfRule>
  </conditionalFormatting>
  <conditionalFormatting sqref="G11:I12">
    <cfRule type="expression" dxfId="1124" priority="56">
      <formula>$I$168 &gt; 0</formula>
    </cfRule>
    <cfRule type="expression" dxfId="1123" priority="57">
      <formula>$I$168 = 0</formula>
    </cfRule>
    <cfRule type="expression" dxfId="1122" priority="58">
      <formula>$I$168 &lt; 0</formula>
    </cfRule>
  </conditionalFormatting>
  <conditionalFormatting sqref="G13:I14">
    <cfRule type="expression" dxfId="1121" priority="53">
      <formula>$I$282 &gt; 0</formula>
    </cfRule>
    <cfRule type="expression" dxfId="1120" priority="54">
      <formula>$I$282 = 0</formula>
    </cfRule>
    <cfRule type="expression" dxfId="1119" priority="55">
      <formula>$I$282 &lt; 0</formula>
    </cfRule>
  </conditionalFormatting>
  <conditionalFormatting sqref="G15:I16">
    <cfRule type="expression" dxfId="1118" priority="50">
      <formula>$I$54 &gt; 0</formula>
    </cfRule>
    <cfRule type="expression" dxfId="1117" priority="51">
      <formula>$I$54 = 0</formula>
    </cfRule>
    <cfRule type="expression" dxfId="1116" priority="52">
      <formula>$I$54 &lt; 0</formula>
    </cfRule>
  </conditionalFormatting>
  <conditionalFormatting sqref="J5:L6">
    <cfRule type="expression" dxfId="1115" priority="47">
      <formula>$L$130 &gt; 0</formula>
    </cfRule>
    <cfRule type="expression" dxfId="1114" priority="48">
      <formula>$L$130 = 0</formula>
    </cfRule>
    <cfRule type="expression" dxfId="1113" priority="49">
      <formula>$L$130 &lt; 0</formula>
    </cfRule>
  </conditionalFormatting>
  <conditionalFormatting sqref="J7:L8">
    <cfRule type="expression" dxfId="1112" priority="44">
      <formula>$L$206 &gt; 0</formula>
    </cfRule>
    <cfRule type="expression" dxfId="1111" priority="45">
      <formula>$L$206 = 0</formula>
    </cfRule>
    <cfRule type="expression" dxfId="1110" priority="46">
      <formula>$L$206 &lt; 0</formula>
    </cfRule>
  </conditionalFormatting>
  <conditionalFormatting sqref="J9:L10">
    <cfRule type="expression" dxfId="1109" priority="41">
      <formula>$L$244 &gt; 0</formula>
    </cfRule>
    <cfRule type="expression" dxfId="1108" priority="42">
      <formula>$L$244 = 0</formula>
    </cfRule>
    <cfRule type="expression" dxfId="1107" priority="43">
      <formula>$L$244 &lt; 0</formula>
    </cfRule>
  </conditionalFormatting>
  <conditionalFormatting sqref="J11:L12">
    <cfRule type="expression" dxfId="1106" priority="38">
      <formula>$L$168 &gt; 0</formula>
    </cfRule>
    <cfRule type="expression" dxfId="1105" priority="39">
      <formula>$L$168 = 0</formula>
    </cfRule>
    <cfRule type="expression" dxfId="1104" priority="40">
      <formula>$L$168 &lt; 0</formula>
    </cfRule>
  </conditionalFormatting>
  <conditionalFormatting sqref="J13:L14">
    <cfRule type="expression" dxfId="1103" priority="35">
      <formula>$L$282 &gt; 0</formula>
    </cfRule>
    <cfRule type="expression" dxfId="1102" priority="36">
      <formula>$L$282 = 0</formula>
    </cfRule>
    <cfRule type="expression" dxfId="1101" priority="37">
      <formula>$L$282 &lt; 0</formula>
    </cfRule>
  </conditionalFormatting>
  <conditionalFormatting sqref="J15:L16">
    <cfRule type="expression" dxfId="1100" priority="32">
      <formula>$L$54 &gt; 0</formula>
    </cfRule>
    <cfRule type="expression" dxfId="1099" priority="33">
      <formula>$L$54 = 0</formula>
    </cfRule>
    <cfRule type="expression" dxfId="1098" priority="34">
      <formula>$L$54 &lt; 0</formula>
    </cfRule>
  </conditionalFormatting>
  <conditionalFormatting sqref="M5:O6">
    <cfRule type="expression" dxfId="1097" priority="29">
      <formula>$O$130 &gt; 0</formula>
    </cfRule>
    <cfRule type="expression" dxfId="1096" priority="30">
      <formula>$O$130 = 0</formula>
    </cfRule>
    <cfRule type="expression" dxfId="1095" priority="31">
      <formula>$O$130 &lt; 0</formula>
    </cfRule>
  </conditionalFormatting>
  <conditionalFormatting sqref="M7:O8">
    <cfRule type="expression" dxfId="1094" priority="26">
      <formula>$O$206 &gt; 0</formula>
    </cfRule>
    <cfRule type="expression" dxfId="1093" priority="27">
      <formula>$O$206 = 0</formula>
    </cfRule>
    <cfRule type="expression" dxfId="1092" priority="28">
      <formula>$O$206 &lt; 0</formula>
    </cfRule>
  </conditionalFormatting>
  <conditionalFormatting sqref="M9:O10">
    <cfRule type="expression" dxfId="1091" priority="23">
      <formula>$O$244 &gt; 0</formula>
    </cfRule>
    <cfRule type="expression" dxfId="1090" priority="24">
      <formula>$O$244 = 0</formula>
    </cfRule>
    <cfRule type="expression" dxfId="1089" priority="25">
      <formula>$O$244 &lt; 0</formula>
    </cfRule>
  </conditionalFormatting>
  <conditionalFormatting sqref="M11:O12">
    <cfRule type="expression" dxfId="1088" priority="20">
      <formula>$O$168 &gt; 0</formula>
    </cfRule>
    <cfRule type="expression" dxfId="1087" priority="21">
      <formula>$O$168 = 0</formula>
    </cfRule>
    <cfRule type="expression" dxfId="1086" priority="22">
      <formula>$O$168 &lt; 0</formula>
    </cfRule>
  </conditionalFormatting>
  <conditionalFormatting sqref="M13:O14">
    <cfRule type="expression" dxfId="1085" priority="17">
      <formula>$O$282 &gt; 0</formula>
    </cfRule>
    <cfRule type="expression" dxfId="1084" priority="18">
      <formula>$O$282 = 0</formula>
    </cfRule>
    <cfRule type="expression" dxfId="1083" priority="19">
      <formula>$O$282 &lt; 0</formula>
    </cfRule>
  </conditionalFormatting>
  <conditionalFormatting sqref="M15:O16">
    <cfRule type="expression" dxfId="1082" priority="14">
      <formula>$O$54 &gt; 0</formula>
    </cfRule>
    <cfRule type="expression" dxfId="1081" priority="15">
      <formula>$O$54 = 0</formula>
    </cfRule>
    <cfRule type="expression" dxfId="1080" priority="16">
      <formula>$O$54 &lt; 0</formula>
    </cfRule>
  </conditionalFormatting>
  <conditionalFormatting sqref="D3:F4">
    <cfRule type="expression" dxfId="1079" priority="13">
      <formula>$F$92 &lt; 0</formula>
    </cfRule>
    <cfRule type="expression" dxfId="1078" priority="12">
      <formula>$F$92 = 0</formula>
    </cfRule>
    <cfRule type="expression" dxfId="1077" priority="11">
      <formula>$F$92 &gt; 0</formula>
    </cfRule>
  </conditionalFormatting>
  <conditionalFormatting sqref="G3:I4">
    <cfRule type="expression" dxfId="1076" priority="10">
      <formula>$I$92 &lt; 0</formula>
    </cfRule>
    <cfRule type="expression" dxfId="1075" priority="9">
      <formula>$I$92 = 0</formula>
    </cfRule>
    <cfRule type="expression" dxfId="1074" priority="8">
      <formula>$I$92 &gt; 0</formula>
    </cfRule>
  </conditionalFormatting>
  <conditionalFormatting sqref="J3:L4">
    <cfRule type="expression" dxfId="1073" priority="5">
      <formula>$L$92 &gt; 0</formula>
    </cfRule>
    <cfRule type="expression" dxfId="1072" priority="6">
      <formula>$L$92 = 0</formula>
    </cfRule>
    <cfRule type="expression" dxfId="1071" priority="7">
      <formula>$L$92 &lt; 0</formula>
    </cfRule>
  </conditionalFormatting>
  <conditionalFormatting sqref="M3:O4">
    <cfRule type="expression" dxfId="1070" priority="2">
      <formula>$O$92 &gt; 0</formula>
    </cfRule>
    <cfRule type="expression" dxfId="1069" priority="3">
      <formula>$O$92 = 0</formula>
    </cfRule>
    <cfRule type="expression" dxfId="106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A3667-540D-43DE-9B95-6F68D3EFD17D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44470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318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326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166,671 KRW (5.56%)</v>
      </c>
      <c r="H3" s="225"/>
      <c r="I3" s="226"/>
      <c r="J3" s="4" t="s">
        <v>7</v>
      </c>
      <c r="K3" s="228" t="s">
        <v>319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320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317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132,605 KRW (4.42%)</v>
      </c>
      <c r="H5" s="225"/>
      <c r="I5" s="226"/>
      <c r="J5" s="4" t="s">
        <v>15</v>
      </c>
      <c r="K5" s="228" t="s">
        <v>321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322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216,783 KRW (7.23%)</v>
      </c>
      <c r="H7" s="225"/>
      <c r="I7" s="226"/>
      <c r="J7" s="4" t="s">
        <v>21</v>
      </c>
      <c r="K7" s="228" t="s">
        <v>323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31" t="s">
        <v>253</v>
      </c>
      <c r="H8" s="232"/>
      <c r="I8" s="233"/>
      <c r="J8" s="4" t="s">
        <v>24</v>
      </c>
      <c r="K8" s="228"/>
      <c r="L8" s="229"/>
      <c r="M8" s="229"/>
      <c r="N8" s="229"/>
      <c r="O8" s="230"/>
      <c r="Q8" s="203" t="s">
        <v>27</v>
      </c>
      <c r="R8" s="205"/>
    </row>
    <row r="9" spans="1:19" ht="17.25" thickBot="1">
      <c r="A9" s="118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203,583 KRW (6.79%)</v>
      </c>
      <c r="H9" s="225"/>
      <c r="I9" s="226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 t="s">
        <v>324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21" t="s">
        <v>325</v>
      </c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 t="s">
        <v>316</v>
      </c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34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57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62630000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1.5632601400000001E-2</v>
      </c>
      <c r="N14" s="210"/>
      <c r="O14" s="211"/>
      <c r="Q14" s="202"/>
      <c r="R14" s="202"/>
      <c r="S14" s="202"/>
    </row>
    <row r="15" spans="1:19" ht="17.25" customHeight="1" thickBot="1">
      <c r="A15" s="240" t="s">
        <v>39</v>
      </c>
      <c r="B15" s="241" t="str">
        <f>TEXT($G$1, "[$-ko-KR]yyyy-mm-dd(ddd) ") &amp; "오전 00:00"</f>
        <v>2021-10-01(금) 오전 00:00</v>
      </c>
      <c r="C15" s="242"/>
      <c r="D15" s="216" t="str">
        <f>TEXT($G$1, "[$-ko-KR]yyyy-mm-dd(ddd) ") &amp; "오후 14:00"</f>
        <v>2021-10-01(금) 오후 14:00</v>
      </c>
      <c r="E15" s="217"/>
      <c r="F15" s="218"/>
      <c r="G15" s="216" t="str">
        <f>TEXT($G$1, "[$-ko-KR]yyyy-mm-dd(ddd) ") &amp; "오후 19:00"</f>
        <v>2021-10-01(금) 오후 19:00</v>
      </c>
      <c r="H15" s="217"/>
      <c r="I15" s="218"/>
      <c r="J15" s="216" t="str">
        <f>TEXT($G$1, "[$-ko-KR]yyyy-mm-dd(ddd) ") &amp; "오후 21:00"</f>
        <v>2021-10-01(금) 오후 21:00</v>
      </c>
      <c r="K15" s="217"/>
      <c r="L15" s="218"/>
      <c r="M15" s="216" t="str">
        <f>TEXT($G$1+1, "[$-ko-KR]yyyy-mm-dd(ddd) ") &amp; "오전 00:00"</f>
        <v>2021-10-02(토) 오전 00:00</v>
      </c>
      <c r="N15" s="217"/>
      <c r="O15" s="218"/>
      <c r="Q15" s="202"/>
      <c r="R15" s="202"/>
      <c r="S15" s="202"/>
    </row>
    <row r="16" spans="1:19" ht="17.25" customHeight="1" thickBot="1">
      <c r="A16" s="24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132" t="s">
        <v>42</v>
      </c>
      <c r="B37" s="245">
        <v>150000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57" t="s">
        <v>265</v>
      </c>
      <c r="B41" s="203" t="s">
        <v>49</v>
      </c>
      <c r="C41" s="205"/>
      <c r="D41" s="203" t="s">
        <v>58</v>
      </c>
      <c r="E41" s="204"/>
      <c r="F41" s="205"/>
      <c r="G41" s="206">
        <f>_xlfn.IFNA(VLOOKUP(B41, 현재가테이블!$B$2:$D$200, 2, FALSE), "-")</f>
        <v>62630000</v>
      </c>
      <c r="H41" s="207"/>
      <c r="I41" s="208"/>
      <c r="J41" s="203" t="s">
        <v>59</v>
      </c>
      <c r="K41" s="204"/>
      <c r="L41" s="205"/>
      <c r="M41" s="209">
        <f>_xlfn.IFNA(VLOOKUP(B41, 현재가테이블!$B$2:$D$200, 3, FALSE), "-")</f>
        <v>1.5632601400000001E-2</v>
      </c>
      <c r="N41" s="210"/>
      <c r="O41" s="211"/>
      <c r="Q41" s="202"/>
      <c r="R41" s="202"/>
      <c r="S41" s="202"/>
    </row>
    <row r="42" spans="1:19" ht="17.25" customHeight="1" thickBot="1">
      <c r="A42" s="247" t="s">
        <v>55</v>
      </c>
      <c r="B42" s="243" t="str">
        <f>TEXT($G$1, "[$-ko-KR]yyyy-mm-dd(ddd) ") &amp; "오전 00:00"</f>
        <v>2021-10-01(금) 오전 00:00</v>
      </c>
      <c r="C42" s="244"/>
      <c r="D42" s="216" t="str">
        <f>TEXT($G$1, "[$-ko-KR]yyyy-mm-dd(ddd) ") &amp; "오후 14:00"</f>
        <v>2021-10-01(금) 오후 14:00</v>
      </c>
      <c r="E42" s="217"/>
      <c r="F42" s="218"/>
      <c r="G42" s="216" t="str">
        <f>TEXT($G$1, "[$-ko-KR]yyyy-mm-dd(ddd) ") &amp; "오후 19:00"</f>
        <v>2021-10-01(금) 오후 19:00</v>
      </c>
      <c r="H42" s="217"/>
      <c r="I42" s="218"/>
      <c r="J42" s="216" t="str">
        <f>TEXT($G$1, "[$-ko-KR]yyyy-mm-dd(ddd) ") &amp; "오후 21:00"</f>
        <v>2021-10-01(금) 오후 21:00</v>
      </c>
      <c r="K42" s="217"/>
      <c r="L42" s="218"/>
      <c r="M42" s="216" t="str">
        <f>TEXT($G$1+1, "[$-ko-KR]yyyy-mm-dd(ddd) ") &amp; "오전 00:00"</f>
        <v>2021-10-02(토) 오전 00:00</v>
      </c>
      <c r="N42" s="217"/>
      <c r="O42" s="218"/>
      <c r="Q42" s="202"/>
      <c r="R42" s="202"/>
      <c r="S42" s="202"/>
    </row>
    <row r="43" spans="1:19" ht="17.25" customHeight="1" thickBot="1">
      <c r="A43" s="24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58" t="s">
        <v>58</v>
      </c>
      <c r="H43" s="159" t="s">
        <v>266</v>
      </c>
      <c r="I43" s="16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192"/>
      <c r="R43" s="192"/>
      <c r="S43" s="192"/>
    </row>
    <row r="44" spans="1:19" ht="17.25" customHeight="1" thickBot="1">
      <c r="A44" s="123" t="s">
        <v>238</v>
      </c>
      <c r="B44" s="124">
        <v>85.6</v>
      </c>
      <c r="C44" s="76">
        <v>0.53405017919999997</v>
      </c>
      <c r="D44" s="13">
        <v>70.5</v>
      </c>
      <c r="E44" s="14">
        <f>IF(ISNUMBER(D44), (D44 - $B44) / $B44, "")</f>
        <v>-0.17640186915887845</v>
      </c>
      <c r="F44" s="16">
        <f>IF(ISNUMBER(D44), $B64 * E44, "")</f>
        <v>-26460.280373831767</v>
      </c>
      <c r="G44" s="29">
        <v>72.5</v>
      </c>
      <c r="H44" s="14">
        <f>IF(ISNUMBER(G44), (G44 - $B44) / $B44, "")</f>
        <v>-0.15303738317757004</v>
      </c>
      <c r="I44" s="100">
        <f>IF(ISNUMBER(G44), $B64 * H44, "")</f>
        <v>-22955.607476635505</v>
      </c>
      <c r="J44" s="13">
        <v>73.7</v>
      </c>
      <c r="K44" s="14">
        <f>IF(ISNUMBER(J44), (J44 - $B44) / $B44, "")</f>
        <v>-0.13901869158878497</v>
      </c>
      <c r="L44" s="16">
        <f>IF(ISNUMBER(J44), $B64 * K44, "")</f>
        <v>-20852.803738317743</v>
      </c>
      <c r="M44" s="29">
        <v>72.900000000000006</v>
      </c>
      <c r="N44" s="14">
        <f>IF(ISNUMBER(M44), (M44 - $B44) / $B44, "")</f>
        <v>-0.14836448598130828</v>
      </c>
      <c r="O44" s="16">
        <f>IF(ISNUMBER(M44), $B64 * N44, "")</f>
        <v>-22254.67289719624</v>
      </c>
      <c r="Q44" s="202"/>
      <c r="R44" s="202"/>
      <c r="S44" s="202"/>
    </row>
    <row r="45" spans="1:19" ht="17.25" customHeight="1" thickBot="1">
      <c r="A45" s="125" t="s">
        <v>186</v>
      </c>
      <c r="B45" s="126">
        <v>12.3</v>
      </c>
      <c r="C45" s="77">
        <v>0.1941747573</v>
      </c>
      <c r="D45" s="15">
        <v>12.5</v>
      </c>
      <c r="E45" s="32">
        <f t="shared" ref="E45:E48" si="14">IF(ISNUMBER(D45), (D45 - $B45) / $B45, "")</f>
        <v>1.6260162601625959E-2</v>
      </c>
      <c r="F45" s="18">
        <f>IF(ISNUMBER(D45), $B64 * E45, "")</f>
        <v>2439.0243902438938</v>
      </c>
      <c r="G45" s="31">
        <v>12.5</v>
      </c>
      <c r="H45" s="32">
        <f t="shared" ref="H45:H48" si="15">IF(ISNUMBER(G45), (G45 - $B45) / $B45, "")</f>
        <v>1.6260162601625959E-2</v>
      </c>
      <c r="I45" s="101">
        <f>IF(ISNUMBER(G45), $B64 * H45, "")</f>
        <v>2439.0243902438938</v>
      </c>
      <c r="J45" s="15">
        <v>12.8</v>
      </c>
      <c r="K45" s="32">
        <f t="shared" ref="K45:K48" si="16">IF(ISNUMBER(J45), (J45 - $B45) / $B45, "")</f>
        <v>4.065040650406504E-2</v>
      </c>
      <c r="L45" s="18">
        <f>IF(ISNUMBER(J45), $B64 * K45, "")</f>
        <v>6097.5609756097556</v>
      </c>
      <c r="M45" s="31">
        <v>12.6</v>
      </c>
      <c r="N45" s="32">
        <f t="shared" ref="N45:N48" si="17">IF(ISNUMBER(M45), (M45 - $B45) / $B45, "")</f>
        <v>2.4390243902438935E-2</v>
      </c>
      <c r="O45" s="18">
        <f>IF(ISNUMBER(M45), $B64 * N45, "")</f>
        <v>3658.5365853658404</v>
      </c>
      <c r="Q45" s="202"/>
      <c r="R45" s="202"/>
      <c r="S45" s="202"/>
    </row>
    <row r="46" spans="1:19" ht="17.25" customHeight="1" thickBot="1">
      <c r="A46" s="125" t="s">
        <v>208</v>
      </c>
      <c r="B46" s="126">
        <v>12.5</v>
      </c>
      <c r="C46" s="77">
        <v>0.12612612610000001</v>
      </c>
      <c r="D46" s="15">
        <v>12.9</v>
      </c>
      <c r="E46" s="32">
        <f t="shared" si="14"/>
        <v>3.2000000000000028E-2</v>
      </c>
      <c r="F46" s="18">
        <f>IF(ISNUMBER(D46), $B64 * E46, "")</f>
        <v>4800.0000000000045</v>
      </c>
      <c r="G46" s="31">
        <v>13.1</v>
      </c>
      <c r="H46" s="32">
        <f t="shared" si="15"/>
        <v>4.7999999999999973E-2</v>
      </c>
      <c r="I46" s="101">
        <f>IF(ISNUMBER(G46), $B64 * H46, "")</f>
        <v>7199.9999999999964</v>
      </c>
      <c r="J46" s="15">
        <v>13.3</v>
      </c>
      <c r="K46" s="32">
        <f t="shared" si="16"/>
        <v>6.4000000000000057E-2</v>
      </c>
      <c r="L46" s="18">
        <f>IF(ISNUMBER(J46), $B64 * K46, "")</f>
        <v>9600.0000000000091</v>
      </c>
      <c r="M46" s="31">
        <v>13.2</v>
      </c>
      <c r="N46" s="32">
        <f t="shared" si="17"/>
        <v>5.5999999999999946E-2</v>
      </c>
      <c r="O46" s="18">
        <f>IF(ISNUMBER(M46), $B64 * N46, "")</f>
        <v>8399.9999999999927</v>
      </c>
      <c r="Q46" s="192"/>
      <c r="R46" s="192"/>
      <c r="S46" s="192"/>
    </row>
    <row r="47" spans="1:19" ht="17.25" customHeight="1" thickBot="1">
      <c r="A47" s="125" t="s">
        <v>214</v>
      </c>
      <c r="B47" s="126">
        <v>9.6</v>
      </c>
      <c r="C47" s="77">
        <v>0.1136890951</v>
      </c>
      <c r="D47" s="15">
        <v>9.86</v>
      </c>
      <c r="E47" s="32">
        <f t="shared" si="14"/>
        <v>2.7083333333333313E-2</v>
      </c>
      <c r="F47" s="18">
        <f>IF(ISNUMBER(D47), $B64 * E47, "")</f>
        <v>4062.4999999999968</v>
      </c>
      <c r="G47" s="31">
        <v>9.89</v>
      </c>
      <c r="H47" s="32">
        <f t="shared" si="15"/>
        <v>3.0208333333333431E-2</v>
      </c>
      <c r="I47" s="101">
        <f>IF(ISNUMBER(G47), $B64 * H47, "")</f>
        <v>4531.2500000000146</v>
      </c>
      <c r="J47" s="15">
        <v>10.3</v>
      </c>
      <c r="K47" s="32">
        <f t="shared" si="16"/>
        <v>7.2916666666666782E-2</v>
      </c>
      <c r="L47" s="18">
        <f>IF(ISNUMBER(J47), $B64 * K47, "")</f>
        <v>10937.500000000018</v>
      </c>
      <c r="M47" s="31">
        <v>10.1</v>
      </c>
      <c r="N47" s="32">
        <f t="shared" si="17"/>
        <v>5.2083333333333336E-2</v>
      </c>
      <c r="O47" s="18">
        <f>IF(ISNUMBER(M47), $B64 * N47, "")</f>
        <v>7812.5</v>
      </c>
      <c r="Q47" s="192"/>
      <c r="R47" s="192"/>
      <c r="S47" s="192"/>
    </row>
    <row r="48" spans="1:19" ht="17.25" customHeight="1" thickBot="1">
      <c r="A48" s="127" t="s">
        <v>206</v>
      </c>
      <c r="B48" s="128">
        <v>12.2</v>
      </c>
      <c r="C48" s="78">
        <v>8.9285714299999999E-2</v>
      </c>
      <c r="D48" s="20">
        <v>12.7</v>
      </c>
      <c r="E48" s="21">
        <f t="shared" si="14"/>
        <v>4.0983606557377053E-2</v>
      </c>
      <c r="F48" s="22">
        <f>IF(ISNUMBER(D48), $B64 * E48, "")</f>
        <v>6147.5409836065583</v>
      </c>
      <c r="G48" s="30">
        <v>12.7</v>
      </c>
      <c r="H48" s="21">
        <f t="shared" si="15"/>
        <v>4.0983606557377053E-2</v>
      </c>
      <c r="I48" s="105">
        <f>IF(ISNUMBER(G48), $B64 * H48, "")</f>
        <v>6147.5409836065583</v>
      </c>
      <c r="J48" s="20">
        <v>13</v>
      </c>
      <c r="K48" s="21">
        <f t="shared" si="16"/>
        <v>6.5573770491803338E-2</v>
      </c>
      <c r="L48" s="22">
        <f>IF(ISNUMBER(J48), $B64 * K48, "")</f>
        <v>9836.0655737705001</v>
      </c>
      <c r="M48" s="30">
        <v>12.8</v>
      </c>
      <c r="N48" s="21">
        <f t="shared" si="17"/>
        <v>4.9180327868852576E-2</v>
      </c>
      <c r="O48" s="22">
        <f>IF(ISNUMBER(M48), $B64 * N48, "")</f>
        <v>7377.0491803278865</v>
      </c>
      <c r="Q48" s="192"/>
      <c r="R48" s="192"/>
      <c r="S48" s="192"/>
    </row>
    <row r="49" spans="1:19" ht="17.25" customHeight="1" thickBot="1">
      <c r="A49" s="125" t="s">
        <v>72</v>
      </c>
      <c r="B49" s="129">
        <v>21.5</v>
      </c>
      <c r="C49" s="80">
        <v>8.0402010100000004E-2</v>
      </c>
      <c r="D49" s="106">
        <v>21.5</v>
      </c>
      <c r="E49" s="107">
        <f>IF(ISNUMBER(D49), (D49 - $B49) / $B49, "")</f>
        <v>0</v>
      </c>
      <c r="F49" s="108">
        <f>IF(ISNUMBER(D49), $B64 * E49, "")</f>
        <v>0</v>
      </c>
      <c r="G49" s="109">
        <v>22</v>
      </c>
      <c r="H49" s="107">
        <f>IF(ISNUMBER(G49), (G49 - $B49) / $B49, "")</f>
        <v>2.3255813953488372E-2</v>
      </c>
      <c r="I49" s="110">
        <f>IF(ISNUMBER(G49), $B64 * H49, "")</f>
        <v>3488.3720930232557</v>
      </c>
      <c r="J49" s="106">
        <v>22.5</v>
      </c>
      <c r="K49" s="107">
        <f>IF(ISNUMBER(J49), (J49 - $B49) / $B49, "")</f>
        <v>4.6511627906976744E-2</v>
      </c>
      <c r="L49" s="108">
        <f>IF(ISNUMBER(J49), $B64 * K49, "")</f>
        <v>6976.7441860465115</v>
      </c>
      <c r="M49" s="109">
        <v>22.6</v>
      </c>
      <c r="N49" s="107">
        <f>IF(ISNUMBER(M49), (M49 - $B49) / $B49, "")</f>
        <v>5.1162790697674487E-2</v>
      </c>
      <c r="O49" s="108">
        <f>IF(ISNUMBER(M49), $B64 * N49, "")</f>
        <v>7674.4186046511732</v>
      </c>
      <c r="Q49" s="192"/>
      <c r="R49" s="192"/>
      <c r="S49" s="192"/>
    </row>
    <row r="50" spans="1:19" ht="17.25" customHeight="1" thickBot="1">
      <c r="A50" s="125" t="s">
        <v>120</v>
      </c>
      <c r="B50" s="126">
        <v>31.5</v>
      </c>
      <c r="C50" s="77">
        <v>7.5085324199999998E-2</v>
      </c>
      <c r="D50" s="15">
        <v>31.7</v>
      </c>
      <c r="E50" s="32">
        <f t="shared" ref="E50:E53" si="18">IF(ISNUMBER(D50), (D50 - $B50) / $B50, "")</f>
        <v>6.3492063492063266E-3</v>
      </c>
      <c r="F50" s="18">
        <f>IF(ISNUMBER(D50), $B64 * E50, "")</f>
        <v>952.380952380949</v>
      </c>
      <c r="G50" s="31">
        <v>32.4</v>
      </c>
      <c r="H50" s="32">
        <f t="shared" ref="H50:H53" si="19">IF(ISNUMBER(G50), (G50 - $B50) / $B50, "")</f>
        <v>2.8571428571428525E-2</v>
      </c>
      <c r="I50" s="101">
        <f>IF(ISNUMBER(G50), $B64 * H50, "")</f>
        <v>4285.714285714279</v>
      </c>
      <c r="J50" s="15">
        <v>34</v>
      </c>
      <c r="K50" s="32">
        <f t="shared" ref="K50:K53" si="20">IF(ISNUMBER(J50), (J50 - $B50) / $B50, "")</f>
        <v>7.9365079365079361E-2</v>
      </c>
      <c r="L50" s="18">
        <f>IF(ISNUMBER(J50), $B64 * K50, "")</f>
        <v>11904.761904761905</v>
      </c>
      <c r="M50" s="31">
        <v>33.700000000000003</v>
      </c>
      <c r="N50" s="32">
        <f t="shared" ref="N50:N53" si="21">IF(ISNUMBER(M50), (M50 - $B50) / $B50, "")</f>
        <v>6.9841269841269926E-2</v>
      </c>
      <c r="O50" s="18">
        <f>IF(ISNUMBER(M50), $B64 * N50, "")</f>
        <v>10476.19047619049</v>
      </c>
      <c r="Q50" s="192"/>
      <c r="R50" s="192"/>
      <c r="S50" s="192"/>
    </row>
    <row r="51" spans="1:19" ht="17.25" customHeight="1" thickBot="1">
      <c r="A51" s="125" t="s">
        <v>188</v>
      </c>
      <c r="B51" s="126">
        <v>14.8</v>
      </c>
      <c r="C51" s="77">
        <v>7.2463768100000006E-2</v>
      </c>
      <c r="D51" s="15">
        <v>15.2</v>
      </c>
      <c r="E51" s="32">
        <f t="shared" si="18"/>
        <v>2.7027027027026931E-2</v>
      </c>
      <c r="F51" s="18">
        <f>IF(ISNUMBER(D51), $B64 * E51, "")</f>
        <v>4054.0540540540396</v>
      </c>
      <c r="G51" s="31">
        <v>15.4</v>
      </c>
      <c r="H51" s="32">
        <f t="shared" si="19"/>
        <v>4.0540540540540515E-2</v>
      </c>
      <c r="I51" s="101">
        <f>IF(ISNUMBER(G51), $B64 * H51, "")</f>
        <v>6081.0810810810772</v>
      </c>
      <c r="J51" s="15">
        <v>16</v>
      </c>
      <c r="K51" s="32">
        <f t="shared" si="20"/>
        <v>8.108108108108103E-2</v>
      </c>
      <c r="L51" s="18">
        <f>IF(ISNUMBER(J51), $B64 * K51, "")</f>
        <v>12162.162162162154</v>
      </c>
      <c r="M51" s="31">
        <v>15.9</v>
      </c>
      <c r="N51" s="32">
        <f t="shared" si="21"/>
        <v>7.4324324324324301E-2</v>
      </c>
      <c r="O51" s="18">
        <f>IF(ISNUMBER(M51), $B64 * N51, "")</f>
        <v>11148.648648648645</v>
      </c>
      <c r="Q51" s="192"/>
      <c r="R51" s="192"/>
      <c r="S51" s="192"/>
    </row>
    <row r="52" spans="1:19" ht="17.25" customHeight="1" thickBot="1">
      <c r="A52" s="125" t="s">
        <v>202</v>
      </c>
      <c r="B52" s="126">
        <v>13.7</v>
      </c>
      <c r="C52" s="77">
        <v>7.03125E-2</v>
      </c>
      <c r="D52" s="15">
        <v>14</v>
      </c>
      <c r="E52" s="32">
        <f t="shared" si="18"/>
        <v>2.1897810218978155E-2</v>
      </c>
      <c r="F52" s="18">
        <f>IF(ISNUMBER(D52), $B64 * E52, "")</f>
        <v>3284.6715328467235</v>
      </c>
      <c r="G52" s="31">
        <v>14.1</v>
      </c>
      <c r="H52" s="32">
        <f t="shared" si="19"/>
        <v>2.919708029197083E-2</v>
      </c>
      <c r="I52" s="101">
        <f>IF(ISNUMBER(G52), $B64 * H52, "")</f>
        <v>4379.562043795624</v>
      </c>
      <c r="J52" s="15">
        <v>14.6</v>
      </c>
      <c r="K52" s="32">
        <f t="shared" si="20"/>
        <v>6.5693430656934337E-2</v>
      </c>
      <c r="L52" s="18">
        <f>IF(ISNUMBER(J52), $B64 * K52, "")</f>
        <v>9854.0145985401505</v>
      </c>
      <c r="M52" s="31">
        <v>14.6</v>
      </c>
      <c r="N52" s="32">
        <f t="shared" si="21"/>
        <v>6.5693430656934337E-2</v>
      </c>
      <c r="O52" s="18">
        <f>IF(ISNUMBER(M52), $B64 * N52, "")</f>
        <v>9854.0145985401505</v>
      </c>
      <c r="Q52" s="33"/>
      <c r="R52" s="33"/>
    </row>
    <row r="53" spans="1:19" ht="17.25" customHeight="1" thickBot="1">
      <c r="A53" s="130" t="s">
        <v>176</v>
      </c>
      <c r="B53" s="131">
        <v>15.3</v>
      </c>
      <c r="C53" s="79">
        <v>6.9930069900000003E-2</v>
      </c>
      <c r="D53" s="24">
        <v>15.4</v>
      </c>
      <c r="E53" s="25">
        <f t="shared" si="18"/>
        <v>6.5359477124182774E-3</v>
      </c>
      <c r="F53" s="104">
        <f>IF(ISNUMBER(D53), $B64 * E53, "")</f>
        <v>980.39215686274156</v>
      </c>
      <c r="G53" s="102">
        <v>15.7</v>
      </c>
      <c r="H53" s="25">
        <f t="shared" si="19"/>
        <v>2.614379084967311E-2</v>
      </c>
      <c r="I53" s="103">
        <f>IF(ISNUMBER(G53), $B64 * H53, "")</f>
        <v>3921.5686274509662</v>
      </c>
      <c r="J53" s="24">
        <v>16.100000000000001</v>
      </c>
      <c r="K53" s="25">
        <f t="shared" si="20"/>
        <v>5.2287581699346448E-2</v>
      </c>
      <c r="L53" s="104">
        <f>IF(ISNUMBER(J53), $B64 * K53, "")</f>
        <v>7843.137254901967</v>
      </c>
      <c r="M53" s="102">
        <v>16.600000000000001</v>
      </c>
      <c r="N53" s="25">
        <f t="shared" si="21"/>
        <v>8.4967320261437954E-2</v>
      </c>
      <c r="O53" s="104">
        <f>IF(ISNUMBER(M53), $B64 * N53, "")</f>
        <v>12745.098039215693</v>
      </c>
      <c r="Q53" s="193"/>
      <c r="R53" s="194"/>
      <c r="S53" s="195"/>
    </row>
    <row r="54" spans="1:19" ht="17.25" customHeight="1">
      <c r="A54" s="123" t="s">
        <v>148</v>
      </c>
      <c r="B54" s="124">
        <v>10.8</v>
      </c>
      <c r="C54" s="76">
        <v>6.9306930700000005E-2</v>
      </c>
      <c r="D54" s="13">
        <v>11.1</v>
      </c>
      <c r="E54" s="14">
        <f>IF(ISNUMBER(D54), (D54 - $B54) / $B54, "")</f>
        <v>2.7777777777777676E-2</v>
      </c>
      <c r="F54" s="16">
        <f>IF(ISNUMBER(D54), $B64 * E54, "")</f>
        <v>4166.6666666666515</v>
      </c>
      <c r="G54" s="29">
        <v>11.2</v>
      </c>
      <c r="H54" s="14">
        <f>IF(ISNUMBER(G54), (G54 - $B54) / $B54, "")</f>
        <v>3.7037037037036903E-2</v>
      </c>
      <c r="I54" s="100">
        <f>IF(ISNUMBER(G54), $B64 * H54, "")</f>
        <v>5555.5555555555356</v>
      </c>
      <c r="J54" s="13">
        <v>11.6</v>
      </c>
      <c r="K54" s="14">
        <f>IF(ISNUMBER(J54), (J54 - $B54) / $B54, "")</f>
        <v>7.4074074074073973E-2</v>
      </c>
      <c r="L54" s="16">
        <f>IF(ISNUMBER(J54), $B64 * K54, "")</f>
        <v>11111.111111111097</v>
      </c>
      <c r="M54" s="29">
        <v>11.5</v>
      </c>
      <c r="N54" s="14">
        <f>IF(ISNUMBER(M54), (M54 - $B54) / $B54, "")</f>
        <v>6.4814814814814742E-2</v>
      </c>
      <c r="O54" s="16">
        <f>IF(ISNUMBER(M54), $B64 * N54, "")</f>
        <v>9722.2222222222117</v>
      </c>
      <c r="Q54" s="196"/>
      <c r="R54" s="197"/>
      <c r="S54" s="198"/>
    </row>
    <row r="55" spans="1:19" ht="17.25" customHeight="1" thickBot="1">
      <c r="A55" s="125" t="s">
        <v>232</v>
      </c>
      <c r="B55" s="126">
        <v>70.400000000000006</v>
      </c>
      <c r="C55" s="77">
        <v>6.3444108799999996E-2</v>
      </c>
      <c r="D55" s="15">
        <v>71.400000000000006</v>
      </c>
      <c r="E55" s="32">
        <f t="shared" ref="E55:E58" si="22">IF(ISNUMBER(D55), (D55 - $B55) / $B55, "")</f>
        <v>1.4204545454545454E-2</v>
      </c>
      <c r="F55" s="18">
        <f>IF(ISNUMBER(D55), $B64 * E55, "")</f>
        <v>2130.681818181818</v>
      </c>
      <c r="G55" s="31">
        <v>72.599999999999994</v>
      </c>
      <c r="H55" s="32">
        <f t="shared" ref="H55:H58" si="23">IF(ISNUMBER(G55), (G55 - $B55) / $B55, "")</f>
        <v>3.1249999999999837E-2</v>
      </c>
      <c r="I55" s="101">
        <f>IF(ISNUMBER(G55), $B64 * H55, "")</f>
        <v>4687.4999999999754</v>
      </c>
      <c r="J55" s="15">
        <v>74.3</v>
      </c>
      <c r="K55" s="32">
        <f t="shared" ref="K55:K58" si="24">IF(ISNUMBER(J55), (J55 - $B55) / $B55, "")</f>
        <v>5.5397727272727147E-2</v>
      </c>
      <c r="L55" s="18">
        <f>IF(ISNUMBER(J55), $B64 * K55, "")</f>
        <v>8309.6590909090719</v>
      </c>
      <c r="M55" s="31">
        <v>73.7</v>
      </c>
      <c r="N55" s="32">
        <f t="shared" ref="N55:N58" si="25">IF(ISNUMBER(M55), (M55 - $B55) / $B55, "")</f>
        <v>4.6874999999999958E-2</v>
      </c>
      <c r="O55" s="18">
        <f>IF(ISNUMBER(M55), $B64 * N55, "")</f>
        <v>7031.2499999999936</v>
      </c>
      <c r="Q55" s="199"/>
      <c r="R55" s="200"/>
      <c r="S55" s="201"/>
    </row>
    <row r="56" spans="1:19" ht="17.25" customHeight="1" thickBot="1">
      <c r="A56" s="125" t="s">
        <v>248</v>
      </c>
      <c r="B56" s="126">
        <v>76.8</v>
      </c>
      <c r="C56" s="77">
        <v>5.6396148600000001E-2</v>
      </c>
      <c r="D56" s="15">
        <v>78.5</v>
      </c>
      <c r="E56" s="32">
        <f t="shared" si="22"/>
        <v>2.2135416666666706E-2</v>
      </c>
      <c r="F56" s="18">
        <f>IF(ISNUMBER(D56), $B64 * E56, "")</f>
        <v>3320.3125000000059</v>
      </c>
      <c r="G56" s="31">
        <v>80.099999999999994</v>
      </c>
      <c r="H56" s="32">
        <f t="shared" si="23"/>
        <v>4.2968749999999965E-2</v>
      </c>
      <c r="I56" s="101">
        <f>IF(ISNUMBER(G56), $B64 * H56, "")</f>
        <v>6445.3124999999945</v>
      </c>
      <c r="J56" s="15">
        <v>82.4</v>
      </c>
      <c r="K56" s="32">
        <f t="shared" si="24"/>
        <v>7.2916666666666782E-2</v>
      </c>
      <c r="L56" s="18">
        <f>IF(ISNUMBER(J56), $B64 * K56, "")</f>
        <v>10937.500000000018</v>
      </c>
      <c r="M56" s="31">
        <v>81.3</v>
      </c>
      <c r="N56" s="32">
        <f t="shared" si="25"/>
        <v>5.859375E-2</v>
      </c>
      <c r="O56" s="18">
        <f>IF(ISNUMBER(M56), $B64 * N56, "")</f>
        <v>8789.0625</v>
      </c>
      <c r="Q56" s="192"/>
      <c r="R56" s="192"/>
      <c r="S56" s="192"/>
    </row>
    <row r="57" spans="1:19" ht="17.25" customHeight="1" thickBot="1">
      <c r="A57" s="125" t="s">
        <v>146</v>
      </c>
      <c r="B57" s="126">
        <v>17.7</v>
      </c>
      <c r="C57" s="77">
        <v>5.3571428599999998E-2</v>
      </c>
      <c r="D57" s="15">
        <v>17.899999999999999</v>
      </c>
      <c r="E57" s="32">
        <f t="shared" si="22"/>
        <v>1.1299435028248548E-2</v>
      </c>
      <c r="F57" s="18">
        <f>IF(ISNUMBER(D57), $B64 * E57, "")</f>
        <v>1694.9152542372822</v>
      </c>
      <c r="G57" s="31">
        <v>18.399999999999999</v>
      </c>
      <c r="H57" s="32">
        <f t="shared" si="23"/>
        <v>3.9548022598870018E-2</v>
      </c>
      <c r="I57" s="101">
        <f>IF(ISNUMBER(G57), $B64 * H57, "")</f>
        <v>5932.2033898305026</v>
      </c>
      <c r="J57" s="15">
        <v>19.2</v>
      </c>
      <c r="K57" s="32">
        <f t="shared" si="24"/>
        <v>8.4745762711864417E-2</v>
      </c>
      <c r="L57" s="18">
        <f>IF(ISNUMBER(J57), $B64 * K57, "")</f>
        <v>12711.864406779663</v>
      </c>
      <c r="M57" s="31">
        <v>18.899999999999999</v>
      </c>
      <c r="N57" s="32">
        <f t="shared" si="25"/>
        <v>6.7796610169491484E-2</v>
      </c>
      <c r="O57" s="18">
        <f>IF(ISNUMBER(M57), $B64 * N57, "")</f>
        <v>10169.491525423722</v>
      </c>
      <c r="Q57" s="202"/>
      <c r="R57" s="202"/>
      <c r="S57" s="202"/>
    </row>
    <row r="58" spans="1:19" ht="17.25" customHeight="1" thickBot="1">
      <c r="A58" s="127" t="s">
        <v>160</v>
      </c>
      <c r="B58" s="128">
        <v>90.9</v>
      </c>
      <c r="C58" s="78">
        <v>4.6029919400000001E-2</v>
      </c>
      <c r="D58" s="20">
        <v>91.7</v>
      </c>
      <c r="E58" s="21">
        <f t="shared" si="22"/>
        <v>8.8008800880087692E-3</v>
      </c>
      <c r="F58" s="22">
        <f>IF(ISNUMBER(D58), $B64 * E58, "")</f>
        <v>1320.1320132013154</v>
      </c>
      <c r="G58" s="30">
        <v>93.2</v>
      </c>
      <c r="H58" s="21">
        <f t="shared" si="23"/>
        <v>2.5302530253025271E-2</v>
      </c>
      <c r="I58" s="105">
        <f>IF(ISNUMBER(G58), $B64 * H58, "")</f>
        <v>3795.3795379537905</v>
      </c>
      <c r="J58" s="20">
        <v>97.5</v>
      </c>
      <c r="K58" s="21">
        <f t="shared" si="24"/>
        <v>7.2607260726072542E-2</v>
      </c>
      <c r="L58" s="22">
        <f>IF(ISNUMBER(J58), $B64 * K58, "")</f>
        <v>10891.089108910881</v>
      </c>
      <c r="M58" s="30">
        <v>97.5</v>
      </c>
      <c r="N58" s="21">
        <f t="shared" si="25"/>
        <v>7.2607260726072542E-2</v>
      </c>
      <c r="O58" s="22">
        <f>IF(ISNUMBER(M58), $B64 * N58, "")</f>
        <v>10891.089108910881</v>
      </c>
      <c r="Q58" s="202"/>
      <c r="R58" s="202"/>
      <c r="S58" s="202"/>
    </row>
    <row r="59" spans="1:19" ht="17.25" customHeight="1" thickBot="1">
      <c r="A59" s="125" t="s">
        <v>142</v>
      </c>
      <c r="B59" s="129">
        <v>95.4</v>
      </c>
      <c r="C59" s="80">
        <v>4.3763676100000003E-2</v>
      </c>
      <c r="D59" s="106">
        <v>98.3</v>
      </c>
      <c r="E59" s="107">
        <f>IF(ISNUMBER(D59), (D59 - $B59) / $B59, "")</f>
        <v>3.0398322851152949E-2</v>
      </c>
      <c r="F59" s="108">
        <f>IF(ISNUMBER(D59), $B64 * E59, "")</f>
        <v>4559.7484276729419</v>
      </c>
      <c r="G59" s="109">
        <v>99.5</v>
      </c>
      <c r="H59" s="107">
        <f>IF(ISNUMBER(G59), (G59 - $B59) / $B59, "")</f>
        <v>4.2976939203354235E-2</v>
      </c>
      <c r="I59" s="110">
        <f>IF(ISNUMBER(G59), $B64 * H59, "")</f>
        <v>6446.5408805031357</v>
      </c>
      <c r="J59" s="106">
        <v>102</v>
      </c>
      <c r="K59" s="107">
        <f>IF(ISNUMBER(J59), (J59 - $B59) / $B59, "")</f>
        <v>6.9182389937106861E-2</v>
      </c>
      <c r="L59" s="108">
        <f>IF(ISNUMBER(J59), $B64 * K59, "")</f>
        <v>10377.35849056603</v>
      </c>
      <c r="M59" s="109">
        <v>101</v>
      </c>
      <c r="N59" s="107">
        <f>IF(ISNUMBER(M59), (M59 - $B59) / $B59, "")</f>
        <v>5.8700209643605804E-2</v>
      </c>
      <c r="O59" s="108">
        <f>IF(ISNUMBER(M59), $B64 * N59, "")</f>
        <v>8805.0314465408701</v>
      </c>
      <c r="Q59" s="192"/>
      <c r="R59" s="192"/>
      <c r="S59" s="192"/>
    </row>
    <row r="60" spans="1:19" ht="17.25" customHeight="1" thickBot="1">
      <c r="A60" s="125" t="s">
        <v>200</v>
      </c>
      <c r="B60" s="126">
        <v>72.8</v>
      </c>
      <c r="C60" s="77">
        <v>4.1487839800000002E-2</v>
      </c>
      <c r="D60" s="15">
        <v>73.900000000000006</v>
      </c>
      <c r="E60" s="32">
        <f t="shared" ref="E60:E63" si="26">IF(ISNUMBER(D60), (D60 - $B60) / $B60, "")</f>
        <v>1.5109890109890228E-2</v>
      </c>
      <c r="F60" s="18">
        <f>IF(ISNUMBER(D60), $B64 * E60, "")</f>
        <v>2266.483516483534</v>
      </c>
      <c r="G60" s="31">
        <v>74.599999999999994</v>
      </c>
      <c r="H60" s="32">
        <f t="shared" ref="H60:H63" si="27">IF(ISNUMBER(G60), (G60 - $B60) / $B60, "")</f>
        <v>2.4725274725274686E-2</v>
      </c>
      <c r="I60" s="101">
        <f>IF(ISNUMBER(G60), $B64 * H60, "")</f>
        <v>3708.7912087912027</v>
      </c>
      <c r="J60" s="15">
        <v>76.900000000000006</v>
      </c>
      <c r="K60" s="32">
        <f t="shared" ref="K60:K63" si="28">IF(ISNUMBER(J60), (J60 - $B60) / $B60, "")</f>
        <v>5.6318681318681438E-2</v>
      </c>
      <c r="L60" s="18">
        <f>IF(ISNUMBER(J60), $B64 * K60, "")</f>
        <v>8447.8021978022152</v>
      </c>
      <c r="M60" s="31">
        <v>75.8</v>
      </c>
      <c r="N60" s="32">
        <f t="shared" ref="N60:N63" si="29">IF(ISNUMBER(M60), (M60 - $B60) / $B60, "")</f>
        <v>4.1208791208791208E-2</v>
      </c>
      <c r="O60" s="18">
        <f>IF(ISNUMBER(M60), $B64 * N60, "")</f>
        <v>6181.3186813186812</v>
      </c>
      <c r="Q60" s="192"/>
      <c r="R60" s="192"/>
      <c r="S60" s="192"/>
    </row>
    <row r="61" spans="1:19" ht="17.25" customHeight="1" thickBot="1">
      <c r="A61" s="125" t="s">
        <v>98</v>
      </c>
      <c r="B61" s="126">
        <v>3.84</v>
      </c>
      <c r="C61" s="77">
        <v>4.06504065E-2</v>
      </c>
      <c r="D61" s="15">
        <v>3.9</v>
      </c>
      <c r="E61" s="32">
        <f t="shared" si="26"/>
        <v>1.5625000000000014E-2</v>
      </c>
      <c r="F61" s="18">
        <f>IF(ISNUMBER(D61), $B64 * E61, "")</f>
        <v>2343.7500000000023</v>
      </c>
      <c r="G61" s="31">
        <v>3.98</v>
      </c>
      <c r="H61" s="32">
        <f t="shared" si="27"/>
        <v>3.645833333333337E-2</v>
      </c>
      <c r="I61" s="101">
        <f>IF(ISNUMBER(G61), $B64 * H61, "")</f>
        <v>5468.7500000000055</v>
      </c>
      <c r="J61" s="15">
        <v>4.09</v>
      </c>
      <c r="K61" s="32">
        <f t="shared" si="28"/>
        <v>6.5104166666666671E-2</v>
      </c>
      <c r="L61" s="18">
        <f>IF(ISNUMBER(J61), $B64 * K61, "")</f>
        <v>9765.625</v>
      </c>
      <c r="M61" s="31">
        <v>4.05</v>
      </c>
      <c r="N61" s="32">
        <f t="shared" si="29"/>
        <v>5.4687499999999993E-2</v>
      </c>
      <c r="O61" s="18">
        <f>IF(ISNUMBER(M61), $B64 * N61, "")</f>
        <v>8203.1249999999982</v>
      </c>
      <c r="Q61" s="192"/>
      <c r="R61" s="192"/>
      <c r="S61" s="192"/>
    </row>
    <row r="62" spans="1:19" ht="17.25" customHeight="1">
      <c r="A62" s="125" t="s">
        <v>328</v>
      </c>
      <c r="B62" s="126">
        <v>0.29499999999999998</v>
      </c>
      <c r="C62" s="77">
        <v>2.4305555600000001E-2</v>
      </c>
      <c r="D62" s="15">
        <v>0.29799999999999999</v>
      </c>
      <c r="E62" s="32">
        <f t="shared" si="26"/>
        <v>1.0169491525423738E-2</v>
      </c>
      <c r="F62" s="18">
        <f>IF(ISNUMBER(D62), $B64 * E62, "")</f>
        <v>1525.4237288135607</v>
      </c>
      <c r="G62" s="31">
        <v>0.3</v>
      </c>
      <c r="H62" s="32">
        <f t="shared" si="27"/>
        <v>1.6949152542372899E-2</v>
      </c>
      <c r="I62" s="101">
        <f>IF(ISNUMBER(G62), $B64 * H62, "")</f>
        <v>2542.3728813559346</v>
      </c>
      <c r="J62" s="15">
        <v>0.30099999999999999</v>
      </c>
      <c r="K62" s="32">
        <f t="shared" si="28"/>
        <v>2.0338983050847477E-2</v>
      </c>
      <c r="L62" s="18">
        <f>IF(ISNUMBER(J62), $B64 * K62, "")</f>
        <v>3050.8474576271215</v>
      </c>
      <c r="M62" s="31">
        <v>0.29899999999999999</v>
      </c>
      <c r="N62" s="32">
        <f t="shared" si="29"/>
        <v>1.3559322033898319E-2</v>
      </c>
      <c r="O62" s="18">
        <f>IF(ISNUMBER(M62), $B64 * N62, "")</f>
        <v>2033.8983050847478</v>
      </c>
      <c r="Q62" s="181"/>
      <c r="R62" s="182"/>
      <c r="S62" s="183"/>
    </row>
    <row r="63" spans="1:19" ht="17.25" customHeight="1" thickBot="1">
      <c r="A63" s="130" t="s">
        <v>65</v>
      </c>
      <c r="B63" s="131">
        <v>65.599999999999994</v>
      </c>
      <c r="C63" s="79">
        <v>1.5267175999999999E-3</v>
      </c>
      <c r="D63" s="24">
        <v>65.2</v>
      </c>
      <c r="E63" s="25">
        <f t="shared" si="26"/>
        <v>-6.0975609756096271E-3</v>
      </c>
      <c r="F63" s="104">
        <f>IF(ISNUMBER(D63), $B64 * E63, "")</f>
        <v>-914.63414634144408</v>
      </c>
      <c r="G63" s="102">
        <v>65.8</v>
      </c>
      <c r="H63" s="25">
        <f t="shared" si="27"/>
        <v>3.0487804878049215E-3</v>
      </c>
      <c r="I63" s="103">
        <f>IF(ISNUMBER(G63), $B64 * H63, "")</f>
        <v>457.31707317073824</v>
      </c>
      <c r="J63" s="24">
        <v>68.099999999999994</v>
      </c>
      <c r="K63" s="25">
        <f t="shared" si="28"/>
        <v>3.8109756097560982E-2</v>
      </c>
      <c r="L63" s="104">
        <f>IF(ISNUMBER(J63), $B64 * K63, "")</f>
        <v>5716.4634146341468</v>
      </c>
      <c r="M63" s="102">
        <v>67.3</v>
      </c>
      <c r="N63" s="25">
        <f t="shared" si="29"/>
        <v>2.5914634146341511E-2</v>
      </c>
      <c r="O63" s="104">
        <f>IF(ISNUMBER(M63), $B64 * N63, "")</f>
        <v>3887.1951219512266</v>
      </c>
      <c r="Q63" s="184"/>
      <c r="R63" s="185"/>
      <c r="S63" s="186"/>
    </row>
    <row r="64" spans="1:19" ht="17.25" customHeight="1" thickBot="1">
      <c r="A64" s="132" t="s">
        <v>268</v>
      </c>
      <c r="B64" s="245">
        <f>$B$37</f>
        <v>150000</v>
      </c>
      <c r="C64" s="246"/>
      <c r="D64" s="26" t="s">
        <v>269</v>
      </c>
      <c r="E64" s="27">
        <f>IF(COUNT(E44:E63), SUM(E44:E63) / COUNT(E44:E63), 0)</f>
        <v>7.5579211583596028E-3</v>
      </c>
      <c r="F64" s="28">
        <f>SUM(F44:F63)</f>
        <v>22673.763475078809</v>
      </c>
      <c r="G64" s="26" t="s">
        <v>269</v>
      </c>
      <c r="H64" s="27">
        <f>IF(COUNT(H44:H63), SUM(H44:H63) / COUNT(H44:H63), 0)</f>
        <v>2.1519409685146991E-2</v>
      </c>
      <c r="I64" s="28">
        <f>SUM(I44:I63)</f>
        <v>64558.22905544097</v>
      </c>
      <c r="J64" s="26" t="s">
        <v>269</v>
      </c>
      <c r="K64" s="27">
        <f>IF(COUNT(K44:K63), SUM(K44:K63) / COUNT(K44:K63), 0)</f>
        <v>5.1892821065271821E-2</v>
      </c>
      <c r="L64" s="28">
        <f>SUM(L44:L63)</f>
        <v>155678.46319581548</v>
      </c>
      <c r="M64" s="26" t="s">
        <v>269</v>
      </c>
      <c r="N64" s="27">
        <f>IF(COUNT(N44:N63), SUM(N44:N63) / COUNT(N44:N63), 0)</f>
        <v>4.4201822382398649E-2</v>
      </c>
      <c r="O64" s="28">
        <f>SUM(O44:O63)</f>
        <v>132605.46714719594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57" t="s">
        <v>265</v>
      </c>
      <c r="B68" s="203" t="s">
        <v>49</v>
      </c>
      <c r="C68" s="205"/>
      <c r="D68" s="203" t="s">
        <v>58</v>
      </c>
      <c r="E68" s="204"/>
      <c r="F68" s="205"/>
      <c r="G68" s="206">
        <f>_xlfn.IFNA(VLOOKUP(B68, 현재가테이블!$B$2:$D$200, 2, FALSE), "-")</f>
        <v>62630000</v>
      </c>
      <c r="H68" s="207"/>
      <c r="I68" s="208"/>
      <c r="J68" s="203" t="s">
        <v>59</v>
      </c>
      <c r="K68" s="204"/>
      <c r="L68" s="205"/>
      <c r="M68" s="209">
        <f>_xlfn.IFNA(VLOOKUP(B68, 현재가테이블!$B$2:$D$200, 3, FALSE), "-")</f>
        <v>1.5632601400000001E-2</v>
      </c>
      <c r="N68" s="210"/>
      <c r="O68" s="211"/>
      <c r="Q68" s="202"/>
      <c r="R68" s="202"/>
      <c r="S68" s="202"/>
    </row>
    <row r="69" spans="1:19" ht="17.25" thickBot="1">
      <c r="A69" s="247" t="s">
        <v>55</v>
      </c>
      <c r="B69" s="243" t="str">
        <f>TEXT($G$1, "[$-ko-KR]yyyy-mm-dd(ddd) ") &amp; "오전 00:00"</f>
        <v>2021-10-01(금) 오전 00:00</v>
      </c>
      <c r="C69" s="244"/>
      <c r="D69" s="216" t="str">
        <f>TEXT($G$1, "[$-ko-KR]yyyy-mm-dd(ddd) ") &amp; "오후 14:00"</f>
        <v>2021-10-01(금) 오후 14:00</v>
      </c>
      <c r="E69" s="217"/>
      <c r="F69" s="218"/>
      <c r="G69" s="216" t="str">
        <f>TEXT($G$1, "[$-ko-KR]yyyy-mm-dd(ddd) ") &amp; "오후 19:00"</f>
        <v>2021-10-01(금) 오후 19:00</v>
      </c>
      <c r="H69" s="217"/>
      <c r="I69" s="218"/>
      <c r="J69" s="216" t="str">
        <f>TEXT($G$1, "[$-ko-KR]yyyy-mm-dd(ddd) ") &amp; "오후 21:00"</f>
        <v>2021-10-01(금) 오후 21:00</v>
      </c>
      <c r="K69" s="217"/>
      <c r="L69" s="218"/>
      <c r="M69" s="216" t="str">
        <f>TEXT($G$1+1, "[$-ko-KR]yyyy-mm-dd(ddd) ") &amp; "오전 00:00"</f>
        <v>2021-10-02(토) 오전 00:00</v>
      </c>
      <c r="N69" s="217"/>
      <c r="O69" s="218"/>
      <c r="Q69" s="202"/>
      <c r="R69" s="202"/>
      <c r="S69" s="202"/>
    </row>
    <row r="70" spans="1:19" ht="17.25" thickBot="1">
      <c r="A70" s="24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58" t="s">
        <v>58</v>
      </c>
      <c r="H70" s="159" t="s">
        <v>266</v>
      </c>
      <c r="I70" s="16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192"/>
      <c r="R70" s="192"/>
      <c r="S70" s="192"/>
    </row>
    <row r="71" spans="1:19" ht="17.25" thickBot="1">
      <c r="A71" s="123" t="s">
        <v>228</v>
      </c>
      <c r="B71" s="124">
        <v>305</v>
      </c>
      <c r="C71" s="76">
        <v>0.26033057850000002</v>
      </c>
      <c r="D71" s="13">
        <v>307</v>
      </c>
      <c r="E71" s="14">
        <f>IF(ISNUMBER(D71), (D71 - $B71) / $B71, "")</f>
        <v>6.5573770491803279E-3</v>
      </c>
      <c r="F71" s="16">
        <f>IF(ISNUMBER(D71), $B91 * E71, "")</f>
        <v>983.60655737704917</v>
      </c>
      <c r="G71" s="29">
        <v>305</v>
      </c>
      <c r="H71" s="14">
        <f>IF(ISNUMBER(G71), (G71 - $B71) / $B71, "")</f>
        <v>0</v>
      </c>
      <c r="I71" s="100">
        <f>IF(ISNUMBER(G71), $B91 * H71, "")</f>
        <v>0</v>
      </c>
      <c r="J71" s="13">
        <v>322</v>
      </c>
      <c r="K71" s="14">
        <f>IF(ISNUMBER(J71), (J71 - $B71) / $B71, "")</f>
        <v>5.5737704918032788E-2</v>
      </c>
      <c r="L71" s="16">
        <f>IF(ISNUMBER(J71), $B91 * K71, "")</f>
        <v>8360.6557377049176</v>
      </c>
      <c r="M71" s="29">
        <v>311</v>
      </c>
      <c r="N71" s="14">
        <f>IF(ISNUMBER(M71), (M71 - $B71) / $B71, "")</f>
        <v>1.9672131147540985E-2</v>
      </c>
      <c r="O71" s="16">
        <f>IF(ISNUMBER(M71), $B91 * N71, "")</f>
        <v>2950.8196721311479</v>
      </c>
      <c r="Q71" s="202"/>
      <c r="R71" s="202"/>
      <c r="S71" s="202"/>
    </row>
    <row r="72" spans="1:19" ht="17.25" thickBot="1">
      <c r="A72" s="125" t="s">
        <v>204</v>
      </c>
      <c r="B72" s="126">
        <v>804</v>
      </c>
      <c r="C72" s="77">
        <v>0.23312883440000001</v>
      </c>
      <c r="D72" s="15">
        <v>889</v>
      </c>
      <c r="E72" s="32">
        <f t="shared" ref="E72:E75" si="30">IF(ISNUMBER(D72), (D72 - $B72) / $B72, "")</f>
        <v>0.10572139303482588</v>
      </c>
      <c r="F72" s="18">
        <f>IF(ISNUMBER(D72), $B91 * E72, "")</f>
        <v>15858.208955223881</v>
      </c>
      <c r="G72" s="31">
        <v>851</v>
      </c>
      <c r="H72" s="32">
        <f t="shared" ref="H72:H75" si="31">IF(ISNUMBER(G72), (G72 - $B72) / $B72, "")</f>
        <v>5.8457711442786067E-2</v>
      </c>
      <c r="I72" s="101">
        <f>IF(ISNUMBER(G72), $B91 * H72, "")</f>
        <v>8768.6567164179105</v>
      </c>
      <c r="J72" s="15">
        <v>856</v>
      </c>
      <c r="K72" s="32">
        <f t="shared" ref="K72:K75" si="32">IF(ISNUMBER(J72), (J72 - $B72) / $B72, "")</f>
        <v>6.4676616915422883E-2</v>
      </c>
      <c r="L72" s="18">
        <f>IF(ISNUMBER(J72), $B91 * K72, "")</f>
        <v>9701.492537313432</v>
      </c>
      <c r="M72" s="31">
        <v>851</v>
      </c>
      <c r="N72" s="32">
        <f t="shared" ref="N72:N75" si="33">IF(ISNUMBER(M72), (M72 - $B72) / $B72, "")</f>
        <v>5.8457711442786067E-2</v>
      </c>
      <c r="O72" s="18">
        <f>IF(ISNUMBER(M72), $B91 * N72, "")</f>
        <v>8768.6567164179105</v>
      </c>
      <c r="Q72" s="202"/>
      <c r="R72" s="202"/>
      <c r="S72" s="202"/>
    </row>
    <row r="73" spans="1:19" ht="17.25" thickBot="1">
      <c r="A73" s="125" t="s">
        <v>230</v>
      </c>
      <c r="B73" s="126">
        <v>727</v>
      </c>
      <c r="C73" s="77">
        <v>0.15031645569999999</v>
      </c>
      <c r="D73" s="15">
        <v>774</v>
      </c>
      <c r="E73" s="32">
        <f t="shared" si="30"/>
        <v>6.4649243466299869E-2</v>
      </c>
      <c r="F73" s="18">
        <f>IF(ISNUMBER(D73), $B91 * E73, "")</f>
        <v>9697.386519944981</v>
      </c>
      <c r="G73" s="31">
        <v>756</v>
      </c>
      <c r="H73" s="32">
        <f t="shared" si="31"/>
        <v>3.9889958734525444E-2</v>
      </c>
      <c r="I73" s="101">
        <f>IF(ISNUMBER(G73), $B91 * H73, "")</f>
        <v>5983.4938101788166</v>
      </c>
      <c r="J73" s="15">
        <v>759</v>
      </c>
      <c r="K73" s="32">
        <f t="shared" si="32"/>
        <v>4.4016506189821183E-2</v>
      </c>
      <c r="L73" s="18">
        <f>IF(ISNUMBER(J73), $B91 * K73, "")</f>
        <v>6602.4759284731772</v>
      </c>
      <c r="M73" s="31">
        <v>752</v>
      </c>
      <c r="N73" s="32">
        <f t="shared" si="33"/>
        <v>3.4387895460797797E-2</v>
      </c>
      <c r="O73" s="18">
        <f>IF(ISNUMBER(M73), $B91 * N73, "")</f>
        <v>5158.1843191196695</v>
      </c>
      <c r="Q73" s="192"/>
      <c r="R73" s="192"/>
      <c r="S73" s="192"/>
    </row>
    <row r="74" spans="1:19" ht="17.25" thickBot="1">
      <c r="A74" s="125" t="s">
        <v>172</v>
      </c>
      <c r="B74" s="126">
        <v>359</v>
      </c>
      <c r="C74" s="77">
        <v>0.1149068323</v>
      </c>
      <c r="D74" s="15">
        <v>407</v>
      </c>
      <c r="E74" s="32">
        <f t="shared" si="30"/>
        <v>0.13370473537604458</v>
      </c>
      <c r="F74" s="18">
        <f>IF(ISNUMBER(D74), $B91 * E74, "")</f>
        <v>20055.710306406687</v>
      </c>
      <c r="G74" s="31">
        <v>395</v>
      </c>
      <c r="H74" s="32">
        <f t="shared" si="31"/>
        <v>0.10027855153203342</v>
      </c>
      <c r="I74" s="101">
        <f>IF(ISNUMBER(G74), $B91 * H74, "")</f>
        <v>15041.782729805014</v>
      </c>
      <c r="J74" s="15">
        <v>409</v>
      </c>
      <c r="K74" s="32">
        <f t="shared" si="32"/>
        <v>0.1392757660167131</v>
      </c>
      <c r="L74" s="18">
        <f>IF(ISNUMBER(J74), $B91 * K74, "")</f>
        <v>20891.364902506964</v>
      </c>
      <c r="M74" s="31">
        <v>409</v>
      </c>
      <c r="N74" s="32">
        <f t="shared" si="33"/>
        <v>0.1392757660167131</v>
      </c>
      <c r="O74" s="18">
        <f>IF(ISNUMBER(M74), $B91 * N74, "")</f>
        <v>20891.364902506964</v>
      </c>
      <c r="Q74" s="192"/>
      <c r="R74" s="192"/>
      <c r="S74" s="192"/>
    </row>
    <row r="75" spans="1:19" ht="17.25" thickBot="1">
      <c r="A75" s="127" t="s">
        <v>198</v>
      </c>
      <c r="B75" s="128">
        <v>165</v>
      </c>
      <c r="C75" s="78">
        <v>0.1148648649</v>
      </c>
      <c r="D75" s="20">
        <v>168</v>
      </c>
      <c r="E75" s="21">
        <f t="shared" si="30"/>
        <v>1.8181818181818181E-2</v>
      </c>
      <c r="F75" s="22">
        <f>IF(ISNUMBER(D75), $B91 * E75, "")</f>
        <v>2727.272727272727</v>
      </c>
      <c r="G75" s="30">
        <v>171</v>
      </c>
      <c r="H75" s="21">
        <f t="shared" si="31"/>
        <v>3.6363636363636362E-2</v>
      </c>
      <c r="I75" s="105">
        <f>IF(ISNUMBER(G75), $B91 * H75, "")</f>
        <v>5454.545454545454</v>
      </c>
      <c r="J75" s="20">
        <v>175</v>
      </c>
      <c r="K75" s="21">
        <f t="shared" si="32"/>
        <v>6.0606060606060608E-2</v>
      </c>
      <c r="L75" s="22">
        <f>IF(ISNUMBER(J75), $B91 * K75, "")</f>
        <v>9090.9090909090919</v>
      </c>
      <c r="M75" s="30">
        <v>178</v>
      </c>
      <c r="N75" s="21">
        <f t="shared" si="33"/>
        <v>7.8787878787878782E-2</v>
      </c>
      <c r="O75" s="22">
        <f>IF(ISNUMBER(M75), $B91 * N75, "")</f>
        <v>11818.181818181818</v>
      </c>
      <c r="Q75" s="192"/>
      <c r="R75" s="192"/>
      <c r="S75" s="192"/>
    </row>
    <row r="76" spans="1:19" ht="17.25" thickBot="1">
      <c r="A76" s="125" t="s">
        <v>218</v>
      </c>
      <c r="B76" s="129">
        <v>216</v>
      </c>
      <c r="C76" s="80">
        <v>0.1076923077</v>
      </c>
      <c r="D76" s="106">
        <v>218</v>
      </c>
      <c r="E76" s="107">
        <f>IF(ISNUMBER(D76), (D76 - $B76) / $B76, "")</f>
        <v>9.2592592592592587E-3</v>
      </c>
      <c r="F76" s="108">
        <f>IF(ISNUMBER(D76), $B91 * E76, "")</f>
        <v>1388.8888888888889</v>
      </c>
      <c r="G76" s="109">
        <v>220</v>
      </c>
      <c r="H76" s="107">
        <f>IF(ISNUMBER(G76), (G76 - $B76) / $B76, "")</f>
        <v>1.8518518518518517E-2</v>
      </c>
      <c r="I76" s="110">
        <f>IF(ISNUMBER(G76), $B91 * H76, "")</f>
        <v>2777.7777777777778</v>
      </c>
      <c r="J76" s="106">
        <v>226</v>
      </c>
      <c r="K76" s="107">
        <f>IF(ISNUMBER(J76), (J76 - $B76) / $B76, "")</f>
        <v>4.6296296296296294E-2</v>
      </c>
      <c r="L76" s="108">
        <f>IF(ISNUMBER(J76), $B91 * K76, "")</f>
        <v>6944.4444444444443</v>
      </c>
      <c r="M76" s="109">
        <v>223</v>
      </c>
      <c r="N76" s="107">
        <f>IF(ISNUMBER(M76), (M76 - $B76) / $B76, "")</f>
        <v>3.2407407407407406E-2</v>
      </c>
      <c r="O76" s="108">
        <f>IF(ISNUMBER(M76), $B91 * N76, "")</f>
        <v>4861.1111111111104</v>
      </c>
      <c r="Q76" s="192"/>
      <c r="R76" s="192"/>
      <c r="S76" s="192"/>
    </row>
    <row r="77" spans="1:19" ht="17.25" thickBot="1">
      <c r="A77" s="125" t="s">
        <v>220</v>
      </c>
      <c r="B77" s="126">
        <v>149</v>
      </c>
      <c r="C77" s="77">
        <v>0.1037037037</v>
      </c>
      <c r="D77" s="15">
        <v>154</v>
      </c>
      <c r="E77" s="32">
        <f t="shared" ref="E77:E80" si="34">IF(ISNUMBER(D77), (D77 - $B77) / $B77, "")</f>
        <v>3.3557046979865772E-2</v>
      </c>
      <c r="F77" s="18">
        <f>IF(ISNUMBER(D77), $B91 * E77, "")</f>
        <v>5033.5570469798658</v>
      </c>
      <c r="G77" s="31">
        <v>158</v>
      </c>
      <c r="H77" s="32">
        <f t="shared" ref="H77:H80" si="35">IF(ISNUMBER(G77), (G77 - $B77) / $B77, "")</f>
        <v>6.0402684563758392E-2</v>
      </c>
      <c r="I77" s="101">
        <f>IF(ISNUMBER(G77), $B91 * H77, "")</f>
        <v>9060.4026845637582</v>
      </c>
      <c r="J77" s="15">
        <v>163</v>
      </c>
      <c r="K77" s="32">
        <f t="shared" ref="K77:K80" si="36">IF(ISNUMBER(J77), (J77 - $B77) / $B77, "")</f>
        <v>9.3959731543624164E-2</v>
      </c>
      <c r="L77" s="18">
        <f>IF(ISNUMBER(J77), $B91 * K77, "")</f>
        <v>14093.959731543624</v>
      </c>
      <c r="M77" s="31">
        <v>160</v>
      </c>
      <c r="N77" s="32">
        <f t="shared" ref="N77:N80" si="37">IF(ISNUMBER(M77), (M77 - $B77) / $B77, "")</f>
        <v>7.3825503355704702E-2</v>
      </c>
      <c r="O77" s="18">
        <f>IF(ISNUMBER(M77), $B91 * N77, "")</f>
        <v>11073.825503355705</v>
      </c>
      <c r="Q77" s="192"/>
      <c r="R77" s="192"/>
      <c r="S77" s="192"/>
    </row>
    <row r="78" spans="1:19" ht="17.25" thickBot="1">
      <c r="A78" s="125" t="s">
        <v>122</v>
      </c>
      <c r="B78" s="126">
        <v>536</v>
      </c>
      <c r="C78" s="77">
        <v>0.10288065840000001</v>
      </c>
      <c r="D78" s="15">
        <v>558</v>
      </c>
      <c r="E78" s="32">
        <f t="shared" si="34"/>
        <v>4.1044776119402986E-2</v>
      </c>
      <c r="F78" s="18">
        <f>IF(ISNUMBER(D78), $B91 * E78, "")</f>
        <v>6156.7164179104475</v>
      </c>
      <c r="G78" s="31">
        <v>556</v>
      </c>
      <c r="H78" s="32">
        <f t="shared" si="35"/>
        <v>3.7313432835820892E-2</v>
      </c>
      <c r="I78" s="101">
        <f>IF(ISNUMBER(G78), $B91 * H78, "")</f>
        <v>5597.0149253731342</v>
      </c>
      <c r="J78" s="15">
        <v>574</v>
      </c>
      <c r="K78" s="32">
        <f t="shared" si="36"/>
        <v>7.0895522388059698E-2</v>
      </c>
      <c r="L78" s="18">
        <f>IF(ISNUMBER(J78), $B91 * K78, "")</f>
        <v>10634.328358208955</v>
      </c>
      <c r="M78" s="31">
        <v>559</v>
      </c>
      <c r="N78" s="32">
        <f t="shared" si="37"/>
        <v>4.2910447761194029E-2</v>
      </c>
      <c r="O78" s="18">
        <f>IF(ISNUMBER(M78), $B91 * N78, "")</f>
        <v>6436.5671641791041</v>
      </c>
      <c r="Q78" s="192"/>
      <c r="R78" s="192"/>
      <c r="S78" s="192"/>
    </row>
    <row r="79" spans="1:19" ht="17.25" thickBot="1">
      <c r="A79" s="125" t="s">
        <v>190</v>
      </c>
      <c r="B79" s="126">
        <v>312</v>
      </c>
      <c r="C79" s="77">
        <v>9.4736842099999996E-2</v>
      </c>
      <c r="D79" s="15">
        <v>325</v>
      </c>
      <c r="E79" s="32">
        <f t="shared" si="34"/>
        <v>4.1666666666666664E-2</v>
      </c>
      <c r="F79" s="18">
        <f>IF(ISNUMBER(D79), $B91 * E79, "")</f>
        <v>6250</v>
      </c>
      <c r="G79" s="31">
        <v>327</v>
      </c>
      <c r="H79" s="32">
        <f t="shared" si="35"/>
        <v>4.807692307692308E-2</v>
      </c>
      <c r="I79" s="101">
        <f>IF(ISNUMBER(G79), $B91 * H79, "")</f>
        <v>7211.5384615384619</v>
      </c>
      <c r="J79" s="15">
        <v>339</v>
      </c>
      <c r="K79" s="32">
        <f t="shared" si="36"/>
        <v>8.6538461538461536E-2</v>
      </c>
      <c r="L79" s="18">
        <f>IF(ISNUMBER(J79), $B91 * K79, "")</f>
        <v>12980.76923076923</v>
      </c>
      <c r="M79" s="31">
        <v>336</v>
      </c>
      <c r="N79" s="32">
        <f t="shared" si="37"/>
        <v>7.6923076923076927E-2</v>
      </c>
      <c r="O79" s="18">
        <f>IF(ISNUMBER(M79), $B91 * N79, "")</f>
        <v>11538.461538461539</v>
      </c>
      <c r="Q79" s="33"/>
      <c r="R79" s="33"/>
    </row>
    <row r="80" spans="1:19" ht="17.25" thickBot="1">
      <c r="A80" s="130" t="s">
        <v>250</v>
      </c>
      <c r="B80" s="131">
        <v>934</v>
      </c>
      <c r="C80" s="79">
        <v>8.60465116E-2</v>
      </c>
      <c r="D80" s="24">
        <v>940</v>
      </c>
      <c r="E80" s="25">
        <f t="shared" si="34"/>
        <v>6.4239828693790149E-3</v>
      </c>
      <c r="F80" s="104">
        <f>IF(ISNUMBER(D80), $B91 * E80, "")</f>
        <v>963.59743040685225</v>
      </c>
      <c r="G80" s="102">
        <v>954</v>
      </c>
      <c r="H80" s="25">
        <f t="shared" si="35"/>
        <v>2.1413276231263382E-2</v>
      </c>
      <c r="I80" s="103">
        <f>IF(ISNUMBER(G80), $B91 * H80, "")</f>
        <v>3211.9914346895071</v>
      </c>
      <c r="J80" s="24">
        <v>982</v>
      </c>
      <c r="K80" s="25">
        <f t="shared" si="36"/>
        <v>5.1391862955032119E-2</v>
      </c>
      <c r="L80" s="104">
        <f>IF(ISNUMBER(J80), $B91 * K80, "")</f>
        <v>7708.779443254818</v>
      </c>
      <c r="M80" s="102">
        <v>988</v>
      </c>
      <c r="N80" s="25">
        <f t="shared" si="37"/>
        <v>5.7815845824411134E-2</v>
      </c>
      <c r="O80" s="104">
        <f>IF(ISNUMBER(M80), $B91 * N80, "")</f>
        <v>8672.3768736616694</v>
      </c>
      <c r="Q80" s="193"/>
      <c r="R80" s="194"/>
      <c r="S80" s="195"/>
    </row>
    <row r="81" spans="1:19">
      <c r="A81" s="123" t="s">
        <v>226</v>
      </c>
      <c r="B81" s="124">
        <v>762</v>
      </c>
      <c r="C81" s="76">
        <v>8.3926031299999995E-2</v>
      </c>
      <c r="D81" s="13">
        <v>873</v>
      </c>
      <c r="E81" s="14">
        <f>IF(ISNUMBER(D81), (D81 - $B81) / $B81, "")</f>
        <v>0.14566929133858267</v>
      </c>
      <c r="F81" s="16">
        <f>IF(ISNUMBER(D81), $B91 * E81, "")</f>
        <v>21850.393700787401</v>
      </c>
      <c r="G81" s="29">
        <v>845</v>
      </c>
      <c r="H81" s="14">
        <f>IF(ISNUMBER(G81), (G81 - $B81) / $B81, "")</f>
        <v>0.1089238845144357</v>
      </c>
      <c r="I81" s="100">
        <f>IF(ISNUMBER(G81), $B91 * H81, "")</f>
        <v>16338.582677165356</v>
      </c>
      <c r="J81" s="13">
        <v>846</v>
      </c>
      <c r="K81" s="14">
        <f>IF(ISNUMBER(J81), (J81 - $B81) / $B81, "")</f>
        <v>0.11023622047244094</v>
      </c>
      <c r="L81" s="16">
        <f>IF(ISNUMBER(J81), $B91 * K81, "")</f>
        <v>16535.43307086614</v>
      </c>
      <c r="M81" s="29">
        <v>835</v>
      </c>
      <c r="N81" s="14">
        <f>IF(ISNUMBER(M81), (M81 - $B81) / $B81, "")</f>
        <v>9.5800524934383208E-2</v>
      </c>
      <c r="O81" s="16">
        <f>IF(ISNUMBER(M81), $B91 * N81, "")</f>
        <v>14370.078740157482</v>
      </c>
      <c r="Q81" s="196"/>
      <c r="R81" s="197"/>
      <c r="S81" s="198"/>
    </row>
    <row r="82" spans="1:19" ht="17.25" thickBot="1">
      <c r="A82" s="125" t="s">
        <v>252</v>
      </c>
      <c r="B82" s="126">
        <v>333</v>
      </c>
      <c r="C82" s="77">
        <v>8.11688312E-2</v>
      </c>
      <c r="D82" s="15">
        <v>351</v>
      </c>
      <c r="E82" s="32">
        <f t="shared" ref="E82:E85" si="38">IF(ISNUMBER(D82), (D82 - $B82) / $B82, "")</f>
        <v>5.4054054054054057E-2</v>
      </c>
      <c r="F82" s="18">
        <f>IF(ISNUMBER(D82), $B91 * E82, "")</f>
        <v>8108.1081081081084</v>
      </c>
      <c r="G82" s="31">
        <v>355</v>
      </c>
      <c r="H82" s="32">
        <f t="shared" ref="H82:H85" si="39">IF(ISNUMBER(G82), (G82 - $B82) / $B82, "")</f>
        <v>6.6066066066066062E-2</v>
      </c>
      <c r="I82" s="101">
        <f>IF(ISNUMBER(G82), $B91 * H82, "")</f>
        <v>9909.9099099099094</v>
      </c>
      <c r="J82" s="15">
        <v>366</v>
      </c>
      <c r="K82" s="32">
        <f t="shared" ref="K82:K85" si="40">IF(ISNUMBER(J82), (J82 - $B82) / $B82, "")</f>
        <v>9.90990990990991E-2</v>
      </c>
      <c r="L82" s="18">
        <f>IF(ISNUMBER(J82), $B91 * K82, "")</f>
        <v>14864.864864864865</v>
      </c>
      <c r="M82" s="31">
        <v>362</v>
      </c>
      <c r="N82" s="32">
        <f t="shared" ref="N82:N85" si="41">IF(ISNUMBER(M82), (M82 - $B82) / $B82, "")</f>
        <v>8.7087087087087081E-2</v>
      </c>
      <c r="O82" s="18">
        <f>IF(ISNUMBER(M82), $B91 * N82, "")</f>
        <v>13063.063063063062</v>
      </c>
      <c r="Q82" s="199"/>
      <c r="R82" s="200"/>
      <c r="S82" s="201"/>
    </row>
    <row r="83" spans="1:19" ht="17.25" thickBot="1">
      <c r="A83" s="125" t="s">
        <v>54</v>
      </c>
      <c r="B83" s="126">
        <v>410</v>
      </c>
      <c r="C83" s="77">
        <v>7.8947368399999995E-2</v>
      </c>
      <c r="D83" s="15">
        <v>410</v>
      </c>
      <c r="E83" s="32">
        <f t="shared" si="38"/>
        <v>0</v>
      </c>
      <c r="F83" s="18">
        <f>IF(ISNUMBER(D83), $B91 * E83, "")</f>
        <v>0</v>
      </c>
      <c r="G83" s="31">
        <v>418</v>
      </c>
      <c r="H83" s="32">
        <f t="shared" si="39"/>
        <v>1.9512195121951219E-2</v>
      </c>
      <c r="I83" s="101">
        <f>IF(ISNUMBER(G83), $B91 * H83, "")</f>
        <v>2926.8292682926831</v>
      </c>
      <c r="J83" s="15">
        <v>428</v>
      </c>
      <c r="K83" s="32">
        <f t="shared" si="40"/>
        <v>4.3902439024390241E-2</v>
      </c>
      <c r="L83" s="18">
        <f>IF(ISNUMBER(J83), $B91 * K83, "")</f>
        <v>6585.3658536585363</v>
      </c>
      <c r="M83" s="31">
        <v>428</v>
      </c>
      <c r="N83" s="32">
        <f t="shared" si="41"/>
        <v>4.3902439024390241E-2</v>
      </c>
      <c r="O83" s="18">
        <f>IF(ISNUMBER(M83), $B91 * N83, "")</f>
        <v>6585.3658536585363</v>
      </c>
      <c r="Q83" s="192"/>
      <c r="R83" s="192"/>
      <c r="S83" s="192"/>
    </row>
    <row r="84" spans="1:19" ht="17.25" thickBot="1">
      <c r="A84" s="125" t="s">
        <v>164</v>
      </c>
      <c r="B84" s="126">
        <v>181</v>
      </c>
      <c r="C84" s="77">
        <v>7.7380952399999994E-2</v>
      </c>
      <c r="D84" s="15">
        <v>191</v>
      </c>
      <c r="E84" s="32">
        <f t="shared" si="38"/>
        <v>5.5248618784530384E-2</v>
      </c>
      <c r="F84" s="18">
        <f>IF(ISNUMBER(D84), $B91 * E84, "")</f>
        <v>8287.2928176795576</v>
      </c>
      <c r="G84" s="31">
        <v>194</v>
      </c>
      <c r="H84" s="32">
        <f t="shared" si="39"/>
        <v>7.18232044198895E-2</v>
      </c>
      <c r="I84" s="101">
        <f>IF(ISNUMBER(G84), $B91 * H84, "")</f>
        <v>10773.480662983426</v>
      </c>
      <c r="J84" s="15">
        <v>200</v>
      </c>
      <c r="K84" s="32">
        <f t="shared" si="40"/>
        <v>0.10497237569060773</v>
      </c>
      <c r="L84" s="18">
        <f>IF(ISNUMBER(J84), $B91 * K84, "")</f>
        <v>15745.85635359116</v>
      </c>
      <c r="M84" s="31">
        <v>206</v>
      </c>
      <c r="N84" s="32">
        <f t="shared" si="41"/>
        <v>0.13812154696132597</v>
      </c>
      <c r="O84" s="18">
        <f>IF(ISNUMBER(M84), $B91 * N84, "")</f>
        <v>20718.232044198896</v>
      </c>
      <c r="Q84" s="202"/>
      <c r="R84" s="202"/>
      <c r="S84" s="202"/>
    </row>
    <row r="85" spans="1:19" ht="17.25" thickBot="1">
      <c r="A85" s="127" t="s">
        <v>236</v>
      </c>
      <c r="B85" s="128">
        <v>114</v>
      </c>
      <c r="C85" s="78">
        <v>7.5471698099999998E-2</v>
      </c>
      <c r="D85" s="20">
        <v>114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2.6315789473684209E-2</v>
      </c>
      <c r="I85" s="105">
        <f>IF(ISNUMBER(G85), $B91 * H85, "")</f>
        <v>3947.3684210526312</v>
      </c>
      <c r="J85" s="20">
        <v>120</v>
      </c>
      <c r="K85" s="21">
        <f t="shared" si="40"/>
        <v>5.2631578947368418E-2</v>
      </c>
      <c r="L85" s="22">
        <f>IF(ISNUMBER(J85), $B91 * K85, "")</f>
        <v>7894.7368421052624</v>
      </c>
      <c r="M85" s="30">
        <v>120</v>
      </c>
      <c r="N85" s="21">
        <f t="shared" si="41"/>
        <v>5.2631578947368418E-2</v>
      </c>
      <c r="O85" s="22">
        <f>IF(ISNUMBER(M85), $B91 * N85, "")</f>
        <v>7894.7368421052624</v>
      </c>
      <c r="Q85" s="202"/>
      <c r="R85" s="202"/>
      <c r="S85" s="202"/>
    </row>
    <row r="86" spans="1:19" ht="17.25" thickBot="1">
      <c r="A86" s="125" t="s">
        <v>112</v>
      </c>
      <c r="B86" s="129">
        <v>793</v>
      </c>
      <c r="C86" s="80">
        <v>7.4525745300000001E-2</v>
      </c>
      <c r="D86" s="106">
        <v>815</v>
      </c>
      <c r="E86" s="107">
        <f>IF(ISNUMBER(D86), (D86 - $B86) / $B86, "")</f>
        <v>2.7742749054224466E-2</v>
      </c>
      <c r="F86" s="108">
        <f>IF(ISNUMBER(D86), $B91 * E86, "")</f>
        <v>4161.4123581336698</v>
      </c>
      <c r="G86" s="109">
        <v>826</v>
      </c>
      <c r="H86" s="107">
        <f>IF(ISNUMBER(G86), (G86 - $B86) / $B86, "")</f>
        <v>4.1614123581336697E-2</v>
      </c>
      <c r="I86" s="110">
        <f>IF(ISNUMBER(G86), $B91 * H86, "")</f>
        <v>6242.1185372005048</v>
      </c>
      <c r="J86" s="106">
        <v>883</v>
      </c>
      <c r="K86" s="107">
        <f>IF(ISNUMBER(J86), (J86 - $B86) / $B86, "")</f>
        <v>0.11349306431273644</v>
      </c>
      <c r="L86" s="108">
        <f>IF(ISNUMBER(J86), $B91 * K86, "")</f>
        <v>17023.959646910465</v>
      </c>
      <c r="M86" s="109">
        <v>919</v>
      </c>
      <c r="N86" s="107">
        <f>IF(ISNUMBER(M86), (M86 - $B86) / $B86, "")</f>
        <v>0.15889029003783103</v>
      </c>
      <c r="O86" s="108">
        <f>IF(ISNUMBER(M86), $B91 * N86, "")</f>
        <v>23833.543505674654</v>
      </c>
      <c r="Q86" s="192"/>
      <c r="R86" s="192"/>
      <c r="S86" s="192"/>
    </row>
    <row r="87" spans="1:19" ht="17.25" thickBot="1">
      <c r="A87" s="125" t="s">
        <v>80</v>
      </c>
      <c r="B87" s="126">
        <v>781</v>
      </c>
      <c r="C87" s="77">
        <v>7.4277854200000007E-2</v>
      </c>
      <c r="D87" s="15">
        <v>767</v>
      </c>
      <c r="E87" s="32">
        <f t="shared" ref="E87:E90" si="42">IF(ISNUMBER(D87), (D87 - $B87) / $B87, "")</f>
        <v>-1.7925736235595392E-2</v>
      </c>
      <c r="F87" s="18">
        <f>IF(ISNUMBER(D87), $B91 * E87, "")</f>
        <v>-2688.8604353393089</v>
      </c>
      <c r="G87" s="31">
        <v>788</v>
      </c>
      <c r="H87" s="32">
        <f t="shared" ref="H87:H90" si="43">IF(ISNUMBER(G87), (G87 - $B87) / $B87, "")</f>
        <v>8.9628681177976958E-3</v>
      </c>
      <c r="I87" s="101">
        <f>IF(ISNUMBER(G87), $B91 * H87, "")</f>
        <v>1344.4302176696544</v>
      </c>
      <c r="J87" s="15">
        <v>811</v>
      </c>
      <c r="K87" s="32">
        <f t="shared" ref="K87:K90" si="44">IF(ISNUMBER(J87), (J87 - $B87) / $B87, "")</f>
        <v>3.8412291933418691E-2</v>
      </c>
      <c r="L87" s="18">
        <f>IF(ISNUMBER(J87), $B91 * K87, "")</f>
        <v>5761.8437900128038</v>
      </c>
      <c r="M87" s="31">
        <v>804</v>
      </c>
      <c r="N87" s="32">
        <f t="shared" ref="N87:N90" si="45">IF(ISNUMBER(M87), (M87 - $B87) / $B87, "")</f>
        <v>2.9449423815621E-2</v>
      </c>
      <c r="O87" s="18">
        <f>IF(ISNUMBER(M87), $B91 * N87, "")</f>
        <v>4417.41357234315</v>
      </c>
      <c r="Q87" s="192"/>
      <c r="R87" s="192"/>
      <c r="S87" s="192"/>
    </row>
    <row r="88" spans="1:19" ht="17.25" thickBot="1">
      <c r="A88" s="125" t="s">
        <v>128</v>
      </c>
      <c r="B88" s="126">
        <v>126</v>
      </c>
      <c r="C88" s="77">
        <v>6.7796610199999996E-2</v>
      </c>
      <c r="D88" s="15">
        <v>127</v>
      </c>
      <c r="E88" s="32">
        <f t="shared" si="42"/>
        <v>7.9365079365079361E-3</v>
      </c>
      <c r="F88" s="18">
        <f>IF(ISNUMBER(D88), $B91 * E88, "")</f>
        <v>1190.4761904761904</v>
      </c>
      <c r="G88" s="31">
        <v>133</v>
      </c>
      <c r="H88" s="32">
        <f t="shared" si="43"/>
        <v>5.5555555555555552E-2</v>
      </c>
      <c r="I88" s="101">
        <f>IF(ISNUMBER(G88), $B91 * H88, "")</f>
        <v>8333.3333333333321</v>
      </c>
      <c r="J88" s="15">
        <v>134</v>
      </c>
      <c r="K88" s="32">
        <f t="shared" si="44"/>
        <v>6.3492063492063489E-2</v>
      </c>
      <c r="L88" s="18">
        <f>IF(ISNUMBER(J88), $B91 * K88, "")</f>
        <v>9523.8095238095229</v>
      </c>
      <c r="M88" s="31">
        <v>133</v>
      </c>
      <c r="N88" s="32">
        <f t="shared" si="45"/>
        <v>5.5555555555555552E-2</v>
      </c>
      <c r="O88" s="18">
        <f>IF(ISNUMBER(M88), $B91 * N88, "")</f>
        <v>8333.3333333333321</v>
      </c>
      <c r="Q88" s="192"/>
      <c r="R88" s="192"/>
      <c r="S88" s="192"/>
    </row>
    <row r="89" spans="1:19">
      <c r="A89" s="125" t="s">
        <v>216</v>
      </c>
      <c r="B89" s="126">
        <v>126</v>
      </c>
      <c r="C89" s="77">
        <v>6.7796610199999996E-2</v>
      </c>
      <c r="D89" s="15">
        <v>130</v>
      </c>
      <c r="E89" s="32">
        <f t="shared" si="42"/>
        <v>3.1746031746031744E-2</v>
      </c>
      <c r="F89" s="18">
        <f>IF(ISNUMBER(D89), $B91 * E89, "")</f>
        <v>4761.9047619047615</v>
      </c>
      <c r="G89" s="31">
        <v>131</v>
      </c>
      <c r="H89" s="32">
        <f t="shared" si="43"/>
        <v>3.968253968253968E-2</v>
      </c>
      <c r="I89" s="101">
        <f>IF(ISNUMBER(G89), $B91 * H89, "")</f>
        <v>5952.3809523809523</v>
      </c>
      <c r="J89" s="15">
        <v>134</v>
      </c>
      <c r="K89" s="32">
        <f t="shared" si="44"/>
        <v>6.3492063492063489E-2</v>
      </c>
      <c r="L89" s="18">
        <f>IF(ISNUMBER(J89), $B91 * K89, "")</f>
        <v>9523.8095238095229</v>
      </c>
      <c r="M89" s="31">
        <v>136</v>
      </c>
      <c r="N89" s="32">
        <f t="shared" si="45"/>
        <v>7.9365079365079361E-2</v>
      </c>
      <c r="O89" s="18">
        <f>IF(ISNUMBER(M89), $B91 * N89, "")</f>
        <v>11904.761904761905</v>
      </c>
      <c r="Q89" s="181"/>
      <c r="R89" s="182"/>
      <c r="S89" s="183"/>
    </row>
    <row r="90" spans="1:19" ht="17.25" thickBot="1">
      <c r="A90" s="130" t="s">
        <v>212</v>
      </c>
      <c r="B90" s="131">
        <v>856</v>
      </c>
      <c r="C90" s="79">
        <v>6.2034739499999998E-2</v>
      </c>
      <c r="D90" s="24">
        <v>905</v>
      </c>
      <c r="E90" s="25">
        <f t="shared" si="42"/>
        <v>5.7242990654205607E-2</v>
      </c>
      <c r="F90" s="104">
        <f>IF(ISNUMBER(D90), $B91 * E90, "")</f>
        <v>8586.4485981308408</v>
      </c>
      <c r="G90" s="102">
        <v>905</v>
      </c>
      <c r="H90" s="25">
        <f t="shared" si="43"/>
        <v>5.7242990654205607E-2</v>
      </c>
      <c r="I90" s="103">
        <f>IF(ISNUMBER(G90), $B91 * H90, "")</f>
        <v>8586.4485981308408</v>
      </c>
      <c r="J90" s="24">
        <v>933</v>
      </c>
      <c r="K90" s="25">
        <f t="shared" si="44"/>
        <v>8.9953271028037379E-2</v>
      </c>
      <c r="L90" s="104">
        <f>IF(ISNUMBER(J90), $B91 * K90, "")</f>
        <v>13492.990654205607</v>
      </c>
      <c r="M90" s="102">
        <v>933</v>
      </c>
      <c r="N90" s="25">
        <f t="shared" si="45"/>
        <v>8.9953271028037379E-2</v>
      </c>
      <c r="O90" s="104">
        <f>IF(ISNUMBER(M90), $B91 * N90, "")</f>
        <v>13492.990654205607</v>
      </c>
      <c r="Q90" s="184"/>
      <c r="R90" s="185"/>
      <c r="S90" s="186"/>
    </row>
    <row r="91" spans="1:19" ht="17.25" thickBot="1">
      <c r="A91" s="132" t="s">
        <v>268</v>
      </c>
      <c r="B91" s="245">
        <f>$B$37</f>
        <v>150000</v>
      </c>
      <c r="C91" s="246"/>
      <c r="D91" s="26" t="s">
        <v>269</v>
      </c>
      <c r="E91" s="27">
        <f>IF(COUNT(E71:E90), SUM(E71:E90) / COUNT(E71:E90), 0)</f>
        <v>4.1124040316764199E-2</v>
      </c>
      <c r="F91" s="28">
        <f>SUM(F71:F90)</f>
        <v>123372.12095029259</v>
      </c>
      <c r="G91" s="26" t="s">
        <v>269</v>
      </c>
      <c r="H91" s="27">
        <f>IF(COUNT(H71:H90), SUM(H71:H90) / COUNT(H71:H90), 0)</f>
        <v>4.5820695524336368E-2</v>
      </c>
      <c r="I91" s="28">
        <f>SUM(I71:I90)</f>
        <v>137462.08657300912</v>
      </c>
      <c r="J91" s="26" t="s">
        <v>269</v>
      </c>
      <c r="K91" s="27">
        <f>IF(COUNT(K71:K90), SUM(K71:K90) / COUNT(K71:K90), 0)</f>
        <v>7.465394984298751E-2</v>
      </c>
      <c r="L91" s="28">
        <f>SUM(L71:L90)</f>
        <v>223961.84952896251</v>
      </c>
      <c r="M91" s="26" t="s">
        <v>269</v>
      </c>
      <c r="N91" s="27">
        <f>IF(COUNT(N71:N90), SUM(N71:N90) / COUNT(N71:N90), 0)</f>
        <v>7.2261023044209519E-2</v>
      </c>
      <c r="O91" s="28">
        <f>SUM(O71:O90)</f>
        <v>216783.06913262856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57" t="s">
        <v>265</v>
      </c>
      <c r="B95" s="203" t="s">
        <v>49</v>
      </c>
      <c r="C95" s="205"/>
      <c r="D95" s="203" t="s">
        <v>58</v>
      </c>
      <c r="E95" s="204"/>
      <c r="F95" s="205"/>
      <c r="G95" s="206">
        <f>_xlfn.IFNA(VLOOKUP(B95, 현재가테이블!$B$2:$D$200, 2, FALSE), "-")</f>
        <v>62630000</v>
      </c>
      <c r="H95" s="207"/>
      <c r="I95" s="208"/>
      <c r="J95" s="203" t="s">
        <v>59</v>
      </c>
      <c r="K95" s="204"/>
      <c r="L95" s="205"/>
      <c r="M95" s="209">
        <f>_xlfn.IFNA(VLOOKUP(B95, 현재가테이블!$B$2:$D$200, 3, FALSE), "-")</f>
        <v>1.5632601400000001E-2</v>
      </c>
      <c r="N95" s="210"/>
      <c r="O95" s="211"/>
      <c r="Q95" s="202"/>
      <c r="R95" s="202"/>
      <c r="S95" s="202"/>
    </row>
    <row r="96" spans="1:19" ht="17.25" thickBot="1">
      <c r="A96" s="247" t="s">
        <v>55</v>
      </c>
      <c r="B96" s="243" t="str">
        <f>TEXT($G$1, "[$-ko-KR]yyyy-mm-dd(ddd) ") &amp; "오전 00:00"</f>
        <v>2021-10-01(금) 오전 00:00</v>
      </c>
      <c r="C96" s="244"/>
      <c r="D96" s="216" t="str">
        <f>TEXT($G$1, "[$-ko-KR]yyyy-mm-dd(ddd) ") &amp; "오후 14:00"</f>
        <v>2021-10-01(금) 오후 14:00</v>
      </c>
      <c r="E96" s="217"/>
      <c r="F96" s="218"/>
      <c r="G96" s="216" t="str">
        <f>TEXT($G$1, "[$-ko-KR]yyyy-mm-dd(ddd) ") &amp; "오후 19:00"</f>
        <v>2021-10-01(금) 오후 19:00</v>
      </c>
      <c r="H96" s="217"/>
      <c r="I96" s="218"/>
      <c r="J96" s="216" t="str">
        <f>TEXT($G$1, "[$-ko-KR]yyyy-mm-dd(ddd) ") &amp; "오후 21:00"</f>
        <v>2021-10-01(금) 오후 21:00</v>
      </c>
      <c r="K96" s="217"/>
      <c r="L96" s="218"/>
      <c r="M96" s="216" t="str">
        <f>TEXT($G$1+1, "[$-ko-KR]yyyy-mm-dd(ddd) ") &amp; "오전 00:00"</f>
        <v>2021-10-02(토) 오전 00:00</v>
      </c>
      <c r="N96" s="217"/>
      <c r="O96" s="218"/>
      <c r="Q96" s="202"/>
      <c r="R96" s="202"/>
      <c r="S96" s="202"/>
    </row>
    <row r="97" spans="1:19" ht="17.25" thickBot="1">
      <c r="A97" s="24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58" t="s">
        <v>58</v>
      </c>
      <c r="H97" s="159" t="s">
        <v>266</v>
      </c>
      <c r="I97" s="16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192"/>
      <c r="R97" s="192"/>
      <c r="S97" s="192"/>
    </row>
    <row r="98" spans="1:19" ht="17.25" thickBot="1">
      <c r="A98" s="123" t="s">
        <v>238</v>
      </c>
      <c r="B98" s="124">
        <v>85.6</v>
      </c>
      <c r="C98" s="76">
        <v>0.53405017919999997</v>
      </c>
      <c r="D98" s="13">
        <v>70.5</v>
      </c>
      <c r="E98" s="14">
        <f>IF(ISNUMBER(D98), (D98 - $B98) / $B98, "")</f>
        <v>-0.17640186915887845</v>
      </c>
      <c r="F98" s="16">
        <f>IF(ISNUMBER(D98), $B118 * E98, "")</f>
        <v>-26460.280373831767</v>
      </c>
      <c r="G98" s="29">
        <v>72.5</v>
      </c>
      <c r="H98" s="14">
        <f>IF(ISNUMBER(G98), (G98 - $B98) / $B98, "")</f>
        <v>-0.15303738317757004</v>
      </c>
      <c r="I98" s="100">
        <f>IF(ISNUMBER(G98), $B118 * H98, "")</f>
        <v>-22955.607476635505</v>
      </c>
      <c r="J98" s="13">
        <v>73.7</v>
      </c>
      <c r="K98" s="14">
        <f>IF(ISNUMBER(J98), (J98 - $B98) / $B98, "")</f>
        <v>-0.13901869158878497</v>
      </c>
      <c r="L98" s="16">
        <f>IF(ISNUMBER(J98), $B118 * K98, "")</f>
        <v>-20852.803738317743</v>
      </c>
      <c r="M98" s="29">
        <v>72.900000000000006</v>
      </c>
      <c r="N98" s="14">
        <f>IF(ISNUMBER(M98), (M98 - $B98) / $B98, "")</f>
        <v>-0.14836448598130828</v>
      </c>
      <c r="O98" s="16">
        <f>IF(ISNUMBER(M98), $B118 * N98, "")</f>
        <v>-22254.67289719624</v>
      </c>
      <c r="Q98" s="202"/>
      <c r="R98" s="202"/>
      <c r="S98" s="202"/>
    </row>
    <row r="99" spans="1:19" ht="17.25" thickBot="1">
      <c r="A99" s="125" t="s">
        <v>228</v>
      </c>
      <c r="B99" s="126">
        <v>305</v>
      </c>
      <c r="C99" s="77">
        <v>0.26033057850000002</v>
      </c>
      <c r="D99" s="15">
        <v>307</v>
      </c>
      <c r="E99" s="32">
        <f t="shared" ref="E99:E102" si="46">IF(ISNUMBER(D99), (D99 - $B99) / $B99, "")</f>
        <v>6.5573770491803279E-3</v>
      </c>
      <c r="F99" s="18">
        <f>IF(ISNUMBER(D99), $B118 * E99, "")</f>
        <v>983.60655737704917</v>
      </c>
      <c r="G99" s="31">
        <v>305</v>
      </c>
      <c r="H99" s="32">
        <f t="shared" ref="H99:H102" si="47">IF(ISNUMBER(G99), (G99 - $B99) / $B99, "")</f>
        <v>0</v>
      </c>
      <c r="I99" s="101">
        <f>IF(ISNUMBER(G99), $B118 * H99, "")</f>
        <v>0</v>
      </c>
      <c r="J99" s="15">
        <v>322</v>
      </c>
      <c r="K99" s="32">
        <f t="shared" ref="K99:K102" si="48">IF(ISNUMBER(J99), (J99 - $B99) / $B99, "")</f>
        <v>5.5737704918032788E-2</v>
      </c>
      <c r="L99" s="18">
        <f>IF(ISNUMBER(J99), $B118 * K99, "")</f>
        <v>8360.6557377049176</v>
      </c>
      <c r="M99" s="31">
        <v>311</v>
      </c>
      <c r="N99" s="32">
        <f t="shared" ref="N99:N102" si="49">IF(ISNUMBER(M99), (M99 - $B99) / $B99, "")</f>
        <v>1.9672131147540985E-2</v>
      </c>
      <c r="O99" s="18">
        <f>IF(ISNUMBER(M99), $B118 * N99, "")</f>
        <v>2950.8196721311479</v>
      </c>
      <c r="Q99" s="202"/>
      <c r="R99" s="202"/>
      <c r="S99" s="202"/>
    </row>
    <row r="100" spans="1:19" ht="17.25" thickBot="1">
      <c r="A100" s="125" t="s">
        <v>204</v>
      </c>
      <c r="B100" s="126">
        <v>804</v>
      </c>
      <c r="C100" s="77">
        <v>0.23312883440000001</v>
      </c>
      <c r="D100" s="15">
        <v>889</v>
      </c>
      <c r="E100" s="32">
        <f t="shared" si="46"/>
        <v>0.10572139303482588</v>
      </c>
      <c r="F100" s="18">
        <f>IF(ISNUMBER(D100), $B118 * E100, "")</f>
        <v>15858.208955223881</v>
      </c>
      <c r="G100" s="31">
        <v>851</v>
      </c>
      <c r="H100" s="32">
        <f t="shared" si="47"/>
        <v>5.8457711442786067E-2</v>
      </c>
      <c r="I100" s="101">
        <f>IF(ISNUMBER(G100), $B118 * H100, "")</f>
        <v>8768.6567164179105</v>
      </c>
      <c r="J100" s="15">
        <v>856</v>
      </c>
      <c r="K100" s="32">
        <f t="shared" si="48"/>
        <v>6.4676616915422883E-2</v>
      </c>
      <c r="L100" s="18">
        <f>IF(ISNUMBER(J100), $B118 * K100, "")</f>
        <v>9701.492537313432</v>
      </c>
      <c r="M100" s="31">
        <v>851</v>
      </c>
      <c r="N100" s="32">
        <f t="shared" si="49"/>
        <v>5.8457711442786067E-2</v>
      </c>
      <c r="O100" s="18">
        <f>IF(ISNUMBER(M100), $B118 * N100, "")</f>
        <v>8768.6567164179105</v>
      </c>
      <c r="Q100" s="192"/>
      <c r="R100" s="192"/>
      <c r="S100" s="192"/>
    </row>
    <row r="101" spans="1:19" ht="17.25" thickBot="1">
      <c r="A101" s="125" t="s">
        <v>186</v>
      </c>
      <c r="B101" s="126">
        <v>12.3</v>
      </c>
      <c r="C101" s="77">
        <v>0.1941747573</v>
      </c>
      <c r="D101" s="15">
        <v>12.5</v>
      </c>
      <c r="E101" s="32">
        <f t="shared" si="46"/>
        <v>1.6260162601625959E-2</v>
      </c>
      <c r="F101" s="18">
        <f>IF(ISNUMBER(D101), $B118 * E101, "")</f>
        <v>2439.0243902438938</v>
      </c>
      <c r="G101" s="31">
        <v>12.5</v>
      </c>
      <c r="H101" s="32">
        <f t="shared" si="47"/>
        <v>1.6260162601625959E-2</v>
      </c>
      <c r="I101" s="101">
        <f>IF(ISNUMBER(G101), $B118 * H101, "")</f>
        <v>2439.0243902438938</v>
      </c>
      <c r="J101" s="15">
        <v>12.8</v>
      </c>
      <c r="K101" s="32">
        <f t="shared" si="48"/>
        <v>4.065040650406504E-2</v>
      </c>
      <c r="L101" s="18">
        <f>IF(ISNUMBER(J101), $B118 * K101, "")</f>
        <v>6097.5609756097556</v>
      </c>
      <c r="M101" s="31">
        <v>12.6</v>
      </c>
      <c r="N101" s="32">
        <f t="shared" si="49"/>
        <v>2.4390243902438935E-2</v>
      </c>
      <c r="O101" s="18">
        <f>IF(ISNUMBER(M101), $B118 * N101, "")</f>
        <v>3658.5365853658404</v>
      </c>
      <c r="Q101" s="192"/>
      <c r="R101" s="192"/>
      <c r="S101" s="192"/>
    </row>
    <row r="102" spans="1:19" ht="17.25" thickBot="1">
      <c r="A102" s="127" t="s">
        <v>230</v>
      </c>
      <c r="B102" s="128">
        <v>727</v>
      </c>
      <c r="C102" s="78">
        <v>0.15031645569999999</v>
      </c>
      <c r="D102" s="20">
        <v>774</v>
      </c>
      <c r="E102" s="21">
        <f t="shared" si="46"/>
        <v>6.4649243466299869E-2</v>
      </c>
      <c r="F102" s="22">
        <f>IF(ISNUMBER(D102), $B118 * E102, "")</f>
        <v>9697.386519944981</v>
      </c>
      <c r="G102" s="30">
        <v>756</v>
      </c>
      <c r="H102" s="21">
        <f t="shared" si="47"/>
        <v>3.9889958734525444E-2</v>
      </c>
      <c r="I102" s="105">
        <f>IF(ISNUMBER(G102), $B118 * H102, "")</f>
        <v>5983.4938101788166</v>
      </c>
      <c r="J102" s="20">
        <v>759</v>
      </c>
      <c r="K102" s="21">
        <f t="shared" si="48"/>
        <v>4.4016506189821183E-2</v>
      </c>
      <c r="L102" s="22">
        <f>IF(ISNUMBER(J102), $B118 * K102, "")</f>
        <v>6602.4759284731772</v>
      </c>
      <c r="M102" s="30">
        <v>752</v>
      </c>
      <c r="N102" s="21">
        <f t="shared" si="49"/>
        <v>3.4387895460797797E-2</v>
      </c>
      <c r="O102" s="22">
        <f>IF(ISNUMBER(M102), $B118 * N102, "")</f>
        <v>5158.1843191196695</v>
      </c>
      <c r="Q102" s="192"/>
      <c r="R102" s="192"/>
      <c r="S102" s="192"/>
    </row>
    <row r="103" spans="1:19" ht="17.25" thickBot="1">
      <c r="A103" s="125" t="s">
        <v>178</v>
      </c>
      <c r="B103" s="129">
        <v>12600</v>
      </c>
      <c r="C103" s="80">
        <v>0.13615870150000001</v>
      </c>
      <c r="D103" s="106">
        <v>13210</v>
      </c>
      <c r="E103" s="107">
        <f>IF(ISNUMBER(D103), (D103 - $B103) / $B103, "")</f>
        <v>4.8412698412698414E-2</v>
      </c>
      <c r="F103" s="108">
        <f>IF(ISNUMBER(D103), $B118 * E103, "")</f>
        <v>7261.9047619047624</v>
      </c>
      <c r="G103" s="109">
        <v>14140</v>
      </c>
      <c r="H103" s="107">
        <f>IF(ISNUMBER(G103), (G103 - $B103) / $B103, "")</f>
        <v>0.12222222222222222</v>
      </c>
      <c r="I103" s="110">
        <f>IF(ISNUMBER(G103), $B118 * H103, "")</f>
        <v>18333.333333333332</v>
      </c>
      <c r="J103" s="106">
        <v>14020</v>
      </c>
      <c r="K103" s="107">
        <f>IF(ISNUMBER(J103), (J103 - $B103) / $B103, "")</f>
        <v>0.1126984126984127</v>
      </c>
      <c r="L103" s="108">
        <f>IF(ISNUMBER(J103), $B118 * K103, "")</f>
        <v>16904.761904761905</v>
      </c>
      <c r="M103" s="109">
        <v>13850</v>
      </c>
      <c r="N103" s="107">
        <f>IF(ISNUMBER(M103), (M103 - $B103) / $B103, "")</f>
        <v>9.9206349206349201E-2</v>
      </c>
      <c r="O103" s="108">
        <f>IF(ISNUMBER(M103), $B118 * N103, "")</f>
        <v>14880.95238095238</v>
      </c>
      <c r="Q103" s="192"/>
      <c r="R103" s="192"/>
      <c r="S103" s="192"/>
    </row>
    <row r="104" spans="1:19" ht="17.25" thickBot="1">
      <c r="A104" s="125" t="s">
        <v>138</v>
      </c>
      <c r="B104" s="126">
        <v>14340</v>
      </c>
      <c r="C104" s="77">
        <v>0.13180741909999999</v>
      </c>
      <c r="D104" s="15">
        <v>15100</v>
      </c>
      <c r="E104" s="32">
        <f t="shared" ref="E104:E107" si="50">IF(ISNUMBER(D104), (D104 - $B104) / $B104, "")</f>
        <v>5.2998605299860529E-2</v>
      </c>
      <c r="F104" s="18">
        <f>IF(ISNUMBER(D104), $B118 * E104, "")</f>
        <v>7949.7907949790797</v>
      </c>
      <c r="G104" s="31">
        <v>16000</v>
      </c>
      <c r="H104" s="32">
        <f t="shared" ref="H104:H107" si="51">IF(ISNUMBER(G104), (G104 - $B104) / $B104, "")</f>
        <v>0.11576011157601115</v>
      </c>
      <c r="I104" s="101">
        <f>IF(ISNUMBER(G104), $B118 * H104, "")</f>
        <v>17364.016736401674</v>
      </c>
      <c r="J104" s="15">
        <v>15510</v>
      </c>
      <c r="K104" s="32">
        <f t="shared" ref="K104:K107" si="52">IF(ISNUMBER(J104), (J104 - $B104) / $B104, "")</f>
        <v>8.1589958158995821E-2</v>
      </c>
      <c r="L104" s="18">
        <f>IF(ISNUMBER(J104), $B118 * K104, "")</f>
        <v>12238.493723849373</v>
      </c>
      <c r="M104" s="31">
        <v>15490</v>
      </c>
      <c r="N104" s="32">
        <f t="shared" ref="N104:N107" si="53">IF(ISNUMBER(M104), (M104 - $B104) / $B104, "")</f>
        <v>8.0195258019525803E-2</v>
      </c>
      <c r="O104" s="18">
        <f>IF(ISNUMBER(M104), $B118 * N104, "")</f>
        <v>12029.28870292887</v>
      </c>
      <c r="Q104" s="192"/>
      <c r="R104" s="192"/>
      <c r="S104" s="192"/>
    </row>
    <row r="105" spans="1:19" ht="17.25" thickBot="1">
      <c r="A105" s="125" t="s">
        <v>208</v>
      </c>
      <c r="B105" s="126">
        <v>12.5</v>
      </c>
      <c r="C105" s="77">
        <v>0.12612612610000001</v>
      </c>
      <c r="D105" s="15">
        <v>12.9</v>
      </c>
      <c r="E105" s="32">
        <f t="shared" si="50"/>
        <v>3.2000000000000028E-2</v>
      </c>
      <c r="F105" s="18">
        <f>IF(ISNUMBER(D105), $B118 * E105, "")</f>
        <v>4800.0000000000045</v>
      </c>
      <c r="G105" s="31">
        <v>13.1</v>
      </c>
      <c r="H105" s="32">
        <f t="shared" si="51"/>
        <v>4.7999999999999973E-2</v>
      </c>
      <c r="I105" s="101">
        <f>IF(ISNUMBER(G105), $B118 * H105, "")</f>
        <v>7199.9999999999964</v>
      </c>
      <c r="J105" s="15">
        <v>13.3</v>
      </c>
      <c r="K105" s="32">
        <f t="shared" si="52"/>
        <v>6.4000000000000057E-2</v>
      </c>
      <c r="L105" s="18">
        <f>IF(ISNUMBER(J105), $B118 * K105, "")</f>
        <v>9600.0000000000091</v>
      </c>
      <c r="M105" s="31">
        <v>13.2</v>
      </c>
      <c r="N105" s="32">
        <f t="shared" si="53"/>
        <v>5.5999999999999946E-2</v>
      </c>
      <c r="O105" s="18">
        <f>IF(ISNUMBER(M105), $B118 * N105, "")</f>
        <v>8399.9999999999927</v>
      </c>
      <c r="Q105" s="192"/>
      <c r="R105" s="192"/>
      <c r="S105" s="192"/>
    </row>
    <row r="106" spans="1:19" ht="17.25" thickBot="1">
      <c r="A106" s="125" t="s">
        <v>172</v>
      </c>
      <c r="B106" s="126">
        <v>359</v>
      </c>
      <c r="C106" s="77">
        <v>0.1149068323</v>
      </c>
      <c r="D106" s="15">
        <v>407</v>
      </c>
      <c r="E106" s="32">
        <f t="shared" si="50"/>
        <v>0.13370473537604458</v>
      </c>
      <c r="F106" s="18">
        <f>IF(ISNUMBER(D106), $B118 * E106, "")</f>
        <v>20055.710306406687</v>
      </c>
      <c r="G106" s="31">
        <v>395</v>
      </c>
      <c r="H106" s="32">
        <f t="shared" si="51"/>
        <v>0.10027855153203342</v>
      </c>
      <c r="I106" s="101">
        <f>IF(ISNUMBER(G106), $B118 * H106, "")</f>
        <v>15041.782729805014</v>
      </c>
      <c r="J106" s="15">
        <v>409</v>
      </c>
      <c r="K106" s="32">
        <f t="shared" si="52"/>
        <v>0.1392757660167131</v>
      </c>
      <c r="L106" s="18">
        <f>IF(ISNUMBER(J106), $B118 * K106, "")</f>
        <v>20891.364902506964</v>
      </c>
      <c r="M106" s="31">
        <v>409</v>
      </c>
      <c r="N106" s="32">
        <f t="shared" si="53"/>
        <v>0.1392757660167131</v>
      </c>
      <c r="O106" s="18">
        <f>IF(ISNUMBER(M106), $B118 * N106, "")</f>
        <v>20891.364902506964</v>
      </c>
      <c r="Q106" s="33"/>
      <c r="R106" s="33"/>
    </row>
    <row r="107" spans="1:19" ht="17.25" thickBot="1">
      <c r="A107" s="130" t="s">
        <v>198</v>
      </c>
      <c r="B107" s="131">
        <v>165</v>
      </c>
      <c r="C107" s="79">
        <v>0.1148648649</v>
      </c>
      <c r="D107" s="24">
        <v>168</v>
      </c>
      <c r="E107" s="25">
        <f t="shared" si="50"/>
        <v>1.8181818181818181E-2</v>
      </c>
      <c r="F107" s="104">
        <f>IF(ISNUMBER(D107), $B118 * E107, "")</f>
        <v>2727.272727272727</v>
      </c>
      <c r="G107" s="102">
        <v>171</v>
      </c>
      <c r="H107" s="25">
        <f t="shared" si="51"/>
        <v>3.6363636363636362E-2</v>
      </c>
      <c r="I107" s="103">
        <f>IF(ISNUMBER(G107), $B118 * H107, "")</f>
        <v>5454.545454545454</v>
      </c>
      <c r="J107" s="24">
        <v>175</v>
      </c>
      <c r="K107" s="25">
        <f t="shared" si="52"/>
        <v>6.0606060606060608E-2</v>
      </c>
      <c r="L107" s="104">
        <f>IF(ISNUMBER(J107), $B118 * K107, "")</f>
        <v>9090.9090909090919</v>
      </c>
      <c r="M107" s="102">
        <v>178</v>
      </c>
      <c r="N107" s="25">
        <f t="shared" si="53"/>
        <v>7.8787878787878782E-2</v>
      </c>
      <c r="O107" s="104">
        <f>IF(ISNUMBER(M107), $B118 * N107, "")</f>
        <v>11818.181818181818</v>
      </c>
      <c r="Q107" s="193"/>
      <c r="R107" s="194"/>
      <c r="S107" s="195"/>
    </row>
    <row r="108" spans="1:19">
      <c r="A108" s="123" t="s">
        <v>214</v>
      </c>
      <c r="B108" s="124">
        <v>9.6</v>
      </c>
      <c r="C108" s="76">
        <v>0.1136890951</v>
      </c>
      <c r="D108" s="13">
        <v>9.86</v>
      </c>
      <c r="E108" s="14">
        <f>IF(ISNUMBER(D108), (D108 - $B108) / $B108, "")</f>
        <v>2.7083333333333313E-2</v>
      </c>
      <c r="F108" s="16">
        <f>IF(ISNUMBER(D108), $B118 * E108, "")</f>
        <v>4062.4999999999968</v>
      </c>
      <c r="G108" s="29">
        <v>9.89</v>
      </c>
      <c r="H108" s="14">
        <f>IF(ISNUMBER(G108), (G108 - $B108) / $B108, "")</f>
        <v>3.0208333333333431E-2</v>
      </c>
      <c r="I108" s="100">
        <f>IF(ISNUMBER(G108), $B118 * H108, "")</f>
        <v>4531.2500000000146</v>
      </c>
      <c r="J108" s="13">
        <v>10.3</v>
      </c>
      <c r="K108" s="14">
        <f>IF(ISNUMBER(J108), (J108 - $B108) / $B108, "")</f>
        <v>7.2916666666666782E-2</v>
      </c>
      <c r="L108" s="16">
        <f>IF(ISNUMBER(J108), $B118 * K108, "")</f>
        <v>10937.500000000018</v>
      </c>
      <c r="M108" s="29">
        <v>10.1</v>
      </c>
      <c r="N108" s="14">
        <f>IF(ISNUMBER(M108), (M108 - $B108) / $B108, "")</f>
        <v>5.2083333333333336E-2</v>
      </c>
      <c r="O108" s="16">
        <f>IF(ISNUMBER(M108), $B118 * N108, "")</f>
        <v>7812.5</v>
      </c>
      <c r="Q108" s="196"/>
      <c r="R108" s="197"/>
      <c r="S108" s="198"/>
    </row>
    <row r="109" spans="1:19" ht="17.25" thickBot="1">
      <c r="A109" s="125" t="s">
        <v>218</v>
      </c>
      <c r="B109" s="126">
        <v>216</v>
      </c>
      <c r="C109" s="77">
        <v>0.1076923077</v>
      </c>
      <c r="D109" s="15">
        <v>218</v>
      </c>
      <c r="E109" s="32">
        <f t="shared" ref="E109:E112" si="54">IF(ISNUMBER(D109), (D109 - $B109) / $B109, "")</f>
        <v>9.2592592592592587E-3</v>
      </c>
      <c r="F109" s="18">
        <f>IF(ISNUMBER(D109), $B118 * E109, "")</f>
        <v>1388.8888888888889</v>
      </c>
      <c r="G109" s="31">
        <v>220</v>
      </c>
      <c r="H109" s="32">
        <f t="shared" ref="H109:H112" si="55">IF(ISNUMBER(G109), (G109 - $B109) / $B109, "")</f>
        <v>1.8518518518518517E-2</v>
      </c>
      <c r="I109" s="101">
        <f>IF(ISNUMBER(G109), $B118 * H109, "")</f>
        <v>2777.7777777777778</v>
      </c>
      <c r="J109" s="15">
        <v>226</v>
      </c>
      <c r="K109" s="32">
        <f t="shared" ref="K109:K112" si="56">IF(ISNUMBER(J109), (J109 - $B109) / $B109, "")</f>
        <v>4.6296296296296294E-2</v>
      </c>
      <c r="L109" s="18">
        <f>IF(ISNUMBER(J109), $B118 * K109, "")</f>
        <v>6944.4444444444443</v>
      </c>
      <c r="M109" s="31">
        <v>223</v>
      </c>
      <c r="N109" s="32">
        <f t="shared" ref="N109:N112" si="57">IF(ISNUMBER(M109), (M109 - $B109) / $B109, "")</f>
        <v>3.2407407407407406E-2</v>
      </c>
      <c r="O109" s="18">
        <f>IF(ISNUMBER(M109), $B118 * N109, "")</f>
        <v>4861.1111111111104</v>
      </c>
      <c r="Q109" s="199"/>
      <c r="R109" s="200"/>
      <c r="S109" s="201"/>
    </row>
    <row r="110" spans="1:19" ht="17.25" thickBot="1">
      <c r="A110" s="125" t="s">
        <v>220</v>
      </c>
      <c r="B110" s="126">
        <v>149</v>
      </c>
      <c r="C110" s="77">
        <v>0.1037037037</v>
      </c>
      <c r="D110" s="15">
        <v>154</v>
      </c>
      <c r="E110" s="32">
        <f t="shared" si="54"/>
        <v>3.3557046979865772E-2</v>
      </c>
      <c r="F110" s="18">
        <f>IF(ISNUMBER(D110), $B118 * E110, "")</f>
        <v>5033.5570469798658</v>
      </c>
      <c r="G110" s="31">
        <v>158</v>
      </c>
      <c r="H110" s="32">
        <f t="shared" si="55"/>
        <v>6.0402684563758392E-2</v>
      </c>
      <c r="I110" s="101">
        <f>IF(ISNUMBER(G110), $B118 * H110, "")</f>
        <v>9060.4026845637582</v>
      </c>
      <c r="J110" s="15">
        <v>163</v>
      </c>
      <c r="K110" s="32">
        <f t="shared" si="56"/>
        <v>9.3959731543624164E-2</v>
      </c>
      <c r="L110" s="18">
        <f>IF(ISNUMBER(J110), $B118 * K110, "")</f>
        <v>14093.959731543624</v>
      </c>
      <c r="M110" s="31">
        <v>160</v>
      </c>
      <c r="N110" s="32">
        <f t="shared" si="57"/>
        <v>7.3825503355704702E-2</v>
      </c>
      <c r="O110" s="18">
        <f>IF(ISNUMBER(M110), $B118 * N110, "")</f>
        <v>11073.825503355705</v>
      </c>
      <c r="Q110" s="192"/>
      <c r="R110" s="192"/>
      <c r="S110" s="192"/>
    </row>
    <row r="111" spans="1:19" ht="17.25" thickBot="1">
      <c r="A111" s="125" t="s">
        <v>184</v>
      </c>
      <c r="B111" s="126">
        <v>8265</v>
      </c>
      <c r="C111" s="77">
        <v>0.1034712951</v>
      </c>
      <c r="D111" s="15">
        <v>8465</v>
      </c>
      <c r="E111" s="32">
        <f t="shared" si="54"/>
        <v>2.4198427102238355E-2</v>
      </c>
      <c r="F111" s="18">
        <f>IF(ISNUMBER(D111), $B118 * E111, "")</f>
        <v>3629.764065335753</v>
      </c>
      <c r="G111" s="31">
        <v>8545</v>
      </c>
      <c r="H111" s="32">
        <f t="shared" si="55"/>
        <v>3.3877797943133697E-2</v>
      </c>
      <c r="I111" s="101">
        <f>IF(ISNUMBER(G111), $B118 * H111, "")</f>
        <v>5081.6696914700542</v>
      </c>
      <c r="J111" s="15">
        <v>8970</v>
      </c>
      <c r="K111" s="32">
        <f t="shared" si="56"/>
        <v>8.5299455535390201E-2</v>
      </c>
      <c r="L111" s="18">
        <f>IF(ISNUMBER(J111), $B118 * K111, "")</f>
        <v>12794.91833030853</v>
      </c>
      <c r="M111" s="31">
        <v>8780</v>
      </c>
      <c r="N111" s="32">
        <f t="shared" si="57"/>
        <v>6.2310949788263764E-2</v>
      </c>
      <c r="O111" s="18">
        <f>IF(ISNUMBER(M111), $B118 * N111, "")</f>
        <v>9346.6424682395646</v>
      </c>
      <c r="Q111" s="202"/>
      <c r="R111" s="202"/>
      <c r="S111" s="202"/>
    </row>
    <row r="112" spans="1:19" ht="17.25" thickBot="1">
      <c r="A112" s="127" t="s">
        <v>122</v>
      </c>
      <c r="B112" s="128">
        <v>536</v>
      </c>
      <c r="C112" s="78">
        <v>0.10288065840000001</v>
      </c>
      <c r="D112" s="20">
        <v>558</v>
      </c>
      <c r="E112" s="21">
        <f t="shared" si="54"/>
        <v>4.1044776119402986E-2</v>
      </c>
      <c r="F112" s="22">
        <f>IF(ISNUMBER(D112), $B118 * E112, "")</f>
        <v>6156.7164179104475</v>
      </c>
      <c r="G112" s="30">
        <v>556</v>
      </c>
      <c r="H112" s="21">
        <f t="shared" si="55"/>
        <v>3.7313432835820892E-2</v>
      </c>
      <c r="I112" s="105">
        <f>IF(ISNUMBER(G112), $B118 * H112, "")</f>
        <v>5597.0149253731342</v>
      </c>
      <c r="J112" s="20">
        <v>574</v>
      </c>
      <c r="K112" s="21">
        <f t="shared" si="56"/>
        <v>7.0895522388059698E-2</v>
      </c>
      <c r="L112" s="22">
        <f>IF(ISNUMBER(J112), $B118 * K112, "")</f>
        <v>10634.328358208955</v>
      </c>
      <c r="M112" s="30">
        <v>559</v>
      </c>
      <c r="N112" s="21">
        <f t="shared" si="57"/>
        <v>4.2910447761194029E-2</v>
      </c>
      <c r="O112" s="22">
        <f>IF(ISNUMBER(M112), $B118 * N112, "")</f>
        <v>6436.5671641791041</v>
      </c>
      <c r="Q112" s="202"/>
      <c r="R112" s="202"/>
      <c r="S112" s="202"/>
    </row>
    <row r="113" spans="1:19" ht="17.25" thickBot="1">
      <c r="A113" s="125" t="s">
        <v>190</v>
      </c>
      <c r="B113" s="129">
        <v>312</v>
      </c>
      <c r="C113" s="80">
        <v>9.4736842099999996E-2</v>
      </c>
      <c r="D113" s="106">
        <v>325</v>
      </c>
      <c r="E113" s="107">
        <f>IF(ISNUMBER(D113), (D113 - $B113) / $B113, "")</f>
        <v>4.1666666666666664E-2</v>
      </c>
      <c r="F113" s="108">
        <f>IF(ISNUMBER(D113), $B118 * E113, "")</f>
        <v>6250</v>
      </c>
      <c r="G113" s="109">
        <v>327</v>
      </c>
      <c r="H113" s="107">
        <f>IF(ISNUMBER(G113), (G113 - $B113) / $B113, "")</f>
        <v>4.807692307692308E-2</v>
      </c>
      <c r="I113" s="110">
        <f>IF(ISNUMBER(G113), $B118 * H113, "")</f>
        <v>7211.5384615384619</v>
      </c>
      <c r="J113" s="106">
        <v>339</v>
      </c>
      <c r="K113" s="107">
        <f>IF(ISNUMBER(J113), (J113 - $B113) / $B113, "")</f>
        <v>8.6538461538461536E-2</v>
      </c>
      <c r="L113" s="108">
        <f>IF(ISNUMBER(J113), $B118 * K113, "")</f>
        <v>12980.76923076923</v>
      </c>
      <c r="M113" s="109">
        <v>336</v>
      </c>
      <c r="N113" s="107">
        <f>IF(ISNUMBER(M113), (M113 - $B113) / $B113, "")</f>
        <v>7.6923076923076927E-2</v>
      </c>
      <c r="O113" s="108">
        <f>IF(ISNUMBER(M113), $B118 * N113, "")</f>
        <v>11538.461538461539</v>
      </c>
      <c r="Q113" s="192"/>
      <c r="R113" s="192"/>
      <c r="S113" s="192"/>
    </row>
    <row r="114" spans="1:19" ht="17.25" thickBot="1">
      <c r="A114" s="125" t="s">
        <v>168</v>
      </c>
      <c r="B114" s="126">
        <v>24860</v>
      </c>
      <c r="C114" s="77">
        <v>9.4190140800000002E-2</v>
      </c>
      <c r="D114" s="15">
        <v>25150</v>
      </c>
      <c r="E114" s="32">
        <f t="shared" ref="E114:E117" si="58">IF(ISNUMBER(D114), (D114 - $B114) / $B114, "")</f>
        <v>1.1665325824617861E-2</v>
      </c>
      <c r="F114" s="18">
        <f>IF(ISNUMBER(D114), $B118 * E114, "")</f>
        <v>1749.7988736926791</v>
      </c>
      <c r="G114" s="31">
        <v>26110</v>
      </c>
      <c r="H114" s="32">
        <f t="shared" ref="H114:H117" si="59">IF(ISNUMBER(G114), (G114 - $B114) / $B114, "")</f>
        <v>5.0281576830249398E-2</v>
      </c>
      <c r="I114" s="101">
        <f>IF(ISNUMBER(G114), $B118 * H114, "")</f>
        <v>7542.2365245374094</v>
      </c>
      <c r="J114" s="15">
        <v>27460</v>
      </c>
      <c r="K114" s="32">
        <f t="shared" ref="K114:K117" si="60">IF(ISNUMBER(J114), (J114 - $B114) / $B114, "")</f>
        <v>0.10458567980691874</v>
      </c>
      <c r="L114" s="18">
        <f>IF(ISNUMBER(J114), $B118 * K114, "")</f>
        <v>15687.851971037811</v>
      </c>
      <c r="M114" s="31">
        <v>28240</v>
      </c>
      <c r="N114" s="32">
        <f t="shared" ref="N114:N117" si="61">IF(ISNUMBER(M114), (M114 - $B114) / $B114, "")</f>
        <v>0.13596138374899436</v>
      </c>
      <c r="O114" s="18">
        <f>IF(ISNUMBER(M114), $B118 * N114, "")</f>
        <v>20394.207562349155</v>
      </c>
      <c r="Q114" s="192"/>
      <c r="R114" s="192"/>
      <c r="S114" s="192"/>
    </row>
    <row r="115" spans="1:19" ht="17.25" thickBot="1">
      <c r="A115" s="125" t="s">
        <v>206</v>
      </c>
      <c r="B115" s="126">
        <v>12.2</v>
      </c>
      <c r="C115" s="77">
        <v>8.9285714299999999E-2</v>
      </c>
      <c r="D115" s="15">
        <v>12.7</v>
      </c>
      <c r="E115" s="32">
        <f t="shared" si="58"/>
        <v>4.0983606557377053E-2</v>
      </c>
      <c r="F115" s="18">
        <f>IF(ISNUMBER(D115), $B118 * E115, "")</f>
        <v>6147.5409836065583</v>
      </c>
      <c r="G115" s="31">
        <v>12.7</v>
      </c>
      <c r="H115" s="32">
        <f t="shared" si="59"/>
        <v>4.0983606557377053E-2</v>
      </c>
      <c r="I115" s="101">
        <f>IF(ISNUMBER(G115), $B118 * H115, "")</f>
        <v>6147.5409836065583</v>
      </c>
      <c r="J115" s="15">
        <v>13</v>
      </c>
      <c r="K115" s="32">
        <f t="shared" si="60"/>
        <v>6.5573770491803338E-2</v>
      </c>
      <c r="L115" s="18">
        <f>IF(ISNUMBER(J115), $B118 * K115, "")</f>
        <v>9836.0655737705001</v>
      </c>
      <c r="M115" s="31">
        <v>12.8</v>
      </c>
      <c r="N115" s="32">
        <f t="shared" si="61"/>
        <v>4.9180327868852576E-2</v>
      </c>
      <c r="O115" s="18">
        <f>IF(ISNUMBER(M115), $B118 * N115, "")</f>
        <v>7377.0491803278865</v>
      </c>
      <c r="Q115" s="192"/>
      <c r="R115" s="192"/>
      <c r="S115" s="192"/>
    </row>
    <row r="116" spans="1:19">
      <c r="A116" s="125" t="s">
        <v>250</v>
      </c>
      <c r="B116" s="126">
        <v>934</v>
      </c>
      <c r="C116" s="77">
        <v>8.60465116E-2</v>
      </c>
      <c r="D116" s="15">
        <v>940</v>
      </c>
      <c r="E116" s="32">
        <f t="shared" si="58"/>
        <v>6.4239828693790149E-3</v>
      </c>
      <c r="F116" s="18">
        <f>IF(ISNUMBER(D116), $B118 * E116, "")</f>
        <v>963.59743040685225</v>
      </c>
      <c r="G116" s="31">
        <v>954</v>
      </c>
      <c r="H116" s="32">
        <f t="shared" si="59"/>
        <v>2.1413276231263382E-2</v>
      </c>
      <c r="I116" s="101">
        <f>IF(ISNUMBER(G116), $B118 * H116, "")</f>
        <v>3211.9914346895071</v>
      </c>
      <c r="J116" s="15">
        <v>982</v>
      </c>
      <c r="K116" s="32">
        <f t="shared" si="60"/>
        <v>5.1391862955032119E-2</v>
      </c>
      <c r="L116" s="18">
        <f>IF(ISNUMBER(J116), $B118 * K116, "")</f>
        <v>7708.779443254818</v>
      </c>
      <c r="M116" s="31">
        <v>988</v>
      </c>
      <c r="N116" s="32">
        <f t="shared" si="61"/>
        <v>5.7815845824411134E-2</v>
      </c>
      <c r="O116" s="18">
        <f>IF(ISNUMBER(M116), $B118 * N116, "")</f>
        <v>8672.3768736616694</v>
      </c>
      <c r="Q116" s="181"/>
      <c r="R116" s="182"/>
      <c r="S116" s="183"/>
    </row>
    <row r="117" spans="1:19" ht="17.25" thickBot="1">
      <c r="A117" s="130" t="s">
        <v>174</v>
      </c>
      <c r="B117" s="131">
        <v>1400</v>
      </c>
      <c r="C117" s="79">
        <v>8.5271317799999996E-2</v>
      </c>
      <c r="D117" s="24">
        <v>1450</v>
      </c>
      <c r="E117" s="25">
        <f t="shared" si="58"/>
        <v>3.5714285714285712E-2</v>
      </c>
      <c r="F117" s="104">
        <f>IF(ISNUMBER(D117), $B118 * E117, "")</f>
        <v>5357.1428571428569</v>
      </c>
      <c r="G117" s="102">
        <v>1475</v>
      </c>
      <c r="H117" s="25">
        <f t="shared" si="59"/>
        <v>5.3571428571428568E-2</v>
      </c>
      <c r="I117" s="103">
        <f>IF(ISNUMBER(G117), $B118 * H117, "")</f>
        <v>8035.7142857142853</v>
      </c>
      <c r="J117" s="24">
        <v>1515</v>
      </c>
      <c r="K117" s="25">
        <f t="shared" si="60"/>
        <v>8.2142857142857142E-2</v>
      </c>
      <c r="L117" s="104">
        <f>IF(ISNUMBER(J117), $B118 * K117, "")</f>
        <v>12321.428571428571</v>
      </c>
      <c r="M117" s="102">
        <v>1520</v>
      </c>
      <c r="N117" s="25">
        <f t="shared" si="61"/>
        <v>8.5714285714285715E-2</v>
      </c>
      <c r="O117" s="104">
        <f>IF(ISNUMBER(M117), $B118 * N117, "")</f>
        <v>12857.142857142857</v>
      </c>
      <c r="Q117" s="184"/>
      <c r="R117" s="185"/>
      <c r="S117" s="186"/>
    </row>
    <row r="118" spans="1:19" ht="17.25" thickBot="1">
      <c r="A118" s="132" t="s">
        <v>268</v>
      </c>
      <c r="B118" s="245">
        <f>$B$37</f>
        <v>150000</v>
      </c>
      <c r="C118" s="246"/>
      <c r="D118" s="26" t="s">
        <v>269</v>
      </c>
      <c r="E118" s="27">
        <f>IF(COUNT(E98:E117), SUM(E98:E117) / COUNT(E98:E117), 0)</f>
        <v>2.8684043734495068E-2</v>
      </c>
      <c r="F118" s="28">
        <f>SUM(F98:F117)</f>
        <v>86052.131203485187</v>
      </c>
      <c r="G118" s="26" t="s">
        <v>269</v>
      </c>
      <c r="H118" s="27">
        <f>IF(COUNT(H98:H117), SUM(H98:H117) / COUNT(H98:H117), 0)</f>
        <v>3.8942127487853861E-2</v>
      </c>
      <c r="I118" s="28">
        <f>SUM(I98:I117)</f>
        <v>116826.38246356156</v>
      </c>
      <c r="J118" s="26" t="s">
        <v>269</v>
      </c>
      <c r="K118" s="27">
        <f>IF(COUNT(K98:K117), SUM(K98:K117) / COUNT(K98:K117), 0)</f>
        <v>6.4191652239192459E-2</v>
      </c>
      <c r="L118" s="28">
        <f>SUM(L98:L117)</f>
        <v>192574.95671757736</v>
      </c>
      <c r="M118" s="26" t="s">
        <v>269</v>
      </c>
      <c r="N118" s="27">
        <f>IF(COUNT(N98:N117), SUM(N98:N117) / COUNT(N98:N117), 0)</f>
        <v>5.5557065486412316E-2</v>
      </c>
      <c r="O118" s="28">
        <f>SUM(O98:O117)</f>
        <v>166671.19645923696</v>
      </c>
      <c r="Q118" s="187"/>
      <c r="R118" s="188"/>
      <c r="S118" s="189"/>
    </row>
    <row r="120" spans="1:19" ht="17.25" thickBot="1"/>
    <row r="121" spans="1:19" ht="17.25" thickBot="1">
      <c r="A121" s="203" t="s">
        <v>256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57" t="s">
        <v>265</v>
      </c>
      <c r="B122" s="203" t="s">
        <v>49</v>
      </c>
      <c r="C122" s="205"/>
      <c r="D122" s="203" t="s">
        <v>58</v>
      </c>
      <c r="E122" s="204"/>
      <c r="F122" s="205"/>
      <c r="G122" s="206">
        <f>_xlfn.IFNA(VLOOKUP(B122, 현재가테이블!$B$2:$D$200, 2, FALSE), "-")</f>
        <v>62630000</v>
      </c>
      <c r="H122" s="207"/>
      <c r="I122" s="208"/>
      <c r="J122" s="203" t="s">
        <v>59</v>
      </c>
      <c r="K122" s="204"/>
      <c r="L122" s="205"/>
      <c r="M122" s="209">
        <f>_xlfn.IFNA(VLOOKUP(B122, 현재가테이블!$B$2:$D$200, 3, FALSE), "-")</f>
        <v>1.5632601400000001E-2</v>
      </c>
      <c r="N122" s="210"/>
      <c r="O122" s="211"/>
      <c r="Q122" s="202"/>
      <c r="R122" s="202"/>
      <c r="S122" s="202"/>
    </row>
    <row r="123" spans="1:19" ht="17.25" thickBot="1">
      <c r="A123" s="247" t="s">
        <v>55</v>
      </c>
      <c r="B123" s="243" t="str">
        <f>TEXT($G$1, "[$-ko-KR]yyyy-mm-dd(ddd) ") &amp; "오전 00:00"</f>
        <v>2021-10-01(금) 오전 00:00</v>
      </c>
      <c r="C123" s="244"/>
      <c r="D123" s="216" t="str">
        <f>TEXT($G$1, "[$-ko-KR]yyyy-mm-dd(ddd) ") &amp; "오후 14:00"</f>
        <v>2021-10-01(금) 오후 14:00</v>
      </c>
      <c r="E123" s="217"/>
      <c r="F123" s="218"/>
      <c r="G123" s="216" t="str">
        <f>TEXT($G$1, "[$-ko-KR]yyyy-mm-dd(ddd) ") &amp; "오후 19:00"</f>
        <v>2021-10-01(금) 오후 19:00</v>
      </c>
      <c r="H123" s="217"/>
      <c r="I123" s="218"/>
      <c r="J123" s="216" t="str">
        <f>TEXT($G$1, "[$-ko-KR]yyyy-mm-dd(ddd) ") &amp; "오후 21:00"</f>
        <v>2021-10-01(금) 오후 21:00</v>
      </c>
      <c r="K123" s="217"/>
      <c r="L123" s="218"/>
      <c r="M123" s="216" t="str">
        <f>TEXT($G$1+1, "[$-ko-KR]yyyy-mm-dd(ddd) ") &amp; "오전 00:00"</f>
        <v>2021-10-02(토) 오전 00:00</v>
      </c>
      <c r="N123" s="217"/>
      <c r="O123" s="218"/>
      <c r="Q123" s="202"/>
      <c r="R123" s="202"/>
      <c r="S123" s="202"/>
    </row>
    <row r="124" spans="1:19" ht="17.25" thickBot="1">
      <c r="A124" s="24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58" t="s">
        <v>58</v>
      </c>
      <c r="H124" s="159" t="s">
        <v>266</v>
      </c>
      <c r="I124" s="16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192"/>
      <c r="R124" s="192"/>
      <c r="S124" s="192"/>
    </row>
    <row r="125" spans="1:19" ht="17.25" thickBot="1">
      <c r="A125" s="123" t="s">
        <v>238</v>
      </c>
      <c r="B125" s="124">
        <v>85.6</v>
      </c>
      <c r="C125" s="76">
        <v>0.53405017919999997</v>
      </c>
      <c r="D125" s="13">
        <v>70.5</v>
      </c>
      <c r="E125" s="14">
        <f>IF(ISNUMBER(D125), (D125 - $B125) / $B125, "")</f>
        <v>-0.17640186915887845</v>
      </c>
      <c r="F125" s="16">
        <f>IF(ISNUMBER(D125), $B145 * E125, "")</f>
        <v>-26460.280373831767</v>
      </c>
      <c r="G125" s="29">
        <v>72.5</v>
      </c>
      <c r="H125" s="14">
        <f>IF(ISNUMBER(G125), (G125 - $B125) / $B125, "")</f>
        <v>-0.15303738317757004</v>
      </c>
      <c r="I125" s="100">
        <f>IF(ISNUMBER(G125), $B145 * H125, "")</f>
        <v>-22955.607476635505</v>
      </c>
      <c r="J125" s="13">
        <v>73.7</v>
      </c>
      <c r="K125" s="14">
        <f>IF(ISNUMBER(J125), (J125 - $B125) / $B125, "")</f>
        <v>-0.13901869158878497</v>
      </c>
      <c r="L125" s="16">
        <f>IF(ISNUMBER(J125), $B145 * K125, "")</f>
        <v>-20852.803738317743</v>
      </c>
      <c r="M125" s="29">
        <v>72.900000000000006</v>
      </c>
      <c r="N125" s="14">
        <f>IF(ISNUMBER(M125), (M125 - $B125) / $B125, "")</f>
        <v>-0.14836448598130828</v>
      </c>
      <c r="O125" s="16">
        <f>IF(ISNUMBER(M125), $B145 * N125, "")</f>
        <v>-22254.67289719624</v>
      </c>
      <c r="Q125" s="202"/>
      <c r="R125" s="202"/>
      <c r="S125" s="202"/>
    </row>
    <row r="126" spans="1:19" ht="17.25" thickBot="1">
      <c r="A126" s="125" t="s">
        <v>186</v>
      </c>
      <c r="B126" s="126">
        <v>12.3</v>
      </c>
      <c r="C126" s="77">
        <v>0.1941747573</v>
      </c>
      <c r="D126" s="15">
        <v>12.5</v>
      </c>
      <c r="E126" s="32">
        <f t="shared" ref="E126:E129" si="62">IF(ISNUMBER(D126), (D126 - $B126) / $B126, "")</f>
        <v>1.6260162601625959E-2</v>
      </c>
      <c r="F126" s="18">
        <f>IF(ISNUMBER(D126), $B145 * E126, "")</f>
        <v>2439.0243902438938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2439.0243902438938</v>
      </c>
      <c r="J126" s="15">
        <v>12.8</v>
      </c>
      <c r="K126" s="32">
        <f t="shared" ref="K126:K129" si="64">IF(ISNUMBER(J126), (J126 - $B126) / $B126, "")</f>
        <v>4.065040650406504E-2</v>
      </c>
      <c r="L126" s="18">
        <f>IF(ISNUMBER(J126), $B145 * K126, "")</f>
        <v>6097.5609756097556</v>
      </c>
      <c r="M126" s="31">
        <v>12.6</v>
      </c>
      <c r="N126" s="32">
        <f t="shared" ref="N126:N129" si="65">IF(ISNUMBER(M126), (M126 - $B126) / $B126, "")</f>
        <v>2.4390243902438935E-2</v>
      </c>
      <c r="O126" s="18">
        <f>IF(ISNUMBER(M126), $B145 * N126, "")</f>
        <v>3658.5365853658404</v>
      </c>
      <c r="Q126" s="202"/>
      <c r="R126" s="202"/>
      <c r="S126" s="202"/>
    </row>
    <row r="127" spans="1:19" ht="17.25" thickBot="1">
      <c r="A127" s="125" t="s">
        <v>208</v>
      </c>
      <c r="B127" s="126">
        <v>12.5</v>
      </c>
      <c r="C127" s="77">
        <v>0.12612612610000001</v>
      </c>
      <c r="D127" s="15">
        <v>12.9</v>
      </c>
      <c r="E127" s="32">
        <f t="shared" si="62"/>
        <v>3.2000000000000028E-2</v>
      </c>
      <c r="F127" s="18">
        <f>IF(ISNUMBER(D127), $B145 * E127, "")</f>
        <v>4800.0000000000045</v>
      </c>
      <c r="G127" s="31">
        <v>13.1</v>
      </c>
      <c r="H127" s="32">
        <f t="shared" si="63"/>
        <v>4.7999999999999973E-2</v>
      </c>
      <c r="I127" s="101">
        <f>IF(ISNUMBER(G127), $B145 * H127, "")</f>
        <v>7199.9999999999964</v>
      </c>
      <c r="J127" s="15">
        <v>13.3</v>
      </c>
      <c r="K127" s="32">
        <f t="shared" si="64"/>
        <v>6.4000000000000057E-2</v>
      </c>
      <c r="L127" s="18">
        <f>IF(ISNUMBER(J127), $B145 * K127, "")</f>
        <v>9600.0000000000091</v>
      </c>
      <c r="M127" s="31">
        <v>13.2</v>
      </c>
      <c r="N127" s="32">
        <f t="shared" si="65"/>
        <v>5.5999999999999946E-2</v>
      </c>
      <c r="O127" s="18">
        <f>IF(ISNUMBER(M127), $B145 * N127, "")</f>
        <v>8399.9999999999927</v>
      </c>
      <c r="Q127" s="192"/>
      <c r="R127" s="192"/>
      <c r="S127" s="192"/>
    </row>
    <row r="128" spans="1:19" ht="17.25" thickBot="1">
      <c r="A128" s="125" t="s">
        <v>214</v>
      </c>
      <c r="B128" s="126">
        <v>9.6</v>
      </c>
      <c r="C128" s="77">
        <v>0.1136890951</v>
      </c>
      <c r="D128" s="15">
        <v>9.86</v>
      </c>
      <c r="E128" s="32">
        <f t="shared" si="62"/>
        <v>2.7083333333333313E-2</v>
      </c>
      <c r="F128" s="18">
        <f>IF(ISNUMBER(D128), $B145 * E128, "")</f>
        <v>4062.4999999999968</v>
      </c>
      <c r="G128" s="31">
        <v>9.89</v>
      </c>
      <c r="H128" s="32">
        <f t="shared" si="63"/>
        <v>3.0208333333333431E-2</v>
      </c>
      <c r="I128" s="101">
        <f>IF(ISNUMBER(G128), $B145 * H128, "")</f>
        <v>4531.2500000000146</v>
      </c>
      <c r="J128" s="15">
        <v>10.3</v>
      </c>
      <c r="K128" s="32">
        <f t="shared" si="64"/>
        <v>7.2916666666666782E-2</v>
      </c>
      <c r="L128" s="18">
        <f>IF(ISNUMBER(J128), $B145 * K128, "")</f>
        <v>10937.500000000018</v>
      </c>
      <c r="M128" s="31">
        <v>10.1</v>
      </c>
      <c r="N128" s="32">
        <f t="shared" si="65"/>
        <v>5.2083333333333336E-2</v>
      </c>
      <c r="O128" s="18">
        <f>IF(ISNUMBER(M128), $B145 * N128, "")</f>
        <v>7812.5</v>
      </c>
      <c r="Q128" s="192"/>
      <c r="R128" s="192"/>
      <c r="S128" s="192"/>
    </row>
    <row r="129" spans="1:19" ht="17.25" thickBot="1">
      <c r="A129" s="127" t="s">
        <v>206</v>
      </c>
      <c r="B129" s="128">
        <v>12.2</v>
      </c>
      <c r="C129" s="78">
        <v>8.9285714299999999E-2</v>
      </c>
      <c r="D129" s="20">
        <v>12.7</v>
      </c>
      <c r="E129" s="21">
        <f t="shared" si="62"/>
        <v>4.0983606557377053E-2</v>
      </c>
      <c r="F129" s="22">
        <f>IF(ISNUMBER(D129), $B145 * E129, "")</f>
        <v>6147.5409836065583</v>
      </c>
      <c r="G129" s="30">
        <v>12.7</v>
      </c>
      <c r="H129" s="21">
        <f t="shared" si="63"/>
        <v>4.0983606557377053E-2</v>
      </c>
      <c r="I129" s="105">
        <f>IF(ISNUMBER(G129), $B145 * H129, "")</f>
        <v>6147.5409836065583</v>
      </c>
      <c r="J129" s="20">
        <v>13</v>
      </c>
      <c r="K129" s="21">
        <f t="shared" si="64"/>
        <v>6.5573770491803338E-2</v>
      </c>
      <c r="L129" s="22">
        <f>IF(ISNUMBER(J129), $B145 * K129, "")</f>
        <v>9836.0655737705001</v>
      </c>
      <c r="M129" s="30">
        <v>12.8</v>
      </c>
      <c r="N129" s="21">
        <f t="shared" si="65"/>
        <v>4.9180327868852576E-2</v>
      </c>
      <c r="O129" s="22">
        <f>IF(ISNUMBER(M129), $B145 * N129, "")</f>
        <v>7377.0491803278865</v>
      </c>
      <c r="Q129" s="192"/>
      <c r="R129" s="192"/>
      <c r="S129" s="192"/>
    </row>
    <row r="130" spans="1:19" ht="17.25" thickBot="1">
      <c r="A130" s="125" t="s">
        <v>72</v>
      </c>
      <c r="B130" s="129">
        <v>21.5</v>
      </c>
      <c r="C130" s="80">
        <v>8.0402010100000004E-2</v>
      </c>
      <c r="D130" s="106">
        <v>21.5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22</v>
      </c>
      <c r="H130" s="107">
        <f>IF(ISNUMBER(G130), (G130 - $B130) / $B130, "")</f>
        <v>2.3255813953488372E-2</v>
      </c>
      <c r="I130" s="110">
        <f>IF(ISNUMBER(G130), $B145 * H130, "")</f>
        <v>3488.3720930232557</v>
      </c>
      <c r="J130" s="106">
        <v>22.5</v>
      </c>
      <c r="K130" s="107">
        <f>IF(ISNUMBER(J130), (J130 - $B130) / $B130, "")</f>
        <v>4.6511627906976744E-2</v>
      </c>
      <c r="L130" s="108">
        <f>IF(ISNUMBER(J130), $B145 * K130, "")</f>
        <v>6976.7441860465115</v>
      </c>
      <c r="M130" s="109">
        <v>22.6</v>
      </c>
      <c r="N130" s="107">
        <f>IF(ISNUMBER(M130), (M130 - $B130) / $B130, "")</f>
        <v>5.1162790697674487E-2</v>
      </c>
      <c r="O130" s="108">
        <f>IF(ISNUMBER(M130), $B145 * N130, "")</f>
        <v>7674.4186046511732</v>
      </c>
      <c r="Q130" s="192"/>
      <c r="R130" s="192"/>
      <c r="S130" s="192"/>
    </row>
    <row r="131" spans="1:19" ht="17.25" thickBot="1">
      <c r="A131" s="125" t="s">
        <v>120</v>
      </c>
      <c r="B131" s="126">
        <v>31.5</v>
      </c>
      <c r="C131" s="77">
        <v>7.5085324199999998E-2</v>
      </c>
      <c r="D131" s="15">
        <v>31.7</v>
      </c>
      <c r="E131" s="32">
        <f t="shared" ref="E131:E134" si="66">IF(ISNUMBER(D131), (D131 - $B131) / $B131, "")</f>
        <v>6.3492063492063266E-3</v>
      </c>
      <c r="F131" s="18">
        <f>IF(ISNUMBER(D131), $B145 * E131, "")</f>
        <v>952.380952380949</v>
      </c>
      <c r="G131" s="31">
        <v>32.4</v>
      </c>
      <c r="H131" s="32">
        <f t="shared" ref="H131:H134" si="67">IF(ISNUMBER(G131), (G131 - $B131) / $B131, "")</f>
        <v>2.8571428571428525E-2</v>
      </c>
      <c r="I131" s="101">
        <f>IF(ISNUMBER(G131), $B145 * H131, "")</f>
        <v>4285.714285714279</v>
      </c>
      <c r="J131" s="15">
        <v>34</v>
      </c>
      <c r="K131" s="32">
        <f t="shared" ref="K131:K134" si="68">IF(ISNUMBER(J131), (J131 - $B131) / $B131, "")</f>
        <v>7.9365079365079361E-2</v>
      </c>
      <c r="L131" s="18">
        <f>IF(ISNUMBER(J131), $B145 * K131, "")</f>
        <v>11904.761904761905</v>
      </c>
      <c r="M131" s="31">
        <v>33.700000000000003</v>
      </c>
      <c r="N131" s="32">
        <f t="shared" ref="N131:N134" si="69">IF(ISNUMBER(M131), (M131 - $B131) / $B131, "")</f>
        <v>6.9841269841269926E-2</v>
      </c>
      <c r="O131" s="18">
        <f>IF(ISNUMBER(M131), $B145 * N131, "")</f>
        <v>10476.19047619049</v>
      </c>
      <c r="Q131" s="192"/>
      <c r="R131" s="192"/>
      <c r="S131" s="192"/>
    </row>
    <row r="132" spans="1:19" ht="17.25" thickBot="1">
      <c r="A132" s="125" t="s">
        <v>188</v>
      </c>
      <c r="B132" s="126">
        <v>14.8</v>
      </c>
      <c r="C132" s="77">
        <v>7.2463768100000006E-2</v>
      </c>
      <c r="D132" s="15">
        <v>15.2</v>
      </c>
      <c r="E132" s="32">
        <f t="shared" si="66"/>
        <v>2.7027027027026931E-2</v>
      </c>
      <c r="F132" s="18">
        <f>IF(ISNUMBER(D132), $B145 * E132, "")</f>
        <v>4054.0540540540396</v>
      </c>
      <c r="G132" s="31">
        <v>15.4</v>
      </c>
      <c r="H132" s="32">
        <f t="shared" si="67"/>
        <v>4.0540540540540515E-2</v>
      </c>
      <c r="I132" s="101">
        <f>IF(ISNUMBER(G132), $B145 * H132, "")</f>
        <v>6081.0810810810772</v>
      </c>
      <c r="J132" s="15">
        <v>16</v>
      </c>
      <c r="K132" s="32">
        <f t="shared" si="68"/>
        <v>8.108108108108103E-2</v>
      </c>
      <c r="L132" s="18">
        <f>IF(ISNUMBER(J132), $B145 * K132, "")</f>
        <v>12162.162162162154</v>
      </c>
      <c r="M132" s="31">
        <v>15.9</v>
      </c>
      <c r="N132" s="32">
        <f t="shared" si="69"/>
        <v>7.4324324324324301E-2</v>
      </c>
      <c r="O132" s="18">
        <f>IF(ISNUMBER(M132), $B145 * N132, "")</f>
        <v>11148.648648648645</v>
      </c>
      <c r="Q132" s="192"/>
      <c r="R132" s="192"/>
      <c r="S132" s="192"/>
    </row>
    <row r="133" spans="1:19" ht="17.25" thickBot="1">
      <c r="A133" s="125" t="s">
        <v>202</v>
      </c>
      <c r="B133" s="126">
        <v>13.7</v>
      </c>
      <c r="C133" s="77">
        <v>7.03125E-2</v>
      </c>
      <c r="D133" s="15">
        <v>14</v>
      </c>
      <c r="E133" s="32">
        <f t="shared" si="66"/>
        <v>2.1897810218978155E-2</v>
      </c>
      <c r="F133" s="18">
        <f>IF(ISNUMBER(D133), $B145 * E133, "")</f>
        <v>3284.6715328467235</v>
      </c>
      <c r="G133" s="31">
        <v>14.1</v>
      </c>
      <c r="H133" s="32">
        <f t="shared" si="67"/>
        <v>2.919708029197083E-2</v>
      </c>
      <c r="I133" s="101">
        <f>IF(ISNUMBER(G133), $B145 * H133, "")</f>
        <v>4379.562043795624</v>
      </c>
      <c r="J133" s="15">
        <v>14.6</v>
      </c>
      <c r="K133" s="32">
        <f t="shared" si="68"/>
        <v>6.5693430656934337E-2</v>
      </c>
      <c r="L133" s="18">
        <f>IF(ISNUMBER(J133), $B145 * K133, "")</f>
        <v>9854.0145985401505</v>
      </c>
      <c r="M133" s="31">
        <v>14.6</v>
      </c>
      <c r="N133" s="32">
        <f t="shared" si="69"/>
        <v>6.5693430656934337E-2</v>
      </c>
      <c r="O133" s="18">
        <f>IF(ISNUMBER(M133), $B145 * N133, "")</f>
        <v>9854.0145985401505</v>
      </c>
      <c r="Q133" s="33"/>
      <c r="R133" s="33"/>
    </row>
    <row r="134" spans="1:19" ht="17.25" thickBot="1">
      <c r="A134" s="130" t="s">
        <v>176</v>
      </c>
      <c r="B134" s="131">
        <v>15.3</v>
      </c>
      <c r="C134" s="79">
        <v>6.9930069900000003E-2</v>
      </c>
      <c r="D134" s="24">
        <v>15.4</v>
      </c>
      <c r="E134" s="25">
        <f t="shared" si="66"/>
        <v>6.5359477124182774E-3</v>
      </c>
      <c r="F134" s="104">
        <f>IF(ISNUMBER(D134), $B145 * E134, "")</f>
        <v>980.39215686274156</v>
      </c>
      <c r="G134" s="102">
        <v>15.7</v>
      </c>
      <c r="H134" s="25">
        <f t="shared" si="67"/>
        <v>2.614379084967311E-2</v>
      </c>
      <c r="I134" s="103">
        <f>IF(ISNUMBER(G134), $B145 * H134, "")</f>
        <v>3921.5686274509662</v>
      </c>
      <c r="J134" s="24">
        <v>16.100000000000001</v>
      </c>
      <c r="K134" s="25">
        <f t="shared" si="68"/>
        <v>5.2287581699346448E-2</v>
      </c>
      <c r="L134" s="104">
        <f>IF(ISNUMBER(J134), $B145 * K134, "")</f>
        <v>7843.137254901967</v>
      </c>
      <c r="M134" s="102">
        <v>16.600000000000001</v>
      </c>
      <c r="N134" s="25">
        <f t="shared" si="69"/>
        <v>8.4967320261437954E-2</v>
      </c>
      <c r="O134" s="104">
        <f>IF(ISNUMBER(M134), $B145 * N134, "")</f>
        <v>12745.098039215693</v>
      </c>
      <c r="Q134" s="193"/>
      <c r="R134" s="194"/>
      <c r="S134" s="195"/>
    </row>
    <row r="135" spans="1:19">
      <c r="A135" s="123" t="s">
        <v>148</v>
      </c>
      <c r="B135" s="124">
        <v>10.8</v>
      </c>
      <c r="C135" s="76">
        <v>6.9306930700000005E-2</v>
      </c>
      <c r="D135" s="13">
        <v>11.1</v>
      </c>
      <c r="E135" s="14">
        <f>IF(ISNUMBER(D135), (D135 - $B135) / $B135, "")</f>
        <v>2.7777777777777676E-2</v>
      </c>
      <c r="F135" s="16">
        <f>IF(ISNUMBER(D135), $B145 * E135, "")</f>
        <v>4166.6666666666515</v>
      </c>
      <c r="G135" s="29">
        <v>11.2</v>
      </c>
      <c r="H135" s="14">
        <f>IF(ISNUMBER(G135), (G135 - $B135) / $B135, "")</f>
        <v>3.7037037037036903E-2</v>
      </c>
      <c r="I135" s="100">
        <f>IF(ISNUMBER(G135), $B145 * H135, "")</f>
        <v>5555.5555555555356</v>
      </c>
      <c r="J135" s="13">
        <v>11.6</v>
      </c>
      <c r="K135" s="14">
        <f>IF(ISNUMBER(J135), (J135 - $B135) / $B135, "")</f>
        <v>7.4074074074073973E-2</v>
      </c>
      <c r="L135" s="16">
        <f>IF(ISNUMBER(J135), $B145 * K135, "")</f>
        <v>11111.111111111097</v>
      </c>
      <c r="M135" s="29">
        <v>11.5</v>
      </c>
      <c r="N135" s="14">
        <f>IF(ISNUMBER(M135), (M135 - $B135) / $B135, "")</f>
        <v>6.4814814814814742E-2</v>
      </c>
      <c r="O135" s="16">
        <f>IF(ISNUMBER(M135), $B145 * N135, "")</f>
        <v>9722.2222222222117</v>
      </c>
      <c r="Q135" s="196"/>
      <c r="R135" s="197"/>
      <c r="S135" s="198"/>
    </row>
    <row r="136" spans="1:19" ht="17.25" thickBot="1">
      <c r="A136" s="125" t="s">
        <v>232</v>
      </c>
      <c r="B136" s="126">
        <v>70.400000000000006</v>
      </c>
      <c r="C136" s="77">
        <v>6.3444108799999996E-2</v>
      </c>
      <c r="D136" s="15">
        <v>71.400000000000006</v>
      </c>
      <c r="E136" s="32">
        <f t="shared" ref="E136:E139" si="70">IF(ISNUMBER(D136), (D136 - $B136) / $B136, "")</f>
        <v>1.4204545454545454E-2</v>
      </c>
      <c r="F136" s="18">
        <f>IF(ISNUMBER(D136), $B145 * E136, "")</f>
        <v>2130.681818181818</v>
      </c>
      <c r="G136" s="31">
        <v>72.599999999999994</v>
      </c>
      <c r="H136" s="32">
        <f t="shared" ref="H136:H139" si="71">IF(ISNUMBER(G136), (G136 - $B136) / $B136, "")</f>
        <v>3.1249999999999837E-2</v>
      </c>
      <c r="I136" s="101">
        <f>IF(ISNUMBER(G136), $B145 * H136, "")</f>
        <v>4687.4999999999754</v>
      </c>
      <c r="J136" s="15">
        <v>74.3</v>
      </c>
      <c r="K136" s="32">
        <f t="shared" ref="K136:K139" si="72">IF(ISNUMBER(J136), (J136 - $B136) / $B136, "")</f>
        <v>5.5397727272727147E-2</v>
      </c>
      <c r="L136" s="18">
        <f>IF(ISNUMBER(J136), $B145 * K136, "")</f>
        <v>8309.6590909090719</v>
      </c>
      <c r="M136" s="31">
        <v>73.7</v>
      </c>
      <c r="N136" s="32">
        <f t="shared" ref="N136:N139" si="73">IF(ISNUMBER(M136), (M136 - $B136) / $B136, "")</f>
        <v>4.6874999999999958E-2</v>
      </c>
      <c r="O136" s="18">
        <f>IF(ISNUMBER(M136), $B145 * N136, "")</f>
        <v>7031.2499999999936</v>
      </c>
      <c r="Q136" s="199"/>
      <c r="R136" s="200"/>
      <c r="S136" s="201"/>
    </row>
    <row r="137" spans="1:19" ht="17.25" thickBot="1">
      <c r="A137" s="125" t="s">
        <v>248</v>
      </c>
      <c r="B137" s="126">
        <v>76.8</v>
      </c>
      <c r="C137" s="77">
        <v>5.6396148600000001E-2</v>
      </c>
      <c r="D137" s="15">
        <v>78.5</v>
      </c>
      <c r="E137" s="32">
        <f t="shared" si="70"/>
        <v>2.2135416666666706E-2</v>
      </c>
      <c r="F137" s="18">
        <f>IF(ISNUMBER(D137), $B145 * E137, "")</f>
        <v>3320.3125000000059</v>
      </c>
      <c r="G137" s="31">
        <v>80.099999999999994</v>
      </c>
      <c r="H137" s="32">
        <f t="shared" si="71"/>
        <v>4.2968749999999965E-2</v>
      </c>
      <c r="I137" s="101">
        <f>IF(ISNUMBER(G137), $B145 * H137, "")</f>
        <v>6445.3124999999945</v>
      </c>
      <c r="J137" s="15">
        <v>82.4</v>
      </c>
      <c r="K137" s="32">
        <f t="shared" si="72"/>
        <v>7.2916666666666782E-2</v>
      </c>
      <c r="L137" s="18">
        <f>IF(ISNUMBER(J137), $B145 * K137, "")</f>
        <v>10937.500000000018</v>
      </c>
      <c r="M137" s="31">
        <v>81.3</v>
      </c>
      <c r="N137" s="32">
        <f t="shared" si="73"/>
        <v>5.859375E-2</v>
      </c>
      <c r="O137" s="18">
        <f>IF(ISNUMBER(M137), $B145 * N137, "")</f>
        <v>8789.0625</v>
      </c>
      <c r="Q137" s="192"/>
      <c r="R137" s="192"/>
      <c r="S137" s="192"/>
    </row>
    <row r="138" spans="1:19" ht="17.25" thickBot="1">
      <c r="A138" s="125" t="s">
        <v>146</v>
      </c>
      <c r="B138" s="126">
        <v>17.7</v>
      </c>
      <c r="C138" s="77">
        <v>5.3571428599999998E-2</v>
      </c>
      <c r="D138" s="15">
        <v>17.899999999999999</v>
      </c>
      <c r="E138" s="32">
        <f t="shared" si="70"/>
        <v>1.1299435028248548E-2</v>
      </c>
      <c r="F138" s="18">
        <f>IF(ISNUMBER(D138), $B145 * E138, "")</f>
        <v>1694.9152542372822</v>
      </c>
      <c r="G138" s="31">
        <v>18.399999999999999</v>
      </c>
      <c r="H138" s="32">
        <f t="shared" si="71"/>
        <v>3.9548022598870018E-2</v>
      </c>
      <c r="I138" s="101">
        <f>IF(ISNUMBER(G138), $B145 * H138, "")</f>
        <v>5932.2033898305026</v>
      </c>
      <c r="J138" s="15">
        <v>19.2</v>
      </c>
      <c r="K138" s="32">
        <f t="shared" si="72"/>
        <v>8.4745762711864417E-2</v>
      </c>
      <c r="L138" s="18">
        <f>IF(ISNUMBER(J138), $B145 * K138, "")</f>
        <v>12711.864406779663</v>
      </c>
      <c r="M138" s="31">
        <v>18.899999999999999</v>
      </c>
      <c r="N138" s="32">
        <f t="shared" si="73"/>
        <v>6.7796610169491484E-2</v>
      </c>
      <c r="O138" s="18">
        <f>IF(ISNUMBER(M138), $B145 * N138, "")</f>
        <v>10169.491525423722</v>
      </c>
      <c r="Q138" s="202"/>
      <c r="R138" s="202"/>
      <c r="S138" s="202"/>
    </row>
    <row r="139" spans="1:19" ht="17.25" thickBot="1">
      <c r="A139" s="127" t="s">
        <v>160</v>
      </c>
      <c r="B139" s="128">
        <v>90.9</v>
      </c>
      <c r="C139" s="78">
        <v>4.6029919400000001E-2</v>
      </c>
      <c r="D139" s="20">
        <v>91.7</v>
      </c>
      <c r="E139" s="21">
        <f t="shared" si="70"/>
        <v>8.8008800880087692E-3</v>
      </c>
      <c r="F139" s="22">
        <f>IF(ISNUMBER(D139), $B145 * E139, "")</f>
        <v>1320.1320132013154</v>
      </c>
      <c r="G139" s="30">
        <v>93.2</v>
      </c>
      <c r="H139" s="21">
        <f t="shared" si="71"/>
        <v>2.5302530253025271E-2</v>
      </c>
      <c r="I139" s="105">
        <f>IF(ISNUMBER(G139), $B145 * H139, "")</f>
        <v>3795.3795379537905</v>
      </c>
      <c r="J139" s="20">
        <v>97.5</v>
      </c>
      <c r="K139" s="21">
        <f t="shared" si="72"/>
        <v>7.2607260726072542E-2</v>
      </c>
      <c r="L139" s="22">
        <f>IF(ISNUMBER(J139), $B145 * K139, "")</f>
        <v>10891.089108910881</v>
      </c>
      <c r="M139" s="30">
        <v>97.5</v>
      </c>
      <c r="N139" s="21">
        <f t="shared" si="73"/>
        <v>7.2607260726072542E-2</v>
      </c>
      <c r="O139" s="22">
        <f>IF(ISNUMBER(M139), $B145 * N139, "")</f>
        <v>10891.089108910881</v>
      </c>
      <c r="Q139" s="202"/>
      <c r="R139" s="202"/>
      <c r="S139" s="202"/>
    </row>
    <row r="140" spans="1:19" ht="17.25" thickBot="1">
      <c r="A140" s="125" t="s">
        <v>142</v>
      </c>
      <c r="B140" s="129">
        <v>95.4</v>
      </c>
      <c r="C140" s="80">
        <v>4.3763676100000003E-2</v>
      </c>
      <c r="D140" s="106">
        <v>98.3</v>
      </c>
      <c r="E140" s="107">
        <f>IF(ISNUMBER(D140), (D140 - $B140) / $B140, "")</f>
        <v>3.0398322851152949E-2</v>
      </c>
      <c r="F140" s="108">
        <f>IF(ISNUMBER(D140), $B145 * E140, "")</f>
        <v>4559.7484276729419</v>
      </c>
      <c r="G140" s="109">
        <v>99.5</v>
      </c>
      <c r="H140" s="107">
        <f>IF(ISNUMBER(G140), (G140 - $B140) / $B140, "")</f>
        <v>4.2976939203354235E-2</v>
      </c>
      <c r="I140" s="110">
        <f>IF(ISNUMBER(G140), $B145 * H140, "")</f>
        <v>6446.5408805031357</v>
      </c>
      <c r="J140" s="106">
        <v>102</v>
      </c>
      <c r="K140" s="107">
        <f>IF(ISNUMBER(J140), (J140 - $B140) / $B140, "")</f>
        <v>6.9182389937106861E-2</v>
      </c>
      <c r="L140" s="108">
        <f>IF(ISNUMBER(J140), $B145 * K140, "")</f>
        <v>10377.35849056603</v>
      </c>
      <c r="M140" s="109">
        <v>101</v>
      </c>
      <c r="N140" s="107">
        <f>IF(ISNUMBER(M140), (M140 - $B140) / $B140, "")</f>
        <v>5.8700209643605804E-2</v>
      </c>
      <c r="O140" s="108">
        <f>IF(ISNUMBER(M140), $B145 * N140, "")</f>
        <v>8805.0314465408701</v>
      </c>
      <c r="Q140" s="192"/>
      <c r="R140" s="192"/>
      <c r="S140" s="192"/>
    </row>
    <row r="141" spans="1:19" ht="17.25" thickBot="1">
      <c r="A141" s="125" t="s">
        <v>200</v>
      </c>
      <c r="B141" s="126">
        <v>72.8</v>
      </c>
      <c r="C141" s="77">
        <v>4.1487839800000002E-2</v>
      </c>
      <c r="D141" s="15">
        <v>73.900000000000006</v>
      </c>
      <c r="E141" s="32">
        <f t="shared" ref="E141:E144" si="74">IF(ISNUMBER(D141), (D141 - $B141) / $B141, "")</f>
        <v>1.5109890109890228E-2</v>
      </c>
      <c r="F141" s="18">
        <f>IF(ISNUMBER(D141), $B145 * E141, "")</f>
        <v>2266.483516483534</v>
      </c>
      <c r="G141" s="31">
        <v>74.599999999999994</v>
      </c>
      <c r="H141" s="32">
        <f t="shared" ref="H141:H144" si="75">IF(ISNUMBER(G141), (G141 - $B141) / $B141, "")</f>
        <v>2.4725274725274686E-2</v>
      </c>
      <c r="I141" s="101">
        <f>IF(ISNUMBER(G141), $B145 * H141, "")</f>
        <v>3708.7912087912027</v>
      </c>
      <c r="J141" s="15">
        <v>76.900000000000006</v>
      </c>
      <c r="K141" s="32">
        <f t="shared" ref="K141:K144" si="76">IF(ISNUMBER(J141), (J141 - $B141) / $B141, "")</f>
        <v>5.6318681318681438E-2</v>
      </c>
      <c r="L141" s="18">
        <f>IF(ISNUMBER(J141), $B145 * K141, "")</f>
        <v>8447.8021978022152</v>
      </c>
      <c r="M141" s="31">
        <v>75.8</v>
      </c>
      <c r="N141" s="32">
        <f t="shared" ref="N141:N144" si="77">IF(ISNUMBER(M141), (M141 - $B141) / $B141, "")</f>
        <v>4.1208791208791208E-2</v>
      </c>
      <c r="O141" s="18">
        <f>IF(ISNUMBER(M141), $B145 * N141, "")</f>
        <v>6181.3186813186812</v>
      </c>
      <c r="Q141" s="192"/>
      <c r="R141" s="192"/>
      <c r="S141" s="192"/>
    </row>
    <row r="142" spans="1:19" ht="17.25" thickBot="1">
      <c r="A142" s="125" t="s">
        <v>98</v>
      </c>
      <c r="B142" s="126">
        <v>3.84</v>
      </c>
      <c r="C142" s="77">
        <v>4.06504065E-2</v>
      </c>
      <c r="D142" s="15">
        <v>3.9</v>
      </c>
      <c r="E142" s="32">
        <f t="shared" si="74"/>
        <v>1.5625000000000014E-2</v>
      </c>
      <c r="F142" s="18">
        <f>IF(ISNUMBER(D142), $B145 * E142, "")</f>
        <v>2343.7500000000023</v>
      </c>
      <c r="G142" s="31">
        <v>3.98</v>
      </c>
      <c r="H142" s="32">
        <f t="shared" si="75"/>
        <v>3.645833333333337E-2</v>
      </c>
      <c r="I142" s="101">
        <f>IF(ISNUMBER(G142), $B145 * H142, "")</f>
        <v>5468.7500000000055</v>
      </c>
      <c r="J142" s="15">
        <v>4.09</v>
      </c>
      <c r="K142" s="32">
        <f t="shared" si="76"/>
        <v>6.5104166666666671E-2</v>
      </c>
      <c r="L142" s="18">
        <f>IF(ISNUMBER(J142), $B145 * K142, "")</f>
        <v>9765.625</v>
      </c>
      <c r="M142" s="31">
        <v>4.05</v>
      </c>
      <c r="N142" s="32">
        <f t="shared" si="77"/>
        <v>5.4687499999999993E-2</v>
      </c>
      <c r="O142" s="18">
        <f>IF(ISNUMBER(M142), $B145 * N142, "")</f>
        <v>8203.1249999999982</v>
      </c>
      <c r="Q142" s="192"/>
      <c r="R142" s="192"/>
      <c r="S142" s="192"/>
    </row>
    <row r="143" spans="1:19">
      <c r="A143" s="125" t="s">
        <v>328</v>
      </c>
      <c r="B143" s="126">
        <v>0.29499999999999998</v>
      </c>
      <c r="C143" s="77">
        <v>2.4305555600000001E-2</v>
      </c>
      <c r="D143" s="15">
        <v>0.29799999999999999</v>
      </c>
      <c r="E143" s="32">
        <f t="shared" si="74"/>
        <v>1.0169491525423738E-2</v>
      </c>
      <c r="F143" s="18">
        <f>IF(ISNUMBER(D143), $B145 * E143, "")</f>
        <v>1525.4237288135607</v>
      </c>
      <c r="G143" s="31">
        <v>0.3</v>
      </c>
      <c r="H143" s="32">
        <f t="shared" si="75"/>
        <v>1.6949152542372899E-2</v>
      </c>
      <c r="I143" s="101">
        <f>IF(ISNUMBER(G143), $B145 * H143, "")</f>
        <v>2542.3728813559346</v>
      </c>
      <c r="J143" s="15">
        <v>0.30099999999999999</v>
      </c>
      <c r="K143" s="32">
        <f t="shared" si="76"/>
        <v>2.0338983050847477E-2</v>
      </c>
      <c r="L143" s="18">
        <f>IF(ISNUMBER(J143), $B145 * K143, "")</f>
        <v>3050.8474576271215</v>
      </c>
      <c r="M143" s="31">
        <v>0.29899999999999999</v>
      </c>
      <c r="N143" s="32">
        <f t="shared" si="77"/>
        <v>1.3559322033898319E-2</v>
      </c>
      <c r="O143" s="18">
        <f>IF(ISNUMBER(M143), $B145 * N143, "")</f>
        <v>2033.8983050847478</v>
      </c>
      <c r="Q143" s="181"/>
      <c r="R143" s="182"/>
      <c r="S143" s="183"/>
    </row>
    <row r="144" spans="1:19" ht="17.25" thickBot="1">
      <c r="A144" s="130" t="s">
        <v>65</v>
      </c>
      <c r="B144" s="131">
        <v>65.599999999999994</v>
      </c>
      <c r="C144" s="79">
        <v>1.5267175999999999E-3</v>
      </c>
      <c r="D144" s="24">
        <v>65.2</v>
      </c>
      <c r="E144" s="25">
        <f t="shared" si="74"/>
        <v>-6.0975609756096271E-3</v>
      </c>
      <c r="F144" s="104">
        <f>IF(ISNUMBER(D144), $B145 * E144, "")</f>
        <v>-914.63414634144408</v>
      </c>
      <c r="G144" s="102">
        <v>65.8</v>
      </c>
      <c r="H144" s="25">
        <f t="shared" si="75"/>
        <v>3.0487804878049215E-3</v>
      </c>
      <c r="I144" s="103">
        <f>IF(ISNUMBER(G144), $B145 * H144, "")</f>
        <v>457.31707317073824</v>
      </c>
      <c r="J144" s="24">
        <v>68.099999999999994</v>
      </c>
      <c r="K144" s="25">
        <f t="shared" si="76"/>
        <v>3.8109756097560982E-2</v>
      </c>
      <c r="L144" s="104">
        <f>IF(ISNUMBER(J144), $B145 * K144, "")</f>
        <v>5716.4634146341468</v>
      </c>
      <c r="M144" s="102">
        <v>67.3</v>
      </c>
      <c r="N144" s="25">
        <f t="shared" si="77"/>
        <v>2.5914634146341511E-2</v>
      </c>
      <c r="O144" s="104">
        <f>IF(ISNUMBER(M144), $B145 * N144, "")</f>
        <v>3887.1951219512266</v>
      </c>
      <c r="Q144" s="184"/>
      <c r="R144" s="185"/>
      <c r="S144" s="186"/>
    </row>
    <row r="145" spans="1:19" ht="17.25" thickBot="1">
      <c r="A145" s="132" t="s">
        <v>268</v>
      </c>
      <c r="B145" s="245">
        <f>$B$37</f>
        <v>150000</v>
      </c>
      <c r="C145" s="246"/>
      <c r="D145" s="26" t="s">
        <v>269</v>
      </c>
      <c r="E145" s="27">
        <f>IF(COUNT(E125:E144), SUM(E125:E144) / COUNT(E125:E144), 0)</f>
        <v>7.5579211583596028E-3</v>
      </c>
      <c r="F145" s="28">
        <f>SUM(F125:F144)</f>
        <v>22673.763475078809</v>
      </c>
      <c r="G145" s="26" t="s">
        <v>269</v>
      </c>
      <c r="H145" s="27">
        <f>IF(COUNT(H125:H144), SUM(H125:H144) / COUNT(H125:H144), 0)</f>
        <v>2.1519409685146991E-2</v>
      </c>
      <c r="I145" s="28">
        <f>SUM(I125:I144)</f>
        <v>64558.22905544097</v>
      </c>
      <c r="J145" s="26" t="s">
        <v>269</v>
      </c>
      <c r="K145" s="27">
        <f>IF(COUNT(K125:K144), SUM(K125:K144) / COUNT(K125:K144), 0)</f>
        <v>5.1892821065271821E-2</v>
      </c>
      <c r="L145" s="28">
        <f>SUM(L125:L144)</f>
        <v>155678.46319581548</v>
      </c>
      <c r="M145" s="26" t="s">
        <v>269</v>
      </c>
      <c r="N145" s="27">
        <f>IF(COUNT(N125:N144), SUM(N125:N144) / COUNT(N125:N144), 0)</f>
        <v>4.4201822382398649E-2</v>
      </c>
      <c r="O145" s="28">
        <f>SUM(O125:O144)</f>
        <v>132605.46714719594</v>
      </c>
      <c r="Q145" s="187"/>
      <c r="R145" s="188"/>
      <c r="S145" s="189"/>
    </row>
    <row r="147" spans="1:19" ht="17.25" thickBot="1"/>
    <row r="148" spans="1:19" ht="17.25" thickBot="1">
      <c r="A148" s="203" t="s">
        <v>257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57" t="s">
        <v>265</v>
      </c>
      <c r="B149" s="203" t="s">
        <v>49</v>
      </c>
      <c r="C149" s="205"/>
      <c r="D149" s="203" t="s">
        <v>58</v>
      </c>
      <c r="E149" s="204"/>
      <c r="F149" s="205"/>
      <c r="G149" s="206">
        <f>_xlfn.IFNA(VLOOKUP(B149, 현재가테이블!$B$2:$D$200, 2, FALSE), "-")</f>
        <v>62630000</v>
      </c>
      <c r="H149" s="207"/>
      <c r="I149" s="208"/>
      <c r="J149" s="203" t="s">
        <v>59</v>
      </c>
      <c r="K149" s="204"/>
      <c r="L149" s="205"/>
      <c r="M149" s="209">
        <f>_xlfn.IFNA(VLOOKUP(B149, 현재가테이블!$B$2:$D$200, 3, FALSE), "-")</f>
        <v>1.5632601400000001E-2</v>
      </c>
      <c r="N149" s="210"/>
      <c r="O149" s="211"/>
      <c r="Q149" s="202"/>
      <c r="R149" s="202"/>
      <c r="S149" s="202"/>
    </row>
    <row r="150" spans="1:19" ht="17.25" thickBot="1">
      <c r="A150" s="247" t="s">
        <v>55</v>
      </c>
      <c r="B150" s="243" t="str">
        <f>TEXT($G$1, "[$-ko-KR]yyyy-mm-dd(ddd) ") &amp; "오전 00:00"</f>
        <v>2021-10-01(금) 오전 00:00</v>
      </c>
      <c r="C150" s="244"/>
      <c r="D150" s="216" t="str">
        <f>TEXT($G$1, "[$-ko-KR]yyyy-mm-dd(ddd) ") &amp; "오후 14:00"</f>
        <v>2021-10-01(금) 오후 14:00</v>
      </c>
      <c r="E150" s="217"/>
      <c r="F150" s="218"/>
      <c r="G150" s="216" t="str">
        <f>TEXT($G$1, "[$-ko-KR]yyyy-mm-dd(ddd) ") &amp; "오후 19:00"</f>
        <v>2021-10-01(금) 오후 19:00</v>
      </c>
      <c r="H150" s="217"/>
      <c r="I150" s="218"/>
      <c r="J150" s="216" t="str">
        <f>TEXT($G$1, "[$-ko-KR]yyyy-mm-dd(ddd) ") &amp; "오후 21:00"</f>
        <v>2021-10-01(금) 오후 21:00</v>
      </c>
      <c r="K150" s="217"/>
      <c r="L150" s="218"/>
      <c r="M150" s="216" t="str">
        <f>TEXT($G$1+1, "[$-ko-KR]yyyy-mm-dd(ddd) ") &amp; "오전 00:00"</f>
        <v>2021-10-02(토) 오전 00:00</v>
      </c>
      <c r="N150" s="217"/>
      <c r="O150" s="218"/>
      <c r="Q150" s="202"/>
      <c r="R150" s="202"/>
      <c r="S150" s="202"/>
    </row>
    <row r="151" spans="1:19" ht="17.25" thickBot="1">
      <c r="A151" s="24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58" t="s">
        <v>58</v>
      </c>
      <c r="H151" s="159" t="s">
        <v>266</v>
      </c>
      <c r="I151" s="16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192"/>
      <c r="R151" s="192"/>
      <c r="S151" s="192"/>
    </row>
    <row r="152" spans="1:19" ht="17.25" thickBot="1">
      <c r="A152" s="123" t="s">
        <v>80</v>
      </c>
      <c r="B152" s="124">
        <v>781</v>
      </c>
      <c r="C152" s="76">
        <v>7.4277854200000007E-2</v>
      </c>
      <c r="D152" s="13">
        <v>767</v>
      </c>
      <c r="E152" s="14">
        <f>IF(ISNUMBER(D152), (D152 - $B152) / $B152, "")</f>
        <v>-1.7925736235595392E-2</v>
      </c>
      <c r="F152" s="16">
        <f>IF(ISNUMBER(D152), $B172 * E152, "")</f>
        <v>-2688.8604353393089</v>
      </c>
      <c r="G152" s="29">
        <v>788</v>
      </c>
      <c r="H152" s="14">
        <f>IF(ISNUMBER(G152), (G152 - $B152) / $B152, "")</f>
        <v>8.9628681177976958E-3</v>
      </c>
      <c r="I152" s="100">
        <f>IF(ISNUMBER(G152), $B172 * H152, "")</f>
        <v>1344.4302176696544</v>
      </c>
      <c r="J152" s="13">
        <v>811</v>
      </c>
      <c r="K152" s="14">
        <f>IF(ISNUMBER(J152), (J152 - $B152) / $B152, "")</f>
        <v>3.8412291933418691E-2</v>
      </c>
      <c r="L152" s="16">
        <f>IF(ISNUMBER(J152), $B172 * K152, "")</f>
        <v>5761.8437900128038</v>
      </c>
      <c r="M152" s="29">
        <v>804</v>
      </c>
      <c r="N152" s="14">
        <f>IF(ISNUMBER(M152), (M152 - $B152) / $B152, "")</f>
        <v>2.9449423815621E-2</v>
      </c>
      <c r="O152" s="16">
        <f>IF(ISNUMBER(M152), $B172 * N152, "")</f>
        <v>4417.41357234315</v>
      </c>
      <c r="Q152" s="202"/>
      <c r="R152" s="202"/>
      <c r="S152" s="202"/>
    </row>
    <row r="153" spans="1:19" ht="17.25" thickBot="1">
      <c r="A153" s="125" t="s">
        <v>128</v>
      </c>
      <c r="B153" s="126">
        <v>126</v>
      </c>
      <c r="C153" s="77">
        <v>6.7796610199999996E-2</v>
      </c>
      <c r="D153" s="15">
        <v>127</v>
      </c>
      <c r="E153" s="32">
        <f t="shared" ref="E153:E156" si="78">IF(ISNUMBER(D153), (D153 - $B153) / $B153, "")</f>
        <v>7.9365079365079361E-3</v>
      </c>
      <c r="F153" s="18">
        <f>IF(ISNUMBER(D153), $B172 * E153, "")</f>
        <v>1190.4761904761904</v>
      </c>
      <c r="G153" s="31">
        <v>133</v>
      </c>
      <c r="H153" s="32">
        <f t="shared" ref="H153:H156" si="79">IF(ISNUMBER(G153), (G153 - $B153) / $B153, "")</f>
        <v>5.5555555555555552E-2</v>
      </c>
      <c r="I153" s="101">
        <f>IF(ISNUMBER(G153), $B172 * H153, "")</f>
        <v>8333.3333333333321</v>
      </c>
      <c r="J153" s="15">
        <v>134</v>
      </c>
      <c r="K153" s="32">
        <f t="shared" ref="K153:K156" si="80">IF(ISNUMBER(J153), (J153 - $B153) / $B153, "")</f>
        <v>6.3492063492063489E-2</v>
      </c>
      <c r="L153" s="18">
        <f>IF(ISNUMBER(J153), $B172 * K153, "")</f>
        <v>9523.8095238095229</v>
      </c>
      <c r="M153" s="31">
        <v>133</v>
      </c>
      <c r="N153" s="32">
        <f t="shared" ref="N153:N156" si="81">IF(ISNUMBER(M153), (M153 - $B153) / $B153, "")</f>
        <v>5.5555555555555552E-2</v>
      </c>
      <c r="O153" s="18">
        <f>IF(ISNUMBER(M153), $B172 * N153, "")</f>
        <v>8333.3333333333321</v>
      </c>
      <c r="Q153" s="202"/>
      <c r="R153" s="202"/>
      <c r="S153" s="202"/>
    </row>
    <row r="154" spans="1:19" ht="17.25" thickBot="1">
      <c r="A154" s="125" t="s">
        <v>216</v>
      </c>
      <c r="B154" s="126">
        <v>126</v>
      </c>
      <c r="C154" s="77">
        <v>6.7796610199999996E-2</v>
      </c>
      <c r="D154" s="15">
        <v>130</v>
      </c>
      <c r="E154" s="32">
        <f t="shared" si="78"/>
        <v>3.1746031746031744E-2</v>
      </c>
      <c r="F154" s="18">
        <f>IF(ISNUMBER(D154), $B172 * E154, "")</f>
        <v>4761.9047619047615</v>
      </c>
      <c r="G154" s="31">
        <v>131</v>
      </c>
      <c r="H154" s="32">
        <f t="shared" si="79"/>
        <v>3.968253968253968E-2</v>
      </c>
      <c r="I154" s="101">
        <f>IF(ISNUMBER(G154), $B172 * H154, "")</f>
        <v>5952.3809523809523</v>
      </c>
      <c r="J154" s="15">
        <v>134</v>
      </c>
      <c r="K154" s="32">
        <f t="shared" si="80"/>
        <v>6.3492063492063489E-2</v>
      </c>
      <c r="L154" s="18">
        <f>IF(ISNUMBER(J154), $B172 * K154, "")</f>
        <v>9523.8095238095229</v>
      </c>
      <c r="M154" s="31">
        <v>136</v>
      </c>
      <c r="N154" s="32">
        <f t="shared" si="81"/>
        <v>7.9365079365079361E-2</v>
      </c>
      <c r="O154" s="18">
        <f>IF(ISNUMBER(M154), $B172 * N154, "")</f>
        <v>11904.761904761905</v>
      </c>
      <c r="Q154" s="192"/>
      <c r="R154" s="192"/>
      <c r="S154" s="192"/>
    </row>
    <row r="155" spans="1:19" ht="17.25" thickBot="1">
      <c r="A155" s="125" t="s">
        <v>212</v>
      </c>
      <c r="B155" s="126">
        <v>856</v>
      </c>
      <c r="C155" s="77">
        <v>6.2034739499999998E-2</v>
      </c>
      <c r="D155" s="15">
        <v>905</v>
      </c>
      <c r="E155" s="32">
        <f t="shared" si="78"/>
        <v>5.7242990654205607E-2</v>
      </c>
      <c r="F155" s="18">
        <f>IF(ISNUMBER(D155), $B172 * E155, "")</f>
        <v>8586.4485981308408</v>
      </c>
      <c r="G155" s="31">
        <v>905</v>
      </c>
      <c r="H155" s="32">
        <f t="shared" si="79"/>
        <v>5.7242990654205607E-2</v>
      </c>
      <c r="I155" s="101">
        <f>IF(ISNUMBER(G155), $B172 * H155, "")</f>
        <v>8586.4485981308408</v>
      </c>
      <c r="J155" s="15">
        <v>933</v>
      </c>
      <c r="K155" s="32">
        <f t="shared" si="80"/>
        <v>8.9953271028037379E-2</v>
      </c>
      <c r="L155" s="18">
        <f>IF(ISNUMBER(J155), $B172 * K155, "")</f>
        <v>13492.990654205607</v>
      </c>
      <c r="M155" s="31">
        <v>933</v>
      </c>
      <c r="N155" s="32">
        <f t="shared" si="81"/>
        <v>8.9953271028037379E-2</v>
      </c>
      <c r="O155" s="18">
        <f>IF(ISNUMBER(M155), $B172 * N155, "")</f>
        <v>13492.990654205607</v>
      </c>
      <c r="Q155" s="192"/>
      <c r="R155" s="192"/>
      <c r="S155" s="192"/>
    </row>
    <row r="156" spans="1:19" ht="17.25" thickBot="1">
      <c r="A156" s="127" t="s">
        <v>108</v>
      </c>
      <c r="B156" s="128">
        <v>141</v>
      </c>
      <c r="C156" s="78">
        <v>6.0150375899999997E-2</v>
      </c>
      <c r="D156" s="20">
        <v>153</v>
      </c>
      <c r="E156" s="21">
        <f t="shared" si="78"/>
        <v>8.5106382978723402E-2</v>
      </c>
      <c r="F156" s="22">
        <f>IF(ISNUMBER(D156), $B172 * E156, "")</f>
        <v>12765.95744680851</v>
      </c>
      <c r="G156" s="30">
        <v>152</v>
      </c>
      <c r="H156" s="21">
        <f t="shared" si="79"/>
        <v>7.8014184397163122E-2</v>
      </c>
      <c r="I156" s="105">
        <f>IF(ISNUMBER(G156), $B172 * H156, "")</f>
        <v>11702.127659574468</v>
      </c>
      <c r="J156" s="20">
        <v>157</v>
      </c>
      <c r="K156" s="21">
        <f t="shared" si="80"/>
        <v>0.11347517730496454</v>
      </c>
      <c r="L156" s="22">
        <f>IF(ISNUMBER(J156), $B172 * K156, "")</f>
        <v>17021.276595744679</v>
      </c>
      <c r="M156" s="30">
        <v>157</v>
      </c>
      <c r="N156" s="21">
        <f t="shared" si="81"/>
        <v>0.11347517730496454</v>
      </c>
      <c r="O156" s="22">
        <f>IF(ISNUMBER(M156), $B172 * N156, "")</f>
        <v>17021.276595744679</v>
      </c>
      <c r="Q156" s="192"/>
      <c r="R156" s="192"/>
      <c r="S156" s="192"/>
    </row>
    <row r="157" spans="1:19" ht="17.25" thickBot="1">
      <c r="A157" s="125" t="s">
        <v>126</v>
      </c>
      <c r="B157" s="129">
        <v>109</v>
      </c>
      <c r="C157" s="80">
        <v>5.8252427199999998E-2</v>
      </c>
      <c r="D157" s="106">
        <v>121</v>
      </c>
      <c r="E157" s="107">
        <f>IF(ISNUMBER(D157), (D157 - $B157) / $B157, "")</f>
        <v>0.11009174311926606</v>
      </c>
      <c r="F157" s="108">
        <f>IF(ISNUMBER(D157), $B172 * E157, "")</f>
        <v>16513.761467889908</v>
      </c>
      <c r="G157" s="109">
        <v>129</v>
      </c>
      <c r="H157" s="107">
        <f>IF(ISNUMBER(G157), (G157 - $B157) / $B157, "")</f>
        <v>0.1834862385321101</v>
      </c>
      <c r="I157" s="110">
        <f>IF(ISNUMBER(G157), $B172 * H157, "")</f>
        <v>27522.935779816515</v>
      </c>
      <c r="J157" s="106">
        <v>132</v>
      </c>
      <c r="K157" s="107">
        <f>IF(ISNUMBER(J157), (J157 - $B157) / $B157, "")</f>
        <v>0.21100917431192662</v>
      </c>
      <c r="L157" s="108">
        <f>IF(ISNUMBER(J157), $B172 * K157, "")</f>
        <v>31651.376146788993</v>
      </c>
      <c r="M157" s="109">
        <v>130</v>
      </c>
      <c r="N157" s="107">
        <f>IF(ISNUMBER(M157), (M157 - $B157) / $B157, "")</f>
        <v>0.19266055045871561</v>
      </c>
      <c r="O157" s="108">
        <f>IF(ISNUMBER(M157), $B172 * N157, "")</f>
        <v>28899.082568807342</v>
      </c>
      <c r="Q157" s="192"/>
      <c r="R157" s="192"/>
      <c r="S157" s="192"/>
    </row>
    <row r="158" spans="1:19" ht="17.25" thickBot="1">
      <c r="A158" s="125" t="s">
        <v>116</v>
      </c>
      <c r="B158" s="126">
        <v>192</v>
      </c>
      <c r="C158" s="77">
        <v>5.4945054899999998E-2</v>
      </c>
      <c r="D158" s="15">
        <v>194</v>
      </c>
      <c r="E158" s="32">
        <f t="shared" ref="E158:E161" si="82">IF(ISNUMBER(D158), (D158 - $B158) / $B158, "")</f>
        <v>1.0416666666666666E-2</v>
      </c>
      <c r="F158" s="18">
        <f>IF(ISNUMBER(D158), $B172 * E158, "")</f>
        <v>1562.5</v>
      </c>
      <c r="G158" s="31">
        <v>199</v>
      </c>
      <c r="H158" s="32">
        <f t="shared" ref="H158:H161" si="83">IF(ISNUMBER(G158), (G158 - $B158) / $B158, "")</f>
        <v>3.6458333333333336E-2</v>
      </c>
      <c r="I158" s="101">
        <f>IF(ISNUMBER(G158), $B172 * H158, "")</f>
        <v>5468.75</v>
      </c>
      <c r="J158" s="15">
        <v>209</v>
      </c>
      <c r="K158" s="32">
        <f t="shared" ref="K158:K161" si="84">IF(ISNUMBER(J158), (J158 - $B158) / $B158, "")</f>
        <v>8.8541666666666671E-2</v>
      </c>
      <c r="L158" s="18">
        <f>IF(ISNUMBER(J158), $B172 * K158, "")</f>
        <v>13281.25</v>
      </c>
      <c r="M158" s="31">
        <v>205</v>
      </c>
      <c r="N158" s="32">
        <f t="shared" ref="N158:N161" si="85">IF(ISNUMBER(M158), (M158 - $B158) / $B158, "")</f>
        <v>6.7708333333333329E-2</v>
      </c>
      <c r="O158" s="18">
        <f>IF(ISNUMBER(M158), $B172 * N158, "")</f>
        <v>10156.25</v>
      </c>
      <c r="Q158" s="192"/>
      <c r="R158" s="192"/>
      <c r="S158" s="192"/>
    </row>
    <row r="159" spans="1:19" ht="17.25" thickBot="1">
      <c r="A159" s="125" t="s">
        <v>162</v>
      </c>
      <c r="B159" s="126">
        <v>734</v>
      </c>
      <c r="C159" s="77">
        <v>5.45977011E-2</v>
      </c>
      <c r="D159" s="15">
        <v>784</v>
      </c>
      <c r="E159" s="32">
        <f t="shared" si="82"/>
        <v>6.8119891008174394E-2</v>
      </c>
      <c r="F159" s="18">
        <f>IF(ISNUMBER(D159), $B172 * E159, "")</f>
        <v>10217.983651226159</v>
      </c>
      <c r="G159" s="31">
        <v>789</v>
      </c>
      <c r="H159" s="32">
        <f t="shared" si="83"/>
        <v>7.4931880108991822E-2</v>
      </c>
      <c r="I159" s="101">
        <f>IF(ISNUMBER(G159), $B172 * H159, "")</f>
        <v>11239.782016348774</v>
      </c>
      <c r="J159" s="15">
        <v>799</v>
      </c>
      <c r="K159" s="32">
        <f t="shared" si="84"/>
        <v>8.8555858310626706E-2</v>
      </c>
      <c r="L159" s="18">
        <f>IF(ISNUMBER(J159), $B172 * K159, "")</f>
        <v>13283.378746594006</v>
      </c>
      <c r="M159" s="31">
        <v>799</v>
      </c>
      <c r="N159" s="32">
        <f t="shared" si="85"/>
        <v>8.8555858310626706E-2</v>
      </c>
      <c r="O159" s="18">
        <f>IF(ISNUMBER(M159), $B172 * N159, "")</f>
        <v>13283.378746594006</v>
      </c>
      <c r="Q159" s="192"/>
      <c r="R159" s="192"/>
      <c r="S159" s="192"/>
    </row>
    <row r="160" spans="1:19" ht="17.25" thickBot="1">
      <c r="A160" s="125" t="s">
        <v>234</v>
      </c>
      <c r="B160" s="126">
        <v>557</v>
      </c>
      <c r="C160" s="77">
        <v>5.2930056699999999E-2</v>
      </c>
      <c r="D160" s="15">
        <v>573</v>
      </c>
      <c r="E160" s="32">
        <f t="shared" si="82"/>
        <v>2.8725314183123879E-2</v>
      </c>
      <c r="F160" s="18">
        <f>IF(ISNUMBER(D160), $B172 * E160, "")</f>
        <v>4308.7971274685815</v>
      </c>
      <c r="G160" s="31">
        <v>585</v>
      </c>
      <c r="H160" s="32">
        <f t="shared" si="83"/>
        <v>5.0269299820466788E-2</v>
      </c>
      <c r="I160" s="101">
        <f>IF(ISNUMBER(G160), $B172 * H160, "")</f>
        <v>7540.3949730700178</v>
      </c>
      <c r="J160" s="15">
        <v>610</v>
      </c>
      <c r="K160" s="32">
        <f t="shared" si="84"/>
        <v>9.515260323159784E-2</v>
      </c>
      <c r="L160" s="18">
        <f>IF(ISNUMBER(J160), $B172 * K160, "")</f>
        <v>14272.890484739675</v>
      </c>
      <c r="M160" s="31">
        <v>601</v>
      </c>
      <c r="N160" s="32">
        <f t="shared" si="85"/>
        <v>7.899461400359066E-2</v>
      </c>
      <c r="O160" s="18">
        <f>IF(ISNUMBER(M160), $B172 * N160, "")</f>
        <v>11849.192100538599</v>
      </c>
      <c r="Q160" s="33"/>
      <c r="R160" s="33"/>
    </row>
    <row r="161" spans="1:19" ht="17.25" thickBot="1">
      <c r="A161" s="130" t="s">
        <v>192</v>
      </c>
      <c r="B161" s="131">
        <v>104</v>
      </c>
      <c r="C161" s="79">
        <v>5.0505050500000002E-2</v>
      </c>
      <c r="D161" s="24">
        <v>106</v>
      </c>
      <c r="E161" s="25">
        <f t="shared" si="82"/>
        <v>1.9230769230769232E-2</v>
      </c>
      <c r="F161" s="104">
        <f>IF(ISNUMBER(D161), $B172 * E161, "")</f>
        <v>2884.6153846153848</v>
      </c>
      <c r="G161" s="102">
        <v>110</v>
      </c>
      <c r="H161" s="25">
        <f t="shared" si="83"/>
        <v>5.7692307692307696E-2</v>
      </c>
      <c r="I161" s="103">
        <f>IF(ISNUMBER(G161), $B172 * H161, "")</f>
        <v>8653.8461538461543</v>
      </c>
      <c r="J161" s="24">
        <v>111</v>
      </c>
      <c r="K161" s="25">
        <f t="shared" si="84"/>
        <v>6.7307692307692304E-2</v>
      </c>
      <c r="L161" s="104">
        <f>IF(ISNUMBER(J161), $B172 * K161, "")</f>
        <v>10096.153846153846</v>
      </c>
      <c r="M161" s="102">
        <v>109</v>
      </c>
      <c r="N161" s="25">
        <f t="shared" si="85"/>
        <v>4.807692307692308E-2</v>
      </c>
      <c r="O161" s="104">
        <f>IF(ISNUMBER(M161), $B172 * N161, "")</f>
        <v>7211.5384615384619</v>
      </c>
      <c r="Q161" s="193"/>
      <c r="R161" s="194"/>
      <c r="S161" s="195"/>
    </row>
    <row r="162" spans="1:19">
      <c r="A162" s="123" t="s">
        <v>57</v>
      </c>
      <c r="B162" s="124">
        <v>177</v>
      </c>
      <c r="C162" s="76">
        <v>4.7337278099999998E-2</v>
      </c>
      <c r="D162" s="13">
        <v>178</v>
      </c>
      <c r="E162" s="14">
        <f>IF(ISNUMBER(D162), (D162 - $B162) / $B162, "")</f>
        <v>5.6497175141242938E-3</v>
      </c>
      <c r="F162" s="16">
        <f>IF(ISNUMBER(D162), $B172 * E162, "")</f>
        <v>847.45762711864404</v>
      </c>
      <c r="G162" s="29">
        <v>183</v>
      </c>
      <c r="H162" s="14">
        <f>IF(ISNUMBER(G162), (G162 - $B162) / $B162, "")</f>
        <v>3.3898305084745763E-2</v>
      </c>
      <c r="I162" s="100">
        <f>IF(ISNUMBER(G162), $B172 * H162, "")</f>
        <v>5084.7457627118647</v>
      </c>
      <c r="J162" s="13">
        <v>187</v>
      </c>
      <c r="K162" s="14">
        <f>IF(ISNUMBER(J162), (J162 - $B162) / $B162, "")</f>
        <v>5.6497175141242938E-2</v>
      </c>
      <c r="L162" s="16">
        <f>IF(ISNUMBER(J162), $B172 * K162, "")</f>
        <v>8474.5762711864409</v>
      </c>
      <c r="M162" s="29">
        <v>188</v>
      </c>
      <c r="N162" s="14">
        <f>IF(ISNUMBER(M162), (M162 - $B162) / $B162, "")</f>
        <v>6.2146892655367235E-2</v>
      </c>
      <c r="O162" s="16">
        <f>IF(ISNUMBER(M162), $B172 * N162, "")</f>
        <v>9322.033898305086</v>
      </c>
      <c r="Q162" s="196"/>
      <c r="R162" s="197"/>
      <c r="S162" s="198"/>
    </row>
    <row r="163" spans="1:19" ht="17.25" thickBot="1">
      <c r="A163" s="125" t="s">
        <v>240</v>
      </c>
      <c r="B163" s="126">
        <v>555</v>
      </c>
      <c r="C163" s="77">
        <v>4.5197740100000001E-2</v>
      </c>
      <c r="D163" s="15">
        <v>628</v>
      </c>
      <c r="E163" s="32">
        <f t="shared" ref="E163:E166" si="86">IF(ISNUMBER(D163), (D163 - $B163) / $B163, "")</f>
        <v>0.13153153153153152</v>
      </c>
      <c r="F163" s="18">
        <f>IF(ISNUMBER(D163), $B172 * E163, "")</f>
        <v>19729.729729729726</v>
      </c>
      <c r="G163" s="31">
        <v>621</v>
      </c>
      <c r="H163" s="32">
        <f t="shared" ref="H163:H166" si="87">IF(ISNUMBER(G163), (G163 - $B163) / $B163, "")</f>
        <v>0.11891891891891893</v>
      </c>
      <c r="I163" s="101">
        <f>IF(ISNUMBER(G163), $B172 * H163, "")</f>
        <v>17837.83783783784</v>
      </c>
      <c r="J163" s="15">
        <v>626</v>
      </c>
      <c r="K163" s="32">
        <f t="shared" ref="K163:K166" si="88">IF(ISNUMBER(J163), (J163 - $B163) / $B163, "")</f>
        <v>0.12792792792792793</v>
      </c>
      <c r="L163" s="18">
        <f>IF(ISNUMBER(J163), $B172 * K163, "")</f>
        <v>19189.18918918919</v>
      </c>
      <c r="M163" s="31">
        <v>623</v>
      </c>
      <c r="N163" s="32">
        <f t="shared" ref="N163:N166" si="89">IF(ISNUMBER(M163), (M163 - $B163) / $B163, "")</f>
        <v>0.12252252252252252</v>
      </c>
      <c r="O163" s="18">
        <f>IF(ISNUMBER(M163), $B172 * N163, "")</f>
        <v>18378.378378378377</v>
      </c>
      <c r="Q163" s="199"/>
      <c r="R163" s="200"/>
      <c r="S163" s="201"/>
    </row>
    <row r="164" spans="1:19" ht="17.25" thickBot="1">
      <c r="A164" s="125" t="s">
        <v>102</v>
      </c>
      <c r="B164" s="126">
        <v>935</v>
      </c>
      <c r="C164" s="77">
        <v>4.4692737400000002E-2</v>
      </c>
      <c r="D164" s="15">
        <v>967</v>
      </c>
      <c r="E164" s="32">
        <f t="shared" si="86"/>
        <v>3.4224598930481284E-2</v>
      </c>
      <c r="F164" s="18">
        <f>IF(ISNUMBER(D164), $B172 * E164, "")</f>
        <v>5133.6898395721928</v>
      </c>
      <c r="G164" s="31">
        <v>980</v>
      </c>
      <c r="H164" s="32">
        <f t="shared" si="87"/>
        <v>4.8128342245989303E-2</v>
      </c>
      <c r="I164" s="101">
        <f>IF(ISNUMBER(G164), $B172 * H164, "")</f>
        <v>7219.2513368983955</v>
      </c>
      <c r="J164" s="15">
        <v>1005</v>
      </c>
      <c r="K164" s="32">
        <f t="shared" si="88"/>
        <v>7.4866310160427801E-2</v>
      </c>
      <c r="L164" s="18">
        <f>IF(ISNUMBER(J164), $B172 * K164, "")</f>
        <v>11229.946524064169</v>
      </c>
      <c r="M164" s="31">
        <v>1005</v>
      </c>
      <c r="N164" s="32">
        <f t="shared" si="89"/>
        <v>7.4866310160427801E-2</v>
      </c>
      <c r="O164" s="18">
        <f>IF(ISNUMBER(M164), $B172 * N164, "")</f>
        <v>11229.946524064169</v>
      </c>
      <c r="Q164" s="192"/>
      <c r="R164" s="192"/>
      <c r="S164" s="192"/>
    </row>
    <row r="165" spans="1:19" ht="17.25" thickBot="1">
      <c r="A165" s="125" t="s">
        <v>86</v>
      </c>
      <c r="B165" s="126">
        <v>318</v>
      </c>
      <c r="C165" s="77">
        <v>4.2622950800000003E-2</v>
      </c>
      <c r="D165" s="15">
        <v>320</v>
      </c>
      <c r="E165" s="32">
        <f t="shared" si="86"/>
        <v>6.2893081761006293E-3</v>
      </c>
      <c r="F165" s="18">
        <f>IF(ISNUMBER(D165), $B172 * E165, "")</f>
        <v>943.39622641509436</v>
      </c>
      <c r="G165" s="31">
        <v>326</v>
      </c>
      <c r="H165" s="32">
        <f t="shared" si="87"/>
        <v>2.5157232704402517E-2</v>
      </c>
      <c r="I165" s="101">
        <f>IF(ISNUMBER(G165), $B172 * H165, "")</f>
        <v>3773.5849056603774</v>
      </c>
      <c r="J165" s="15">
        <v>335</v>
      </c>
      <c r="K165" s="32">
        <f t="shared" si="88"/>
        <v>5.3459119496855348E-2</v>
      </c>
      <c r="L165" s="18">
        <f>IF(ISNUMBER(J165), $B172 * K165, "")</f>
        <v>8018.867924528302</v>
      </c>
      <c r="M165" s="31">
        <v>332</v>
      </c>
      <c r="N165" s="32">
        <f t="shared" si="89"/>
        <v>4.40251572327044E-2</v>
      </c>
      <c r="O165" s="18">
        <f>IF(ISNUMBER(M165), $B172 * N165, "")</f>
        <v>6603.7735849056598</v>
      </c>
      <c r="Q165" s="202"/>
      <c r="R165" s="202"/>
      <c r="S165" s="202"/>
    </row>
    <row r="166" spans="1:19" ht="17.25" thickBot="1">
      <c r="A166" s="127" t="s">
        <v>61</v>
      </c>
      <c r="B166" s="128">
        <v>822</v>
      </c>
      <c r="C166" s="78">
        <v>3.9190897600000003E-2</v>
      </c>
      <c r="D166" s="20">
        <v>842</v>
      </c>
      <c r="E166" s="21">
        <f t="shared" si="86"/>
        <v>2.4330900243309004E-2</v>
      </c>
      <c r="F166" s="22">
        <f>IF(ISNUMBER(D166), $B172 * E166, "")</f>
        <v>3649.6350364963505</v>
      </c>
      <c r="G166" s="30">
        <v>854</v>
      </c>
      <c r="H166" s="21">
        <f t="shared" si="87"/>
        <v>3.8929440389294405E-2</v>
      </c>
      <c r="I166" s="105">
        <f>IF(ISNUMBER(G166), $B172 * H166, "")</f>
        <v>5839.4160583941612</v>
      </c>
      <c r="J166" s="20">
        <v>888</v>
      </c>
      <c r="K166" s="21">
        <f t="shared" si="88"/>
        <v>8.0291970802919707E-2</v>
      </c>
      <c r="L166" s="22">
        <f>IF(ISNUMBER(J166), $B172 * K166, "")</f>
        <v>12043.795620437955</v>
      </c>
      <c r="M166" s="30">
        <v>886</v>
      </c>
      <c r="N166" s="21">
        <f t="shared" si="89"/>
        <v>7.785888077858881E-2</v>
      </c>
      <c r="O166" s="22">
        <f>IF(ISNUMBER(M166), $B172 * N166, "")</f>
        <v>11678.832116788322</v>
      </c>
      <c r="Q166" s="202"/>
      <c r="R166" s="202"/>
      <c r="S166" s="202"/>
    </row>
    <row r="167" spans="1:19" ht="17.25" thickBot="1">
      <c r="A167" s="125" t="s">
        <v>150</v>
      </c>
      <c r="B167" s="129">
        <v>109</v>
      </c>
      <c r="C167" s="80">
        <v>3.8095238099999998E-2</v>
      </c>
      <c r="D167" s="106">
        <v>109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111</v>
      </c>
      <c r="H167" s="107">
        <f>IF(ISNUMBER(G167), (G167 - $B167) / $B167, "")</f>
        <v>1.834862385321101E-2</v>
      </c>
      <c r="I167" s="110">
        <f>IF(ISNUMBER(G167), $B172 * H167, "")</f>
        <v>2752.2935779816517</v>
      </c>
      <c r="J167" s="106">
        <v>114</v>
      </c>
      <c r="K167" s="107">
        <f>IF(ISNUMBER(J167), (J167 - $B167) / $B167, "")</f>
        <v>4.5871559633027525E-2</v>
      </c>
      <c r="L167" s="108">
        <f>IF(ISNUMBER(J167), $B172 * K167, "")</f>
        <v>6880.7339449541287</v>
      </c>
      <c r="M167" s="109">
        <v>113</v>
      </c>
      <c r="N167" s="107">
        <f>IF(ISNUMBER(M167), (M167 - $B167) / $B167, "")</f>
        <v>3.669724770642202E-2</v>
      </c>
      <c r="O167" s="108">
        <f>IF(ISNUMBER(M167), $B172 * N167, "")</f>
        <v>5504.5871559633033</v>
      </c>
      <c r="Q167" s="192"/>
      <c r="R167" s="192"/>
      <c r="S167" s="192"/>
    </row>
    <row r="168" spans="1:19" ht="17.25" thickBot="1">
      <c r="A168" s="125" t="s">
        <v>51</v>
      </c>
      <c r="B168" s="126">
        <v>339</v>
      </c>
      <c r="C168" s="77">
        <v>3.03951368E-2</v>
      </c>
      <c r="D168" s="15">
        <v>339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347</v>
      </c>
      <c r="H168" s="32">
        <f t="shared" ref="H168:H171" si="91">IF(ISNUMBER(G168), (G168 - $B168) / $B168, "")</f>
        <v>2.359882005899705E-2</v>
      </c>
      <c r="I168" s="101">
        <f>IF(ISNUMBER(G168), $B172 * H168, "")</f>
        <v>3539.8230088495575</v>
      </c>
      <c r="J168" s="15">
        <v>356</v>
      </c>
      <c r="K168" s="32">
        <f t="shared" ref="K168:K171" si="92">IF(ISNUMBER(J168), (J168 - $B168) / $B168, "")</f>
        <v>5.0147492625368731E-2</v>
      </c>
      <c r="L168" s="18">
        <f>IF(ISNUMBER(J168), $B172 * K168, "")</f>
        <v>7522.1238938053093</v>
      </c>
      <c r="M168" s="31">
        <v>356</v>
      </c>
      <c r="N168" s="32">
        <f t="shared" ref="N168:N171" si="93">IF(ISNUMBER(M168), (M168 - $B168) / $B168, "")</f>
        <v>5.0147492625368731E-2</v>
      </c>
      <c r="O168" s="18">
        <f>IF(ISNUMBER(M168), $B172 * N168, "")</f>
        <v>7522.1238938053093</v>
      </c>
      <c r="Q168" s="192"/>
      <c r="R168" s="192"/>
      <c r="S168" s="192"/>
    </row>
    <row r="169" spans="1:19" ht="17.25" thickBot="1">
      <c r="A169" s="125" t="s">
        <v>130</v>
      </c>
      <c r="B169" s="126">
        <v>104</v>
      </c>
      <c r="C169" s="77">
        <v>2.9702970299999999E-2</v>
      </c>
      <c r="D169" s="15">
        <v>105</v>
      </c>
      <c r="E169" s="32">
        <f t="shared" si="90"/>
        <v>9.6153846153846159E-3</v>
      </c>
      <c r="F169" s="18">
        <f>IF(ISNUMBER(D169), $B172 * E169, "")</f>
        <v>1442.3076923076924</v>
      </c>
      <c r="G169" s="31">
        <v>108</v>
      </c>
      <c r="H169" s="32">
        <f t="shared" si="91"/>
        <v>3.8461538461538464E-2</v>
      </c>
      <c r="I169" s="101">
        <f>IF(ISNUMBER(G169), $B172 * H169, "")</f>
        <v>5769.2307692307695</v>
      </c>
      <c r="J169" s="15">
        <v>114</v>
      </c>
      <c r="K169" s="32">
        <f t="shared" si="92"/>
        <v>9.6153846153846159E-2</v>
      </c>
      <c r="L169" s="18">
        <f>IF(ISNUMBER(J169), $B172 * K169, "")</f>
        <v>14423.076923076924</v>
      </c>
      <c r="M169" s="31">
        <v>113</v>
      </c>
      <c r="N169" s="32">
        <f t="shared" si="93"/>
        <v>8.6538461538461536E-2</v>
      </c>
      <c r="O169" s="18">
        <f>IF(ISNUMBER(M169), $B172 * N169, "")</f>
        <v>12980.76923076923</v>
      </c>
      <c r="Q169" s="192"/>
      <c r="R169" s="192"/>
      <c r="S169" s="192"/>
    </row>
    <row r="170" spans="1:19">
      <c r="A170" s="125" t="s">
        <v>136</v>
      </c>
      <c r="B170" s="126">
        <v>318</v>
      </c>
      <c r="C170" s="77">
        <v>2.5806451599999999E-2</v>
      </c>
      <c r="D170" s="15">
        <v>321</v>
      </c>
      <c r="E170" s="32">
        <f t="shared" si="90"/>
        <v>9.433962264150943E-3</v>
      </c>
      <c r="F170" s="18">
        <f>IF(ISNUMBER(D170), $B172 * E170, "")</f>
        <v>1415.0943396226414</v>
      </c>
      <c r="G170" s="31">
        <v>325</v>
      </c>
      <c r="H170" s="32">
        <f t="shared" si="91"/>
        <v>2.20125786163522E-2</v>
      </c>
      <c r="I170" s="101">
        <f>IF(ISNUMBER(G170), $B172 * H170, "")</f>
        <v>3301.8867924528299</v>
      </c>
      <c r="J170" s="15">
        <v>339</v>
      </c>
      <c r="K170" s="32">
        <f t="shared" si="92"/>
        <v>6.6037735849056603E-2</v>
      </c>
      <c r="L170" s="18">
        <f>IF(ISNUMBER(J170), $B172 * K170, "")</f>
        <v>9905.6603773584902</v>
      </c>
      <c r="M170" s="31">
        <v>333</v>
      </c>
      <c r="N170" s="32">
        <f t="shared" si="93"/>
        <v>4.716981132075472E-2</v>
      </c>
      <c r="O170" s="18">
        <f>IF(ISNUMBER(M170), $B172 * N170, "")</f>
        <v>7075.4716981132078</v>
      </c>
      <c r="Q170" s="181"/>
      <c r="R170" s="182"/>
      <c r="S170" s="183"/>
    </row>
    <row r="171" spans="1:19" ht="17.25" thickBot="1">
      <c r="A171" s="130" t="s">
        <v>264</v>
      </c>
      <c r="B171" s="131">
        <v>246</v>
      </c>
      <c r="C171" s="79">
        <v>1.6528925600000001E-2</v>
      </c>
      <c r="D171" s="24">
        <v>248</v>
      </c>
      <c r="E171" s="25">
        <f t="shared" si="90"/>
        <v>8.130081300813009E-3</v>
      </c>
      <c r="F171" s="104">
        <f>IF(ISNUMBER(D171), $B172 * E171, "")</f>
        <v>1219.5121951219514</v>
      </c>
      <c r="G171" s="102">
        <v>252</v>
      </c>
      <c r="H171" s="25">
        <f t="shared" si="91"/>
        <v>2.4390243902439025E-2</v>
      </c>
      <c r="I171" s="103">
        <f>IF(ISNUMBER(G171), $B172 * H171, "")</f>
        <v>3658.5365853658536</v>
      </c>
      <c r="J171" s="24">
        <v>260</v>
      </c>
      <c r="K171" s="25">
        <f t="shared" si="92"/>
        <v>5.6910569105691054E-2</v>
      </c>
      <c r="L171" s="104">
        <f>IF(ISNUMBER(J171), $B172 * K171, "")</f>
        <v>8536.585365853658</v>
      </c>
      <c r="M171" s="102">
        <v>259</v>
      </c>
      <c r="N171" s="25">
        <f t="shared" si="93"/>
        <v>5.2845528455284556E-2</v>
      </c>
      <c r="O171" s="104">
        <f>IF(ISNUMBER(M171), $B172 * N171, "")</f>
        <v>7926.8292682926831</v>
      </c>
      <c r="Q171" s="184"/>
      <c r="R171" s="185"/>
      <c r="S171" s="186"/>
    </row>
    <row r="172" spans="1:19" ht="17.25" thickBot="1">
      <c r="A172" s="132" t="s">
        <v>268</v>
      </c>
      <c r="B172" s="245">
        <f>$B$37</f>
        <v>150000</v>
      </c>
      <c r="C172" s="246"/>
      <c r="D172" s="26" t="s">
        <v>269</v>
      </c>
      <c r="E172" s="27">
        <f>IF(COUNT(E152:E171), SUM(E152:E171) / COUNT(E152:E171), 0)</f>
        <v>3.1494802293188441E-2</v>
      </c>
      <c r="F172" s="28">
        <f>SUM(F152:F171)</f>
        <v>94484.4068795653</v>
      </c>
      <c r="G172" s="26" t="s">
        <v>269</v>
      </c>
      <c r="H172" s="27">
        <f>IF(COUNT(H152:H171), SUM(H152:H171) / COUNT(H152:H171), 0)</f>
        <v>5.1707012106517999E-2</v>
      </c>
      <c r="I172" s="28">
        <f>SUM(I152:I171)</f>
        <v>155121.03631955403</v>
      </c>
      <c r="J172" s="26" t="s">
        <v>269</v>
      </c>
      <c r="K172" s="27">
        <f>IF(COUNT(K152:K171), SUM(K152:K171) / COUNT(K152:K171), 0)</f>
        <v>8.1377778448771088E-2</v>
      </c>
      <c r="L172" s="28">
        <f>SUM(L152:L171)</f>
        <v>244133.33534631325</v>
      </c>
      <c r="M172" s="26" t="s">
        <v>269</v>
      </c>
      <c r="N172" s="27">
        <f>IF(COUNT(N152:N171), SUM(N152:N171) / COUNT(N152:N171), 0)</f>
        <v>7.4930654562417473E-2</v>
      </c>
      <c r="O172" s="28">
        <f>SUM(O152:O171)</f>
        <v>224791.9636872524</v>
      </c>
      <c r="Q172" s="187"/>
      <c r="R172" s="188"/>
      <c r="S172" s="189"/>
    </row>
    <row r="174" spans="1:19" ht="17.25" thickBot="1"/>
    <row r="175" spans="1:19" ht="17.25" thickBot="1">
      <c r="A175" s="203" t="s">
        <v>253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57" t="s">
        <v>265</v>
      </c>
      <c r="B176" s="203" t="s">
        <v>49</v>
      </c>
      <c r="C176" s="205"/>
      <c r="D176" s="203" t="s">
        <v>58</v>
      </c>
      <c r="E176" s="204"/>
      <c r="F176" s="205"/>
      <c r="G176" s="206">
        <f>_xlfn.IFNA(VLOOKUP(B176, 현재가테이블!$B$2:$D$200, 2, FALSE), "-")</f>
        <v>62630000</v>
      </c>
      <c r="H176" s="207"/>
      <c r="I176" s="208"/>
      <c r="J176" s="203" t="s">
        <v>59</v>
      </c>
      <c r="K176" s="204"/>
      <c r="L176" s="205"/>
      <c r="M176" s="209">
        <f>_xlfn.IFNA(VLOOKUP(B176, 현재가테이블!$B$2:$D$200, 3, FALSE), "-")</f>
        <v>1.5632601400000001E-2</v>
      </c>
      <c r="N176" s="210"/>
      <c r="O176" s="211"/>
      <c r="Q176" s="202"/>
      <c r="R176" s="202"/>
      <c r="S176" s="202"/>
    </row>
    <row r="177" spans="1:19" ht="17.25" thickBot="1">
      <c r="A177" s="247" t="s">
        <v>55</v>
      </c>
      <c r="B177" s="243" t="str">
        <f>TEXT($G$1, "[$-ko-KR]yyyy-mm-dd(ddd) ") &amp; "오전 00:00"</f>
        <v>2021-10-01(금) 오전 00:00</v>
      </c>
      <c r="C177" s="244"/>
      <c r="D177" s="216" t="str">
        <f>TEXT($G$1, "[$-ko-KR]yyyy-mm-dd(ddd) ") &amp; "오후 14:00"</f>
        <v>2021-10-01(금) 오후 14:00</v>
      </c>
      <c r="E177" s="217"/>
      <c r="F177" s="218"/>
      <c r="G177" s="216" t="str">
        <f>TEXT($G$1, "[$-ko-KR]yyyy-mm-dd(ddd) ") &amp; "오후 19:00"</f>
        <v>2021-10-01(금) 오후 19:00</v>
      </c>
      <c r="H177" s="217"/>
      <c r="I177" s="218"/>
      <c r="J177" s="216" t="str">
        <f>TEXT($G$1, "[$-ko-KR]yyyy-mm-dd(ddd) ") &amp; "오후 21:00"</f>
        <v>2021-10-01(금) 오후 21:00</v>
      </c>
      <c r="K177" s="217"/>
      <c r="L177" s="218"/>
      <c r="M177" s="216" t="str">
        <f>TEXT($G$1+1, "[$-ko-KR]yyyy-mm-dd(ddd) ") &amp; "오전 00:00"</f>
        <v>2021-10-02(토) 오전 00:00</v>
      </c>
      <c r="N177" s="217"/>
      <c r="O177" s="218"/>
      <c r="Q177" s="202"/>
      <c r="R177" s="202"/>
      <c r="S177" s="202"/>
    </row>
    <row r="178" spans="1:19" ht="17.25" thickBot="1">
      <c r="A178" s="24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58" t="s">
        <v>58</v>
      </c>
      <c r="H178" s="159" t="s">
        <v>266</v>
      </c>
      <c r="I178" s="16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192"/>
      <c r="R178" s="192"/>
      <c r="S178" s="192"/>
    </row>
    <row r="179" spans="1:19" ht="17.25" thickBot="1">
      <c r="A179" s="123" t="s">
        <v>196</v>
      </c>
      <c r="B179" s="124">
        <v>19210</v>
      </c>
      <c r="C179" s="76">
        <v>3.5579514800000003E-2</v>
      </c>
      <c r="D179" s="13">
        <v>19410</v>
      </c>
      <c r="E179" s="14">
        <f>IF(ISNUMBER(D179), (D179 - $B179) / $B179, "")</f>
        <v>1.0411244143675169E-2</v>
      </c>
      <c r="F179" s="16">
        <f>IF(ISNUMBER(D179), $B199 * E179, "")</f>
        <v>1561.6866215512753</v>
      </c>
      <c r="G179" s="29">
        <v>19960</v>
      </c>
      <c r="H179" s="14">
        <f>IF(ISNUMBER(G179), (G179 - $B179) / $B179, "")</f>
        <v>3.9042165538781884E-2</v>
      </c>
      <c r="I179" s="100">
        <f>IF(ISNUMBER(G179), $B199 * H179, "")</f>
        <v>5856.3248308172824</v>
      </c>
      <c r="J179" s="13">
        <v>20650</v>
      </c>
      <c r="K179" s="14">
        <f>IF(ISNUMBER(J179), (J179 - $B179) / $B179, "")</f>
        <v>7.4960957834461217E-2</v>
      </c>
      <c r="L179" s="16">
        <f>IF(ISNUMBER(J179), $B199 * K179, "")</f>
        <v>11244.143675169182</v>
      </c>
      <c r="M179" s="29">
        <v>21020</v>
      </c>
      <c r="N179" s="14">
        <f>IF(ISNUMBER(M179), (M179 - $B179) / $B179, "")</f>
        <v>9.422175950026028E-2</v>
      </c>
      <c r="O179" s="16">
        <f>IF(ISNUMBER(M179), $B199 * N179, "")</f>
        <v>14133.263925039042</v>
      </c>
      <c r="Q179" s="202"/>
      <c r="R179" s="202"/>
      <c r="S179" s="202"/>
    </row>
    <row r="180" spans="1:19" ht="17.25" thickBot="1">
      <c r="A180" s="125" t="s">
        <v>76</v>
      </c>
      <c r="B180" s="126">
        <v>28970</v>
      </c>
      <c r="C180" s="77">
        <v>3.5382416E-2</v>
      </c>
      <c r="D180" s="15">
        <v>29230</v>
      </c>
      <c r="E180" s="32">
        <f t="shared" ref="E180:E183" si="94">IF(ISNUMBER(D180), (D180 - $B180) / $B180, "")</f>
        <v>8.9748015188125651E-3</v>
      </c>
      <c r="F180" s="18">
        <f>IF(ISNUMBER(D180), $B199 * E180, "")</f>
        <v>1346.2202278218847</v>
      </c>
      <c r="G180" s="31">
        <v>30240</v>
      </c>
      <c r="H180" s="32">
        <f t="shared" ref="H180:H183" si="95">IF(ISNUMBER(G180), (G180 - $B180) / $B180, "")</f>
        <v>4.3838453572661376E-2</v>
      </c>
      <c r="I180" s="101">
        <f>IF(ISNUMBER(G180), $B199 * H180, "")</f>
        <v>6575.7680358992066</v>
      </c>
      <c r="J180" s="15">
        <v>31370</v>
      </c>
      <c r="K180" s="32">
        <f t="shared" ref="K180:K183" si="96">IF(ISNUMBER(J180), (J180 - $B180) / $B180, "")</f>
        <v>8.2844321712115976E-2</v>
      </c>
      <c r="L180" s="18">
        <f>IF(ISNUMBER(J180), $B199 * K180, "")</f>
        <v>12426.648256817396</v>
      </c>
      <c r="M180" s="31">
        <v>31450</v>
      </c>
      <c r="N180" s="32">
        <f t="shared" ref="N180:N183" si="97">IF(ISNUMBER(M180), (M180 - $B180) / $B180, "")</f>
        <v>8.560579910251985E-2</v>
      </c>
      <c r="O180" s="18">
        <f>IF(ISNUMBER(M180), $B199 * N180, "")</f>
        <v>12840.869865377977</v>
      </c>
      <c r="Q180" s="202"/>
      <c r="R180" s="202"/>
      <c r="S180" s="202"/>
    </row>
    <row r="181" spans="1:19" ht="17.25" thickBot="1">
      <c r="A181" s="125" t="s">
        <v>84</v>
      </c>
      <c r="B181" s="126">
        <v>4725</v>
      </c>
      <c r="C181" s="77">
        <v>3.1659388599999998E-2</v>
      </c>
      <c r="D181" s="15">
        <v>4835</v>
      </c>
      <c r="E181" s="32">
        <f t="shared" si="94"/>
        <v>2.328042328042328E-2</v>
      </c>
      <c r="F181" s="18">
        <f>IF(ISNUMBER(D181), $B199 * E181, "")</f>
        <v>3492.063492063492</v>
      </c>
      <c r="G181" s="31">
        <v>4970</v>
      </c>
      <c r="H181" s="32">
        <f t="shared" si="95"/>
        <v>5.185185185185185E-2</v>
      </c>
      <c r="I181" s="101">
        <f>IF(ISNUMBER(G181), $B199 * H181, "")</f>
        <v>7777.7777777777774</v>
      </c>
      <c r="J181" s="15">
        <v>5095</v>
      </c>
      <c r="K181" s="32">
        <f t="shared" si="96"/>
        <v>7.8306878306878311E-2</v>
      </c>
      <c r="L181" s="18">
        <f>IF(ISNUMBER(J181), $B199 * K181, "")</f>
        <v>11746.031746031747</v>
      </c>
      <c r="M181" s="31">
        <v>5060</v>
      </c>
      <c r="N181" s="32">
        <f t="shared" si="97"/>
        <v>7.0899470899470893E-2</v>
      </c>
      <c r="O181" s="18">
        <f>IF(ISNUMBER(M181), $B199 * N181, "")</f>
        <v>10634.920634920634</v>
      </c>
      <c r="Q181" s="192"/>
      <c r="R181" s="192"/>
      <c r="S181" s="192"/>
    </row>
    <row r="182" spans="1:19" ht="17.25" thickBot="1">
      <c r="A182" s="125" t="s">
        <v>51</v>
      </c>
      <c r="B182" s="126">
        <v>339</v>
      </c>
      <c r="C182" s="77">
        <v>3.03951368E-2</v>
      </c>
      <c r="D182" s="15">
        <v>339</v>
      </c>
      <c r="E182" s="32">
        <f t="shared" si="94"/>
        <v>0</v>
      </c>
      <c r="F182" s="18">
        <f>IF(ISNUMBER(D182), $B199 * E182, "")</f>
        <v>0</v>
      </c>
      <c r="G182" s="31">
        <v>347</v>
      </c>
      <c r="H182" s="32">
        <f t="shared" si="95"/>
        <v>2.359882005899705E-2</v>
      </c>
      <c r="I182" s="101">
        <f>IF(ISNUMBER(G182), $B199 * H182, "")</f>
        <v>3539.8230088495575</v>
      </c>
      <c r="J182" s="15">
        <v>356</v>
      </c>
      <c r="K182" s="32">
        <f t="shared" si="96"/>
        <v>5.0147492625368731E-2</v>
      </c>
      <c r="L182" s="18">
        <f>IF(ISNUMBER(J182), $B199 * K182, "")</f>
        <v>7522.1238938053093</v>
      </c>
      <c r="M182" s="31">
        <v>356</v>
      </c>
      <c r="N182" s="32">
        <f t="shared" si="97"/>
        <v>5.0147492625368731E-2</v>
      </c>
      <c r="O182" s="18">
        <f>IF(ISNUMBER(M182), $B199 * N182, "")</f>
        <v>7522.1238938053093</v>
      </c>
      <c r="Q182" s="192"/>
      <c r="R182" s="192"/>
      <c r="S182" s="192"/>
    </row>
    <row r="183" spans="1:19" ht="17.25" thickBot="1">
      <c r="A183" s="127" t="s">
        <v>130</v>
      </c>
      <c r="B183" s="128">
        <v>104</v>
      </c>
      <c r="C183" s="78">
        <v>2.9702970299999999E-2</v>
      </c>
      <c r="D183" s="20">
        <v>105</v>
      </c>
      <c r="E183" s="21">
        <f t="shared" si="94"/>
        <v>9.6153846153846159E-3</v>
      </c>
      <c r="F183" s="22">
        <f>IF(ISNUMBER(D183), $B199 * E183, "")</f>
        <v>1442.3076923076924</v>
      </c>
      <c r="G183" s="30">
        <v>108</v>
      </c>
      <c r="H183" s="21">
        <f t="shared" si="95"/>
        <v>3.8461538461538464E-2</v>
      </c>
      <c r="I183" s="105">
        <f>IF(ISNUMBER(G183), $B199 * H183, "")</f>
        <v>5769.2307692307695</v>
      </c>
      <c r="J183" s="20">
        <v>114</v>
      </c>
      <c r="K183" s="21">
        <f t="shared" si="96"/>
        <v>9.6153846153846159E-2</v>
      </c>
      <c r="L183" s="22">
        <f>IF(ISNUMBER(J183), $B199 * K183, "")</f>
        <v>14423.076923076924</v>
      </c>
      <c r="M183" s="30">
        <v>113</v>
      </c>
      <c r="N183" s="21">
        <f t="shared" si="97"/>
        <v>8.6538461538461536E-2</v>
      </c>
      <c r="O183" s="22">
        <f>IF(ISNUMBER(M183), $B199 * N183, "")</f>
        <v>12980.76923076923</v>
      </c>
      <c r="Q183" s="192"/>
      <c r="R183" s="192"/>
      <c r="S183" s="192"/>
    </row>
    <row r="184" spans="1:19" ht="17.25" thickBot="1">
      <c r="A184" s="125" t="s">
        <v>88</v>
      </c>
      <c r="B184" s="129">
        <v>221050</v>
      </c>
      <c r="C184" s="80">
        <v>2.7184014900000001E-2</v>
      </c>
      <c r="D184" s="106">
        <v>221000</v>
      </c>
      <c r="E184" s="107">
        <f>IF(ISNUMBER(D184), (D184 - $B184) / $B184, "")</f>
        <v>-2.2619316896629722E-4</v>
      </c>
      <c r="F184" s="108">
        <f>IF(ISNUMBER(D184), $B199 * E184, "")</f>
        <v>-33.928975344944583</v>
      </c>
      <c r="G184" s="109">
        <v>224800</v>
      </c>
      <c r="H184" s="107">
        <f>IF(ISNUMBER(G184), (G184 - $B184) / $B184, "")</f>
        <v>1.696448767247229E-2</v>
      </c>
      <c r="I184" s="110">
        <f>IF(ISNUMBER(G184), $B199 * H184, "")</f>
        <v>2544.6731508708435</v>
      </c>
      <c r="J184" s="106">
        <v>232500</v>
      </c>
      <c r="K184" s="107">
        <f>IF(ISNUMBER(J184), (J184 - $B184) / $B184, "")</f>
        <v>5.1798235693282062E-2</v>
      </c>
      <c r="L184" s="108">
        <f>IF(ISNUMBER(J184), $B199 * K184, "")</f>
        <v>7769.7353539923097</v>
      </c>
      <c r="M184" s="109">
        <v>230550</v>
      </c>
      <c r="N184" s="107">
        <f>IF(ISNUMBER(M184), (M184 - $B184) / $B184, "")</f>
        <v>4.297670210359647E-2</v>
      </c>
      <c r="O184" s="108">
        <f>IF(ISNUMBER(M184), $B199 * N184, "")</f>
        <v>6446.5053155394708</v>
      </c>
      <c r="Q184" s="192"/>
      <c r="R184" s="192"/>
      <c r="S184" s="192"/>
    </row>
    <row r="185" spans="1:19" ht="17.25" thickBot="1">
      <c r="A185" s="125" t="s">
        <v>92</v>
      </c>
      <c r="B185" s="126">
        <v>61890</v>
      </c>
      <c r="C185" s="77">
        <v>2.6027851500000001E-2</v>
      </c>
      <c r="D185" s="15">
        <v>63260</v>
      </c>
      <c r="E185" s="32">
        <f t="shared" ref="E185:E188" si="98">IF(ISNUMBER(D185), (D185 - $B185) / $B185, "")</f>
        <v>2.2136047826789466E-2</v>
      </c>
      <c r="F185" s="18">
        <f>IF(ISNUMBER(D185), $B199 * E185, "")</f>
        <v>3320.4071740184199</v>
      </c>
      <c r="G185" s="31">
        <v>64610</v>
      </c>
      <c r="H185" s="32">
        <f t="shared" ref="H185:H188" si="99">IF(ISNUMBER(G185), (G185 - $B185) / $B185, "")</f>
        <v>4.3948941670706093E-2</v>
      </c>
      <c r="I185" s="101">
        <f>IF(ISNUMBER(G185), $B199 * H185, "")</f>
        <v>6592.341250605914</v>
      </c>
      <c r="J185" s="15">
        <v>67210</v>
      </c>
      <c r="K185" s="32">
        <f t="shared" ref="K185:K188" si="100">IF(ISNUMBER(J185), (J185 - $B185) / $B185, "")</f>
        <v>8.5958959444175143E-2</v>
      </c>
      <c r="L185" s="18">
        <f>IF(ISNUMBER(J185), $B199 * K185, "")</f>
        <v>12893.843916626271</v>
      </c>
      <c r="M185" s="31">
        <v>66610</v>
      </c>
      <c r="N185" s="32">
        <f t="shared" ref="N185:N188" si="101">IF(ISNUMBER(M185), (M185 - $B185) / $B185, "")</f>
        <v>7.6264339957989979E-2</v>
      </c>
      <c r="O185" s="18">
        <f>IF(ISNUMBER(M185), $B199 * N185, "")</f>
        <v>11439.650993698497</v>
      </c>
      <c r="Q185" s="192"/>
      <c r="R185" s="192"/>
      <c r="S185" s="192"/>
    </row>
    <row r="186" spans="1:19" ht="17.25" thickBot="1">
      <c r="A186" s="125" t="s">
        <v>136</v>
      </c>
      <c r="B186" s="126">
        <v>318</v>
      </c>
      <c r="C186" s="77">
        <v>2.5806451599999999E-2</v>
      </c>
      <c r="D186" s="15">
        <v>321</v>
      </c>
      <c r="E186" s="32">
        <f t="shared" si="98"/>
        <v>9.433962264150943E-3</v>
      </c>
      <c r="F186" s="18">
        <f>IF(ISNUMBER(D186), $B199 * E186, "")</f>
        <v>1415.0943396226414</v>
      </c>
      <c r="G186" s="31">
        <v>325</v>
      </c>
      <c r="H186" s="32">
        <f t="shared" si="99"/>
        <v>2.20125786163522E-2</v>
      </c>
      <c r="I186" s="101">
        <f>IF(ISNUMBER(G186), $B199 * H186, "")</f>
        <v>3301.8867924528299</v>
      </c>
      <c r="J186" s="15">
        <v>339</v>
      </c>
      <c r="K186" s="32">
        <f t="shared" si="100"/>
        <v>6.6037735849056603E-2</v>
      </c>
      <c r="L186" s="18">
        <f>IF(ISNUMBER(J186), $B199 * K186, "")</f>
        <v>9905.6603773584902</v>
      </c>
      <c r="M186" s="31">
        <v>333</v>
      </c>
      <c r="N186" s="32">
        <f t="shared" si="101"/>
        <v>4.716981132075472E-2</v>
      </c>
      <c r="O186" s="18">
        <f>IF(ISNUMBER(M186), $B199 * N186, "")</f>
        <v>7075.4716981132078</v>
      </c>
      <c r="Q186" s="192"/>
      <c r="R186" s="192"/>
      <c r="S186" s="192"/>
    </row>
    <row r="187" spans="1:19" ht="17.25" thickBot="1">
      <c r="A187" s="125" t="s">
        <v>96</v>
      </c>
      <c r="B187" s="126">
        <v>7085</v>
      </c>
      <c r="C187" s="77">
        <v>2.5325615100000001E-2</v>
      </c>
      <c r="D187" s="15">
        <v>8035</v>
      </c>
      <c r="E187" s="32">
        <f t="shared" si="98"/>
        <v>0.13408609738884969</v>
      </c>
      <c r="F187" s="18">
        <f>IF(ISNUMBER(D187), $B199 * E187, "")</f>
        <v>20112.914608327454</v>
      </c>
      <c r="G187" s="31">
        <v>8035</v>
      </c>
      <c r="H187" s="32">
        <f t="shared" si="99"/>
        <v>0.13408609738884969</v>
      </c>
      <c r="I187" s="101">
        <f>IF(ISNUMBER(G187), $B199 * H187, "")</f>
        <v>20112.914608327454</v>
      </c>
      <c r="J187" s="15">
        <v>8060</v>
      </c>
      <c r="K187" s="32">
        <f t="shared" si="100"/>
        <v>0.13761467889908258</v>
      </c>
      <c r="L187" s="18">
        <f>IF(ISNUMBER(J187), $B199 * K187, "")</f>
        <v>20642.201834862386</v>
      </c>
      <c r="M187" s="31">
        <v>7930</v>
      </c>
      <c r="N187" s="32">
        <f t="shared" si="101"/>
        <v>0.11926605504587157</v>
      </c>
      <c r="O187" s="18">
        <f>IF(ISNUMBER(M187), $B199 * N187, "")</f>
        <v>17889.908256880735</v>
      </c>
      <c r="Q187" s="33"/>
      <c r="R187" s="33"/>
    </row>
    <row r="188" spans="1:19" ht="17.25" thickBot="1">
      <c r="A188" s="130" t="s">
        <v>156</v>
      </c>
      <c r="B188" s="131">
        <v>29070</v>
      </c>
      <c r="C188" s="79">
        <v>2.4312896399999999E-2</v>
      </c>
      <c r="D188" s="24">
        <v>29600</v>
      </c>
      <c r="E188" s="25">
        <f t="shared" si="98"/>
        <v>1.8231854145166839E-2</v>
      </c>
      <c r="F188" s="104">
        <f>IF(ISNUMBER(D188), $B199 * E188, "")</f>
        <v>2734.7781217750257</v>
      </c>
      <c r="G188" s="102">
        <v>30130</v>
      </c>
      <c r="H188" s="25">
        <f t="shared" si="99"/>
        <v>3.6463708290333678E-2</v>
      </c>
      <c r="I188" s="103">
        <f>IF(ISNUMBER(G188), $B199 * H188, "")</f>
        <v>5469.5562435500515</v>
      </c>
      <c r="J188" s="24">
        <v>31010</v>
      </c>
      <c r="K188" s="25">
        <f t="shared" si="100"/>
        <v>6.6735466116271069E-2</v>
      </c>
      <c r="L188" s="104">
        <f>IF(ISNUMBER(J188), $B199 * K188, "")</f>
        <v>10010.31991744066</v>
      </c>
      <c r="M188" s="102">
        <v>30930</v>
      </c>
      <c r="N188" s="25">
        <f t="shared" si="101"/>
        <v>6.3983488132094937E-2</v>
      </c>
      <c r="O188" s="104">
        <f>IF(ISNUMBER(M188), $B199 * N188, "")</f>
        <v>9597.5232198142403</v>
      </c>
      <c r="Q188" s="193"/>
      <c r="R188" s="194"/>
      <c r="S188" s="195"/>
    </row>
    <row r="189" spans="1:19">
      <c r="A189" s="123" t="s">
        <v>328</v>
      </c>
      <c r="B189" s="124">
        <v>0.29499999999999998</v>
      </c>
      <c r="C189" s="76">
        <v>2.4305555600000001E-2</v>
      </c>
      <c r="D189" s="13">
        <v>0.29799999999999999</v>
      </c>
      <c r="E189" s="14">
        <f>IF(ISNUMBER(D189), (D189 - $B189) / $B189, "")</f>
        <v>1.0169491525423738E-2</v>
      </c>
      <c r="F189" s="16">
        <f>IF(ISNUMBER(D189), $B199 * E189, "")</f>
        <v>1525.4237288135607</v>
      </c>
      <c r="G189" s="29">
        <v>0.3</v>
      </c>
      <c r="H189" s="14">
        <f>IF(ISNUMBER(G189), (G189 - $B189) / $B189, "")</f>
        <v>1.6949152542372899E-2</v>
      </c>
      <c r="I189" s="100">
        <f>IF(ISNUMBER(G189), $B199 * H189, "")</f>
        <v>2542.3728813559346</v>
      </c>
      <c r="J189" s="13">
        <v>0.30099999999999999</v>
      </c>
      <c r="K189" s="14">
        <f>IF(ISNUMBER(J189), (J189 - $B189) / $B189, "")</f>
        <v>2.0338983050847477E-2</v>
      </c>
      <c r="L189" s="16">
        <f>IF(ISNUMBER(J189), $B199 * K189, "")</f>
        <v>3050.8474576271215</v>
      </c>
      <c r="M189" s="29">
        <v>0.29899999999999999</v>
      </c>
      <c r="N189" s="14">
        <f>IF(ISNUMBER(M189), (M189 - $B189) / $B189, "")</f>
        <v>1.3559322033898319E-2</v>
      </c>
      <c r="O189" s="16">
        <f>IF(ISNUMBER(M189), $B199 * N189, "")</f>
        <v>2033.8983050847478</v>
      </c>
      <c r="Q189" s="196"/>
      <c r="R189" s="197"/>
      <c r="S189" s="198"/>
    </row>
    <row r="190" spans="1:19" ht="17.25" thickBot="1">
      <c r="A190" s="125" t="s">
        <v>132</v>
      </c>
      <c r="B190" s="126">
        <v>34200</v>
      </c>
      <c r="C190" s="77">
        <v>2.39520958E-2</v>
      </c>
      <c r="D190" s="15">
        <v>35300</v>
      </c>
      <c r="E190" s="32">
        <f t="shared" ref="E190:E193" si="102">IF(ISNUMBER(D190), (D190 - $B190) / $B190, "")</f>
        <v>3.2163742690058478E-2</v>
      </c>
      <c r="F190" s="18">
        <f>IF(ISNUMBER(D190), $B199 * E190, "")</f>
        <v>4824.5614035087719</v>
      </c>
      <c r="G190" s="31">
        <v>36200</v>
      </c>
      <c r="H190" s="32">
        <f t="shared" ref="H190:H193" si="103">IF(ISNUMBER(G190), (G190 - $B190) / $B190, "")</f>
        <v>5.8479532163742687E-2</v>
      </c>
      <c r="I190" s="101">
        <f>IF(ISNUMBER(G190), $B199 * H190, "")</f>
        <v>8771.9298245614027</v>
      </c>
      <c r="J190" s="15">
        <v>37410</v>
      </c>
      <c r="K190" s="32">
        <f t="shared" ref="K190:K193" si="104">IF(ISNUMBER(J190), (J190 - $B190) / $B190, "")</f>
        <v>9.3859649122807018E-2</v>
      </c>
      <c r="L190" s="18">
        <f>IF(ISNUMBER(J190), $B199 * K190, "")</f>
        <v>14078.947368421053</v>
      </c>
      <c r="M190" s="31">
        <v>37210</v>
      </c>
      <c r="N190" s="32">
        <f t="shared" ref="N190:N193" si="105">IF(ISNUMBER(M190), (M190 - $B190) / $B190, "")</f>
        <v>8.8011695906432749E-2</v>
      </c>
      <c r="O190" s="18">
        <f>IF(ISNUMBER(M190), $B199 * N190, "")</f>
        <v>13201.754385964912</v>
      </c>
      <c r="Q190" s="199"/>
      <c r="R190" s="200"/>
      <c r="S190" s="201"/>
    </row>
    <row r="191" spans="1:19" ht="17.25" thickBot="1">
      <c r="A191" s="125" t="s">
        <v>69</v>
      </c>
      <c r="B191" s="126">
        <v>8765</v>
      </c>
      <c r="C191" s="77">
        <v>2.2157434399999999E-2</v>
      </c>
      <c r="D191" s="15">
        <v>9170</v>
      </c>
      <c r="E191" s="32">
        <f t="shared" si="102"/>
        <v>4.6206503137478608E-2</v>
      </c>
      <c r="F191" s="18">
        <f>IF(ISNUMBER(D191), $B199 * E191, "")</f>
        <v>6930.9754706217909</v>
      </c>
      <c r="G191" s="31">
        <v>9395</v>
      </c>
      <c r="H191" s="32">
        <f t="shared" si="103"/>
        <v>7.1876782658300054E-2</v>
      </c>
      <c r="I191" s="101">
        <f>IF(ISNUMBER(G191), $B199 * H191, "")</f>
        <v>10781.517398745009</v>
      </c>
      <c r="J191" s="15">
        <v>9580</v>
      </c>
      <c r="K191" s="32">
        <f t="shared" si="104"/>
        <v>9.2983456930975469E-2</v>
      </c>
      <c r="L191" s="18">
        <f>IF(ISNUMBER(J191), $B199 * K191, "")</f>
        <v>13947.51853964632</v>
      </c>
      <c r="M191" s="31">
        <v>9530</v>
      </c>
      <c r="N191" s="32">
        <f t="shared" si="105"/>
        <v>8.7278950370792932E-2</v>
      </c>
      <c r="O191" s="18">
        <f>IF(ISNUMBER(M191), $B199 * N191, "")</f>
        <v>13091.84255561894</v>
      </c>
      <c r="Q191" s="192"/>
      <c r="R191" s="192"/>
      <c r="S191" s="192"/>
    </row>
    <row r="192" spans="1:19" ht="17.25" thickBot="1">
      <c r="A192" s="125" t="s">
        <v>78</v>
      </c>
      <c r="B192" s="126">
        <v>606800</v>
      </c>
      <c r="C192" s="77">
        <v>2.2065016E-2</v>
      </c>
      <c r="D192" s="15">
        <v>617400</v>
      </c>
      <c r="E192" s="32">
        <f t="shared" si="102"/>
        <v>1.7468688200395519E-2</v>
      </c>
      <c r="F192" s="18">
        <f>IF(ISNUMBER(D192), $B199 * E192, "")</f>
        <v>2620.3032300593277</v>
      </c>
      <c r="G192" s="31">
        <v>627800</v>
      </c>
      <c r="H192" s="32">
        <f t="shared" si="103"/>
        <v>3.4607778510217534E-2</v>
      </c>
      <c r="I192" s="101">
        <f>IF(ISNUMBER(G192), $B199 * H192, "")</f>
        <v>5191.1667765326301</v>
      </c>
      <c r="J192" s="15">
        <v>648700</v>
      </c>
      <c r="K192" s="32">
        <f t="shared" si="104"/>
        <v>6.9050758075148322E-2</v>
      </c>
      <c r="L192" s="18">
        <f>IF(ISNUMBER(J192), $B199 * K192, "")</f>
        <v>10357.613711272248</v>
      </c>
      <c r="M192" s="31">
        <v>647500</v>
      </c>
      <c r="N192" s="32">
        <f t="shared" si="105"/>
        <v>6.7073170731707321E-2</v>
      </c>
      <c r="O192" s="18">
        <f>IF(ISNUMBER(M192), $B199 * N192, "")</f>
        <v>10060.975609756098</v>
      </c>
      <c r="Q192" s="202"/>
      <c r="R192" s="202"/>
      <c r="S192" s="202"/>
    </row>
    <row r="193" spans="1:19" ht="17.25" thickBot="1">
      <c r="A193" s="127" t="s">
        <v>100</v>
      </c>
      <c r="B193" s="128">
        <v>56790</v>
      </c>
      <c r="C193" s="78">
        <v>2.1219205200000001E-2</v>
      </c>
      <c r="D193" s="20">
        <v>57440</v>
      </c>
      <c r="E193" s="21">
        <f t="shared" si="102"/>
        <v>1.1445677055819687E-2</v>
      </c>
      <c r="F193" s="22">
        <f>IF(ISNUMBER(D193), $B199 * E193, "")</f>
        <v>1716.8515583729531</v>
      </c>
      <c r="G193" s="30">
        <v>59310</v>
      </c>
      <c r="H193" s="21">
        <f t="shared" si="103"/>
        <v>4.4374009508716325E-2</v>
      </c>
      <c r="I193" s="105">
        <f>IF(ISNUMBER(G193), $B199 * H193, "")</f>
        <v>6656.1014263074485</v>
      </c>
      <c r="J193" s="20">
        <v>62460</v>
      </c>
      <c r="K193" s="21">
        <f t="shared" si="104"/>
        <v>9.9841521394611721E-2</v>
      </c>
      <c r="L193" s="22">
        <f>IF(ISNUMBER(J193), $B199 * K193, "")</f>
        <v>14976.228209191759</v>
      </c>
      <c r="M193" s="30">
        <v>61590</v>
      </c>
      <c r="N193" s="21">
        <f t="shared" si="105"/>
        <v>8.4521922873745381E-2</v>
      </c>
      <c r="O193" s="22">
        <f>IF(ISNUMBER(M193), $B199 * N193, "")</f>
        <v>12678.288431061806</v>
      </c>
      <c r="Q193" s="202"/>
      <c r="R193" s="202"/>
      <c r="S193" s="202"/>
    </row>
    <row r="194" spans="1:19" ht="17.25" thickBot="1">
      <c r="A194" s="125" t="s">
        <v>264</v>
      </c>
      <c r="B194" s="129">
        <v>246</v>
      </c>
      <c r="C194" s="80">
        <v>1.6528925600000001E-2</v>
      </c>
      <c r="D194" s="106">
        <v>248</v>
      </c>
      <c r="E194" s="107">
        <f>IF(ISNUMBER(D194), (D194 - $B194) / $B194, "")</f>
        <v>8.130081300813009E-3</v>
      </c>
      <c r="F194" s="108">
        <f>IF(ISNUMBER(D194), $B199 * E194, "")</f>
        <v>1219.5121951219514</v>
      </c>
      <c r="G194" s="109">
        <v>252</v>
      </c>
      <c r="H194" s="107">
        <f>IF(ISNUMBER(G194), (G194 - $B194) / $B194, "")</f>
        <v>2.4390243902439025E-2</v>
      </c>
      <c r="I194" s="110">
        <f>IF(ISNUMBER(G194), $B199 * H194, "")</f>
        <v>3658.5365853658536</v>
      </c>
      <c r="J194" s="106">
        <v>260</v>
      </c>
      <c r="K194" s="107">
        <f>IF(ISNUMBER(J194), (J194 - $B194) / $B194, "")</f>
        <v>5.6910569105691054E-2</v>
      </c>
      <c r="L194" s="108">
        <f>IF(ISNUMBER(J194), $B199 * K194, "")</f>
        <v>8536.585365853658</v>
      </c>
      <c r="M194" s="109">
        <v>259</v>
      </c>
      <c r="N194" s="107">
        <f>IF(ISNUMBER(M194), (M194 - $B194) / $B194, "")</f>
        <v>5.2845528455284556E-2</v>
      </c>
      <c r="O194" s="108">
        <f>IF(ISNUMBER(M194), $B199 * N194, "")</f>
        <v>7926.8292682926831</v>
      </c>
      <c r="Q194" s="192"/>
      <c r="R194" s="192"/>
      <c r="S194" s="192"/>
    </row>
    <row r="195" spans="1:19" ht="17.25" thickBot="1">
      <c r="A195" s="125" t="s">
        <v>90</v>
      </c>
      <c r="B195" s="126">
        <v>1150</v>
      </c>
      <c r="C195" s="77">
        <v>1.3215859E-2</v>
      </c>
      <c r="D195" s="15">
        <v>1165</v>
      </c>
      <c r="E195" s="32">
        <f t="shared" ref="E195:E198" si="106">IF(ISNUMBER(D195), (D195 - $B195) / $B195, "")</f>
        <v>1.3043478260869565E-2</v>
      </c>
      <c r="F195" s="18">
        <f>IF(ISNUMBER(D195), $B199 * E195, "")</f>
        <v>1956.5217391304348</v>
      </c>
      <c r="G195" s="31">
        <v>1195</v>
      </c>
      <c r="H195" s="32">
        <f t="shared" ref="H195:H198" si="107">IF(ISNUMBER(G195), (G195 - $B195) / $B195, "")</f>
        <v>3.9130434782608699E-2</v>
      </c>
      <c r="I195" s="101">
        <f>IF(ISNUMBER(G195), $B199 * H195, "")</f>
        <v>5869.5652173913049</v>
      </c>
      <c r="J195" s="15">
        <v>1230</v>
      </c>
      <c r="K195" s="32">
        <f t="shared" ref="K195:K198" si="108">IF(ISNUMBER(J195), (J195 - $B195) / $B195, "")</f>
        <v>6.9565217391304349E-2</v>
      </c>
      <c r="L195" s="18">
        <f>IF(ISNUMBER(J195), $B199 * K195, "")</f>
        <v>10434.782608695652</v>
      </c>
      <c r="M195" s="31">
        <v>1235</v>
      </c>
      <c r="N195" s="32">
        <f t="shared" ref="N195:N198" si="109">IF(ISNUMBER(M195), (M195 - $B195) / $B195, "")</f>
        <v>7.3913043478260873E-2</v>
      </c>
      <c r="O195" s="18">
        <f>IF(ISNUMBER(M195), $B199 * N195, "")</f>
        <v>11086.956521739132</v>
      </c>
      <c r="Q195" s="192"/>
      <c r="R195" s="192"/>
      <c r="S195" s="192"/>
    </row>
    <row r="196" spans="1:19" ht="17.25" thickBot="1">
      <c r="A196" s="125" t="s">
        <v>82</v>
      </c>
      <c r="B196" s="126">
        <v>2550</v>
      </c>
      <c r="C196" s="77">
        <v>9.9009900999999997E-3</v>
      </c>
      <c r="D196" s="15">
        <v>2580</v>
      </c>
      <c r="E196" s="32">
        <f t="shared" si="106"/>
        <v>1.1764705882352941E-2</v>
      </c>
      <c r="F196" s="18">
        <f>IF(ISNUMBER(D196), $B199 * E196, "")</f>
        <v>1764.7058823529412</v>
      </c>
      <c r="G196" s="31">
        <v>2635</v>
      </c>
      <c r="H196" s="32">
        <f t="shared" si="107"/>
        <v>3.3333333333333333E-2</v>
      </c>
      <c r="I196" s="101">
        <f>IF(ISNUMBER(G196), $B199 * H196, "")</f>
        <v>5000</v>
      </c>
      <c r="J196" s="15">
        <v>2700</v>
      </c>
      <c r="K196" s="32">
        <f t="shared" si="108"/>
        <v>5.8823529411764705E-2</v>
      </c>
      <c r="L196" s="18">
        <f>IF(ISNUMBER(J196), $B199 * K196, "")</f>
        <v>8823.5294117647063</v>
      </c>
      <c r="M196" s="31">
        <v>2665</v>
      </c>
      <c r="N196" s="32">
        <f t="shared" si="109"/>
        <v>4.5098039215686274E-2</v>
      </c>
      <c r="O196" s="18">
        <f>IF(ISNUMBER(M196), $B199 * N196, "")</f>
        <v>6764.7058823529414</v>
      </c>
      <c r="Q196" s="192"/>
      <c r="R196" s="192"/>
      <c r="S196" s="192"/>
    </row>
    <row r="197" spans="1:19">
      <c r="A197" s="125" t="s">
        <v>65</v>
      </c>
      <c r="B197" s="126">
        <v>65.599999999999994</v>
      </c>
      <c r="C197" s="77">
        <v>1.5267175999999999E-3</v>
      </c>
      <c r="D197" s="15">
        <v>65.2</v>
      </c>
      <c r="E197" s="32">
        <f t="shared" si="106"/>
        <v>-6.0975609756096271E-3</v>
      </c>
      <c r="F197" s="18">
        <f>IF(ISNUMBER(D197), $B199 * E197, "")</f>
        <v>-914.63414634144408</v>
      </c>
      <c r="G197" s="31">
        <v>65.8</v>
      </c>
      <c r="H197" s="32">
        <f t="shared" si="107"/>
        <v>3.0487804878049215E-3</v>
      </c>
      <c r="I197" s="101">
        <f>IF(ISNUMBER(G197), $B199 * H197, "")</f>
        <v>457.31707317073824</v>
      </c>
      <c r="J197" s="15">
        <v>68.099999999999994</v>
      </c>
      <c r="K197" s="32">
        <f t="shared" si="108"/>
        <v>3.8109756097560982E-2</v>
      </c>
      <c r="L197" s="18">
        <f>IF(ISNUMBER(J197), $B199 * K197, "")</f>
        <v>5716.4634146341468</v>
      </c>
      <c r="M197" s="31">
        <v>67.3</v>
      </c>
      <c r="N197" s="32">
        <f t="shared" si="109"/>
        <v>2.5914634146341511E-2</v>
      </c>
      <c r="O197" s="18">
        <f>IF(ISNUMBER(M197), $B199 * N197, "")</f>
        <v>3887.1951219512266</v>
      </c>
      <c r="Q197" s="181"/>
      <c r="R197" s="182"/>
      <c r="S197" s="183"/>
    </row>
    <row r="198" spans="1:19" ht="17.25" thickBot="1">
      <c r="A198" s="130" t="s">
        <v>74</v>
      </c>
      <c r="B198" s="131">
        <v>41500</v>
      </c>
      <c r="C198" s="79">
        <v>-7.2236939999999997E-4</v>
      </c>
      <c r="D198" s="24">
        <v>43920</v>
      </c>
      <c r="E198" s="25">
        <f t="shared" si="106"/>
        <v>5.8313253012048191E-2</v>
      </c>
      <c r="F198" s="104">
        <f>IF(ISNUMBER(D198), $B199 * E198, "")</f>
        <v>8746.9879518072285</v>
      </c>
      <c r="G198" s="102">
        <v>44660</v>
      </c>
      <c r="H198" s="25">
        <f t="shared" si="107"/>
        <v>7.6144578313253011E-2</v>
      </c>
      <c r="I198" s="103">
        <f>IF(ISNUMBER(G198), $B199 * H198, "")</f>
        <v>11421.686746987953</v>
      </c>
      <c r="J198" s="24">
        <v>46040</v>
      </c>
      <c r="K198" s="25">
        <f t="shared" si="108"/>
        <v>0.10939759036144578</v>
      </c>
      <c r="L198" s="104">
        <f>IF(ISNUMBER(J198), $B199 * K198, "")</f>
        <v>16409.638554216868</v>
      </c>
      <c r="M198" s="102">
        <v>44900</v>
      </c>
      <c r="N198" s="25">
        <f t="shared" si="109"/>
        <v>8.1927710843373497E-2</v>
      </c>
      <c r="O198" s="104">
        <f>IF(ISNUMBER(M198), $B199 * N198, "")</f>
        <v>12289.156626506025</v>
      </c>
      <c r="Q198" s="184"/>
      <c r="R198" s="185"/>
      <c r="S198" s="186"/>
    </row>
    <row r="199" spans="1:19" ht="17.25" thickBot="1">
      <c r="A199" s="132" t="s">
        <v>268</v>
      </c>
      <c r="B199" s="245">
        <f>$B$37</f>
        <v>150000</v>
      </c>
      <c r="C199" s="246"/>
      <c r="D199" s="26" t="s">
        <v>269</v>
      </c>
      <c r="E199" s="27">
        <f>IF(COUNT(E179:E198), SUM(E179:E198) / COUNT(E179:E198), 0)</f>
        <v>2.1927584105196816E-2</v>
      </c>
      <c r="F199" s="28">
        <f>SUM(F179:F198)</f>
        <v>65782.752315590464</v>
      </c>
      <c r="G199" s="26" t="s">
        <v>269</v>
      </c>
      <c r="H199" s="27">
        <f>IF(COUNT(H179:H198), SUM(H179:H198) / COUNT(H179:H198), 0)</f>
        <v>4.2630163466266656E-2</v>
      </c>
      <c r="I199" s="28">
        <f>SUM(I179:I198)</f>
        <v>127890.49039879996</v>
      </c>
      <c r="J199" s="26" t="s">
        <v>269</v>
      </c>
      <c r="K199" s="27">
        <f>IF(COUNT(K179:K198), SUM(K179:K198) / COUNT(K179:K198), 0)</f>
        <v>7.4971980178834732E-2</v>
      </c>
      <c r="L199" s="28">
        <f>SUM(L179:L198)</f>
        <v>224915.94053650417</v>
      </c>
      <c r="M199" s="26" t="s">
        <v>269</v>
      </c>
      <c r="N199" s="27">
        <f>IF(COUNT(N179:N198), SUM(N179:N198) / COUNT(N179:N198), 0)</f>
        <v>6.7860869914095623E-2</v>
      </c>
      <c r="O199" s="28">
        <f>SUM(O179:O198)</f>
        <v>203582.60974228685</v>
      </c>
      <c r="Q199" s="187"/>
      <c r="R199" s="188"/>
      <c r="S199" s="1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52F5E-3BC7-436B-8A9C-CAE4E1A98F41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44471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318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326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222,369 KRW (7.41%)</v>
      </c>
      <c r="H3" s="225"/>
      <c r="I3" s="226"/>
      <c r="J3" s="4" t="s">
        <v>7</v>
      </c>
      <c r="K3" s="228" t="s">
        <v>319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320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317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118,058 KRW (4.14%)</v>
      </c>
      <c r="H5" s="225"/>
      <c r="I5" s="226"/>
      <c r="J5" s="4" t="s">
        <v>15</v>
      </c>
      <c r="K5" s="228" t="s">
        <v>321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322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187,573 KRW (6.25%)</v>
      </c>
      <c r="H7" s="225"/>
      <c r="I7" s="226"/>
      <c r="J7" s="4" t="s">
        <v>21</v>
      </c>
      <c r="K7" s="228" t="s">
        <v>323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31" t="s">
        <v>253</v>
      </c>
      <c r="H8" s="232"/>
      <c r="I8" s="233"/>
      <c r="J8" s="4" t="s">
        <v>24</v>
      </c>
      <c r="K8" s="228"/>
      <c r="L8" s="229"/>
      <c r="M8" s="229"/>
      <c r="N8" s="229"/>
      <c r="O8" s="230"/>
      <c r="Q8" s="203" t="s">
        <v>27</v>
      </c>
      <c r="R8" s="205"/>
    </row>
    <row r="9" spans="1:19" ht="17.25" thickBot="1">
      <c r="A9" s="118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175,622 KRW (5.85%)</v>
      </c>
      <c r="H9" s="225"/>
      <c r="I9" s="226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 t="s">
        <v>324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21" t="s">
        <v>325</v>
      </c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 t="s">
        <v>316</v>
      </c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34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61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62630000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1.5632601400000001E-2</v>
      </c>
      <c r="N14" s="210"/>
      <c r="O14" s="211"/>
      <c r="Q14" s="202"/>
      <c r="R14" s="202"/>
      <c r="S14" s="202"/>
    </row>
    <row r="15" spans="1:19" ht="17.25" customHeight="1" thickBot="1">
      <c r="A15" s="240" t="s">
        <v>39</v>
      </c>
      <c r="B15" s="241" t="str">
        <f>TEXT($G$1, "[$-ko-KR]yyyy-mm-dd(ddd) ") &amp; "오전 00:00"</f>
        <v>2021-10-02(토) 오전 00:00</v>
      </c>
      <c r="C15" s="242"/>
      <c r="D15" s="216" t="str">
        <f>TEXT($G$1, "[$-ko-KR]yyyy-mm-dd(ddd) ") &amp; "오후 14:00"</f>
        <v>2021-10-02(토) 오후 14:00</v>
      </c>
      <c r="E15" s="217"/>
      <c r="F15" s="218"/>
      <c r="G15" s="216" t="str">
        <f>TEXT($G$1, "[$-ko-KR]yyyy-mm-dd(ddd) ") &amp; "오후 19:00"</f>
        <v>2021-10-02(토) 오후 19:00</v>
      </c>
      <c r="H15" s="217"/>
      <c r="I15" s="218"/>
      <c r="J15" s="216" t="str">
        <f>TEXT($G$1, "[$-ko-KR]yyyy-mm-dd(ddd) ") &amp; "오후 21:00"</f>
        <v>2021-10-02(토) 오후 21:00</v>
      </c>
      <c r="K15" s="217"/>
      <c r="L15" s="218"/>
      <c r="M15" s="216" t="str">
        <f>TEXT($G$1+1, "[$-ko-KR]yyyy-mm-dd(ddd) ") &amp; "오전 00:00"</f>
        <v>2021-10-03(일) 오전 00:00</v>
      </c>
      <c r="N15" s="217"/>
      <c r="O15" s="218"/>
      <c r="Q15" s="202"/>
      <c r="R15" s="202"/>
      <c r="S15" s="202"/>
    </row>
    <row r="16" spans="1:19" ht="17.25" customHeight="1" thickBot="1">
      <c r="A16" s="24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132" t="s">
        <v>42</v>
      </c>
      <c r="B37" s="245">
        <v>150000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61" t="s">
        <v>265</v>
      </c>
      <c r="B41" s="203" t="s">
        <v>49</v>
      </c>
      <c r="C41" s="205"/>
      <c r="D41" s="203" t="s">
        <v>58</v>
      </c>
      <c r="E41" s="204"/>
      <c r="F41" s="205"/>
      <c r="G41" s="206">
        <f>_xlfn.IFNA(VLOOKUP(B41, 현재가테이블!$B$2:$D$200, 2, FALSE), "-")</f>
        <v>62630000</v>
      </c>
      <c r="H41" s="207"/>
      <c r="I41" s="208"/>
      <c r="J41" s="203" t="s">
        <v>59</v>
      </c>
      <c r="K41" s="204"/>
      <c r="L41" s="205"/>
      <c r="M41" s="209">
        <f>_xlfn.IFNA(VLOOKUP(B41, 현재가테이블!$B$2:$D$200, 3, FALSE), "-")</f>
        <v>1.5632601400000001E-2</v>
      </c>
      <c r="N41" s="210"/>
      <c r="O41" s="211"/>
      <c r="Q41" s="202"/>
      <c r="R41" s="202"/>
      <c r="S41" s="202"/>
    </row>
    <row r="42" spans="1:19" ht="17.25" customHeight="1" thickBot="1">
      <c r="A42" s="247" t="s">
        <v>55</v>
      </c>
      <c r="B42" s="243" t="str">
        <f>TEXT($G$1, "[$-ko-KR]yyyy-mm-dd(ddd) ") &amp; "오전 00:00"</f>
        <v>2021-10-02(토) 오전 00:00</v>
      </c>
      <c r="C42" s="244"/>
      <c r="D42" s="216" t="str">
        <f>TEXT($G$1, "[$-ko-KR]yyyy-mm-dd(ddd) ") &amp; "오후 14:00"</f>
        <v>2021-10-02(토) 오후 14:00</v>
      </c>
      <c r="E42" s="217"/>
      <c r="F42" s="218"/>
      <c r="G42" s="216" t="str">
        <f>TEXT($G$1, "[$-ko-KR]yyyy-mm-dd(ddd) ") &amp; "오후 19:00"</f>
        <v>2021-10-02(토) 오후 19:00</v>
      </c>
      <c r="H42" s="217"/>
      <c r="I42" s="218"/>
      <c r="J42" s="216" t="str">
        <f>TEXT($G$1, "[$-ko-KR]yyyy-mm-dd(ddd) ") &amp; "오후 21:00"</f>
        <v>2021-10-02(토) 오후 21:00</v>
      </c>
      <c r="K42" s="217"/>
      <c r="L42" s="218"/>
      <c r="M42" s="216" t="str">
        <f>TEXT($G$1+1, "[$-ko-KR]yyyy-mm-dd(ddd) ") &amp; "오전 00:00"</f>
        <v>2021-10-03(일) 오전 00:00</v>
      </c>
      <c r="N42" s="217"/>
      <c r="O42" s="218"/>
      <c r="Q42" s="202"/>
      <c r="R42" s="202"/>
      <c r="S42" s="202"/>
    </row>
    <row r="43" spans="1:19" ht="17.25" customHeight="1" thickBot="1">
      <c r="A43" s="24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2" t="s">
        <v>58</v>
      </c>
      <c r="H43" s="163" t="s">
        <v>266</v>
      </c>
      <c r="I43" s="16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192"/>
      <c r="R43" s="192"/>
      <c r="S43" s="192"/>
    </row>
    <row r="44" spans="1:19" ht="17.25" customHeight="1" thickBot="1">
      <c r="A44" s="123" t="s">
        <v>176</v>
      </c>
      <c r="B44" s="124">
        <v>16.600000000000001</v>
      </c>
      <c r="C44" s="76">
        <v>7.7922077899999997E-2</v>
      </c>
      <c r="D44" s="13">
        <v>16.899999999999999</v>
      </c>
      <c r="E44" s="14">
        <f>IF(ISNUMBER(D44), (D44 - $B44) / $B44, "")</f>
        <v>1.8072289156626332E-2</v>
      </c>
      <c r="F44" s="16">
        <f>IF(ISNUMBER(D44), $B64 * E44, "")</f>
        <v>2710.8433734939499</v>
      </c>
      <c r="G44" s="29">
        <v>16.899999999999999</v>
      </c>
      <c r="H44" s="14">
        <f>IF(ISNUMBER(G44), (G44 - $B44) / $B44, "")</f>
        <v>1.8072289156626332E-2</v>
      </c>
      <c r="I44" s="100">
        <f>IF(ISNUMBER(G44), $B64 * H44, "")</f>
        <v>2710.8433734939499</v>
      </c>
      <c r="J44" s="13">
        <v>16.899999999999999</v>
      </c>
      <c r="K44" s="14">
        <f>IF(ISNUMBER(J44), (J44 - $B44) / $B44, "")</f>
        <v>1.8072289156626332E-2</v>
      </c>
      <c r="L44" s="16">
        <f>IF(ISNUMBER(J44), $B64 * K44, "")</f>
        <v>2710.8433734939499</v>
      </c>
      <c r="M44" s="29">
        <v>17.3</v>
      </c>
      <c r="N44" s="14">
        <f>IF(ISNUMBER(M44), (M44 - $B44) / $B44, "")</f>
        <v>4.2168674698795136E-2</v>
      </c>
      <c r="O44" s="16">
        <f>IF(ISNUMBER(M44), $B64 * N44, "")</f>
        <v>6325.3012048192704</v>
      </c>
      <c r="Q44" s="202"/>
      <c r="R44" s="202"/>
      <c r="S44" s="202"/>
    </row>
    <row r="45" spans="1:19" ht="17.25" customHeight="1" thickBot="1">
      <c r="A45" s="125" t="s">
        <v>186</v>
      </c>
      <c r="B45" s="126">
        <v>12.6</v>
      </c>
      <c r="C45" s="77">
        <v>6.7796610199999996E-2</v>
      </c>
      <c r="D45" s="15">
        <v>12.6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12.7</v>
      </c>
      <c r="H45" s="32">
        <f t="shared" ref="H45:H48" si="15">IF(ISNUMBER(G45), (G45 - $B45) / $B45, "")</f>
        <v>7.9365079365079083E-3</v>
      </c>
      <c r="I45" s="101">
        <f>IF(ISNUMBER(G45), $B64 * H45, "")</f>
        <v>1190.4761904761863</v>
      </c>
      <c r="J45" s="15">
        <v>12.7</v>
      </c>
      <c r="K45" s="32">
        <f t="shared" ref="K45:K48" si="16">IF(ISNUMBER(J45), (J45 - $B45) / $B45, "")</f>
        <v>7.9365079365079083E-3</v>
      </c>
      <c r="L45" s="18">
        <f>IF(ISNUMBER(J45), $B64 * K45, "")</f>
        <v>1190.4761904761863</v>
      </c>
      <c r="M45" s="31">
        <v>12.8</v>
      </c>
      <c r="N45" s="32">
        <f t="shared" ref="N45:N48" si="17">IF(ISNUMBER(M45), (M45 - $B45) / $B45, "")</f>
        <v>1.5873015873015959E-2</v>
      </c>
      <c r="O45" s="18">
        <f>IF(ISNUMBER(M45), $B64 * N45, "")</f>
        <v>2380.9523809523939</v>
      </c>
      <c r="Q45" s="202"/>
      <c r="R45" s="202"/>
      <c r="S45" s="202"/>
    </row>
    <row r="46" spans="1:19" ht="17.25" customHeight="1" thickBot="1">
      <c r="A46" s="125" t="s">
        <v>214</v>
      </c>
      <c r="B46" s="126">
        <v>10.1</v>
      </c>
      <c r="C46" s="77">
        <v>6.3157894699999995E-2</v>
      </c>
      <c r="D46" s="15">
        <v>10.199999999999999</v>
      </c>
      <c r="E46" s="32">
        <f t="shared" si="14"/>
        <v>9.9009900990098664E-3</v>
      </c>
      <c r="F46" s="18">
        <f>IF(ISNUMBER(D46), $B64 * E46, "")</f>
        <v>1485.1485148514801</v>
      </c>
      <c r="G46" s="31">
        <v>10.9</v>
      </c>
      <c r="H46" s="32">
        <f t="shared" si="15"/>
        <v>7.9207920792079278E-2</v>
      </c>
      <c r="I46" s="101">
        <f>IF(ISNUMBER(G46), $B64 * H46, "")</f>
        <v>11881.188118811891</v>
      </c>
      <c r="J46" s="15">
        <v>10.9</v>
      </c>
      <c r="K46" s="32">
        <f t="shared" si="16"/>
        <v>7.9207920792079278E-2</v>
      </c>
      <c r="L46" s="18">
        <f>IF(ISNUMBER(J46), $B64 * K46, "")</f>
        <v>11881.188118811891</v>
      </c>
      <c r="M46" s="31">
        <v>10.8</v>
      </c>
      <c r="N46" s="32">
        <f t="shared" si="17"/>
        <v>6.930693069306941E-2</v>
      </c>
      <c r="O46" s="18">
        <f>IF(ISNUMBER(M46), $B64 * N46, "")</f>
        <v>10396.039603960411</v>
      </c>
      <c r="Q46" s="192"/>
      <c r="R46" s="192"/>
      <c r="S46" s="192"/>
    </row>
    <row r="47" spans="1:19" ht="17.25" customHeight="1" thickBot="1">
      <c r="A47" s="125" t="s">
        <v>120</v>
      </c>
      <c r="B47" s="126">
        <v>33.700000000000003</v>
      </c>
      <c r="C47" s="77">
        <v>6.3091482599999998E-2</v>
      </c>
      <c r="D47" s="15">
        <v>36.200000000000003</v>
      </c>
      <c r="E47" s="32">
        <f t="shared" si="14"/>
        <v>7.418397626112759E-2</v>
      </c>
      <c r="F47" s="18">
        <f>IF(ISNUMBER(D47), $B64 * E47, "")</f>
        <v>11127.596439169138</v>
      </c>
      <c r="G47" s="31">
        <v>36.799999999999997</v>
      </c>
      <c r="H47" s="32">
        <f t="shared" si="15"/>
        <v>9.1988130563798037E-2</v>
      </c>
      <c r="I47" s="101">
        <f>IF(ISNUMBER(G47), $B64 * H47, "")</f>
        <v>13798.219584569706</v>
      </c>
      <c r="J47" s="15">
        <v>36.700000000000003</v>
      </c>
      <c r="K47" s="32">
        <f t="shared" si="16"/>
        <v>8.9020771513353109E-2</v>
      </c>
      <c r="L47" s="18">
        <f>IF(ISNUMBER(J47), $B64 * K47, "")</f>
        <v>13353.115727002967</v>
      </c>
      <c r="M47" s="31">
        <v>37.5</v>
      </c>
      <c r="N47" s="32">
        <f t="shared" si="17"/>
        <v>0.11275964391691386</v>
      </c>
      <c r="O47" s="18">
        <f>IF(ISNUMBER(M47), $B64 * N47, "")</f>
        <v>16913.946587537077</v>
      </c>
      <c r="Q47" s="192"/>
      <c r="R47" s="192"/>
      <c r="S47" s="192"/>
    </row>
    <row r="48" spans="1:19" ht="17.25" customHeight="1" thickBot="1">
      <c r="A48" s="127" t="s">
        <v>146</v>
      </c>
      <c r="B48" s="128">
        <v>18.899999999999999</v>
      </c>
      <c r="C48" s="78">
        <v>6.1797752800000001E-2</v>
      </c>
      <c r="D48" s="20">
        <v>19.2</v>
      </c>
      <c r="E48" s="21">
        <f t="shared" si="14"/>
        <v>1.587301587301591E-2</v>
      </c>
      <c r="F48" s="22">
        <f>IF(ISNUMBER(D48), $B64 * E48, "")</f>
        <v>2380.9523809523866</v>
      </c>
      <c r="G48" s="30">
        <v>19.399999999999999</v>
      </c>
      <c r="H48" s="21">
        <f t="shared" si="15"/>
        <v>2.6455026455026457E-2</v>
      </c>
      <c r="I48" s="105">
        <f>IF(ISNUMBER(G48), $B64 * H48, "")</f>
        <v>3968.2539682539687</v>
      </c>
      <c r="J48" s="20">
        <v>19.5</v>
      </c>
      <c r="K48" s="21">
        <f t="shared" si="16"/>
        <v>3.1746031746031821E-2</v>
      </c>
      <c r="L48" s="22">
        <f>IF(ISNUMBER(J48), $B64 * K48, "")</f>
        <v>4761.9047619047733</v>
      </c>
      <c r="M48" s="30">
        <v>20</v>
      </c>
      <c r="N48" s="21">
        <f t="shared" si="17"/>
        <v>5.8201058201058281E-2</v>
      </c>
      <c r="O48" s="22">
        <f>IF(ISNUMBER(M48), $B64 * N48, "")</f>
        <v>8730.1587301587424</v>
      </c>
      <c r="Q48" s="192"/>
      <c r="R48" s="192"/>
      <c r="S48" s="192"/>
    </row>
    <row r="49" spans="1:19" ht="17.25" customHeight="1" thickBot="1">
      <c r="A49" s="125" t="s">
        <v>206</v>
      </c>
      <c r="B49" s="129">
        <v>12.8</v>
      </c>
      <c r="C49" s="80">
        <v>5.7851239700000001E-2</v>
      </c>
      <c r="D49" s="106">
        <v>12.8</v>
      </c>
      <c r="E49" s="107">
        <f>IF(ISNUMBER(D49), (D49 - $B49) / $B49, "")</f>
        <v>0</v>
      </c>
      <c r="F49" s="108">
        <f>IF(ISNUMBER(D49), $B64 * E49, "")</f>
        <v>0</v>
      </c>
      <c r="G49" s="109">
        <v>13</v>
      </c>
      <c r="H49" s="107">
        <f>IF(ISNUMBER(G49), (G49 - $B49) / $B49, "")</f>
        <v>1.5624999999999944E-2</v>
      </c>
      <c r="I49" s="110">
        <f>IF(ISNUMBER(G49), $B64 * H49, "")</f>
        <v>2343.7499999999918</v>
      </c>
      <c r="J49" s="106">
        <v>13</v>
      </c>
      <c r="K49" s="107">
        <f>IF(ISNUMBER(J49), (J49 - $B49) / $B49, "")</f>
        <v>1.5624999999999944E-2</v>
      </c>
      <c r="L49" s="108">
        <f>IF(ISNUMBER(J49), $B64 * K49, "")</f>
        <v>2343.7499999999918</v>
      </c>
      <c r="M49" s="109">
        <v>13.2</v>
      </c>
      <c r="N49" s="107">
        <f>IF(ISNUMBER(M49), (M49 - $B49) / $B49, "")</f>
        <v>3.1249999999999889E-2</v>
      </c>
      <c r="O49" s="108">
        <f>IF(ISNUMBER(M49), $B64 * N49, "")</f>
        <v>4687.4999999999836</v>
      </c>
      <c r="Q49" s="192"/>
      <c r="R49" s="192"/>
      <c r="S49" s="192"/>
    </row>
    <row r="50" spans="1:19" ht="17.25" customHeight="1" thickBot="1">
      <c r="A50" s="125" t="s">
        <v>160</v>
      </c>
      <c r="B50" s="126">
        <v>97.5</v>
      </c>
      <c r="C50" s="77">
        <v>5.7483731000000003E-2</v>
      </c>
      <c r="D50" s="15">
        <v>98.6</v>
      </c>
      <c r="E50" s="32">
        <f t="shared" ref="E50:E53" si="18">IF(ISNUMBER(D50), (D50 - $B50) / $B50, "")</f>
        <v>1.1282051282051224E-2</v>
      </c>
      <c r="F50" s="18">
        <f>IF(ISNUMBER(D50), $B64 * E50, "")</f>
        <v>1692.3076923076835</v>
      </c>
      <c r="G50" s="31">
        <v>101</v>
      </c>
      <c r="H50" s="32">
        <f t="shared" ref="H50:H53" si="19">IF(ISNUMBER(G50), (G50 - $B50) / $B50, "")</f>
        <v>3.5897435897435895E-2</v>
      </c>
      <c r="I50" s="101">
        <f>IF(ISNUMBER(G50), $B64 * H50, "")</f>
        <v>5384.6153846153838</v>
      </c>
      <c r="J50" s="15">
        <v>101</v>
      </c>
      <c r="K50" s="32">
        <f t="shared" ref="K50:K53" si="20">IF(ISNUMBER(J50), (J50 - $B50) / $B50, "")</f>
        <v>3.5897435897435895E-2</v>
      </c>
      <c r="L50" s="18">
        <f>IF(ISNUMBER(J50), $B64 * K50, "")</f>
        <v>5384.6153846153838</v>
      </c>
      <c r="M50" s="31">
        <v>101</v>
      </c>
      <c r="N50" s="32">
        <f t="shared" ref="N50:N53" si="21">IF(ISNUMBER(M50), (M50 - $B50) / $B50, "")</f>
        <v>3.5897435897435895E-2</v>
      </c>
      <c r="O50" s="18">
        <f>IF(ISNUMBER(M50), $B64 * N50, "")</f>
        <v>5384.6153846153838</v>
      </c>
      <c r="Q50" s="192"/>
      <c r="R50" s="192"/>
      <c r="S50" s="192"/>
    </row>
    <row r="51" spans="1:19" ht="17.25" customHeight="1" thickBot="1">
      <c r="A51" s="125" t="s">
        <v>148</v>
      </c>
      <c r="B51" s="126">
        <v>11.5</v>
      </c>
      <c r="C51" s="77">
        <v>5.5045871599999997E-2</v>
      </c>
      <c r="D51" s="15">
        <v>11.4</v>
      </c>
      <c r="E51" s="32">
        <f t="shared" si="18"/>
        <v>-8.6956521739130124E-3</v>
      </c>
      <c r="F51" s="18">
        <f>IF(ISNUMBER(D51), $B64 * E51, "")</f>
        <v>-1304.347826086952</v>
      </c>
      <c r="G51" s="31">
        <v>11.6</v>
      </c>
      <c r="H51" s="32">
        <f t="shared" si="19"/>
        <v>8.6956521739130124E-3</v>
      </c>
      <c r="I51" s="101">
        <f>IF(ISNUMBER(G51), $B64 * H51, "")</f>
        <v>1304.347826086952</v>
      </c>
      <c r="J51" s="15">
        <v>11.7</v>
      </c>
      <c r="K51" s="32">
        <f t="shared" si="20"/>
        <v>1.7391304347826025E-2</v>
      </c>
      <c r="L51" s="18">
        <f>IF(ISNUMBER(J51), $B64 * K51, "")</f>
        <v>2608.6956521739039</v>
      </c>
      <c r="M51" s="31">
        <v>11.8</v>
      </c>
      <c r="N51" s="32">
        <f t="shared" si="21"/>
        <v>2.6086956521739191E-2</v>
      </c>
      <c r="O51" s="18">
        <f>IF(ISNUMBER(M51), $B64 * N51, "")</f>
        <v>3913.0434782608786</v>
      </c>
      <c r="Q51" s="192"/>
      <c r="R51" s="192"/>
      <c r="S51" s="192"/>
    </row>
    <row r="52" spans="1:19" ht="17.25" customHeight="1" thickBot="1">
      <c r="A52" s="125" t="s">
        <v>188</v>
      </c>
      <c r="B52" s="126">
        <v>15.9</v>
      </c>
      <c r="C52" s="77">
        <v>5.2980132499999999E-2</v>
      </c>
      <c r="D52" s="15">
        <v>16.5</v>
      </c>
      <c r="E52" s="32">
        <f t="shared" si="18"/>
        <v>3.7735849056603751E-2</v>
      </c>
      <c r="F52" s="18">
        <f>IF(ISNUMBER(D52), $B64 * E52, "")</f>
        <v>5660.377358490563</v>
      </c>
      <c r="G52" s="31">
        <v>16.7</v>
      </c>
      <c r="H52" s="32">
        <f t="shared" si="19"/>
        <v>5.0314465408804965E-2</v>
      </c>
      <c r="I52" s="101">
        <f>IF(ISNUMBER(G52), $B64 * H52, "")</f>
        <v>7547.1698113207449</v>
      </c>
      <c r="J52" s="15">
        <v>16.7</v>
      </c>
      <c r="K52" s="32">
        <f t="shared" si="20"/>
        <v>5.0314465408804965E-2</v>
      </c>
      <c r="L52" s="18">
        <f>IF(ISNUMBER(J52), $B64 * K52, "")</f>
        <v>7547.1698113207449</v>
      </c>
      <c r="M52" s="31">
        <v>16.899999999999999</v>
      </c>
      <c r="N52" s="32">
        <f t="shared" si="21"/>
        <v>6.2893081761006178E-2</v>
      </c>
      <c r="O52" s="18">
        <f>IF(ISNUMBER(M52), $B64 * N52, "")</f>
        <v>9433.9622641509268</v>
      </c>
      <c r="Q52" s="33"/>
      <c r="R52" s="33"/>
    </row>
    <row r="53" spans="1:19" ht="17.25" customHeight="1" thickBot="1">
      <c r="A53" s="130" t="s">
        <v>72</v>
      </c>
      <c r="B53" s="131">
        <v>22.6</v>
      </c>
      <c r="C53" s="79">
        <v>5.1162790700000002E-2</v>
      </c>
      <c r="D53" s="24">
        <v>23.7</v>
      </c>
      <c r="E53" s="25">
        <f t="shared" si="18"/>
        <v>4.8672566371681318E-2</v>
      </c>
      <c r="F53" s="104">
        <f>IF(ISNUMBER(D53), $B64 * E53, "")</f>
        <v>7300.884955752198</v>
      </c>
      <c r="G53" s="102">
        <v>23.8</v>
      </c>
      <c r="H53" s="25">
        <f t="shared" si="19"/>
        <v>5.3097345132743327E-2</v>
      </c>
      <c r="I53" s="103">
        <f>IF(ISNUMBER(G53), $B64 * H53, "")</f>
        <v>7964.6017699114991</v>
      </c>
      <c r="J53" s="24">
        <v>23.6</v>
      </c>
      <c r="K53" s="25">
        <f t="shared" si="20"/>
        <v>4.4247787610619468E-2</v>
      </c>
      <c r="L53" s="104">
        <f>IF(ISNUMBER(J53), $B64 * K53, "")</f>
        <v>6637.1681415929206</v>
      </c>
      <c r="M53" s="102">
        <v>23.9</v>
      </c>
      <c r="N53" s="25">
        <f t="shared" si="21"/>
        <v>5.7522123893805177E-2</v>
      </c>
      <c r="O53" s="104">
        <f>IF(ISNUMBER(M53), $B64 * N53, "")</f>
        <v>8628.3185840707774</v>
      </c>
      <c r="Q53" s="193"/>
      <c r="R53" s="194"/>
      <c r="S53" s="195"/>
    </row>
    <row r="54" spans="1:19" ht="17.25" customHeight="1">
      <c r="A54" s="123" t="s">
        <v>202</v>
      </c>
      <c r="B54" s="124">
        <v>14.6</v>
      </c>
      <c r="C54" s="76">
        <v>5.0359712199999997E-2</v>
      </c>
      <c r="D54" s="13">
        <v>14.7</v>
      </c>
      <c r="E54" s="14">
        <f>IF(ISNUMBER(D54), (D54 - $B54) / $B54, "")</f>
        <v>6.8493150684931269E-3</v>
      </c>
      <c r="F54" s="16">
        <f>IF(ISNUMBER(D54), $B64 * E54, "")</f>
        <v>1027.3972602739691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2054.7945205479564</v>
      </c>
      <c r="J54" s="13">
        <v>14.8</v>
      </c>
      <c r="K54" s="14">
        <f>IF(ISNUMBER(J54), (J54 - $B54) / $B54, "")</f>
        <v>1.3698630136986375E-2</v>
      </c>
      <c r="L54" s="16">
        <f>IF(ISNUMBER(J54), $B64 * K54, "")</f>
        <v>2054.7945205479564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4109.5890410958946</v>
      </c>
      <c r="Q54" s="196"/>
      <c r="R54" s="197"/>
      <c r="S54" s="198"/>
    </row>
    <row r="55" spans="1:19" ht="17.25" customHeight="1" thickBot="1">
      <c r="A55" s="125" t="s">
        <v>208</v>
      </c>
      <c r="B55" s="126">
        <v>13.2</v>
      </c>
      <c r="C55" s="77">
        <v>4.7619047599999999E-2</v>
      </c>
      <c r="D55" s="15">
        <v>13.2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13.3</v>
      </c>
      <c r="H55" s="32">
        <f t="shared" ref="H55:H58" si="23">IF(ISNUMBER(G55), (G55 - $B55) / $B55, "")</f>
        <v>7.5757575757576835E-3</v>
      </c>
      <c r="I55" s="101">
        <f>IF(ISNUMBER(G55), $B64 * H55, "")</f>
        <v>1136.3636363636526</v>
      </c>
      <c r="J55" s="15">
        <v>13.4</v>
      </c>
      <c r="K55" s="32">
        <f t="shared" ref="K55:K58" si="24">IF(ISNUMBER(J55), (J55 - $B55) / $B55, "")</f>
        <v>1.5151515151515233E-2</v>
      </c>
      <c r="L55" s="18">
        <f>IF(ISNUMBER(J55), $B64 * K55, "")</f>
        <v>2272.7272727272848</v>
      </c>
      <c r="M55" s="31">
        <v>13.6</v>
      </c>
      <c r="N55" s="32">
        <f t="shared" ref="N55:N58" si="25">IF(ISNUMBER(M55), (M55 - $B55) / $B55, "")</f>
        <v>3.0303030303030332E-2</v>
      </c>
      <c r="O55" s="18">
        <f>IF(ISNUMBER(M55), $B64 * N55, "")</f>
        <v>4545.4545454545496</v>
      </c>
      <c r="Q55" s="199"/>
      <c r="R55" s="200"/>
      <c r="S55" s="201"/>
    </row>
    <row r="56" spans="1:19" ht="17.25" customHeight="1" thickBot="1">
      <c r="A56" s="125" t="s">
        <v>248</v>
      </c>
      <c r="B56" s="126">
        <v>81.3</v>
      </c>
      <c r="C56" s="77">
        <v>4.4987146499999998E-2</v>
      </c>
      <c r="D56" s="15">
        <v>82.4</v>
      </c>
      <c r="E56" s="32">
        <f t="shared" si="22"/>
        <v>1.3530135301353118E-2</v>
      </c>
      <c r="F56" s="18">
        <f>IF(ISNUMBER(D56), $B64 * E56, "")</f>
        <v>2029.5202952029676</v>
      </c>
      <c r="G56" s="31">
        <v>83.1</v>
      </c>
      <c r="H56" s="32">
        <f t="shared" si="23"/>
        <v>2.2140221402213989E-2</v>
      </c>
      <c r="I56" s="101">
        <f>IF(ISNUMBER(G56), $B64 * H56, "")</f>
        <v>3321.0332103320984</v>
      </c>
      <c r="J56" s="15">
        <v>83</v>
      </c>
      <c r="K56" s="32">
        <f t="shared" si="24"/>
        <v>2.0910209102091057E-2</v>
      </c>
      <c r="L56" s="18">
        <f>IF(ISNUMBER(J56), $B64 * K56, "")</f>
        <v>3136.5313653136586</v>
      </c>
      <c r="M56" s="31">
        <v>84.3</v>
      </c>
      <c r="N56" s="32">
        <f t="shared" si="25"/>
        <v>3.6900369003690037E-2</v>
      </c>
      <c r="O56" s="18">
        <f>IF(ISNUMBER(M56), $B64 * N56, "")</f>
        <v>5535.0553505535054</v>
      </c>
      <c r="Q56" s="192"/>
      <c r="R56" s="192"/>
      <c r="S56" s="192"/>
    </row>
    <row r="57" spans="1:19" ht="17.25" customHeight="1" thickBot="1">
      <c r="A57" s="125" t="s">
        <v>98</v>
      </c>
      <c r="B57" s="126">
        <v>4.05</v>
      </c>
      <c r="C57" s="77">
        <v>4.11311054E-2</v>
      </c>
      <c r="D57" s="15">
        <v>4.08</v>
      </c>
      <c r="E57" s="32">
        <f t="shared" si="22"/>
        <v>7.4074074074074693E-3</v>
      </c>
      <c r="F57" s="18">
        <f>IF(ISNUMBER(D57), $B64 * E57, "")</f>
        <v>1111.1111111111204</v>
      </c>
      <c r="G57" s="31">
        <v>4.13</v>
      </c>
      <c r="H57" s="32">
        <f t="shared" si="23"/>
        <v>1.9753086419753103E-2</v>
      </c>
      <c r="I57" s="101">
        <f>IF(ISNUMBER(G57), $B64 * H57, "")</f>
        <v>2962.9629629629653</v>
      </c>
      <c r="J57" s="15">
        <v>4.13</v>
      </c>
      <c r="K57" s="32">
        <f t="shared" si="24"/>
        <v>1.9753086419753103E-2</v>
      </c>
      <c r="L57" s="18">
        <f>IF(ISNUMBER(J57), $B64 * K57, "")</f>
        <v>2962.9629629629653</v>
      </c>
      <c r="M57" s="31">
        <v>4.22</v>
      </c>
      <c r="N57" s="32">
        <f t="shared" si="25"/>
        <v>4.1975308641975295E-2</v>
      </c>
      <c r="O57" s="18">
        <f>IF(ISNUMBER(M57), $B64 * N57, "")</f>
        <v>6296.2962962962947</v>
      </c>
      <c r="Q57" s="202"/>
      <c r="R57" s="202"/>
      <c r="S57" s="202"/>
    </row>
    <row r="58" spans="1:19" ht="17.25" customHeight="1" thickBot="1">
      <c r="A58" s="127" t="s">
        <v>232</v>
      </c>
      <c r="B58" s="128">
        <v>73.7</v>
      </c>
      <c r="C58" s="78">
        <v>3.9492242599999998E-2</v>
      </c>
      <c r="D58" s="20">
        <v>75.400000000000006</v>
      </c>
      <c r="E58" s="21">
        <f t="shared" si="22"/>
        <v>2.3066485753052954E-2</v>
      </c>
      <c r="F58" s="22">
        <f>IF(ISNUMBER(D58), $B64 * E58, "")</f>
        <v>3459.9728629579431</v>
      </c>
      <c r="G58" s="30">
        <v>75.900000000000006</v>
      </c>
      <c r="H58" s="21">
        <f t="shared" si="23"/>
        <v>2.9850746268656754E-2</v>
      </c>
      <c r="I58" s="105">
        <f>IF(ISNUMBER(G58), $B64 * H58, "")</f>
        <v>4477.6119402985132</v>
      </c>
      <c r="J58" s="20">
        <v>76.3</v>
      </c>
      <c r="K58" s="21">
        <f t="shared" si="24"/>
        <v>3.5278154681139678E-2</v>
      </c>
      <c r="L58" s="22">
        <f>IF(ISNUMBER(J58), $B64 * K58, "")</f>
        <v>5291.7232021709515</v>
      </c>
      <c r="M58" s="30">
        <v>77.3</v>
      </c>
      <c r="N58" s="21">
        <f t="shared" si="25"/>
        <v>4.8846675712347278E-2</v>
      </c>
      <c r="O58" s="22">
        <f>IF(ISNUMBER(M58), $B64 * N58, "")</f>
        <v>7327.0013568520917</v>
      </c>
      <c r="Q58" s="202"/>
      <c r="R58" s="202"/>
      <c r="S58" s="202"/>
    </row>
    <row r="59" spans="1:19" ht="17.25" customHeight="1" thickBot="1">
      <c r="A59" s="125" t="s">
        <v>200</v>
      </c>
      <c r="B59" s="129">
        <v>75.8</v>
      </c>
      <c r="C59" s="80">
        <v>3.6935704499999999E-2</v>
      </c>
      <c r="D59" s="106">
        <v>76.8</v>
      </c>
      <c r="E59" s="107">
        <f>IF(ISNUMBER(D59), (D59 - $B59) / $B59, "")</f>
        <v>1.3192612137203167E-2</v>
      </c>
      <c r="F59" s="108">
        <f>IF(ISNUMBER(D59), $B64 * E59, "")</f>
        <v>1978.891820580475</v>
      </c>
      <c r="G59" s="109">
        <v>77.900000000000006</v>
      </c>
      <c r="H59" s="107">
        <f>IF(ISNUMBER(G59), (G59 - $B59) / $B59, "")</f>
        <v>2.7704485488126762E-2</v>
      </c>
      <c r="I59" s="110">
        <f>IF(ISNUMBER(G59), $B64 * H59, "")</f>
        <v>4155.6728232190144</v>
      </c>
      <c r="J59" s="106">
        <v>78.5</v>
      </c>
      <c r="K59" s="107">
        <f>IF(ISNUMBER(J59), (J59 - $B59) / $B59, "")</f>
        <v>3.5620052770448586E-2</v>
      </c>
      <c r="L59" s="108">
        <f>IF(ISNUMBER(J59), $B64 * K59, "")</f>
        <v>5343.0079155672884</v>
      </c>
      <c r="M59" s="109">
        <v>79.400000000000006</v>
      </c>
      <c r="N59" s="107">
        <f>IF(ISNUMBER(M59), (M59 - $B59) / $B59, "")</f>
        <v>4.7493403693931513E-2</v>
      </c>
      <c r="O59" s="108">
        <f>IF(ISNUMBER(M59), $B64 * N59, "")</f>
        <v>7124.0105540897266</v>
      </c>
      <c r="Q59" s="192"/>
      <c r="R59" s="192"/>
      <c r="S59" s="192"/>
    </row>
    <row r="60" spans="1:19" ht="17.25" customHeight="1" thickBot="1">
      <c r="A60" s="125" t="s">
        <v>238</v>
      </c>
      <c r="B60" s="126">
        <v>72.900000000000006</v>
      </c>
      <c r="C60" s="77">
        <v>6.9060772999999997E-3</v>
      </c>
      <c r="D60" s="15">
        <v>71.2</v>
      </c>
      <c r="E60" s="32">
        <f t="shared" ref="E60:E63" si="26">IF(ISNUMBER(D60), (D60 - $B60) / $B60, "")</f>
        <v>-2.3319615912208543E-2</v>
      </c>
      <c r="F60" s="18">
        <f>IF(ISNUMBER(D60), $B64 * E60, "")</f>
        <v>-3497.9423868312815</v>
      </c>
      <c r="G60" s="31">
        <v>71.2</v>
      </c>
      <c r="H60" s="32">
        <f t="shared" ref="H60:H63" si="27">IF(ISNUMBER(G60), (G60 - $B60) / $B60, "")</f>
        <v>-2.3319615912208543E-2</v>
      </c>
      <c r="I60" s="101">
        <f>IF(ISNUMBER(G60), $B64 * H60, "")</f>
        <v>-3497.9423868312815</v>
      </c>
      <c r="J60" s="15">
        <v>71</v>
      </c>
      <c r="K60" s="32">
        <f t="shared" ref="K60:K63" si="28">IF(ISNUMBER(J60), (J60 - $B60) / $B60, "")</f>
        <v>-2.6063100137174288E-2</v>
      </c>
      <c r="L60" s="18">
        <f>IF(ISNUMBER(J60), $B64 * K60, "")</f>
        <v>-3909.4650205761432</v>
      </c>
      <c r="M60" s="31">
        <v>72.400000000000006</v>
      </c>
      <c r="N60" s="32">
        <f t="shared" ref="N60:N63" si="29">IF(ISNUMBER(M60), (M60 - $B60) / $B60, "")</f>
        <v>-6.8587105624142658E-3</v>
      </c>
      <c r="O60" s="18">
        <f>IF(ISNUMBER(M60), $B64 * N60, "")</f>
        <v>-1028.8065843621398</v>
      </c>
      <c r="Q60" s="192"/>
      <c r="R60" s="192"/>
      <c r="S60" s="192"/>
    </row>
    <row r="61" spans="1:19" ht="17.25" customHeight="1" thickBot="1">
      <c r="A61" s="125" t="s">
        <v>65</v>
      </c>
      <c r="B61" s="126">
        <v>67.3</v>
      </c>
      <c r="C61" s="77">
        <v>1.4880951999999999E-3</v>
      </c>
      <c r="D61" s="15">
        <v>67.5</v>
      </c>
      <c r="E61" s="32">
        <f t="shared" si="26"/>
        <v>2.9717682020802801E-3</v>
      </c>
      <c r="F61" s="18">
        <f>IF(ISNUMBER(D61), $B64 * E61, "")</f>
        <v>445.76523031204204</v>
      </c>
      <c r="G61" s="31">
        <v>68.400000000000006</v>
      </c>
      <c r="H61" s="32">
        <f t="shared" si="27"/>
        <v>1.6344725111441433E-2</v>
      </c>
      <c r="I61" s="101">
        <f>IF(ISNUMBER(G61), $B64 * H61, "")</f>
        <v>2451.708766716215</v>
      </c>
      <c r="J61" s="15">
        <v>68.5</v>
      </c>
      <c r="K61" s="32">
        <f t="shared" si="28"/>
        <v>1.7830609212481471E-2</v>
      </c>
      <c r="L61" s="18">
        <f>IF(ISNUMBER(J61), $B64 * K61, "")</f>
        <v>2674.5913818722206</v>
      </c>
      <c r="M61" s="31">
        <v>69.7</v>
      </c>
      <c r="N61" s="32">
        <f t="shared" si="29"/>
        <v>3.5661218424962941E-2</v>
      </c>
      <c r="O61" s="18">
        <f>IF(ISNUMBER(M61), $B64 * N61, "")</f>
        <v>5349.1827637444412</v>
      </c>
      <c r="Q61" s="192"/>
      <c r="R61" s="192"/>
      <c r="S61" s="192"/>
    </row>
    <row r="62" spans="1:19" ht="17.25" customHeight="1">
      <c r="A62" s="125" t="s">
        <v>328</v>
      </c>
      <c r="B62" s="126">
        <v>0.29899999999999999</v>
      </c>
      <c r="C62" s="77">
        <v>-6.6445183E-3</v>
      </c>
      <c r="D62" s="15">
        <v>0.30099999999999999</v>
      </c>
      <c r="E62" s="32">
        <f t="shared" si="26"/>
        <v>6.6889632107023471E-3</v>
      </c>
      <c r="F62" s="18">
        <f>IF(ISNUMBER(D62), $B64 * E62, "")</f>
        <v>1003.344481605352</v>
      </c>
      <c r="G62" s="31">
        <v>0.30499999999999999</v>
      </c>
      <c r="H62" s="32">
        <f t="shared" si="27"/>
        <v>2.0066889632107041E-2</v>
      </c>
      <c r="I62" s="101">
        <f>IF(ISNUMBER(G62), $B64 * H62, "")</f>
        <v>3010.0334448160561</v>
      </c>
      <c r="J62" s="15">
        <v>0.30099999999999999</v>
      </c>
      <c r="K62" s="32">
        <f t="shared" si="28"/>
        <v>6.6889632107023471E-3</v>
      </c>
      <c r="L62" s="18">
        <f>IF(ISNUMBER(J62), $B64 * K62, "")</f>
        <v>1003.344481605352</v>
      </c>
      <c r="M62" s="31">
        <v>0.30299999999999999</v>
      </c>
      <c r="N62" s="32">
        <f t="shared" si="29"/>
        <v>1.3377926421404694E-2</v>
      </c>
      <c r="O62" s="18">
        <f>IF(ISNUMBER(M62), $B64 * N62, "")</f>
        <v>2006.6889632107041</v>
      </c>
      <c r="Q62" s="181"/>
      <c r="R62" s="182"/>
      <c r="S62" s="1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84"/>
      <c r="R63" s="185"/>
      <c r="S63" s="186"/>
    </row>
    <row r="64" spans="1:19" ht="17.25" customHeight="1" thickBot="1">
      <c r="A64" s="132" t="s">
        <v>268</v>
      </c>
      <c r="B64" s="245">
        <f>$B$37</f>
        <v>150000</v>
      </c>
      <c r="C64" s="246"/>
      <c r="D64" s="26" t="s">
        <v>269</v>
      </c>
      <c r="E64" s="27">
        <f>IF(COUNT(E44:E63), SUM(E44:E63) / COUNT(E44:E63), 0)</f>
        <v>1.3548008268120365E-2</v>
      </c>
      <c r="F64" s="28">
        <f>SUM(F44:F63)</f>
        <v>38611.823564143029</v>
      </c>
      <c r="G64" s="26" t="s">
        <v>269</v>
      </c>
      <c r="H64" s="27">
        <f>IF(COUNT(H44:H63), SUM(H44:H63) / COUNT(H44:H63), 0)</f>
        <v>2.7426563138935246E-2</v>
      </c>
      <c r="I64" s="28">
        <f>SUM(I44:I63)</f>
        <v>78165.704945965437</v>
      </c>
      <c r="J64" s="26" t="s">
        <v>269</v>
      </c>
      <c r="K64" s="27">
        <f>IF(COUNT(K44:K63), SUM(K44:K63) / COUNT(K44:K63), 0)</f>
        <v>2.7806717629327807E-2</v>
      </c>
      <c r="L64" s="28">
        <f>SUM(L44:L63)</f>
        <v>79249.145243584237</v>
      </c>
      <c r="M64" s="26" t="s">
        <v>269</v>
      </c>
      <c r="N64" s="27">
        <f>IF(COUNT(N44:N63), SUM(N44:N63) / COUNT(N44:N63), 0)</f>
        <v>4.1423968598407336E-2</v>
      </c>
      <c r="O64" s="28">
        <f>SUM(O44:O63)</f>
        <v>118058.31050546089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61" t="s">
        <v>265</v>
      </c>
      <c r="B68" s="203" t="s">
        <v>49</v>
      </c>
      <c r="C68" s="205"/>
      <c r="D68" s="203" t="s">
        <v>58</v>
      </c>
      <c r="E68" s="204"/>
      <c r="F68" s="205"/>
      <c r="G68" s="206">
        <f>_xlfn.IFNA(VLOOKUP(B68, 현재가테이블!$B$2:$D$200, 2, FALSE), "-")</f>
        <v>62630000</v>
      </c>
      <c r="H68" s="207"/>
      <c r="I68" s="208"/>
      <c r="J68" s="203" t="s">
        <v>59</v>
      </c>
      <c r="K68" s="204"/>
      <c r="L68" s="205"/>
      <c r="M68" s="209">
        <f>_xlfn.IFNA(VLOOKUP(B68, 현재가테이블!$B$2:$D$200, 3, FALSE), "-")</f>
        <v>1.5632601400000001E-2</v>
      </c>
      <c r="N68" s="210"/>
      <c r="O68" s="211"/>
      <c r="Q68" s="202"/>
      <c r="R68" s="202"/>
      <c r="S68" s="202"/>
    </row>
    <row r="69" spans="1:19" ht="17.25" thickBot="1">
      <c r="A69" s="247" t="s">
        <v>55</v>
      </c>
      <c r="B69" s="243" t="str">
        <f>TEXT($G$1, "[$-ko-KR]yyyy-mm-dd(ddd) ") &amp; "오전 00:00"</f>
        <v>2021-10-02(토) 오전 00:00</v>
      </c>
      <c r="C69" s="244"/>
      <c r="D69" s="216" t="str">
        <f>TEXT($G$1, "[$-ko-KR]yyyy-mm-dd(ddd) ") &amp; "오후 14:00"</f>
        <v>2021-10-02(토) 오후 14:00</v>
      </c>
      <c r="E69" s="217"/>
      <c r="F69" s="218"/>
      <c r="G69" s="216" t="str">
        <f>TEXT($G$1, "[$-ko-KR]yyyy-mm-dd(ddd) ") &amp; "오후 19:00"</f>
        <v>2021-10-02(토) 오후 19:00</v>
      </c>
      <c r="H69" s="217"/>
      <c r="I69" s="218"/>
      <c r="J69" s="216" t="str">
        <f>TEXT($G$1, "[$-ko-KR]yyyy-mm-dd(ddd) ") &amp; "오후 21:00"</f>
        <v>2021-10-02(토) 오후 21:00</v>
      </c>
      <c r="K69" s="217"/>
      <c r="L69" s="218"/>
      <c r="M69" s="216" t="str">
        <f>TEXT($G$1+1, "[$-ko-KR]yyyy-mm-dd(ddd) ") &amp; "오전 00:00"</f>
        <v>2021-10-03(일) 오전 00:00</v>
      </c>
      <c r="N69" s="217"/>
      <c r="O69" s="218"/>
      <c r="Q69" s="202"/>
      <c r="R69" s="202"/>
      <c r="S69" s="202"/>
    </row>
    <row r="70" spans="1:19" ht="17.25" thickBot="1">
      <c r="A70" s="24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2" t="s">
        <v>58</v>
      </c>
      <c r="H70" s="163" t="s">
        <v>266</v>
      </c>
      <c r="I70" s="16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192"/>
      <c r="R70" s="192"/>
      <c r="S70" s="192"/>
    </row>
    <row r="71" spans="1:19" ht="17.25" thickBot="1">
      <c r="A71" s="123" t="s">
        <v>164</v>
      </c>
      <c r="B71" s="124">
        <v>206</v>
      </c>
      <c r="C71" s="76">
        <v>0.13186813189999999</v>
      </c>
      <c r="D71" s="13">
        <v>233</v>
      </c>
      <c r="E71" s="14">
        <f>IF(ISNUMBER(D71), (D71 - $B71) / $B71, "")</f>
        <v>0.13106796116504854</v>
      </c>
      <c r="F71" s="16">
        <f>IF(ISNUMBER(D71), $B91 * E71, "")</f>
        <v>19660.194174757282</v>
      </c>
      <c r="G71" s="29">
        <v>237</v>
      </c>
      <c r="H71" s="14">
        <f>IF(ISNUMBER(G71), (G71 - $B71) / $B71, "")</f>
        <v>0.15048543689320387</v>
      </c>
      <c r="I71" s="100">
        <f>IF(ISNUMBER(G71), $B91 * H71, "")</f>
        <v>22572.815533980582</v>
      </c>
      <c r="J71" s="13">
        <v>230</v>
      </c>
      <c r="K71" s="14">
        <f>IF(ISNUMBER(J71), (J71 - $B71) / $B71, "")</f>
        <v>0.11650485436893204</v>
      </c>
      <c r="L71" s="16">
        <f>IF(ISNUMBER(J71), $B91 * K71, "")</f>
        <v>17475.728155339806</v>
      </c>
      <c r="M71" s="29">
        <v>229</v>
      </c>
      <c r="N71" s="14">
        <f>IF(ISNUMBER(M71), (M71 - $B71) / $B71, "")</f>
        <v>0.11165048543689321</v>
      </c>
      <c r="O71" s="16">
        <f>IF(ISNUMBER(M71), $B91 * N71, "")</f>
        <v>16747.572815533982</v>
      </c>
      <c r="Q71" s="202"/>
      <c r="R71" s="202"/>
      <c r="S71" s="202"/>
    </row>
    <row r="72" spans="1:19" ht="17.25" thickBot="1">
      <c r="A72" s="125" t="s">
        <v>112</v>
      </c>
      <c r="B72" s="126">
        <v>919</v>
      </c>
      <c r="C72" s="77">
        <v>0.1207317073</v>
      </c>
      <c r="D72" s="15">
        <v>939</v>
      </c>
      <c r="E72" s="32">
        <f t="shared" ref="E72:E75" si="30">IF(ISNUMBER(D72), (D72 - $B72) / $B72, "")</f>
        <v>2.176278563656148E-2</v>
      </c>
      <c r="F72" s="18">
        <f>IF(ISNUMBER(D72), $B91 * E72, "")</f>
        <v>3264.4178454842222</v>
      </c>
      <c r="G72" s="31">
        <v>960</v>
      </c>
      <c r="H72" s="32">
        <f t="shared" ref="H72:H75" si="31">IF(ISNUMBER(G72), (G72 - $B72) / $B72, "")</f>
        <v>4.461371055495103E-2</v>
      </c>
      <c r="I72" s="101">
        <f>IF(ISNUMBER(G72), $B91 * H72, "")</f>
        <v>6692.0565832426546</v>
      </c>
      <c r="J72" s="15">
        <v>959</v>
      </c>
      <c r="K72" s="32">
        <f t="shared" ref="K72:K75" si="32">IF(ISNUMBER(J72), (J72 - $B72) / $B72, "")</f>
        <v>4.3525571273122961E-2</v>
      </c>
      <c r="L72" s="18">
        <f>IF(ISNUMBER(J72), $B91 * K72, "")</f>
        <v>6528.8356909684444</v>
      </c>
      <c r="M72" s="31">
        <v>983</v>
      </c>
      <c r="N72" s="32">
        <f t="shared" ref="N72:N75" si="33">IF(ISNUMBER(M72), (M72 - $B72) / $B72, "")</f>
        <v>6.9640914036996737E-2</v>
      </c>
      <c r="O72" s="18">
        <f>IF(ISNUMBER(M72), $B91 * N72, "")</f>
        <v>10446.137105549511</v>
      </c>
      <c r="Q72" s="202"/>
      <c r="R72" s="202"/>
      <c r="S72" s="202"/>
    </row>
    <row r="73" spans="1:19" ht="17.25" thickBot="1">
      <c r="A73" s="125" t="s">
        <v>126</v>
      </c>
      <c r="B73" s="126">
        <v>130</v>
      </c>
      <c r="C73" s="77">
        <v>0.11111111110000001</v>
      </c>
      <c r="D73" s="15">
        <v>130</v>
      </c>
      <c r="E73" s="32">
        <f t="shared" si="30"/>
        <v>0</v>
      </c>
      <c r="F73" s="18">
        <f>IF(ISNUMBER(D73), $B91 * E73, "")</f>
        <v>0</v>
      </c>
      <c r="G73" s="31">
        <v>131</v>
      </c>
      <c r="H73" s="32">
        <f t="shared" si="31"/>
        <v>7.6923076923076927E-3</v>
      </c>
      <c r="I73" s="101">
        <f>IF(ISNUMBER(G73), $B91 * H73, "")</f>
        <v>1153.8461538461538</v>
      </c>
      <c r="J73" s="15">
        <v>133</v>
      </c>
      <c r="K73" s="32">
        <f t="shared" si="32"/>
        <v>2.3076923076923078E-2</v>
      </c>
      <c r="L73" s="18">
        <f>IF(ISNUMBER(J73), $B91 * K73, "")</f>
        <v>3461.5384615384619</v>
      </c>
      <c r="M73" s="31">
        <v>139</v>
      </c>
      <c r="N73" s="32">
        <f t="shared" si="33"/>
        <v>6.9230769230769235E-2</v>
      </c>
      <c r="O73" s="18">
        <f>IF(ISNUMBER(M73), $B91 * N73, "")</f>
        <v>10384.615384615385</v>
      </c>
      <c r="Q73" s="192"/>
      <c r="R73" s="192"/>
      <c r="S73" s="192"/>
    </row>
    <row r="74" spans="1:19" ht="17.25" thickBot="1">
      <c r="A74" s="125" t="s">
        <v>172</v>
      </c>
      <c r="B74" s="126">
        <v>409</v>
      </c>
      <c r="C74" s="77">
        <v>9.6514745299999996E-2</v>
      </c>
      <c r="D74" s="15">
        <v>404</v>
      </c>
      <c r="E74" s="32">
        <f t="shared" si="30"/>
        <v>-1.2224938875305624E-2</v>
      </c>
      <c r="F74" s="18">
        <f>IF(ISNUMBER(D74), $B91 * E74, "")</f>
        <v>-1833.7408312958437</v>
      </c>
      <c r="G74" s="31">
        <v>413</v>
      </c>
      <c r="H74" s="32">
        <f t="shared" si="31"/>
        <v>9.7799511002444987E-3</v>
      </c>
      <c r="I74" s="101">
        <f>IF(ISNUMBER(G74), $B91 * H74, "")</f>
        <v>1466.9926650366749</v>
      </c>
      <c r="J74" s="15">
        <v>412</v>
      </c>
      <c r="K74" s="32">
        <f t="shared" si="32"/>
        <v>7.3349633251833741E-3</v>
      </c>
      <c r="L74" s="18">
        <f>IF(ISNUMBER(J74), $B91 * K74, "")</f>
        <v>1100.2444987775061</v>
      </c>
      <c r="M74" s="31">
        <v>415</v>
      </c>
      <c r="N74" s="32">
        <f t="shared" si="33"/>
        <v>1.4669926650366748E-2</v>
      </c>
      <c r="O74" s="18">
        <f>IF(ISNUMBER(M74), $B91 * N74, "")</f>
        <v>2200.4889975550122</v>
      </c>
      <c r="Q74" s="192"/>
      <c r="R74" s="192"/>
      <c r="S74" s="192"/>
    </row>
    <row r="75" spans="1:19" ht="17.25" thickBot="1">
      <c r="A75" s="127" t="s">
        <v>228</v>
      </c>
      <c r="B75" s="128">
        <v>311</v>
      </c>
      <c r="C75" s="78">
        <v>9.1228070199999997E-2</v>
      </c>
      <c r="D75" s="20">
        <v>312</v>
      </c>
      <c r="E75" s="21">
        <f t="shared" si="30"/>
        <v>3.2154340836012861E-3</v>
      </c>
      <c r="F75" s="22">
        <f>IF(ISNUMBER(D75), $B91 * E75, "")</f>
        <v>482.3151125401929</v>
      </c>
      <c r="G75" s="30">
        <v>324</v>
      </c>
      <c r="H75" s="21">
        <f t="shared" si="31"/>
        <v>4.1800643086816719E-2</v>
      </c>
      <c r="I75" s="105">
        <f>IF(ISNUMBER(G75), $B91 * H75, "")</f>
        <v>6270.096463022508</v>
      </c>
      <c r="J75" s="20">
        <v>321</v>
      </c>
      <c r="K75" s="21">
        <f t="shared" si="32"/>
        <v>3.215434083601286E-2</v>
      </c>
      <c r="L75" s="22">
        <f>IF(ISNUMBER(J75), $B91 * K75, "")</f>
        <v>4823.1511254019288</v>
      </c>
      <c r="M75" s="30">
        <v>333</v>
      </c>
      <c r="N75" s="21">
        <f t="shared" si="33"/>
        <v>7.0739549839228297E-2</v>
      </c>
      <c r="O75" s="22">
        <f>IF(ISNUMBER(M75), $B91 * N75, "")</f>
        <v>10610.932475884245</v>
      </c>
      <c r="Q75" s="192"/>
      <c r="R75" s="192"/>
      <c r="S75" s="192"/>
    </row>
    <row r="76" spans="1:19" ht="17.25" thickBot="1">
      <c r="A76" s="125" t="s">
        <v>108</v>
      </c>
      <c r="B76" s="129">
        <v>157</v>
      </c>
      <c r="C76" s="80">
        <v>9.02777778E-2</v>
      </c>
      <c r="D76" s="106">
        <v>165</v>
      </c>
      <c r="E76" s="107">
        <f>IF(ISNUMBER(D76), (D76 - $B76) / $B76, "")</f>
        <v>5.0955414012738856E-2</v>
      </c>
      <c r="F76" s="108">
        <f>IF(ISNUMBER(D76), $B91 * E76, "")</f>
        <v>7643.3121019108285</v>
      </c>
      <c r="G76" s="109">
        <v>166</v>
      </c>
      <c r="H76" s="107">
        <f>IF(ISNUMBER(G76), (G76 - $B76) / $B76, "")</f>
        <v>5.7324840764331211E-2</v>
      </c>
      <c r="I76" s="110">
        <f>IF(ISNUMBER(G76), $B91 * H76, "")</f>
        <v>8598.7261146496821</v>
      </c>
      <c r="J76" s="106">
        <v>166</v>
      </c>
      <c r="K76" s="107">
        <f>IF(ISNUMBER(J76), (J76 - $B76) / $B76, "")</f>
        <v>5.7324840764331211E-2</v>
      </c>
      <c r="L76" s="108">
        <f>IF(ISNUMBER(J76), $B91 * K76, "")</f>
        <v>8598.7261146496821</v>
      </c>
      <c r="M76" s="109">
        <v>167</v>
      </c>
      <c r="N76" s="107">
        <f>IF(ISNUMBER(M76), (M76 - $B76) / $B76, "")</f>
        <v>6.3694267515923567E-2</v>
      </c>
      <c r="O76" s="108">
        <f>IF(ISNUMBER(M76), $B91 * N76, "")</f>
        <v>9554.1401273885349</v>
      </c>
      <c r="Q76" s="192"/>
      <c r="R76" s="192"/>
      <c r="S76" s="192"/>
    </row>
    <row r="77" spans="1:19" ht="17.25" thickBot="1">
      <c r="A77" s="125" t="s">
        <v>130</v>
      </c>
      <c r="B77" s="126">
        <v>113</v>
      </c>
      <c r="C77" s="77">
        <v>8.6538461499999997E-2</v>
      </c>
      <c r="D77" s="15">
        <v>115</v>
      </c>
      <c r="E77" s="32">
        <f t="shared" ref="E77:E80" si="34">IF(ISNUMBER(D77), (D77 - $B77) / $B77, "")</f>
        <v>1.7699115044247787E-2</v>
      </c>
      <c r="F77" s="18">
        <f>IF(ISNUMBER(D77), $B91 * E77, "")</f>
        <v>2654.8672566371679</v>
      </c>
      <c r="G77" s="31">
        <v>121</v>
      </c>
      <c r="H77" s="32">
        <f t="shared" ref="H77:H80" si="35">IF(ISNUMBER(G77), (G77 - $B77) / $B77, "")</f>
        <v>7.0796460176991149E-2</v>
      </c>
      <c r="I77" s="101">
        <f>IF(ISNUMBER(G77), $B91 * H77, "")</f>
        <v>10619.469026548672</v>
      </c>
      <c r="J77" s="15">
        <v>123</v>
      </c>
      <c r="K77" s="32">
        <f t="shared" ref="K77:K80" si="36">IF(ISNUMBER(J77), (J77 - $B77) / $B77, "")</f>
        <v>8.8495575221238937E-2</v>
      </c>
      <c r="L77" s="18">
        <f>IF(ISNUMBER(J77), $B91 * K77, "")</f>
        <v>13274.336283185841</v>
      </c>
      <c r="M77" s="31">
        <v>124</v>
      </c>
      <c r="N77" s="32">
        <f t="shared" ref="N77:N80" si="37">IF(ISNUMBER(M77), (M77 - $B77) / $B77, "")</f>
        <v>9.7345132743362831E-2</v>
      </c>
      <c r="O77" s="18">
        <f>IF(ISNUMBER(M77), $B91 * N77, "")</f>
        <v>14601.769911504425</v>
      </c>
      <c r="Q77" s="192"/>
      <c r="R77" s="192"/>
      <c r="S77" s="192"/>
    </row>
    <row r="78" spans="1:19" ht="17.25" thickBot="1">
      <c r="A78" s="125" t="s">
        <v>198</v>
      </c>
      <c r="B78" s="126">
        <v>178</v>
      </c>
      <c r="C78" s="77">
        <v>7.8787878800000002E-2</v>
      </c>
      <c r="D78" s="15">
        <v>186</v>
      </c>
      <c r="E78" s="32">
        <f t="shared" si="34"/>
        <v>4.49438202247191E-2</v>
      </c>
      <c r="F78" s="18">
        <f>IF(ISNUMBER(D78), $B91 * E78, "")</f>
        <v>6741.5730337078649</v>
      </c>
      <c r="G78" s="31">
        <v>188</v>
      </c>
      <c r="H78" s="32">
        <f t="shared" si="35"/>
        <v>5.6179775280898875E-2</v>
      </c>
      <c r="I78" s="101">
        <f>IF(ISNUMBER(G78), $B91 * H78, "")</f>
        <v>8426.9662921348317</v>
      </c>
      <c r="J78" s="15">
        <v>189</v>
      </c>
      <c r="K78" s="32">
        <f t="shared" si="36"/>
        <v>6.1797752808988762E-2</v>
      </c>
      <c r="L78" s="18">
        <f>IF(ISNUMBER(J78), $B91 * K78, "")</f>
        <v>9269.6629213483138</v>
      </c>
      <c r="M78" s="31">
        <v>189</v>
      </c>
      <c r="N78" s="32">
        <f t="shared" si="37"/>
        <v>6.1797752808988762E-2</v>
      </c>
      <c r="O78" s="18">
        <f>IF(ISNUMBER(M78), $B91 * N78, "")</f>
        <v>9269.6629213483138</v>
      </c>
      <c r="Q78" s="192"/>
      <c r="R78" s="192"/>
      <c r="S78" s="192"/>
    </row>
    <row r="79" spans="1:19" ht="17.25" thickBot="1">
      <c r="A79" s="125" t="s">
        <v>226</v>
      </c>
      <c r="B79" s="126">
        <v>835</v>
      </c>
      <c r="C79" s="77">
        <v>7.7419354800000006E-2</v>
      </c>
      <c r="D79" s="15">
        <v>855</v>
      </c>
      <c r="E79" s="32">
        <f t="shared" si="34"/>
        <v>2.3952095808383235E-2</v>
      </c>
      <c r="F79" s="18">
        <f>IF(ISNUMBER(D79), $B91 * E79, "")</f>
        <v>3592.8143712574852</v>
      </c>
      <c r="G79" s="31">
        <v>867</v>
      </c>
      <c r="H79" s="32">
        <f t="shared" si="35"/>
        <v>3.8323353293413173E-2</v>
      </c>
      <c r="I79" s="101">
        <f>IF(ISNUMBER(G79), $B91 * H79, "")</f>
        <v>5748.5029940119757</v>
      </c>
      <c r="J79" s="15">
        <v>868</v>
      </c>
      <c r="K79" s="32">
        <f t="shared" si="36"/>
        <v>3.9520958083832339E-2</v>
      </c>
      <c r="L79" s="18">
        <f>IF(ISNUMBER(J79), $B91 * K79, "")</f>
        <v>5928.1437125748507</v>
      </c>
      <c r="M79" s="31">
        <v>892</v>
      </c>
      <c r="N79" s="32">
        <f t="shared" si="37"/>
        <v>6.8263473053892215E-2</v>
      </c>
      <c r="O79" s="18">
        <f>IF(ISNUMBER(M79), $B91 * N79, "")</f>
        <v>10239.520958083833</v>
      </c>
      <c r="Q79" s="33"/>
      <c r="R79" s="33"/>
    </row>
    <row r="80" spans="1:19" ht="17.25" thickBot="1">
      <c r="A80" s="130" t="s">
        <v>212</v>
      </c>
      <c r="B80" s="131">
        <v>933</v>
      </c>
      <c r="C80" s="79">
        <v>7.6124567500000004E-2</v>
      </c>
      <c r="D80" s="24">
        <v>965</v>
      </c>
      <c r="E80" s="25">
        <f t="shared" si="34"/>
        <v>3.4297963558413719E-2</v>
      </c>
      <c r="F80" s="104">
        <f>IF(ISNUMBER(D80), $B91 * E80, "")</f>
        <v>5144.6945337620582</v>
      </c>
      <c r="G80" s="102">
        <v>986</v>
      </c>
      <c r="H80" s="25">
        <f t="shared" si="35"/>
        <v>5.6806002143622719E-2</v>
      </c>
      <c r="I80" s="103">
        <f>IF(ISNUMBER(G80), $B91 * H80, "")</f>
        <v>8520.9003215434077</v>
      </c>
      <c r="J80" s="24">
        <v>980</v>
      </c>
      <c r="K80" s="25">
        <f t="shared" si="36"/>
        <v>5.0375133976420149E-2</v>
      </c>
      <c r="L80" s="104">
        <f>IF(ISNUMBER(J80), $B91 * K80, "")</f>
        <v>7556.2700964630221</v>
      </c>
      <c r="M80" s="102">
        <v>1005</v>
      </c>
      <c r="N80" s="25">
        <f t="shared" si="37"/>
        <v>7.7170418006430874E-2</v>
      </c>
      <c r="O80" s="104">
        <f>IF(ISNUMBER(M80), $B91 * N80, "")</f>
        <v>11575.56270096463</v>
      </c>
      <c r="Q80" s="193"/>
      <c r="R80" s="194"/>
      <c r="S80" s="195"/>
    </row>
    <row r="81" spans="1:19">
      <c r="A81" s="123" t="s">
        <v>220</v>
      </c>
      <c r="B81" s="124">
        <v>160</v>
      </c>
      <c r="C81" s="76">
        <v>6.6666666700000002E-2</v>
      </c>
      <c r="D81" s="13">
        <v>168</v>
      </c>
      <c r="E81" s="14">
        <f>IF(ISNUMBER(D81), (D81 - $B81) / $B81, "")</f>
        <v>0.05</v>
      </c>
      <c r="F81" s="16">
        <f>IF(ISNUMBER(D81), $B91 * E81, "")</f>
        <v>7500</v>
      </c>
      <c r="G81" s="29">
        <v>169</v>
      </c>
      <c r="H81" s="14">
        <f>IF(ISNUMBER(G81), (G81 - $B81) / $B81, "")</f>
        <v>5.6250000000000001E-2</v>
      </c>
      <c r="I81" s="100">
        <f>IF(ISNUMBER(G81), $B91 * H81, "")</f>
        <v>8437.5</v>
      </c>
      <c r="J81" s="13">
        <v>169</v>
      </c>
      <c r="K81" s="14">
        <f>IF(ISNUMBER(J81), (J81 - $B81) / $B81, "")</f>
        <v>5.6250000000000001E-2</v>
      </c>
      <c r="L81" s="16">
        <f>IF(ISNUMBER(J81), $B91 * K81, "")</f>
        <v>8437.5</v>
      </c>
      <c r="M81" s="29">
        <v>169</v>
      </c>
      <c r="N81" s="14">
        <f>IF(ISNUMBER(M81), (M81 - $B81) / $B81, "")</f>
        <v>5.6250000000000001E-2</v>
      </c>
      <c r="O81" s="16">
        <f>IF(ISNUMBER(M81), $B91 * N81, "")</f>
        <v>8437.5</v>
      </c>
      <c r="Q81" s="196"/>
      <c r="R81" s="197"/>
      <c r="S81" s="198"/>
    </row>
    <row r="82" spans="1:19" ht="17.25" thickBot="1">
      <c r="A82" s="125" t="s">
        <v>216</v>
      </c>
      <c r="B82" s="126">
        <v>136</v>
      </c>
      <c r="C82" s="77">
        <v>6.25E-2</v>
      </c>
      <c r="D82" s="15">
        <v>136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138</v>
      </c>
      <c r="H82" s="32">
        <f t="shared" ref="H82:H85" si="39">IF(ISNUMBER(G82), (G82 - $B82) / $B82, "")</f>
        <v>1.4705882352941176E-2</v>
      </c>
      <c r="I82" s="101">
        <f>IF(ISNUMBER(G82), $B91 * H82, "")</f>
        <v>2205.8823529411766</v>
      </c>
      <c r="J82" s="15">
        <v>138</v>
      </c>
      <c r="K82" s="32">
        <f t="shared" ref="K82:K85" si="40">IF(ISNUMBER(J82), (J82 - $B82) / $B82, "")</f>
        <v>1.4705882352941176E-2</v>
      </c>
      <c r="L82" s="18">
        <f>IF(ISNUMBER(J82), $B91 * K82, "")</f>
        <v>2205.8823529411766</v>
      </c>
      <c r="M82" s="31">
        <v>139</v>
      </c>
      <c r="N82" s="32">
        <f t="shared" ref="N82:N85" si="41">IF(ISNUMBER(M82), (M82 - $B82) / $B82, "")</f>
        <v>2.2058823529411766E-2</v>
      </c>
      <c r="O82" s="18">
        <f>IF(ISNUMBER(M82), $B91 * N82, "")</f>
        <v>3308.8235294117649</v>
      </c>
      <c r="Q82" s="199"/>
      <c r="R82" s="200"/>
      <c r="S82" s="201"/>
    </row>
    <row r="83" spans="1:19" ht="17.25" thickBot="1">
      <c r="A83" s="125" t="s">
        <v>116</v>
      </c>
      <c r="B83" s="126">
        <v>205</v>
      </c>
      <c r="C83" s="77">
        <v>6.2176165800000002E-2</v>
      </c>
      <c r="D83" s="15">
        <v>211</v>
      </c>
      <c r="E83" s="32">
        <f t="shared" si="38"/>
        <v>2.9268292682926831E-2</v>
      </c>
      <c r="F83" s="18">
        <f>IF(ISNUMBER(D83), $B91 * E83, "")</f>
        <v>4390.2439024390251</v>
      </c>
      <c r="G83" s="31">
        <v>213</v>
      </c>
      <c r="H83" s="32">
        <f t="shared" si="39"/>
        <v>3.9024390243902439E-2</v>
      </c>
      <c r="I83" s="101">
        <f>IF(ISNUMBER(G83), $B91 * H83, "")</f>
        <v>5853.6585365853662</v>
      </c>
      <c r="J83" s="15">
        <v>214</v>
      </c>
      <c r="K83" s="32">
        <f t="shared" si="40"/>
        <v>4.3902439024390241E-2</v>
      </c>
      <c r="L83" s="18">
        <f>IF(ISNUMBER(J83), $B91 * K83, "")</f>
        <v>6585.3658536585363</v>
      </c>
      <c r="M83" s="31">
        <v>216</v>
      </c>
      <c r="N83" s="32">
        <f t="shared" si="41"/>
        <v>5.3658536585365853E-2</v>
      </c>
      <c r="O83" s="18">
        <f>IF(ISNUMBER(M83), $B91 * N83, "")</f>
        <v>8048.7804878048782</v>
      </c>
      <c r="Q83" s="192"/>
      <c r="R83" s="192"/>
      <c r="S83" s="192"/>
    </row>
    <row r="84" spans="1:19" ht="17.25" thickBot="1">
      <c r="A84" s="125" t="s">
        <v>236</v>
      </c>
      <c r="B84" s="126">
        <v>120</v>
      </c>
      <c r="C84" s="77">
        <v>6.1946902700000001E-2</v>
      </c>
      <c r="D84" s="15">
        <v>121</v>
      </c>
      <c r="E84" s="32">
        <f t="shared" si="38"/>
        <v>8.3333333333333332E-3</v>
      </c>
      <c r="F84" s="18">
        <f>IF(ISNUMBER(D84), $B91 * E84, "")</f>
        <v>1250</v>
      </c>
      <c r="G84" s="31">
        <v>122</v>
      </c>
      <c r="H84" s="32">
        <f t="shared" si="39"/>
        <v>1.6666666666666666E-2</v>
      </c>
      <c r="I84" s="101">
        <f>IF(ISNUMBER(G84), $B91 * H84, "")</f>
        <v>2500</v>
      </c>
      <c r="J84" s="15">
        <v>121</v>
      </c>
      <c r="K84" s="32">
        <f t="shared" si="40"/>
        <v>8.3333333333333332E-3</v>
      </c>
      <c r="L84" s="18">
        <f>IF(ISNUMBER(J84), $B91 * K84, "")</f>
        <v>1250</v>
      </c>
      <c r="M84" s="31">
        <v>124</v>
      </c>
      <c r="N84" s="32">
        <f t="shared" si="41"/>
        <v>3.3333333333333333E-2</v>
      </c>
      <c r="O84" s="18">
        <f>IF(ISNUMBER(M84), $B91 * N84, "")</f>
        <v>5000</v>
      </c>
      <c r="Q84" s="202"/>
      <c r="R84" s="202"/>
      <c r="S84" s="202"/>
    </row>
    <row r="85" spans="1:19" ht="17.25" thickBot="1">
      <c r="A85" s="127" t="s">
        <v>252</v>
      </c>
      <c r="B85" s="128">
        <v>362</v>
      </c>
      <c r="C85" s="78">
        <v>5.5393586000000002E-2</v>
      </c>
      <c r="D85" s="20">
        <v>389</v>
      </c>
      <c r="E85" s="21">
        <f t="shared" si="38"/>
        <v>7.4585635359116026E-2</v>
      </c>
      <c r="F85" s="22">
        <f>IF(ISNUMBER(D85), $B91 * E85, "")</f>
        <v>11187.845303867403</v>
      </c>
      <c r="G85" s="30">
        <v>390</v>
      </c>
      <c r="H85" s="21">
        <f t="shared" si="39"/>
        <v>7.7348066298342538E-2</v>
      </c>
      <c r="I85" s="105">
        <f>IF(ISNUMBER(G85), $B91 * H85, "")</f>
        <v>11602.209944751381</v>
      </c>
      <c r="J85" s="20">
        <v>390</v>
      </c>
      <c r="K85" s="21">
        <f t="shared" si="40"/>
        <v>7.7348066298342538E-2</v>
      </c>
      <c r="L85" s="22">
        <f>IF(ISNUMBER(J85), $B91 * K85, "")</f>
        <v>11602.209944751381</v>
      </c>
      <c r="M85" s="30">
        <v>398</v>
      </c>
      <c r="N85" s="21">
        <f t="shared" si="41"/>
        <v>9.9447513812154692E-2</v>
      </c>
      <c r="O85" s="22">
        <f>IF(ISNUMBER(M85), $B91 * N85, "")</f>
        <v>14917.127071823204</v>
      </c>
      <c r="Q85" s="202"/>
      <c r="R85" s="202"/>
      <c r="S85" s="202"/>
    </row>
    <row r="86" spans="1:19" ht="17.25" thickBot="1">
      <c r="A86" s="125" t="s">
        <v>61</v>
      </c>
      <c r="B86" s="129">
        <v>886</v>
      </c>
      <c r="C86" s="80">
        <v>5.3507728900000003E-2</v>
      </c>
      <c r="D86" s="106">
        <v>902</v>
      </c>
      <c r="E86" s="107">
        <f>IF(ISNUMBER(D86), (D86 - $B86) / $B86, "")</f>
        <v>1.8058690744920992E-2</v>
      </c>
      <c r="F86" s="108">
        <f>IF(ISNUMBER(D86), $B91 * E86, "")</f>
        <v>2708.8036117381489</v>
      </c>
      <c r="G86" s="109">
        <v>924</v>
      </c>
      <c r="H86" s="107">
        <f>IF(ISNUMBER(G86), (G86 - $B86) / $B86, "")</f>
        <v>4.2889390519187359E-2</v>
      </c>
      <c r="I86" s="110">
        <f>IF(ISNUMBER(G86), $B91 * H86, "")</f>
        <v>6433.4085778781036</v>
      </c>
      <c r="J86" s="106">
        <v>919</v>
      </c>
      <c r="K86" s="107">
        <f>IF(ISNUMBER(J86), (J86 - $B86) / $B86, "")</f>
        <v>3.724604966139955E-2</v>
      </c>
      <c r="L86" s="108">
        <f>IF(ISNUMBER(J86), $B91 * K86, "")</f>
        <v>5586.9074492099326</v>
      </c>
      <c r="M86" s="109">
        <v>933</v>
      </c>
      <c r="N86" s="107">
        <f>IF(ISNUMBER(M86), (M86 - $B86) / $B86, "")</f>
        <v>5.3047404063205419E-2</v>
      </c>
      <c r="O86" s="108">
        <f>IF(ISNUMBER(M86), $B91 * N86, "")</f>
        <v>7957.1106094808129</v>
      </c>
      <c r="Q86" s="192"/>
      <c r="R86" s="192"/>
      <c r="S86" s="192"/>
    </row>
    <row r="87" spans="1:19" ht="17.25" thickBot="1">
      <c r="A87" s="125" t="s">
        <v>250</v>
      </c>
      <c r="B87" s="126">
        <v>988</v>
      </c>
      <c r="C87" s="77">
        <v>5.3304904100000002E-2</v>
      </c>
      <c r="D87" s="15">
        <v>996</v>
      </c>
      <c r="E87" s="32">
        <f t="shared" ref="E87:E90" si="42">IF(ISNUMBER(D87), (D87 - $B87) / $B87, "")</f>
        <v>8.0971659919028341E-3</v>
      </c>
      <c r="F87" s="18">
        <f>IF(ISNUMBER(D87), $B91 * E87, "")</f>
        <v>1214.5748987854251</v>
      </c>
      <c r="G87" s="31">
        <v>1000</v>
      </c>
      <c r="H87" s="32">
        <f t="shared" ref="H87:H90" si="43">IF(ISNUMBER(G87), (G87 - $B87) / $B87, "")</f>
        <v>1.2145748987854251E-2</v>
      </c>
      <c r="I87" s="101">
        <f>IF(ISNUMBER(G87), $B91 * H87, "")</f>
        <v>1821.8623481781376</v>
      </c>
      <c r="J87" s="15">
        <v>1005</v>
      </c>
      <c r="K87" s="32">
        <f t="shared" ref="K87:K90" si="44">IF(ISNUMBER(J87), (J87 - $B87) / $B87, "")</f>
        <v>1.7206477732793522E-2</v>
      </c>
      <c r="L87" s="18">
        <f>IF(ISNUMBER(J87), $B91 * K87, "")</f>
        <v>2580.9716599190283</v>
      </c>
      <c r="M87" s="31">
        <v>1015</v>
      </c>
      <c r="N87" s="32">
        <f t="shared" ref="N87:N90" si="45">IF(ISNUMBER(M87), (M87 - $B87) / $B87, "")</f>
        <v>2.7327935222672066E-2</v>
      </c>
      <c r="O87" s="18">
        <f>IF(ISNUMBER(M87), $B91 * N87, "")</f>
        <v>4099.1902834008097</v>
      </c>
      <c r="Q87" s="192"/>
      <c r="R87" s="192"/>
      <c r="S87" s="192"/>
    </row>
    <row r="88" spans="1:19" ht="17.25" thickBot="1">
      <c r="A88" s="125" t="s">
        <v>122</v>
      </c>
      <c r="B88" s="126">
        <v>559</v>
      </c>
      <c r="C88" s="77">
        <v>5.2730696799999997E-2</v>
      </c>
      <c r="D88" s="15">
        <v>575</v>
      </c>
      <c r="E88" s="32">
        <f t="shared" si="42"/>
        <v>2.8622540250447227E-2</v>
      </c>
      <c r="F88" s="18">
        <f>IF(ISNUMBER(D88), $B91 * E88, "")</f>
        <v>4293.3810375670837</v>
      </c>
      <c r="G88" s="31">
        <v>583</v>
      </c>
      <c r="H88" s="32">
        <f t="shared" si="43"/>
        <v>4.2933810375670838E-2</v>
      </c>
      <c r="I88" s="101">
        <f>IF(ISNUMBER(G88), $B91 * H88, "")</f>
        <v>6440.0715563506255</v>
      </c>
      <c r="J88" s="15">
        <v>585</v>
      </c>
      <c r="K88" s="32">
        <f t="shared" si="44"/>
        <v>4.6511627906976744E-2</v>
      </c>
      <c r="L88" s="18">
        <f>IF(ISNUMBER(J88), $B91 * K88, "")</f>
        <v>6976.7441860465115</v>
      </c>
      <c r="M88" s="31">
        <v>598</v>
      </c>
      <c r="N88" s="32">
        <f t="shared" si="45"/>
        <v>6.9767441860465115E-2</v>
      </c>
      <c r="O88" s="18">
        <f>IF(ISNUMBER(M88), $B91 * N88, "")</f>
        <v>10465.116279069767</v>
      </c>
      <c r="Q88" s="192"/>
      <c r="R88" s="192"/>
      <c r="S88" s="192"/>
    </row>
    <row r="89" spans="1:19">
      <c r="A89" s="125" t="s">
        <v>234</v>
      </c>
      <c r="B89" s="126">
        <v>601</v>
      </c>
      <c r="C89" s="77">
        <v>5.2539404599999999E-2</v>
      </c>
      <c r="D89" s="15">
        <v>627</v>
      </c>
      <c r="E89" s="32">
        <f t="shared" si="42"/>
        <v>4.3261231281198007E-2</v>
      </c>
      <c r="F89" s="18">
        <f>IF(ISNUMBER(D89), $B91 * E89, "")</f>
        <v>6489.1846921797014</v>
      </c>
      <c r="G89" s="31">
        <v>625</v>
      </c>
      <c r="H89" s="32">
        <f t="shared" si="43"/>
        <v>3.9933444259567387E-2</v>
      </c>
      <c r="I89" s="101">
        <f>IF(ISNUMBER(G89), $B91 * H89, "")</f>
        <v>5990.0166389351079</v>
      </c>
      <c r="J89" s="15">
        <v>630</v>
      </c>
      <c r="K89" s="32">
        <f t="shared" si="44"/>
        <v>4.8252911813643926E-2</v>
      </c>
      <c r="L89" s="18">
        <f>IF(ISNUMBER(J89), $B91 * K89, "")</f>
        <v>7237.9367720465889</v>
      </c>
      <c r="M89" s="31">
        <v>648</v>
      </c>
      <c r="N89" s="32">
        <f t="shared" si="45"/>
        <v>7.8202995008319467E-2</v>
      </c>
      <c r="O89" s="18">
        <f>IF(ISNUMBER(M89), $B91 * N89, "")</f>
        <v>11730.449251247921</v>
      </c>
      <c r="Q89" s="181"/>
      <c r="R89" s="182"/>
      <c r="S89" s="183"/>
    </row>
    <row r="90" spans="1:19" ht="17.25" thickBot="1">
      <c r="A90" s="130" t="s">
        <v>57</v>
      </c>
      <c r="B90" s="131">
        <v>188</v>
      </c>
      <c r="C90" s="79">
        <v>5.0279329599999999E-2</v>
      </c>
      <c r="D90" s="24">
        <v>190</v>
      </c>
      <c r="E90" s="25">
        <f t="shared" si="42"/>
        <v>1.0638297872340425E-2</v>
      </c>
      <c r="F90" s="104">
        <f>IF(ISNUMBER(D90), $B91 * E90, "")</f>
        <v>1595.7446808510638</v>
      </c>
      <c r="G90" s="102">
        <v>192</v>
      </c>
      <c r="H90" s="25">
        <f t="shared" si="43"/>
        <v>2.1276595744680851E-2</v>
      </c>
      <c r="I90" s="103">
        <f>IF(ISNUMBER(G90), $B91 * H90, "")</f>
        <v>3191.4893617021276</v>
      </c>
      <c r="J90" s="24">
        <v>194</v>
      </c>
      <c r="K90" s="25">
        <f t="shared" si="44"/>
        <v>3.1914893617021274E-2</v>
      </c>
      <c r="L90" s="104">
        <f>IF(ISNUMBER(J90), $B91 * K90, "")</f>
        <v>4787.2340425531911</v>
      </c>
      <c r="M90" s="102">
        <v>198</v>
      </c>
      <c r="N90" s="25">
        <f t="shared" si="45"/>
        <v>5.3191489361702128E-2</v>
      </c>
      <c r="O90" s="104">
        <f>IF(ISNUMBER(M90), $B91 * N90, "")</f>
        <v>7978.7234042553191</v>
      </c>
      <c r="Q90" s="184"/>
      <c r="R90" s="185"/>
      <c r="S90" s="186"/>
    </row>
    <row r="91" spans="1:19" ht="17.25" thickBot="1">
      <c r="A91" s="132" t="s">
        <v>268</v>
      </c>
      <c r="B91" s="245">
        <f>$B$37</f>
        <v>150000</v>
      </c>
      <c r="C91" s="246"/>
      <c r="D91" s="26" t="s">
        <v>269</v>
      </c>
      <c r="E91" s="27">
        <f>IF(COUNT(E71:E90), SUM(E71:E90) / COUNT(E71:E90), 0)</f>
        <v>2.9326741908729699E-2</v>
      </c>
      <c r="F91" s="28">
        <f>SUM(F71:F90)</f>
        <v>87980.225726189092</v>
      </c>
      <c r="G91" s="26" t="s">
        <v>269</v>
      </c>
      <c r="H91" s="27">
        <f>IF(COUNT(H71:H90), SUM(H71:H90) / COUNT(H71:H90), 0)</f>
        <v>4.4848823821779724E-2</v>
      </c>
      <c r="I91" s="28">
        <f>SUM(I71:I90)</f>
        <v>134546.47146533916</v>
      </c>
      <c r="J91" s="26" t="s">
        <v>269</v>
      </c>
      <c r="K91" s="27">
        <f>IF(COUNT(K71:K90), SUM(K71:K90) / COUNT(K71:K90), 0)</f>
        <v>4.5089129773791391E-2</v>
      </c>
      <c r="L91" s="28">
        <f>SUM(L71:L90)</f>
        <v>135267.38932137421</v>
      </c>
      <c r="M91" s="26" t="s">
        <v>269</v>
      </c>
      <c r="N91" s="27">
        <f>IF(COUNT(N71:N90), SUM(N71:N90) / COUNT(N71:N90), 0)</f>
        <v>6.2524408104974102E-2</v>
      </c>
      <c r="O91" s="28">
        <f>SUM(O71:O90)</f>
        <v>187573.22431492235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61" t="s">
        <v>265</v>
      </c>
      <c r="B95" s="203" t="s">
        <v>49</v>
      </c>
      <c r="C95" s="205"/>
      <c r="D95" s="203" t="s">
        <v>58</v>
      </c>
      <c r="E95" s="204"/>
      <c r="F95" s="205"/>
      <c r="G95" s="206">
        <f>_xlfn.IFNA(VLOOKUP(B95, 현재가테이블!$B$2:$D$200, 2, FALSE), "-")</f>
        <v>62630000</v>
      </c>
      <c r="H95" s="207"/>
      <c r="I95" s="208"/>
      <c r="J95" s="203" t="s">
        <v>59</v>
      </c>
      <c r="K95" s="204"/>
      <c r="L95" s="205"/>
      <c r="M95" s="209">
        <f>_xlfn.IFNA(VLOOKUP(B95, 현재가테이블!$B$2:$D$200, 3, FALSE), "-")</f>
        <v>1.5632601400000001E-2</v>
      </c>
      <c r="N95" s="210"/>
      <c r="O95" s="211"/>
      <c r="Q95" s="202"/>
      <c r="R95" s="202"/>
      <c r="S95" s="202"/>
    </row>
    <row r="96" spans="1:19" ht="17.25" thickBot="1">
      <c r="A96" s="247" t="s">
        <v>55</v>
      </c>
      <c r="B96" s="243" t="str">
        <f>TEXT($G$1, "[$-ko-KR]yyyy-mm-dd(ddd) ") &amp; "오전 00:00"</f>
        <v>2021-10-02(토) 오전 00:00</v>
      </c>
      <c r="C96" s="244"/>
      <c r="D96" s="216" t="str">
        <f>TEXT($G$1, "[$-ko-KR]yyyy-mm-dd(ddd) ") &amp; "오후 14:00"</f>
        <v>2021-10-02(토) 오후 14:00</v>
      </c>
      <c r="E96" s="217"/>
      <c r="F96" s="218"/>
      <c r="G96" s="216" t="str">
        <f>TEXT($G$1, "[$-ko-KR]yyyy-mm-dd(ddd) ") &amp; "오후 19:00"</f>
        <v>2021-10-02(토) 오후 19:00</v>
      </c>
      <c r="H96" s="217"/>
      <c r="I96" s="218"/>
      <c r="J96" s="216" t="str">
        <f>TEXT($G$1, "[$-ko-KR]yyyy-mm-dd(ddd) ") &amp; "오후 21:00"</f>
        <v>2021-10-02(토) 오후 21:00</v>
      </c>
      <c r="K96" s="217"/>
      <c r="L96" s="218"/>
      <c r="M96" s="216" t="str">
        <f>TEXT($G$1+1, "[$-ko-KR]yyyy-mm-dd(ddd) ") &amp; "오전 00:00"</f>
        <v>2021-10-03(일) 오전 00:00</v>
      </c>
      <c r="N96" s="217"/>
      <c r="O96" s="218"/>
      <c r="Q96" s="202"/>
      <c r="R96" s="202"/>
      <c r="S96" s="202"/>
    </row>
    <row r="97" spans="1:19" ht="17.25" thickBot="1">
      <c r="A97" s="24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2" t="s">
        <v>58</v>
      </c>
      <c r="H97" s="163" t="s">
        <v>266</v>
      </c>
      <c r="I97" s="16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192"/>
      <c r="R97" s="192"/>
      <c r="S97" s="192"/>
    </row>
    <row r="98" spans="1:19" ht="17.25" thickBot="1">
      <c r="A98" s="123" t="s">
        <v>152</v>
      </c>
      <c r="B98" s="124">
        <v>112450</v>
      </c>
      <c r="C98" s="76">
        <v>0.23639362289999999</v>
      </c>
      <c r="D98" s="13">
        <v>138700</v>
      </c>
      <c r="E98" s="14">
        <f>IF(ISNUMBER(D98), (D98 - $B98) / $B98, "")</f>
        <v>0.2334370831480658</v>
      </c>
      <c r="F98" s="16">
        <f>IF(ISNUMBER(D98), $B118 * E98, "")</f>
        <v>35015.562472209873</v>
      </c>
      <c r="G98" s="29">
        <v>136700</v>
      </c>
      <c r="H98" s="14">
        <f>IF(ISNUMBER(G98), (G98 - $B98) / $B98, "")</f>
        <v>0.21565140062249888</v>
      </c>
      <c r="I98" s="100">
        <f>IF(ISNUMBER(G98), $B118 * H98, "")</f>
        <v>32347.710093374833</v>
      </c>
      <c r="J98" s="13">
        <v>138050</v>
      </c>
      <c r="K98" s="14">
        <f>IF(ISNUMBER(J98), (J98 - $B98) / $B98, "")</f>
        <v>0.22765673632725655</v>
      </c>
      <c r="L98" s="16">
        <f>IF(ISNUMBER(J98), $B118 * K98, "")</f>
        <v>34148.510449088484</v>
      </c>
      <c r="M98" s="29">
        <v>138150</v>
      </c>
      <c r="N98" s="14">
        <f>IF(ISNUMBER(M98), (M98 - $B98) / $B98, "")</f>
        <v>0.22854602045353489</v>
      </c>
      <c r="O98" s="16">
        <f>IF(ISNUMBER(M98), $B118 * N98, "")</f>
        <v>34281.903068030231</v>
      </c>
      <c r="Q98" s="202"/>
      <c r="R98" s="202"/>
      <c r="S98" s="202"/>
    </row>
    <row r="99" spans="1:19" ht="17.25" thickBot="1">
      <c r="A99" s="125" t="s">
        <v>106</v>
      </c>
      <c r="B99" s="126">
        <v>2300</v>
      </c>
      <c r="C99" s="77">
        <v>0.22994652409999999</v>
      </c>
      <c r="D99" s="15">
        <v>2305</v>
      </c>
      <c r="E99" s="32">
        <f t="shared" ref="E99:E102" si="46">IF(ISNUMBER(D99), (D99 - $B99) / $B99, "")</f>
        <v>2.1739130434782609E-3</v>
      </c>
      <c r="F99" s="18">
        <f>IF(ISNUMBER(D99), $B118 * E99, "")</f>
        <v>326.08695652173913</v>
      </c>
      <c r="G99" s="31">
        <v>2355</v>
      </c>
      <c r="H99" s="32">
        <f t="shared" ref="H99:H102" si="47">IF(ISNUMBER(G99), (G99 - $B99) / $B99, "")</f>
        <v>2.391304347826087E-2</v>
      </c>
      <c r="I99" s="101">
        <f>IF(ISNUMBER(G99), $B118 * H99, "")</f>
        <v>3586.9565217391305</v>
      </c>
      <c r="J99" s="15">
        <v>2475</v>
      </c>
      <c r="K99" s="32">
        <f t="shared" ref="K99:K102" si="48">IF(ISNUMBER(J99), (J99 - $B99) / $B99, "")</f>
        <v>7.6086956521739135E-2</v>
      </c>
      <c r="L99" s="18">
        <f>IF(ISNUMBER(J99), $B118 * K99, "")</f>
        <v>11413.04347826087</v>
      </c>
      <c r="M99" s="31">
        <v>2515</v>
      </c>
      <c r="N99" s="32">
        <f t="shared" ref="N99:N102" si="49">IF(ISNUMBER(M99), (M99 - $B99) / $B99, "")</f>
        <v>9.3478260869565219E-2</v>
      </c>
      <c r="O99" s="18">
        <f>IF(ISNUMBER(M99), $B118 * N99, "")</f>
        <v>14021.739130434782</v>
      </c>
      <c r="Q99" s="202"/>
      <c r="R99" s="202"/>
      <c r="S99" s="202"/>
    </row>
    <row r="100" spans="1:19" ht="17.25" thickBot="1">
      <c r="A100" s="125" t="s">
        <v>224</v>
      </c>
      <c r="B100" s="126">
        <v>1790</v>
      </c>
      <c r="C100" s="77">
        <v>0.1893687708</v>
      </c>
      <c r="D100" s="15">
        <v>1720</v>
      </c>
      <c r="E100" s="32">
        <f t="shared" si="46"/>
        <v>-3.9106145251396648E-2</v>
      </c>
      <c r="F100" s="18">
        <f>IF(ISNUMBER(D100), $B118 * E100, "")</f>
        <v>-5865.921787709497</v>
      </c>
      <c r="G100" s="31">
        <v>1745</v>
      </c>
      <c r="H100" s="32">
        <f t="shared" si="47"/>
        <v>-2.5139664804469275E-2</v>
      </c>
      <c r="I100" s="101">
        <f>IF(ISNUMBER(G100), $B118 * H100, "")</f>
        <v>-3770.9497206703913</v>
      </c>
      <c r="J100" s="15">
        <v>1760</v>
      </c>
      <c r="K100" s="32">
        <f t="shared" si="48"/>
        <v>-1.6759776536312849E-2</v>
      </c>
      <c r="L100" s="18">
        <f>IF(ISNUMBER(J100), $B118 * K100, "")</f>
        <v>-2513.9664804469271</v>
      </c>
      <c r="M100" s="31">
        <v>1790</v>
      </c>
      <c r="N100" s="32">
        <f t="shared" si="49"/>
        <v>0</v>
      </c>
      <c r="O100" s="18">
        <f>IF(ISNUMBER(M100), $B118 * N100, "")</f>
        <v>0</v>
      </c>
      <c r="Q100" s="192"/>
      <c r="R100" s="192"/>
      <c r="S100" s="192"/>
    </row>
    <row r="101" spans="1:19" ht="17.25" thickBot="1">
      <c r="A101" s="125" t="s">
        <v>168</v>
      </c>
      <c r="B101" s="126">
        <v>28240</v>
      </c>
      <c r="C101" s="77">
        <v>0.140549273</v>
      </c>
      <c r="D101" s="15">
        <v>28400</v>
      </c>
      <c r="E101" s="32">
        <f t="shared" si="46"/>
        <v>5.6657223796033997E-3</v>
      </c>
      <c r="F101" s="18">
        <f>IF(ISNUMBER(D101), $B118 * E101, "")</f>
        <v>849.85835694050991</v>
      </c>
      <c r="G101" s="31">
        <v>28700</v>
      </c>
      <c r="H101" s="32">
        <f t="shared" si="47"/>
        <v>1.6288951841359773E-2</v>
      </c>
      <c r="I101" s="101">
        <f>IF(ISNUMBER(G101), $B118 * H101, "")</f>
        <v>2443.342776203966</v>
      </c>
      <c r="J101" s="15">
        <v>29030</v>
      </c>
      <c r="K101" s="32">
        <f t="shared" si="48"/>
        <v>2.7974504249291786E-2</v>
      </c>
      <c r="L101" s="18">
        <f>IF(ISNUMBER(J101), $B118 * K101, "")</f>
        <v>4196.1756373937678</v>
      </c>
      <c r="M101" s="31">
        <v>29490</v>
      </c>
      <c r="N101" s="32">
        <f t="shared" si="49"/>
        <v>4.4263456090651555E-2</v>
      </c>
      <c r="O101" s="18">
        <f>IF(ISNUMBER(M101), $B118 * N101, "")</f>
        <v>6639.5184135977333</v>
      </c>
      <c r="Q101" s="192"/>
      <c r="R101" s="192"/>
      <c r="S101" s="192"/>
    </row>
    <row r="102" spans="1:19" ht="17.25" thickBot="1">
      <c r="A102" s="127" t="s">
        <v>164</v>
      </c>
      <c r="B102" s="128">
        <v>206</v>
      </c>
      <c r="C102" s="78">
        <v>0.13186813189999999</v>
      </c>
      <c r="D102" s="20">
        <v>233</v>
      </c>
      <c r="E102" s="21">
        <f t="shared" si="46"/>
        <v>0.13106796116504854</v>
      </c>
      <c r="F102" s="22">
        <f>IF(ISNUMBER(D102), $B118 * E102, "")</f>
        <v>19660.194174757282</v>
      </c>
      <c r="G102" s="30">
        <v>237</v>
      </c>
      <c r="H102" s="21">
        <f t="shared" si="47"/>
        <v>0.15048543689320387</v>
      </c>
      <c r="I102" s="105">
        <f>IF(ISNUMBER(G102), $B118 * H102, "")</f>
        <v>22572.815533980582</v>
      </c>
      <c r="J102" s="20">
        <v>230</v>
      </c>
      <c r="K102" s="21">
        <f t="shared" si="48"/>
        <v>0.11650485436893204</v>
      </c>
      <c r="L102" s="22">
        <f>IF(ISNUMBER(J102), $B118 * K102, "")</f>
        <v>17475.728155339806</v>
      </c>
      <c r="M102" s="30">
        <v>229</v>
      </c>
      <c r="N102" s="21">
        <f t="shared" si="49"/>
        <v>0.11165048543689321</v>
      </c>
      <c r="O102" s="22">
        <f>IF(ISNUMBER(M102), $B118 * N102, "")</f>
        <v>16747.572815533982</v>
      </c>
      <c r="Q102" s="192"/>
      <c r="R102" s="192"/>
      <c r="S102" s="192"/>
    </row>
    <row r="103" spans="1:19" ht="17.25" thickBot="1">
      <c r="A103" s="125" t="s">
        <v>112</v>
      </c>
      <c r="B103" s="129">
        <v>919</v>
      </c>
      <c r="C103" s="80">
        <v>0.1207317073</v>
      </c>
      <c r="D103" s="106">
        <v>939</v>
      </c>
      <c r="E103" s="107">
        <f>IF(ISNUMBER(D103), (D103 - $B103) / $B103, "")</f>
        <v>2.176278563656148E-2</v>
      </c>
      <c r="F103" s="108">
        <f>IF(ISNUMBER(D103), $B118 * E103, "")</f>
        <v>3264.4178454842222</v>
      </c>
      <c r="G103" s="109">
        <v>960</v>
      </c>
      <c r="H103" s="107">
        <f>IF(ISNUMBER(G103), (G103 - $B103) / $B103, "")</f>
        <v>4.461371055495103E-2</v>
      </c>
      <c r="I103" s="110">
        <f>IF(ISNUMBER(G103), $B118 * H103, "")</f>
        <v>6692.0565832426546</v>
      </c>
      <c r="J103" s="106">
        <v>959</v>
      </c>
      <c r="K103" s="107">
        <f>IF(ISNUMBER(J103), (J103 - $B103) / $B103, "")</f>
        <v>4.3525571273122961E-2</v>
      </c>
      <c r="L103" s="108">
        <f>IF(ISNUMBER(J103), $B118 * K103, "")</f>
        <v>6528.8356909684444</v>
      </c>
      <c r="M103" s="109">
        <v>983</v>
      </c>
      <c r="N103" s="107">
        <f>IF(ISNUMBER(M103), (M103 - $B103) / $B103, "")</f>
        <v>6.9640914036996737E-2</v>
      </c>
      <c r="O103" s="108">
        <f>IF(ISNUMBER(M103), $B118 * N103, "")</f>
        <v>10446.137105549511</v>
      </c>
      <c r="Q103" s="192"/>
      <c r="R103" s="192"/>
      <c r="S103" s="192"/>
    </row>
    <row r="104" spans="1:19" ht="17.25" thickBot="1">
      <c r="A104" s="125" t="s">
        <v>126</v>
      </c>
      <c r="B104" s="126">
        <v>130</v>
      </c>
      <c r="C104" s="77">
        <v>0.11111111110000001</v>
      </c>
      <c r="D104" s="15">
        <v>130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131</v>
      </c>
      <c r="H104" s="32">
        <f t="shared" ref="H104:H107" si="51">IF(ISNUMBER(G104), (G104 - $B104) / $B104, "")</f>
        <v>7.6923076923076927E-3</v>
      </c>
      <c r="I104" s="101">
        <f>IF(ISNUMBER(G104), $B118 * H104, "")</f>
        <v>1153.8461538461538</v>
      </c>
      <c r="J104" s="15">
        <v>133</v>
      </c>
      <c r="K104" s="32">
        <f t="shared" ref="K104:K107" si="52">IF(ISNUMBER(J104), (J104 - $B104) / $B104, "")</f>
        <v>2.3076923076923078E-2</v>
      </c>
      <c r="L104" s="18">
        <f>IF(ISNUMBER(J104), $B118 * K104, "")</f>
        <v>3461.5384615384619</v>
      </c>
      <c r="M104" s="31">
        <v>139</v>
      </c>
      <c r="N104" s="32">
        <f t="shared" ref="N104:N107" si="53">IF(ISNUMBER(M104), (M104 - $B104) / $B104, "")</f>
        <v>6.9230769230769235E-2</v>
      </c>
      <c r="O104" s="18">
        <f>IF(ISNUMBER(M104), $B118 * N104, "")</f>
        <v>10384.615384615385</v>
      </c>
      <c r="Q104" s="192"/>
      <c r="R104" s="192"/>
      <c r="S104" s="192"/>
    </row>
    <row r="105" spans="1:19" ht="17.25" thickBot="1">
      <c r="A105" s="125" t="s">
        <v>172</v>
      </c>
      <c r="B105" s="126">
        <v>409</v>
      </c>
      <c r="C105" s="77">
        <v>9.6514745299999996E-2</v>
      </c>
      <c r="D105" s="15">
        <v>404</v>
      </c>
      <c r="E105" s="32">
        <f t="shared" si="50"/>
        <v>-1.2224938875305624E-2</v>
      </c>
      <c r="F105" s="18">
        <f>IF(ISNUMBER(D105), $B118 * E105, "")</f>
        <v>-1833.7408312958437</v>
      </c>
      <c r="G105" s="31">
        <v>413</v>
      </c>
      <c r="H105" s="32">
        <f t="shared" si="51"/>
        <v>9.7799511002444987E-3</v>
      </c>
      <c r="I105" s="101">
        <f>IF(ISNUMBER(G105), $B118 * H105, "")</f>
        <v>1466.9926650366749</v>
      </c>
      <c r="J105" s="15">
        <v>412</v>
      </c>
      <c r="K105" s="32">
        <f t="shared" si="52"/>
        <v>7.3349633251833741E-3</v>
      </c>
      <c r="L105" s="18">
        <f>IF(ISNUMBER(J105), $B118 * K105, "")</f>
        <v>1100.2444987775061</v>
      </c>
      <c r="M105" s="31">
        <v>415</v>
      </c>
      <c r="N105" s="32">
        <f t="shared" si="53"/>
        <v>1.4669926650366748E-2</v>
      </c>
      <c r="O105" s="18">
        <f>IF(ISNUMBER(M105), $B118 * N105, "")</f>
        <v>2200.4889975550122</v>
      </c>
      <c r="Q105" s="192"/>
      <c r="R105" s="192"/>
      <c r="S105" s="192"/>
    </row>
    <row r="106" spans="1:19" ht="17.25" thickBot="1">
      <c r="A106" s="125" t="s">
        <v>228</v>
      </c>
      <c r="B106" s="126">
        <v>311</v>
      </c>
      <c r="C106" s="77">
        <v>9.1228070199999997E-2</v>
      </c>
      <c r="D106" s="15">
        <v>312</v>
      </c>
      <c r="E106" s="32">
        <f t="shared" si="50"/>
        <v>3.2154340836012861E-3</v>
      </c>
      <c r="F106" s="18">
        <f>IF(ISNUMBER(D106), $B118 * E106, "")</f>
        <v>482.3151125401929</v>
      </c>
      <c r="G106" s="31">
        <v>324</v>
      </c>
      <c r="H106" s="32">
        <f t="shared" si="51"/>
        <v>4.1800643086816719E-2</v>
      </c>
      <c r="I106" s="101">
        <f>IF(ISNUMBER(G106), $B118 * H106, "")</f>
        <v>6270.096463022508</v>
      </c>
      <c r="J106" s="15">
        <v>321</v>
      </c>
      <c r="K106" s="32">
        <f t="shared" si="52"/>
        <v>3.215434083601286E-2</v>
      </c>
      <c r="L106" s="18">
        <f>IF(ISNUMBER(J106), $B118 * K106, "")</f>
        <v>4823.1511254019288</v>
      </c>
      <c r="M106" s="31">
        <v>333</v>
      </c>
      <c r="N106" s="32">
        <f t="shared" si="53"/>
        <v>7.0739549839228297E-2</v>
      </c>
      <c r="O106" s="18">
        <f>IF(ISNUMBER(M106), $B118 * N106, "")</f>
        <v>10610.932475884245</v>
      </c>
      <c r="Q106" s="33"/>
      <c r="R106" s="33"/>
    </row>
    <row r="107" spans="1:19" ht="17.25" thickBot="1">
      <c r="A107" s="130" t="s">
        <v>108</v>
      </c>
      <c r="B107" s="131">
        <v>157</v>
      </c>
      <c r="C107" s="79">
        <v>9.02777778E-2</v>
      </c>
      <c r="D107" s="24">
        <v>165</v>
      </c>
      <c r="E107" s="25">
        <f t="shared" si="50"/>
        <v>5.0955414012738856E-2</v>
      </c>
      <c r="F107" s="104">
        <f>IF(ISNUMBER(D107), $B118 * E107, "")</f>
        <v>7643.3121019108285</v>
      </c>
      <c r="G107" s="102">
        <v>166</v>
      </c>
      <c r="H107" s="25">
        <f t="shared" si="51"/>
        <v>5.7324840764331211E-2</v>
      </c>
      <c r="I107" s="103">
        <f>IF(ISNUMBER(G107), $B118 * H107, "")</f>
        <v>8598.7261146496821</v>
      </c>
      <c r="J107" s="24">
        <v>166</v>
      </c>
      <c r="K107" s="25">
        <f t="shared" si="52"/>
        <v>5.7324840764331211E-2</v>
      </c>
      <c r="L107" s="104">
        <f>IF(ISNUMBER(J107), $B118 * K107, "")</f>
        <v>8598.7261146496821</v>
      </c>
      <c r="M107" s="102">
        <v>167</v>
      </c>
      <c r="N107" s="25">
        <f t="shared" si="53"/>
        <v>6.3694267515923567E-2</v>
      </c>
      <c r="O107" s="104">
        <f>IF(ISNUMBER(M107), $B118 * N107, "")</f>
        <v>9554.1401273885349</v>
      </c>
      <c r="Q107" s="193"/>
      <c r="R107" s="194"/>
      <c r="S107" s="195"/>
    </row>
    <row r="108" spans="1:19">
      <c r="A108" s="123" t="s">
        <v>174</v>
      </c>
      <c r="B108" s="124">
        <v>1520</v>
      </c>
      <c r="C108" s="76">
        <v>8.9605734800000003E-2</v>
      </c>
      <c r="D108" s="13">
        <v>1490</v>
      </c>
      <c r="E108" s="14">
        <f>IF(ISNUMBER(D108), (D108 - $B108) / $B108, "")</f>
        <v>-1.9736842105263157E-2</v>
      </c>
      <c r="F108" s="16">
        <f>IF(ISNUMBER(D108), $B118 * E108, "")</f>
        <v>-2960.5263157894733</v>
      </c>
      <c r="G108" s="29">
        <v>1520</v>
      </c>
      <c r="H108" s="14">
        <f>IF(ISNUMBER(G108), (G108 - $B108) / $B108, "")</f>
        <v>0</v>
      </c>
      <c r="I108" s="100">
        <f>IF(ISNUMBER(G108), $B118 * H108, "")</f>
        <v>0</v>
      </c>
      <c r="J108" s="13">
        <v>1520</v>
      </c>
      <c r="K108" s="14">
        <f>IF(ISNUMBER(J108), (J108 - $B108) / $B108, "")</f>
        <v>0</v>
      </c>
      <c r="L108" s="16">
        <f>IF(ISNUMBER(J108), $B118 * K108, "")</f>
        <v>0</v>
      </c>
      <c r="M108" s="29">
        <v>1575</v>
      </c>
      <c r="N108" s="14">
        <f>IF(ISNUMBER(M108), (M108 - $B108) / $B108, "")</f>
        <v>3.6184210526315791E-2</v>
      </c>
      <c r="O108" s="16">
        <f>IF(ISNUMBER(M108), $B118 * N108, "")</f>
        <v>5427.6315789473683</v>
      </c>
      <c r="Q108" s="196"/>
      <c r="R108" s="197"/>
      <c r="S108" s="198"/>
    </row>
    <row r="109" spans="1:19" ht="17.25" thickBot="1">
      <c r="A109" s="125" t="s">
        <v>178</v>
      </c>
      <c r="B109" s="126">
        <v>13850</v>
      </c>
      <c r="C109" s="77">
        <v>8.7981146900000001E-2</v>
      </c>
      <c r="D109" s="15">
        <v>14680</v>
      </c>
      <c r="E109" s="32">
        <f t="shared" ref="E109:E112" si="54">IF(ISNUMBER(D109), (D109 - $B109) / $B109, "")</f>
        <v>5.9927797833935016E-2</v>
      </c>
      <c r="F109" s="18">
        <f>IF(ISNUMBER(D109), $B118 * E109, "")</f>
        <v>8989.169675090252</v>
      </c>
      <c r="G109" s="31">
        <v>14960</v>
      </c>
      <c r="H109" s="32">
        <f t="shared" ref="H109:H112" si="55">IF(ISNUMBER(G109), (G109 - $B109) / $B109, "")</f>
        <v>8.0144404332129965E-2</v>
      </c>
      <c r="I109" s="101">
        <f>IF(ISNUMBER(G109), $B118 * H109, "")</f>
        <v>12021.660649819494</v>
      </c>
      <c r="J109" s="15">
        <v>15430</v>
      </c>
      <c r="K109" s="32">
        <f t="shared" ref="K109:K112" si="56">IF(ISNUMBER(J109), (J109 - $B109) / $B109, "")</f>
        <v>0.11407942238267148</v>
      </c>
      <c r="L109" s="18">
        <f>IF(ISNUMBER(J109), $B118 * K109, "")</f>
        <v>17111.913357400721</v>
      </c>
      <c r="M109" s="31">
        <v>15380</v>
      </c>
      <c r="N109" s="32">
        <f t="shared" ref="N109:N112" si="57">IF(ISNUMBER(M109), (M109 - $B109) / $B109, "")</f>
        <v>0.11046931407942238</v>
      </c>
      <c r="O109" s="18">
        <f>IF(ISNUMBER(M109), $B118 * N109, "")</f>
        <v>16570.397111913357</v>
      </c>
      <c r="Q109" s="199"/>
      <c r="R109" s="200"/>
      <c r="S109" s="201"/>
    </row>
    <row r="110" spans="1:19" ht="17.25" thickBot="1">
      <c r="A110" s="125" t="s">
        <v>130</v>
      </c>
      <c r="B110" s="126">
        <v>113</v>
      </c>
      <c r="C110" s="77">
        <v>8.6538461499999997E-2</v>
      </c>
      <c r="D110" s="15">
        <v>115</v>
      </c>
      <c r="E110" s="32">
        <f t="shared" si="54"/>
        <v>1.7699115044247787E-2</v>
      </c>
      <c r="F110" s="18">
        <f>IF(ISNUMBER(D110), $B118 * E110, "")</f>
        <v>2654.8672566371679</v>
      </c>
      <c r="G110" s="31">
        <v>121</v>
      </c>
      <c r="H110" s="32">
        <f t="shared" si="55"/>
        <v>7.0796460176991149E-2</v>
      </c>
      <c r="I110" s="101">
        <f>IF(ISNUMBER(G110), $B118 * H110, "")</f>
        <v>10619.469026548672</v>
      </c>
      <c r="J110" s="15">
        <v>123</v>
      </c>
      <c r="K110" s="32">
        <f t="shared" si="56"/>
        <v>8.8495575221238937E-2</v>
      </c>
      <c r="L110" s="18">
        <f>IF(ISNUMBER(J110), $B118 * K110, "")</f>
        <v>13274.336283185841</v>
      </c>
      <c r="M110" s="31">
        <v>124</v>
      </c>
      <c r="N110" s="32">
        <f t="shared" si="57"/>
        <v>9.7345132743362831E-2</v>
      </c>
      <c r="O110" s="18">
        <f>IF(ISNUMBER(M110), $B118 * N110, "")</f>
        <v>14601.769911504425</v>
      </c>
      <c r="Q110" s="192"/>
      <c r="R110" s="192"/>
      <c r="S110" s="192"/>
    </row>
    <row r="111" spans="1:19" ht="17.25" thickBot="1">
      <c r="A111" s="125" t="s">
        <v>198</v>
      </c>
      <c r="B111" s="126">
        <v>178</v>
      </c>
      <c r="C111" s="77">
        <v>7.8787878800000002E-2</v>
      </c>
      <c r="D111" s="15">
        <v>186</v>
      </c>
      <c r="E111" s="32">
        <f t="shared" si="54"/>
        <v>4.49438202247191E-2</v>
      </c>
      <c r="F111" s="18">
        <f>IF(ISNUMBER(D111), $B118 * E111, "")</f>
        <v>6741.5730337078649</v>
      </c>
      <c r="G111" s="31">
        <v>188</v>
      </c>
      <c r="H111" s="32">
        <f t="shared" si="55"/>
        <v>5.6179775280898875E-2</v>
      </c>
      <c r="I111" s="101">
        <f>IF(ISNUMBER(G111), $B118 * H111, "")</f>
        <v>8426.9662921348317</v>
      </c>
      <c r="J111" s="15">
        <v>189</v>
      </c>
      <c r="K111" s="32">
        <f t="shared" si="56"/>
        <v>6.1797752808988762E-2</v>
      </c>
      <c r="L111" s="18">
        <f>IF(ISNUMBER(J111), $B118 * K111, "")</f>
        <v>9269.6629213483138</v>
      </c>
      <c r="M111" s="31">
        <v>189</v>
      </c>
      <c r="N111" s="32">
        <f t="shared" si="57"/>
        <v>6.1797752808988762E-2</v>
      </c>
      <c r="O111" s="18">
        <f>IF(ISNUMBER(M111), $B118 * N111, "")</f>
        <v>9269.6629213483138</v>
      </c>
      <c r="Q111" s="202"/>
      <c r="R111" s="202"/>
      <c r="S111" s="202"/>
    </row>
    <row r="112" spans="1:19" ht="17.25" thickBot="1">
      <c r="A112" s="127" t="s">
        <v>196</v>
      </c>
      <c r="B112" s="128">
        <v>21020</v>
      </c>
      <c r="C112" s="78">
        <v>7.7948717900000006E-2</v>
      </c>
      <c r="D112" s="20">
        <v>22280</v>
      </c>
      <c r="E112" s="21">
        <f t="shared" si="54"/>
        <v>5.9942911512844907E-2</v>
      </c>
      <c r="F112" s="22">
        <f>IF(ISNUMBER(D112), $B118 * E112, "")</f>
        <v>8991.4367269267368</v>
      </c>
      <c r="G112" s="30">
        <v>22580</v>
      </c>
      <c r="H112" s="21">
        <f t="shared" si="55"/>
        <v>7.4215033301617508E-2</v>
      </c>
      <c r="I112" s="105">
        <f>IF(ISNUMBER(G112), $B118 * H112, "")</f>
        <v>11132.254995242627</v>
      </c>
      <c r="J112" s="20">
        <v>22750</v>
      </c>
      <c r="K112" s="21">
        <f t="shared" si="56"/>
        <v>8.2302568981921981E-2</v>
      </c>
      <c r="L112" s="22">
        <f>IF(ISNUMBER(J112), $B118 * K112, "")</f>
        <v>12345.385347288297</v>
      </c>
      <c r="M112" s="30">
        <v>23050</v>
      </c>
      <c r="N112" s="21">
        <f t="shared" si="57"/>
        <v>9.6574690770694582E-2</v>
      </c>
      <c r="O112" s="22">
        <f>IF(ISNUMBER(M112), $B118 * N112, "")</f>
        <v>14486.203615604187</v>
      </c>
      <c r="Q112" s="202"/>
      <c r="R112" s="202"/>
      <c r="S112" s="202"/>
    </row>
    <row r="113" spans="1:19" ht="17.25" thickBot="1">
      <c r="A113" s="125" t="s">
        <v>176</v>
      </c>
      <c r="B113" s="129">
        <v>16.600000000000001</v>
      </c>
      <c r="C113" s="80">
        <v>7.7922077899999997E-2</v>
      </c>
      <c r="D113" s="106">
        <v>16.899999999999999</v>
      </c>
      <c r="E113" s="107">
        <f>IF(ISNUMBER(D113), (D113 - $B113) / $B113, "")</f>
        <v>1.8072289156626332E-2</v>
      </c>
      <c r="F113" s="108">
        <f>IF(ISNUMBER(D113), $B118 * E113, "")</f>
        <v>2710.8433734939499</v>
      </c>
      <c r="G113" s="109">
        <v>16.899999999999999</v>
      </c>
      <c r="H113" s="107">
        <f>IF(ISNUMBER(G113), (G113 - $B113) / $B113, "")</f>
        <v>1.8072289156626332E-2</v>
      </c>
      <c r="I113" s="110">
        <f>IF(ISNUMBER(G113), $B118 * H113, "")</f>
        <v>2710.8433734939499</v>
      </c>
      <c r="J113" s="106">
        <v>16.899999999999999</v>
      </c>
      <c r="K113" s="107">
        <f>IF(ISNUMBER(J113), (J113 - $B113) / $B113, "")</f>
        <v>1.8072289156626332E-2</v>
      </c>
      <c r="L113" s="108">
        <f>IF(ISNUMBER(J113), $B118 * K113, "")</f>
        <v>2710.8433734939499</v>
      </c>
      <c r="M113" s="109">
        <v>17.3</v>
      </c>
      <c r="N113" s="107">
        <f>IF(ISNUMBER(M113), (M113 - $B113) / $B113, "")</f>
        <v>4.2168674698795136E-2</v>
      </c>
      <c r="O113" s="108">
        <f>IF(ISNUMBER(M113), $B118 * N113, "")</f>
        <v>6325.3012048192704</v>
      </c>
      <c r="Q113" s="192"/>
      <c r="R113" s="192"/>
      <c r="S113" s="192"/>
    </row>
    <row r="114" spans="1:19" ht="17.25" thickBot="1">
      <c r="A114" s="125" t="s">
        <v>226</v>
      </c>
      <c r="B114" s="126">
        <v>835</v>
      </c>
      <c r="C114" s="77">
        <v>7.7419354800000006E-2</v>
      </c>
      <c r="D114" s="15">
        <v>855</v>
      </c>
      <c r="E114" s="32">
        <f t="shared" ref="E114:E117" si="58">IF(ISNUMBER(D114), (D114 - $B114) / $B114, "")</f>
        <v>2.3952095808383235E-2</v>
      </c>
      <c r="F114" s="18">
        <f>IF(ISNUMBER(D114), $B118 * E114, "")</f>
        <v>3592.8143712574852</v>
      </c>
      <c r="G114" s="31">
        <v>867</v>
      </c>
      <c r="H114" s="32">
        <f t="shared" ref="H114:H117" si="59">IF(ISNUMBER(G114), (G114 - $B114) / $B114, "")</f>
        <v>3.8323353293413173E-2</v>
      </c>
      <c r="I114" s="101">
        <f>IF(ISNUMBER(G114), $B118 * H114, "")</f>
        <v>5748.5029940119757</v>
      </c>
      <c r="J114" s="15">
        <v>868</v>
      </c>
      <c r="K114" s="32">
        <f t="shared" ref="K114:K117" si="60">IF(ISNUMBER(J114), (J114 - $B114) / $B114, "")</f>
        <v>3.9520958083832339E-2</v>
      </c>
      <c r="L114" s="18">
        <f>IF(ISNUMBER(J114), $B118 * K114, "")</f>
        <v>5928.1437125748507</v>
      </c>
      <c r="M114" s="31">
        <v>892</v>
      </c>
      <c r="N114" s="32">
        <f t="shared" ref="N114:N117" si="61">IF(ISNUMBER(M114), (M114 - $B114) / $B114, "")</f>
        <v>6.8263473053892215E-2</v>
      </c>
      <c r="O114" s="18">
        <f>IF(ISNUMBER(M114), $B118 * N114, "")</f>
        <v>10239.520958083833</v>
      </c>
      <c r="Q114" s="192"/>
      <c r="R114" s="192"/>
      <c r="S114" s="192"/>
    </row>
    <row r="115" spans="1:19" ht="17.25" thickBot="1">
      <c r="A115" s="125" t="s">
        <v>212</v>
      </c>
      <c r="B115" s="126">
        <v>933</v>
      </c>
      <c r="C115" s="77">
        <v>7.6124567500000004E-2</v>
      </c>
      <c r="D115" s="15">
        <v>965</v>
      </c>
      <c r="E115" s="32">
        <f t="shared" si="58"/>
        <v>3.4297963558413719E-2</v>
      </c>
      <c r="F115" s="18">
        <f>IF(ISNUMBER(D115), $B118 * E115, "")</f>
        <v>5144.6945337620582</v>
      </c>
      <c r="G115" s="31">
        <v>986</v>
      </c>
      <c r="H115" s="32">
        <f t="shared" si="59"/>
        <v>5.6806002143622719E-2</v>
      </c>
      <c r="I115" s="101">
        <f>IF(ISNUMBER(G115), $B118 * H115, "")</f>
        <v>8520.9003215434077</v>
      </c>
      <c r="J115" s="15">
        <v>980</v>
      </c>
      <c r="K115" s="32">
        <f t="shared" si="60"/>
        <v>5.0375133976420149E-2</v>
      </c>
      <c r="L115" s="18">
        <f>IF(ISNUMBER(J115), $B118 * K115, "")</f>
        <v>7556.2700964630221</v>
      </c>
      <c r="M115" s="31">
        <v>1005</v>
      </c>
      <c r="N115" s="32">
        <f t="shared" si="61"/>
        <v>7.7170418006430874E-2</v>
      </c>
      <c r="O115" s="18">
        <f>IF(ISNUMBER(M115), $B118 * N115, "")</f>
        <v>11575.56270096463</v>
      </c>
      <c r="Q115" s="192"/>
      <c r="R115" s="192"/>
      <c r="S115" s="192"/>
    </row>
    <row r="116" spans="1:19">
      <c r="A116" s="125" t="s">
        <v>100</v>
      </c>
      <c r="B116" s="126">
        <v>61590</v>
      </c>
      <c r="C116" s="77">
        <v>7.29965157E-2</v>
      </c>
      <c r="D116" s="15">
        <v>64670</v>
      </c>
      <c r="E116" s="32">
        <f t="shared" si="58"/>
        <v>5.000811820100666E-2</v>
      </c>
      <c r="F116" s="18">
        <f>IF(ISNUMBER(D116), $B118 * E116, "")</f>
        <v>7501.2177301509992</v>
      </c>
      <c r="G116" s="31">
        <v>65330</v>
      </c>
      <c r="H116" s="32">
        <f t="shared" si="59"/>
        <v>6.07241435297938E-2</v>
      </c>
      <c r="I116" s="101">
        <f>IF(ISNUMBER(G116), $B118 * H116, "")</f>
        <v>9108.6215294690701</v>
      </c>
      <c r="J116" s="15">
        <v>65250</v>
      </c>
      <c r="K116" s="32">
        <f t="shared" si="60"/>
        <v>5.9425231368728688E-2</v>
      </c>
      <c r="L116" s="18">
        <f>IF(ISNUMBER(J116), $B118 * K116, "")</f>
        <v>8913.7847053093028</v>
      </c>
      <c r="M116" s="31">
        <v>66350</v>
      </c>
      <c r="N116" s="32">
        <f t="shared" si="61"/>
        <v>7.728527358337392E-2</v>
      </c>
      <c r="O116" s="18">
        <f>IF(ISNUMBER(M116), $B118 * N116, "")</f>
        <v>11592.791037506087</v>
      </c>
      <c r="Q116" s="181"/>
      <c r="R116" s="182"/>
      <c r="S116" s="183"/>
    </row>
    <row r="117" spans="1:19" ht="17.25" thickBot="1">
      <c r="A117" s="130" t="s">
        <v>76</v>
      </c>
      <c r="B117" s="131">
        <v>31450</v>
      </c>
      <c r="C117" s="79">
        <v>7.2646657599999998E-2</v>
      </c>
      <c r="D117" s="24">
        <v>31570</v>
      </c>
      <c r="E117" s="25">
        <f t="shared" si="58"/>
        <v>3.8155802861685214E-3</v>
      </c>
      <c r="F117" s="104">
        <f>IF(ISNUMBER(D117), $B118 * E117, "")</f>
        <v>572.33704292527818</v>
      </c>
      <c r="G117" s="102">
        <v>32010</v>
      </c>
      <c r="H117" s="25">
        <f t="shared" si="59"/>
        <v>1.7806041335453101E-2</v>
      </c>
      <c r="I117" s="103">
        <f>IF(ISNUMBER(G117), $B118 * H117, "")</f>
        <v>2670.9062003179652</v>
      </c>
      <c r="J117" s="24">
        <v>32100</v>
      </c>
      <c r="K117" s="25">
        <f t="shared" si="60"/>
        <v>2.066772655007949E-2</v>
      </c>
      <c r="L117" s="104">
        <f>IF(ISNUMBER(J117), $B118 * K117, "")</f>
        <v>3100.1589825119236</v>
      </c>
      <c r="M117" s="102">
        <v>33000</v>
      </c>
      <c r="N117" s="25">
        <f t="shared" si="61"/>
        <v>4.9284578696343402E-2</v>
      </c>
      <c r="O117" s="104">
        <f>IF(ISNUMBER(M117), $B118 * N117, "")</f>
        <v>7392.6868044515104</v>
      </c>
      <c r="Q117" s="184"/>
      <c r="R117" s="185"/>
      <c r="S117" s="186"/>
    </row>
    <row r="118" spans="1:19" ht="17.25" thickBot="1">
      <c r="A118" s="132" t="s">
        <v>268</v>
      </c>
      <c r="B118" s="245">
        <f>$B$37</f>
        <v>150000</v>
      </c>
      <c r="C118" s="246"/>
      <c r="D118" s="26" t="s">
        <v>269</v>
      </c>
      <c r="E118" s="27">
        <f>IF(COUNT(E98:E117), SUM(E98:E117) / COUNT(E98:E117), 0)</f>
        <v>3.4493503943173874E-2</v>
      </c>
      <c r="F118" s="28">
        <f>SUM(F98:F117)</f>
        <v>103480.51182952162</v>
      </c>
      <c r="G118" s="26" t="s">
        <v>269</v>
      </c>
      <c r="H118" s="27">
        <f>IF(COUNT(H98:H117), SUM(H98:H117) / COUNT(H98:H117), 0)</f>
        <v>5.0773906189002592E-2</v>
      </c>
      <c r="I118" s="28">
        <f>SUM(I98:I117)</f>
        <v>152321.71856700777</v>
      </c>
      <c r="J118" s="26" t="s">
        <v>269</v>
      </c>
      <c r="K118" s="27">
        <f>IF(COUNT(K98:K117), SUM(K98:K117) / COUNT(K98:K117), 0)</f>
        <v>5.648082863684941E-2</v>
      </c>
      <c r="L118" s="28">
        <f>SUM(L98:L117)</f>
        <v>169442.48591054828</v>
      </c>
      <c r="M118" s="26" t="s">
        <v>269</v>
      </c>
      <c r="N118" s="27">
        <f>IF(COUNT(N98:N117), SUM(N98:N117) / COUNT(N98:N117), 0)</f>
        <v>7.4122858454577473E-2</v>
      </c>
      <c r="O118" s="28">
        <f>SUM(O98:O117)</f>
        <v>222368.57536373241</v>
      </c>
      <c r="Q118" s="187"/>
      <c r="R118" s="188"/>
      <c r="S118" s="189"/>
    </row>
    <row r="120" spans="1:19" ht="17.25" thickBot="1"/>
    <row r="121" spans="1:19" ht="17.25" thickBot="1">
      <c r="A121" s="203" t="s">
        <v>256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61" t="s">
        <v>265</v>
      </c>
      <c r="B122" s="203" t="s">
        <v>49</v>
      </c>
      <c r="C122" s="205"/>
      <c r="D122" s="203" t="s">
        <v>58</v>
      </c>
      <c r="E122" s="204"/>
      <c r="F122" s="205"/>
      <c r="G122" s="206">
        <f>_xlfn.IFNA(VLOOKUP(B122, 현재가테이블!$B$2:$D$200, 2, FALSE), "-")</f>
        <v>62630000</v>
      </c>
      <c r="H122" s="207"/>
      <c r="I122" s="208"/>
      <c r="J122" s="203" t="s">
        <v>59</v>
      </c>
      <c r="K122" s="204"/>
      <c r="L122" s="205"/>
      <c r="M122" s="209">
        <f>_xlfn.IFNA(VLOOKUP(B122, 현재가테이블!$B$2:$D$200, 3, FALSE), "-")</f>
        <v>1.5632601400000001E-2</v>
      </c>
      <c r="N122" s="210"/>
      <c r="O122" s="211"/>
      <c r="Q122" s="202"/>
      <c r="R122" s="202"/>
      <c r="S122" s="202"/>
    </row>
    <row r="123" spans="1:19" ht="17.25" thickBot="1">
      <c r="A123" s="247" t="s">
        <v>55</v>
      </c>
      <c r="B123" s="243" t="str">
        <f>TEXT($G$1, "[$-ko-KR]yyyy-mm-dd(ddd) ") &amp; "오전 00:00"</f>
        <v>2021-10-02(토) 오전 00:00</v>
      </c>
      <c r="C123" s="244"/>
      <c r="D123" s="216" t="str">
        <f>TEXT($G$1, "[$-ko-KR]yyyy-mm-dd(ddd) ") &amp; "오후 14:00"</f>
        <v>2021-10-02(토) 오후 14:00</v>
      </c>
      <c r="E123" s="217"/>
      <c r="F123" s="218"/>
      <c r="G123" s="216" t="str">
        <f>TEXT($G$1, "[$-ko-KR]yyyy-mm-dd(ddd) ") &amp; "오후 19:00"</f>
        <v>2021-10-02(토) 오후 19:00</v>
      </c>
      <c r="H123" s="217"/>
      <c r="I123" s="218"/>
      <c r="J123" s="216" t="str">
        <f>TEXT($G$1, "[$-ko-KR]yyyy-mm-dd(ddd) ") &amp; "오후 21:00"</f>
        <v>2021-10-02(토) 오후 21:00</v>
      </c>
      <c r="K123" s="217"/>
      <c r="L123" s="218"/>
      <c r="M123" s="216" t="str">
        <f>TEXT($G$1+1, "[$-ko-KR]yyyy-mm-dd(ddd) ") &amp; "오전 00:00"</f>
        <v>2021-10-03(일) 오전 00:00</v>
      </c>
      <c r="N123" s="217"/>
      <c r="O123" s="218"/>
      <c r="Q123" s="202"/>
      <c r="R123" s="202"/>
      <c r="S123" s="202"/>
    </row>
    <row r="124" spans="1:19" ht="17.25" thickBot="1">
      <c r="A124" s="24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2" t="s">
        <v>58</v>
      </c>
      <c r="H124" s="163" t="s">
        <v>266</v>
      </c>
      <c r="I124" s="16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192"/>
      <c r="R124" s="192"/>
      <c r="S124" s="192"/>
    </row>
    <row r="125" spans="1:19" ht="17.25" thickBot="1">
      <c r="A125" s="123" t="s">
        <v>176</v>
      </c>
      <c r="B125" s="124">
        <v>16.600000000000001</v>
      </c>
      <c r="C125" s="76">
        <v>7.7922077899999997E-2</v>
      </c>
      <c r="D125" s="13">
        <v>16.899999999999999</v>
      </c>
      <c r="E125" s="14">
        <f>IF(ISNUMBER(D125), (D125 - $B125) / $B125, "")</f>
        <v>1.8072289156626332E-2</v>
      </c>
      <c r="F125" s="16">
        <f>IF(ISNUMBER(D125), $B145 * E125, "")</f>
        <v>2710.8433734939499</v>
      </c>
      <c r="G125" s="29">
        <v>16.899999999999999</v>
      </c>
      <c r="H125" s="14">
        <f>IF(ISNUMBER(G125), (G125 - $B125) / $B125, "")</f>
        <v>1.8072289156626332E-2</v>
      </c>
      <c r="I125" s="100">
        <f>IF(ISNUMBER(G125), $B145 * H125, "")</f>
        <v>2710.8433734939499</v>
      </c>
      <c r="J125" s="13">
        <v>16.899999999999999</v>
      </c>
      <c r="K125" s="14">
        <f>IF(ISNUMBER(J125), (J125 - $B125) / $B125, "")</f>
        <v>1.8072289156626332E-2</v>
      </c>
      <c r="L125" s="16">
        <f>IF(ISNUMBER(J125), $B145 * K125, "")</f>
        <v>2710.8433734939499</v>
      </c>
      <c r="M125" s="29">
        <v>17.3</v>
      </c>
      <c r="N125" s="14">
        <f>IF(ISNUMBER(M125), (M125 - $B125) / $B125, "")</f>
        <v>4.2168674698795136E-2</v>
      </c>
      <c r="O125" s="16">
        <f>IF(ISNUMBER(M125), $B145 * N125, "")</f>
        <v>6325.3012048192704</v>
      </c>
      <c r="Q125" s="202"/>
      <c r="R125" s="202"/>
      <c r="S125" s="202"/>
    </row>
    <row r="126" spans="1:19" ht="17.25" thickBot="1">
      <c r="A126" s="125" t="s">
        <v>186</v>
      </c>
      <c r="B126" s="126">
        <v>12.6</v>
      </c>
      <c r="C126" s="77">
        <v>6.7796610199999996E-2</v>
      </c>
      <c r="D126" s="15">
        <v>12.6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12.7</v>
      </c>
      <c r="H126" s="32">
        <f t="shared" ref="H126:H129" si="63">IF(ISNUMBER(G126), (G126 - $B126) / $B126, "")</f>
        <v>7.9365079365079083E-3</v>
      </c>
      <c r="I126" s="101">
        <f>IF(ISNUMBER(G126), $B145 * H126, "")</f>
        <v>1190.4761904761863</v>
      </c>
      <c r="J126" s="15">
        <v>12.7</v>
      </c>
      <c r="K126" s="32">
        <f t="shared" ref="K126:K129" si="64">IF(ISNUMBER(J126), (J126 - $B126) / $B126, "")</f>
        <v>7.9365079365079083E-3</v>
      </c>
      <c r="L126" s="18">
        <f>IF(ISNUMBER(J126), $B145 * K126, "")</f>
        <v>1190.4761904761863</v>
      </c>
      <c r="M126" s="31">
        <v>12.8</v>
      </c>
      <c r="N126" s="32">
        <f t="shared" ref="N126:N129" si="65">IF(ISNUMBER(M126), (M126 - $B126) / $B126, "")</f>
        <v>1.5873015873015959E-2</v>
      </c>
      <c r="O126" s="18">
        <f>IF(ISNUMBER(M126), $B145 * N126, "")</f>
        <v>2380.9523809523939</v>
      </c>
      <c r="Q126" s="202"/>
      <c r="R126" s="202"/>
      <c r="S126" s="202"/>
    </row>
    <row r="127" spans="1:19" ht="17.25" thickBot="1">
      <c r="A127" s="125" t="s">
        <v>214</v>
      </c>
      <c r="B127" s="126">
        <v>10.1</v>
      </c>
      <c r="C127" s="77">
        <v>6.3157894699999995E-2</v>
      </c>
      <c r="D127" s="15">
        <v>10.199999999999999</v>
      </c>
      <c r="E127" s="32">
        <f t="shared" si="62"/>
        <v>9.9009900990098664E-3</v>
      </c>
      <c r="F127" s="18">
        <f>IF(ISNUMBER(D127), $B145 * E127, "")</f>
        <v>1485.1485148514801</v>
      </c>
      <c r="G127" s="31">
        <v>10.9</v>
      </c>
      <c r="H127" s="32">
        <f t="shared" si="63"/>
        <v>7.9207920792079278E-2</v>
      </c>
      <c r="I127" s="101">
        <f>IF(ISNUMBER(G127), $B145 * H127, "")</f>
        <v>11881.188118811891</v>
      </c>
      <c r="J127" s="15">
        <v>10.9</v>
      </c>
      <c r="K127" s="32">
        <f t="shared" si="64"/>
        <v>7.9207920792079278E-2</v>
      </c>
      <c r="L127" s="18">
        <f>IF(ISNUMBER(J127), $B145 * K127, "")</f>
        <v>11881.188118811891</v>
      </c>
      <c r="M127" s="31">
        <v>10.8</v>
      </c>
      <c r="N127" s="32">
        <f t="shared" si="65"/>
        <v>6.930693069306941E-2</v>
      </c>
      <c r="O127" s="18">
        <f>IF(ISNUMBER(M127), $B145 * N127, "")</f>
        <v>10396.039603960411</v>
      </c>
      <c r="Q127" s="192"/>
      <c r="R127" s="192"/>
      <c r="S127" s="192"/>
    </row>
    <row r="128" spans="1:19" ht="17.25" thickBot="1">
      <c r="A128" s="125" t="s">
        <v>120</v>
      </c>
      <c r="B128" s="126">
        <v>33.700000000000003</v>
      </c>
      <c r="C128" s="77">
        <v>6.3091482599999998E-2</v>
      </c>
      <c r="D128" s="15">
        <v>36.200000000000003</v>
      </c>
      <c r="E128" s="32">
        <f t="shared" si="62"/>
        <v>7.418397626112759E-2</v>
      </c>
      <c r="F128" s="18">
        <f>IF(ISNUMBER(D128), $B145 * E128, "")</f>
        <v>11127.596439169138</v>
      </c>
      <c r="G128" s="31">
        <v>36.799999999999997</v>
      </c>
      <c r="H128" s="32">
        <f t="shared" si="63"/>
        <v>9.1988130563798037E-2</v>
      </c>
      <c r="I128" s="101">
        <f>IF(ISNUMBER(G128), $B145 * H128, "")</f>
        <v>13798.219584569706</v>
      </c>
      <c r="J128" s="15">
        <v>36.700000000000003</v>
      </c>
      <c r="K128" s="32">
        <f t="shared" si="64"/>
        <v>8.9020771513353109E-2</v>
      </c>
      <c r="L128" s="18">
        <f>IF(ISNUMBER(J128), $B145 * K128, "")</f>
        <v>13353.115727002967</v>
      </c>
      <c r="M128" s="31">
        <v>37.5</v>
      </c>
      <c r="N128" s="32">
        <f t="shared" si="65"/>
        <v>0.11275964391691386</v>
      </c>
      <c r="O128" s="18">
        <f>IF(ISNUMBER(M128), $B145 * N128, "")</f>
        <v>16913.946587537077</v>
      </c>
      <c r="Q128" s="192"/>
      <c r="R128" s="192"/>
      <c r="S128" s="192"/>
    </row>
    <row r="129" spans="1:19" ht="17.25" thickBot="1">
      <c r="A129" s="127" t="s">
        <v>146</v>
      </c>
      <c r="B129" s="128">
        <v>18.899999999999999</v>
      </c>
      <c r="C129" s="78">
        <v>6.1797752800000001E-2</v>
      </c>
      <c r="D129" s="20">
        <v>19.2</v>
      </c>
      <c r="E129" s="21">
        <f t="shared" si="62"/>
        <v>1.587301587301591E-2</v>
      </c>
      <c r="F129" s="22">
        <f>IF(ISNUMBER(D129), $B145 * E129, "")</f>
        <v>2380.9523809523866</v>
      </c>
      <c r="G129" s="30">
        <v>19.399999999999999</v>
      </c>
      <c r="H129" s="21">
        <f t="shared" si="63"/>
        <v>2.6455026455026457E-2</v>
      </c>
      <c r="I129" s="105">
        <f>IF(ISNUMBER(G129), $B145 * H129, "")</f>
        <v>3968.2539682539687</v>
      </c>
      <c r="J129" s="20">
        <v>19.5</v>
      </c>
      <c r="K129" s="21">
        <f t="shared" si="64"/>
        <v>3.1746031746031821E-2</v>
      </c>
      <c r="L129" s="22">
        <f>IF(ISNUMBER(J129), $B145 * K129, "")</f>
        <v>4761.9047619047733</v>
      </c>
      <c r="M129" s="30">
        <v>20</v>
      </c>
      <c r="N129" s="21">
        <f t="shared" si="65"/>
        <v>5.8201058201058281E-2</v>
      </c>
      <c r="O129" s="22">
        <f>IF(ISNUMBER(M129), $B145 * N129, "")</f>
        <v>8730.1587301587424</v>
      </c>
      <c r="Q129" s="192"/>
      <c r="R129" s="192"/>
      <c r="S129" s="192"/>
    </row>
    <row r="130" spans="1:19" ht="17.25" thickBot="1">
      <c r="A130" s="125" t="s">
        <v>206</v>
      </c>
      <c r="B130" s="129">
        <v>12.8</v>
      </c>
      <c r="C130" s="80">
        <v>5.7851239700000001E-2</v>
      </c>
      <c r="D130" s="106">
        <v>12.8</v>
      </c>
      <c r="E130" s="107">
        <f>IF(ISNUMBER(D130), (D130 - $B130) / $B130, "")</f>
        <v>0</v>
      </c>
      <c r="F130" s="108">
        <f>IF(ISNUMBER(D130), $B145 * E130, "")</f>
        <v>0</v>
      </c>
      <c r="G130" s="109">
        <v>13</v>
      </c>
      <c r="H130" s="107">
        <f>IF(ISNUMBER(G130), (G130 - $B130) / $B130, "")</f>
        <v>1.5624999999999944E-2</v>
      </c>
      <c r="I130" s="110">
        <f>IF(ISNUMBER(G130), $B145 * H130, "")</f>
        <v>2343.7499999999918</v>
      </c>
      <c r="J130" s="106">
        <v>13</v>
      </c>
      <c r="K130" s="107">
        <f>IF(ISNUMBER(J130), (J130 - $B130) / $B130, "")</f>
        <v>1.5624999999999944E-2</v>
      </c>
      <c r="L130" s="108">
        <f>IF(ISNUMBER(J130), $B145 * K130, "")</f>
        <v>2343.7499999999918</v>
      </c>
      <c r="M130" s="109">
        <v>13.2</v>
      </c>
      <c r="N130" s="107">
        <f>IF(ISNUMBER(M130), (M130 - $B130) / $B130, "")</f>
        <v>3.1249999999999889E-2</v>
      </c>
      <c r="O130" s="108">
        <f>IF(ISNUMBER(M130), $B145 * N130, "")</f>
        <v>4687.4999999999836</v>
      </c>
      <c r="Q130" s="192"/>
      <c r="R130" s="192"/>
      <c r="S130" s="192"/>
    </row>
    <row r="131" spans="1:19" ht="17.25" thickBot="1">
      <c r="A131" s="125" t="s">
        <v>160</v>
      </c>
      <c r="B131" s="126">
        <v>97.5</v>
      </c>
      <c r="C131" s="77">
        <v>5.7483731000000003E-2</v>
      </c>
      <c r="D131" s="15">
        <v>98.6</v>
      </c>
      <c r="E131" s="32">
        <f t="shared" ref="E131:E134" si="66">IF(ISNUMBER(D131), (D131 - $B131) / $B131, "")</f>
        <v>1.1282051282051224E-2</v>
      </c>
      <c r="F131" s="18">
        <f>IF(ISNUMBER(D131), $B145 * E131, "")</f>
        <v>1692.3076923076835</v>
      </c>
      <c r="G131" s="31">
        <v>101</v>
      </c>
      <c r="H131" s="32">
        <f t="shared" ref="H131:H134" si="67">IF(ISNUMBER(G131), (G131 - $B131) / $B131, "")</f>
        <v>3.5897435897435895E-2</v>
      </c>
      <c r="I131" s="101">
        <f>IF(ISNUMBER(G131), $B145 * H131, "")</f>
        <v>5384.6153846153838</v>
      </c>
      <c r="J131" s="15">
        <v>101</v>
      </c>
      <c r="K131" s="32">
        <f t="shared" ref="K131:K134" si="68">IF(ISNUMBER(J131), (J131 - $B131) / $B131, "")</f>
        <v>3.5897435897435895E-2</v>
      </c>
      <c r="L131" s="18">
        <f>IF(ISNUMBER(J131), $B145 * K131, "")</f>
        <v>5384.6153846153838</v>
      </c>
      <c r="M131" s="31">
        <v>101</v>
      </c>
      <c r="N131" s="32">
        <f t="shared" ref="N131:N134" si="69">IF(ISNUMBER(M131), (M131 - $B131) / $B131, "")</f>
        <v>3.5897435897435895E-2</v>
      </c>
      <c r="O131" s="18">
        <f>IF(ISNUMBER(M131), $B145 * N131, "")</f>
        <v>5384.6153846153838</v>
      </c>
      <c r="Q131" s="192"/>
      <c r="R131" s="192"/>
      <c r="S131" s="192"/>
    </row>
    <row r="132" spans="1:19" ht="17.25" thickBot="1">
      <c r="A132" s="125" t="s">
        <v>148</v>
      </c>
      <c r="B132" s="126">
        <v>11.5</v>
      </c>
      <c r="C132" s="77">
        <v>5.5045871599999997E-2</v>
      </c>
      <c r="D132" s="15">
        <v>11.4</v>
      </c>
      <c r="E132" s="32">
        <f t="shared" si="66"/>
        <v>-8.6956521739130124E-3</v>
      </c>
      <c r="F132" s="18">
        <f>IF(ISNUMBER(D132), $B145 * E132, "")</f>
        <v>-1304.347826086952</v>
      </c>
      <c r="G132" s="31">
        <v>11.6</v>
      </c>
      <c r="H132" s="32">
        <f t="shared" si="67"/>
        <v>8.6956521739130124E-3</v>
      </c>
      <c r="I132" s="101">
        <f>IF(ISNUMBER(G132), $B145 * H132, "")</f>
        <v>1304.347826086952</v>
      </c>
      <c r="J132" s="15">
        <v>11.7</v>
      </c>
      <c r="K132" s="32">
        <f t="shared" si="68"/>
        <v>1.7391304347826025E-2</v>
      </c>
      <c r="L132" s="18">
        <f>IF(ISNUMBER(J132), $B145 * K132, "")</f>
        <v>2608.6956521739039</v>
      </c>
      <c r="M132" s="31">
        <v>11.8</v>
      </c>
      <c r="N132" s="32">
        <f t="shared" si="69"/>
        <v>2.6086956521739191E-2</v>
      </c>
      <c r="O132" s="18">
        <f>IF(ISNUMBER(M132), $B145 * N132, "")</f>
        <v>3913.0434782608786</v>
      </c>
      <c r="Q132" s="192"/>
      <c r="R132" s="192"/>
      <c r="S132" s="192"/>
    </row>
    <row r="133" spans="1:19" ht="17.25" thickBot="1">
      <c r="A133" s="125" t="s">
        <v>188</v>
      </c>
      <c r="B133" s="126">
        <v>15.9</v>
      </c>
      <c r="C133" s="77">
        <v>5.2980132499999999E-2</v>
      </c>
      <c r="D133" s="15">
        <v>16.5</v>
      </c>
      <c r="E133" s="32">
        <f t="shared" si="66"/>
        <v>3.7735849056603751E-2</v>
      </c>
      <c r="F133" s="18">
        <f>IF(ISNUMBER(D133), $B145 * E133, "")</f>
        <v>5660.377358490563</v>
      </c>
      <c r="G133" s="31">
        <v>16.7</v>
      </c>
      <c r="H133" s="32">
        <f t="shared" si="67"/>
        <v>5.0314465408804965E-2</v>
      </c>
      <c r="I133" s="101">
        <f>IF(ISNUMBER(G133), $B145 * H133, "")</f>
        <v>7547.1698113207449</v>
      </c>
      <c r="J133" s="15">
        <v>16.7</v>
      </c>
      <c r="K133" s="32">
        <f t="shared" si="68"/>
        <v>5.0314465408804965E-2</v>
      </c>
      <c r="L133" s="18">
        <f>IF(ISNUMBER(J133), $B145 * K133, "")</f>
        <v>7547.1698113207449</v>
      </c>
      <c r="M133" s="31">
        <v>16.899999999999999</v>
      </c>
      <c r="N133" s="32">
        <f t="shared" si="69"/>
        <v>6.2893081761006178E-2</v>
      </c>
      <c r="O133" s="18">
        <f>IF(ISNUMBER(M133), $B145 * N133, "")</f>
        <v>9433.9622641509268</v>
      </c>
      <c r="Q133" s="33"/>
      <c r="R133" s="33"/>
    </row>
    <row r="134" spans="1:19" ht="17.25" thickBot="1">
      <c r="A134" s="130" t="s">
        <v>72</v>
      </c>
      <c r="B134" s="131">
        <v>22.6</v>
      </c>
      <c r="C134" s="79">
        <v>5.1162790700000002E-2</v>
      </c>
      <c r="D134" s="24">
        <v>23.7</v>
      </c>
      <c r="E134" s="25">
        <f t="shared" si="66"/>
        <v>4.8672566371681318E-2</v>
      </c>
      <c r="F134" s="104">
        <f>IF(ISNUMBER(D134), $B145 * E134, "")</f>
        <v>7300.884955752198</v>
      </c>
      <c r="G134" s="102">
        <v>23.8</v>
      </c>
      <c r="H134" s="25">
        <f t="shared" si="67"/>
        <v>5.3097345132743327E-2</v>
      </c>
      <c r="I134" s="103">
        <f>IF(ISNUMBER(G134), $B145 * H134, "")</f>
        <v>7964.6017699114991</v>
      </c>
      <c r="J134" s="24">
        <v>23.6</v>
      </c>
      <c r="K134" s="25">
        <f t="shared" si="68"/>
        <v>4.4247787610619468E-2</v>
      </c>
      <c r="L134" s="104">
        <f>IF(ISNUMBER(J134), $B145 * K134, "")</f>
        <v>6637.1681415929206</v>
      </c>
      <c r="M134" s="102">
        <v>23.9</v>
      </c>
      <c r="N134" s="25">
        <f t="shared" si="69"/>
        <v>5.7522123893805177E-2</v>
      </c>
      <c r="O134" s="104">
        <f>IF(ISNUMBER(M134), $B145 * N134, "")</f>
        <v>8628.3185840707774</v>
      </c>
      <c r="Q134" s="193"/>
      <c r="R134" s="194"/>
      <c r="S134" s="195"/>
    </row>
    <row r="135" spans="1:19">
      <c r="A135" s="123" t="s">
        <v>202</v>
      </c>
      <c r="B135" s="124">
        <v>14.6</v>
      </c>
      <c r="C135" s="76">
        <v>5.0359712199999997E-2</v>
      </c>
      <c r="D135" s="13">
        <v>14.7</v>
      </c>
      <c r="E135" s="14">
        <f>IF(ISNUMBER(D135), (D135 - $B135) / $B135, "")</f>
        <v>6.8493150684931269E-3</v>
      </c>
      <c r="F135" s="16">
        <f>IF(ISNUMBER(D135), $B145 * E135, "")</f>
        <v>1027.3972602739691</v>
      </c>
      <c r="G135" s="29">
        <v>14.8</v>
      </c>
      <c r="H135" s="14">
        <f>IF(ISNUMBER(G135), (G135 - $B135) / $B135, "")</f>
        <v>1.3698630136986375E-2</v>
      </c>
      <c r="I135" s="100">
        <f>IF(ISNUMBER(G135), $B145 * H135, "")</f>
        <v>2054.7945205479564</v>
      </c>
      <c r="J135" s="13">
        <v>14.8</v>
      </c>
      <c r="K135" s="14">
        <f>IF(ISNUMBER(J135), (J135 - $B135) / $B135, "")</f>
        <v>1.3698630136986375E-2</v>
      </c>
      <c r="L135" s="16">
        <f>IF(ISNUMBER(J135), $B145 * K135, "")</f>
        <v>2054.7945205479564</v>
      </c>
      <c r="M135" s="29">
        <v>15</v>
      </c>
      <c r="N135" s="14">
        <f>IF(ISNUMBER(M135), (M135 - $B135) / $B135, "")</f>
        <v>2.7397260273972629E-2</v>
      </c>
      <c r="O135" s="16">
        <f>IF(ISNUMBER(M135), $B145 * N135, "")</f>
        <v>4109.5890410958946</v>
      </c>
      <c r="Q135" s="196"/>
      <c r="R135" s="197"/>
      <c r="S135" s="198"/>
    </row>
    <row r="136" spans="1:19" ht="17.25" thickBot="1">
      <c r="A136" s="125" t="s">
        <v>208</v>
      </c>
      <c r="B136" s="126">
        <v>13.2</v>
      </c>
      <c r="C136" s="77">
        <v>4.7619047599999999E-2</v>
      </c>
      <c r="D136" s="15">
        <v>13.2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13.3</v>
      </c>
      <c r="H136" s="32">
        <f t="shared" ref="H136:H139" si="71">IF(ISNUMBER(G136), (G136 - $B136) / $B136, "")</f>
        <v>7.5757575757576835E-3</v>
      </c>
      <c r="I136" s="101">
        <f>IF(ISNUMBER(G136), $B145 * H136, "")</f>
        <v>1136.3636363636526</v>
      </c>
      <c r="J136" s="15">
        <v>13.4</v>
      </c>
      <c r="K136" s="32">
        <f t="shared" ref="K136:K139" si="72">IF(ISNUMBER(J136), (J136 - $B136) / $B136, "")</f>
        <v>1.5151515151515233E-2</v>
      </c>
      <c r="L136" s="18">
        <f>IF(ISNUMBER(J136), $B145 * K136, "")</f>
        <v>2272.7272727272848</v>
      </c>
      <c r="M136" s="31">
        <v>13.6</v>
      </c>
      <c r="N136" s="32">
        <f t="shared" ref="N136:N139" si="73">IF(ISNUMBER(M136), (M136 - $B136) / $B136, "")</f>
        <v>3.0303030303030332E-2</v>
      </c>
      <c r="O136" s="18">
        <f>IF(ISNUMBER(M136), $B145 * N136, "")</f>
        <v>4545.4545454545496</v>
      </c>
      <c r="Q136" s="199"/>
      <c r="R136" s="200"/>
      <c r="S136" s="201"/>
    </row>
    <row r="137" spans="1:19" ht="17.25" thickBot="1">
      <c r="A137" s="125" t="s">
        <v>248</v>
      </c>
      <c r="B137" s="126">
        <v>81.3</v>
      </c>
      <c r="C137" s="77">
        <v>4.4987146499999998E-2</v>
      </c>
      <c r="D137" s="15">
        <v>82.4</v>
      </c>
      <c r="E137" s="32">
        <f t="shared" si="70"/>
        <v>1.3530135301353118E-2</v>
      </c>
      <c r="F137" s="18">
        <f>IF(ISNUMBER(D137), $B145 * E137, "")</f>
        <v>2029.5202952029676</v>
      </c>
      <c r="G137" s="31">
        <v>83.1</v>
      </c>
      <c r="H137" s="32">
        <f t="shared" si="71"/>
        <v>2.2140221402213989E-2</v>
      </c>
      <c r="I137" s="101">
        <f>IF(ISNUMBER(G137), $B145 * H137, "")</f>
        <v>3321.0332103320984</v>
      </c>
      <c r="J137" s="15">
        <v>83</v>
      </c>
      <c r="K137" s="32">
        <f t="shared" si="72"/>
        <v>2.0910209102091057E-2</v>
      </c>
      <c r="L137" s="18">
        <f>IF(ISNUMBER(J137), $B145 * K137, "")</f>
        <v>3136.5313653136586</v>
      </c>
      <c r="M137" s="31">
        <v>84.3</v>
      </c>
      <c r="N137" s="32">
        <f t="shared" si="73"/>
        <v>3.6900369003690037E-2</v>
      </c>
      <c r="O137" s="18">
        <f>IF(ISNUMBER(M137), $B145 * N137, "")</f>
        <v>5535.0553505535054</v>
      </c>
      <c r="Q137" s="192"/>
      <c r="R137" s="192"/>
      <c r="S137" s="192"/>
    </row>
    <row r="138" spans="1:19" ht="17.25" thickBot="1">
      <c r="A138" s="125" t="s">
        <v>98</v>
      </c>
      <c r="B138" s="126">
        <v>4.05</v>
      </c>
      <c r="C138" s="77">
        <v>4.11311054E-2</v>
      </c>
      <c r="D138" s="15">
        <v>4.08</v>
      </c>
      <c r="E138" s="32">
        <f t="shared" si="70"/>
        <v>7.4074074074074693E-3</v>
      </c>
      <c r="F138" s="18">
        <f>IF(ISNUMBER(D138), $B145 * E138, "")</f>
        <v>1111.1111111111204</v>
      </c>
      <c r="G138" s="31">
        <v>4.13</v>
      </c>
      <c r="H138" s="32">
        <f t="shared" si="71"/>
        <v>1.9753086419753103E-2</v>
      </c>
      <c r="I138" s="101">
        <f>IF(ISNUMBER(G138), $B145 * H138, "")</f>
        <v>2962.9629629629653</v>
      </c>
      <c r="J138" s="15">
        <v>4.13</v>
      </c>
      <c r="K138" s="32">
        <f t="shared" si="72"/>
        <v>1.9753086419753103E-2</v>
      </c>
      <c r="L138" s="18">
        <f>IF(ISNUMBER(J138), $B145 * K138, "")</f>
        <v>2962.9629629629653</v>
      </c>
      <c r="M138" s="31">
        <v>4.22</v>
      </c>
      <c r="N138" s="32">
        <f t="shared" si="73"/>
        <v>4.1975308641975295E-2</v>
      </c>
      <c r="O138" s="18">
        <f>IF(ISNUMBER(M138), $B145 * N138, "")</f>
        <v>6296.2962962962947</v>
      </c>
      <c r="Q138" s="202"/>
      <c r="R138" s="202"/>
      <c r="S138" s="202"/>
    </row>
    <row r="139" spans="1:19" ht="17.25" thickBot="1">
      <c r="A139" s="127" t="s">
        <v>232</v>
      </c>
      <c r="B139" s="128">
        <v>73.7</v>
      </c>
      <c r="C139" s="78">
        <v>3.9492242599999998E-2</v>
      </c>
      <c r="D139" s="20">
        <v>75.400000000000006</v>
      </c>
      <c r="E139" s="21">
        <f t="shared" si="70"/>
        <v>2.3066485753052954E-2</v>
      </c>
      <c r="F139" s="22">
        <f>IF(ISNUMBER(D139), $B145 * E139, "")</f>
        <v>3459.9728629579431</v>
      </c>
      <c r="G139" s="30">
        <v>75.900000000000006</v>
      </c>
      <c r="H139" s="21">
        <f t="shared" si="71"/>
        <v>2.9850746268656754E-2</v>
      </c>
      <c r="I139" s="105">
        <f>IF(ISNUMBER(G139), $B145 * H139, "")</f>
        <v>4477.6119402985132</v>
      </c>
      <c r="J139" s="20">
        <v>76.3</v>
      </c>
      <c r="K139" s="21">
        <f t="shared" si="72"/>
        <v>3.5278154681139678E-2</v>
      </c>
      <c r="L139" s="22">
        <f>IF(ISNUMBER(J139), $B145 * K139, "")</f>
        <v>5291.7232021709515</v>
      </c>
      <c r="M139" s="30">
        <v>77.3</v>
      </c>
      <c r="N139" s="21">
        <f t="shared" si="73"/>
        <v>4.8846675712347278E-2</v>
      </c>
      <c r="O139" s="22">
        <f>IF(ISNUMBER(M139), $B145 * N139, "")</f>
        <v>7327.0013568520917</v>
      </c>
      <c r="Q139" s="202"/>
      <c r="R139" s="202"/>
      <c r="S139" s="202"/>
    </row>
    <row r="140" spans="1:19" ht="17.25" thickBot="1">
      <c r="A140" s="125" t="s">
        <v>200</v>
      </c>
      <c r="B140" s="129">
        <v>75.8</v>
      </c>
      <c r="C140" s="80">
        <v>3.6935704499999999E-2</v>
      </c>
      <c r="D140" s="106">
        <v>76.8</v>
      </c>
      <c r="E140" s="107">
        <f>IF(ISNUMBER(D140), (D140 - $B140) / $B140, "")</f>
        <v>1.3192612137203167E-2</v>
      </c>
      <c r="F140" s="108">
        <f>IF(ISNUMBER(D140), $B145 * E140, "")</f>
        <v>1978.891820580475</v>
      </c>
      <c r="G140" s="109">
        <v>77.900000000000006</v>
      </c>
      <c r="H140" s="107">
        <f>IF(ISNUMBER(G140), (G140 - $B140) / $B140, "")</f>
        <v>2.7704485488126762E-2</v>
      </c>
      <c r="I140" s="110">
        <f>IF(ISNUMBER(G140), $B145 * H140, "")</f>
        <v>4155.6728232190144</v>
      </c>
      <c r="J140" s="106">
        <v>78.5</v>
      </c>
      <c r="K140" s="107">
        <f>IF(ISNUMBER(J140), (J140 - $B140) / $B140, "")</f>
        <v>3.5620052770448586E-2</v>
      </c>
      <c r="L140" s="108">
        <f>IF(ISNUMBER(J140), $B145 * K140, "")</f>
        <v>5343.0079155672884</v>
      </c>
      <c r="M140" s="109">
        <v>79.400000000000006</v>
      </c>
      <c r="N140" s="107">
        <f>IF(ISNUMBER(M140), (M140 - $B140) / $B140, "")</f>
        <v>4.7493403693931513E-2</v>
      </c>
      <c r="O140" s="108">
        <f>IF(ISNUMBER(M140), $B145 * N140, "")</f>
        <v>7124.0105540897266</v>
      </c>
      <c r="Q140" s="192"/>
      <c r="R140" s="192"/>
      <c r="S140" s="192"/>
    </row>
    <row r="141" spans="1:19" ht="17.25" thickBot="1">
      <c r="A141" s="125" t="s">
        <v>238</v>
      </c>
      <c r="B141" s="126">
        <v>72.900000000000006</v>
      </c>
      <c r="C141" s="77">
        <v>6.9060772999999997E-3</v>
      </c>
      <c r="D141" s="15">
        <v>71.2</v>
      </c>
      <c r="E141" s="32">
        <f t="shared" ref="E141:E144" si="74">IF(ISNUMBER(D141), (D141 - $B141) / $B141, "")</f>
        <v>-2.3319615912208543E-2</v>
      </c>
      <c r="F141" s="18">
        <f>IF(ISNUMBER(D141), $B145 * E141, "")</f>
        <v>-3497.9423868312815</v>
      </c>
      <c r="G141" s="31">
        <v>71.2</v>
      </c>
      <c r="H141" s="32">
        <f t="shared" ref="H141:H144" si="75">IF(ISNUMBER(G141), (G141 - $B141) / $B141, "")</f>
        <v>-2.3319615912208543E-2</v>
      </c>
      <c r="I141" s="101">
        <f>IF(ISNUMBER(G141), $B145 * H141, "")</f>
        <v>-3497.9423868312815</v>
      </c>
      <c r="J141" s="15">
        <v>71</v>
      </c>
      <c r="K141" s="32">
        <f t="shared" ref="K141:K144" si="76">IF(ISNUMBER(J141), (J141 - $B141) / $B141, "")</f>
        <v>-2.6063100137174288E-2</v>
      </c>
      <c r="L141" s="18">
        <f>IF(ISNUMBER(J141), $B145 * K141, "")</f>
        <v>-3909.4650205761432</v>
      </c>
      <c r="M141" s="31">
        <v>72.400000000000006</v>
      </c>
      <c r="N141" s="32">
        <f t="shared" ref="N141:N144" si="77">IF(ISNUMBER(M141), (M141 - $B141) / $B141, "")</f>
        <v>-6.8587105624142658E-3</v>
      </c>
      <c r="O141" s="18">
        <f>IF(ISNUMBER(M141), $B145 * N141, "")</f>
        <v>-1028.8065843621398</v>
      </c>
      <c r="Q141" s="192"/>
      <c r="R141" s="192"/>
      <c r="S141" s="192"/>
    </row>
    <row r="142" spans="1:19" ht="17.25" thickBot="1">
      <c r="A142" s="125" t="s">
        <v>65</v>
      </c>
      <c r="B142" s="126">
        <v>67.3</v>
      </c>
      <c r="C142" s="77">
        <v>1.4880951999999999E-3</v>
      </c>
      <c r="D142" s="15">
        <v>67.5</v>
      </c>
      <c r="E142" s="32">
        <f t="shared" si="74"/>
        <v>2.9717682020802801E-3</v>
      </c>
      <c r="F142" s="18">
        <f>IF(ISNUMBER(D142), $B145 * E142, "")</f>
        <v>445.76523031204204</v>
      </c>
      <c r="G142" s="31">
        <v>68.400000000000006</v>
      </c>
      <c r="H142" s="32">
        <f t="shared" si="75"/>
        <v>1.6344725111441433E-2</v>
      </c>
      <c r="I142" s="101">
        <f>IF(ISNUMBER(G142), $B145 * H142, "")</f>
        <v>2451.708766716215</v>
      </c>
      <c r="J142" s="15">
        <v>68.5</v>
      </c>
      <c r="K142" s="32">
        <f t="shared" si="76"/>
        <v>1.7830609212481471E-2</v>
      </c>
      <c r="L142" s="18">
        <f>IF(ISNUMBER(J142), $B145 * K142, "")</f>
        <v>2674.5913818722206</v>
      </c>
      <c r="M142" s="31">
        <v>69.7</v>
      </c>
      <c r="N142" s="32">
        <f t="shared" si="77"/>
        <v>3.5661218424962941E-2</v>
      </c>
      <c r="O142" s="18">
        <f>IF(ISNUMBER(M142), $B145 * N142, "")</f>
        <v>5349.1827637444412</v>
      </c>
      <c r="Q142" s="192"/>
      <c r="R142" s="192"/>
      <c r="S142" s="192"/>
    </row>
    <row r="143" spans="1:19">
      <c r="A143" s="125" t="s">
        <v>328</v>
      </c>
      <c r="B143" s="126">
        <v>0.29899999999999999</v>
      </c>
      <c r="C143" s="77">
        <v>-6.6445183E-3</v>
      </c>
      <c r="D143" s="15">
        <v>0.30099999999999999</v>
      </c>
      <c r="E143" s="32">
        <f t="shared" si="74"/>
        <v>6.6889632107023471E-3</v>
      </c>
      <c r="F143" s="18">
        <f>IF(ISNUMBER(D143), $B145 * E143, "")</f>
        <v>1003.344481605352</v>
      </c>
      <c r="G143" s="31">
        <v>0.30499999999999999</v>
      </c>
      <c r="H143" s="32">
        <f t="shared" si="75"/>
        <v>2.0066889632107041E-2</v>
      </c>
      <c r="I143" s="101">
        <f>IF(ISNUMBER(G143), $B145 * H143, "")</f>
        <v>3010.0334448160561</v>
      </c>
      <c r="J143" s="15">
        <v>0.30099999999999999</v>
      </c>
      <c r="K143" s="32">
        <f t="shared" si="76"/>
        <v>6.6889632107023471E-3</v>
      </c>
      <c r="L143" s="18">
        <f>IF(ISNUMBER(J143), $B145 * K143, "")</f>
        <v>1003.344481605352</v>
      </c>
      <c r="M143" s="31">
        <v>0.30299999999999999</v>
      </c>
      <c r="N143" s="32">
        <f t="shared" si="77"/>
        <v>1.3377926421404694E-2</v>
      </c>
      <c r="O143" s="18">
        <f>IF(ISNUMBER(M143), $B145 * N143, "")</f>
        <v>2006.6889632107041</v>
      </c>
      <c r="Q143" s="181"/>
      <c r="R143" s="182"/>
      <c r="S143" s="1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84"/>
      <c r="R144" s="185"/>
      <c r="S144" s="186"/>
    </row>
    <row r="145" spans="1:19" ht="17.25" thickBot="1">
      <c r="A145" s="132" t="s">
        <v>268</v>
      </c>
      <c r="B145" s="245">
        <f>$B$37</f>
        <v>150000</v>
      </c>
      <c r="C145" s="246"/>
      <c r="D145" s="26" t="s">
        <v>269</v>
      </c>
      <c r="E145" s="27">
        <f>IF(COUNT(E125:E144), SUM(E125:E144) / COUNT(E125:E144), 0)</f>
        <v>1.3548008268120365E-2</v>
      </c>
      <c r="F145" s="28">
        <f>SUM(F125:F144)</f>
        <v>38611.823564143029</v>
      </c>
      <c r="G145" s="26" t="s">
        <v>269</v>
      </c>
      <c r="H145" s="27">
        <f>IF(COUNT(H125:H144), SUM(H125:H144) / COUNT(H125:H144), 0)</f>
        <v>2.7426563138935246E-2</v>
      </c>
      <c r="I145" s="28">
        <f>SUM(I125:I144)</f>
        <v>78165.704945965437</v>
      </c>
      <c r="J145" s="26" t="s">
        <v>269</v>
      </c>
      <c r="K145" s="27">
        <f>IF(COUNT(K125:K144), SUM(K125:K144) / COUNT(K125:K144), 0)</f>
        <v>2.7806717629327807E-2</v>
      </c>
      <c r="L145" s="28">
        <f>SUM(L125:L144)</f>
        <v>79249.145243584237</v>
      </c>
      <c r="M145" s="26" t="s">
        <v>269</v>
      </c>
      <c r="N145" s="27">
        <f>IF(COUNT(N125:N144), SUM(N125:N144) / COUNT(N125:N144), 0)</f>
        <v>4.1423968598407336E-2</v>
      </c>
      <c r="O145" s="28">
        <f>SUM(O125:O144)</f>
        <v>118058.31050546089</v>
      </c>
      <c r="Q145" s="187"/>
      <c r="R145" s="188"/>
      <c r="S145" s="189"/>
    </row>
    <row r="147" spans="1:19" ht="17.25" thickBot="1"/>
    <row r="148" spans="1:19" ht="17.25" thickBot="1">
      <c r="A148" s="203" t="s">
        <v>257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61" t="s">
        <v>265</v>
      </c>
      <c r="B149" s="203" t="s">
        <v>49</v>
      </c>
      <c r="C149" s="205"/>
      <c r="D149" s="203" t="s">
        <v>58</v>
      </c>
      <c r="E149" s="204"/>
      <c r="F149" s="205"/>
      <c r="G149" s="206">
        <f>_xlfn.IFNA(VLOOKUP(B149, 현재가테이블!$B$2:$D$200, 2, FALSE), "-")</f>
        <v>62630000</v>
      </c>
      <c r="H149" s="207"/>
      <c r="I149" s="208"/>
      <c r="J149" s="203" t="s">
        <v>59</v>
      </c>
      <c r="K149" s="204"/>
      <c r="L149" s="205"/>
      <c r="M149" s="209">
        <f>_xlfn.IFNA(VLOOKUP(B149, 현재가테이블!$B$2:$D$200, 3, FALSE), "-")</f>
        <v>1.5632601400000001E-2</v>
      </c>
      <c r="N149" s="210"/>
      <c r="O149" s="211"/>
      <c r="Q149" s="202"/>
      <c r="R149" s="202"/>
      <c r="S149" s="202"/>
    </row>
    <row r="150" spans="1:19" ht="17.25" thickBot="1">
      <c r="A150" s="247" t="s">
        <v>55</v>
      </c>
      <c r="B150" s="243" t="str">
        <f>TEXT($G$1, "[$-ko-KR]yyyy-mm-dd(ddd) ") &amp; "오전 00:00"</f>
        <v>2021-10-02(토) 오전 00:00</v>
      </c>
      <c r="C150" s="244"/>
      <c r="D150" s="216" t="str">
        <f>TEXT($G$1, "[$-ko-KR]yyyy-mm-dd(ddd) ") &amp; "오후 14:00"</f>
        <v>2021-10-02(토) 오후 14:00</v>
      </c>
      <c r="E150" s="217"/>
      <c r="F150" s="218"/>
      <c r="G150" s="216" t="str">
        <f>TEXT($G$1, "[$-ko-KR]yyyy-mm-dd(ddd) ") &amp; "오후 19:00"</f>
        <v>2021-10-02(토) 오후 19:00</v>
      </c>
      <c r="H150" s="217"/>
      <c r="I150" s="218"/>
      <c r="J150" s="216" t="str">
        <f>TEXT($G$1, "[$-ko-KR]yyyy-mm-dd(ddd) ") &amp; "오후 21:00"</f>
        <v>2021-10-02(토) 오후 21:00</v>
      </c>
      <c r="K150" s="217"/>
      <c r="L150" s="218"/>
      <c r="M150" s="216" t="str">
        <f>TEXT($G$1+1, "[$-ko-KR]yyyy-mm-dd(ddd) ") &amp; "오전 00:00"</f>
        <v>2021-10-03(일) 오전 00:00</v>
      </c>
      <c r="N150" s="217"/>
      <c r="O150" s="218"/>
      <c r="Q150" s="202"/>
      <c r="R150" s="202"/>
      <c r="S150" s="202"/>
    </row>
    <row r="151" spans="1:19" ht="17.25" thickBot="1">
      <c r="A151" s="24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2" t="s">
        <v>58</v>
      </c>
      <c r="H151" s="163" t="s">
        <v>266</v>
      </c>
      <c r="I151" s="16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192"/>
      <c r="R151" s="192"/>
      <c r="S151" s="192"/>
    </row>
    <row r="152" spans="1:19" ht="17.25" thickBot="1">
      <c r="A152" s="123" t="s">
        <v>250</v>
      </c>
      <c r="B152" s="124">
        <v>988</v>
      </c>
      <c r="C152" s="76">
        <v>5.3304904100000002E-2</v>
      </c>
      <c r="D152" s="13">
        <v>996</v>
      </c>
      <c r="E152" s="14">
        <f>IF(ISNUMBER(D152), (D152 - $B152) / $B152, "")</f>
        <v>8.0971659919028341E-3</v>
      </c>
      <c r="F152" s="16">
        <f>IF(ISNUMBER(D152), $B172 * E152, "")</f>
        <v>1214.5748987854251</v>
      </c>
      <c r="G152" s="29">
        <v>1000</v>
      </c>
      <c r="H152" s="14">
        <f>IF(ISNUMBER(G152), (G152 - $B152) / $B152, "")</f>
        <v>1.2145748987854251E-2</v>
      </c>
      <c r="I152" s="100">
        <f>IF(ISNUMBER(G152), $B172 * H152, "")</f>
        <v>1821.8623481781376</v>
      </c>
      <c r="J152" s="13">
        <v>1005</v>
      </c>
      <c r="K152" s="14">
        <f>IF(ISNUMBER(J152), (J152 - $B152) / $B152, "")</f>
        <v>1.7206477732793522E-2</v>
      </c>
      <c r="L152" s="16">
        <f>IF(ISNUMBER(J152), $B172 * K152, "")</f>
        <v>2580.9716599190283</v>
      </c>
      <c r="M152" s="29">
        <v>1015</v>
      </c>
      <c r="N152" s="14">
        <f>IF(ISNUMBER(M152), (M152 - $B152) / $B152, "")</f>
        <v>2.7327935222672066E-2</v>
      </c>
      <c r="O152" s="16">
        <f>IF(ISNUMBER(M152), $B172 * N152, "")</f>
        <v>4099.1902834008097</v>
      </c>
      <c r="Q152" s="202"/>
      <c r="R152" s="202"/>
      <c r="S152" s="202"/>
    </row>
    <row r="153" spans="1:19" ht="17.25" thickBot="1">
      <c r="A153" s="125" t="s">
        <v>122</v>
      </c>
      <c r="B153" s="126">
        <v>559</v>
      </c>
      <c r="C153" s="77">
        <v>5.2730696799999997E-2</v>
      </c>
      <c r="D153" s="15">
        <v>575</v>
      </c>
      <c r="E153" s="32">
        <f t="shared" ref="E153:E156" si="78">IF(ISNUMBER(D153), (D153 - $B153) / $B153, "")</f>
        <v>2.8622540250447227E-2</v>
      </c>
      <c r="F153" s="18">
        <f>IF(ISNUMBER(D153), $B172 * E153, "")</f>
        <v>4293.3810375670837</v>
      </c>
      <c r="G153" s="31">
        <v>583</v>
      </c>
      <c r="H153" s="32">
        <f t="shared" ref="H153:H156" si="79">IF(ISNUMBER(G153), (G153 - $B153) / $B153, "")</f>
        <v>4.2933810375670838E-2</v>
      </c>
      <c r="I153" s="101">
        <f>IF(ISNUMBER(G153), $B172 * H153, "")</f>
        <v>6440.0715563506255</v>
      </c>
      <c r="J153" s="15">
        <v>585</v>
      </c>
      <c r="K153" s="32">
        <f t="shared" ref="K153:K156" si="80">IF(ISNUMBER(J153), (J153 - $B153) / $B153, "")</f>
        <v>4.6511627906976744E-2</v>
      </c>
      <c r="L153" s="18">
        <f>IF(ISNUMBER(J153), $B172 * K153, "")</f>
        <v>6976.7441860465115</v>
      </c>
      <c r="M153" s="31">
        <v>598</v>
      </c>
      <c r="N153" s="32">
        <f t="shared" ref="N153:N156" si="81">IF(ISNUMBER(M153), (M153 - $B153) / $B153, "")</f>
        <v>6.9767441860465115E-2</v>
      </c>
      <c r="O153" s="18">
        <f>IF(ISNUMBER(M153), $B172 * N153, "")</f>
        <v>10465.116279069767</v>
      </c>
      <c r="Q153" s="202"/>
      <c r="R153" s="202"/>
      <c r="S153" s="202"/>
    </row>
    <row r="154" spans="1:19" ht="17.25" thickBot="1">
      <c r="A154" s="125" t="s">
        <v>234</v>
      </c>
      <c r="B154" s="126">
        <v>601</v>
      </c>
      <c r="C154" s="77">
        <v>5.2539404599999999E-2</v>
      </c>
      <c r="D154" s="15">
        <v>627</v>
      </c>
      <c r="E154" s="32">
        <f t="shared" si="78"/>
        <v>4.3261231281198007E-2</v>
      </c>
      <c r="F154" s="18">
        <f>IF(ISNUMBER(D154), $B172 * E154, "")</f>
        <v>6489.1846921797014</v>
      </c>
      <c r="G154" s="31">
        <v>625</v>
      </c>
      <c r="H154" s="32">
        <f t="shared" si="79"/>
        <v>3.9933444259567387E-2</v>
      </c>
      <c r="I154" s="101">
        <f>IF(ISNUMBER(G154), $B172 * H154, "")</f>
        <v>5990.0166389351079</v>
      </c>
      <c r="J154" s="15">
        <v>630</v>
      </c>
      <c r="K154" s="32">
        <f t="shared" si="80"/>
        <v>4.8252911813643926E-2</v>
      </c>
      <c r="L154" s="18">
        <f>IF(ISNUMBER(J154), $B172 * K154, "")</f>
        <v>7237.9367720465889</v>
      </c>
      <c r="M154" s="31">
        <v>648</v>
      </c>
      <c r="N154" s="32">
        <f t="shared" si="81"/>
        <v>7.8202995008319467E-2</v>
      </c>
      <c r="O154" s="18">
        <f>IF(ISNUMBER(M154), $B172 * N154, "")</f>
        <v>11730.449251247921</v>
      </c>
      <c r="Q154" s="192"/>
      <c r="R154" s="192"/>
      <c r="S154" s="192"/>
    </row>
    <row r="155" spans="1:19" ht="17.25" thickBot="1">
      <c r="A155" s="125" t="s">
        <v>57</v>
      </c>
      <c r="B155" s="126">
        <v>188</v>
      </c>
      <c r="C155" s="77">
        <v>5.0279329599999999E-2</v>
      </c>
      <c r="D155" s="15">
        <v>190</v>
      </c>
      <c r="E155" s="32">
        <f t="shared" si="78"/>
        <v>1.0638297872340425E-2</v>
      </c>
      <c r="F155" s="18">
        <f>IF(ISNUMBER(D155), $B172 * E155, "")</f>
        <v>1595.7446808510638</v>
      </c>
      <c r="G155" s="31">
        <v>192</v>
      </c>
      <c r="H155" s="32">
        <f t="shared" si="79"/>
        <v>2.1276595744680851E-2</v>
      </c>
      <c r="I155" s="101">
        <f>IF(ISNUMBER(G155), $B172 * H155, "")</f>
        <v>3191.4893617021276</v>
      </c>
      <c r="J155" s="15">
        <v>194</v>
      </c>
      <c r="K155" s="32">
        <f t="shared" si="80"/>
        <v>3.1914893617021274E-2</v>
      </c>
      <c r="L155" s="18">
        <f>IF(ISNUMBER(J155), $B172 * K155, "")</f>
        <v>4787.2340425531911</v>
      </c>
      <c r="M155" s="31">
        <v>198</v>
      </c>
      <c r="N155" s="32">
        <f t="shared" si="81"/>
        <v>5.3191489361702128E-2</v>
      </c>
      <c r="O155" s="18">
        <f>IF(ISNUMBER(M155), $B172 * N155, "")</f>
        <v>7978.7234042553191</v>
      </c>
      <c r="Q155" s="192"/>
      <c r="R155" s="192"/>
      <c r="S155" s="192"/>
    </row>
    <row r="156" spans="1:19" ht="17.25" thickBot="1">
      <c r="A156" s="127" t="s">
        <v>128</v>
      </c>
      <c r="B156" s="128">
        <v>133</v>
      </c>
      <c r="C156" s="78">
        <v>4.72440945E-2</v>
      </c>
      <c r="D156" s="20">
        <v>135</v>
      </c>
      <c r="E156" s="21">
        <f t="shared" si="78"/>
        <v>1.5037593984962405E-2</v>
      </c>
      <c r="F156" s="22">
        <f>IF(ISNUMBER(D156), $B172 * E156, "")</f>
        <v>2255.6390977443607</v>
      </c>
      <c r="G156" s="30">
        <v>136</v>
      </c>
      <c r="H156" s="21">
        <f t="shared" si="79"/>
        <v>2.2556390977443608E-2</v>
      </c>
      <c r="I156" s="105">
        <f>IF(ISNUMBER(G156), $B172 * H156, "")</f>
        <v>3383.458646616541</v>
      </c>
      <c r="J156" s="20">
        <v>135</v>
      </c>
      <c r="K156" s="21">
        <f t="shared" si="80"/>
        <v>1.5037593984962405E-2</v>
      </c>
      <c r="L156" s="22">
        <f>IF(ISNUMBER(J156), $B172 * K156, "")</f>
        <v>2255.6390977443607</v>
      </c>
      <c r="M156" s="30">
        <v>138</v>
      </c>
      <c r="N156" s="21">
        <f t="shared" si="81"/>
        <v>3.7593984962406013E-2</v>
      </c>
      <c r="O156" s="22">
        <f>IF(ISNUMBER(M156), $B172 * N156, "")</f>
        <v>5639.0977443609017</v>
      </c>
      <c r="Q156" s="192"/>
      <c r="R156" s="192"/>
      <c r="S156" s="192"/>
    </row>
    <row r="157" spans="1:19" ht="17.25" thickBot="1">
      <c r="A157" s="125" t="s">
        <v>51</v>
      </c>
      <c r="B157" s="129">
        <v>356</v>
      </c>
      <c r="C157" s="80">
        <v>4.7058823499999999E-2</v>
      </c>
      <c r="D157" s="106">
        <v>357</v>
      </c>
      <c r="E157" s="107">
        <f>IF(ISNUMBER(D157), (D157 - $B157) / $B157, "")</f>
        <v>2.8089887640449437E-3</v>
      </c>
      <c r="F157" s="108">
        <f>IF(ISNUMBER(D157), $B172 * E157, "")</f>
        <v>421.34831460674155</v>
      </c>
      <c r="G157" s="109">
        <v>360</v>
      </c>
      <c r="H157" s="107">
        <f>IF(ISNUMBER(G157), (G157 - $B157) / $B157, "")</f>
        <v>1.1235955056179775E-2</v>
      </c>
      <c r="I157" s="110">
        <f>IF(ISNUMBER(G157), $B172 * H157, "")</f>
        <v>1685.3932584269662</v>
      </c>
      <c r="J157" s="106">
        <v>362</v>
      </c>
      <c r="K157" s="107">
        <f>IF(ISNUMBER(J157), (J157 - $B157) / $B157, "")</f>
        <v>1.6853932584269662E-2</v>
      </c>
      <c r="L157" s="108">
        <f>IF(ISNUMBER(J157), $B172 * K157, "")</f>
        <v>2528.0898876404494</v>
      </c>
      <c r="M157" s="109">
        <v>369</v>
      </c>
      <c r="N157" s="107">
        <f>IF(ISNUMBER(M157), (M157 - $B157) / $B157, "")</f>
        <v>3.6516853932584269E-2</v>
      </c>
      <c r="O157" s="108">
        <f>IF(ISNUMBER(M157), $B172 * N157, "")</f>
        <v>5477.5280898876399</v>
      </c>
      <c r="Q157" s="192"/>
      <c r="R157" s="192"/>
      <c r="S157" s="192"/>
    </row>
    <row r="158" spans="1:19" ht="17.25" thickBot="1">
      <c r="A158" s="125" t="s">
        <v>218</v>
      </c>
      <c r="B158" s="126">
        <v>223</v>
      </c>
      <c r="C158" s="77">
        <v>4.69483568E-2</v>
      </c>
      <c r="D158" s="15">
        <v>234</v>
      </c>
      <c r="E158" s="32">
        <f t="shared" ref="E158:E161" si="82">IF(ISNUMBER(D158), (D158 - $B158) / $B158, "")</f>
        <v>4.9327354260089683E-2</v>
      </c>
      <c r="F158" s="18">
        <f>IF(ISNUMBER(D158), $B172 * E158, "")</f>
        <v>7399.1031390134522</v>
      </c>
      <c r="G158" s="31">
        <v>238</v>
      </c>
      <c r="H158" s="32">
        <f t="shared" ref="H158:H161" si="83">IF(ISNUMBER(G158), (G158 - $B158) / $B158, "")</f>
        <v>6.726457399103139E-2</v>
      </c>
      <c r="I158" s="101">
        <f>IF(ISNUMBER(G158), $B172 * H158, "")</f>
        <v>10089.686098654709</v>
      </c>
      <c r="J158" s="15">
        <v>237</v>
      </c>
      <c r="K158" s="32">
        <f t="shared" ref="K158:K161" si="84">IF(ISNUMBER(J158), (J158 - $B158) / $B158, "")</f>
        <v>6.2780269058295965E-2</v>
      </c>
      <c r="L158" s="18">
        <f>IF(ISNUMBER(J158), $B172 * K158, "")</f>
        <v>9417.0403587443943</v>
      </c>
      <c r="M158" s="31">
        <v>239</v>
      </c>
      <c r="N158" s="32">
        <f t="shared" ref="N158:N161" si="85">IF(ISNUMBER(M158), (M158 - $B158) / $B158, "")</f>
        <v>7.1748878923766815E-2</v>
      </c>
      <c r="O158" s="18">
        <f>IF(ISNUMBER(M158), $B172 * N158, "")</f>
        <v>10762.331838565022</v>
      </c>
      <c r="Q158" s="192"/>
      <c r="R158" s="192"/>
      <c r="S158" s="192"/>
    </row>
    <row r="159" spans="1:19" ht="17.25" thickBot="1">
      <c r="A159" s="125" t="s">
        <v>142</v>
      </c>
      <c r="B159" s="126">
        <v>101</v>
      </c>
      <c r="C159" s="77">
        <v>4.4467424999999998E-2</v>
      </c>
      <c r="D159" s="15">
        <v>101</v>
      </c>
      <c r="E159" s="32">
        <f t="shared" si="82"/>
        <v>0</v>
      </c>
      <c r="F159" s="18">
        <f>IF(ISNUMBER(D159), $B172 * E159, "")</f>
        <v>0</v>
      </c>
      <c r="G159" s="31">
        <v>104</v>
      </c>
      <c r="H159" s="32">
        <f t="shared" si="83"/>
        <v>2.9702970297029702E-2</v>
      </c>
      <c r="I159" s="101">
        <f>IF(ISNUMBER(G159), $B172 * H159, "")</f>
        <v>4455.4455445544554</v>
      </c>
      <c r="J159" s="15">
        <v>104</v>
      </c>
      <c r="K159" s="32">
        <f t="shared" si="84"/>
        <v>2.9702970297029702E-2</v>
      </c>
      <c r="L159" s="18">
        <f>IF(ISNUMBER(J159), $B172 * K159, "")</f>
        <v>4455.4455445544554</v>
      </c>
      <c r="M159" s="31">
        <v>105</v>
      </c>
      <c r="N159" s="32">
        <f t="shared" si="85"/>
        <v>3.9603960396039604E-2</v>
      </c>
      <c r="O159" s="18">
        <f>IF(ISNUMBER(M159), $B172 * N159, "")</f>
        <v>5940.5940594059402</v>
      </c>
      <c r="Q159" s="192"/>
      <c r="R159" s="192"/>
      <c r="S159" s="192"/>
    </row>
    <row r="160" spans="1:19" ht="17.25" thickBot="1">
      <c r="A160" s="125" t="s">
        <v>190</v>
      </c>
      <c r="B160" s="126">
        <v>336</v>
      </c>
      <c r="C160" s="77">
        <v>4.3478260900000003E-2</v>
      </c>
      <c r="D160" s="15">
        <v>373</v>
      </c>
      <c r="E160" s="32">
        <f t="shared" si="82"/>
        <v>0.11011904761904762</v>
      </c>
      <c r="F160" s="18">
        <f>IF(ISNUMBER(D160), $B172 * E160, "")</f>
        <v>16517.857142857141</v>
      </c>
      <c r="G160" s="31">
        <v>377</v>
      </c>
      <c r="H160" s="32">
        <f t="shared" si="83"/>
        <v>0.12202380952380952</v>
      </c>
      <c r="I160" s="101">
        <f>IF(ISNUMBER(G160), $B172 * H160, "")</f>
        <v>18303.571428571428</v>
      </c>
      <c r="J160" s="15">
        <v>373</v>
      </c>
      <c r="K160" s="32">
        <f t="shared" si="84"/>
        <v>0.11011904761904762</v>
      </c>
      <c r="L160" s="18">
        <f>IF(ISNUMBER(J160), $B172 * K160, "")</f>
        <v>16517.857142857141</v>
      </c>
      <c r="M160" s="31">
        <v>376</v>
      </c>
      <c r="N160" s="32">
        <f t="shared" si="85"/>
        <v>0.11904761904761904</v>
      </c>
      <c r="O160" s="18">
        <f>IF(ISNUMBER(M160), $B172 * N160, "")</f>
        <v>17857.142857142855</v>
      </c>
      <c r="Q160" s="33"/>
      <c r="R160" s="33"/>
    </row>
    <row r="161" spans="1:19" ht="17.25" thickBot="1">
      <c r="A161" s="130" t="s">
        <v>80</v>
      </c>
      <c r="B161" s="131">
        <v>804</v>
      </c>
      <c r="C161" s="79">
        <v>4.1450777199999997E-2</v>
      </c>
      <c r="D161" s="24">
        <v>818</v>
      </c>
      <c r="E161" s="25">
        <f t="shared" si="82"/>
        <v>1.7412935323383085E-2</v>
      </c>
      <c r="F161" s="104">
        <f>IF(ISNUMBER(D161), $B172 * E161, "")</f>
        <v>2611.9402985074626</v>
      </c>
      <c r="G161" s="102">
        <v>835</v>
      </c>
      <c r="H161" s="25">
        <f t="shared" si="83"/>
        <v>3.8557213930348257E-2</v>
      </c>
      <c r="I161" s="103">
        <f>IF(ISNUMBER(G161), $B172 * H161, "")</f>
        <v>5783.5820895522384</v>
      </c>
      <c r="J161" s="24">
        <v>838</v>
      </c>
      <c r="K161" s="25">
        <f t="shared" si="84"/>
        <v>4.228855721393035E-2</v>
      </c>
      <c r="L161" s="104">
        <f>IF(ISNUMBER(J161), $B172 * K161, "")</f>
        <v>6343.2835820895525</v>
      </c>
      <c r="M161" s="102">
        <v>855</v>
      </c>
      <c r="N161" s="25">
        <f t="shared" si="85"/>
        <v>6.3432835820895525E-2</v>
      </c>
      <c r="O161" s="104">
        <f>IF(ISNUMBER(M161), $B172 * N161, "")</f>
        <v>9514.9253731343288</v>
      </c>
      <c r="Q161" s="193"/>
      <c r="R161" s="194"/>
      <c r="S161" s="195"/>
    </row>
    <row r="162" spans="1:19">
      <c r="A162" s="123" t="s">
        <v>86</v>
      </c>
      <c r="B162" s="124">
        <v>332</v>
      </c>
      <c r="C162" s="76">
        <v>4.07523511E-2</v>
      </c>
      <c r="D162" s="13">
        <v>342</v>
      </c>
      <c r="E162" s="14">
        <f>IF(ISNUMBER(D162), (D162 - $B162) / $B162, "")</f>
        <v>3.0120481927710843E-2</v>
      </c>
      <c r="F162" s="16">
        <f>IF(ISNUMBER(D162), $B172 * E162, "")</f>
        <v>4518.0722891566265</v>
      </c>
      <c r="G162" s="29">
        <v>346</v>
      </c>
      <c r="H162" s="14">
        <f>IF(ISNUMBER(G162), (G162 - $B162) / $B162, "")</f>
        <v>4.2168674698795178E-2</v>
      </c>
      <c r="I162" s="100">
        <f>IF(ISNUMBER(G162), $B172 * H162, "")</f>
        <v>6325.3012048192768</v>
      </c>
      <c r="J162" s="13">
        <v>346</v>
      </c>
      <c r="K162" s="14">
        <f>IF(ISNUMBER(J162), (J162 - $B162) / $B162, "")</f>
        <v>4.2168674698795178E-2</v>
      </c>
      <c r="L162" s="16">
        <f>IF(ISNUMBER(J162), $B172 * K162, "")</f>
        <v>6325.3012048192768</v>
      </c>
      <c r="M162" s="29">
        <v>355</v>
      </c>
      <c r="N162" s="14">
        <f>IF(ISNUMBER(M162), (M162 - $B162) / $B162, "")</f>
        <v>6.9277108433734941E-2</v>
      </c>
      <c r="O162" s="16">
        <f>IF(ISNUMBER(M162), $B172 * N162, "")</f>
        <v>10391.566265060241</v>
      </c>
      <c r="Q162" s="196"/>
      <c r="R162" s="197"/>
      <c r="S162" s="198"/>
    </row>
    <row r="163" spans="1:19" ht="17.25" thickBot="1">
      <c r="A163" s="125" t="s">
        <v>264</v>
      </c>
      <c r="B163" s="126">
        <v>259</v>
      </c>
      <c r="C163" s="77">
        <v>4.0160642599999997E-2</v>
      </c>
      <c r="D163" s="15">
        <v>263</v>
      </c>
      <c r="E163" s="32">
        <f t="shared" ref="E163:E166" si="86">IF(ISNUMBER(D163), (D163 - $B163) / $B163, "")</f>
        <v>1.5444015444015444E-2</v>
      </c>
      <c r="F163" s="18">
        <f>IF(ISNUMBER(D163), $B172 * E163, "")</f>
        <v>2316.6023166023165</v>
      </c>
      <c r="G163" s="31">
        <v>266</v>
      </c>
      <c r="H163" s="32">
        <f t="shared" ref="H163:H166" si="87">IF(ISNUMBER(G163), (G163 - $B163) / $B163, "")</f>
        <v>2.7027027027027029E-2</v>
      </c>
      <c r="I163" s="101">
        <f>IF(ISNUMBER(G163), $B172 * H163, "")</f>
        <v>4054.0540540540542</v>
      </c>
      <c r="J163" s="15">
        <v>265</v>
      </c>
      <c r="K163" s="32">
        <f t="shared" ref="K163:K166" si="88">IF(ISNUMBER(J163), (J163 - $B163) / $B163, "")</f>
        <v>2.3166023166023165E-2</v>
      </c>
      <c r="L163" s="18">
        <f>IF(ISNUMBER(J163), $B172 * K163, "")</f>
        <v>3474.9034749034749</v>
      </c>
      <c r="M163" s="31">
        <v>273</v>
      </c>
      <c r="N163" s="32">
        <f t="shared" ref="N163:N166" si="89">IF(ISNUMBER(M163), (M163 - $B163) / $B163, "")</f>
        <v>5.4054054054054057E-2</v>
      </c>
      <c r="O163" s="18">
        <f>IF(ISNUMBER(M163), $B172 * N163, "")</f>
        <v>8108.1081081081084</v>
      </c>
      <c r="Q163" s="199"/>
      <c r="R163" s="200"/>
      <c r="S163" s="201"/>
    </row>
    <row r="164" spans="1:19" ht="17.25" thickBot="1">
      <c r="A164" s="125" t="s">
        <v>162</v>
      </c>
      <c r="B164" s="126">
        <v>799</v>
      </c>
      <c r="C164" s="77">
        <v>3.9011703500000001E-2</v>
      </c>
      <c r="D164" s="15">
        <v>794</v>
      </c>
      <c r="E164" s="32">
        <f t="shared" si="86"/>
        <v>-6.2578222778473091E-3</v>
      </c>
      <c r="F164" s="18">
        <f>IF(ISNUMBER(D164), $B172 * E164, "")</f>
        <v>-938.67334167709635</v>
      </c>
      <c r="G164" s="31">
        <v>798</v>
      </c>
      <c r="H164" s="32">
        <f t="shared" si="87"/>
        <v>-1.2515644555694619E-3</v>
      </c>
      <c r="I164" s="101">
        <f>IF(ISNUMBER(G164), $B172 * H164, "")</f>
        <v>-187.73466833541929</v>
      </c>
      <c r="J164" s="15">
        <v>797</v>
      </c>
      <c r="K164" s="32">
        <f t="shared" si="88"/>
        <v>-2.5031289111389237E-3</v>
      </c>
      <c r="L164" s="18">
        <f>IF(ISNUMBER(J164), $B172 * K164, "")</f>
        <v>-375.46933667083857</v>
      </c>
      <c r="M164" s="31">
        <v>813</v>
      </c>
      <c r="N164" s="32">
        <f t="shared" si="89"/>
        <v>1.7521902377972465E-2</v>
      </c>
      <c r="O164" s="18">
        <f>IF(ISNUMBER(M164), $B172 * N164, "")</f>
        <v>2628.2853566958697</v>
      </c>
      <c r="Q164" s="192"/>
      <c r="R164" s="192"/>
      <c r="S164" s="192"/>
    </row>
    <row r="165" spans="1:19" ht="17.25" thickBot="1">
      <c r="A165" s="125" t="s">
        <v>192</v>
      </c>
      <c r="B165" s="126">
        <v>109</v>
      </c>
      <c r="C165" s="77">
        <v>3.8095238099999998E-2</v>
      </c>
      <c r="D165" s="15">
        <v>115</v>
      </c>
      <c r="E165" s="32">
        <f t="shared" si="86"/>
        <v>5.5045871559633031E-2</v>
      </c>
      <c r="F165" s="18">
        <f>IF(ISNUMBER(D165), $B172 * E165, "")</f>
        <v>8256.880733944954</v>
      </c>
      <c r="G165" s="31">
        <v>116</v>
      </c>
      <c r="H165" s="32">
        <f t="shared" si="87"/>
        <v>6.4220183486238536E-2</v>
      </c>
      <c r="I165" s="101">
        <f>IF(ISNUMBER(G165), $B172 * H165, "")</f>
        <v>9633.0275229357812</v>
      </c>
      <c r="J165" s="15">
        <v>117</v>
      </c>
      <c r="K165" s="32">
        <f t="shared" si="88"/>
        <v>7.3394495412844041E-2</v>
      </c>
      <c r="L165" s="18">
        <f>IF(ISNUMBER(J165), $B172 * K165, "")</f>
        <v>11009.174311926607</v>
      </c>
      <c r="M165" s="31">
        <v>117</v>
      </c>
      <c r="N165" s="32">
        <f t="shared" si="89"/>
        <v>7.3394495412844041E-2</v>
      </c>
      <c r="O165" s="18">
        <f>IF(ISNUMBER(M165), $B172 * N165, "")</f>
        <v>11009.174311926607</v>
      </c>
      <c r="Q165" s="202"/>
      <c r="R165" s="202"/>
      <c r="S165" s="202"/>
    </row>
    <row r="166" spans="1:19" ht="17.25" thickBot="1">
      <c r="A166" s="127" t="s">
        <v>136</v>
      </c>
      <c r="B166" s="128">
        <v>333</v>
      </c>
      <c r="C166" s="78">
        <v>3.7383177599999998E-2</v>
      </c>
      <c r="D166" s="20">
        <v>349</v>
      </c>
      <c r="E166" s="21">
        <f t="shared" si="86"/>
        <v>4.8048048048048048E-2</v>
      </c>
      <c r="F166" s="22">
        <f>IF(ISNUMBER(D166), $B172 * E166, "")</f>
        <v>7207.2072072072069</v>
      </c>
      <c r="G166" s="30">
        <v>354</v>
      </c>
      <c r="H166" s="21">
        <f t="shared" si="87"/>
        <v>6.3063063063063057E-2</v>
      </c>
      <c r="I166" s="105">
        <f>IF(ISNUMBER(G166), $B172 * H166, "")</f>
        <v>9459.4594594594582</v>
      </c>
      <c r="J166" s="20">
        <v>353</v>
      </c>
      <c r="K166" s="21">
        <f t="shared" si="88"/>
        <v>6.006006006006006E-2</v>
      </c>
      <c r="L166" s="22">
        <f>IF(ISNUMBER(J166), $B172 * K166, "")</f>
        <v>9009.0090090090089</v>
      </c>
      <c r="M166" s="30">
        <v>361</v>
      </c>
      <c r="N166" s="21">
        <f t="shared" si="89"/>
        <v>8.408408408408409E-2</v>
      </c>
      <c r="O166" s="22">
        <f>IF(ISNUMBER(M166), $B172 * N166, "")</f>
        <v>12612.612612612613</v>
      </c>
      <c r="Q166" s="202"/>
      <c r="R166" s="202"/>
      <c r="S166" s="202"/>
    </row>
    <row r="167" spans="1:19" ht="17.25" thickBot="1">
      <c r="A167" s="125" t="s">
        <v>150</v>
      </c>
      <c r="B167" s="129">
        <v>113</v>
      </c>
      <c r="C167" s="80">
        <v>3.6697247699999998E-2</v>
      </c>
      <c r="D167" s="106">
        <v>113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113</v>
      </c>
      <c r="H167" s="107">
        <f>IF(ISNUMBER(G167), (G167 - $B167) / $B167, "")</f>
        <v>0</v>
      </c>
      <c r="I167" s="110">
        <f>IF(ISNUMBER(G167), $B172 * H167, "")</f>
        <v>0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2654.8672566371679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3982.3008849557523</v>
      </c>
      <c r="Q167" s="192"/>
      <c r="R167" s="192"/>
      <c r="S167" s="192"/>
    </row>
    <row r="168" spans="1:19" ht="17.25" thickBot="1">
      <c r="A168" s="125" t="s">
        <v>54</v>
      </c>
      <c r="B168" s="126">
        <v>428</v>
      </c>
      <c r="C168" s="77">
        <v>3.6319612600000002E-2</v>
      </c>
      <c r="D168" s="15">
        <v>441</v>
      </c>
      <c r="E168" s="32">
        <f t="shared" ref="E168:E171" si="90">IF(ISNUMBER(D168), (D168 - $B168) / $B168, "")</f>
        <v>3.0373831775700934E-2</v>
      </c>
      <c r="F168" s="18">
        <f>IF(ISNUMBER(D168), $B172 * E168, "")</f>
        <v>4556.0747663551401</v>
      </c>
      <c r="G168" s="31">
        <v>463</v>
      </c>
      <c r="H168" s="32">
        <f t="shared" ref="H168:H171" si="91">IF(ISNUMBER(G168), (G168 - $B168) / $B168, "")</f>
        <v>8.1775700934579434E-2</v>
      </c>
      <c r="I168" s="101">
        <f>IF(ISNUMBER(G168), $B172 * H168, "")</f>
        <v>12266.355140186915</v>
      </c>
      <c r="J168" s="15">
        <v>474</v>
      </c>
      <c r="K168" s="32">
        <f t="shared" ref="K168:K171" si="92">IF(ISNUMBER(J168), (J168 - $B168) / $B168, "")</f>
        <v>0.10747663551401869</v>
      </c>
      <c r="L168" s="18">
        <f>IF(ISNUMBER(J168), $B172 * K168, "")</f>
        <v>16121.495327102803</v>
      </c>
      <c r="M168" s="31">
        <v>502</v>
      </c>
      <c r="N168" s="32">
        <f t="shared" ref="N168:N171" si="93">IF(ISNUMBER(M168), (M168 - $B168) / $B168, "")</f>
        <v>0.17289719626168223</v>
      </c>
      <c r="O168" s="18">
        <f>IF(ISNUMBER(M168), $B172 * N168, "")</f>
        <v>25934.579439252335</v>
      </c>
      <c r="Q168" s="192"/>
      <c r="R168" s="192"/>
      <c r="S168" s="192"/>
    </row>
    <row r="169" spans="1:19" ht="17.25" thickBot="1">
      <c r="A169" s="125" t="s">
        <v>230</v>
      </c>
      <c r="B169" s="126">
        <v>752</v>
      </c>
      <c r="C169" s="77">
        <v>3.4387895500000001E-2</v>
      </c>
      <c r="D169" s="15">
        <v>757</v>
      </c>
      <c r="E169" s="32">
        <f t="shared" si="90"/>
        <v>6.648936170212766E-3</v>
      </c>
      <c r="F169" s="18">
        <f>IF(ISNUMBER(D169), $B172 * E169, "")</f>
        <v>997.34042553191489</v>
      </c>
      <c r="G169" s="31">
        <v>763</v>
      </c>
      <c r="H169" s="32">
        <f t="shared" si="91"/>
        <v>1.4627659574468085E-2</v>
      </c>
      <c r="I169" s="101">
        <f>IF(ISNUMBER(G169), $B172 * H169, "")</f>
        <v>2194.1489361702129</v>
      </c>
      <c r="J169" s="15">
        <v>763</v>
      </c>
      <c r="K169" s="32">
        <f t="shared" si="92"/>
        <v>1.4627659574468085E-2</v>
      </c>
      <c r="L169" s="18">
        <f>IF(ISNUMBER(J169), $B172 * K169, "")</f>
        <v>2194.1489361702129</v>
      </c>
      <c r="M169" s="31">
        <v>787</v>
      </c>
      <c r="N169" s="32">
        <f t="shared" si="93"/>
        <v>4.6542553191489359E-2</v>
      </c>
      <c r="O169" s="18">
        <f>IF(ISNUMBER(M169), $B172 * N169, "")</f>
        <v>6981.3829787234035</v>
      </c>
      <c r="Q169" s="192"/>
      <c r="R169" s="192"/>
      <c r="S169" s="192"/>
    </row>
    <row r="170" spans="1:19">
      <c r="A170" s="125" t="s">
        <v>240</v>
      </c>
      <c r="B170" s="126">
        <v>623</v>
      </c>
      <c r="C170" s="77">
        <v>3.3167495900000003E-2</v>
      </c>
      <c r="D170" s="15">
        <v>625</v>
      </c>
      <c r="E170" s="32">
        <f t="shared" si="90"/>
        <v>3.2102728731942215E-3</v>
      </c>
      <c r="F170" s="18">
        <f>IF(ISNUMBER(D170), $B172 * E170, "")</f>
        <v>481.54093097913324</v>
      </c>
      <c r="G170" s="31">
        <v>623</v>
      </c>
      <c r="H170" s="32">
        <f t="shared" si="91"/>
        <v>0</v>
      </c>
      <c r="I170" s="101">
        <f>IF(ISNUMBER(G170), $B172 * H170, "")</f>
        <v>0</v>
      </c>
      <c r="J170" s="15">
        <v>624</v>
      </c>
      <c r="K170" s="32">
        <f t="shared" si="92"/>
        <v>1.6051364365971107E-3</v>
      </c>
      <c r="L170" s="18">
        <f>IF(ISNUMBER(J170), $B172 * K170, "")</f>
        <v>240.77046548956662</v>
      </c>
      <c r="M170" s="31">
        <v>634</v>
      </c>
      <c r="N170" s="32">
        <f t="shared" si="93"/>
        <v>1.7656500802568219E-2</v>
      </c>
      <c r="O170" s="18">
        <f>IF(ISNUMBER(M170), $B172 * N170, "")</f>
        <v>2648.4751203852329</v>
      </c>
      <c r="Q170" s="181"/>
      <c r="R170" s="182"/>
      <c r="S170" s="183"/>
    </row>
    <row r="171" spans="1:19" ht="17.25" thickBot="1">
      <c r="A171" s="130" t="s">
        <v>204</v>
      </c>
      <c r="B171" s="131">
        <v>851</v>
      </c>
      <c r="C171" s="79">
        <v>3.1515151499999998E-2</v>
      </c>
      <c r="D171" s="24">
        <v>857</v>
      </c>
      <c r="E171" s="25">
        <f t="shared" si="90"/>
        <v>7.0505287896592246E-3</v>
      </c>
      <c r="F171" s="104">
        <f>IF(ISNUMBER(D171), $B172 * E171, "")</f>
        <v>1057.5793184488837</v>
      </c>
      <c r="G171" s="102">
        <v>869</v>
      </c>
      <c r="H171" s="25">
        <f t="shared" si="91"/>
        <v>2.1151586368977675E-2</v>
      </c>
      <c r="I171" s="103">
        <f>IF(ISNUMBER(G171), $B172 * H171, "")</f>
        <v>3172.7379553466512</v>
      </c>
      <c r="J171" s="24">
        <v>865</v>
      </c>
      <c r="K171" s="25">
        <f t="shared" si="92"/>
        <v>1.6451233842538191E-2</v>
      </c>
      <c r="L171" s="104">
        <f>IF(ISNUMBER(J171), $B172 * K171, "")</f>
        <v>2467.6850763807288</v>
      </c>
      <c r="M171" s="102">
        <v>899</v>
      </c>
      <c r="N171" s="25">
        <f t="shared" si="93"/>
        <v>5.6404230317273797E-2</v>
      </c>
      <c r="O171" s="104">
        <f>IF(ISNUMBER(M171), $B172 * N171, "")</f>
        <v>8460.6345475910693</v>
      </c>
      <c r="Q171" s="184"/>
      <c r="R171" s="185"/>
      <c r="S171" s="186"/>
    </row>
    <row r="172" spans="1:19" ht="17.25" thickBot="1">
      <c r="A172" s="132" t="s">
        <v>268</v>
      </c>
      <c r="B172" s="245">
        <f>$B$37</f>
        <v>150000</v>
      </c>
      <c r="C172" s="246"/>
      <c r="D172" s="26" t="s">
        <v>269</v>
      </c>
      <c r="E172" s="27">
        <f>IF(COUNT(E152:E171), SUM(E152:E171) / COUNT(E152:E171), 0)</f>
        <v>2.3750465982887169E-2</v>
      </c>
      <c r="F172" s="28">
        <f>SUM(F152:F171)</f>
        <v>71251.397948661514</v>
      </c>
      <c r="G172" s="26" t="s">
        <v>269</v>
      </c>
      <c r="H172" s="27">
        <f>IF(COUNT(H152:H171), SUM(H152:H171) / COUNT(H152:H171), 0)</f>
        <v>3.6020642192059756E-2</v>
      </c>
      <c r="I172" s="28">
        <f>SUM(I152:I171)</f>
        <v>108061.92657617925</v>
      </c>
      <c r="J172" s="26" t="s">
        <v>269</v>
      </c>
      <c r="K172" s="27">
        <f>IF(COUNT(K152:K171), SUM(K152:K171) / COUNT(K152:K171), 0)</f>
        <v>3.874070933332123E-2</v>
      </c>
      <c r="L172" s="28">
        <f>SUM(L152:L171)</f>
        <v>116222.12799996369</v>
      </c>
      <c r="M172" s="26" t="s">
        <v>269</v>
      </c>
      <c r="N172" s="27">
        <f>IF(COUNT(N152:N171), SUM(N152:N171) / COUNT(N152:N171), 0)</f>
        <v>6.0740739601927253E-2</v>
      </c>
      <c r="O172" s="28">
        <f>SUM(O152:O171)</f>
        <v>182222.21880578174</v>
      </c>
      <c r="Q172" s="187"/>
      <c r="R172" s="188"/>
      <c r="S172" s="189"/>
    </row>
    <row r="174" spans="1:19" ht="17.25" thickBot="1"/>
    <row r="175" spans="1:19" ht="17.25" thickBot="1">
      <c r="A175" s="203" t="s">
        <v>253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61" t="s">
        <v>265</v>
      </c>
      <c r="B176" s="203" t="s">
        <v>49</v>
      </c>
      <c r="C176" s="205"/>
      <c r="D176" s="203" t="s">
        <v>58</v>
      </c>
      <c r="E176" s="204"/>
      <c r="F176" s="205"/>
      <c r="G176" s="206">
        <f>_xlfn.IFNA(VLOOKUP(B176, 현재가테이블!$B$2:$D$200, 2, FALSE), "-")</f>
        <v>62630000</v>
      </c>
      <c r="H176" s="207"/>
      <c r="I176" s="208"/>
      <c r="J176" s="203" t="s">
        <v>59</v>
      </c>
      <c r="K176" s="204"/>
      <c r="L176" s="205"/>
      <c r="M176" s="209">
        <f>_xlfn.IFNA(VLOOKUP(B176, 현재가테이블!$B$2:$D$200, 3, FALSE), "-")</f>
        <v>1.5632601400000001E-2</v>
      </c>
      <c r="N176" s="210"/>
      <c r="O176" s="211"/>
      <c r="Q176" s="202"/>
      <c r="R176" s="202"/>
      <c r="S176" s="202"/>
    </row>
    <row r="177" spans="1:19" ht="17.25" thickBot="1">
      <c r="A177" s="247" t="s">
        <v>55</v>
      </c>
      <c r="B177" s="243" t="str">
        <f>TEXT($G$1, "[$-ko-KR]yyyy-mm-dd(ddd) ") &amp; "오전 00:00"</f>
        <v>2021-10-02(토) 오전 00:00</v>
      </c>
      <c r="C177" s="244"/>
      <c r="D177" s="216" t="str">
        <f>TEXT($G$1, "[$-ko-KR]yyyy-mm-dd(ddd) ") &amp; "오후 14:00"</f>
        <v>2021-10-02(토) 오후 14:00</v>
      </c>
      <c r="E177" s="217"/>
      <c r="F177" s="218"/>
      <c r="G177" s="216" t="str">
        <f>TEXT($G$1, "[$-ko-KR]yyyy-mm-dd(ddd) ") &amp; "오후 19:00"</f>
        <v>2021-10-02(토) 오후 19:00</v>
      </c>
      <c r="H177" s="217"/>
      <c r="I177" s="218"/>
      <c r="J177" s="216" t="str">
        <f>TEXT($G$1, "[$-ko-KR]yyyy-mm-dd(ddd) ") &amp; "오후 21:00"</f>
        <v>2021-10-02(토) 오후 21:00</v>
      </c>
      <c r="K177" s="217"/>
      <c r="L177" s="218"/>
      <c r="M177" s="216" t="str">
        <f>TEXT($G$1+1, "[$-ko-KR]yyyy-mm-dd(ddd) ") &amp; "오전 00:00"</f>
        <v>2021-10-03(일) 오전 00:00</v>
      </c>
      <c r="N177" s="217"/>
      <c r="O177" s="218"/>
      <c r="Q177" s="202"/>
      <c r="R177" s="202"/>
      <c r="S177" s="202"/>
    </row>
    <row r="178" spans="1:19" ht="17.25" thickBot="1">
      <c r="A178" s="24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2" t="s">
        <v>58</v>
      </c>
      <c r="H178" s="163" t="s">
        <v>266</v>
      </c>
      <c r="I178" s="16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192"/>
      <c r="R178" s="192"/>
      <c r="S178" s="192"/>
    </row>
    <row r="179" spans="1:19" ht="17.25" thickBot="1">
      <c r="A179" s="123" t="s">
        <v>180</v>
      </c>
      <c r="B179" s="124">
        <v>62910</v>
      </c>
      <c r="C179" s="76">
        <v>3.9319345800000002E-2</v>
      </c>
      <c r="D179" s="13">
        <v>69520</v>
      </c>
      <c r="E179" s="14">
        <f>IF(ISNUMBER(D179), (D179 - $B179) / $B179, "")</f>
        <v>0.10507073597202353</v>
      </c>
      <c r="F179" s="16">
        <f>IF(ISNUMBER(D179), $B199 * E179, "")</f>
        <v>15760.610395803529</v>
      </c>
      <c r="G179" s="29">
        <v>70080</v>
      </c>
      <c r="H179" s="14">
        <f>IF(ISNUMBER(G179), (G179 - $B179) / $B179, "")</f>
        <v>0.1139723414401526</v>
      </c>
      <c r="I179" s="100">
        <f>IF(ISNUMBER(G179), $B199 * H179, "")</f>
        <v>17095.851216022889</v>
      </c>
      <c r="J179" s="13">
        <v>69400</v>
      </c>
      <c r="K179" s="14">
        <f>IF(ISNUMBER(J179), (J179 - $B179) / $B179, "")</f>
        <v>0.10316324908599586</v>
      </c>
      <c r="L179" s="16">
        <f>IF(ISNUMBER(J179), $B199 * K179, "")</f>
        <v>15474.487362899379</v>
      </c>
      <c r="M179" s="29">
        <v>70450</v>
      </c>
      <c r="N179" s="14">
        <f>IF(ISNUMBER(M179), (M179 - $B179) / $B179, "")</f>
        <v>0.11985375933873788</v>
      </c>
      <c r="O179" s="16">
        <f>IF(ISNUMBER(M179), $B199 * N179, "")</f>
        <v>17978.063900810681</v>
      </c>
      <c r="Q179" s="202"/>
      <c r="R179" s="202"/>
      <c r="S179" s="202"/>
    </row>
    <row r="180" spans="1:19" ht="17.25" thickBot="1">
      <c r="A180" s="125" t="s">
        <v>162</v>
      </c>
      <c r="B180" s="126">
        <v>799</v>
      </c>
      <c r="C180" s="77">
        <v>3.9011703500000001E-2</v>
      </c>
      <c r="D180" s="15">
        <v>794</v>
      </c>
      <c r="E180" s="32">
        <f t="shared" ref="E180:E183" si="94">IF(ISNUMBER(D180), (D180 - $B180) / $B180, "")</f>
        <v>-6.2578222778473091E-3</v>
      </c>
      <c r="F180" s="18">
        <f>IF(ISNUMBER(D180), $B199 * E180, "")</f>
        <v>-938.67334167709635</v>
      </c>
      <c r="G180" s="31">
        <v>798</v>
      </c>
      <c r="H180" s="32">
        <f t="shared" ref="H180:H183" si="95">IF(ISNUMBER(G180), (G180 - $B180) / $B180, "")</f>
        <v>-1.2515644555694619E-3</v>
      </c>
      <c r="I180" s="101">
        <f>IF(ISNUMBER(G180), $B199 * H180, "")</f>
        <v>-187.73466833541929</v>
      </c>
      <c r="J180" s="15">
        <v>797</v>
      </c>
      <c r="K180" s="32">
        <f t="shared" ref="K180:K183" si="96">IF(ISNUMBER(J180), (J180 - $B180) / $B180, "")</f>
        <v>-2.5031289111389237E-3</v>
      </c>
      <c r="L180" s="18">
        <f>IF(ISNUMBER(J180), $B199 * K180, "")</f>
        <v>-375.46933667083857</v>
      </c>
      <c r="M180" s="31">
        <v>813</v>
      </c>
      <c r="N180" s="32">
        <f t="shared" ref="N180:N183" si="97">IF(ISNUMBER(M180), (M180 - $B180) / $B180, "")</f>
        <v>1.7521902377972465E-2</v>
      </c>
      <c r="O180" s="18">
        <f>IF(ISNUMBER(M180), $B199 * N180, "")</f>
        <v>2628.2853566958697</v>
      </c>
      <c r="Q180" s="202"/>
      <c r="R180" s="202"/>
      <c r="S180" s="202"/>
    </row>
    <row r="181" spans="1:19" ht="17.25" thickBot="1">
      <c r="A181" s="125" t="s">
        <v>192</v>
      </c>
      <c r="B181" s="126">
        <v>109</v>
      </c>
      <c r="C181" s="77">
        <v>3.8095238099999998E-2</v>
      </c>
      <c r="D181" s="15">
        <v>115</v>
      </c>
      <c r="E181" s="32">
        <f t="shared" si="94"/>
        <v>5.5045871559633031E-2</v>
      </c>
      <c r="F181" s="18">
        <f>IF(ISNUMBER(D181), $B199 * E181, "")</f>
        <v>8256.880733944954</v>
      </c>
      <c r="G181" s="31">
        <v>116</v>
      </c>
      <c r="H181" s="32">
        <f t="shared" si="95"/>
        <v>6.4220183486238536E-2</v>
      </c>
      <c r="I181" s="101">
        <f>IF(ISNUMBER(G181), $B199 * H181, "")</f>
        <v>9633.0275229357812</v>
      </c>
      <c r="J181" s="15">
        <v>117</v>
      </c>
      <c r="K181" s="32">
        <f t="shared" si="96"/>
        <v>7.3394495412844041E-2</v>
      </c>
      <c r="L181" s="18">
        <f>IF(ISNUMBER(J181), $B199 * K181, "")</f>
        <v>11009.174311926607</v>
      </c>
      <c r="M181" s="31">
        <v>117</v>
      </c>
      <c r="N181" s="32">
        <f t="shared" si="97"/>
        <v>7.3394495412844041E-2</v>
      </c>
      <c r="O181" s="18">
        <f>IF(ISNUMBER(M181), $B199 * N181, "")</f>
        <v>11009.174311926607</v>
      </c>
      <c r="Q181" s="192"/>
      <c r="R181" s="192"/>
      <c r="S181" s="192"/>
    </row>
    <row r="182" spans="1:19" ht="17.25" thickBot="1">
      <c r="A182" s="125" t="s">
        <v>136</v>
      </c>
      <c r="B182" s="126">
        <v>333</v>
      </c>
      <c r="C182" s="77">
        <v>3.7383177599999998E-2</v>
      </c>
      <c r="D182" s="15">
        <v>349</v>
      </c>
      <c r="E182" s="32">
        <f t="shared" si="94"/>
        <v>4.8048048048048048E-2</v>
      </c>
      <c r="F182" s="18">
        <f>IF(ISNUMBER(D182), $B199 * E182, "")</f>
        <v>7207.2072072072069</v>
      </c>
      <c r="G182" s="31">
        <v>354</v>
      </c>
      <c r="H182" s="32">
        <f t="shared" si="95"/>
        <v>6.3063063063063057E-2</v>
      </c>
      <c r="I182" s="101">
        <f>IF(ISNUMBER(G182), $B199 * H182, "")</f>
        <v>9459.4594594594582</v>
      </c>
      <c r="J182" s="15">
        <v>353</v>
      </c>
      <c r="K182" s="32">
        <f t="shared" si="96"/>
        <v>6.006006006006006E-2</v>
      </c>
      <c r="L182" s="18">
        <f>IF(ISNUMBER(J182), $B199 * K182, "")</f>
        <v>9009.0090090090089</v>
      </c>
      <c r="M182" s="31">
        <v>361</v>
      </c>
      <c r="N182" s="32">
        <f t="shared" si="97"/>
        <v>8.408408408408409E-2</v>
      </c>
      <c r="O182" s="18">
        <f>IF(ISNUMBER(M182), $B199 * N182, "")</f>
        <v>12612.612612612613</v>
      </c>
      <c r="Q182" s="192"/>
      <c r="R182" s="192"/>
      <c r="S182" s="192"/>
    </row>
    <row r="183" spans="1:19" ht="17.25" thickBot="1">
      <c r="A183" s="127" t="s">
        <v>200</v>
      </c>
      <c r="B183" s="128">
        <v>75.8</v>
      </c>
      <c r="C183" s="78">
        <v>3.6935704499999999E-2</v>
      </c>
      <c r="D183" s="20">
        <v>76.8</v>
      </c>
      <c r="E183" s="21">
        <f t="shared" si="94"/>
        <v>1.3192612137203167E-2</v>
      </c>
      <c r="F183" s="22">
        <f>IF(ISNUMBER(D183), $B199 * E183, "")</f>
        <v>1978.891820580475</v>
      </c>
      <c r="G183" s="30">
        <v>77.900000000000006</v>
      </c>
      <c r="H183" s="21">
        <f t="shared" si="95"/>
        <v>2.7704485488126762E-2</v>
      </c>
      <c r="I183" s="105">
        <f>IF(ISNUMBER(G183), $B199 * H183, "")</f>
        <v>4155.6728232190144</v>
      </c>
      <c r="J183" s="20">
        <v>78.5</v>
      </c>
      <c r="K183" s="21">
        <f t="shared" si="96"/>
        <v>3.5620052770448586E-2</v>
      </c>
      <c r="L183" s="22">
        <f>IF(ISNUMBER(J183), $B199 * K183, "")</f>
        <v>5343.0079155672884</v>
      </c>
      <c r="M183" s="30">
        <v>79.400000000000006</v>
      </c>
      <c r="N183" s="21">
        <f t="shared" si="97"/>
        <v>4.7493403693931513E-2</v>
      </c>
      <c r="O183" s="22">
        <f>IF(ISNUMBER(M183), $B199 * N183, "")</f>
        <v>7124.0105540897266</v>
      </c>
      <c r="Q183" s="192"/>
      <c r="R183" s="192"/>
      <c r="S183" s="192"/>
    </row>
    <row r="184" spans="1:19" ht="17.25" thickBot="1">
      <c r="A184" s="125" t="s">
        <v>150</v>
      </c>
      <c r="B184" s="129">
        <v>113</v>
      </c>
      <c r="C184" s="80">
        <v>3.6697247699999998E-2</v>
      </c>
      <c r="D184" s="106">
        <v>113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113</v>
      </c>
      <c r="H184" s="107">
        <f>IF(ISNUMBER(G184), (G184 - $B184) / $B184, "")</f>
        <v>0</v>
      </c>
      <c r="I184" s="110">
        <f>IF(ISNUMBER(G184), $B199 * H184, "")</f>
        <v>0</v>
      </c>
      <c r="J184" s="106">
        <v>115</v>
      </c>
      <c r="K184" s="107">
        <f>IF(ISNUMBER(J184), (J184 - $B184) / $B184, "")</f>
        <v>1.7699115044247787E-2</v>
      </c>
      <c r="L184" s="108">
        <f>IF(ISNUMBER(J184), $B199 * K184, "")</f>
        <v>2654.8672566371679</v>
      </c>
      <c r="M184" s="109">
        <v>116</v>
      </c>
      <c r="N184" s="107">
        <f>IF(ISNUMBER(M184), (M184 - $B184) / $B184, "")</f>
        <v>2.6548672566371681E-2</v>
      </c>
      <c r="O184" s="108">
        <f>IF(ISNUMBER(M184), $B199 * N184, "")</f>
        <v>3982.3008849557523</v>
      </c>
      <c r="Q184" s="192"/>
      <c r="R184" s="192"/>
      <c r="S184" s="192"/>
    </row>
    <row r="185" spans="1:19" ht="17.25" thickBot="1">
      <c r="A185" s="125" t="s">
        <v>54</v>
      </c>
      <c r="B185" s="126">
        <v>428</v>
      </c>
      <c r="C185" s="77">
        <v>3.6319612600000002E-2</v>
      </c>
      <c r="D185" s="15">
        <v>441</v>
      </c>
      <c r="E185" s="32">
        <f t="shared" ref="E185:E188" si="98">IF(ISNUMBER(D185), (D185 - $B185) / $B185, "")</f>
        <v>3.0373831775700934E-2</v>
      </c>
      <c r="F185" s="18">
        <f>IF(ISNUMBER(D185), $B199 * E185, "")</f>
        <v>4556.0747663551401</v>
      </c>
      <c r="G185" s="31">
        <v>463</v>
      </c>
      <c r="H185" s="32">
        <f t="shared" ref="H185:H188" si="99">IF(ISNUMBER(G185), (G185 - $B185) / $B185, "")</f>
        <v>8.1775700934579434E-2</v>
      </c>
      <c r="I185" s="101">
        <f>IF(ISNUMBER(G185), $B199 * H185, "")</f>
        <v>12266.355140186915</v>
      </c>
      <c r="J185" s="15">
        <v>474</v>
      </c>
      <c r="K185" s="32">
        <f t="shared" ref="K185:K188" si="100">IF(ISNUMBER(J185), (J185 - $B185) / $B185, "")</f>
        <v>0.10747663551401869</v>
      </c>
      <c r="L185" s="18">
        <f>IF(ISNUMBER(J185), $B199 * K185, "")</f>
        <v>16121.495327102803</v>
      </c>
      <c r="M185" s="31">
        <v>502</v>
      </c>
      <c r="N185" s="32">
        <f t="shared" ref="N185:N188" si="101">IF(ISNUMBER(M185), (M185 - $B185) / $B185, "")</f>
        <v>0.17289719626168223</v>
      </c>
      <c r="O185" s="18">
        <f>IF(ISNUMBER(M185), $B199 * N185, "")</f>
        <v>25934.579439252335</v>
      </c>
      <c r="Q185" s="192"/>
      <c r="R185" s="192"/>
      <c r="S185" s="192"/>
    </row>
    <row r="186" spans="1:19" ht="17.25" thickBot="1">
      <c r="A186" s="125" t="s">
        <v>104</v>
      </c>
      <c r="B186" s="126">
        <v>1170</v>
      </c>
      <c r="C186" s="77">
        <v>3.5398230099999997E-2</v>
      </c>
      <c r="D186" s="15">
        <v>1185</v>
      </c>
      <c r="E186" s="32">
        <f t="shared" si="98"/>
        <v>1.282051282051282E-2</v>
      </c>
      <c r="F186" s="18">
        <f>IF(ISNUMBER(D186), $B199 * E186, "")</f>
        <v>1923.0769230769231</v>
      </c>
      <c r="G186" s="31">
        <v>1205</v>
      </c>
      <c r="H186" s="32">
        <f t="shared" si="99"/>
        <v>2.9914529914529916E-2</v>
      </c>
      <c r="I186" s="101">
        <f>IF(ISNUMBER(G186), $B199 * H186, "")</f>
        <v>4487.1794871794873</v>
      </c>
      <c r="J186" s="15">
        <v>1205</v>
      </c>
      <c r="K186" s="32">
        <f t="shared" si="100"/>
        <v>2.9914529914529916E-2</v>
      </c>
      <c r="L186" s="18">
        <f>IF(ISNUMBER(J186), $B199 * K186, "")</f>
        <v>4487.1794871794873</v>
      </c>
      <c r="M186" s="31">
        <v>1215</v>
      </c>
      <c r="N186" s="32">
        <f t="shared" si="101"/>
        <v>3.8461538461538464E-2</v>
      </c>
      <c r="O186" s="18">
        <f>IF(ISNUMBER(M186), $B199 * N186, "")</f>
        <v>5769.2307692307695</v>
      </c>
      <c r="Q186" s="192"/>
      <c r="R186" s="192"/>
      <c r="S186" s="192"/>
    </row>
    <row r="187" spans="1:19" ht="17.25" thickBot="1">
      <c r="A187" s="125" t="s">
        <v>244</v>
      </c>
      <c r="B187" s="126">
        <v>7945</v>
      </c>
      <c r="C187" s="77">
        <v>3.5179153099999999E-2</v>
      </c>
      <c r="D187" s="15">
        <v>8165</v>
      </c>
      <c r="E187" s="32">
        <f t="shared" si="98"/>
        <v>2.7690371302706105E-2</v>
      </c>
      <c r="F187" s="18">
        <f>IF(ISNUMBER(D187), $B199 * E187, "")</f>
        <v>4153.5556954059157</v>
      </c>
      <c r="G187" s="31">
        <v>8215</v>
      </c>
      <c r="H187" s="32">
        <f t="shared" si="99"/>
        <v>3.3983637507866586E-2</v>
      </c>
      <c r="I187" s="101">
        <f>IF(ISNUMBER(G187), $B199 * H187, "")</f>
        <v>5097.5456261799882</v>
      </c>
      <c r="J187" s="15">
        <v>8240</v>
      </c>
      <c r="K187" s="32">
        <f t="shared" si="100"/>
        <v>3.7130270610446825E-2</v>
      </c>
      <c r="L187" s="18">
        <f>IF(ISNUMBER(J187), $B199 * K187, "")</f>
        <v>5569.5405915670235</v>
      </c>
      <c r="M187" s="31">
        <v>8365</v>
      </c>
      <c r="N187" s="32">
        <f t="shared" si="101"/>
        <v>5.2863436123348019E-2</v>
      </c>
      <c r="O187" s="18">
        <f>IF(ISNUMBER(M187), $B199 * N187, "")</f>
        <v>7929.5154185022029</v>
      </c>
      <c r="Q187" s="33"/>
      <c r="R187" s="33"/>
    </row>
    <row r="188" spans="1:19" ht="17.25" thickBot="1">
      <c r="A188" s="130" t="s">
        <v>140</v>
      </c>
      <c r="B188" s="131">
        <v>10030</v>
      </c>
      <c r="C188" s="79">
        <v>3.50877193E-2</v>
      </c>
      <c r="D188" s="24">
        <v>10140</v>
      </c>
      <c r="E188" s="25">
        <f t="shared" si="98"/>
        <v>1.0967098703888335E-2</v>
      </c>
      <c r="F188" s="104">
        <f>IF(ISNUMBER(D188), $B199 * E188, "")</f>
        <v>1645.0648055832503</v>
      </c>
      <c r="G188" s="102">
        <v>10290</v>
      </c>
      <c r="H188" s="25">
        <f t="shared" si="99"/>
        <v>2.5922233300099701E-2</v>
      </c>
      <c r="I188" s="103">
        <f>IF(ISNUMBER(G188), $B199 * H188, "")</f>
        <v>3888.3349950149554</v>
      </c>
      <c r="J188" s="24">
        <v>10330</v>
      </c>
      <c r="K188" s="25">
        <f t="shared" si="100"/>
        <v>2.991026919242273E-2</v>
      </c>
      <c r="L188" s="104">
        <f>IF(ISNUMBER(J188), $B199 * K188, "")</f>
        <v>4486.5403788634094</v>
      </c>
      <c r="M188" s="102">
        <v>10510</v>
      </c>
      <c r="N188" s="25">
        <f t="shared" si="101"/>
        <v>4.7856430707876374E-2</v>
      </c>
      <c r="O188" s="104">
        <f>IF(ISNUMBER(M188), $B199 * N188, "")</f>
        <v>7178.4646061814565</v>
      </c>
      <c r="Q188" s="193"/>
      <c r="R188" s="194"/>
      <c r="S188" s="195"/>
    </row>
    <row r="189" spans="1:19">
      <c r="A189" s="123" t="s">
        <v>230</v>
      </c>
      <c r="B189" s="124">
        <v>752</v>
      </c>
      <c r="C189" s="76">
        <v>3.4387895500000001E-2</v>
      </c>
      <c r="D189" s="13">
        <v>757</v>
      </c>
      <c r="E189" s="14">
        <f>IF(ISNUMBER(D189), (D189 - $B189) / $B189, "")</f>
        <v>6.648936170212766E-3</v>
      </c>
      <c r="F189" s="16">
        <f>IF(ISNUMBER(D189), $B199 * E189, "")</f>
        <v>997.34042553191489</v>
      </c>
      <c r="G189" s="29">
        <v>763</v>
      </c>
      <c r="H189" s="14">
        <f>IF(ISNUMBER(G189), (G189 - $B189) / $B189, "")</f>
        <v>1.4627659574468085E-2</v>
      </c>
      <c r="I189" s="100">
        <f>IF(ISNUMBER(G189), $B199 * H189, "")</f>
        <v>2194.1489361702129</v>
      </c>
      <c r="J189" s="13">
        <v>763</v>
      </c>
      <c r="K189" s="14">
        <f>IF(ISNUMBER(J189), (J189 - $B189) / $B189, "")</f>
        <v>1.4627659574468085E-2</v>
      </c>
      <c r="L189" s="16">
        <f>IF(ISNUMBER(J189), $B199 * K189, "")</f>
        <v>2194.1489361702129</v>
      </c>
      <c r="M189" s="29">
        <v>787</v>
      </c>
      <c r="N189" s="14">
        <f>IF(ISNUMBER(M189), (M189 - $B189) / $B189, "")</f>
        <v>4.6542553191489359E-2</v>
      </c>
      <c r="O189" s="16">
        <f>IF(ISNUMBER(M189), $B199 * N189, "")</f>
        <v>6981.3829787234035</v>
      </c>
      <c r="Q189" s="196"/>
      <c r="R189" s="197"/>
      <c r="S189" s="198"/>
    </row>
    <row r="190" spans="1:19" ht="17.25" thickBot="1">
      <c r="A190" s="125" t="s">
        <v>240</v>
      </c>
      <c r="B190" s="126">
        <v>623</v>
      </c>
      <c r="C190" s="77">
        <v>3.3167495900000003E-2</v>
      </c>
      <c r="D190" s="15">
        <v>625</v>
      </c>
      <c r="E190" s="32">
        <f t="shared" ref="E190:E193" si="102">IF(ISNUMBER(D190), (D190 - $B190) / $B190, "")</f>
        <v>3.2102728731942215E-3</v>
      </c>
      <c r="F190" s="18">
        <f>IF(ISNUMBER(D190), $B199 * E190, "")</f>
        <v>481.54093097913324</v>
      </c>
      <c r="G190" s="31">
        <v>623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624</v>
      </c>
      <c r="K190" s="32">
        <f t="shared" ref="K190:K193" si="104">IF(ISNUMBER(J190), (J190 - $B190) / $B190, "")</f>
        <v>1.6051364365971107E-3</v>
      </c>
      <c r="L190" s="18">
        <f>IF(ISNUMBER(J190), $B199 * K190, "")</f>
        <v>240.77046548956662</v>
      </c>
      <c r="M190" s="31">
        <v>634</v>
      </c>
      <c r="N190" s="32">
        <f t="shared" ref="N190:N193" si="105">IF(ISNUMBER(M190), (M190 - $B190) / $B190, "")</f>
        <v>1.7656500802568219E-2</v>
      </c>
      <c r="O190" s="18">
        <f>IF(ISNUMBER(M190), $B199 * N190, "")</f>
        <v>2648.4751203852329</v>
      </c>
      <c r="Q190" s="199"/>
      <c r="R190" s="200"/>
      <c r="S190" s="201"/>
    </row>
    <row r="191" spans="1:19" ht="17.25" thickBot="1">
      <c r="A191" s="125" t="s">
        <v>88</v>
      </c>
      <c r="B191" s="126">
        <v>230550</v>
      </c>
      <c r="C191" s="77">
        <v>3.1774446200000001E-2</v>
      </c>
      <c r="D191" s="15">
        <v>232550</v>
      </c>
      <c r="E191" s="32">
        <f t="shared" si="102"/>
        <v>8.6749078291043155E-3</v>
      </c>
      <c r="F191" s="18">
        <f>IF(ISNUMBER(D191), $B199 * E191, "")</f>
        <v>1301.2361743656472</v>
      </c>
      <c r="G191" s="31">
        <v>235900</v>
      </c>
      <c r="H191" s="32">
        <f t="shared" si="103"/>
        <v>2.3205378442854044E-2</v>
      </c>
      <c r="I191" s="101">
        <f>IF(ISNUMBER(G191), $B199 * H191, "")</f>
        <v>3480.8067664281066</v>
      </c>
      <c r="J191" s="15">
        <v>237650</v>
      </c>
      <c r="K191" s="32">
        <f t="shared" si="104"/>
        <v>3.0795922793320323E-2</v>
      </c>
      <c r="L191" s="18">
        <f>IF(ISNUMBER(J191), $B199 * K191, "")</f>
        <v>4619.3884189980481</v>
      </c>
      <c r="M191" s="31">
        <v>240300</v>
      </c>
      <c r="N191" s="32">
        <f t="shared" si="105"/>
        <v>4.2290175666883541E-2</v>
      </c>
      <c r="O191" s="18">
        <f>IF(ISNUMBER(M191), $B199 * N191, "")</f>
        <v>6343.5263500325309</v>
      </c>
      <c r="Q191" s="192"/>
      <c r="R191" s="192"/>
      <c r="S191" s="192"/>
    </row>
    <row r="192" spans="1:19" ht="17.25" thickBot="1">
      <c r="A192" s="125" t="s">
        <v>204</v>
      </c>
      <c r="B192" s="126">
        <v>851</v>
      </c>
      <c r="C192" s="77">
        <v>3.1515151499999998E-2</v>
      </c>
      <c r="D192" s="15">
        <v>857</v>
      </c>
      <c r="E192" s="32">
        <f t="shared" si="102"/>
        <v>7.0505287896592246E-3</v>
      </c>
      <c r="F192" s="18">
        <f>IF(ISNUMBER(D192), $B199 * E192, "")</f>
        <v>1057.5793184488837</v>
      </c>
      <c r="G192" s="31">
        <v>869</v>
      </c>
      <c r="H192" s="32">
        <f t="shared" si="103"/>
        <v>2.1151586368977675E-2</v>
      </c>
      <c r="I192" s="101">
        <f>IF(ISNUMBER(G192), $B199 * H192, "")</f>
        <v>3172.7379553466512</v>
      </c>
      <c r="J192" s="15">
        <v>865</v>
      </c>
      <c r="K192" s="32">
        <f t="shared" si="104"/>
        <v>1.6451233842538191E-2</v>
      </c>
      <c r="L192" s="18">
        <f>IF(ISNUMBER(J192), $B199 * K192, "")</f>
        <v>2467.6850763807288</v>
      </c>
      <c r="M192" s="31">
        <v>899</v>
      </c>
      <c r="N192" s="32">
        <f t="shared" si="105"/>
        <v>5.6404230317273797E-2</v>
      </c>
      <c r="O192" s="18">
        <f>IF(ISNUMBER(M192), $B199 * N192, "")</f>
        <v>8460.6345475910693</v>
      </c>
      <c r="Q192" s="202"/>
      <c r="R192" s="202"/>
      <c r="S192" s="202"/>
    </row>
    <row r="193" spans="1:19" ht="17.25" thickBot="1">
      <c r="A193" s="127" t="s">
        <v>82</v>
      </c>
      <c r="B193" s="128">
        <v>2665</v>
      </c>
      <c r="C193" s="78">
        <v>2.8957528999999999E-2</v>
      </c>
      <c r="D193" s="20">
        <v>2675</v>
      </c>
      <c r="E193" s="21">
        <f t="shared" si="102"/>
        <v>3.7523452157598499E-3</v>
      </c>
      <c r="F193" s="22">
        <f>IF(ISNUMBER(D193), $B199 * E193, "")</f>
        <v>562.85178236397746</v>
      </c>
      <c r="G193" s="30">
        <v>2705</v>
      </c>
      <c r="H193" s="21">
        <f t="shared" si="103"/>
        <v>1.50093808630394E-2</v>
      </c>
      <c r="I193" s="105">
        <f>IF(ISNUMBER(G193), $B199 * H193, "")</f>
        <v>2251.4071294559099</v>
      </c>
      <c r="J193" s="20">
        <v>2705</v>
      </c>
      <c r="K193" s="21">
        <f t="shared" si="104"/>
        <v>1.50093808630394E-2</v>
      </c>
      <c r="L193" s="22">
        <f>IF(ISNUMBER(J193), $B199 * K193, "")</f>
        <v>2251.4071294559099</v>
      </c>
      <c r="M193" s="30">
        <v>2765</v>
      </c>
      <c r="N193" s="21">
        <f t="shared" si="105"/>
        <v>3.7523452157598502E-2</v>
      </c>
      <c r="O193" s="22">
        <f>IF(ISNUMBER(M193), $B199 * N193, "")</f>
        <v>5628.5178236397751</v>
      </c>
      <c r="Q193" s="202"/>
      <c r="R193" s="202"/>
      <c r="S193" s="202"/>
    </row>
    <row r="194" spans="1:19" ht="17.25" thickBot="1">
      <c r="A194" s="125" t="s">
        <v>74</v>
      </c>
      <c r="B194" s="129">
        <v>44900</v>
      </c>
      <c r="C194" s="80">
        <v>1.6296966999999999E-2</v>
      </c>
      <c r="D194" s="106">
        <v>45930</v>
      </c>
      <c r="E194" s="107">
        <f>IF(ISNUMBER(D194), (D194 - $B194) / $B194, "")</f>
        <v>2.2939866369710467E-2</v>
      </c>
      <c r="F194" s="108">
        <f>IF(ISNUMBER(D194), $B199 * E194, "")</f>
        <v>3440.9799554565702</v>
      </c>
      <c r="G194" s="109">
        <v>46900</v>
      </c>
      <c r="H194" s="107">
        <f>IF(ISNUMBER(G194), (G194 - $B194) / $B194, "")</f>
        <v>4.4543429844097995E-2</v>
      </c>
      <c r="I194" s="110">
        <f>IF(ISNUMBER(G194), $B199 * H194, "")</f>
        <v>6681.5144766146996</v>
      </c>
      <c r="J194" s="106">
        <v>47690</v>
      </c>
      <c r="K194" s="107">
        <f>IF(ISNUMBER(J194), (J194 - $B194) / $B194, "")</f>
        <v>6.2138084632516702E-2</v>
      </c>
      <c r="L194" s="108">
        <f>IF(ISNUMBER(J194), $B199 * K194, "")</f>
        <v>9320.7126948775058</v>
      </c>
      <c r="M194" s="109">
        <v>48030</v>
      </c>
      <c r="N194" s="107">
        <f>IF(ISNUMBER(M194), (M194 - $B194) / $B194, "")</f>
        <v>6.9710467706013357E-2</v>
      </c>
      <c r="O194" s="108">
        <f>IF(ISNUMBER(M194), $B199 * N194, "")</f>
        <v>10456.570155902004</v>
      </c>
      <c r="Q194" s="192"/>
      <c r="R194" s="192"/>
      <c r="S194" s="192"/>
    </row>
    <row r="195" spans="1:19" ht="17.25" thickBot="1">
      <c r="A195" s="125" t="s">
        <v>138</v>
      </c>
      <c r="B195" s="126">
        <v>15490</v>
      </c>
      <c r="C195" s="77">
        <v>1.2418300700000001E-2</v>
      </c>
      <c r="D195" s="15">
        <v>15510</v>
      </c>
      <c r="E195" s="32">
        <f t="shared" ref="E195:E198" si="106">IF(ISNUMBER(D195), (D195 - $B195) / $B195, "")</f>
        <v>1.2911555842479018E-3</v>
      </c>
      <c r="F195" s="18">
        <f>IF(ISNUMBER(D195), $B199 * E195, "")</f>
        <v>193.67333763718526</v>
      </c>
      <c r="G195" s="31">
        <v>16420</v>
      </c>
      <c r="H195" s="32">
        <f t="shared" ref="H195:H198" si="107">IF(ISNUMBER(G195), (G195 - $B195) / $B195, "")</f>
        <v>6.0038734667527439E-2</v>
      </c>
      <c r="I195" s="101">
        <f>IF(ISNUMBER(G195), $B199 * H195, "")</f>
        <v>9005.8102001291154</v>
      </c>
      <c r="J195" s="15">
        <v>17540</v>
      </c>
      <c r="K195" s="32">
        <f t="shared" ref="K195:K198" si="108">IF(ISNUMBER(J195), (J195 - $B195) / $B195, "")</f>
        <v>0.13234344738540993</v>
      </c>
      <c r="L195" s="18">
        <f>IF(ISNUMBER(J195), $B199 * K195, "")</f>
        <v>19851.517107811491</v>
      </c>
      <c r="M195" s="31">
        <v>18240</v>
      </c>
      <c r="N195" s="32">
        <f t="shared" ref="N195:N198" si="109">IF(ISNUMBER(M195), (M195 - $B195) / $B195, "")</f>
        <v>0.17753389283408652</v>
      </c>
      <c r="O195" s="18">
        <f>IF(ISNUMBER(M195), $B199 * N195, "")</f>
        <v>26630.083925112976</v>
      </c>
      <c r="Q195" s="192"/>
      <c r="R195" s="192"/>
      <c r="S195" s="192"/>
    </row>
    <row r="196" spans="1:19" ht="17.25" thickBot="1">
      <c r="A196" s="125" t="s">
        <v>238</v>
      </c>
      <c r="B196" s="126">
        <v>72.900000000000006</v>
      </c>
      <c r="C196" s="77">
        <v>6.9060772999999997E-3</v>
      </c>
      <c r="D196" s="15">
        <v>71.2</v>
      </c>
      <c r="E196" s="32">
        <f t="shared" si="106"/>
        <v>-2.3319615912208543E-2</v>
      </c>
      <c r="F196" s="18">
        <f>IF(ISNUMBER(D196), $B199 * E196, "")</f>
        <v>-3497.9423868312815</v>
      </c>
      <c r="G196" s="31">
        <v>71.2</v>
      </c>
      <c r="H196" s="32">
        <f t="shared" si="107"/>
        <v>-2.3319615912208543E-2</v>
      </c>
      <c r="I196" s="101">
        <f>IF(ISNUMBER(G196), $B199 * H196, "")</f>
        <v>-3497.9423868312815</v>
      </c>
      <c r="J196" s="15">
        <v>71</v>
      </c>
      <c r="K196" s="32">
        <f t="shared" si="108"/>
        <v>-2.6063100137174288E-2</v>
      </c>
      <c r="L196" s="18">
        <f>IF(ISNUMBER(J196), $B199 * K196, "")</f>
        <v>-3909.4650205761432</v>
      </c>
      <c r="M196" s="31">
        <v>72.400000000000006</v>
      </c>
      <c r="N196" s="32">
        <f t="shared" si="109"/>
        <v>-6.8587105624142658E-3</v>
      </c>
      <c r="O196" s="18">
        <f>IF(ISNUMBER(M196), $B199 * N196, "")</f>
        <v>-1028.8065843621398</v>
      </c>
      <c r="Q196" s="192"/>
      <c r="R196" s="192"/>
      <c r="S196" s="192"/>
    </row>
    <row r="197" spans="1:19">
      <c r="A197" s="125" t="s">
        <v>65</v>
      </c>
      <c r="B197" s="126">
        <v>67.3</v>
      </c>
      <c r="C197" s="77">
        <v>1.4880951999999999E-3</v>
      </c>
      <c r="D197" s="15">
        <v>67.5</v>
      </c>
      <c r="E197" s="32">
        <f t="shared" si="106"/>
        <v>2.9717682020802801E-3</v>
      </c>
      <c r="F197" s="18">
        <f>IF(ISNUMBER(D197), $B199 * E197, "")</f>
        <v>445.76523031204204</v>
      </c>
      <c r="G197" s="31">
        <v>68.400000000000006</v>
      </c>
      <c r="H197" s="32">
        <f t="shared" si="107"/>
        <v>1.6344725111441433E-2</v>
      </c>
      <c r="I197" s="101">
        <f>IF(ISNUMBER(G197), $B199 * H197, "")</f>
        <v>2451.708766716215</v>
      </c>
      <c r="J197" s="15">
        <v>68.5</v>
      </c>
      <c r="K197" s="32">
        <f t="shared" si="108"/>
        <v>1.7830609212481471E-2</v>
      </c>
      <c r="L197" s="18">
        <f>IF(ISNUMBER(J197), $B199 * K197, "")</f>
        <v>2674.5913818722206</v>
      </c>
      <c r="M197" s="31">
        <v>69.7</v>
      </c>
      <c r="N197" s="32">
        <f t="shared" si="109"/>
        <v>3.5661218424962941E-2</v>
      </c>
      <c r="O197" s="18">
        <f>IF(ISNUMBER(M197), $B199 * N197, "")</f>
        <v>5349.1827637444412</v>
      </c>
      <c r="Q197" s="181"/>
      <c r="R197" s="182"/>
      <c r="S197" s="183"/>
    </row>
    <row r="198" spans="1:19" ht="17.25" thickBot="1">
      <c r="A198" s="130" t="s">
        <v>328</v>
      </c>
      <c r="B198" s="131">
        <v>0.29899999999999999</v>
      </c>
      <c r="C198" s="79">
        <v>-6.6445183E-3</v>
      </c>
      <c r="D198" s="24">
        <v>0.30099999999999999</v>
      </c>
      <c r="E198" s="25">
        <f t="shared" si="106"/>
        <v>6.6889632107023471E-3</v>
      </c>
      <c r="F198" s="104">
        <f>IF(ISNUMBER(D198), $B199 * E198, "")</f>
        <v>1003.344481605352</v>
      </c>
      <c r="G198" s="102">
        <v>0.30499999999999999</v>
      </c>
      <c r="H198" s="25">
        <f t="shared" si="107"/>
        <v>2.0066889632107041E-2</v>
      </c>
      <c r="I198" s="103">
        <f>IF(ISNUMBER(G198), $B199 * H198, "")</f>
        <v>3010.0334448160561</v>
      </c>
      <c r="J198" s="24">
        <v>0.30099999999999999</v>
      </c>
      <c r="K198" s="25">
        <f t="shared" si="108"/>
        <v>6.6889632107023471E-3</v>
      </c>
      <c r="L198" s="104">
        <f>IF(ISNUMBER(J198), $B199 * K198, "")</f>
        <v>1003.344481605352</v>
      </c>
      <c r="M198" s="102">
        <v>0.30299999999999999</v>
      </c>
      <c r="N198" s="25">
        <f t="shared" si="109"/>
        <v>1.3377926421404694E-2</v>
      </c>
      <c r="O198" s="104">
        <f>IF(ISNUMBER(M198), $B199 * N198, "")</f>
        <v>2006.6889632107041</v>
      </c>
      <c r="Q198" s="184"/>
      <c r="R198" s="185"/>
      <c r="S198" s="186"/>
    </row>
    <row r="199" spans="1:19" ht="17.25" thickBot="1">
      <c r="A199" s="132" t="s">
        <v>268</v>
      </c>
      <c r="B199" s="245">
        <f>$B$37</f>
        <v>150000</v>
      </c>
      <c r="C199" s="246"/>
      <c r="D199" s="26" t="s">
        <v>269</v>
      </c>
      <c r="E199" s="27">
        <f>IF(COUNT(E179:E198), SUM(E179:E198) / COUNT(E179:E198), 0)</f>
        <v>1.6843019418716573E-2</v>
      </c>
      <c r="F199" s="28">
        <f>SUM(F179:F198)</f>
        <v>50529.058256149721</v>
      </c>
      <c r="G199" s="26" t="s">
        <v>269</v>
      </c>
      <c r="H199" s="27">
        <f>IF(COUNT(H179:H198), SUM(H179:H198) / COUNT(H179:H198), 0)</f>
        <v>3.1548638963569582E-2</v>
      </c>
      <c r="I199" s="28">
        <f>SUM(I179:I198)</f>
        <v>94645.916890708744</v>
      </c>
      <c r="J199" s="26" t="s">
        <v>269</v>
      </c>
      <c r="K199" s="27">
        <f>IF(COUNT(K179:K198), SUM(K179:K198) / COUNT(K179:K198), 0)</f>
        <v>3.8164644325388741E-2</v>
      </c>
      <c r="L199" s="28">
        <f>SUM(L179:L198)</f>
        <v>114493.93297616624</v>
      </c>
      <c r="M199" s="26" t="s">
        <v>269</v>
      </c>
      <c r="N199" s="27">
        <f>IF(COUNT(N179:N198), SUM(N179:N198) / COUNT(N179:N198), 0)</f>
        <v>5.8540831299412677E-2</v>
      </c>
      <c r="O199" s="28">
        <f>SUM(O179:O198)</f>
        <v>175622.49389823797</v>
      </c>
      <c r="Q199" s="187"/>
      <c r="R199" s="188"/>
      <c r="S199" s="1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BC232-81D1-4129-900F-61630E45F944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44472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318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326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21,897 KRW (0.73%)</v>
      </c>
      <c r="H3" s="225"/>
      <c r="I3" s="226"/>
      <c r="J3" s="4" t="s">
        <v>7</v>
      </c>
      <c r="K3" s="228" t="s">
        <v>319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320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317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-24,989 KRW (-0.93%)</v>
      </c>
      <c r="H5" s="225"/>
      <c r="I5" s="226"/>
      <c r="J5" s="4" t="s">
        <v>15</v>
      </c>
      <c r="K5" s="228" t="s">
        <v>321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322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2,906 KRW (0.10%)</v>
      </c>
      <c r="H7" s="225"/>
      <c r="I7" s="226"/>
      <c r="J7" s="4" t="s">
        <v>21</v>
      </c>
      <c r="K7" s="228" t="s">
        <v>323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31" t="s">
        <v>253</v>
      </c>
      <c r="H8" s="232"/>
      <c r="I8" s="233"/>
      <c r="J8" s="4" t="s">
        <v>24</v>
      </c>
      <c r="K8" s="228"/>
      <c r="L8" s="229"/>
      <c r="M8" s="229"/>
      <c r="N8" s="229"/>
      <c r="O8" s="230"/>
      <c r="Q8" s="203" t="s">
        <v>27</v>
      </c>
      <c r="R8" s="205"/>
    </row>
    <row r="9" spans="1:19" ht="17.25" thickBot="1">
      <c r="A9" s="118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3,565 KRW (0.12%)</v>
      </c>
      <c r="H9" s="225"/>
      <c r="I9" s="226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 t="s">
        <v>324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21" t="s">
        <v>325</v>
      </c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 t="s">
        <v>316</v>
      </c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34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65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62630000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1.5632601400000001E-2</v>
      </c>
      <c r="N14" s="210"/>
      <c r="O14" s="211"/>
      <c r="Q14" s="202"/>
      <c r="R14" s="202"/>
      <c r="S14" s="202"/>
    </row>
    <row r="15" spans="1:19" ht="17.25" customHeight="1" thickBot="1">
      <c r="A15" s="240" t="s">
        <v>39</v>
      </c>
      <c r="B15" s="241" t="str">
        <f>TEXT($G$1, "[$-ko-KR]yyyy-mm-dd(ddd) ") &amp; "오전 00:00"</f>
        <v>2021-10-03(일) 오전 00:00</v>
      </c>
      <c r="C15" s="242"/>
      <c r="D15" s="216" t="str">
        <f>TEXT($G$1, "[$-ko-KR]yyyy-mm-dd(ddd) ") &amp; "오후 14:00"</f>
        <v>2021-10-03(일) 오후 14:00</v>
      </c>
      <c r="E15" s="217"/>
      <c r="F15" s="218"/>
      <c r="G15" s="216" t="str">
        <f>TEXT($G$1, "[$-ko-KR]yyyy-mm-dd(ddd) ") &amp; "오후 19:00"</f>
        <v>2021-10-03(일) 오후 19:00</v>
      </c>
      <c r="H15" s="217"/>
      <c r="I15" s="218"/>
      <c r="J15" s="216" t="str">
        <f>TEXT($G$1, "[$-ko-KR]yyyy-mm-dd(ddd) ") &amp; "오후 21:00"</f>
        <v>2021-10-03(일) 오후 21:00</v>
      </c>
      <c r="K15" s="217"/>
      <c r="L15" s="218"/>
      <c r="M15" s="216" t="str">
        <f>TEXT($G$1+1, "[$-ko-KR]yyyy-mm-dd(ddd) ") &amp; "오전 00:00"</f>
        <v>2021-10-04(월) 오전 00:00</v>
      </c>
      <c r="N15" s="217"/>
      <c r="O15" s="218"/>
      <c r="Q15" s="202"/>
      <c r="R15" s="202"/>
      <c r="S15" s="202"/>
    </row>
    <row r="16" spans="1:19" ht="17.25" customHeight="1" thickBot="1">
      <c r="A16" s="24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132" t="s">
        <v>42</v>
      </c>
      <c r="B37" s="245">
        <v>150000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65" t="s">
        <v>265</v>
      </c>
      <c r="B41" s="203" t="s">
        <v>49</v>
      </c>
      <c r="C41" s="205"/>
      <c r="D41" s="203" t="s">
        <v>58</v>
      </c>
      <c r="E41" s="204"/>
      <c r="F41" s="205"/>
      <c r="G41" s="206">
        <f>_xlfn.IFNA(VLOOKUP(B41, 현재가테이블!$B$2:$D$200, 2, FALSE), "-")</f>
        <v>62630000</v>
      </c>
      <c r="H41" s="207"/>
      <c r="I41" s="208"/>
      <c r="J41" s="203" t="s">
        <v>59</v>
      </c>
      <c r="K41" s="204"/>
      <c r="L41" s="205"/>
      <c r="M41" s="209">
        <f>_xlfn.IFNA(VLOOKUP(B41, 현재가테이블!$B$2:$D$200, 3, FALSE), "-")</f>
        <v>1.5632601400000001E-2</v>
      </c>
      <c r="N41" s="210"/>
      <c r="O41" s="211"/>
      <c r="Q41" s="202"/>
      <c r="R41" s="202"/>
      <c r="S41" s="202"/>
    </row>
    <row r="42" spans="1:19" ht="17.25" customHeight="1" thickBot="1">
      <c r="A42" s="247" t="s">
        <v>55</v>
      </c>
      <c r="B42" s="243" t="str">
        <f>TEXT($G$1, "[$-ko-KR]yyyy-mm-dd(ddd) ") &amp; "오전 00:00"</f>
        <v>2021-10-03(일) 오전 00:00</v>
      </c>
      <c r="C42" s="244"/>
      <c r="D42" s="216" t="str">
        <f>TEXT($G$1, "[$-ko-KR]yyyy-mm-dd(ddd) ") &amp; "오후 14:00"</f>
        <v>2021-10-03(일) 오후 14:00</v>
      </c>
      <c r="E42" s="217"/>
      <c r="F42" s="218"/>
      <c r="G42" s="216" t="str">
        <f>TEXT($G$1, "[$-ko-KR]yyyy-mm-dd(ddd) ") &amp; "오후 19:00"</f>
        <v>2021-10-03(일) 오후 19:00</v>
      </c>
      <c r="H42" s="217"/>
      <c r="I42" s="218"/>
      <c r="J42" s="216" t="str">
        <f>TEXT($G$1, "[$-ko-KR]yyyy-mm-dd(ddd) ") &amp; "오후 21:00"</f>
        <v>2021-10-03(일) 오후 21:00</v>
      </c>
      <c r="K42" s="217"/>
      <c r="L42" s="218"/>
      <c r="M42" s="216" t="str">
        <f>TEXT($G$1+1, "[$-ko-KR]yyyy-mm-dd(ddd) ") &amp; "오전 00:00"</f>
        <v>2021-10-04(월) 오전 00:00</v>
      </c>
      <c r="N42" s="217"/>
      <c r="O42" s="218"/>
      <c r="Q42" s="202"/>
      <c r="R42" s="202"/>
      <c r="S42" s="202"/>
    </row>
    <row r="43" spans="1:19" ht="17.25" customHeight="1" thickBot="1">
      <c r="A43" s="24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6" t="s">
        <v>58</v>
      </c>
      <c r="H43" s="167" t="s">
        <v>266</v>
      </c>
      <c r="I43" s="16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192"/>
      <c r="R43" s="192"/>
      <c r="S43" s="192"/>
    </row>
    <row r="44" spans="1:19" ht="17.25" customHeight="1" thickBot="1">
      <c r="A44" s="123" t="s">
        <v>120</v>
      </c>
      <c r="B44" s="124">
        <v>37.5</v>
      </c>
      <c r="C44" s="76">
        <v>6.5340909099999997E-2</v>
      </c>
      <c r="D44" s="13">
        <v>37.1</v>
      </c>
      <c r="E44" s="14">
        <f>IF(ISNUMBER(D44), (D44 - $B44) / $B44, "")</f>
        <v>-1.0666666666666628E-2</v>
      </c>
      <c r="F44" s="16">
        <f>IF(ISNUMBER(D44), $B64 * E44, "")</f>
        <v>-1599.9999999999943</v>
      </c>
      <c r="G44" s="29">
        <v>36.700000000000003</v>
      </c>
      <c r="H44" s="14">
        <f>IF(ISNUMBER(G44), (G44 - $B44) / $B44, "")</f>
        <v>-2.1333333333333256E-2</v>
      </c>
      <c r="I44" s="100">
        <f>IF(ISNUMBER(G44), $B64 * H44, "")</f>
        <v>-3199.9999999999886</v>
      </c>
      <c r="J44" s="13">
        <v>36.9</v>
      </c>
      <c r="K44" s="14">
        <f>IF(ISNUMBER(J44), (J44 - $B44) / $B44, "")</f>
        <v>-1.6000000000000038E-2</v>
      </c>
      <c r="L44" s="16">
        <f>IF(ISNUMBER(J44), $B64 * K44, "")</f>
        <v>-2400.0000000000059</v>
      </c>
      <c r="M44" s="29">
        <v>37.1</v>
      </c>
      <c r="N44" s="14">
        <f>IF(ISNUMBER(M44), (M44 - $B44) / $B44, "")</f>
        <v>-1.0666666666666628E-2</v>
      </c>
      <c r="O44" s="16">
        <f>IF(ISNUMBER(M44), $B64 * N44, "")</f>
        <v>-1599.9999999999943</v>
      </c>
      <c r="Q44" s="202"/>
      <c r="R44" s="202"/>
      <c r="S44" s="202"/>
    </row>
    <row r="45" spans="1:19" ht="17.25" customHeight="1" thickBot="1">
      <c r="A45" s="125" t="s">
        <v>188</v>
      </c>
      <c r="B45" s="126">
        <v>16.899999999999999</v>
      </c>
      <c r="C45" s="77">
        <v>4.3209876500000001E-2</v>
      </c>
      <c r="D45" s="15">
        <v>16.7</v>
      </c>
      <c r="E45" s="32">
        <f t="shared" ref="E45:E48" si="14">IF(ISNUMBER(D45), (D45 - $B45) / $B45, "")</f>
        <v>-1.1834319526627177E-2</v>
      </c>
      <c r="F45" s="18">
        <f>IF(ISNUMBER(D45), $B64 * E45, "")</f>
        <v>-1775.1479289940767</v>
      </c>
      <c r="G45" s="31">
        <v>16.399999999999999</v>
      </c>
      <c r="H45" s="32">
        <f t="shared" ref="H45:H48" si="15">IF(ISNUMBER(G45), (G45 - $B45) / $B45, "")</f>
        <v>-2.9585798816568049E-2</v>
      </c>
      <c r="I45" s="101">
        <f>IF(ISNUMBER(G45), $B64 * H45, "")</f>
        <v>-4437.8698224852078</v>
      </c>
      <c r="J45" s="15">
        <v>16.399999999999999</v>
      </c>
      <c r="K45" s="32">
        <f t="shared" ref="K45:K48" si="16">IF(ISNUMBER(J45), (J45 - $B45) / $B45, "")</f>
        <v>-2.9585798816568049E-2</v>
      </c>
      <c r="L45" s="18">
        <f>IF(ISNUMBER(J45), $B64 * K45, "")</f>
        <v>-4437.8698224852078</v>
      </c>
      <c r="M45" s="31">
        <v>16.5</v>
      </c>
      <c r="N45" s="32">
        <f t="shared" ref="N45:N48" si="17">IF(ISNUMBER(M45), (M45 - $B45) / $B45, "")</f>
        <v>-2.3668639053254354E-2</v>
      </c>
      <c r="O45" s="18">
        <f>IF(ISNUMBER(M45), $B64 * N45, "")</f>
        <v>-3550.2958579881533</v>
      </c>
      <c r="Q45" s="202"/>
      <c r="R45" s="202"/>
      <c r="S45" s="202"/>
    </row>
    <row r="46" spans="1:19" ht="17.25" customHeight="1" thickBot="1">
      <c r="A46" s="125" t="s">
        <v>214</v>
      </c>
      <c r="B46" s="126">
        <v>10.8</v>
      </c>
      <c r="C46" s="77">
        <v>3.8461538500000003E-2</v>
      </c>
      <c r="D46" s="15">
        <v>10.9</v>
      </c>
      <c r="E46" s="32">
        <f t="shared" si="14"/>
        <v>9.2592592592592258E-3</v>
      </c>
      <c r="F46" s="18">
        <f>IF(ISNUMBER(D46), $B64 * E46, "")</f>
        <v>1388.8888888888839</v>
      </c>
      <c r="G46" s="31">
        <v>11.2</v>
      </c>
      <c r="H46" s="32">
        <f t="shared" si="15"/>
        <v>3.7037037037036903E-2</v>
      </c>
      <c r="I46" s="101">
        <f>IF(ISNUMBER(G46), $B64 * H46, "")</f>
        <v>5555.5555555555356</v>
      </c>
      <c r="J46" s="15">
        <v>11</v>
      </c>
      <c r="K46" s="32">
        <f t="shared" si="16"/>
        <v>1.8518518518518452E-2</v>
      </c>
      <c r="L46" s="18">
        <f>IF(ISNUMBER(J46), $B64 * K46, "")</f>
        <v>2777.7777777777678</v>
      </c>
      <c r="M46" s="31">
        <v>11</v>
      </c>
      <c r="N46" s="32">
        <f t="shared" si="17"/>
        <v>1.8518518518518452E-2</v>
      </c>
      <c r="O46" s="18">
        <f>IF(ISNUMBER(M46), $B64 * N46, "")</f>
        <v>2777.7777777777678</v>
      </c>
      <c r="Q46" s="192"/>
      <c r="R46" s="192"/>
      <c r="S46" s="192"/>
    </row>
    <row r="47" spans="1:19" ht="17.25" customHeight="1" thickBot="1">
      <c r="A47" s="125" t="s">
        <v>72</v>
      </c>
      <c r="B47" s="126">
        <v>23.9</v>
      </c>
      <c r="C47" s="77">
        <v>3.0172413799999999E-2</v>
      </c>
      <c r="D47" s="15">
        <v>23.6</v>
      </c>
      <c r="E47" s="32">
        <f t="shared" si="14"/>
        <v>-1.2552301255230007E-2</v>
      </c>
      <c r="F47" s="18">
        <f>IF(ISNUMBER(D47), $B64 * E47, "")</f>
        <v>-1882.8451882845011</v>
      </c>
      <c r="G47" s="31">
        <v>23.4</v>
      </c>
      <c r="H47" s="32">
        <f t="shared" si="15"/>
        <v>-2.0920502092050212E-2</v>
      </c>
      <c r="I47" s="101">
        <f>IF(ISNUMBER(G47), $B64 * H47, "")</f>
        <v>-3138.075313807532</v>
      </c>
      <c r="J47" s="15">
        <v>23.5</v>
      </c>
      <c r="K47" s="32">
        <f t="shared" si="16"/>
        <v>-1.673640167364011E-2</v>
      </c>
      <c r="L47" s="18">
        <f>IF(ISNUMBER(J47), $B64 * K47, "")</f>
        <v>-2510.4602510460168</v>
      </c>
      <c r="M47" s="31">
        <v>23.7</v>
      </c>
      <c r="N47" s="32">
        <f t="shared" si="17"/>
        <v>-8.3682008368200552E-3</v>
      </c>
      <c r="O47" s="18">
        <f>IF(ISNUMBER(M47), $B64 * N47, "")</f>
        <v>-1255.2301255230084</v>
      </c>
      <c r="Q47" s="192"/>
      <c r="R47" s="192"/>
      <c r="S47" s="192"/>
    </row>
    <row r="48" spans="1:19" ht="17.25" customHeight="1" thickBot="1">
      <c r="A48" s="127" t="s">
        <v>146</v>
      </c>
      <c r="B48" s="128">
        <v>20</v>
      </c>
      <c r="C48" s="78">
        <v>2.0408163300000001E-2</v>
      </c>
      <c r="D48" s="20">
        <v>19.8</v>
      </c>
      <c r="E48" s="21">
        <f t="shared" si="14"/>
        <v>-9.9999999999999638E-3</v>
      </c>
      <c r="F48" s="22">
        <f>IF(ISNUMBER(D48), $B64 * E48, "")</f>
        <v>-1499.9999999999945</v>
      </c>
      <c r="G48" s="30">
        <v>19.5</v>
      </c>
      <c r="H48" s="21">
        <f t="shared" si="15"/>
        <v>-2.5000000000000001E-2</v>
      </c>
      <c r="I48" s="105">
        <f>IF(ISNUMBER(G48), $B64 * H48, "")</f>
        <v>-3750</v>
      </c>
      <c r="J48" s="20">
        <v>19.8</v>
      </c>
      <c r="K48" s="21">
        <f t="shared" si="16"/>
        <v>-9.9999999999999638E-3</v>
      </c>
      <c r="L48" s="22">
        <f>IF(ISNUMBER(J48), $B64 * K48, "")</f>
        <v>-1499.9999999999945</v>
      </c>
      <c r="M48" s="30">
        <v>19.899999999999999</v>
      </c>
      <c r="N48" s="21">
        <f t="shared" si="17"/>
        <v>-5.0000000000000712E-3</v>
      </c>
      <c r="O48" s="22">
        <f>IF(ISNUMBER(M48), $B64 * N48, "")</f>
        <v>-750.00000000001069</v>
      </c>
      <c r="Q48" s="192"/>
      <c r="R48" s="192"/>
      <c r="S48" s="192"/>
    </row>
    <row r="49" spans="1:19" ht="17.25" customHeight="1" thickBot="1">
      <c r="A49" s="125" t="s">
        <v>200</v>
      </c>
      <c r="B49" s="129">
        <v>79.400000000000006</v>
      </c>
      <c r="C49" s="80">
        <v>1.7948717900000001E-2</v>
      </c>
      <c r="D49" s="106">
        <v>79.099999999999994</v>
      </c>
      <c r="E49" s="107">
        <f>IF(ISNUMBER(D49), (D49 - $B49) / $B49, "")</f>
        <v>-3.7783375314862891E-3</v>
      </c>
      <c r="F49" s="108">
        <f>IF(ISNUMBER(D49), $B64 * E49, "")</f>
        <v>-566.75062972294336</v>
      </c>
      <c r="G49" s="109">
        <v>77.3</v>
      </c>
      <c r="H49" s="107">
        <f>IF(ISNUMBER(G49), (G49 - $B49) / $B49, "")</f>
        <v>-2.6448362720403129E-2</v>
      </c>
      <c r="I49" s="110">
        <f>IF(ISNUMBER(G49), $B64 * H49, "")</f>
        <v>-3967.2544080604694</v>
      </c>
      <c r="J49" s="106">
        <v>77.599999999999994</v>
      </c>
      <c r="K49" s="107">
        <f>IF(ISNUMBER(J49), (J49 - $B49) / $B49, "")</f>
        <v>-2.2670025188917017E-2</v>
      </c>
      <c r="L49" s="108">
        <f>IF(ISNUMBER(J49), $B64 * K49, "")</f>
        <v>-3400.5037783375524</v>
      </c>
      <c r="M49" s="109">
        <v>77.900000000000006</v>
      </c>
      <c r="N49" s="107">
        <f>IF(ISNUMBER(M49), (M49 - $B49) / $B49, "")</f>
        <v>-1.8891687657430729E-2</v>
      </c>
      <c r="O49" s="108">
        <f>IF(ISNUMBER(M49), $B64 * N49, "")</f>
        <v>-2833.7531486146095</v>
      </c>
      <c r="Q49" s="192"/>
      <c r="R49" s="192"/>
      <c r="S49" s="192"/>
    </row>
    <row r="50" spans="1:19" ht="17.25" customHeight="1" thickBot="1">
      <c r="A50" s="125" t="s">
        <v>148</v>
      </c>
      <c r="B50" s="126">
        <v>11.8</v>
      </c>
      <c r="C50" s="77">
        <v>1.7241379300000002E-2</v>
      </c>
      <c r="D50" s="15">
        <v>11.6</v>
      </c>
      <c r="E50" s="32">
        <f t="shared" ref="E50:E53" si="18">IF(ISNUMBER(D50), (D50 - $B50) / $B50, "")</f>
        <v>-1.6949152542372972E-2</v>
      </c>
      <c r="F50" s="18">
        <f>IF(ISNUMBER(D50), $B64 * E50, "")</f>
        <v>-2542.3728813559455</v>
      </c>
      <c r="G50" s="31">
        <v>11.6</v>
      </c>
      <c r="H50" s="32">
        <f t="shared" ref="H50:H53" si="19">IF(ISNUMBER(G50), (G50 - $B50) / $B50, "")</f>
        <v>-1.6949152542372972E-2</v>
      </c>
      <c r="I50" s="101">
        <f>IF(ISNUMBER(G50), $B64 * H50, "")</f>
        <v>-2542.3728813559455</v>
      </c>
      <c r="J50" s="15">
        <v>11.6</v>
      </c>
      <c r="K50" s="32">
        <f t="shared" ref="K50:K53" si="20">IF(ISNUMBER(J50), (J50 - $B50) / $B50, "")</f>
        <v>-1.6949152542372972E-2</v>
      </c>
      <c r="L50" s="18">
        <f>IF(ISNUMBER(J50), $B64 * K50, "")</f>
        <v>-2542.3728813559455</v>
      </c>
      <c r="M50" s="31">
        <v>11.6</v>
      </c>
      <c r="N50" s="32">
        <f t="shared" ref="N50:N53" si="21">IF(ISNUMBER(M50), (M50 - $B50) / $B50, "")</f>
        <v>-1.6949152542372972E-2</v>
      </c>
      <c r="O50" s="18">
        <f>IF(ISNUMBER(M50), $B64 * N50, "")</f>
        <v>-2542.3728813559455</v>
      </c>
      <c r="Q50" s="192"/>
      <c r="R50" s="192"/>
      <c r="S50" s="192"/>
    </row>
    <row r="51" spans="1:19" ht="17.25" customHeight="1" thickBot="1">
      <c r="A51" s="125" t="s">
        <v>98</v>
      </c>
      <c r="B51" s="126">
        <v>4.22</v>
      </c>
      <c r="C51" s="77">
        <v>1.6867469900000001E-2</v>
      </c>
      <c r="D51" s="15">
        <v>4.22</v>
      </c>
      <c r="E51" s="32">
        <f t="shared" si="18"/>
        <v>0</v>
      </c>
      <c r="F51" s="18">
        <f>IF(ISNUMBER(D51), $B64 * E51, "")</f>
        <v>0</v>
      </c>
      <c r="G51" s="31">
        <v>4.16</v>
      </c>
      <c r="H51" s="32">
        <f t="shared" si="19"/>
        <v>-1.4218009478672893E-2</v>
      </c>
      <c r="I51" s="101">
        <f>IF(ISNUMBER(G51), $B64 * H51, "")</f>
        <v>-2132.701421800934</v>
      </c>
      <c r="J51" s="15">
        <v>4.2</v>
      </c>
      <c r="K51" s="32">
        <f t="shared" si="20"/>
        <v>-4.7393364928908941E-3</v>
      </c>
      <c r="L51" s="18">
        <f>IF(ISNUMBER(J51), $B64 * K51, "")</f>
        <v>-710.90047393363409</v>
      </c>
      <c r="M51" s="31">
        <v>4.22</v>
      </c>
      <c r="N51" s="32">
        <f t="shared" si="21"/>
        <v>0</v>
      </c>
      <c r="O51" s="18">
        <f>IF(ISNUMBER(M51), $B64 * N51, "")</f>
        <v>0</v>
      </c>
      <c r="Q51" s="192"/>
      <c r="R51" s="192"/>
      <c r="S51" s="192"/>
    </row>
    <row r="52" spans="1:19" ht="17.25" customHeight="1" thickBot="1">
      <c r="A52" s="125" t="s">
        <v>208</v>
      </c>
      <c r="B52" s="126">
        <v>13.6</v>
      </c>
      <c r="C52" s="77">
        <v>1.49253731E-2</v>
      </c>
      <c r="D52" s="15">
        <v>13.4</v>
      </c>
      <c r="E52" s="32">
        <f t="shared" si="18"/>
        <v>-1.4705882352941124E-2</v>
      </c>
      <c r="F52" s="18">
        <f>IF(ISNUMBER(D52), $B64 * E52, "")</f>
        <v>-2205.8823529411688</v>
      </c>
      <c r="G52" s="31">
        <v>13.3</v>
      </c>
      <c r="H52" s="32">
        <f t="shared" si="19"/>
        <v>-2.2058823529411686E-2</v>
      </c>
      <c r="I52" s="101">
        <f>IF(ISNUMBER(G52), $B64 * H52, "")</f>
        <v>-3308.823529411753</v>
      </c>
      <c r="J52" s="15">
        <v>13.3</v>
      </c>
      <c r="K52" s="32">
        <f t="shared" si="20"/>
        <v>-2.2058823529411686E-2</v>
      </c>
      <c r="L52" s="18">
        <f>IF(ISNUMBER(J52), $B64 * K52, "")</f>
        <v>-3308.823529411753</v>
      </c>
      <c r="M52" s="31">
        <v>13.5</v>
      </c>
      <c r="N52" s="32">
        <f t="shared" si="21"/>
        <v>-7.3529411764705621E-3</v>
      </c>
      <c r="O52" s="18">
        <f>IF(ISNUMBER(M52), $B64 * N52, "")</f>
        <v>-1102.9411764705844</v>
      </c>
      <c r="Q52" s="33"/>
      <c r="R52" s="33"/>
    </row>
    <row r="53" spans="1:19" ht="17.25" customHeight="1" thickBot="1">
      <c r="A53" s="130" t="s">
        <v>248</v>
      </c>
      <c r="B53" s="131">
        <v>84.3</v>
      </c>
      <c r="C53" s="79">
        <v>9.5808383E-3</v>
      </c>
      <c r="D53" s="24">
        <v>84.8</v>
      </c>
      <c r="E53" s="25">
        <f t="shared" si="18"/>
        <v>5.9311981020166073E-3</v>
      </c>
      <c r="F53" s="104">
        <f>IF(ISNUMBER(D53), $B64 * E53, "")</f>
        <v>889.6797153024911</v>
      </c>
      <c r="G53" s="102">
        <v>84.3</v>
      </c>
      <c r="H53" s="25">
        <f t="shared" si="19"/>
        <v>0</v>
      </c>
      <c r="I53" s="103">
        <f>IF(ISNUMBER(G53), $B64 * H53, "")</f>
        <v>0</v>
      </c>
      <c r="J53" s="24">
        <v>84.6</v>
      </c>
      <c r="K53" s="25">
        <f t="shared" si="20"/>
        <v>3.5587188612099308E-3</v>
      </c>
      <c r="L53" s="104">
        <f>IF(ISNUMBER(J53), $B64 * K53, "")</f>
        <v>533.80782918148964</v>
      </c>
      <c r="M53" s="102">
        <v>85.1</v>
      </c>
      <c r="N53" s="25">
        <f t="shared" si="21"/>
        <v>9.4899169632265377E-3</v>
      </c>
      <c r="O53" s="104">
        <f>IF(ISNUMBER(M53), $B64 * N53, "")</f>
        <v>1423.4875444839806</v>
      </c>
      <c r="Q53" s="193"/>
      <c r="R53" s="194"/>
      <c r="S53" s="195"/>
    </row>
    <row r="54" spans="1:19" ht="17.25" customHeight="1">
      <c r="A54" s="123" t="s">
        <v>206</v>
      </c>
      <c r="B54" s="124">
        <v>13.2</v>
      </c>
      <c r="C54" s="76">
        <v>7.6335878000000001E-3</v>
      </c>
      <c r="D54" s="13">
        <v>13</v>
      </c>
      <c r="E54" s="14">
        <f>IF(ISNUMBER(D54), (D54 - $B54) / $B54, "")</f>
        <v>-1.5151515151515098E-2</v>
      </c>
      <c r="F54" s="16">
        <f>IF(ISNUMBER(D54), $B64 * E54, "")</f>
        <v>-2272.7272727272648</v>
      </c>
      <c r="G54" s="29">
        <v>13</v>
      </c>
      <c r="H54" s="14">
        <f>IF(ISNUMBER(G54), (G54 - $B54) / $B54, "")</f>
        <v>-1.5151515151515098E-2</v>
      </c>
      <c r="I54" s="100">
        <f>IF(ISNUMBER(G54), $B64 * H54, "")</f>
        <v>-2272.7272727272648</v>
      </c>
      <c r="J54" s="13">
        <v>12.9</v>
      </c>
      <c r="K54" s="14">
        <f>IF(ISNUMBER(J54), (J54 - $B54) / $B54, "")</f>
        <v>-2.2727272727272648E-2</v>
      </c>
      <c r="L54" s="16">
        <f>IF(ISNUMBER(J54), $B64 * K54, "")</f>
        <v>-3409.0909090908972</v>
      </c>
      <c r="M54" s="29">
        <v>13</v>
      </c>
      <c r="N54" s="14">
        <f>IF(ISNUMBER(M54), (M54 - $B54) / $B54, "")</f>
        <v>-1.5151515151515098E-2</v>
      </c>
      <c r="O54" s="16">
        <f>IF(ISNUMBER(M54), $B64 * N54, "")</f>
        <v>-2272.7272727272648</v>
      </c>
      <c r="Q54" s="196"/>
      <c r="R54" s="197"/>
      <c r="S54" s="198"/>
    </row>
    <row r="55" spans="1:19" ht="17.25" customHeight="1" thickBot="1">
      <c r="A55" s="125" t="s">
        <v>232</v>
      </c>
      <c r="B55" s="126">
        <v>77.3</v>
      </c>
      <c r="C55" s="77">
        <v>6.5104166999999996E-3</v>
      </c>
      <c r="D55" s="15">
        <v>77.2</v>
      </c>
      <c r="E55" s="32">
        <f t="shared" ref="E55:E58" si="22">IF(ISNUMBER(D55), (D55 - $B55) / $B55, "")</f>
        <v>-1.2936610608019965E-3</v>
      </c>
      <c r="F55" s="18">
        <f>IF(ISNUMBER(D55), $B64 * E55, "")</f>
        <v>-194.04915912029946</v>
      </c>
      <c r="G55" s="31">
        <v>76</v>
      </c>
      <c r="H55" s="32">
        <f t="shared" ref="H55:H58" si="23">IF(ISNUMBER(G55), (G55 - $B55) / $B55, "")</f>
        <v>-1.6817593790426872E-2</v>
      </c>
      <c r="I55" s="101">
        <f>IF(ISNUMBER(G55), $B64 * H55, "")</f>
        <v>-2522.6390685640308</v>
      </c>
      <c r="J55" s="15">
        <v>76.3</v>
      </c>
      <c r="K55" s="32">
        <f t="shared" ref="K55:K58" si="24">IF(ISNUMBER(J55), (J55 - $B55) / $B55, "")</f>
        <v>-1.2936610608020699E-2</v>
      </c>
      <c r="L55" s="18">
        <f>IF(ISNUMBER(J55), $B64 * K55, "")</f>
        <v>-1940.4915912031049</v>
      </c>
      <c r="M55" s="31">
        <v>76.5</v>
      </c>
      <c r="N55" s="32">
        <f t="shared" ref="N55:N58" si="25">IF(ISNUMBER(M55), (M55 - $B55) / $B55, "")</f>
        <v>-1.0349288486416523E-2</v>
      </c>
      <c r="O55" s="18">
        <f>IF(ISNUMBER(M55), $B64 * N55, "")</f>
        <v>-1552.3932729624785</v>
      </c>
      <c r="Q55" s="199"/>
      <c r="R55" s="200"/>
      <c r="S55" s="201"/>
    </row>
    <row r="56" spans="1:19" ht="17.25" customHeight="1" thickBot="1">
      <c r="A56" s="125" t="s">
        <v>176</v>
      </c>
      <c r="B56" s="126">
        <v>17.3</v>
      </c>
      <c r="C56" s="77">
        <v>5.8139534999999999E-3</v>
      </c>
      <c r="D56" s="15">
        <v>17.100000000000001</v>
      </c>
      <c r="E56" s="32">
        <f t="shared" si="22"/>
        <v>-1.1560693641618455E-2</v>
      </c>
      <c r="F56" s="18">
        <f>IF(ISNUMBER(D56), $B64 * E56, "")</f>
        <v>-1734.1040462427682</v>
      </c>
      <c r="G56" s="31">
        <v>16.899999999999999</v>
      </c>
      <c r="H56" s="32">
        <f t="shared" si="23"/>
        <v>-2.3121387283237118E-2</v>
      </c>
      <c r="I56" s="101">
        <f>IF(ISNUMBER(G56), $B64 * H56, "")</f>
        <v>-3468.2080924855677</v>
      </c>
      <c r="J56" s="15">
        <v>16.8</v>
      </c>
      <c r="K56" s="32">
        <f t="shared" si="24"/>
        <v>-2.8901734104046242E-2</v>
      </c>
      <c r="L56" s="18">
        <f>IF(ISNUMBER(J56), $B64 * K56, "")</f>
        <v>-4335.2601156069368</v>
      </c>
      <c r="M56" s="31">
        <v>17</v>
      </c>
      <c r="N56" s="32">
        <f t="shared" si="25"/>
        <v>-1.7341040462427786E-2</v>
      </c>
      <c r="O56" s="18">
        <f>IF(ISNUMBER(M56), $B64 * N56, "")</f>
        <v>-2601.1560693641677</v>
      </c>
      <c r="Q56" s="192"/>
      <c r="R56" s="192"/>
      <c r="S56" s="192"/>
    </row>
    <row r="57" spans="1:19" ht="17.25" customHeight="1" thickBot="1">
      <c r="A57" s="125" t="s">
        <v>202</v>
      </c>
      <c r="B57" s="126">
        <v>15</v>
      </c>
      <c r="C57" s="77">
        <v>0</v>
      </c>
      <c r="D57" s="15">
        <v>15</v>
      </c>
      <c r="E57" s="32">
        <f t="shared" si="22"/>
        <v>0</v>
      </c>
      <c r="F57" s="18">
        <f>IF(ISNUMBER(D57), $B64 * E57, "")</f>
        <v>0</v>
      </c>
      <c r="G57" s="31">
        <v>14.7</v>
      </c>
      <c r="H57" s="32">
        <f t="shared" si="23"/>
        <v>-2.0000000000000049E-2</v>
      </c>
      <c r="I57" s="101">
        <f>IF(ISNUMBER(G57), $B64 * H57, "")</f>
        <v>-3000.0000000000073</v>
      </c>
      <c r="J57" s="15">
        <v>14.7</v>
      </c>
      <c r="K57" s="32">
        <f t="shared" si="24"/>
        <v>-2.0000000000000049E-2</v>
      </c>
      <c r="L57" s="18">
        <f>IF(ISNUMBER(J57), $B64 * K57, "")</f>
        <v>-3000.0000000000073</v>
      </c>
      <c r="M57" s="31">
        <v>14.8</v>
      </c>
      <c r="N57" s="32">
        <f t="shared" si="25"/>
        <v>-1.3333333333333286E-2</v>
      </c>
      <c r="O57" s="18">
        <f>IF(ISNUMBER(M57), $B64 * N57, "")</f>
        <v>-1999.999999999993</v>
      </c>
      <c r="Q57" s="202"/>
      <c r="R57" s="202"/>
      <c r="S57" s="202"/>
    </row>
    <row r="58" spans="1:19" ht="17.25" customHeight="1" thickBot="1">
      <c r="A58" s="127" t="s">
        <v>186</v>
      </c>
      <c r="B58" s="128">
        <v>12.8</v>
      </c>
      <c r="C58" s="78">
        <v>0</v>
      </c>
      <c r="D58" s="20">
        <v>13.2</v>
      </c>
      <c r="E58" s="21">
        <f t="shared" si="22"/>
        <v>3.1249999999999889E-2</v>
      </c>
      <c r="F58" s="22">
        <f>IF(ISNUMBER(D58), $B64 * E58, "")</f>
        <v>4687.4999999999836</v>
      </c>
      <c r="G58" s="30">
        <v>13.1</v>
      </c>
      <c r="H58" s="21">
        <f t="shared" si="23"/>
        <v>2.3437499999999917E-2</v>
      </c>
      <c r="I58" s="105">
        <f>IF(ISNUMBER(G58), $B64 * H58, "")</f>
        <v>3515.6249999999877</v>
      </c>
      <c r="J58" s="20">
        <v>13.3</v>
      </c>
      <c r="K58" s="21">
        <f t="shared" si="24"/>
        <v>3.90625E-2</v>
      </c>
      <c r="L58" s="22">
        <f>IF(ISNUMBER(J58), $B64 * K58, "")</f>
        <v>5859.375</v>
      </c>
      <c r="M58" s="30">
        <v>13.3</v>
      </c>
      <c r="N58" s="21">
        <f t="shared" si="25"/>
        <v>3.90625E-2</v>
      </c>
      <c r="O58" s="22">
        <f>IF(ISNUMBER(M58), $B64 * N58, "")</f>
        <v>5859.375</v>
      </c>
      <c r="Q58" s="202"/>
      <c r="R58" s="202"/>
      <c r="S58" s="202"/>
    </row>
    <row r="59" spans="1:19" ht="17.25" customHeight="1" thickBot="1">
      <c r="A59" s="125" t="s">
        <v>65</v>
      </c>
      <c r="B59" s="129">
        <v>69.7</v>
      </c>
      <c r="C59" s="80">
        <v>-2.8612302999999999E-3</v>
      </c>
      <c r="D59" s="106">
        <v>68.5</v>
      </c>
      <c r="E59" s="107">
        <f>IF(ISNUMBER(D59), (D59 - $B59) / $B59, "")</f>
        <v>-1.7216642754662882E-2</v>
      </c>
      <c r="F59" s="108">
        <f>IF(ISNUMBER(D59), $B64 * E59, "")</f>
        <v>-2582.496413199432</v>
      </c>
      <c r="G59" s="109">
        <v>66.900000000000006</v>
      </c>
      <c r="H59" s="107">
        <f>IF(ISNUMBER(G59), (G59 - $B59) / $B59, "")</f>
        <v>-4.0172166427546584E-2</v>
      </c>
      <c r="I59" s="110">
        <f>IF(ISNUMBER(G59), $B64 * H59, "")</f>
        <v>-6025.8249641319871</v>
      </c>
      <c r="J59" s="106">
        <v>67</v>
      </c>
      <c r="K59" s="107">
        <f>IF(ISNUMBER(J59), (J59 - $B59) / $B59, "")</f>
        <v>-3.8737446197991431E-2</v>
      </c>
      <c r="L59" s="108">
        <f>IF(ISNUMBER(J59), $B64 * K59, "")</f>
        <v>-5810.6169296987146</v>
      </c>
      <c r="M59" s="109">
        <v>67.2</v>
      </c>
      <c r="N59" s="107">
        <f>IF(ISNUMBER(M59), (M59 - $B59) / $B59, "")</f>
        <v>-3.5868005738880916E-2</v>
      </c>
      <c r="O59" s="108">
        <f>IF(ISNUMBER(M59), $B64 * N59, "")</f>
        <v>-5380.2008608321376</v>
      </c>
      <c r="Q59" s="192"/>
      <c r="R59" s="192"/>
      <c r="S59" s="192"/>
    </row>
    <row r="60" spans="1:19" ht="17.25" customHeight="1" thickBot="1">
      <c r="A60" s="125" t="s">
        <v>238</v>
      </c>
      <c r="B60" s="126">
        <v>72.400000000000006</v>
      </c>
      <c r="C60" s="77">
        <v>-1.8970189700000001E-2</v>
      </c>
      <c r="D60" s="15">
        <v>71</v>
      </c>
      <c r="E60" s="32">
        <f t="shared" ref="E60:E63" si="26">IF(ISNUMBER(D60), (D60 - $B60) / $B60, "")</f>
        <v>-1.9337016574585711E-2</v>
      </c>
      <c r="F60" s="18">
        <f>IF(ISNUMBER(D60), $B64 * E60, "")</f>
        <v>-2900.5524861878566</v>
      </c>
      <c r="G60" s="31">
        <v>70.400000000000006</v>
      </c>
      <c r="H60" s="32">
        <f t="shared" ref="H60:H63" si="27">IF(ISNUMBER(G60), (G60 - $B60) / $B60, "")</f>
        <v>-2.7624309392265192E-2</v>
      </c>
      <c r="I60" s="101">
        <f>IF(ISNUMBER(G60), $B64 * H60, "")</f>
        <v>-4143.6464088397788</v>
      </c>
      <c r="J60" s="15">
        <v>70.2</v>
      </c>
      <c r="K60" s="32">
        <f t="shared" ref="K60:K63" si="28">IF(ISNUMBER(J60), (J60 - $B60) / $B60, "")</f>
        <v>-3.038674033149175E-2</v>
      </c>
      <c r="L60" s="18">
        <f>IF(ISNUMBER(J60), $B64 * K60, "")</f>
        <v>-4558.0110497237629</v>
      </c>
      <c r="M60" s="31">
        <v>70.400000000000006</v>
      </c>
      <c r="N60" s="32">
        <f t="shared" ref="N60:N63" si="29">IF(ISNUMBER(M60), (M60 - $B60) / $B60, "")</f>
        <v>-2.7624309392265192E-2</v>
      </c>
      <c r="O60" s="18">
        <f>IF(ISNUMBER(M60), $B64 * N60, "")</f>
        <v>-4143.6464088397788</v>
      </c>
      <c r="Q60" s="192"/>
      <c r="R60" s="192"/>
      <c r="S60" s="192"/>
    </row>
    <row r="61" spans="1:19" ht="17.25" customHeight="1" thickBot="1">
      <c r="A61" s="125" t="s">
        <v>328</v>
      </c>
      <c r="B61" s="126">
        <v>0.30299999999999999</v>
      </c>
      <c r="C61" s="77">
        <v>-2.88461538E-2</v>
      </c>
      <c r="D61" s="15">
        <v>0.29899999999999999</v>
      </c>
      <c r="E61" s="32">
        <f t="shared" si="26"/>
        <v>-1.3201320132013214E-2</v>
      </c>
      <c r="F61" s="18">
        <f>IF(ISNUMBER(D61), $B64 * E61, "")</f>
        <v>-1980.1980198019821</v>
      </c>
      <c r="G61" s="31">
        <v>0.29599999999999999</v>
      </c>
      <c r="H61" s="32">
        <f t="shared" si="27"/>
        <v>-2.3102310231023125E-2</v>
      </c>
      <c r="I61" s="101">
        <f>IF(ISNUMBER(G61), $B64 * H61, "")</f>
        <v>-3465.3465346534686</v>
      </c>
      <c r="J61" s="15">
        <v>0.29599999999999999</v>
      </c>
      <c r="K61" s="32">
        <f t="shared" si="28"/>
        <v>-2.3102310231023125E-2</v>
      </c>
      <c r="L61" s="18">
        <f>IF(ISNUMBER(J61), $B64 * K61, "")</f>
        <v>-3465.3465346534686</v>
      </c>
      <c r="M61" s="31">
        <v>0.29599999999999999</v>
      </c>
      <c r="N61" s="32">
        <f t="shared" si="29"/>
        <v>-2.3102310231023125E-2</v>
      </c>
      <c r="O61" s="18">
        <f>IF(ISNUMBER(M61), $B64 * N61, "")</f>
        <v>-3465.3465346534686</v>
      </c>
      <c r="Q61" s="192"/>
      <c r="R61" s="192"/>
      <c r="S61" s="19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81"/>
      <c r="R62" s="182"/>
      <c r="S62" s="1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84"/>
      <c r="R63" s="185"/>
      <c r="S63" s="186"/>
    </row>
    <row r="64" spans="1:19" ht="17.25" customHeight="1" thickBot="1">
      <c r="A64" s="132" t="s">
        <v>268</v>
      </c>
      <c r="B64" s="245">
        <f>$B$37</f>
        <v>150000</v>
      </c>
      <c r="C64" s="246"/>
      <c r="D64" s="26" t="s">
        <v>269</v>
      </c>
      <c r="E64" s="27">
        <f>IF(COUNT(E44:E63), SUM(E44:E63) / COUNT(E44:E63), 0)</f>
        <v>-6.2115028794025437E-3</v>
      </c>
      <c r="F64" s="28">
        <f>SUM(F44:F63)</f>
        <v>-16771.057774386867</v>
      </c>
      <c r="G64" s="26" t="s">
        <v>269</v>
      </c>
      <c r="H64" s="27">
        <f>IF(COUNT(H44:H63), SUM(H44:H63) / COUNT(H44:H63), 0)</f>
        <v>-1.5668262652877192E-2</v>
      </c>
      <c r="I64" s="28">
        <f>SUM(I44:I63)</f>
        <v>-42304.309162768404</v>
      </c>
      <c r="J64" s="26" t="s">
        <v>269</v>
      </c>
      <c r="K64" s="27">
        <f>IF(COUNT(K44:K63), SUM(K44:K63) / COUNT(K44:K63), 0)</f>
        <v>-1.4132884170217682E-2</v>
      </c>
      <c r="L64" s="28">
        <f>SUM(L44:L63)</f>
        <v>-38158.787259587742</v>
      </c>
      <c r="M64" s="26" t="s">
        <v>269</v>
      </c>
      <c r="N64" s="27">
        <f>IF(COUNT(N44:N63), SUM(N44:N63) / COUNT(N44:N63), 0)</f>
        <v>-9.2553419581740178E-3</v>
      </c>
      <c r="O64" s="28">
        <f>SUM(O44:O63)</f>
        <v>-24989.423287069851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65" t="s">
        <v>265</v>
      </c>
      <c r="B68" s="203" t="s">
        <v>49</v>
      </c>
      <c r="C68" s="205"/>
      <c r="D68" s="203" t="s">
        <v>58</v>
      </c>
      <c r="E68" s="204"/>
      <c r="F68" s="205"/>
      <c r="G68" s="206">
        <f>_xlfn.IFNA(VLOOKUP(B68, 현재가테이블!$B$2:$D$200, 2, FALSE), "-")</f>
        <v>62630000</v>
      </c>
      <c r="H68" s="207"/>
      <c r="I68" s="208"/>
      <c r="J68" s="203" t="s">
        <v>59</v>
      </c>
      <c r="K68" s="204"/>
      <c r="L68" s="205"/>
      <c r="M68" s="209">
        <f>_xlfn.IFNA(VLOOKUP(B68, 현재가테이블!$B$2:$D$200, 3, FALSE), "-")</f>
        <v>1.5632601400000001E-2</v>
      </c>
      <c r="N68" s="210"/>
      <c r="O68" s="211"/>
      <c r="Q68" s="202"/>
      <c r="R68" s="202"/>
      <c r="S68" s="202"/>
    </row>
    <row r="69" spans="1:19" ht="17.25" thickBot="1">
      <c r="A69" s="247" t="s">
        <v>55</v>
      </c>
      <c r="B69" s="243" t="str">
        <f>TEXT($G$1, "[$-ko-KR]yyyy-mm-dd(ddd) ") &amp; "오전 00:00"</f>
        <v>2021-10-03(일) 오전 00:00</v>
      </c>
      <c r="C69" s="244"/>
      <c r="D69" s="216" t="str">
        <f>TEXT($G$1, "[$-ko-KR]yyyy-mm-dd(ddd) ") &amp; "오후 14:00"</f>
        <v>2021-10-03(일) 오후 14:00</v>
      </c>
      <c r="E69" s="217"/>
      <c r="F69" s="218"/>
      <c r="G69" s="216" t="str">
        <f>TEXT($G$1, "[$-ko-KR]yyyy-mm-dd(ddd) ") &amp; "오후 19:00"</f>
        <v>2021-10-03(일) 오후 19:00</v>
      </c>
      <c r="H69" s="217"/>
      <c r="I69" s="218"/>
      <c r="J69" s="216" t="str">
        <f>TEXT($G$1, "[$-ko-KR]yyyy-mm-dd(ddd) ") &amp; "오후 21:00"</f>
        <v>2021-10-03(일) 오후 21:00</v>
      </c>
      <c r="K69" s="217"/>
      <c r="L69" s="218"/>
      <c r="M69" s="216" t="str">
        <f>TEXT($G$1+1, "[$-ko-KR]yyyy-mm-dd(ddd) ") &amp; "오전 00:00"</f>
        <v>2021-10-04(월) 오전 00:00</v>
      </c>
      <c r="N69" s="217"/>
      <c r="O69" s="218"/>
      <c r="Q69" s="202"/>
      <c r="R69" s="202"/>
      <c r="S69" s="202"/>
    </row>
    <row r="70" spans="1:19" ht="17.25" thickBot="1">
      <c r="A70" s="24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6" t="s">
        <v>58</v>
      </c>
      <c r="H70" s="167" t="s">
        <v>266</v>
      </c>
      <c r="I70" s="16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192"/>
      <c r="R70" s="192"/>
      <c r="S70" s="192"/>
    </row>
    <row r="71" spans="1:19" ht="17.25" thickBot="1">
      <c r="A71" s="123" t="s">
        <v>54</v>
      </c>
      <c r="B71" s="124">
        <v>502</v>
      </c>
      <c r="C71" s="76">
        <v>0.13574660629999999</v>
      </c>
      <c r="D71" s="13">
        <v>506</v>
      </c>
      <c r="E71" s="14">
        <f>IF(ISNUMBER(D71), (D71 - $B71) / $B71, "")</f>
        <v>7.9681274900398405E-3</v>
      </c>
      <c r="F71" s="16">
        <f>IF(ISNUMBER(D71), $B91 * E71, "")</f>
        <v>1195.2191235059761</v>
      </c>
      <c r="G71" s="29">
        <v>482</v>
      </c>
      <c r="H71" s="14">
        <f>IF(ISNUMBER(G71), (G71 - $B71) / $B71, "")</f>
        <v>-3.9840637450199202E-2</v>
      </c>
      <c r="I71" s="100">
        <f>IF(ISNUMBER(G71), $B91 * H71, "")</f>
        <v>-5976.0956175298807</v>
      </c>
      <c r="J71" s="13">
        <v>490</v>
      </c>
      <c r="K71" s="14">
        <f>IF(ISNUMBER(J71), (J71 - $B71) / $B71, "")</f>
        <v>-2.3904382470119521E-2</v>
      </c>
      <c r="L71" s="16">
        <f>IF(ISNUMBER(J71), $B91 * K71, "")</f>
        <v>-3585.657370517928</v>
      </c>
      <c r="M71" s="29">
        <v>485</v>
      </c>
      <c r="N71" s="14">
        <f>IF(ISNUMBER(M71), (M71 - $B71) / $B71, "")</f>
        <v>-3.386454183266932E-2</v>
      </c>
      <c r="O71" s="16">
        <f>IF(ISNUMBER(M71), $B91 * N71, "")</f>
        <v>-5079.6812749003984</v>
      </c>
      <c r="Q71" s="202"/>
      <c r="R71" s="202"/>
      <c r="S71" s="202"/>
    </row>
    <row r="72" spans="1:19" ht="17.25" thickBot="1">
      <c r="A72" s="125" t="s">
        <v>130</v>
      </c>
      <c r="B72" s="126">
        <v>124</v>
      </c>
      <c r="C72" s="77">
        <v>8.7719298200000004E-2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-1209.6774193548388</v>
      </c>
      <c r="G72" s="31">
        <v>121</v>
      </c>
      <c r="H72" s="32">
        <f t="shared" ref="H72:H75" si="31">IF(ISNUMBER(G72), (G72 - $B72) / $B72, "")</f>
        <v>-2.4193548387096774E-2</v>
      </c>
      <c r="I72" s="101">
        <f>IF(ISNUMBER(G72), $B91 * H72, "")</f>
        <v>-3629.0322580645161</v>
      </c>
      <c r="J72" s="15">
        <v>122</v>
      </c>
      <c r="K72" s="32">
        <f t="shared" ref="K72:K75" si="32">IF(ISNUMBER(J72), (J72 - $B72) / $B72, "")</f>
        <v>-1.6129032258064516E-2</v>
      </c>
      <c r="L72" s="18">
        <f>IF(ISNUMBER(J72), $B91 * K72, "")</f>
        <v>-2419.3548387096776</v>
      </c>
      <c r="M72" s="31">
        <v>123</v>
      </c>
      <c r="N72" s="32">
        <f t="shared" ref="N72:N75" si="33">IF(ISNUMBER(M72), (M72 - $B72) / $B72, "")</f>
        <v>-8.0645161290322578E-3</v>
      </c>
      <c r="O72" s="18">
        <f>IF(ISNUMBER(M72), $B91 * N72, "")</f>
        <v>-1209.6774193548388</v>
      </c>
      <c r="Q72" s="202"/>
      <c r="R72" s="202"/>
      <c r="S72" s="202"/>
    </row>
    <row r="73" spans="1:19" ht="17.25" thickBot="1">
      <c r="A73" s="125" t="s">
        <v>190</v>
      </c>
      <c r="B73" s="126">
        <v>376</v>
      </c>
      <c r="C73" s="77">
        <v>8.6705202300000006E-2</v>
      </c>
      <c r="D73" s="15">
        <v>376</v>
      </c>
      <c r="E73" s="32">
        <f t="shared" si="30"/>
        <v>0</v>
      </c>
      <c r="F73" s="18">
        <f>IF(ISNUMBER(D73), $B91 * E73, "")</f>
        <v>0</v>
      </c>
      <c r="G73" s="31">
        <v>375</v>
      </c>
      <c r="H73" s="32">
        <f t="shared" si="31"/>
        <v>-2.6595744680851063E-3</v>
      </c>
      <c r="I73" s="101">
        <f>IF(ISNUMBER(G73), $B91 * H73, "")</f>
        <v>-398.93617021276594</v>
      </c>
      <c r="J73" s="15">
        <v>372</v>
      </c>
      <c r="K73" s="32">
        <f t="shared" si="32"/>
        <v>-1.0638297872340425E-2</v>
      </c>
      <c r="L73" s="18">
        <f>IF(ISNUMBER(J73), $B91 * K73, "")</f>
        <v>-1595.7446808510638</v>
      </c>
      <c r="M73" s="31">
        <v>373</v>
      </c>
      <c r="N73" s="32">
        <f t="shared" si="33"/>
        <v>-7.9787234042553185E-3</v>
      </c>
      <c r="O73" s="18">
        <f>IF(ISNUMBER(M73), $B91 * N73, "")</f>
        <v>-1196.8085106382978</v>
      </c>
      <c r="Q73" s="192"/>
      <c r="R73" s="192"/>
      <c r="S73" s="192"/>
    </row>
    <row r="74" spans="1:19" ht="17.25" thickBot="1">
      <c r="A74" s="125" t="s">
        <v>164</v>
      </c>
      <c r="B74" s="126">
        <v>229</v>
      </c>
      <c r="C74" s="77">
        <v>8.0188679200000001E-2</v>
      </c>
      <c r="D74" s="15">
        <v>228</v>
      </c>
      <c r="E74" s="32">
        <f t="shared" si="30"/>
        <v>-4.3668122270742356E-3</v>
      </c>
      <c r="F74" s="18">
        <f>IF(ISNUMBER(D74), $B91 * E74, "")</f>
        <v>-655.02183406113534</v>
      </c>
      <c r="G74" s="31">
        <v>223</v>
      </c>
      <c r="H74" s="32">
        <f t="shared" si="31"/>
        <v>-2.6200873362445413E-2</v>
      </c>
      <c r="I74" s="101">
        <f>IF(ISNUMBER(G74), $B91 * H74, "")</f>
        <v>-3930.1310043668122</v>
      </c>
      <c r="J74" s="15">
        <v>222</v>
      </c>
      <c r="K74" s="32">
        <f t="shared" si="32"/>
        <v>-3.0567685589519649E-2</v>
      </c>
      <c r="L74" s="18">
        <f>IF(ISNUMBER(J74), $B91 * K74, "")</f>
        <v>-4585.1528384279472</v>
      </c>
      <c r="M74" s="31">
        <v>222</v>
      </c>
      <c r="N74" s="32">
        <f t="shared" si="33"/>
        <v>-3.0567685589519649E-2</v>
      </c>
      <c r="O74" s="18">
        <f>IF(ISNUMBER(M74), $B91 * N74, "")</f>
        <v>-4585.1528384279472</v>
      </c>
      <c r="Q74" s="192"/>
      <c r="R74" s="192"/>
      <c r="S74" s="192"/>
    </row>
    <row r="75" spans="1:19" ht="17.25" thickBot="1">
      <c r="A75" s="127" t="s">
        <v>252</v>
      </c>
      <c r="B75" s="128">
        <v>398</v>
      </c>
      <c r="C75" s="78">
        <v>6.4171122999999997E-2</v>
      </c>
      <c r="D75" s="20">
        <v>402</v>
      </c>
      <c r="E75" s="21">
        <f t="shared" si="30"/>
        <v>1.0050251256281407E-2</v>
      </c>
      <c r="F75" s="22">
        <f>IF(ISNUMBER(D75), $B91 * E75, "")</f>
        <v>1507.537688442211</v>
      </c>
      <c r="G75" s="30">
        <v>402</v>
      </c>
      <c r="H75" s="21">
        <f t="shared" si="31"/>
        <v>1.0050251256281407E-2</v>
      </c>
      <c r="I75" s="105">
        <f>IF(ISNUMBER(G75), $B91 * H75, "")</f>
        <v>1507.537688442211</v>
      </c>
      <c r="J75" s="20">
        <v>400</v>
      </c>
      <c r="K75" s="21">
        <f t="shared" si="32"/>
        <v>5.0251256281407036E-3</v>
      </c>
      <c r="L75" s="22">
        <f>IF(ISNUMBER(J75), $B91 * K75, "")</f>
        <v>753.7688442211055</v>
      </c>
      <c r="M75" s="30">
        <v>402</v>
      </c>
      <c r="N75" s="21">
        <f t="shared" si="33"/>
        <v>1.0050251256281407E-2</v>
      </c>
      <c r="O75" s="22">
        <f>IF(ISNUMBER(M75), $B91 * N75, "")</f>
        <v>1507.537688442211</v>
      </c>
      <c r="Q75" s="192"/>
      <c r="R75" s="192"/>
      <c r="S75" s="192"/>
    </row>
    <row r="76" spans="1:19" ht="17.25" thickBot="1">
      <c r="A76" s="125" t="s">
        <v>126</v>
      </c>
      <c r="B76" s="129">
        <v>139</v>
      </c>
      <c r="C76" s="80">
        <v>6.10687023E-2</v>
      </c>
      <c r="D76" s="106">
        <v>137</v>
      </c>
      <c r="E76" s="107">
        <f>IF(ISNUMBER(D76), (D76 - $B76) / $B76, "")</f>
        <v>-1.4388489208633094E-2</v>
      </c>
      <c r="F76" s="108">
        <f>IF(ISNUMBER(D76), $B91 * E76, "")</f>
        <v>-2158.2733812949641</v>
      </c>
      <c r="G76" s="109">
        <v>134</v>
      </c>
      <c r="H76" s="107">
        <f>IF(ISNUMBER(G76), (G76 - $B76) / $B76, "")</f>
        <v>-3.5971223021582732E-2</v>
      </c>
      <c r="I76" s="110">
        <f>IF(ISNUMBER(G76), $B91 * H76, "")</f>
        <v>-5395.6834532374096</v>
      </c>
      <c r="J76" s="106">
        <v>135</v>
      </c>
      <c r="K76" s="107">
        <f>IF(ISNUMBER(J76), (J76 - $B76) / $B76, "")</f>
        <v>-2.8776978417266189E-2</v>
      </c>
      <c r="L76" s="108">
        <f>IF(ISNUMBER(J76), $B91 * K76, "")</f>
        <v>-4316.5467625899282</v>
      </c>
      <c r="M76" s="109">
        <v>136</v>
      </c>
      <c r="N76" s="107">
        <f>IF(ISNUMBER(M76), (M76 - $B76) / $B76, "")</f>
        <v>-2.1582733812949641E-2</v>
      </c>
      <c r="O76" s="108">
        <f>IF(ISNUMBER(M76), $B91 * N76, "")</f>
        <v>-3237.4100719424464</v>
      </c>
      <c r="Q76" s="192"/>
      <c r="R76" s="192"/>
      <c r="S76" s="192"/>
    </row>
    <row r="77" spans="1:19" ht="17.25" thickBot="1">
      <c r="A77" s="125" t="s">
        <v>192</v>
      </c>
      <c r="B77" s="126">
        <v>117</v>
      </c>
      <c r="C77" s="77">
        <v>4.4642857100000002E-2</v>
      </c>
      <c r="D77" s="15">
        <v>115</v>
      </c>
      <c r="E77" s="32">
        <f t="shared" ref="E77:E80" si="34">IF(ISNUMBER(D77), (D77 - $B77) / $B77, "")</f>
        <v>-1.7094017094017096E-2</v>
      </c>
      <c r="F77" s="18">
        <f>IF(ISNUMBER(D77), $B91 * E77, "")</f>
        <v>-2564.1025641025644</v>
      </c>
      <c r="G77" s="31">
        <v>114</v>
      </c>
      <c r="H77" s="32">
        <f t="shared" ref="H77:H80" si="35">IF(ISNUMBER(G77), (G77 - $B77) / $B77, "")</f>
        <v>-2.564102564102564E-2</v>
      </c>
      <c r="I77" s="101">
        <f>IF(ISNUMBER(G77), $B91 * H77, "")</f>
        <v>-3846.1538461538462</v>
      </c>
      <c r="J77" s="15">
        <v>114</v>
      </c>
      <c r="K77" s="32">
        <f t="shared" ref="K77:K80" si="36">IF(ISNUMBER(J77), (J77 - $B77) / $B77, "")</f>
        <v>-2.564102564102564E-2</v>
      </c>
      <c r="L77" s="18">
        <f>IF(ISNUMBER(J77), $B91 * K77, "")</f>
        <v>-3846.1538461538462</v>
      </c>
      <c r="M77" s="31">
        <v>114</v>
      </c>
      <c r="N77" s="32">
        <f t="shared" ref="N77:N80" si="37">IF(ISNUMBER(M77), (M77 - $B77) / $B77, "")</f>
        <v>-2.564102564102564E-2</v>
      </c>
      <c r="O77" s="18">
        <f>IF(ISNUMBER(M77), $B91 * N77, "")</f>
        <v>-3846.1538461538462</v>
      </c>
      <c r="Q77" s="192"/>
      <c r="R77" s="192"/>
      <c r="S77" s="192"/>
    </row>
    <row r="78" spans="1:19" ht="17.25" thickBot="1">
      <c r="A78" s="125" t="s">
        <v>198</v>
      </c>
      <c r="B78" s="126">
        <v>189</v>
      </c>
      <c r="C78" s="77">
        <v>4.4198895000000002E-2</v>
      </c>
      <c r="D78" s="15">
        <v>190</v>
      </c>
      <c r="E78" s="32">
        <f t="shared" si="34"/>
        <v>5.2910052910052907E-3</v>
      </c>
      <c r="F78" s="18">
        <f>IF(ISNUMBER(D78), $B91 * E78, "")</f>
        <v>793.65079365079362</v>
      </c>
      <c r="G78" s="31">
        <v>187</v>
      </c>
      <c r="H78" s="32">
        <f t="shared" si="35"/>
        <v>-1.0582010582010581E-2</v>
      </c>
      <c r="I78" s="101">
        <f>IF(ISNUMBER(G78), $B91 * H78, "")</f>
        <v>-1587.3015873015872</v>
      </c>
      <c r="J78" s="15">
        <v>187</v>
      </c>
      <c r="K78" s="32">
        <f t="shared" si="36"/>
        <v>-1.0582010582010581E-2</v>
      </c>
      <c r="L78" s="18">
        <f>IF(ISNUMBER(J78), $B91 * K78, "")</f>
        <v>-1587.3015873015872</v>
      </c>
      <c r="M78" s="31">
        <v>189</v>
      </c>
      <c r="N78" s="32">
        <f t="shared" si="37"/>
        <v>0</v>
      </c>
      <c r="O78" s="18">
        <f>IF(ISNUMBER(M78), $B91 * N78, "")</f>
        <v>0</v>
      </c>
      <c r="Q78" s="192"/>
      <c r="R78" s="192"/>
      <c r="S78" s="192"/>
    </row>
    <row r="79" spans="1:19" ht="17.25" thickBot="1">
      <c r="A79" s="125" t="s">
        <v>228</v>
      </c>
      <c r="B79" s="126">
        <v>333</v>
      </c>
      <c r="C79" s="77">
        <v>4.3887147299999998E-2</v>
      </c>
      <c r="D79" s="15">
        <v>344</v>
      </c>
      <c r="E79" s="32">
        <f t="shared" si="34"/>
        <v>3.3033033033033031E-2</v>
      </c>
      <c r="F79" s="18">
        <f>IF(ISNUMBER(D79), $B91 * E79, "")</f>
        <v>4954.9549549549547</v>
      </c>
      <c r="G79" s="31">
        <v>374</v>
      </c>
      <c r="H79" s="32">
        <f t="shared" si="35"/>
        <v>0.12312312312312312</v>
      </c>
      <c r="I79" s="101">
        <f>IF(ISNUMBER(G79), $B91 * H79, "")</f>
        <v>18468.468468468469</v>
      </c>
      <c r="J79" s="15">
        <v>370</v>
      </c>
      <c r="K79" s="32">
        <f t="shared" si="36"/>
        <v>0.1111111111111111</v>
      </c>
      <c r="L79" s="18">
        <f>IF(ISNUMBER(J79), $B91 * K79, "")</f>
        <v>16666.666666666664</v>
      </c>
      <c r="M79" s="31">
        <v>360</v>
      </c>
      <c r="N79" s="32">
        <f t="shared" si="37"/>
        <v>8.1081081081081086E-2</v>
      </c>
      <c r="O79" s="18">
        <f>IF(ISNUMBER(M79), $B91 * N79, "")</f>
        <v>12162.162162162163</v>
      </c>
      <c r="Q79" s="33"/>
      <c r="R79" s="33"/>
    </row>
    <row r="80" spans="1:19" ht="17.25" thickBot="1">
      <c r="A80" s="130" t="s">
        <v>234</v>
      </c>
      <c r="B80" s="131">
        <v>648</v>
      </c>
      <c r="C80" s="79">
        <v>4.18006431E-2</v>
      </c>
      <c r="D80" s="24">
        <v>673</v>
      </c>
      <c r="E80" s="25">
        <f t="shared" si="34"/>
        <v>3.8580246913580245E-2</v>
      </c>
      <c r="F80" s="104">
        <f>IF(ISNUMBER(D80), $B91 * E80, "")</f>
        <v>5787.0370370370365</v>
      </c>
      <c r="G80" s="102">
        <v>659</v>
      </c>
      <c r="H80" s="25">
        <f t="shared" si="35"/>
        <v>1.6975308641975308E-2</v>
      </c>
      <c r="I80" s="103">
        <f>IF(ISNUMBER(G80), $B91 * H80, "")</f>
        <v>2546.2962962962961</v>
      </c>
      <c r="J80" s="24">
        <v>659</v>
      </c>
      <c r="K80" s="25">
        <f t="shared" si="36"/>
        <v>1.6975308641975308E-2</v>
      </c>
      <c r="L80" s="104">
        <f>IF(ISNUMBER(J80), $B91 * K80, "")</f>
        <v>2546.2962962962961</v>
      </c>
      <c r="M80" s="102">
        <v>656</v>
      </c>
      <c r="N80" s="25">
        <f t="shared" si="37"/>
        <v>1.2345679012345678E-2</v>
      </c>
      <c r="O80" s="104">
        <f>IF(ISNUMBER(M80), $B91 * N80, "")</f>
        <v>1851.8518518518517</v>
      </c>
      <c r="Q80" s="193"/>
      <c r="R80" s="194"/>
      <c r="S80" s="195"/>
    </row>
    <row r="81" spans="1:19">
      <c r="A81" s="123" t="s">
        <v>116</v>
      </c>
      <c r="B81" s="124">
        <v>216</v>
      </c>
      <c r="C81" s="76">
        <v>3.8461538500000003E-2</v>
      </c>
      <c r="D81" s="13">
        <v>218</v>
      </c>
      <c r="E81" s="14">
        <f>IF(ISNUMBER(D81), (D81 - $B81) / $B81, "")</f>
        <v>9.2592592592592587E-3</v>
      </c>
      <c r="F81" s="16">
        <f>IF(ISNUMBER(D81), $B91 * E81, "")</f>
        <v>1388.8888888888889</v>
      </c>
      <c r="G81" s="29">
        <v>218</v>
      </c>
      <c r="H81" s="14">
        <f>IF(ISNUMBER(G81), (G81 - $B81) / $B81, "")</f>
        <v>9.2592592592592587E-3</v>
      </c>
      <c r="I81" s="100">
        <f>IF(ISNUMBER(G81), $B91 * H81, "")</f>
        <v>1388.8888888888889</v>
      </c>
      <c r="J81" s="13">
        <v>219</v>
      </c>
      <c r="K81" s="14">
        <f>IF(ISNUMBER(J81), (J81 - $B81) / $B81, "")</f>
        <v>1.3888888888888888E-2</v>
      </c>
      <c r="L81" s="16">
        <f>IF(ISNUMBER(J81), $B91 * K81, "")</f>
        <v>2083.333333333333</v>
      </c>
      <c r="M81" s="29">
        <v>218</v>
      </c>
      <c r="N81" s="14">
        <f>IF(ISNUMBER(M81), (M81 - $B81) / $B81, "")</f>
        <v>9.2592592592592587E-3</v>
      </c>
      <c r="O81" s="16">
        <f>IF(ISNUMBER(M81), $B91 * N81, "")</f>
        <v>1388.8888888888889</v>
      </c>
      <c r="Q81" s="196"/>
      <c r="R81" s="197"/>
      <c r="S81" s="198"/>
    </row>
    <row r="82" spans="1:19" ht="17.25" thickBot="1">
      <c r="A82" s="125" t="s">
        <v>80</v>
      </c>
      <c r="B82" s="126">
        <v>855</v>
      </c>
      <c r="C82" s="77">
        <v>3.7621359200000003E-2</v>
      </c>
      <c r="D82" s="15">
        <v>871</v>
      </c>
      <c r="E82" s="32">
        <f t="shared" ref="E82:E85" si="38">IF(ISNUMBER(D82), (D82 - $B82) / $B82, "")</f>
        <v>1.8713450292397661E-2</v>
      </c>
      <c r="F82" s="18">
        <f>IF(ISNUMBER(D82), $B91 * E82, "")</f>
        <v>2807.0175438596493</v>
      </c>
      <c r="G82" s="31">
        <v>868</v>
      </c>
      <c r="H82" s="32">
        <f t="shared" ref="H82:H85" si="39">IF(ISNUMBER(G82), (G82 - $B82) / $B82, "")</f>
        <v>1.5204678362573099E-2</v>
      </c>
      <c r="I82" s="101">
        <f>IF(ISNUMBER(G82), $B91 * H82, "")</f>
        <v>2280.7017543859647</v>
      </c>
      <c r="J82" s="15">
        <v>871</v>
      </c>
      <c r="K82" s="32">
        <f t="shared" ref="K82:K85" si="40">IF(ISNUMBER(J82), (J82 - $B82) / $B82, "")</f>
        <v>1.8713450292397661E-2</v>
      </c>
      <c r="L82" s="18">
        <f>IF(ISNUMBER(J82), $B91 * K82, "")</f>
        <v>2807.0175438596493</v>
      </c>
      <c r="M82" s="31">
        <v>880</v>
      </c>
      <c r="N82" s="32">
        <f t="shared" ref="N82:N85" si="41">IF(ISNUMBER(M82), (M82 - $B82) / $B82, "")</f>
        <v>2.9239766081871343E-2</v>
      </c>
      <c r="O82" s="18">
        <f>IF(ISNUMBER(M82), $B91 * N82, "")</f>
        <v>4385.9649122807014</v>
      </c>
      <c r="Q82" s="199"/>
      <c r="R82" s="200"/>
      <c r="S82" s="201"/>
    </row>
    <row r="83" spans="1:19" ht="17.25" thickBot="1">
      <c r="A83" s="125" t="s">
        <v>218</v>
      </c>
      <c r="B83" s="126">
        <v>239</v>
      </c>
      <c r="C83" s="77">
        <v>3.46320346E-2</v>
      </c>
      <c r="D83" s="15">
        <v>242</v>
      </c>
      <c r="E83" s="32">
        <f t="shared" si="38"/>
        <v>1.2552301255230125E-2</v>
      </c>
      <c r="F83" s="18">
        <f>IF(ISNUMBER(D83), $B91 * E83, "")</f>
        <v>1882.8451882845188</v>
      </c>
      <c r="G83" s="31">
        <v>238</v>
      </c>
      <c r="H83" s="32">
        <f t="shared" si="39"/>
        <v>-4.1841004184100415E-3</v>
      </c>
      <c r="I83" s="101">
        <f>IF(ISNUMBER(G83), $B91 * H83, "")</f>
        <v>-627.61506276150624</v>
      </c>
      <c r="J83" s="15">
        <v>237</v>
      </c>
      <c r="K83" s="32">
        <f t="shared" si="40"/>
        <v>-8.368200836820083E-3</v>
      </c>
      <c r="L83" s="18">
        <f>IF(ISNUMBER(J83), $B91 * K83, "")</f>
        <v>-1255.2301255230125</v>
      </c>
      <c r="M83" s="31">
        <v>236</v>
      </c>
      <c r="N83" s="32">
        <f t="shared" si="41"/>
        <v>-1.2552301255230125E-2</v>
      </c>
      <c r="O83" s="18">
        <f>IF(ISNUMBER(M83), $B91 * N83, "")</f>
        <v>-1882.8451882845188</v>
      </c>
      <c r="Q83" s="192"/>
      <c r="R83" s="192"/>
      <c r="S83" s="192"/>
    </row>
    <row r="84" spans="1:19" ht="17.25" thickBot="1">
      <c r="A84" s="125" t="s">
        <v>122</v>
      </c>
      <c r="B84" s="126">
        <v>598</v>
      </c>
      <c r="C84" s="77">
        <v>3.1034482799999999E-2</v>
      </c>
      <c r="D84" s="15">
        <v>666</v>
      </c>
      <c r="E84" s="32">
        <f t="shared" si="38"/>
        <v>0.11371237458193979</v>
      </c>
      <c r="F84" s="18">
        <f>IF(ISNUMBER(D84), $B91 * E84, "")</f>
        <v>17056.85618729097</v>
      </c>
      <c r="G84" s="31">
        <v>633</v>
      </c>
      <c r="H84" s="32">
        <f t="shared" si="39"/>
        <v>5.8528428093645488E-2</v>
      </c>
      <c r="I84" s="101">
        <f>IF(ISNUMBER(G84), $B91 * H84, "")</f>
        <v>8779.2642140468233</v>
      </c>
      <c r="J84" s="15">
        <v>636</v>
      </c>
      <c r="K84" s="32">
        <f t="shared" si="40"/>
        <v>6.354515050167224E-2</v>
      </c>
      <c r="L84" s="18">
        <f>IF(ISNUMBER(J84), $B91 * K84, "")</f>
        <v>9531.7725752508359</v>
      </c>
      <c r="M84" s="31">
        <v>628</v>
      </c>
      <c r="N84" s="32">
        <f t="shared" si="41"/>
        <v>5.016722408026756E-2</v>
      </c>
      <c r="O84" s="18">
        <f>IF(ISNUMBER(M84), $B91 * N84, "")</f>
        <v>7525.0836120401336</v>
      </c>
      <c r="Q84" s="202"/>
      <c r="R84" s="202"/>
      <c r="S84" s="202"/>
    </row>
    <row r="85" spans="1:19" ht="17.25" thickBot="1">
      <c r="A85" s="127" t="s">
        <v>57</v>
      </c>
      <c r="B85" s="128">
        <v>198</v>
      </c>
      <c r="C85" s="78">
        <v>2.59067358E-2</v>
      </c>
      <c r="D85" s="20">
        <v>196</v>
      </c>
      <c r="E85" s="21">
        <f t="shared" si="38"/>
        <v>-1.0101010101010102E-2</v>
      </c>
      <c r="F85" s="22">
        <f>IF(ISNUMBER(D85), $B91 * E85, "")</f>
        <v>-1515.1515151515152</v>
      </c>
      <c r="G85" s="30">
        <v>194</v>
      </c>
      <c r="H85" s="21">
        <f t="shared" si="39"/>
        <v>-2.0202020202020204E-2</v>
      </c>
      <c r="I85" s="105">
        <f>IF(ISNUMBER(G85), $B91 * H85, "")</f>
        <v>-3030.3030303030305</v>
      </c>
      <c r="J85" s="20">
        <v>197</v>
      </c>
      <c r="K85" s="21">
        <f t="shared" si="40"/>
        <v>-5.0505050505050509E-3</v>
      </c>
      <c r="L85" s="22">
        <f>IF(ISNUMBER(J85), $B91 * K85, "")</f>
        <v>-757.57575757575762</v>
      </c>
      <c r="M85" s="30">
        <v>199</v>
      </c>
      <c r="N85" s="21">
        <f t="shared" si="41"/>
        <v>5.0505050505050509E-3</v>
      </c>
      <c r="O85" s="22">
        <f>IF(ISNUMBER(M85), $B91 * N85, "")</f>
        <v>757.57575757575762</v>
      </c>
      <c r="Q85" s="202"/>
      <c r="R85" s="202"/>
      <c r="S85" s="202"/>
    </row>
    <row r="86" spans="1:19" ht="17.25" thickBot="1">
      <c r="A86" s="125" t="s">
        <v>108</v>
      </c>
      <c r="B86" s="129">
        <v>167</v>
      </c>
      <c r="C86" s="80">
        <v>2.4539877299999999E-2</v>
      </c>
      <c r="D86" s="106">
        <v>165</v>
      </c>
      <c r="E86" s="107">
        <f>IF(ISNUMBER(D86), (D86 - $B86) / $B86, "")</f>
        <v>-1.1976047904191617E-2</v>
      </c>
      <c r="F86" s="108">
        <f>IF(ISNUMBER(D86), $B91 * E86, "")</f>
        <v>-1796.4071856287426</v>
      </c>
      <c r="G86" s="109">
        <v>162</v>
      </c>
      <c r="H86" s="107">
        <f>IF(ISNUMBER(G86), (G86 - $B86) / $B86, "")</f>
        <v>-2.9940119760479042E-2</v>
      </c>
      <c r="I86" s="110">
        <f>IF(ISNUMBER(G86), $B91 * H86, "")</f>
        <v>-4491.0179640718561</v>
      </c>
      <c r="J86" s="106">
        <v>163</v>
      </c>
      <c r="K86" s="107">
        <f>IF(ISNUMBER(J86), (J86 - $B86) / $B86, "")</f>
        <v>-2.3952095808383235E-2</v>
      </c>
      <c r="L86" s="108">
        <f>IF(ISNUMBER(J86), $B91 * K86, "")</f>
        <v>-3592.8143712574852</v>
      </c>
      <c r="M86" s="109">
        <v>164</v>
      </c>
      <c r="N86" s="107">
        <f>IF(ISNUMBER(M86), (M86 - $B86) / $B86, "")</f>
        <v>-1.7964071856287425E-2</v>
      </c>
      <c r="O86" s="108">
        <f>IF(ISNUMBER(M86), $B91 * N86, "")</f>
        <v>-2694.6107784431138</v>
      </c>
      <c r="Q86" s="192"/>
      <c r="R86" s="192"/>
      <c r="S86" s="192"/>
    </row>
    <row r="87" spans="1:19" ht="17.25" thickBot="1">
      <c r="A87" s="125" t="s">
        <v>86</v>
      </c>
      <c r="B87" s="126">
        <v>355</v>
      </c>
      <c r="C87" s="77">
        <v>2.3054755E-2</v>
      </c>
      <c r="D87" s="15">
        <v>352</v>
      </c>
      <c r="E87" s="32">
        <f t="shared" ref="E87:E90" si="42">IF(ISNUMBER(D87), (D87 - $B87) / $B87, "")</f>
        <v>-8.4507042253521118E-3</v>
      </c>
      <c r="F87" s="18">
        <f>IF(ISNUMBER(D87), $B91 * E87, "")</f>
        <v>-1267.6056338028168</v>
      </c>
      <c r="G87" s="31">
        <v>349</v>
      </c>
      <c r="H87" s="32">
        <f t="shared" ref="H87:H90" si="43">IF(ISNUMBER(G87), (G87 - $B87) / $B87, "")</f>
        <v>-1.6901408450704224E-2</v>
      </c>
      <c r="I87" s="101">
        <f>IF(ISNUMBER(G87), $B91 * H87, "")</f>
        <v>-2535.2112676056336</v>
      </c>
      <c r="J87" s="15">
        <v>351</v>
      </c>
      <c r="K87" s="32">
        <f t="shared" ref="K87:K90" si="44">IF(ISNUMBER(J87), (J87 - $B87) / $B87, "")</f>
        <v>-1.1267605633802818E-2</v>
      </c>
      <c r="L87" s="18">
        <f>IF(ISNUMBER(J87), $B91 * K87, "")</f>
        <v>-1690.1408450704225</v>
      </c>
      <c r="M87" s="31">
        <v>353</v>
      </c>
      <c r="N87" s="32">
        <f t="shared" ref="N87:N90" si="45">IF(ISNUMBER(M87), (M87 - $B87) / $B87, "")</f>
        <v>-5.6338028169014088E-3</v>
      </c>
      <c r="O87" s="18">
        <f>IF(ISNUMBER(M87), $B91 * N87, "")</f>
        <v>-845.07042253521126</v>
      </c>
      <c r="Q87" s="192"/>
      <c r="R87" s="192"/>
      <c r="S87" s="192"/>
    </row>
    <row r="88" spans="1:19" ht="17.25" thickBot="1">
      <c r="A88" s="125" t="s">
        <v>61</v>
      </c>
      <c r="B88" s="126">
        <v>933</v>
      </c>
      <c r="C88" s="77">
        <v>2.3026315799999999E-2</v>
      </c>
      <c r="D88" s="15">
        <v>930</v>
      </c>
      <c r="E88" s="32">
        <f t="shared" si="42"/>
        <v>-3.2154340836012861E-3</v>
      </c>
      <c r="F88" s="18">
        <f>IF(ISNUMBER(D88), $B91 * E88, "")</f>
        <v>-482.3151125401929</v>
      </c>
      <c r="G88" s="31">
        <v>922</v>
      </c>
      <c r="H88" s="32">
        <f t="shared" si="43"/>
        <v>-1.1789924973204717E-2</v>
      </c>
      <c r="I88" s="101">
        <f>IF(ISNUMBER(G88), $B91 * H88, "")</f>
        <v>-1768.4887459807076</v>
      </c>
      <c r="J88" s="15">
        <v>922</v>
      </c>
      <c r="K88" s="32">
        <f t="shared" si="44"/>
        <v>-1.1789924973204717E-2</v>
      </c>
      <c r="L88" s="18">
        <f>IF(ISNUMBER(J88), $B91 * K88, "")</f>
        <v>-1768.4887459807076</v>
      </c>
      <c r="M88" s="31">
        <v>924</v>
      </c>
      <c r="N88" s="32">
        <f t="shared" si="45"/>
        <v>-9.6463022508038593E-3</v>
      </c>
      <c r="O88" s="18">
        <f>IF(ISNUMBER(M88), $B91 * N88, "")</f>
        <v>-1446.9453376205788</v>
      </c>
      <c r="Q88" s="192"/>
      <c r="R88" s="192"/>
      <c r="S88" s="192"/>
    </row>
    <row r="89" spans="1:19">
      <c r="A89" s="125" t="s">
        <v>136</v>
      </c>
      <c r="B89" s="126">
        <v>361</v>
      </c>
      <c r="C89" s="77">
        <v>2.2662889499999998E-2</v>
      </c>
      <c r="D89" s="15">
        <v>363</v>
      </c>
      <c r="E89" s="32">
        <f t="shared" si="42"/>
        <v>5.5401662049861496E-3</v>
      </c>
      <c r="F89" s="18">
        <f>IF(ISNUMBER(D89), $B91 * E89, "")</f>
        <v>831.02493074792244</v>
      </c>
      <c r="G89" s="31">
        <v>356</v>
      </c>
      <c r="H89" s="32">
        <f t="shared" si="43"/>
        <v>-1.3850415512465374E-2</v>
      </c>
      <c r="I89" s="101">
        <f>IF(ISNUMBER(G89), $B91 * H89, "")</f>
        <v>-2077.5623268698059</v>
      </c>
      <c r="J89" s="15">
        <v>356</v>
      </c>
      <c r="K89" s="32">
        <f t="shared" si="44"/>
        <v>-1.3850415512465374E-2</v>
      </c>
      <c r="L89" s="18">
        <f>IF(ISNUMBER(J89), $B91 * K89, "")</f>
        <v>-2077.5623268698059</v>
      </c>
      <c r="M89" s="31">
        <v>356</v>
      </c>
      <c r="N89" s="32">
        <f t="shared" si="45"/>
        <v>-1.3850415512465374E-2</v>
      </c>
      <c r="O89" s="18">
        <f>IF(ISNUMBER(M89), $B91 * N89, "")</f>
        <v>-2077.5623268698059</v>
      </c>
      <c r="Q89" s="181"/>
      <c r="R89" s="182"/>
      <c r="S89" s="183"/>
    </row>
    <row r="90" spans="1:19" ht="17.25" thickBot="1">
      <c r="A90" s="130" t="s">
        <v>142</v>
      </c>
      <c r="B90" s="131">
        <v>105</v>
      </c>
      <c r="C90" s="79">
        <v>1.9417475699999999E-2</v>
      </c>
      <c r="D90" s="24">
        <v>107</v>
      </c>
      <c r="E90" s="25">
        <f t="shared" si="42"/>
        <v>1.9047619047619049E-2</v>
      </c>
      <c r="F90" s="104">
        <f>IF(ISNUMBER(D90), $B91 * E90, "")</f>
        <v>2857.1428571428573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105</v>
      </c>
      <c r="K90" s="25">
        <f t="shared" si="44"/>
        <v>0</v>
      </c>
      <c r="L90" s="104">
        <f>IF(ISNUMBER(J90), $B91 * K90, "")</f>
        <v>0</v>
      </c>
      <c r="M90" s="102">
        <v>106</v>
      </c>
      <c r="N90" s="25">
        <f t="shared" si="45"/>
        <v>9.5238095238095247E-3</v>
      </c>
      <c r="O90" s="104">
        <f>IF(ISNUMBER(M90), $B91 * N90, "")</f>
        <v>1428.5714285714287</v>
      </c>
      <c r="Q90" s="184"/>
      <c r="R90" s="185"/>
      <c r="S90" s="186"/>
    </row>
    <row r="91" spans="1:19" ht="17.25" thickBot="1">
      <c r="A91" s="132" t="s">
        <v>268</v>
      </c>
      <c r="B91" s="245">
        <f>$B$37</f>
        <v>150000</v>
      </c>
      <c r="C91" s="246"/>
      <c r="D91" s="26" t="s">
        <v>269</v>
      </c>
      <c r="E91" s="27">
        <f>IF(COUNT(E71:E90), SUM(E71:E90) / COUNT(E71:E90), 0)</f>
        <v>9.804540182623004E-3</v>
      </c>
      <c r="F91" s="28">
        <f>SUM(F71:F90)</f>
        <v>29413.62054786901</v>
      </c>
      <c r="G91" s="26" t="s">
        <v>269</v>
      </c>
      <c r="H91" s="27">
        <f>IF(COUNT(H71:H90), SUM(H71:H90) / COUNT(H71:H90), 0)</f>
        <v>-1.4407916746435683E-3</v>
      </c>
      <c r="I91" s="28">
        <f>SUM(I71:I90)</f>
        <v>-4322.3750239307064</v>
      </c>
      <c r="J91" s="26" t="s">
        <v>269</v>
      </c>
      <c r="K91" s="27">
        <f>IF(COUNT(K71:K90), SUM(K71:K90) / COUNT(K71:K90), 0)</f>
        <v>4.3704372093290449E-4</v>
      </c>
      <c r="L91" s="28">
        <f>SUM(L71:L90)</f>
        <v>1311.1311627987147</v>
      </c>
      <c r="M91" s="26" t="s">
        <v>269</v>
      </c>
      <c r="N91" s="27">
        <f>IF(COUNT(N71:N90), SUM(N71:N90) / COUNT(N71:N90), 0)</f>
        <v>9.6857276221404514E-4</v>
      </c>
      <c r="O91" s="28">
        <f>SUM(O71:O90)</f>
        <v>2905.7182866421354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65" t="s">
        <v>265</v>
      </c>
      <c r="B95" s="203" t="s">
        <v>49</v>
      </c>
      <c r="C95" s="205"/>
      <c r="D95" s="203" t="s">
        <v>58</v>
      </c>
      <c r="E95" s="204"/>
      <c r="F95" s="205"/>
      <c r="G95" s="206">
        <f>_xlfn.IFNA(VLOOKUP(B95, 현재가테이블!$B$2:$D$200, 2, FALSE), "-")</f>
        <v>62630000</v>
      </c>
      <c r="H95" s="207"/>
      <c r="I95" s="208"/>
      <c r="J95" s="203" t="s">
        <v>59</v>
      </c>
      <c r="K95" s="204"/>
      <c r="L95" s="205"/>
      <c r="M95" s="209">
        <f>_xlfn.IFNA(VLOOKUP(B95, 현재가테이블!$B$2:$D$200, 3, FALSE), "-")</f>
        <v>1.5632601400000001E-2</v>
      </c>
      <c r="N95" s="210"/>
      <c r="O95" s="211"/>
      <c r="Q95" s="202"/>
      <c r="R95" s="202"/>
      <c r="S95" s="202"/>
    </row>
    <row r="96" spans="1:19" ht="17.25" thickBot="1">
      <c r="A96" s="247" t="s">
        <v>55</v>
      </c>
      <c r="B96" s="243" t="str">
        <f>TEXT($G$1, "[$-ko-KR]yyyy-mm-dd(ddd) ") &amp; "오전 00:00"</f>
        <v>2021-10-03(일) 오전 00:00</v>
      </c>
      <c r="C96" s="244"/>
      <c r="D96" s="216" t="str">
        <f>TEXT($G$1, "[$-ko-KR]yyyy-mm-dd(ddd) ") &amp; "오후 14:00"</f>
        <v>2021-10-03(일) 오후 14:00</v>
      </c>
      <c r="E96" s="217"/>
      <c r="F96" s="218"/>
      <c r="G96" s="216" t="str">
        <f>TEXT($G$1, "[$-ko-KR]yyyy-mm-dd(ddd) ") &amp; "오후 19:00"</f>
        <v>2021-10-03(일) 오후 19:00</v>
      </c>
      <c r="H96" s="217"/>
      <c r="I96" s="218"/>
      <c r="J96" s="216" t="str">
        <f>TEXT($G$1, "[$-ko-KR]yyyy-mm-dd(ddd) ") &amp; "오후 21:00"</f>
        <v>2021-10-03(일) 오후 21:00</v>
      </c>
      <c r="K96" s="217"/>
      <c r="L96" s="218"/>
      <c r="M96" s="216" t="str">
        <f>TEXT($G$1+1, "[$-ko-KR]yyyy-mm-dd(ddd) ") &amp; "오전 00:00"</f>
        <v>2021-10-04(월) 오전 00:00</v>
      </c>
      <c r="N96" s="217"/>
      <c r="O96" s="218"/>
      <c r="Q96" s="202"/>
      <c r="R96" s="202"/>
      <c r="S96" s="202"/>
    </row>
    <row r="97" spans="1:19" ht="17.25" thickBot="1">
      <c r="A97" s="24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6" t="s">
        <v>58</v>
      </c>
      <c r="H97" s="167" t="s">
        <v>266</v>
      </c>
      <c r="I97" s="16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192"/>
      <c r="R97" s="192"/>
      <c r="S97" s="192"/>
    </row>
    <row r="98" spans="1:19" ht="17.25" thickBot="1">
      <c r="A98" s="123" t="s">
        <v>138</v>
      </c>
      <c r="B98" s="124">
        <v>18240</v>
      </c>
      <c r="C98" s="76">
        <v>0.175257732</v>
      </c>
      <c r="D98" s="13">
        <v>20460</v>
      </c>
      <c r="E98" s="14">
        <f>IF(ISNUMBER(D98), (D98 - $B98) / $B98, "")</f>
        <v>0.12171052631578948</v>
      </c>
      <c r="F98" s="16">
        <f>IF(ISNUMBER(D98), $B118 * E98, "")</f>
        <v>18256.57894736842</v>
      </c>
      <c r="G98" s="29">
        <v>20810</v>
      </c>
      <c r="H98" s="14">
        <f>IF(ISNUMBER(G98), (G98 - $B98) / $B98, "")</f>
        <v>0.14089912280701755</v>
      </c>
      <c r="I98" s="100">
        <f>IF(ISNUMBER(G98), $B118 * H98, "")</f>
        <v>21134.868421052633</v>
      </c>
      <c r="J98" s="13">
        <v>20960</v>
      </c>
      <c r="K98" s="14">
        <f>IF(ISNUMBER(J98), (J98 - $B98) / $B98, "")</f>
        <v>0.14912280701754385</v>
      </c>
      <c r="L98" s="16">
        <f>IF(ISNUMBER(J98), $B118 * K98, "")</f>
        <v>22368.421052631576</v>
      </c>
      <c r="M98" s="29">
        <v>20210</v>
      </c>
      <c r="N98" s="14">
        <f>IF(ISNUMBER(M98), (M98 - $B98) / $B98, "")</f>
        <v>0.10800438596491228</v>
      </c>
      <c r="O98" s="16">
        <f>IF(ISNUMBER(M98), $B118 * N98, "")</f>
        <v>16200.657894736842</v>
      </c>
      <c r="Q98" s="202"/>
      <c r="R98" s="202"/>
      <c r="S98" s="202"/>
    </row>
    <row r="99" spans="1:19" ht="17.25" thickBot="1">
      <c r="A99" s="125" t="s">
        <v>96</v>
      </c>
      <c r="B99" s="126">
        <v>9255</v>
      </c>
      <c r="C99" s="77">
        <v>0.14259259260000001</v>
      </c>
      <c r="D99" s="15">
        <v>9710</v>
      </c>
      <c r="E99" s="32">
        <f t="shared" ref="E99:E102" si="46">IF(ISNUMBER(D99), (D99 - $B99) / $B99, "")</f>
        <v>4.9162614802809292E-2</v>
      </c>
      <c r="F99" s="18">
        <f>IF(ISNUMBER(D99), $B118 * E99, "")</f>
        <v>7374.3922204213941</v>
      </c>
      <c r="G99" s="31">
        <v>10340</v>
      </c>
      <c r="H99" s="32">
        <f t="shared" ref="H99:H102" si="47">IF(ISNUMBER(G99), (G99 - $B99) / $B99, "")</f>
        <v>0.11723392760669908</v>
      </c>
      <c r="I99" s="101">
        <f>IF(ISNUMBER(G99), $B118 * H99, "")</f>
        <v>17585.089141004861</v>
      </c>
      <c r="J99" s="15">
        <v>10420</v>
      </c>
      <c r="K99" s="32">
        <f t="shared" ref="K99:K102" si="48">IF(ISNUMBER(J99), (J99 - $B99) / $B99, "")</f>
        <v>0.12587790383576444</v>
      </c>
      <c r="L99" s="18">
        <f>IF(ISNUMBER(J99), $B118 * K99, "")</f>
        <v>18881.685575364667</v>
      </c>
      <c r="M99" s="31">
        <v>10510</v>
      </c>
      <c r="N99" s="32">
        <f t="shared" ref="N99:N102" si="49">IF(ISNUMBER(M99), (M99 - $B99) / $B99, "")</f>
        <v>0.13560237709346298</v>
      </c>
      <c r="O99" s="18">
        <f>IF(ISNUMBER(M99), $B118 * N99, "")</f>
        <v>20340.356564019447</v>
      </c>
      <c r="Q99" s="202"/>
      <c r="R99" s="202"/>
      <c r="S99" s="202"/>
    </row>
    <row r="100" spans="1:19" ht="17.25" thickBot="1">
      <c r="A100" s="125" t="s">
        <v>54</v>
      </c>
      <c r="B100" s="126">
        <v>502</v>
      </c>
      <c r="C100" s="77">
        <v>0.13574660629999999</v>
      </c>
      <c r="D100" s="15">
        <v>506</v>
      </c>
      <c r="E100" s="32">
        <f t="shared" si="46"/>
        <v>7.9681274900398405E-3</v>
      </c>
      <c r="F100" s="18">
        <f>IF(ISNUMBER(D100), $B118 * E100, "")</f>
        <v>1195.2191235059761</v>
      </c>
      <c r="G100" s="31">
        <v>482</v>
      </c>
      <c r="H100" s="32">
        <f t="shared" si="47"/>
        <v>-3.9840637450199202E-2</v>
      </c>
      <c r="I100" s="101">
        <f>IF(ISNUMBER(G100), $B118 * H100, "")</f>
        <v>-5976.0956175298807</v>
      </c>
      <c r="J100" s="15">
        <v>490</v>
      </c>
      <c r="K100" s="32">
        <f t="shared" si="48"/>
        <v>-2.3904382470119521E-2</v>
      </c>
      <c r="L100" s="18">
        <f>IF(ISNUMBER(J100), $B118 * K100, "")</f>
        <v>-3585.657370517928</v>
      </c>
      <c r="M100" s="31">
        <v>485</v>
      </c>
      <c r="N100" s="32">
        <f t="shared" si="49"/>
        <v>-3.386454183266932E-2</v>
      </c>
      <c r="O100" s="18">
        <f>IF(ISNUMBER(M100), $B118 * N100, "")</f>
        <v>-5079.6812749003984</v>
      </c>
      <c r="Q100" s="192"/>
      <c r="R100" s="192"/>
      <c r="S100" s="192"/>
    </row>
    <row r="101" spans="1:19" ht="17.25" thickBot="1">
      <c r="A101" s="125" t="s">
        <v>178</v>
      </c>
      <c r="B101" s="126">
        <v>15380</v>
      </c>
      <c r="C101" s="77">
        <v>9.3883357000000001E-2</v>
      </c>
      <c r="D101" s="15">
        <v>17440</v>
      </c>
      <c r="E101" s="32">
        <f t="shared" si="46"/>
        <v>0.13394018205461639</v>
      </c>
      <c r="F101" s="18">
        <f>IF(ISNUMBER(D101), $B118 * E101, "")</f>
        <v>20091.027308192457</v>
      </c>
      <c r="G101" s="31">
        <v>16900</v>
      </c>
      <c r="H101" s="32">
        <f t="shared" si="47"/>
        <v>9.8829648894668401E-2</v>
      </c>
      <c r="I101" s="101">
        <f>IF(ISNUMBER(G101), $B118 * H101, "")</f>
        <v>14824.44733420026</v>
      </c>
      <c r="J101" s="15">
        <v>16790</v>
      </c>
      <c r="K101" s="32">
        <f t="shared" si="48"/>
        <v>9.167750325097529E-2</v>
      </c>
      <c r="L101" s="18">
        <f>IF(ISNUMBER(J101), $B118 * K101, "")</f>
        <v>13751.625487646294</v>
      </c>
      <c r="M101" s="31">
        <v>16490</v>
      </c>
      <c r="N101" s="32">
        <f t="shared" si="49"/>
        <v>7.217165149544863E-2</v>
      </c>
      <c r="O101" s="18">
        <f>IF(ISNUMBER(M101), $B118 * N101, "")</f>
        <v>10825.747724317294</v>
      </c>
      <c r="Q101" s="192"/>
      <c r="R101" s="192"/>
      <c r="S101" s="192"/>
    </row>
    <row r="102" spans="1:19" ht="17.25" thickBot="1">
      <c r="A102" s="127" t="s">
        <v>130</v>
      </c>
      <c r="B102" s="128">
        <v>124</v>
      </c>
      <c r="C102" s="78">
        <v>8.7719298200000004E-2</v>
      </c>
      <c r="D102" s="20">
        <v>123</v>
      </c>
      <c r="E102" s="21">
        <f t="shared" si="46"/>
        <v>-8.0645161290322578E-3</v>
      </c>
      <c r="F102" s="22">
        <f>IF(ISNUMBER(D102), $B118 * E102, "")</f>
        <v>-1209.6774193548388</v>
      </c>
      <c r="G102" s="30">
        <v>121</v>
      </c>
      <c r="H102" s="21">
        <f t="shared" si="47"/>
        <v>-2.4193548387096774E-2</v>
      </c>
      <c r="I102" s="105">
        <f>IF(ISNUMBER(G102), $B118 * H102, "")</f>
        <v>-3629.0322580645161</v>
      </c>
      <c r="J102" s="20">
        <v>122</v>
      </c>
      <c r="K102" s="21">
        <f t="shared" si="48"/>
        <v>-1.6129032258064516E-2</v>
      </c>
      <c r="L102" s="22">
        <f>IF(ISNUMBER(J102), $B118 * K102, "")</f>
        <v>-2419.3548387096776</v>
      </c>
      <c r="M102" s="30">
        <v>123</v>
      </c>
      <c r="N102" s="21">
        <f t="shared" si="49"/>
        <v>-8.0645161290322578E-3</v>
      </c>
      <c r="O102" s="22">
        <f>IF(ISNUMBER(M102), $B118 * N102, "")</f>
        <v>-1209.6774193548388</v>
      </c>
      <c r="Q102" s="192"/>
      <c r="R102" s="192"/>
      <c r="S102" s="192"/>
    </row>
    <row r="103" spans="1:19" ht="17.25" thickBot="1">
      <c r="A103" s="125" t="s">
        <v>190</v>
      </c>
      <c r="B103" s="129">
        <v>376</v>
      </c>
      <c r="C103" s="80">
        <v>8.6705202300000006E-2</v>
      </c>
      <c r="D103" s="106">
        <v>376</v>
      </c>
      <c r="E103" s="107">
        <f>IF(ISNUMBER(D103), (D103 - $B103) / $B103, "")</f>
        <v>0</v>
      </c>
      <c r="F103" s="108">
        <f>IF(ISNUMBER(D103), $B118 * E103, "")</f>
        <v>0</v>
      </c>
      <c r="G103" s="109">
        <v>375</v>
      </c>
      <c r="H103" s="107">
        <f>IF(ISNUMBER(G103), (G103 - $B103) / $B103, "")</f>
        <v>-2.6595744680851063E-3</v>
      </c>
      <c r="I103" s="110">
        <f>IF(ISNUMBER(G103), $B118 * H103, "")</f>
        <v>-398.93617021276594</v>
      </c>
      <c r="J103" s="106">
        <v>372</v>
      </c>
      <c r="K103" s="107">
        <f>IF(ISNUMBER(J103), (J103 - $B103) / $B103, "")</f>
        <v>-1.0638297872340425E-2</v>
      </c>
      <c r="L103" s="108">
        <f>IF(ISNUMBER(J103), $B118 * K103, "")</f>
        <v>-1595.7446808510638</v>
      </c>
      <c r="M103" s="109">
        <v>373</v>
      </c>
      <c r="N103" s="107">
        <f>IF(ISNUMBER(M103), (M103 - $B103) / $B103, "")</f>
        <v>-7.9787234042553185E-3</v>
      </c>
      <c r="O103" s="108">
        <f>IF(ISNUMBER(M103), $B118 * N103, "")</f>
        <v>-1196.8085106382978</v>
      </c>
      <c r="Q103" s="192"/>
      <c r="R103" s="192"/>
      <c r="S103" s="192"/>
    </row>
    <row r="104" spans="1:19" ht="17.25" thickBot="1">
      <c r="A104" s="125" t="s">
        <v>106</v>
      </c>
      <c r="B104" s="126">
        <v>2515</v>
      </c>
      <c r="C104" s="77">
        <v>8.6393088600000001E-2</v>
      </c>
      <c r="D104" s="15">
        <v>2745</v>
      </c>
      <c r="E104" s="32">
        <f t="shared" ref="E104:E107" si="50">IF(ISNUMBER(D104), (D104 - $B104) / $B104, "")</f>
        <v>9.1451292246520877E-2</v>
      </c>
      <c r="F104" s="18">
        <f>IF(ISNUMBER(D104), $B118 * E104, "")</f>
        <v>13717.693836978131</v>
      </c>
      <c r="G104" s="31">
        <v>2705</v>
      </c>
      <c r="H104" s="32">
        <f t="shared" ref="H104:H107" si="51">IF(ISNUMBER(G104), (G104 - $B104) / $B104, "")</f>
        <v>7.5546719681908542E-2</v>
      </c>
      <c r="I104" s="101">
        <f>IF(ISNUMBER(G104), $B118 * H104, "")</f>
        <v>11332.007952286282</v>
      </c>
      <c r="J104" s="15">
        <v>2715</v>
      </c>
      <c r="K104" s="32">
        <f t="shared" ref="K104:K107" si="52">IF(ISNUMBER(J104), (J104 - $B104) / $B104, "")</f>
        <v>7.9522862823061632E-2</v>
      </c>
      <c r="L104" s="18">
        <f>IF(ISNUMBER(J104), $B118 * K104, "")</f>
        <v>11928.429423459245</v>
      </c>
      <c r="M104" s="31">
        <v>2665</v>
      </c>
      <c r="N104" s="32">
        <f t="shared" ref="N104:N107" si="53">IF(ISNUMBER(M104), (M104 - $B104) / $B104, "")</f>
        <v>5.9642147117296221E-2</v>
      </c>
      <c r="O104" s="18">
        <f>IF(ISNUMBER(M104), $B118 * N104, "")</f>
        <v>8946.322067594434</v>
      </c>
      <c r="Q104" s="192"/>
      <c r="R104" s="192"/>
      <c r="S104" s="192"/>
    </row>
    <row r="105" spans="1:19" ht="17.25" thickBot="1">
      <c r="A105" s="125" t="s">
        <v>180</v>
      </c>
      <c r="B105" s="126">
        <v>70450</v>
      </c>
      <c r="C105" s="77">
        <v>8.2181259600000001E-2</v>
      </c>
      <c r="D105" s="15">
        <v>68990</v>
      </c>
      <c r="E105" s="32">
        <f t="shared" si="50"/>
        <v>-2.0723917672107878E-2</v>
      </c>
      <c r="F105" s="18">
        <f>IF(ISNUMBER(D105), $B118 * E105, "")</f>
        <v>-3108.5876508161818</v>
      </c>
      <c r="G105" s="31">
        <v>68010</v>
      </c>
      <c r="H105" s="32">
        <f t="shared" si="51"/>
        <v>-3.4634492547906313E-2</v>
      </c>
      <c r="I105" s="101">
        <f>IF(ISNUMBER(G105), $B118 * H105, "")</f>
        <v>-5195.1738821859471</v>
      </c>
      <c r="J105" s="15">
        <v>67900</v>
      </c>
      <c r="K105" s="32">
        <f t="shared" si="52"/>
        <v>-3.61958836053939E-2</v>
      </c>
      <c r="L105" s="18">
        <f>IF(ISNUMBER(J105), $B118 * K105, "")</f>
        <v>-5429.3825408090852</v>
      </c>
      <c r="M105" s="31">
        <v>68400</v>
      </c>
      <c r="N105" s="32">
        <f t="shared" si="53"/>
        <v>-2.9098651525904896E-2</v>
      </c>
      <c r="O105" s="18">
        <f>IF(ISNUMBER(M105), $B118 * N105, "")</f>
        <v>-4364.7977288857346</v>
      </c>
      <c r="Q105" s="192"/>
      <c r="R105" s="192"/>
      <c r="S105" s="192"/>
    </row>
    <row r="106" spans="1:19" ht="17.25" thickBot="1">
      <c r="A106" s="125" t="s">
        <v>114</v>
      </c>
      <c r="B106" s="126">
        <v>7640</v>
      </c>
      <c r="C106" s="77">
        <v>8.0622347900000002E-2</v>
      </c>
      <c r="D106" s="15">
        <v>7625</v>
      </c>
      <c r="E106" s="32">
        <f t="shared" si="50"/>
        <v>-1.963350785340314E-3</v>
      </c>
      <c r="F106" s="18">
        <f>IF(ISNUMBER(D106), $B118 * E106, "")</f>
        <v>-294.50261780104711</v>
      </c>
      <c r="G106" s="31">
        <v>7745</v>
      </c>
      <c r="H106" s="32">
        <f t="shared" si="51"/>
        <v>1.37434554973822E-2</v>
      </c>
      <c r="I106" s="101">
        <f>IF(ISNUMBER(G106), $B118 * H106, "")</f>
        <v>2061.5183246073298</v>
      </c>
      <c r="J106" s="15">
        <v>7645</v>
      </c>
      <c r="K106" s="32">
        <f t="shared" si="52"/>
        <v>6.5445026178010475E-4</v>
      </c>
      <c r="L106" s="18">
        <f>IF(ISNUMBER(J106), $B118 * K106, "")</f>
        <v>98.167539267015712</v>
      </c>
      <c r="M106" s="31">
        <v>7595</v>
      </c>
      <c r="N106" s="32">
        <f t="shared" si="53"/>
        <v>-5.8900523560209425E-3</v>
      </c>
      <c r="O106" s="18">
        <f>IF(ISNUMBER(M106), $B118 * N106, "")</f>
        <v>-883.50785340314133</v>
      </c>
      <c r="Q106" s="33"/>
      <c r="R106" s="33"/>
    </row>
    <row r="107" spans="1:19" ht="17.25" thickBot="1">
      <c r="A107" s="130" t="s">
        <v>164</v>
      </c>
      <c r="B107" s="131">
        <v>229</v>
      </c>
      <c r="C107" s="79">
        <v>8.0188679200000001E-2</v>
      </c>
      <c r="D107" s="24">
        <v>228</v>
      </c>
      <c r="E107" s="25">
        <f t="shared" si="50"/>
        <v>-4.3668122270742356E-3</v>
      </c>
      <c r="F107" s="104">
        <f>IF(ISNUMBER(D107), $B118 * E107, "")</f>
        <v>-655.02183406113534</v>
      </c>
      <c r="G107" s="102">
        <v>223</v>
      </c>
      <c r="H107" s="25">
        <f t="shared" si="51"/>
        <v>-2.6200873362445413E-2</v>
      </c>
      <c r="I107" s="103">
        <f>IF(ISNUMBER(G107), $B118 * H107, "")</f>
        <v>-3930.1310043668122</v>
      </c>
      <c r="J107" s="24">
        <v>222</v>
      </c>
      <c r="K107" s="25">
        <f t="shared" si="52"/>
        <v>-3.0567685589519649E-2</v>
      </c>
      <c r="L107" s="104">
        <f>IF(ISNUMBER(J107), $B118 * K107, "")</f>
        <v>-4585.1528384279472</v>
      </c>
      <c r="M107" s="102">
        <v>222</v>
      </c>
      <c r="N107" s="25">
        <f t="shared" si="53"/>
        <v>-3.0567685589519649E-2</v>
      </c>
      <c r="O107" s="104">
        <f>IF(ISNUMBER(M107), $B118 * N107, "")</f>
        <v>-4585.1528384279472</v>
      </c>
      <c r="Q107" s="193"/>
      <c r="R107" s="194"/>
      <c r="S107" s="195"/>
    </row>
    <row r="108" spans="1:19">
      <c r="A108" s="123" t="s">
        <v>69</v>
      </c>
      <c r="B108" s="124">
        <v>10810</v>
      </c>
      <c r="C108" s="76">
        <v>7.9920079899999996E-2</v>
      </c>
      <c r="D108" s="13">
        <v>11120</v>
      </c>
      <c r="E108" s="14">
        <f>IF(ISNUMBER(D108), (D108 - $B108) / $B108, "")</f>
        <v>2.8677150786308975E-2</v>
      </c>
      <c r="F108" s="16">
        <f>IF(ISNUMBER(D108), $B118 * E108, "")</f>
        <v>4301.5726179463463</v>
      </c>
      <c r="G108" s="29">
        <v>11110</v>
      </c>
      <c r="H108" s="14">
        <f>IF(ISNUMBER(G108), (G108 - $B108) / $B108, "")</f>
        <v>2.7752081406105456E-2</v>
      </c>
      <c r="I108" s="100">
        <f>IF(ISNUMBER(G108), $B118 * H108, "")</f>
        <v>4162.8122109158185</v>
      </c>
      <c r="J108" s="13">
        <v>11100</v>
      </c>
      <c r="K108" s="14">
        <f>IF(ISNUMBER(J108), (J108 - $B108) / $B108, "")</f>
        <v>2.6827012025901941E-2</v>
      </c>
      <c r="L108" s="16">
        <f>IF(ISNUMBER(J108), $B118 * K108, "")</f>
        <v>4024.0518038852911</v>
      </c>
      <c r="M108" s="29">
        <v>11100</v>
      </c>
      <c r="N108" s="14">
        <f>IF(ISNUMBER(M108), (M108 - $B108) / $B108, "")</f>
        <v>2.6827012025901941E-2</v>
      </c>
      <c r="O108" s="16">
        <f>IF(ISNUMBER(M108), $B118 * N108, "")</f>
        <v>4024.0518038852911</v>
      </c>
      <c r="Q108" s="196"/>
      <c r="R108" s="197"/>
      <c r="S108" s="198"/>
    </row>
    <row r="109" spans="1:19" ht="17.25" thickBot="1">
      <c r="A109" s="125" t="s">
        <v>196</v>
      </c>
      <c r="B109" s="126">
        <v>23050</v>
      </c>
      <c r="C109" s="77">
        <v>7.5093283600000005E-2</v>
      </c>
      <c r="D109" s="15">
        <v>23150</v>
      </c>
      <c r="E109" s="32">
        <f t="shared" ref="E109:E112" si="54">IF(ISNUMBER(D109), (D109 - $B109) / $B109, "")</f>
        <v>4.3383947939262474E-3</v>
      </c>
      <c r="F109" s="18">
        <f>IF(ISNUMBER(D109), $B118 * E109, "")</f>
        <v>650.75921908893713</v>
      </c>
      <c r="G109" s="31">
        <v>22430</v>
      </c>
      <c r="H109" s="32">
        <f t="shared" ref="H109:H112" si="55">IF(ISNUMBER(G109), (G109 - $B109) / $B109, "")</f>
        <v>-2.6898047722342732E-2</v>
      </c>
      <c r="I109" s="101">
        <f>IF(ISNUMBER(G109), $B118 * H109, "")</f>
        <v>-4034.7071583514098</v>
      </c>
      <c r="J109" s="15">
        <v>22590</v>
      </c>
      <c r="K109" s="32">
        <f t="shared" ref="K109:K112" si="56">IF(ISNUMBER(J109), (J109 - $B109) / $B109, "")</f>
        <v>-1.9956616052060738E-2</v>
      </c>
      <c r="L109" s="18">
        <f>IF(ISNUMBER(J109), $B118 * K109, "")</f>
        <v>-2993.4924078091108</v>
      </c>
      <c r="M109" s="31">
        <v>22580</v>
      </c>
      <c r="N109" s="32">
        <f t="shared" ref="N109:N112" si="57">IF(ISNUMBER(M109), (M109 - $B109) / $B109, "")</f>
        <v>-2.0390455531453362E-2</v>
      </c>
      <c r="O109" s="18">
        <f>IF(ISNUMBER(M109), $B118 * N109, "")</f>
        <v>-3058.5683297180044</v>
      </c>
      <c r="Q109" s="199"/>
      <c r="R109" s="200"/>
      <c r="S109" s="201"/>
    </row>
    <row r="110" spans="1:19" ht="17.25" thickBot="1">
      <c r="A110" s="125" t="s">
        <v>120</v>
      </c>
      <c r="B110" s="126">
        <v>37.5</v>
      </c>
      <c r="C110" s="77">
        <v>6.5340909099999997E-2</v>
      </c>
      <c r="D110" s="15">
        <v>37.1</v>
      </c>
      <c r="E110" s="32">
        <f t="shared" si="54"/>
        <v>-1.0666666666666628E-2</v>
      </c>
      <c r="F110" s="18">
        <f>IF(ISNUMBER(D110), $B118 * E110, "")</f>
        <v>-1599.9999999999943</v>
      </c>
      <c r="G110" s="31">
        <v>36.700000000000003</v>
      </c>
      <c r="H110" s="32">
        <f t="shared" si="55"/>
        <v>-2.1333333333333256E-2</v>
      </c>
      <c r="I110" s="101">
        <f>IF(ISNUMBER(G110), $B118 * H110, "")</f>
        <v>-3199.9999999999886</v>
      </c>
      <c r="J110" s="15">
        <v>36.9</v>
      </c>
      <c r="K110" s="32">
        <f t="shared" si="56"/>
        <v>-1.6000000000000038E-2</v>
      </c>
      <c r="L110" s="18">
        <f>IF(ISNUMBER(J110), $B118 * K110, "")</f>
        <v>-2400.0000000000059</v>
      </c>
      <c r="M110" s="31">
        <v>37.1</v>
      </c>
      <c r="N110" s="32">
        <f t="shared" si="57"/>
        <v>-1.0666666666666628E-2</v>
      </c>
      <c r="O110" s="18">
        <f>IF(ISNUMBER(M110), $B118 * N110, "")</f>
        <v>-1599.9999999999943</v>
      </c>
      <c r="Q110" s="192"/>
      <c r="R110" s="192"/>
      <c r="S110" s="192"/>
    </row>
    <row r="111" spans="1:19" ht="17.25" thickBot="1">
      <c r="A111" s="125" t="s">
        <v>252</v>
      </c>
      <c r="B111" s="126">
        <v>398</v>
      </c>
      <c r="C111" s="77">
        <v>6.4171122999999997E-2</v>
      </c>
      <c r="D111" s="15">
        <v>402</v>
      </c>
      <c r="E111" s="32">
        <f t="shared" si="54"/>
        <v>1.0050251256281407E-2</v>
      </c>
      <c r="F111" s="18">
        <f>IF(ISNUMBER(D111), $B118 * E111, "")</f>
        <v>1507.537688442211</v>
      </c>
      <c r="G111" s="31">
        <v>402</v>
      </c>
      <c r="H111" s="32">
        <f t="shared" si="55"/>
        <v>1.0050251256281407E-2</v>
      </c>
      <c r="I111" s="101">
        <f>IF(ISNUMBER(G111), $B118 * H111, "")</f>
        <v>1507.537688442211</v>
      </c>
      <c r="J111" s="15">
        <v>400</v>
      </c>
      <c r="K111" s="32">
        <f t="shared" si="56"/>
        <v>5.0251256281407036E-3</v>
      </c>
      <c r="L111" s="18">
        <f>IF(ISNUMBER(J111), $B118 * K111, "")</f>
        <v>753.7688442211055</v>
      </c>
      <c r="M111" s="31">
        <v>402</v>
      </c>
      <c r="N111" s="32">
        <f t="shared" si="57"/>
        <v>1.0050251256281407E-2</v>
      </c>
      <c r="O111" s="18">
        <f>IF(ISNUMBER(M111), $B118 * N111, "")</f>
        <v>1507.537688442211</v>
      </c>
      <c r="Q111" s="202"/>
      <c r="R111" s="202"/>
      <c r="S111" s="202"/>
    </row>
    <row r="112" spans="1:19" ht="17.25" thickBot="1">
      <c r="A112" s="127" t="s">
        <v>126</v>
      </c>
      <c r="B112" s="128">
        <v>139</v>
      </c>
      <c r="C112" s="78">
        <v>6.10687023E-2</v>
      </c>
      <c r="D112" s="20">
        <v>137</v>
      </c>
      <c r="E112" s="21">
        <f t="shared" si="54"/>
        <v>-1.4388489208633094E-2</v>
      </c>
      <c r="F112" s="22">
        <f>IF(ISNUMBER(D112), $B118 * E112, "")</f>
        <v>-2158.2733812949641</v>
      </c>
      <c r="G112" s="30">
        <v>134</v>
      </c>
      <c r="H112" s="21">
        <f t="shared" si="55"/>
        <v>-3.5971223021582732E-2</v>
      </c>
      <c r="I112" s="105">
        <f>IF(ISNUMBER(G112), $B118 * H112, "")</f>
        <v>-5395.6834532374096</v>
      </c>
      <c r="J112" s="20">
        <v>135</v>
      </c>
      <c r="K112" s="21">
        <f t="shared" si="56"/>
        <v>-2.8776978417266189E-2</v>
      </c>
      <c r="L112" s="22">
        <f>IF(ISNUMBER(J112), $B118 * K112, "")</f>
        <v>-4316.5467625899282</v>
      </c>
      <c r="M112" s="30">
        <v>136</v>
      </c>
      <c r="N112" s="21">
        <f t="shared" si="57"/>
        <v>-2.1582733812949641E-2</v>
      </c>
      <c r="O112" s="22">
        <f>IF(ISNUMBER(M112), $B118 * N112, "")</f>
        <v>-3237.4100719424464</v>
      </c>
      <c r="Q112" s="202"/>
      <c r="R112" s="202"/>
      <c r="S112" s="202"/>
    </row>
    <row r="113" spans="1:19" ht="17.25" thickBot="1">
      <c r="A113" s="125" t="s">
        <v>170</v>
      </c>
      <c r="B113" s="129">
        <v>4085</v>
      </c>
      <c r="C113" s="80">
        <v>5.9662775600000002E-2</v>
      </c>
      <c r="D113" s="106">
        <v>4125</v>
      </c>
      <c r="E113" s="107">
        <f>IF(ISNUMBER(D113), (D113 - $B113) / $B113, "")</f>
        <v>9.7919216646266821E-3</v>
      </c>
      <c r="F113" s="108">
        <f>IF(ISNUMBER(D113), $B118 * E113, "")</f>
        <v>1468.7882496940024</v>
      </c>
      <c r="G113" s="109">
        <v>3975</v>
      </c>
      <c r="H113" s="107">
        <f>IF(ISNUMBER(G113), (G113 - $B113) / $B113, "")</f>
        <v>-2.6927784577723379E-2</v>
      </c>
      <c r="I113" s="110">
        <f>IF(ISNUMBER(G113), $B118 * H113, "")</f>
        <v>-4039.1676866585067</v>
      </c>
      <c r="J113" s="106">
        <v>4005</v>
      </c>
      <c r="K113" s="107">
        <f>IF(ISNUMBER(J113), (J113 - $B113) / $B113, "")</f>
        <v>-1.9583843329253364E-2</v>
      </c>
      <c r="L113" s="108">
        <f>IF(ISNUMBER(J113), $B118 * K113, "")</f>
        <v>-2937.5764993880048</v>
      </c>
      <c r="M113" s="109">
        <v>4010</v>
      </c>
      <c r="N113" s="107">
        <f>IF(ISNUMBER(M113), (M113 - $B113) / $B113, "")</f>
        <v>-1.8359853121175031E-2</v>
      </c>
      <c r="O113" s="108">
        <f>IF(ISNUMBER(M113), $B118 * N113, "")</f>
        <v>-2753.9779681762548</v>
      </c>
      <c r="Q113" s="192"/>
      <c r="R113" s="192"/>
      <c r="S113" s="192"/>
    </row>
    <row r="114" spans="1:19" ht="17.25" thickBot="1">
      <c r="A114" s="125" t="s">
        <v>100</v>
      </c>
      <c r="B114" s="126">
        <v>66350</v>
      </c>
      <c r="C114" s="77">
        <v>5.51844784E-2</v>
      </c>
      <c r="D114" s="15">
        <v>65420</v>
      </c>
      <c r="E114" s="32">
        <f t="shared" ref="E114:E117" si="58">IF(ISNUMBER(D114), (D114 - $B114) / $B114, "")</f>
        <v>-1.4016578749058026E-2</v>
      </c>
      <c r="F114" s="18">
        <f>IF(ISNUMBER(D114), $B118 * E114, "")</f>
        <v>-2102.4868123587039</v>
      </c>
      <c r="G114" s="31">
        <v>64560</v>
      </c>
      <c r="H114" s="32">
        <f t="shared" ref="H114:H117" si="59">IF(ISNUMBER(G114), (G114 - $B114) / $B114, "")</f>
        <v>-2.697814619442351E-2</v>
      </c>
      <c r="I114" s="101">
        <f>IF(ISNUMBER(G114), $B118 * H114, "")</f>
        <v>-4046.7219291635265</v>
      </c>
      <c r="J114" s="15">
        <v>65450</v>
      </c>
      <c r="K114" s="32">
        <f t="shared" ref="K114:K117" si="60">IF(ISNUMBER(J114), (J114 - $B114) / $B114, "")</f>
        <v>-1.3564431047475508E-2</v>
      </c>
      <c r="L114" s="18">
        <f>IF(ISNUMBER(J114), $B118 * K114, "")</f>
        <v>-2034.6646571213262</v>
      </c>
      <c r="M114" s="31">
        <v>65610</v>
      </c>
      <c r="N114" s="32">
        <f t="shared" ref="N114:N117" si="61">IF(ISNUMBER(M114), (M114 - $B114) / $B114, "")</f>
        <v>-1.1152976639035419E-2</v>
      </c>
      <c r="O114" s="18">
        <f>IF(ISNUMBER(M114), $B118 * N114, "")</f>
        <v>-1672.9464958553128</v>
      </c>
      <c r="Q114" s="192"/>
      <c r="R114" s="192"/>
      <c r="S114" s="192"/>
    </row>
    <row r="115" spans="1:19" ht="17.25" thickBot="1">
      <c r="A115" s="125" t="s">
        <v>92</v>
      </c>
      <c r="B115" s="126">
        <v>72740</v>
      </c>
      <c r="C115" s="77">
        <v>5.2524960199999998E-2</v>
      </c>
      <c r="D115" s="15">
        <v>71100</v>
      </c>
      <c r="E115" s="32">
        <f t="shared" si="58"/>
        <v>-2.2546054440472918E-2</v>
      </c>
      <c r="F115" s="18">
        <f>IF(ISNUMBER(D115), $B118 * E115, "")</f>
        <v>-3381.9081660709376</v>
      </c>
      <c r="G115" s="31">
        <v>70100</v>
      </c>
      <c r="H115" s="32">
        <f t="shared" si="59"/>
        <v>-3.6293648611492986E-2</v>
      </c>
      <c r="I115" s="101">
        <f>IF(ISNUMBER(G115), $B118 * H115, "")</f>
        <v>-5444.0472917239476</v>
      </c>
      <c r="J115" s="15">
        <v>71440</v>
      </c>
      <c r="K115" s="32">
        <f t="shared" si="60"/>
        <v>-1.7871872422326091E-2</v>
      </c>
      <c r="L115" s="18">
        <f>IF(ISNUMBER(J115), $B118 * K115, "")</f>
        <v>-2680.7808633489135</v>
      </c>
      <c r="M115" s="31">
        <v>71610</v>
      </c>
      <c r="N115" s="32">
        <f t="shared" si="61"/>
        <v>-1.5534781413252681E-2</v>
      </c>
      <c r="O115" s="18">
        <f>IF(ISNUMBER(M115), $B118 * N115, "")</f>
        <v>-2330.2172119879024</v>
      </c>
      <c r="Q115" s="192"/>
      <c r="R115" s="192"/>
      <c r="S115" s="192"/>
    </row>
    <row r="116" spans="1:19">
      <c r="A116" s="125" t="s">
        <v>168</v>
      </c>
      <c r="B116" s="126">
        <v>29490</v>
      </c>
      <c r="C116" s="77">
        <v>5.1711840199999998E-2</v>
      </c>
      <c r="D116" s="15">
        <v>28820</v>
      </c>
      <c r="E116" s="32">
        <f t="shared" si="58"/>
        <v>-2.2719565954560868E-2</v>
      </c>
      <c r="F116" s="18">
        <f>IF(ISNUMBER(D116), $B118 * E116, "")</f>
        <v>-3407.9348931841305</v>
      </c>
      <c r="G116" s="31">
        <v>28520</v>
      </c>
      <c r="H116" s="32">
        <f t="shared" si="59"/>
        <v>-3.2892505934214986E-2</v>
      </c>
      <c r="I116" s="101">
        <f>IF(ISNUMBER(G116), $B118 * H116, "")</f>
        <v>-4933.8758901322481</v>
      </c>
      <c r="J116" s="15">
        <v>28690</v>
      </c>
      <c r="K116" s="32">
        <f t="shared" si="60"/>
        <v>-2.712783994574432E-2</v>
      </c>
      <c r="L116" s="18">
        <f>IF(ISNUMBER(J116), $B118 * K116, "")</f>
        <v>-4069.1759918616481</v>
      </c>
      <c r="M116" s="31">
        <v>28670</v>
      </c>
      <c r="N116" s="32">
        <f t="shared" si="61"/>
        <v>-2.7806035944387929E-2</v>
      </c>
      <c r="O116" s="18">
        <f>IF(ISNUMBER(M116), $B118 * N116, "")</f>
        <v>-4170.9053916581897</v>
      </c>
      <c r="Q116" s="181"/>
      <c r="R116" s="182"/>
      <c r="S116" s="183"/>
    </row>
    <row r="117" spans="1:19" ht="17.25" thickBot="1">
      <c r="A117" s="130" t="s">
        <v>118</v>
      </c>
      <c r="B117" s="131">
        <v>4140</v>
      </c>
      <c r="C117" s="79">
        <v>5.0761421299999998E-2</v>
      </c>
      <c r="D117" s="24">
        <v>4105</v>
      </c>
      <c r="E117" s="25">
        <f t="shared" si="58"/>
        <v>-8.4541062801932361E-3</v>
      </c>
      <c r="F117" s="104">
        <f>IF(ISNUMBER(D117), $B118 * E117, "")</f>
        <v>-1268.1159420289855</v>
      </c>
      <c r="G117" s="102">
        <v>4010</v>
      </c>
      <c r="H117" s="25">
        <f t="shared" si="59"/>
        <v>-3.140096618357488E-2</v>
      </c>
      <c r="I117" s="103">
        <f>IF(ISNUMBER(G117), $B118 * H117, "")</f>
        <v>-4710.144927536232</v>
      </c>
      <c r="J117" s="24">
        <v>4015</v>
      </c>
      <c r="K117" s="25">
        <f t="shared" si="60"/>
        <v>-3.0193236714975844E-2</v>
      </c>
      <c r="L117" s="104">
        <f>IF(ISNUMBER(J117), $B118 * K117, "")</f>
        <v>-4528.985507246377</v>
      </c>
      <c r="M117" s="102">
        <v>4035</v>
      </c>
      <c r="N117" s="25">
        <f t="shared" si="61"/>
        <v>-2.5362318840579712E-2</v>
      </c>
      <c r="O117" s="104">
        <f>IF(ISNUMBER(M117), $B118 * N117, "")</f>
        <v>-3804.347826086957</v>
      </c>
      <c r="Q117" s="184"/>
      <c r="R117" s="185"/>
      <c r="S117" s="186"/>
    </row>
    <row r="118" spans="1:19" ht="17.25" thickBot="1">
      <c r="A118" s="132" t="s">
        <v>268</v>
      </c>
      <c r="B118" s="245">
        <f>$B$37</f>
        <v>150000</v>
      </c>
      <c r="C118" s="246"/>
      <c r="D118" s="26" t="s">
        <v>269</v>
      </c>
      <c r="E118" s="27">
        <f>IF(COUNT(E98:E117), SUM(E98:E117) / COUNT(E98:E117), 0)</f>
        <v>1.6459020164888989E-2</v>
      </c>
      <c r="F118" s="28">
        <f>SUM(F98:F117)</f>
        <v>49377.060494666948</v>
      </c>
      <c r="G118" s="26" t="s">
        <v>269</v>
      </c>
      <c r="H118" s="27">
        <f>IF(COUNT(H98:H117), SUM(H98:H117) / COUNT(H98:H117), 0)</f>
        <v>5.8915212677820693E-3</v>
      </c>
      <c r="I118" s="28">
        <f>SUM(I98:I117)</f>
        <v>17674.563803346206</v>
      </c>
      <c r="J118" s="26" t="s">
        <v>269</v>
      </c>
      <c r="K118" s="27">
        <f>IF(COUNT(K98:K117), SUM(K98:K117) / COUNT(K98:K117), 0)</f>
        <v>9.4098782559313993E-3</v>
      </c>
      <c r="L118" s="28">
        <f>SUM(L98:L117)</f>
        <v>28229.634767794178</v>
      </c>
      <c r="M118" s="26" t="s">
        <v>269</v>
      </c>
      <c r="N118" s="27">
        <f>IF(COUNT(N98:N117), SUM(N98:N117) / COUNT(N98:N117), 0)</f>
        <v>7.2988916073200294E-3</v>
      </c>
      <c r="O118" s="28">
        <f>SUM(O98:O117)</f>
        <v>21896.674821960089</v>
      </c>
      <c r="Q118" s="187"/>
      <c r="R118" s="188"/>
      <c r="S118" s="189"/>
    </row>
    <row r="120" spans="1:19" ht="17.25" thickBot="1"/>
    <row r="121" spans="1:19" ht="17.25" thickBot="1">
      <c r="A121" s="203" t="s">
        <v>256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65" t="s">
        <v>265</v>
      </c>
      <c r="B122" s="203" t="s">
        <v>49</v>
      </c>
      <c r="C122" s="205"/>
      <c r="D122" s="203" t="s">
        <v>58</v>
      </c>
      <c r="E122" s="204"/>
      <c r="F122" s="205"/>
      <c r="G122" s="206">
        <f>_xlfn.IFNA(VLOOKUP(B122, 현재가테이블!$B$2:$D$200, 2, FALSE), "-")</f>
        <v>62630000</v>
      </c>
      <c r="H122" s="207"/>
      <c r="I122" s="208"/>
      <c r="J122" s="203" t="s">
        <v>59</v>
      </c>
      <c r="K122" s="204"/>
      <c r="L122" s="205"/>
      <c r="M122" s="209">
        <f>_xlfn.IFNA(VLOOKUP(B122, 현재가테이블!$B$2:$D$200, 3, FALSE), "-")</f>
        <v>1.5632601400000001E-2</v>
      </c>
      <c r="N122" s="210"/>
      <c r="O122" s="211"/>
      <c r="Q122" s="202"/>
      <c r="R122" s="202"/>
      <c r="S122" s="202"/>
    </row>
    <row r="123" spans="1:19" ht="17.25" thickBot="1">
      <c r="A123" s="247" t="s">
        <v>55</v>
      </c>
      <c r="B123" s="243" t="str">
        <f>TEXT($G$1, "[$-ko-KR]yyyy-mm-dd(ddd) ") &amp; "오전 00:00"</f>
        <v>2021-10-03(일) 오전 00:00</v>
      </c>
      <c r="C123" s="244"/>
      <c r="D123" s="216" t="str">
        <f>TEXT($G$1, "[$-ko-KR]yyyy-mm-dd(ddd) ") &amp; "오후 14:00"</f>
        <v>2021-10-03(일) 오후 14:00</v>
      </c>
      <c r="E123" s="217"/>
      <c r="F123" s="218"/>
      <c r="G123" s="216" t="str">
        <f>TEXT($G$1, "[$-ko-KR]yyyy-mm-dd(ddd) ") &amp; "오후 19:00"</f>
        <v>2021-10-03(일) 오후 19:00</v>
      </c>
      <c r="H123" s="217"/>
      <c r="I123" s="218"/>
      <c r="J123" s="216" t="str">
        <f>TEXT($G$1, "[$-ko-KR]yyyy-mm-dd(ddd) ") &amp; "오후 21:00"</f>
        <v>2021-10-03(일) 오후 21:00</v>
      </c>
      <c r="K123" s="217"/>
      <c r="L123" s="218"/>
      <c r="M123" s="216" t="str">
        <f>TEXT($G$1+1, "[$-ko-KR]yyyy-mm-dd(ddd) ") &amp; "오전 00:00"</f>
        <v>2021-10-04(월) 오전 00:00</v>
      </c>
      <c r="N123" s="217"/>
      <c r="O123" s="218"/>
      <c r="Q123" s="202"/>
      <c r="R123" s="202"/>
      <c r="S123" s="202"/>
    </row>
    <row r="124" spans="1:19" ht="17.25" thickBot="1">
      <c r="A124" s="24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6" t="s">
        <v>58</v>
      </c>
      <c r="H124" s="167" t="s">
        <v>266</v>
      </c>
      <c r="I124" s="16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192"/>
      <c r="R124" s="192"/>
      <c r="S124" s="192"/>
    </row>
    <row r="125" spans="1:19" ht="17.25" thickBot="1">
      <c r="A125" s="123" t="s">
        <v>120</v>
      </c>
      <c r="B125" s="124">
        <v>37.5</v>
      </c>
      <c r="C125" s="76">
        <v>6.5340909099999997E-2</v>
      </c>
      <c r="D125" s="13">
        <v>37.1</v>
      </c>
      <c r="E125" s="14">
        <f>IF(ISNUMBER(D125), (D125 - $B125) / $B125, "")</f>
        <v>-1.0666666666666628E-2</v>
      </c>
      <c r="F125" s="16">
        <f>IF(ISNUMBER(D125), $B145 * E125, "")</f>
        <v>-1599.9999999999943</v>
      </c>
      <c r="G125" s="29">
        <v>36.700000000000003</v>
      </c>
      <c r="H125" s="14">
        <f>IF(ISNUMBER(G125), (G125 - $B125) / $B125, "")</f>
        <v>-2.1333333333333256E-2</v>
      </c>
      <c r="I125" s="100">
        <f>IF(ISNUMBER(G125), $B145 * H125, "")</f>
        <v>-3199.9999999999886</v>
      </c>
      <c r="J125" s="13">
        <v>36.9</v>
      </c>
      <c r="K125" s="14">
        <f>IF(ISNUMBER(J125), (J125 - $B125) / $B125, "")</f>
        <v>-1.6000000000000038E-2</v>
      </c>
      <c r="L125" s="16">
        <f>IF(ISNUMBER(J125), $B145 * K125, "")</f>
        <v>-2400.0000000000059</v>
      </c>
      <c r="M125" s="29">
        <v>37.1</v>
      </c>
      <c r="N125" s="14">
        <f>IF(ISNUMBER(M125), (M125 - $B125) / $B125, "")</f>
        <v>-1.0666666666666628E-2</v>
      </c>
      <c r="O125" s="16">
        <f>IF(ISNUMBER(M125), $B145 * N125, "")</f>
        <v>-1599.9999999999943</v>
      </c>
      <c r="Q125" s="202"/>
      <c r="R125" s="202"/>
      <c r="S125" s="202"/>
    </row>
    <row r="126" spans="1:19" ht="17.25" thickBot="1">
      <c r="A126" s="125" t="s">
        <v>188</v>
      </c>
      <c r="B126" s="126">
        <v>16.899999999999999</v>
      </c>
      <c r="C126" s="77">
        <v>4.3209876500000001E-2</v>
      </c>
      <c r="D126" s="15">
        <v>16.7</v>
      </c>
      <c r="E126" s="32">
        <f t="shared" ref="E126:E129" si="62">IF(ISNUMBER(D126), (D126 - $B126) / $B126, "")</f>
        <v>-1.1834319526627177E-2</v>
      </c>
      <c r="F126" s="18">
        <f>IF(ISNUMBER(D126), $B145 * E126, "")</f>
        <v>-1775.1479289940767</v>
      </c>
      <c r="G126" s="31">
        <v>16.399999999999999</v>
      </c>
      <c r="H126" s="32">
        <f t="shared" ref="H126:H129" si="63">IF(ISNUMBER(G126), (G126 - $B126) / $B126, "")</f>
        <v>-2.9585798816568049E-2</v>
      </c>
      <c r="I126" s="101">
        <f>IF(ISNUMBER(G126), $B145 * H126, "")</f>
        <v>-4437.8698224852078</v>
      </c>
      <c r="J126" s="15">
        <v>16.399999999999999</v>
      </c>
      <c r="K126" s="32">
        <f t="shared" ref="K126:K129" si="64">IF(ISNUMBER(J126), (J126 - $B126) / $B126, "")</f>
        <v>-2.9585798816568049E-2</v>
      </c>
      <c r="L126" s="18">
        <f>IF(ISNUMBER(J126), $B145 * K126, "")</f>
        <v>-4437.8698224852078</v>
      </c>
      <c r="M126" s="31">
        <v>16.5</v>
      </c>
      <c r="N126" s="32">
        <f t="shared" ref="N126:N129" si="65">IF(ISNUMBER(M126), (M126 - $B126) / $B126, "")</f>
        <v>-2.3668639053254354E-2</v>
      </c>
      <c r="O126" s="18">
        <f>IF(ISNUMBER(M126), $B145 * N126, "")</f>
        <v>-3550.2958579881533</v>
      </c>
      <c r="Q126" s="202"/>
      <c r="R126" s="202"/>
      <c r="S126" s="202"/>
    </row>
    <row r="127" spans="1:19" ht="17.25" thickBot="1">
      <c r="A127" s="125" t="s">
        <v>214</v>
      </c>
      <c r="B127" s="126">
        <v>10.8</v>
      </c>
      <c r="C127" s="77">
        <v>3.8461538500000003E-2</v>
      </c>
      <c r="D127" s="15">
        <v>10.9</v>
      </c>
      <c r="E127" s="32">
        <f t="shared" si="62"/>
        <v>9.2592592592592258E-3</v>
      </c>
      <c r="F127" s="18">
        <f>IF(ISNUMBER(D127), $B145 * E127, "")</f>
        <v>1388.8888888888839</v>
      </c>
      <c r="G127" s="31">
        <v>11.2</v>
      </c>
      <c r="H127" s="32">
        <f t="shared" si="63"/>
        <v>3.7037037037036903E-2</v>
      </c>
      <c r="I127" s="101">
        <f>IF(ISNUMBER(G127), $B145 * H127, "")</f>
        <v>5555.5555555555356</v>
      </c>
      <c r="J127" s="15">
        <v>11</v>
      </c>
      <c r="K127" s="32">
        <f t="shared" si="64"/>
        <v>1.8518518518518452E-2</v>
      </c>
      <c r="L127" s="18">
        <f>IF(ISNUMBER(J127), $B145 * K127, "")</f>
        <v>2777.7777777777678</v>
      </c>
      <c r="M127" s="31">
        <v>11</v>
      </c>
      <c r="N127" s="32">
        <f t="shared" si="65"/>
        <v>1.8518518518518452E-2</v>
      </c>
      <c r="O127" s="18">
        <f>IF(ISNUMBER(M127), $B145 * N127, "")</f>
        <v>2777.7777777777678</v>
      </c>
      <c r="Q127" s="192"/>
      <c r="R127" s="192"/>
      <c r="S127" s="192"/>
    </row>
    <row r="128" spans="1:19" ht="17.25" thickBot="1">
      <c r="A128" s="125" t="s">
        <v>72</v>
      </c>
      <c r="B128" s="126">
        <v>23.9</v>
      </c>
      <c r="C128" s="77">
        <v>3.0172413799999999E-2</v>
      </c>
      <c r="D128" s="15">
        <v>23.6</v>
      </c>
      <c r="E128" s="32">
        <f t="shared" si="62"/>
        <v>-1.2552301255230007E-2</v>
      </c>
      <c r="F128" s="18">
        <f>IF(ISNUMBER(D128), $B145 * E128, "")</f>
        <v>-1882.8451882845011</v>
      </c>
      <c r="G128" s="31">
        <v>23.4</v>
      </c>
      <c r="H128" s="32">
        <f t="shared" si="63"/>
        <v>-2.0920502092050212E-2</v>
      </c>
      <c r="I128" s="101">
        <f>IF(ISNUMBER(G128), $B145 * H128, "")</f>
        <v>-3138.075313807532</v>
      </c>
      <c r="J128" s="15">
        <v>23.5</v>
      </c>
      <c r="K128" s="32">
        <f t="shared" si="64"/>
        <v>-1.673640167364011E-2</v>
      </c>
      <c r="L128" s="18">
        <f>IF(ISNUMBER(J128), $B145 * K128, "")</f>
        <v>-2510.4602510460168</v>
      </c>
      <c r="M128" s="31">
        <v>23.7</v>
      </c>
      <c r="N128" s="32">
        <f t="shared" si="65"/>
        <v>-8.3682008368200552E-3</v>
      </c>
      <c r="O128" s="18">
        <f>IF(ISNUMBER(M128), $B145 * N128, "")</f>
        <v>-1255.2301255230084</v>
      </c>
      <c r="Q128" s="192"/>
      <c r="R128" s="192"/>
      <c r="S128" s="192"/>
    </row>
    <row r="129" spans="1:19" ht="17.25" thickBot="1">
      <c r="A129" s="127" t="s">
        <v>146</v>
      </c>
      <c r="B129" s="128">
        <v>20</v>
      </c>
      <c r="C129" s="78">
        <v>2.0408163300000001E-2</v>
      </c>
      <c r="D129" s="20">
        <v>19.8</v>
      </c>
      <c r="E129" s="21">
        <f t="shared" si="62"/>
        <v>-9.9999999999999638E-3</v>
      </c>
      <c r="F129" s="22">
        <f>IF(ISNUMBER(D129), $B145 * E129, "")</f>
        <v>-1499.9999999999945</v>
      </c>
      <c r="G129" s="30">
        <v>19.5</v>
      </c>
      <c r="H129" s="21">
        <f t="shared" si="63"/>
        <v>-2.5000000000000001E-2</v>
      </c>
      <c r="I129" s="105">
        <f>IF(ISNUMBER(G129), $B145 * H129, "")</f>
        <v>-3750</v>
      </c>
      <c r="J129" s="20">
        <v>19.8</v>
      </c>
      <c r="K129" s="21">
        <f t="shared" si="64"/>
        <v>-9.9999999999999638E-3</v>
      </c>
      <c r="L129" s="22">
        <f>IF(ISNUMBER(J129), $B145 * K129, "")</f>
        <v>-1499.9999999999945</v>
      </c>
      <c r="M129" s="30">
        <v>19.899999999999999</v>
      </c>
      <c r="N129" s="21">
        <f t="shared" si="65"/>
        <v>-5.0000000000000712E-3</v>
      </c>
      <c r="O129" s="22">
        <f>IF(ISNUMBER(M129), $B145 * N129, "")</f>
        <v>-750.00000000001069</v>
      </c>
      <c r="Q129" s="192"/>
      <c r="R129" s="192"/>
      <c r="S129" s="192"/>
    </row>
    <row r="130" spans="1:19" ht="17.25" thickBot="1">
      <c r="A130" s="125" t="s">
        <v>200</v>
      </c>
      <c r="B130" s="129">
        <v>79.400000000000006</v>
      </c>
      <c r="C130" s="80">
        <v>1.7948717900000001E-2</v>
      </c>
      <c r="D130" s="106">
        <v>79.099999999999994</v>
      </c>
      <c r="E130" s="107">
        <f>IF(ISNUMBER(D130), (D130 - $B130) / $B130, "")</f>
        <v>-3.7783375314862891E-3</v>
      </c>
      <c r="F130" s="108">
        <f>IF(ISNUMBER(D130), $B145 * E130, "")</f>
        <v>-566.75062972294336</v>
      </c>
      <c r="G130" s="109">
        <v>77.3</v>
      </c>
      <c r="H130" s="107">
        <f>IF(ISNUMBER(G130), (G130 - $B130) / $B130, "")</f>
        <v>-2.6448362720403129E-2</v>
      </c>
      <c r="I130" s="110">
        <f>IF(ISNUMBER(G130), $B145 * H130, "")</f>
        <v>-3967.2544080604694</v>
      </c>
      <c r="J130" s="106">
        <v>77.599999999999994</v>
      </c>
      <c r="K130" s="107">
        <f>IF(ISNUMBER(J130), (J130 - $B130) / $B130, "")</f>
        <v>-2.2670025188917017E-2</v>
      </c>
      <c r="L130" s="108">
        <f>IF(ISNUMBER(J130), $B145 * K130, "")</f>
        <v>-3400.5037783375524</v>
      </c>
      <c r="M130" s="109">
        <v>77.900000000000006</v>
      </c>
      <c r="N130" s="107">
        <f>IF(ISNUMBER(M130), (M130 - $B130) / $B130, "")</f>
        <v>-1.8891687657430729E-2</v>
      </c>
      <c r="O130" s="108">
        <f>IF(ISNUMBER(M130), $B145 * N130, "")</f>
        <v>-2833.7531486146095</v>
      </c>
      <c r="Q130" s="192"/>
      <c r="R130" s="192"/>
      <c r="S130" s="192"/>
    </row>
    <row r="131" spans="1:19" ht="17.25" thickBot="1">
      <c r="A131" s="125" t="s">
        <v>148</v>
      </c>
      <c r="B131" s="126">
        <v>11.8</v>
      </c>
      <c r="C131" s="77">
        <v>1.7241379300000002E-2</v>
      </c>
      <c r="D131" s="15">
        <v>11.6</v>
      </c>
      <c r="E131" s="32">
        <f t="shared" ref="E131:E134" si="66">IF(ISNUMBER(D131), (D131 - $B131) / $B131, "")</f>
        <v>-1.6949152542372972E-2</v>
      </c>
      <c r="F131" s="18">
        <f>IF(ISNUMBER(D131), $B145 * E131, "")</f>
        <v>-2542.3728813559455</v>
      </c>
      <c r="G131" s="31">
        <v>11.6</v>
      </c>
      <c r="H131" s="32">
        <f t="shared" ref="H131:H134" si="67">IF(ISNUMBER(G131), (G131 - $B131) / $B131, "")</f>
        <v>-1.6949152542372972E-2</v>
      </c>
      <c r="I131" s="101">
        <f>IF(ISNUMBER(G131), $B145 * H131, "")</f>
        <v>-2542.3728813559455</v>
      </c>
      <c r="J131" s="15">
        <v>11.6</v>
      </c>
      <c r="K131" s="32">
        <f t="shared" ref="K131:K134" si="68">IF(ISNUMBER(J131), (J131 - $B131) / $B131, "")</f>
        <v>-1.6949152542372972E-2</v>
      </c>
      <c r="L131" s="18">
        <f>IF(ISNUMBER(J131), $B145 * K131, "")</f>
        <v>-2542.3728813559455</v>
      </c>
      <c r="M131" s="31">
        <v>11.6</v>
      </c>
      <c r="N131" s="32">
        <f t="shared" ref="N131:N134" si="69">IF(ISNUMBER(M131), (M131 - $B131) / $B131, "")</f>
        <v>-1.6949152542372972E-2</v>
      </c>
      <c r="O131" s="18">
        <f>IF(ISNUMBER(M131), $B145 * N131, "")</f>
        <v>-2542.3728813559455</v>
      </c>
      <c r="Q131" s="192"/>
      <c r="R131" s="192"/>
      <c r="S131" s="192"/>
    </row>
    <row r="132" spans="1:19" ht="17.25" thickBot="1">
      <c r="A132" s="125" t="s">
        <v>98</v>
      </c>
      <c r="B132" s="126">
        <v>4.22</v>
      </c>
      <c r="C132" s="77">
        <v>1.6867469900000001E-2</v>
      </c>
      <c r="D132" s="15">
        <v>4.22</v>
      </c>
      <c r="E132" s="32">
        <f t="shared" si="66"/>
        <v>0</v>
      </c>
      <c r="F132" s="18">
        <f>IF(ISNUMBER(D132), $B145 * E132, "")</f>
        <v>0</v>
      </c>
      <c r="G132" s="31">
        <v>4.16</v>
      </c>
      <c r="H132" s="32">
        <f t="shared" si="67"/>
        <v>-1.4218009478672893E-2</v>
      </c>
      <c r="I132" s="101">
        <f>IF(ISNUMBER(G132), $B145 * H132, "")</f>
        <v>-2132.701421800934</v>
      </c>
      <c r="J132" s="15">
        <v>4.2</v>
      </c>
      <c r="K132" s="32">
        <f t="shared" si="68"/>
        <v>-4.7393364928908941E-3</v>
      </c>
      <c r="L132" s="18">
        <f>IF(ISNUMBER(J132), $B145 * K132, "")</f>
        <v>-710.90047393363409</v>
      </c>
      <c r="M132" s="31">
        <v>4.22</v>
      </c>
      <c r="N132" s="32">
        <f t="shared" si="69"/>
        <v>0</v>
      </c>
      <c r="O132" s="18">
        <f>IF(ISNUMBER(M132), $B145 * N132, "")</f>
        <v>0</v>
      </c>
      <c r="Q132" s="192"/>
      <c r="R132" s="192"/>
      <c r="S132" s="192"/>
    </row>
    <row r="133" spans="1:19" ht="17.25" thickBot="1">
      <c r="A133" s="125" t="s">
        <v>208</v>
      </c>
      <c r="B133" s="126">
        <v>13.6</v>
      </c>
      <c r="C133" s="77">
        <v>1.49253731E-2</v>
      </c>
      <c r="D133" s="15">
        <v>13.4</v>
      </c>
      <c r="E133" s="32">
        <f t="shared" si="66"/>
        <v>-1.4705882352941124E-2</v>
      </c>
      <c r="F133" s="18">
        <f>IF(ISNUMBER(D133), $B145 * E133, "")</f>
        <v>-2205.8823529411688</v>
      </c>
      <c r="G133" s="31">
        <v>13.3</v>
      </c>
      <c r="H133" s="32">
        <f t="shared" si="67"/>
        <v>-2.2058823529411686E-2</v>
      </c>
      <c r="I133" s="101">
        <f>IF(ISNUMBER(G133), $B145 * H133, "")</f>
        <v>-3308.823529411753</v>
      </c>
      <c r="J133" s="15">
        <v>13.3</v>
      </c>
      <c r="K133" s="32">
        <f t="shared" si="68"/>
        <v>-2.2058823529411686E-2</v>
      </c>
      <c r="L133" s="18">
        <f>IF(ISNUMBER(J133), $B145 * K133, "")</f>
        <v>-3308.823529411753</v>
      </c>
      <c r="M133" s="31">
        <v>13.5</v>
      </c>
      <c r="N133" s="32">
        <f t="shared" si="69"/>
        <v>-7.3529411764705621E-3</v>
      </c>
      <c r="O133" s="18">
        <f>IF(ISNUMBER(M133), $B145 * N133, "")</f>
        <v>-1102.9411764705844</v>
      </c>
      <c r="Q133" s="33"/>
      <c r="R133" s="33"/>
    </row>
    <row r="134" spans="1:19" ht="17.25" thickBot="1">
      <c r="A134" s="130" t="s">
        <v>248</v>
      </c>
      <c r="B134" s="131">
        <v>84.3</v>
      </c>
      <c r="C134" s="79">
        <v>9.5808383E-3</v>
      </c>
      <c r="D134" s="24">
        <v>84.8</v>
      </c>
      <c r="E134" s="25">
        <f t="shared" si="66"/>
        <v>5.9311981020166073E-3</v>
      </c>
      <c r="F134" s="104">
        <f>IF(ISNUMBER(D134), $B145 * E134, "")</f>
        <v>889.6797153024911</v>
      </c>
      <c r="G134" s="102">
        <v>84.3</v>
      </c>
      <c r="H134" s="25">
        <f t="shared" si="67"/>
        <v>0</v>
      </c>
      <c r="I134" s="103">
        <f>IF(ISNUMBER(G134), $B145 * H134, "")</f>
        <v>0</v>
      </c>
      <c r="J134" s="24">
        <v>84.6</v>
      </c>
      <c r="K134" s="25">
        <f t="shared" si="68"/>
        <v>3.5587188612099308E-3</v>
      </c>
      <c r="L134" s="104">
        <f>IF(ISNUMBER(J134), $B145 * K134, "")</f>
        <v>533.80782918148964</v>
      </c>
      <c r="M134" s="102">
        <v>85.1</v>
      </c>
      <c r="N134" s="25">
        <f t="shared" si="69"/>
        <v>9.4899169632265377E-3</v>
      </c>
      <c r="O134" s="104">
        <f>IF(ISNUMBER(M134), $B145 * N134, "")</f>
        <v>1423.4875444839806</v>
      </c>
      <c r="Q134" s="193"/>
      <c r="R134" s="194"/>
      <c r="S134" s="195"/>
    </row>
    <row r="135" spans="1:19">
      <c r="A135" s="123" t="s">
        <v>206</v>
      </c>
      <c r="B135" s="124">
        <v>13.2</v>
      </c>
      <c r="C135" s="76">
        <v>7.6335878000000001E-3</v>
      </c>
      <c r="D135" s="13">
        <v>13</v>
      </c>
      <c r="E135" s="14">
        <f>IF(ISNUMBER(D135), (D135 - $B135) / $B135, "")</f>
        <v>-1.5151515151515098E-2</v>
      </c>
      <c r="F135" s="16">
        <f>IF(ISNUMBER(D135), $B145 * E135, "")</f>
        <v>-2272.7272727272648</v>
      </c>
      <c r="G135" s="29">
        <v>13</v>
      </c>
      <c r="H135" s="14">
        <f>IF(ISNUMBER(G135), (G135 - $B135) / $B135, "")</f>
        <v>-1.5151515151515098E-2</v>
      </c>
      <c r="I135" s="100">
        <f>IF(ISNUMBER(G135), $B145 * H135, "")</f>
        <v>-2272.7272727272648</v>
      </c>
      <c r="J135" s="13">
        <v>12.9</v>
      </c>
      <c r="K135" s="14">
        <f>IF(ISNUMBER(J135), (J135 - $B135) / $B135, "")</f>
        <v>-2.2727272727272648E-2</v>
      </c>
      <c r="L135" s="16">
        <f>IF(ISNUMBER(J135), $B145 * K135, "")</f>
        <v>-3409.0909090908972</v>
      </c>
      <c r="M135" s="29">
        <v>13</v>
      </c>
      <c r="N135" s="14">
        <f>IF(ISNUMBER(M135), (M135 - $B135) / $B135, "")</f>
        <v>-1.5151515151515098E-2</v>
      </c>
      <c r="O135" s="16">
        <f>IF(ISNUMBER(M135), $B145 * N135, "")</f>
        <v>-2272.7272727272648</v>
      </c>
      <c r="Q135" s="196"/>
      <c r="R135" s="197"/>
      <c r="S135" s="198"/>
    </row>
    <row r="136" spans="1:19" ht="17.25" thickBot="1">
      <c r="A136" s="125" t="s">
        <v>232</v>
      </c>
      <c r="B136" s="126">
        <v>77.3</v>
      </c>
      <c r="C136" s="77">
        <v>6.5104166999999996E-3</v>
      </c>
      <c r="D136" s="15">
        <v>77.2</v>
      </c>
      <c r="E136" s="32">
        <f t="shared" ref="E136:E139" si="70">IF(ISNUMBER(D136), (D136 - $B136) / $B136, "")</f>
        <v>-1.2936610608019965E-3</v>
      </c>
      <c r="F136" s="18">
        <f>IF(ISNUMBER(D136), $B145 * E136, "")</f>
        <v>-194.04915912029946</v>
      </c>
      <c r="G136" s="31">
        <v>76</v>
      </c>
      <c r="H136" s="32">
        <f t="shared" ref="H136:H139" si="71">IF(ISNUMBER(G136), (G136 - $B136) / $B136, "")</f>
        <v>-1.6817593790426872E-2</v>
      </c>
      <c r="I136" s="101">
        <f>IF(ISNUMBER(G136), $B145 * H136, "")</f>
        <v>-2522.6390685640308</v>
      </c>
      <c r="J136" s="15">
        <v>76.3</v>
      </c>
      <c r="K136" s="32">
        <f t="shared" ref="K136:K139" si="72">IF(ISNUMBER(J136), (J136 - $B136) / $B136, "")</f>
        <v>-1.2936610608020699E-2</v>
      </c>
      <c r="L136" s="18">
        <f>IF(ISNUMBER(J136), $B145 * K136, "")</f>
        <v>-1940.4915912031049</v>
      </c>
      <c r="M136" s="31">
        <v>76.5</v>
      </c>
      <c r="N136" s="32">
        <f t="shared" ref="N136:N139" si="73">IF(ISNUMBER(M136), (M136 - $B136) / $B136, "")</f>
        <v>-1.0349288486416523E-2</v>
      </c>
      <c r="O136" s="18">
        <f>IF(ISNUMBER(M136), $B145 * N136, "")</f>
        <v>-1552.3932729624785</v>
      </c>
      <c r="Q136" s="199"/>
      <c r="R136" s="200"/>
      <c r="S136" s="201"/>
    </row>
    <row r="137" spans="1:19" ht="17.25" thickBot="1">
      <c r="A137" s="125" t="s">
        <v>176</v>
      </c>
      <c r="B137" s="126">
        <v>17.3</v>
      </c>
      <c r="C137" s="77">
        <v>5.8139534999999999E-3</v>
      </c>
      <c r="D137" s="15">
        <v>17.100000000000001</v>
      </c>
      <c r="E137" s="32">
        <f t="shared" si="70"/>
        <v>-1.1560693641618455E-2</v>
      </c>
      <c r="F137" s="18">
        <f>IF(ISNUMBER(D137), $B145 * E137, "")</f>
        <v>-1734.1040462427682</v>
      </c>
      <c r="G137" s="31">
        <v>16.899999999999999</v>
      </c>
      <c r="H137" s="32">
        <f t="shared" si="71"/>
        <v>-2.3121387283237118E-2</v>
      </c>
      <c r="I137" s="101">
        <f>IF(ISNUMBER(G137), $B145 * H137, "")</f>
        <v>-3468.2080924855677</v>
      </c>
      <c r="J137" s="15">
        <v>16.8</v>
      </c>
      <c r="K137" s="32">
        <f t="shared" si="72"/>
        <v>-2.8901734104046242E-2</v>
      </c>
      <c r="L137" s="18">
        <f>IF(ISNUMBER(J137), $B145 * K137, "")</f>
        <v>-4335.2601156069368</v>
      </c>
      <c r="M137" s="31">
        <v>17</v>
      </c>
      <c r="N137" s="32">
        <f t="shared" si="73"/>
        <v>-1.7341040462427786E-2</v>
      </c>
      <c r="O137" s="18">
        <f>IF(ISNUMBER(M137), $B145 * N137, "")</f>
        <v>-2601.1560693641677</v>
      </c>
      <c r="Q137" s="192"/>
      <c r="R137" s="192"/>
      <c r="S137" s="192"/>
    </row>
    <row r="138" spans="1:19" ht="17.25" thickBot="1">
      <c r="A138" s="125" t="s">
        <v>202</v>
      </c>
      <c r="B138" s="126">
        <v>15</v>
      </c>
      <c r="C138" s="77">
        <v>0</v>
      </c>
      <c r="D138" s="15">
        <v>15</v>
      </c>
      <c r="E138" s="32">
        <f t="shared" si="70"/>
        <v>0</v>
      </c>
      <c r="F138" s="18">
        <f>IF(ISNUMBER(D138), $B145 * E138, "")</f>
        <v>0</v>
      </c>
      <c r="G138" s="31">
        <v>14.7</v>
      </c>
      <c r="H138" s="32">
        <f t="shared" si="71"/>
        <v>-2.0000000000000049E-2</v>
      </c>
      <c r="I138" s="101">
        <f>IF(ISNUMBER(G138), $B145 * H138, "")</f>
        <v>-3000.0000000000073</v>
      </c>
      <c r="J138" s="15">
        <v>14.7</v>
      </c>
      <c r="K138" s="32">
        <f t="shared" si="72"/>
        <v>-2.0000000000000049E-2</v>
      </c>
      <c r="L138" s="18">
        <f>IF(ISNUMBER(J138), $B145 * K138, "")</f>
        <v>-3000.0000000000073</v>
      </c>
      <c r="M138" s="31">
        <v>14.8</v>
      </c>
      <c r="N138" s="32">
        <f t="shared" si="73"/>
        <v>-1.3333333333333286E-2</v>
      </c>
      <c r="O138" s="18">
        <f>IF(ISNUMBER(M138), $B145 * N138, "")</f>
        <v>-1999.999999999993</v>
      </c>
      <c r="Q138" s="202"/>
      <c r="R138" s="202"/>
      <c r="S138" s="202"/>
    </row>
    <row r="139" spans="1:19" ht="17.25" thickBot="1">
      <c r="A139" s="127" t="s">
        <v>186</v>
      </c>
      <c r="B139" s="128">
        <v>12.8</v>
      </c>
      <c r="C139" s="78">
        <v>0</v>
      </c>
      <c r="D139" s="20">
        <v>13.2</v>
      </c>
      <c r="E139" s="21">
        <f t="shared" si="70"/>
        <v>3.1249999999999889E-2</v>
      </c>
      <c r="F139" s="22">
        <f>IF(ISNUMBER(D139), $B145 * E139, "")</f>
        <v>4687.4999999999836</v>
      </c>
      <c r="G139" s="30">
        <v>13.1</v>
      </c>
      <c r="H139" s="21">
        <f t="shared" si="71"/>
        <v>2.3437499999999917E-2</v>
      </c>
      <c r="I139" s="105">
        <f>IF(ISNUMBER(G139), $B145 * H139, "")</f>
        <v>3515.6249999999877</v>
      </c>
      <c r="J139" s="20">
        <v>13.3</v>
      </c>
      <c r="K139" s="21">
        <f t="shared" si="72"/>
        <v>3.90625E-2</v>
      </c>
      <c r="L139" s="22">
        <f>IF(ISNUMBER(J139), $B145 * K139, "")</f>
        <v>5859.375</v>
      </c>
      <c r="M139" s="30">
        <v>13.3</v>
      </c>
      <c r="N139" s="21">
        <f t="shared" si="73"/>
        <v>3.90625E-2</v>
      </c>
      <c r="O139" s="22">
        <f>IF(ISNUMBER(M139), $B145 * N139, "")</f>
        <v>5859.375</v>
      </c>
      <c r="Q139" s="202"/>
      <c r="R139" s="202"/>
      <c r="S139" s="202"/>
    </row>
    <row r="140" spans="1:19" ht="17.25" thickBot="1">
      <c r="A140" s="125" t="s">
        <v>65</v>
      </c>
      <c r="B140" s="129">
        <v>69.7</v>
      </c>
      <c r="C140" s="80">
        <v>-2.8612302999999999E-3</v>
      </c>
      <c r="D140" s="106">
        <v>68.5</v>
      </c>
      <c r="E140" s="107">
        <f>IF(ISNUMBER(D140), (D140 - $B140) / $B140, "")</f>
        <v>-1.7216642754662882E-2</v>
      </c>
      <c r="F140" s="108">
        <f>IF(ISNUMBER(D140), $B145 * E140, "")</f>
        <v>-2582.496413199432</v>
      </c>
      <c r="G140" s="109">
        <v>66.900000000000006</v>
      </c>
      <c r="H140" s="107">
        <f>IF(ISNUMBER(G140), (G140 - $B140) / $B140, "")</f>
        <v>-4.0172166427546584E-2</v>
      </c>
      <c r="I140" s="110">
        <f>IF(ISNUMBER(G140), $B145 * H140, "")</f>
        <v>-6025.8249641319871</v>
      </c>
      <c r="J140" s="106">
        <v>67</v>
      </c>
      <c r="K140" s="107">
        <f>IF(ISNUMBER(J140), (J140 - $B140) / $B140, "")</f>
        <v>-3.8737446197991431E-2</v>
      </c>
      <c r="L140" s="108">
        <f>IF(ISNUMBER(J140), $B145 * K140, "")</f>
        <v>-5810.6169296987146</v>
      </c>
      <c r="M140" s="109">
        <v>67.2</v>
      </c>
      <c r="N140" s="107">
        <f>IF(ISNUMBER(M140), (M140 - $B140) / $B140, "")</f>
        <v>-3.5868005738880916E-2</v>
      </c>
      <c r="O140" s="108">
        <f>IF(ISNUMBER(M140), $B145 * N140, "")</f>
        <v>-5380.2008608321376</v>
      </c>
      <c r="Q140" s="192"/>
      <c r="R140" s="192"/>
      <c r="S140" s="192"/>
    </row>
    <row r="141" spans="1:19" ht="17.25" thickBot="1">
      <c r="A141" s="125" t="s">
        <v>238</v>
      </c>
      <c r="B141" s="126">
        <v>72.400000000000006</v>
      </c>
      <c r="C141" s="77">
        <v>-1.8970189700000001E-2</v>
      </c>
      <c r="D141" s="15">
        <v>71</v>
      </c>
      <c r="E141" s="32">
        <f t="shared" ref="E141:E144" si="74">IF(ISNUMBER(D141), (D141 - $B141) / $B141, "")</f>
        <v>-1.9337016574585711E-2</v>
      </c>
      <c r="F141" s="18">
        <f>IF(ISNUMBER(D141), $B145 * E141, "")</f>
        <v>-2900.5524861878566</v>
      </c>
      <c r="G141" s="31">
        <v>70.400000000000006</v>
      </c>
      <c r="H141" s="32">
        <f t="shared" ref="H141:H144" si="75">IF(ISNUMBER(G141), (G141 - $B141) / $B141, "")</f>
        <v>-2.7624309392265192E-2</v>
      </c>
      <c r="I141" s="101">
        <f>IF(ISNUMBER(G141), $B145 * H141, "")</f>
        <v>-4143.6464088397788</v>
      </c>
      <c r="J141" s="15">
        <v>70.2</v>
      </c>
      <c r="K141" s="32">
        <f t="shared" ref="K141:K144" si="76">IF(ISNUMBER(J141), (J141 - $B141) / $B141, "")</f>
        <v>-3.038674033149175E-2</v>
      </c>
      <c r="L141" s="18">
        <f>IF(ISNUMBER(J141), $B145 * K141, "")</f>
        <v>-4558.0110497237629</v>
      </c>
      <c r="M141" s="31">
        <v>70.400000000000006</v>
      </c>
      <c r="N141" s="32">
        <f t="shared" ref="N141:N144" si="77">IF(ISNUMBER(M141), (M141 - $B141) / $B141, "")</f>
        <v>-2.7624309392265192E-2</v>
      </c>
      <c r="O141" s="18">
        <f>IF(ISNUMBER(M141), $B145 * N141, "")</f>
        <v>-4143.6464088397788</v>
      </c>
      <c r="Q141" s="192"/>
      <c r="R141" s="192"/>
      <c r="S141" s="192"/>
    </row>
    <row r="142" spans="1:19" ht="17.25" thickBot="1">
      <c r="A142" s="125" t="s">
        <v>328</v>
      </c>
      <c r="B142" s="126">
        <v>0.30299999999999999</v>
      </c>
      <c r="C142" s="77">
        <v>-2.88461538E-2</v>
      </c>
      <c r="D142" s="15">
        <v>0.29899999999999999</v>
      </c>
      <c r="E142" s="32">
        <f t="shared" si="74"/>
        <v>-1.3201320132013214E-2</v>
      </c>
      <c r="F142" s="18">
        <f>IF(ISNUMBER(D142), $B145 * E142, "")</f>
        <v>-1980.1980198019821</v>
      </c>
      <c r="G142" s="31">
        <v>0.29599999999999999</v>
      </c>
      <c r="H142" s="32">
        <f t="shared" si="75"/>
        <v>-2.3102310231023125E-2</v>
      </c>
      <c r="I142" s="101">
        <f>IF(ISNUMBER(G142), $B145 * H142, "")</f>
        <v>-3465.3465346534686</v>
      </c>
      <c r="J142" s="15">
        <v>0.29599999999999999</v>
      </c>
      <c r="K142" s="32">
        <f t="shared" si="76"/>
        <v>-2.3102310231023125E-2</v>
      </c>
      <c r="L142" s="18">
        <f>IF(ISNUMBER(J142), $B145 * K142, "")</f>
        <v>-3465.3465346534686</v>
      </c>
      <c r="M142" s="31">
        <v>0.29599999999999999</v>
      </c>
      <c r="N142" s="32">
        <f t="shared" si="77"/>
        <v>-2.3102310231023125E-2</v>
      </c>
      <c r="O142" s="18">
        <f>IF(ISNUMBER(M142), $B145 * N142, "")</f>
        <v>-3465.3465346534686</v>
      </c>
      <c r="Q142" s="192"/>
      <c r="R142" s="192"/>
      <c r="S142" s="19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81"/>
      <c r="R143" s="182"/>
      <c r="S143" s="1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84"/>
      <c r="R144" s="185"/>
      <c r="S144" s="186"/>
    </row>
    <row r="145" spans="1:19" ht="17.25" thickBot="1">
      <c r="A145" s="132" t="s">
        <v>268</v>
      </c>
      <c r="B145" s="245">
        <f>$B$37</f>
        <v>150000</v>
      </c>
      <c r="C145" s="246"/>
      <c r="D145" s="26" t="s">
        <v>269</v>
      </c>
      <c r="E145" s="27">
        <f>IF(COUNT(E125:E144), SUM(E125:E144) / COUNT(E125:E144), 0)</f>
        <v>-6.2115028794025437E-3</v>
      </c>
      <c r="F145" s="28">
        <f>SUM(F125:F144)</f>
        <v>-16771.057774386867</v>
      </c>
      <c r="G145" s="26" t="s">
        <v>269</v>
      </c>
      <c r="H145" s="27">
        <f>IF(COUNT(H125:H144), SUM(H125:H144) / COUNT(H125:H144), 0)</f>
        <v>-1.5668262652877192E-2</v>
      </c>
      <c r="I145" s="28">
        <f>SUM(I125:I144)</f>
        <v>-42304.309162768404</v>
      </c>
      <c r="J145" s="26" t="s">
        <v>269</v>
      </c>
      <c r="K145" s="27">
        <f>IF(COUNT(K125:K144), SUM(K125:K144) / COUNT(K125:K144), 0)</f>
        <v>-1.4132884170217682E-2</v>
      </c>
      <c r="L145" s="28">
        <f>SUM(L125:L144)</f>
        <v>-38158.787259587742</v>
      </c>
      <c r="M145" s="26" t="s">
        <v>269</v>
      </c>
      <c r="N145" s="27">
        <f>IF(COUNT(N125:N144), SUM(N125:N144) / COUNT(N125:N144), 0)</f>
        <v>-9.2553419581740178E-3</v>
      </c>
      <c r="O145" s="28">
        <f>SUM(O125:O144)</f>
        <v>-24989.423287069851</v>
      </c>
      <c r="Q145" s="187"/>
      <c r="R145" s="188"/>
      <c r="S145" s="189"/>
    </row>
    <row r="147" spans="1:19" ht="17.25" thickBot="1"/>
    <row r="148" spans="1:19" ht="17.25" thickBot="1">
      <c r="A148" s="203" t="s">
        <v>257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65" t="s">
        <v>265</v>
      </c>
      <c r="B149" s="203" t="s">
        <v>49</v>
      </c>
      <c r="C149" s="205"/>
      <c r="D149" s="203" t="s">
        <v>58</v>
      </c>
      <c r="E149" s="204"/>
      <c r="F149" s="205"/>
      <c r="G149" s="206">
        <f>_xlfn.IFNA(VLOOKUP(B149, 현재가테이블!$B$2:$D$200, 2, FALSE), "-")</f>
        <v>62630000</v>
      </c>
      <c r="H149" s="207"/>
      <c r="I149" s="208"/>
      <c r="J149" s="203" t="s">
        <v>59</v>
      </c>
      <c r="K149" s="204"/>
      <c r="L149" s="205"/>
      <c r="M149" s="209">
        <f>_xlfn.IFNA(VLOOKUP(B149, 현재가테이블!$B$2:$D$200, 3, FALSE), "-")</f>
        <v>1.5632601400000001E-2</v>
      </c>
      <c r="N149" s="210"/>
      <c r="O149" s="211"/>
      <c r="Q149" s="202"/>
      <c r="R149" s="202"/>
      <c r="S149" s="202"/>
    </row>
    <row r="150" spans="1:19" ht="17.25" thickBot="1">
      <c r="A150" s="247" t="s">
        <v>55</v>
      </c>
      <c r="B150" s="243" t="str">
        <f>TEXT($G$1, "[$-ko-KR]yyyy-mm-dd(ddd) ") &amp; "오전 00:00"</f>
        <v>2021-10-03(일) 오전 00:00</v>
      </c>
      <c r="C150" s="244"/>
      <c r="D150" s="216" t="str">
        <f>TEXT($G$1, "[$-ko-KR]yyyy-mm-dd(ddd) ") &amp; "오후 14:00"</f>
        <v>2021-10-03(일) 오후 14:00</v>
      </c>
      <c r="E150" s="217"/>
      <c r="F150" s="218"/>
      <c r="G150" s="216" t="str">
        <f>TEXT($G$1, "[$-ko-KR]yyyy-mm-dd(ddd) ") &amp; "오후 19:00"</f>
        <v>2021-10-03(일) 오후 19:00</v>
      </c>
      <c r="H150" s="217"/>
      <c r="I150" s="218"/>
      <c r="J150" s="216" t="str">
        <f>TEXT($G$1, "[$-ko-KR]yyyy-mm-dd(ddd) ") &amp; "오후 21:00"</f>
        <v>2021-10-03(일) 오후 21:00</v>
      </c>
      <c r="K150" s="217"/>
      <c r="L150" s="218"/>
      <c r="M150" s="216" t="str">
        <f>TEXT($G$1+1, "[$-ko-KR]yyyy-mm-dd(ddd) ") &amp; "오전 00:00"</f>
        <v>2021-10-04(월) 오전 00:00</v>
      </c>
      <c r="N150" s="217"/>
      <c r="O150" s="218"/>
      <c r="Q150" s="202"/>
      <c r="R150" s="202"/>
      <c r="S150" s="202"/>
    </row>
    <row r="151" spans="1:19" ht="17.25" thickBot="1">
      <c r="A151" s="24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6" t="s">
        <v>58</v>
      </c>
      <c r="H151" s="167" t="s">
        <v>266</v>
      </c>
      <c r="I151" s="16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192"/>
      <c r="R151" s="192"/>
      <c r="S151" s="192"/>
    </row>
    <row r="152" spans="1:19" ht="17.25" thickBot="1">
      <c r="A152" s="123" t="s">
        <v>108</v>
      </c>
      <c r="B152" s="124">
        <v>167</v>
      </c>
      <c r="C152" s="76">
        <v>2.4539877299999999E-2</v>
      </c>
      <c r="D152" s="13">
        <v>165</v>
      </c>
      <c r="E152" s="14">
        <f>IF(ISNUMBER(D152), (D152 - $B152) / $B152, "")</f>
        <v>-1.1976047904191617E-2</v>
      </c>
      <c r="F152" s="16">
        <f>IF(ISNUMBER(D152), $B172 * E152, "")</f>
        <v>-1796.4071856287426</v>
      </c>
      <c r="G152" s="29">
        <v>162</v>
      </c>
      <c r="H152" s="14">
        <f>IF(ISNUMBER(G152), (G152 - $B152) / $B152, "")</f>
        <v>-2.9940119760479042E-2</v>
      </c>
      <c r="I152" s="100">
        <f>IF(ISNUMBER(G152), $B172 * H152, "")</f>
        <v>-4491.0179640718561</v>
      </c>
      <c r="J152" s="13">
        <v>163</v>
      </c>
      <c r="K152" s="14">
        <f>IF(ISNUMBER(J152), (J152 - $B152) / $B152, "")</f>
        <v>-2.3952095808383235E-2</v>
      </c>
      <c r="L152" s="16">
        <f>IF(ISNUMBER(J152), $B172 * K152, "")</f>
        <v>-3592.8143712574852</v>
      </c>
      <c r="M152" s="29">
        <v>164</v>
      </c>
      <c r="N152" s="14">
        <f>IF(ISNUMBER(M152), (M152 - $B152) / $B152, "")</f>
        <v>-1.7964071856287425E-2</v>
      </c>
      <c r="O152" s="16">
        <f>IF(ISNUMBER(M152), $B172 * N152, "")</f>
        <v>-2694.6107784431138</v>
      </c>
      <c r="Q152" s="202"/>
      <c r="R152" s="202"/>
      <c r="S152" s="202"/>
    </row>
    <row r="153" spans="1:19" ht="17.25" thickBot="1">
      <c r="A153" s="125" t="s">
        <v>86</v>
      </c>
      <c r="B153" s="126">
        <v>355</v>
      </c>
      <c r="C153" s="77">
        <v>2.3054755E-2</v>
      </c>
      <c r="D153" s="15">
        <v>352</v>
      </c>
      <c r="E153" s="32">
        <f t="shared" ref="E153:E156" si="78">IF(ISNUMBER(D153), (D153 - $B153) / $B153, "")</f>
        <v>-8.4507042253521118E-3</v>
      </c>
      <c r="F153" s="18">
        <f>IF(ISNUMBER(D153), $B172 * E153, "")</f>
        <v>-1267.6056338028168</v>
      </c>
      <c r="G153" s="31">
        <v>349</v>
      </c>
      <c r="H153" s="32">
        <f t="shared" ref="H153:H156" si="79">IF(ISNUMBER(G153), (G153 - $B153) / $B153, "")</f>
        <v>-1.6901408450704224E-2</v>
      </c>
      <c r="I153" s="101">
        <f>IF(ISNUMBER(G153), $B172 * H153, "")</f>
        <v>-2535.2112676056336</v>
      </c>
      <c r="J153" s="15">
        <v>351</v>
      </c>
      <c r="K153" s="32">
        <f t="shared" ref="K153:K156" si="80">IF(ISNUMBER(J153), (J153 - $B153) / $B153, "")</f>
        <v>-1.1267605633802818E-2</v>
      </c>
      <c r="L153" s="18">
        <f>IF(ISNUMBER(J153), $B172 * K153, "")</f>
        <v>-1690.1408450704225</v>
      </c>
      <c r="M153" s="31">
        <v>353</v>
      </c>
      <c r="N153" s="32">
        <f t="shared" ref="N153:N156" si="81">IF(ISNUMBER(M153), (M153 - $B153) / $B153, "")</f>
        <v>-5.6338028169014088E-3</v>
      </c>
      <c r="O153" s="18">
        <f>IF(ISNUMBER(M153), $B172 * N153, "")</f>
        <v>-845.07042253521126</v>
      </c>
      <c r="Q153" s="202"/>
      <c r="R153" s="202"/>
      <c r="S153" s="202"/>
    </row>
    <row r="154" spans="1:19" ht="17.25" thickBot="1">
      <c r="A154" s="125" t="s">
        <v>61</v>
      </c>
      <c r="B154" s="126">
        <v>933</v>
      </c>
      <c r="C154" s="77">
        <v>2.3026315799999999E-2</v>
      </c>
      <c r="D154" s="15">
        <v>930</v>
      </c>
      <c r="E154" s="32">
        <f t="shared" si="78"/>
        <v>-3.2154340836012861E-3</v>
      </c>
      <c r="F154" s="18">
        <f>IF(ISNUMBER(D154), $B172 * E154, "")</f>
        <v>-482.3151125401929</v>
      </c>
      <c r="G154" s="31">
        <v>922</v>
      </c>
      <c r="H154" s="32">
        <f t="shared" si="79"/>
        <v>-1.1789924973204717E-2</v>
      </c>
      <c r="I154" s="101">
        <f>IF(ISNUMBER(G154), $B172 * H154, "")</f>
        <v>-1768.4887459807076</v>
      </c>
      <c r="J154" s="15">
        <v>922</v>
      </c>
      <c r="K154" s="32">
        <f t="shared" si="80"/>
        <v>-1.1789924973204717E-2</v>
      </c>
      <c r="L154" s="18">
        <f>IF(ISNUMBER(J154), $B172 * K154, "")</f>
        <v>-1768.4887459807076</v>
      </c>
      <c r="M154" s="31">
        <v>924</v>
      </c>
      <c r="N154" s="32">
        <f t="shared" si="81"/>
        <v>-9.6463022508038593E-3</v>
      </c>
      <c r="O154" s="18">
        <f>IF(ISNUMBER(M154), $B172 * N154, "")</f>
        <v>-1446.9453376205788</v>
      </c>
      <c r="Q154" s="192"/>
      <c r="R154" s="192"/>
      <c r="S154" s="192"/>
    </row>
    <row r="155" spans="1:19" ht="17.25" thickBot="1">
      <c r="A155" s="125" t="s">
        <v>136</v>
      </c>
      <c r="B155" s="126">
        <v>361</v>
      </c>
      <c r="C155" s="77">
        <v>2.2662889499999998E-2</v>
      </c>
      <c r="D155" s="15">
        <v>363</v>
      </c>
      <c r="E155" s="32">
        <f t="shared" si="78"/>
        <v>5.5401662049861496E-3</v>
      </c>
      <c r="F155" s="18">
        <f>IF(ISNUMBER(D155), $B172 * E155, "")</f>
        <v>831.02493074792244</v>
      </c>
      <c r="G155" s="31">
        <v>356</v>
      </c>
      <c r="H155" s="32">
        <f t="shared" si="79"/>
        <v>-1.3850415512465374E-2</v>
      </c>
      <c r="I155" s="101">
        <f>IF(ISNUMBER(G155), $B172 * H155, "")</f>
        <v>-2077.5623268698059</v>
      </c>
      <c r="J155" s="15">
        <v>356</v>
      </c>
      <c r="K155" s="32">
        <f t="shared" si="80"/>
        <v>-1.3850415512465374E-2</v>
      </c>
      <c r="L155" s="18">
        <f>IF(ISNUMBER(J155), $B172 * K155, "")</f>
        <v>-2077.5623268698059</v>
      </c>
      <c r="M155" s="31">
        <v>356</v>
      </c>
      <c r="N155" s="32">
        <f t="shared" si="81"/>
        <v>-1.3850415512465374E-2</v>
      </c>
      <c r="O155" s="18">
        <f>IF(ISNUMBER(M155), $B172 * N155, "")</f>
        <v>-2077.5623268698059</v>
      </c>
      <c r="Q155" s="192"/>
      <c r="R155" s="192"/>
      <c r="S155" s="192"/>
    </row>
    <row r="156" spans="1:19" ht="17.25" thickBot="1">
      <c r="A156" s="127" t="s">
        <v>142</v>
      </c>
      <c r="B156" s="128">
        <v>105</v>
      </c>
      <c r="C156" s="78">
        <v>1.9417475699999999E-2</v>
      </c>
      <c r="D156" s="20">
        <v>107</v>
      </c>
      <c r="E156" s="21">
        <f t="shared" si="78"/>
        <v>1.9047619047619049E-2</v>
      </c>
      <c r="F156" s="22">
        <f>IF(ISNUMBER(D156), $B172 * E156, "")</f>
        <v>2857.1428571428573</v>
      </c>
      <c r="G156" s="30">
        <v>105</v>
      </c>
      <c r="H156" s="21">
        <f t="shared" si="79"/>
        <v>0</v>
      </c>
      <c r="I156" s="105">
        <f>IF(ISNUMBER(G156), $B172 * H156, "")</f>
        <v>0</v>
      </c>
      <c r="J156" s="20">
        <v>105</v>
      </c>
      <c r="K156" s="21">
        <f t="shared" si="80"/>
        <v>0</v>
      </c>
      <c r="L156" s="22">
        <f>IF(ISNUMBER(J156), $B172 * K156, "")</f>
        <v>0</v>
      </c>
      <c r="M156" s="30">
        <v>106</v>
      </c>
      <c r="N156" s="21">
        <f t="shared" si="81"/>
        <v>9.5238095238095247E-3</v>
      </c>
      <c r="O156" s="22">
        <f>IF(ISNUMBER(M156), $B172 * N156, "")</f>
        <v>1428.5714285714287</v>
      </c>
      <c r="Q156" s="192"/>
      <c r="R156" s="192"/>
      <c r="S156" s="192"/>
    </row>
    <row r="157" spans="1:19" ht="17.25" thickBot="1">
      <c r="A157" s="125" t="s">
        <v>150</v>
      </c>
      <c r="B157" s="129">
        <v>116</v>
      </c>
      <c r="C157" s="80">
        <v>1.75438596E-2</v>
      </c>
      <c r="D157" s="106">
        <v>114</v>
      </c>
      <c r="E157" s="107">
        <f>IF(ISNUMBER(D157), (D157 - $B157) / $B157, "")</f>
        <v>-1.7241379310344827E-2</v>
      </c>
      <c r="F157" s="108">
        <f>IF(ISNUMBER(D157), $B172 * E157, "")</f>
        <v>-2586.2068965517242</v>
      </c>
      <c r="G157" s="109">
        <v>115</v>
      </c>
      <c r="H157" s="107">
        <f>IF(ISNUMBER(G157), (G157 - $B157) / $B157, "")</f>
        <v>-8.6206896551724137E-3</v>
      </c>
      <c r="I157" s="110">
        <f>IF(ISNUMBER(G157), $B172 * H157, "")</f>
        <v>-1293.1034482758621</v>
      </c>
      <c r="J157" s="106">
        <v>116</v>
      </c>
      <c r="K157" s="107">
        <f>IF(ISNUMBER(J157), (J157 - $B157) / $B157, "")</f>
        <v>0</v>
      </c>
      <c r="L157" s="108">
        <f>IF(ISNUMBER(J157), $B172 * K157, "")</f>
        <v>0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192"/>
      <c r="R157" s="192"/>
      <c r="S157" s="192"/>
    </row>
    <row r="158" spans="1:19" ht="17.25" thickBot="1">
      <c r="A158" s="125" t="s">
        <v>51</v>
      </c>
      <c r="B158" s="126">
        <v>369</v>
      </c>
      <c r="C158" s="77">
        <v>1.6528925600000001E-2</v>
      </c>
      <c r="D158" s="15">
        <v>385</v>
      </c>
      <c r="E158" s="32">
        <f t="shared" ref="E158:E161" si="82">IF(ISNUMBER(D158), (D158 - $B158) / $B158, "")</f>
        <v>4.3360433604336043E-2</v>
      </c>
      <c r="F158" s="18">
        <f>IF(ISNUMBER(D158), $B172 * E158, "")</f>
        <v>6504.0650406504064</v>
      </c>
      <c r="G158" s="31">
        <v>383</v>
      </c>
      <c r="H158" s="32">
        <f t="shared" ref="H158:H161" si="83">IF(ISNUMBER(G158), (G158 - $B158) / $B158, "")</f>
        <v>3.7940379403794036E-2</v>
      </c>
      <c r="I158" s="101">
        <f>IF(ISNUMBER(G158), $B172 * H158, "")</f>
        <v>5691.0569105691056</v>
      </c>
      <c r="J158" s="15">
        <v>386</v>
      </c>
      <c r="K158" s="32">
        <f t="shared" ref="K158:K161" si="84">IF(ISNUMBER(J158), (J158 - $B158) / $B158, "")</f>
        <v>4.6070460704607047E-2</v>
      </c>
      <c r="L158" s="18">
        <f>IF(ISNUMBER(J158), $B172 * K158, "")</f>
        <v>6910.5691056910573</v>
      </c>
      <c r="M158" s="31">
        <v>386</v>
      </c>
      <c r="N158" s="32">
        <f t="shared" ref="N158:N161" si="85">IF(ISNUMBER(M158), (M158 - $B158) / $B158, "")</f>
        <v>4.6070460704607047E-2</v>
      </c>
      <c r="O158" s="18">
        <f>IF(ISNUMBER(M158), $B172 * N158, "")</f>
        <v>6910.5691056910573</v>
      </c>
      <c r="Q158" s="192"/>
      <c r="R158" s="192"/>
      <c r="S158" s="192"/>
    </row>
    <row r="159" spans="1:19" ht="17.25" thickBot="1">
      <c r="A159" s="125" t="s">
        <v>236</v>
      </c>
      <c r="B159" s="126">
        <v>124</v>
      </c>
      <c r="C159" s="77">
        <v>1.6393442599999999E-2</v>
      </c>
      <c r="D159" s="15">
        <v>122</v>
      </c>
      <c r="E159" s="32">
        <f t="shared" si="82"/>
        <v>-1.6129032258064516E-2</v>
      </c>
      <c r="F159" s="18">
        <f>IF(ISNUMBER(D159), $B172 * E159, "")</f>
        <v>-2419.3548387096776</v>
      </c>
      <c r="G159" s="31">
        <v>120</v>
      </c>
      <c r="H159" s="32">
        <f t="shared" si="83"/>
        <v>-3.2258064516129031E-2</v>
      </c>
      <c r="I159" s="101">
        <f>IF(ISNUMBER(G159), $B172 * H159, "")</f>
        <v>-4838.7096774193551</v>
      </c>
      <c r="J159" s="15">
        <v>121</v>
      </c>
      <c r="K159" s="32">
        <f t="shared" si="84"/>
        <v>-2.4193548387096774E-2</v>
      </c>
      <c r="L159" s="18">
        <f>IF(ISNUMBER(J159), $B172 * K159, "")</f>
        <v>-3629.0322580645161</v>
      </c>
      <c r="M159" s="31">
        <v>122</v>
      </c>
      <c r="N159" s="32">
        <f t="shared" si="85"/>
        <v>-1.6129032258064516E-2</v>
      </c>
      <c r="O159" s="18">
        <f>IF(ISNUMBER(M159), $B172 * N159, "")</f>
        <v>-2419.3548387096776</v>
      </c>
      <c r="Q159" s="192"/>
      <c r="R159" s="192"/>
      <c r="S159" s="192"/>
    </row>
    <row r="160" spans="1:19" ht="17.25" thickBot="1">
      <c r="A160" s="125" t="s">
        <v>128</v>
      </c>
      <c r="B160" s="126">
        <v>138</v>
      </c>
      <c r="C160" s="77">
        <v>1.47058824E-2</v>
      </c>
      <c r="D160" s="15">
        <v>137</v>
      </c>
      <c r="E160" s="32">
        <f t="shared" si="82"/>
        <v>-7.246376811594203E-3</v>
      </c>
      <c r="F160" s="18">
        <f>IF(ISNUMBER(D160), $B172 * E160, "")</f>
        <v>-1086.9565217391305</v>
      </c>
      <c r="G160" s="31">
        <v>135</v>
      </c>
      <c r="H160" s="32">
        <f t="shared" si="83"/>
        <v>-2.1739130434782608E-2</v>
      </c>
      <c r="I160" s="101">
        <f>IF(ISNUMBER(G160), $B172 * H160, "")</f>
        <v>-3260.869565217391</v>
      </c>
      <c r="J160" s="15">
        <v>135</v>
      </c>
      <c r="K160" s="32">
        <f t="shared" si="84"/>
        <v>-2.1739130434782608E-2</v>
      </c>
      <c r="L160" s="18">
        <f>IF(ISNUMBER(J160), $B172 * K160, "")</f>
        <v>-3260.869565217391</v>
      </c>
      <c r="M160" s="31">
        <v>135</v>
      </c>
      <c r="N160" s="32">
        <f t="shared" si="85"/>
        <v>-2.1739130434782608E-2</v>
      </c>
      <c r="O160" s="18">
        <f>IF(ISNUMBER(M160), $B172 * N160, "")</f>
        <v>-3260.869565217391</v>
      </c>
      <c r="Q160" s="33"/>
      <c r="R160" s="33"/>
    </row>
    <row r="161" spans="1:19" ht="17.25" thickBot="1">
      <c r="A161" s="130" t="s">
        <v>230</v>
      </c>
      <c r="B161" s="131">
        <v>787</v>
      </c>
      <c r="C161" s="79">
        <v>1.4175257700000001E-2</v>
      </c>
      <c r="D161" s="24">
        <v>861</v>
      </c>
      <c r="E161" s="25">
        <f t="shared" si="82"/>
        <v>9.4027954256670904E-2</v>
      </c>
      <c r="F161" s="104">
        <f>IF(ISNUMBER(D161), $B172 * E161, "")</f>
        <v>14104.193138500636</v>
      </c>
      <c r="G161" s="102">
        <v>831</v>
      </c>
      <c r="H161" s="25">
        <f t="shared" si="83"/>
        <v>5.5908513341804321E-2</v>
      </c>
      <c r="I161" s="103">
        <f>IF(ISNUMBER(G161), $B172 * H161, "")</f>
        <v>8386.2770012706478</v>
      </c>
      <c r="J161" s="24">
        <v>821</v>
      </c>
      <c r="K161" s="25">
        <f t="shared" si="84"/>
        <v>4.3202033036848796E-2</v>
      </c>
      <c r="L161" s="104">
        <f>IF(ISNUMBER(J161), $B172 * K161, "")</f>
        <v>6480.3049555273192</v>
      </c>
      <c r="M161" s="102">
        <v>825</v>
      </c>
      <c r="N161" s="25">
        <f t="shared" si="85"/>
        <v>4.8284625158831002E-2</v>
      </c>
      <c r="O161" s="104">
        <f>IF(ISNUMBER(M161), $B172 * N161, "")</f>
        <v>7242.6937738246506</v>
      </c>
      <c r="Q161" s="193"/>
      <c r="R161" s="194"/>
      <c r="S161" s="195"/>
    </row>
    <row r="162" spans="1:19">
      <c r="A162" s="123" t="s">
        <v>160</v>
      </c>
      <c r="B162" s="124">
        <v>101</v>
      </c>
      <c r="C162" s="76">
        <v>1.20240481E-2</v>
      </c>
      <c r="D162" s="13">
        <v>100</v>
      </c>
      <c r="E162" s="14">
        <f>IF(ISNUMBER(D162), (D162 - $B162) / $B162, "")</f>
        <v>-9.9009900990099011E-3</v>
      </c>
      <c r="F162" s="16">
        <f>IF(ISNUMBER(D162), $B172 * E162, "")</f>
        <v>-1485.1485148514851</v>
      </c>
      <c r="G162" s="29">
        <v>99.7</v>
      </c>
      <c r="H162" s="14">
        <f>IF(ISNUMBER(G162), (G162 - $B162) / $B162, "")</f>
        <v>-1.2871287128712843E-2</v>
      </c>
      <c r="I162" s="100">
        <f>IF(ISNUMBER(G162), $B172 * H162, "")</f>
        <v>-1930.6930693069264</v>
      </c>
      <c r="J162" s="13">
        <v>100</v>
      </c>
      <c r="K162" s="14">
        <f>IF(ISNUMBER(J162), (J162 - $B162) / $B162, "")</f>
        <v>-9.9009900990099011E-3</v>
      </c>
      <c r="L162" s="16">
        <f>IF(ISNUMBER(J162), $B172 * K162, "")</f>
        <v>-1485.1485148514851</v>
      </c>
      <c r="M162" s="29">
        <v>101</v>
      </c>
      <c r="N162" s="14">
        <f>IF(ISNUMBER(M162), (M162 - $B162) / $B162, "")</f>
        <v>0</v>
      </c>
      <c r="O162" s="16">
        <f>IF(ISNUMBER(M162), $B172 * N162, "")</f>
        <v>0</v>
      </c>
      <c r="Q162" s="196"/>
      <c r="R162" s="197"/>
      <c r="S162" s="198"/>
    </row>
    <row r="163" spans="1:19" ht="17.25" thickBot="1">
      <c r="A163" s="125" t="s">
        <v>220</v>
      </c>
      <c r="B163" s="126">
        <v>169</v>
      </c>
      <c r="C163" s="77">
        <v>1.19760479E-2</v>
      </c>
      <c r="D163" s="15">
        <v>166</v>
      </c>
      <c r="E163" s="32">
        <f t="shared" ref="E163:E166" si="86">IF(ISNUMBER(D163), (D163 - $B163) / $B163, "")</f>
        <v>-1.7751479289940829E-2</v>
      </c>
      <c r="F163" s="18">
        <f>IF(ISNUMBER(D163), $B172 * E163, "")</f>
        <v>-2662.7218934911243</v>
      </c>
      <c r="G163" s="31">
        <v>165</v>
      </c>
      <c r="H163" s="32">
        <f t="shared" ref="H163:H166" si="87">IF(ISNUMBER(G163), (G163 - $B163) / $B163, "")</f>
        <v>-2.3668639053254437E-2</v>
      </c>
      <c r="I163" s="101">
        <f>IF(ISNUMBER(G163), $B172 * H163, "")</f>
        <v>-3550.2958579881656</v>
      </c>
      <c r="J163" s="15">
        <v>165</v>
      </c>
      <c r="K163" s="32">
        <f t="shared" ref="K163:K166" si="88">IF(ISNUMBER(J163), (J163 - $B163) / $B163, "")</f>
        <v>-2.3668639053254437E-2</v>
      </c>
      <c r="L163" s="18">
        <f>IF(ISNUMBER(J163), $B172 * K163, "")</f>
        <v>-3550.2958579881656</v>
      </c>
      <c r="M163" s="31">
        <v>167</v>
      </c>
      <c r="N163" s="32">
        <f t="shared" ref="N163:N166" si="89">IF(ISNUMBER(M163), (M163 - $B163) / $B163, "")</f>
        <v>-1.1834319526627219E-2</v>
      </c>
      <c r="O163" s="18">
        <f>IF(ISNUMBER(M163), $B172 * N163, "")</f>
        <v>-1775.1479289940828</v>
      </c>
      <c r="Q163" s="199"/>
      <c r="R163" s="200"/>
      <c r="S163" s="201"/>
    </row>
    <row r="164" spans="1:19" ht="17.25" thickBot="1">
      <c r="A164" s="125" t="s">
        <v>264</v>
      </c>
      <c r="B164" s="126">
        <v>273</v>
      </c>
      <c r="C164" s="77">
        <v>1.11111111E-2</v>
      </c>
      <c r="D164" s="15">
        <v>267</v>
      </c>
      <c r="E164" s="32">
        <f t="shared" si="86"/>
        <v>-2.197802197802198E-2</v>
      </c>
      <c r="F164" s="18">
        <f>IF(ISNUMBER(D164), $B172 * E164, "")</f>
        <v>-3296.7032967032969</v>
      </c>
      <c r="G164" s="31">
        <v>265</v>
      </c>
      <c r="H164" s="32">
        <f t="shared" si="87"/>
        <v>-2.9304029304029304E-2</v>
      </c>
      <c r="I164" s="101">
        <f>IF(ISNUMBER(G164), $B172 * H164, "")</f>
        <v>-4395.6043956043959</v>
      </c>
      <c r="J164" s="15">
        <v>267</v>
      </c>
      <c r="K164" s="32">
        <f t="shared" si="88"/>
        <v>-2.197802197802198E-2</v>
      </c>
      <c r="L164" s="18">
        <f>IF(ISNUMBER(J164), $B172 * K164, "")</f>
        <v>-3296.7032967032969</v>
      </c>
      <c r="M164" s="31">
        <v>270</v>
      </c>
      <c r="N164" s="32">
        <f t="shared" si="89"/>
        <v>-1.098901098901099E-2</v>
      </c>
      <c r="O164" s="18">
        <f>IF(ISNUMBER(M164), $B172 * N164, "")</f>
        <v>-1648.3516483516485</v>
      </c>
      <c r="Q164" s="192"/>
      <c r="R164" s="192"/>
      <c r="S164" s="192"/>
    </row>
    <row r="165" spans="1:19" ht="17.25" thickBot="1">
      <c r="A165" s="125" t="s">
        <v>172</v>
      </c>
      <c r="B165" s="126">
        <v>415</v>
      </c>
      <c r="C165" s="77">
        <v>9.7323601000000003E-3</v>
      </c>
      <c r="D165" s="15">
        <v>423</v>
      </c>
      <c r="E165" s="32">
        <f t="shared" si="86"/>
        <v>1.9277108433734941E-2</v>
      </c>
      <c r="F165" s="18">
        <f>IF(ISNUMBER(D165), $B172 * E165, "")</f>
        <v>2891.5662650602412</v>
      </c>
      <c r="G165" s="31">
        <v>447</v>
      </c>
      <c r="H165" s="32">
        <f t="shared" si="87"/>
        <v>7.7108433734939766E-2</v>
      </c>
      <c r="I165" s="101">
        <f>IF(ISNUMBER(G165), $B172 * H165, "")</f>
        <v>11566.265060240965</v>
      </c>
      <c r="J165" s="15">
        <v>438</v>
      </c>
      <c r="K165" s="32">
        <f t="shared" si="88"/>
        <v>5.5421686746987948E-2</v>
      </c>
      <c r="L165" s="18">
        <f>IF(ISNUMBER(J165), $B172 * K165, "")</f>
        <v>8313.2530120481915</v>
      </c>
      <c r="M165" s="31">
        <v>432</v>
      </c>
      <c r="N165" s="32">
        <f t="shared" si="89"/>
        <v>4.0963855421686748E-2</v>
      </c>
      <c r="O165" s="18">
        <f>IF(ISNUMBER(M165), $B172 * N165, "")</f>
        <v>6144.5783132530123</v>
      </c>
      <c r="Q165" s="202"/>
      <c r="R165" s="202"/>
      <c r="S165" s="202"/>
    </row>
    <row r="166" spans="1:19" ht="17.25" thickBot="1">
      <c r="A166" s="127" t="s">
        <v>226</v>
      </c>
      <c r="B166" s="128">
        <v>892</v>
      </c>
      <c r="C166" s="78">
        <v>7.9096045000000004E-3</v>
      </c>
      <c r="D166" s="20">
        <v>955</v>
      </c>
      <c r="E166" s="21">
        <f t="shared" si="86"/>
        <v>7.0627802690582955E-2</v>
      </c>
      <c r="F166" s="22">
        <f>IF(ISNUMBER(D166), $B172 * E166, "")</f>
        <v>10594.170403587443</v>
      </c>
      <c r="G166" s="30">
        <v>936</v>
      </c>
      <c r="H166" s="21">
        <f t="shared" si="87"/>
        <v>4.9327354260089683E-2</v>
      </c>
      <c r="I166" s="105">
        <f>IF(ISNUMBER(G166), $B172 * H166, "")</f>
        <v>7399.1031390134522</v>
      </c>
      <c r="J166" s="20">
        <v>929</v>
      </c>
      <c r="K166" s="21">
        <f t="shared" si="88"/>
        <v>4.1479820627802692E-2</v>
      </c>
      <c r="L166" s="22">
        <f>IF(ISNUMBER(J166), $B172 * K166, "")</f>
        <v>6221.9730941704038</v>
      </c>
      <c r="M166" s="30">
        <v>939</v>
      </c>
      <c r="N166" s="21">
        <f t="shared" si="89"/>
        <v>5.2690582959641255E-2</v>
      </c>
      <c r="O166" s="22">
        <f>IF(ISNUMBER(M166), $B172 * N166, "")</f>
        <v>7903.5874439461886</v>
      </c>
      <c r="Q166" s="202"/>
      <c r="R166" s="202"/>
      <c r="S166" s="202"/>
    </row>
    <row r="167" spans="1:19" ht="17.25" thickBot="1">
      <c r="A167" s="125" t="s">
        <v>216</v>
      </c>
      <c r="B167" s="129">
        <v>139</v>
      </c>
      <c r="C167" s="80">
        <v>7.2463768E-3</v>
      </c>
      <c r="D167" s="106">
        <v>141</v>
      </c>
      <c r="E167" s="107">
        <f>IF(ISNUMBER(D167), (D167 - $B167) / $B167, "")</f>
        <v>1.4388489208633094E-2</v>
      </c>
      <c r="F167" s="108">
        <f>IF(ISNUMBER(D167), $B172 * E167, "")</f>
        <v>2158.2733812949641</v>
      </c>
      <c r="G167" s="109">
        <v>142</v>
      </c>
      <c r="H167" s="107">
        <f>IF(ISNUMBER(G167), (G167 - $B167) / $B167, "")</f>
        <v>2.1582733812949641E-2</v>
      </c>
      <c r="I167" s="110">
        <f>IF(ISNUMBER(G167), $B172 * H167, "")</f>
        <v>3237.4100719424464</v>
      </c>
      <c r="J167" s="106">
        <v>142</v>
      </c>
      <c r="K167" s="107">
        <f>IF(ISNUMBER(J167), (J167 - $B167) / $B167, "")</f>
        <v>2.1582733812949641E-2</v>
      </c>
      <c r="L167" s="108">
        <f>IF(ISNUMBER(J167), $B172 * K167, "")</f>
        <v>3237.4100719424464</v>
      </c>
      <c r="M167" s="109">
        <v>141</v>
      </c>
      <c r="N167" s="107">
        <f>IF(ISNUMBER(M167), (M167 - $B167) / $B167, "")</f>
        <v>1.4388489208633094E-2</v>
      </c>
      <c r="O167" s="108">
        <f>IF(ISNUMBER(M167), $B172 * N167, "")</f>
        <v>2158.2733812949641</v>
      </c>
      <c r="Q167" s="192"/>
      <c r="R167" s="192"/>
      <c r="S167" s="192"/>
    </row>
    <row r="168" spans="1:19" ht="17.25" thickBot="1">
      <c r="A168" s="125" t="s">
        <v>204</v>
      </c>
      <c r="B168" s="126">
        <v>899</v>
      </c>
      <c r="C168" s="77">
        <v>6.7189249999999997E-3</v>
      </c>
      <c r="D168" s="15">
        <v>1005</v>
      </c>
      <c r="E168" s="32">
        <f t="shared" ref="E168:E171" si="90">IF(ISNUMBER(D168), (D168 - $B168) / $B168, "")</f>
        <v>0.11790878754171301</v>
      </c>
      <c r="F168" s="18">
        <f>IF(ISNUMBER(D168), $B172 * E168, "")</f>
        <v>17686.31813125695</v>
      </c>
      <c r="G168" s="31">
        <v>972</v>
      </c>
      <c r="H168" s="32">
        <f t="shared" ref="H168:H171" si="91">IF(ISNUMBER(G168), (G168 - $B168) / $B168, "")</f>
        <v>8.1201334816462731E-2</v>
      </c>
      <c r="I168" s="101">
        <f>IF(ISNUMBER(G168), $B172 * H168, "")</f>
        <v>12180.20022246941</v>
      </c>
      <c r="J168" s="15">
        <v>958</v>
      </c>
      <c r="K168" s="32">
        <f t="shared" ref="K168:K171" si="92">IF(ISNUMBER(J168), (J168 - $B168) / $B168, "")</f>
        <v>6.5628476084538381E-2</v>
      </c>
      <c r="L168" s="18">
        <f>IF(ISNUMBER(J168), $B172 * K168, "")</f>
        <v>9844.2714126807568</v>
      </c>
      <c r="M168" s="31">
        <v>986</v>
      </c>
      <c r="N168" s="32">
        <f t="shared" ref="N168:N171" si="93">IF(ISNUMBER(M168), (M168 - $B168) / $B168, "")</f>
        <v>9.6774193548387094E-2</v>
      </c>
      <c r="O168" s="18">
        <f>IF(ISNUMBER(M168), $B172 * N168, "")</f>
        <v>14516.129032258064</v>
      </c>
      <c r="Q168" s="192"/>
      <c r="R168" s="192"/>
      <c r="S168" s="192"/>
    </row>
    <row r="169" spans="1:19" ht="17.25" thickBot="1">
      <c r="A169" s="125" t="s">
        <v>112</v>
      </c>
      <c r="B169" s="126">
        <v>983</v>
      </c>
      <c r="C169" s="77">
        <v>2.0387360000000002E-3</v>
      </c>
      <c r="D169" s="15">
        <v>953</v>
      </c>
      <c r="E169" s="32">
        <f t="shared" si="90"/>
        <v>-3.0518819938962362E-2</v>
      </c>
      <c r="F169" s="18">
        <f>IF(ISNUMBER(D169), $B172 * E169, "")</f>
        <v>-4577.8229908443545</v>
      </c>
      <c r="G169" s="31">
        <v>943</v>
      </c>
      <c r="H169" s="32">
        <f t="shared" si="91"/>
        <v>-4.0691759918616482E-2</v>
      </c>
      <c r="I169" s="101">
        <f>IF(ISNUMBER(G169), $B172 * H169, "")</f>
        <v>-6103.7639877924721</v>
      </c>
      <c r="J169" s="15">
        <v>942</v>
      </c>
      <c r="K169" s="32">
        <f t="shared" si="92"/>
        <v>-4.170905391658189E-2</v>
      </c>
      <c r="L169" s="18">
        <f>IF(ISNUMBER(J169), $B172 * K169, "")</f>
        <v>-6256.3580874872832</v>
      </c>
      <c r="M169" s="31">
        <v>949</v>
      </c>
      <c r="N169" s="32">
        <f t="shared" si="93"/>
        <v>-3.4587995930824011E-2</v>
      </c>
      <c r="O169" s="18">
        <f>IF(ISNUMBER(M169), $B172 * N169, "")</f>
        <v>-5188.1993896236017</v>
      </c>
      <c r="Q169" s="192"/>
      <c r="R169" s="192"/>
      <c r="S169" s="192"/>
    </row>
    <row r="170" spans="1:19">
      <c r="A170" s="125" t="s">
        <v>162</v>
      </c>
      <c r="B170" s="126">
        <v>813</v>
      </c>
      <c r="C170" s="77">
        <v>-7.3260073000000004E-3</v>
      </c>
      <c r="D170" s="15">
        <v>823</v>
      </c>
      <c r="E170" s="32">
        <f t="shared" si="90"/>
        <v>1.2300123001230012E-2</v>
      </c>
      <c r="F170" s="18">
        <f>IF(ISNUMBER(D170), $B172 * E170, "")</f>
        <v>1845.0184501845019</v>
      </c>
      <c r="G170" s="31">
        <v>801</v>
      </c>
      <c r="H170" s="32">
        <f t="shared" si="91"/>
        <v>-1.4760147601476014E-2</v>
      </c>
      <c r="I170" s="101">
        <f>IF(ISNUMBER(G170), $B172 * H170, "")</f>
        <v>-2214.022140221402</v>
      </c>
      <c r="J170" s="15">
        <v>805</v>
      </c>
      <c r="K170" s="32">
        <f t="shared" si="92"/>
        <v>-9.8400984009840101E-3</v>
      </c>
      <c r="L170" s="18">
        <f>IF(ISNUMBER(J170), $B172 * K170, "")</f>
        <v>-1476.0147601476015</v>
      </c>
      <c r="M170" s="31">
        <v>806</v>
      </c>
      <c r="N170" s="32">
        <f t="shared" si="93"/>
        <v>-8.6100861008610082E-3</v>
      </c>
      <c r="O170" s="18">
        <f>IF(ISNUMBER(M170), $B172 * N170, "")</f>
        <v>-1291.5129151291512</v>
      </c>
      <c r="Q170" s="181"/>
      <c r="R170" s="182"/>
      <c r="S170" s="183"/>
    </row>
    <row r="171" spans="1:19" ht="17.25" thickBot="1">
      <c r="A171" s="130" t="s">
        <v>240</v>
      </c>
      <c r="B171" s="131">
        <v>634</v>
      </c>
      <c r="C171" s="79">
        <v>-7.8247261000000002E-3</v>
      </c>
      <c r="D171" s="24">
        <v>638</v>
      </c>
      <c r="E171" s="25">
        <f t="shared" si="90"/>
        <v>6.3091482649842269E-3</v>
      </c>
      <c r="F171" s="104">
        <f>IF(ISNUMBER(D171), $B172 * E171, "")</f>
        <v>946.37223974763401</v>
      </c>
      <c r="G171" s="102">
        <v>627</v>
      </c>
      <c r="H171" s="25">
        <f t="shared" si="91"/>
        <v>-1.1041009463722398E-2</v>
      </c>
      <c r="I171" s="103">
        <f>IF(ISNUMBER(G171), $B172 * H171, "")</f>
        <v>-1656.1514195583597</v>
      </c>
      <c r="J171" s="24">
        <v>630</v>
      </c>
      <c r="K171" s="25">
        <f t="shared" si="92"/>
        <v>-6.3091482649842269E-3</v>
      </c>
      <c r="L171" s="104">
        <f>IF(ISNUMBER(J171), $B172 * K171, "")</f>
        <v>-946.37223974763401</v>
      </c>
      <c r="M171" s="102">
        <v>631</v>
      </c>
      <c r="N171" s="25">
        <f t="shared" si="93"/>
        <v>-4.7318611987381704E-3</v>
      </c>
      <c r="O171" s="104">
        <f>IF(ISNUMBER(M171), $B172 * N171, "")</f>
        <v>-709.77917981072551</v>
      </c>
      <c r="Q171" s="184"/>
      <c r="R171" s="185"/>
      <c r="S171" s="186"/>
    </row>
    <row r="172" spans="1:19" ht="17.25" thickBot="1">
      <c r="A172" s="132" t="s">
        <v>268</v>
      </c>
      <c r="B172" s="245">
        <f>$B$37</f>
        <v>150000</v>
      </c>
      <c r="C172" s="246"/>
      <c r="D172" s="26" t="s">
        <v>269</v>
      </c>
      <c r="E172" s="27">
        <f>IF(COUNT(E152:E171), SUM(E152:E171) / COUNT(E152:E171), 0)</f>
        <v>1.2918967317770338E-2</v>
      </c>
      <c r="F172" s="28">
        <f>SUM(F152:F171)</f>
        <v>38756.901953311011</v>
      </c>
      <c r="G172" s="26" t="s">
        <v>269</v>
      </c>
      <c r="H172" s="27">
        <f>IF(COUNT(H152:H171), SUM(H152:H171) / COUNT(H152:H171), 0)</f>
        <v>2.7816061798645641E-3</v>
      </c>
      <c r="I172" s="28">
        <f>SUM(I152:I171)</f>
        <v>8344.8185395936944</v>
      </c>
      <c r="J172" s="26" t="s">
        <v>269</v>
      </c>
      <c r="K172" s="27">
        <f>IF(COUNT(K152:K171), SUM(K152:K171) / COUNT(K152:K171), 0)</f>
        <v>2.6593269275581267E-3</v>
      </c>
      <c r="L172" s="28">
        <f>SUM(L152:L171)</f>
        <v>7977.9807826743818</v>
      </c>
      <c r="M172" s="26" t="s">
        <v>269</v>
      </c>
      <c r="N172" s="27">
        <f>IF(COUNT(N152:N171), SUM(N152:N171) / COUNT(N152:N171), 0)</f>
        <v>7.6489993825114592E-3</v>
      </c>
      <c r="O172" s="28">
        <f>SUM(O152:O171)</f>
        <v>22946.998147534381</v>
      </c>
      <c r="Q172" s="187"/>
      <c r="R172" s="188"/>
      <c r="S172" s="189"/>
    </row>
    <row r="174" spans="1:19" ht="17.25" thickBot="1"/>
    <row r="175" spans="1:19" ht="17.25" thickBot="1">
      <c r="A175" s="203" t="s">
        <v>253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65" t="s">
        <v>265</v>
      </c>
      <c r="B176" s="203" t="s">
        <v>49</v>
      </c>
      <c r="C176" s="205"/>
      <c r="D176" s="203" t="s">
        <v>58</v>
      </c>
      <c r="E176" s="204"/>
      <c r="F176" s="205"/>
      <c r="G176" s="206">
        <f>_xlfn.IFNA(VLOOKUP(B176, 현재가테이블!$B$2:$D$200, 2, FALSE), "-")</f>
        <v>62630000</v>
      </c>
      <c r="H176" s="207"/>
      <c r="I176" s="208"/>
      <c r="J176" s="203" t="s">
        <v>59</v>
      </c>
      <c r="K176" s="204"/>
      <c r="L176" s="205"/>
      <c r="M176" s="209">
        <f>_xlfn.IFNA(VLOOKUP(B176, 현재가테이블!$B$2:$D$200, 3, FALSE), "-")</f>
        <v>1.5632601400000001E-2</v>
      </c>
      <c r="N176" s="210"/>
      <c r="O176" s="211"/>
      <c r="Q176" s="202"/>
      <c r="R176" s="202"/>
      <c r="S176" s="202"/>
    </row>
    <row r="177" spans="1:19" ht="17.25" thickBot="1">
      <c r="A177" s="247" t="s">
        <v>55</v>
      </c>
      <c r="B177" s="243" t="str">
        <f>TEXT($G$1, "[$-ko-KR]yyyy-mm-dd(ddd) ") &amp; "오전 00:00"</f>
        <v>2021-10-03(일) 오전 00:00</v>
      </c>
      <c r="C177" s="244"/>
      <c r="D177" s="216" t="str">
        <f>TEXT($G$1, "[$-ko-KR]yyyy-mm-dd(ddd) ") &amp; "오후 14:00"</f>
        <v>2021-10-03(일) 오후 14:00</v>
      </c>
      <c r="E177" s="217"/>
      <c r="F177" s="218"/>
      <c r="G177" s="216" t="str">
        <f>TEXT($G$1, "[$-ko-KR]yyyy-mm-dd(ddd) ") &amp; "오후 19:00"</f>
        <v>2021-10-03(일) 오후 19:00</v>
      </c>
      <c r="H177" s="217"/>
      <c r="I177" s="218"/>
      <c r="J177" s="216" t="str">
        <f>TEXT($G$1, "[$-ko-KR]yyyy-mm-dd(ddd) ") &amp; "오후 21:00"</f>
        <v>2021-10-03(일) 오후 21:00</v>
      </c>
      <c r="K177" s="217"/>
      <c r="L177" s="218"/>
      <c r="M177" s="216" t="str">
        <f>TEXT($G$1+1, "[$-ko-KR]yyyy-mm-dd(ddd) ") &amp; "오전 00:00"</f>
        <v>2021-10-04(월) 오전 00:00</v>
      </c>
      <c r="N177" s="217"/>
      <c r="O177" s="218"/>
      <c r="Q177" s="202"/>
      <c r="R177" s="202"/>
      <c r="S177" s="202"/>
    </row>
    <row r="178" spans="1:19" ht="17.25" thickBot="1">
      <c r="A178" s="24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6" t="s">
        <v>58</v>
      </c>
      <c r="H178" s="167" t="s">
        <v>266</v>
      </c>
      <c r="I178" s="16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192"/>
      <c r="R178" s="192"/>
      <c r="S178" s="192"/>
    </row>
    <row r="179" spans="1:19" ht="17.25" thickBot="1">
      <c r="A179" s="123" t="s">
        <v>248</v>
      </c>
      <c r="B179" s="124">
        <v>84.3</v>
      </c>
      <c r="C179" s="76">
        <v>9.5808383E-3</v>
      </c>
      <c r="D179" s="13">
        <v>84.8</v>
      </c>
      <c r="E179" s="14">
        <f>IF(ISNUMBER(D179), (D179 - $B179) / $B179, "")</f>
        <v>5.9311981020166073E-3</v>
      </c>
      <c r="F179" s="16">
        <f>IF(ISNUMBER(D179), $B199 * E179, "")</f>
        <v>889.6797153024911</v>
      </c>
      <c r="G179" s="29">
        <v>84.3</v>
      </c>
      <c r="H179" s="14">
        <f>IF(ISNUMBER(G179), (G179 - $B179) / $B179, "")</f>
        <v>0</v>
      </c>
      <c r="I179" s="100">
        <f>IF(ISNUMBER(G179), $B199 * H179, "")</f>
        <v>0</v>
      </c>
      <c r="J179" s="13">
        <v>84.6</v>
      </c>
      <c r="K179" s="14">
        <f>IF(ISNUMBER(J179), (J179 - $B179) / $B179, "")</f>
        <v>3.5587188612099308E-3</v>
      </c>
      <c r="L179" s="16">
        <f>IF(ISNUMBER(J179), $B199 * K179, "")</f>
        <v>533.80782918148964</v>
      </c>
      <c r="M179" s="29">
        <v>85.1</v>
      </c>
      <c r="N179" s="14">
        <f>IF(ISNUMBER(M179), (M179 - $B179) / $B179, "")</f>
        <v>9.4899169632265377E-3</v>
      </c>
      <c r="O179" s="16">
        <f>IF(ISNUMBER(M179), $B199 * N179, "")</f>
        <v>1423.4875444839806</v>
      </c>
      <c r="Q179" s="202"/>
      <c r="R179" s="202"/>
      <c r="S179" s="202"/>
    </row>
    <row r="180" spans="1:19" ht="17.25" thickBot="1">
      <c r="A180" s="125" t="s">
        <v>226</v>
      </c>
      <c r="B180" s="126">
        <v>892</v>
      </c>
      <c r="C180" s="77">
        <v>7.9096045000000004E-3</v>
      </c>
      <c r="D180" s="15">
        <v>955</v>
      </c>
      <c r="E180" s="32">
        <f t="shared" ref="E180:E183" si="94">IF(ISNUMBER(D180), (D180 - $B180) / $B180, "")</f>
        <v>7.0627802690582955E-2</v>
      </c>
      <c r="F180" s="18">
        <f>IF(ISNUMBER(D180), $B199 * E180, "")</f>
        <v>10594.170403587443</v>
      </c>
      <c r="G180" s="31">
        <v>936</v>
      </c>
      <c r="H180" s="32">
        <f t="shared" ref="H180:H183" si="95">IF(ISNUMBER(G180), (G180 - $B180) / $B180, "")</f>
        <v>4.9327354260089683E-2</v>
      </c>
      <c r="I180" s="101">
        <f>IF(ISNUMBER(G180), $B199 * H180, "")</f>
        <v>7399.1031390134522</v>
      </c>
      <c r="J180" s="15">
        <v>929</v>
      </c>
      <c r="K180" s="32">
        <f t="shared" ref="K180:K183" si="96">IF(ISNUMBER(J180), (J180 - $B180) / $B180, "")</f>
        <v>4.1479820627802692E-2</v>
      </c>
      <c r="L180" s="18">
        <f>IF(ISNUMBER(J180), $B199 * K180, "")</f>
        <v>6221.9730941704038</v>
      </c>
      <c r="M180" s="31">
        <v>939</v>
      </c>
      <c r="N180" s="32">
        <f t="shared" ref="N180:N183" si="97">IF(ISNUMBER(M180), (M180 - $B180) / $B180, "")</f>
        <v>5.2690582959641255E-2</v>
      </c>
      <c r="O180" s="18">
        <f>IF(ISNUMBER(M180), $B199 * N180, "")</f>
        <v>7903.5874439461886</v>
      </c>
      <c r="Q180" s="202"/>
      <c r="R180" s="202"/>
      <c r="S180" s="202"/>
    </row>
    <row r="181" spans="1:19" ht="17.25" thickBot="1">
      <c r="A181" s="125" t="s">
        <v>90</v>
      </c>
      <c r="B181" s="126">
        <v>1275</v>
      </c>
      <c r="C181" s="77">
        <v>7.9051382999999996E-3</v>
      </c>
      <c r="D181" s="15">
        <v>1275</v>
      </c>
      <c r="E181" s="32">
        <f t="shared" si="94"/>
        <v>0</v>
      </c>
      <c r="F181" s="18">
        <f>IF(ISNUMBER(D181), $B199 * E181, "")</f>
        <v>0</v>
      </c>
      <c r="G181" s="31">
        <v>1265</v>
      </c>
      <c r="H181" s="32">
        <f t="shared" si="95"/>
        <v>-7.8431372549019607E-3</v>
      </c>
      <c r="I181" s="101">
        <f>IF(ISNUMBER(G181), $B199 * H181, "")</f>
        <v>-1176.4705882352941</v>
      </c>
      <c r="J181" s="15">
        <v>1280</v>
      </c>
      <c r="K181" s="32">
        <f t="shared" si="96"/>
        <v>3.9215686274509803E-3</v>
      </c>
      <c r="L181" s="18">
        <f>IF(ISNUMBER(J181), $B199 * K181, "")</f>
        <v>588.23529411764707</v>
      </c>
      <c r="M181" s="31">
        <v>1300</v>
      </c>
      <c r="N181" s="32">
        <f t="shared" si="97"/>
        <v>1.9607843137254902E-2</v>
      </c>
      <c r="O181" s="18">
        <f>IF(ISNUMBER(M181), $B199 * N181, "")</f>
        <v>2941.1764705882351</v>
      </c>
      <c r="Q181" s="192"/>
      <c r="R181" s="192"/>
      <c r="S181" s="192"/>
    </row>
    <row r="182" spans="1:19" ht="17.25" thickBot="1">
      <c r="A182" s="125" t="s">
        <v>206</v>
      </c>
      <c r="B182" s="126">
        <v>13.2</v>
      </c>
      <c r="C182" s="77">
        <v>7.6335878000000001E-3</v>
      </c>
      <c r="D182" s="15">
        <v>13</v>
      </c>
      <c r="E182" s="32">
        <f t="shared" si="94"/>
        <v>-1.5151515151515098E-2</v>
      </c>
      <c r="F182" s="18">
        <f>IF(ISNUMBER(D182), $B199 * E182, "")</f>
        <v>-2272.7272727272648</v>
      </c>
      <c r="G182" s="31">
        <v>13</v>
      </c>
      <c r="H182" s="32">
        <f t="shared" si="95"/>
        <v>-1.5151515151515098E-2</v>
      </c>
      <c r="I182" s="101">
        <f>IF(ISNUMBER(G182), $B199 * H182, "")</f>
        <v>-2272.7272727272648</v>
      </c>
      <c r="J182" s="15">
        <v>12.9</v>
      </c>
      <c r="K182" s="32">
        <f t="shared" si="96"/>
        <v>-2.2727272727272648E-2</v>
      </c>
      <c r="L182" s="18">
        <f>IF(ISNUMBER(J182), $B199 * K182, "")</f>
        <v>-3409.0909090908972</v>
      </c>
      <c r="M182" s="31">
        <v>13</v>
      </c>
      <c r="N182" s="32">
        <f t="shared" si="97"/>
        <v>-1.5151515151515098E-2</v>
      </c>
      <c r="O182" s="18">
        <f>IF(ISNUMBER(M182), $B199 * N182, "")</f>
        <v>-2272.7272727272648</v>
      </c>
      <c r="Q182" s="192"/>
      <c r="R182" s="192"/>
      <c r="S182" s="192"/>
    </row>
    <row r="183" spans="1:19" ht="17.25" thickBot="1">
      <c r="A183" s="127" t="s">
        <v>216</v>
      </c>
      <c r="B183" s="128">
        <v>139</v>
      </c>
      <c r="C183" s="78">
        <v>7.2463768E-3</v>
      </c>
      <c r="D183" s="20">
        <v>141</v>
      </c>
      <c r="E183" s="21">
        <f t="shared" si="94"/>
        <v>1.4388489208633094E-2</v>
      </c>
      <c r="F183" s="22">
        <f>IF(ISNUMBER(D183), $B199 * E183, "")</f>
        <v>2158.2733812949641</v>
      </c>
      <c r="G183" s="30">
        <v>142</v>
      </c>
      <c r="H183" s="21">
        <f t="shared" si="95"/>
        <v>2.1582733812949641E-2</v>
      </c>
      <c r="I183" s="105">
        <f>IF(ISNUMBER(G183), $B199 * H183, "")</f>
        <v>3237.4100719424464</v>
      </c>
      <c r="J183" s="20">
        <v>142</v>
      </c>
      <c r="K183" s="21">
        <f t="shared" si="96"/>
        <v>2.1582733812949641E-2</v>
      </c>
      <c r="L183" s="22">
        <f>IF(ISNUMBER(J183), $B199 * K183, "")</f>
        <v>3237.4100719424464</v>
      </c>
      <c r="M183" s="30">
        <v>141</v>
      </c>
      <c r="N183" s="21">
        <f t="shared" si="97"/>
        <v>1.4388489208633094E-2</v>
      </c>
      <c r="O183" s="22">
        <f>IF(ISNUMBER(M183), $B199 * N183, "")</f>
        <v>2158.2733812949641</v>
      </c>
      <c r="Q183" s="192"/>
      <c r="R183" s="192"/>
      <c r="S183" s="192"/>
    </row>
    <row r="184" spans="1:19" ht="17.25" thickBot="1">
      <c r="A184" s="125" t="s">
        <v>204</v>
      </c>
      <c r="B184" s="129">
        <v>899</v>
      </c>
      <c r="C184" s="80">
        <v>6.7189249999999997E-3</v>
      </c>
      <c r="D184" s="106">
        <v>1005</v>
      </c>
      <c r="E184" s="107">
        <f>IF(ISNUMBER(D184), (D184 - $B184) / $B184, "")</f>
        <v>0.11790878754171301</v>
      </c>
      <c r="F184" s="108">
        <f>IF(ISNUMBER(D184), $B199 * E184, "")</f>
        <v>17686.31813125695</v>
      </c>
      <c r="G184" s="109">
        <v>972</v>
      </c>
      <c r="H184" s="107">
        <f>IF(ISNUMBER(G184), (G184 - $B184) / $B184, "")</f>
        <v>8.1201334816462731E-2</v>
      </c>
      <c r="I184" s="110">
        <f>IF(ISNUMBER(G184), $B199 * H184, "")</f>
        <v>12180.20022246941</v>
      </c>
      <c r="J184" s="106">
        <v>958</v>
      </c>
      <c r="K184" s="107">
        <f>IF(ISNUMBER(J184), (J184 - $B184) / $B184, "")</f>
        <v>6.5628476084538381E-2</v>
      </c>
      <c r="L184" s="108">
        <f>IF(ISNUMBER(J184), $B199 * K184, "")</f>
        <v>9844.2714126807568</v>
      </c>
      <c r="M184" s="109">
        <v>986</v>
      </c>
      <c r="N184" s="107">
        <f>IF(ISNUMBER(M184), (M184 - $B184) / $B184, "")</f>
        <v>9.6774193548387094E-2</v>
      </c>
      <c r="O184" s="108">
        <f>IF(ISNUMBER(M184), $B199 * N184, "")</f>
        <v>14516.129032258064</v>
      </c>
      <c r="Q184" s="192"/>
      <c r="R184" s="192"/>
      <c r="S184" s="192"/>
    </row>
    <row r="185" spans="1:19" ht="17.25" thickBot="1">
      <c r="A185" s="125" t="s">
        <v>232</v>
      </c>
      <c r="B185" s="126">
        <v>77.3</v>
      </c>
      <c r="C185" s="77">
        <v>6.5104166999999996E-3</v>
      </c>
      <c r="D185" s="15">
        <v>77.2</v>
      </c>
      <c r="E185" s="32">
        <f t="shared" ref="E185:E188" si="98">IF(ISNUMBER(D185), (D185 - $B185) / $B185, "")</f>
        <v>-1.2936610608019965E-3</v>
      </c>
      <c r="F185" s="18">
        <f>IF(ISNUMBER(D185), $B199 * E185, "")</f>
        <v>-194.04915912029946</v>
      </c>
      <c r="G185" s="31">
        <v>76</v>
      </c>
      <c r="H185" s="32">
        <f t="shared" ref="H185:H188" si="99">IF(ISNUMBER(G185), (G185 - $B185) / $B185, "")</f>
        <v>-1.6817593790426872E-2</v>
      </c>
      <c r="I185" s="101">
        <f>IF(ISNUMBER(G185), $B199 * H185, "")</f>
        <v>-2522.6390685640308</v>
      </c>
      <c r="J185" s="15">
        <v>76.3</v>
      </c>
      <c r="K185" s="32">
        <f t="shared" ref="K185:K188" si="100">IF(ISNUMBER(J185), (J185 - $B185) / $B185, "")</f>
        <v>-1.2936610608020699E-2</v>
      </c>
      <c r="L185" s="18">
        <f>IF(ISNUMBER(J185), $B199 * K185, "")</f>
        <v>-1940.4915912031049</v>
      </c>
      <c r="M185" s="31">
        <v>76.5</v>
      </c>
      <c r="N185" s="32">
        <f t="shared" ref="N185:N188" si="101">IF(ISNUMBER(M185), (M185 - $B185) / $B185, "")</f>
        <v>-1.0349288486416523E-2</v>
      </c>
      <c r="O185" s="18">
        <f>IF(ISNUMBER(M185), $B199 * N185, "")</f>
        <v>-1552.3932729624785</v>
      </c>
      <c r="Q185" s="192"/>
      <c r="R185" s="192"/>
      <c r="S185" s="192"/>
    </row>
    <row r="186" spans="1:19" ht="17.25" thickBot="1">
      <c r="A186" s="125" t="s">
        <v>176</v>
      </c>
      <c r="B186" s="126">
        <v>17.3</v>
      </c>
      <c r="C186" s="77">
        <v>5.8139534999999999E-3</v>
      </c>
      <c r="D186" s="15">
        <v>17.100000000000001</v>
      </c>
      <c r="E186" s="32">
        <f t="shared" si="98"/>
        <v>-1.1560693641618455E-2</v>
      </c>
      <c r="F186" s="18">
        <f>IF(ISNUMBER(D186), $B199 * E186, "")</f>
        <v>-1734.1040462427682</v>
      </c>
      <c r="G186" s="31">
        <v>16.899999999999999</v>
      </c>
      <c r="H186" s="32">
        <f t="shared" si="99"/>
        <v>-2.3121387283237118E-2</v>
      </c>
      <c r="I186" s="101">
        <f>IF(ISNUMBER(G186), $B199 * H186, "")</f>
        <v>-3468.2080924855677</v>
      </c>
      <c r="J186" s="15">
        <v>16.8</v>
      </c>
      <c r="K186" s="32">
        <f t="shared" si="100"/>
        <v>-2.8901734104046242E-2</v>
      </c>
      <c r="L186" s="18">
        <f>IF(ISNUMBER(J186), $B199 * K186, "")</f>
        <v>-4335.2601156069368</v>
      </c>
      <c r="M186" s="31">
        <v>17</v>
      </c>
      <c r="N186" s="32">
        <f t="shared" si="101"/>
        <v>-1.7341040462427786E-2</v>
      </c>
      <c r="O186" s="18">
        <f>IF(ISNUMBER(M186), $B199 * N186, "")</f>
        <v>-2601.1560693641677</v>
      </c>
      <c r="Q186" s="192"/>
      <c r="R186" s="192"/>
      <c r="S186" s="192"/>
    </row>
    <row r="187" spans="1:19" ht="17.25" thickBot="1">
      <c r="A187" s="125" t="s">
        <v>250</v>
      </c>
      <c r="B187" s="126">
        <v>1015</v>
      </c>
      <c r="C187" s="77">
        <v>4.9504950000000001E-3</v>
      </c>
      <c r="D187" s="15">
        <v>1015</v>
      </c>
      <c r="E187" s="32">
        <f t="shared" si="98"/>
        <v>0</v>
      </c>
      <c r="F187" s="18">
        <f>IF(ISNUMBER(D187), $B199 * E187, "")</f>
        <v>0</v>
      </c>
      <c r="G187" s="31">
        <v>1005</v>
      </c>
      <c r="H187" s="32">
        <f t="shared" si="99"/>
        <v>-9.852216748768473E-3</v>
      </c>
      <c r="I187" s="101">
        <f>IF(ISNUMBER(G187), $B199 * H187, "")</f>
        <v>-1477.8325123152711</v>
      </c>
      <c r="J187" s="15">
        <v>1015</v>
      </c>
      <c r="K187" s="32">
        <f t="shared" si="100"/>
        <v>0</v>
      </c>
      <c r="L187" s="18">
        <f>IF(ISNUMBER(J187), $B199 * K187, "")</f>
        <v>0</v>
      </c>
      <c r="M187" s="31">
        <v>1020</v>
      </c>
      <c r="N187" s="32">
        <f t="shared" si="101"/>
        <v>4.9261083743842365E-3</v>
      </c>
      <c r="O187" s="18">
        <f>IF(ISNUMBER(M187), $B199 * N187, "")</f>
        <v>738.91625615763553</v>
      </c>
      <c r="Q187" s="33"/>
      <c r="R187" s="33"/>
    </row>
    <row r="188" spans="1:19" ht="17.25" thickBot="1">
      <c r="A188" s="130" t="s">
        <v>49</v>
      </c>
      <c r="B188" s="131">
        <v>58617000</v>
      </c>
      <c r="C188" s="79">
        <v>4.6102694000000003E-3</v>
      </c>
      <c r="D188" s="24">
        <v>58524000</v>
      </c>
      <c r="E188" s="25">
        <f t="shared" si="98"/>
        <v>-1.586570448845898E-3</v>
      </c>
      <c r="F188" s="104">
        <f>IF(ISNUMBER(D188), $B199 * E188, "")</f>
        <v>-237.98556732688471</v>
      </c>
      <c r="G188" s="102">
        <v>58180000</v>
      </c>
      <c r="H188" s="25">
        <f t="shared" si="99"/>
        <v>-7.4551751198457788E-3</v>
      </c>
      <c r="I188" s="103">
        <f>IF(ISNUMBER(G188), $B199 * H188, "")</f>
        <v>-1118.2762679768668</v>
      </c>
      <c r="J188" s="24">
        <v>58202000</v>
      </c>
      <c r="K188" s="25">
        <f t="shared" si="100"/>
        <v>-7.079857379258577E-3</v>
      </c>
      <c r="L188" s="104">
        <f>IF(ISNUMBER(J188), $B199 * K188, "")</f>
        <v>-1061.9786068887865</v>
      </c>
      <c r="M188" s="102">
        <v>58280000</v>
      </c>
      <c r="N188" s="25">
        <f t="shared" si="101"/>
        <v>-5.7491853899039524E-3</v>
      </c>
      <c r="O188" s="104">
        <f>IF(ISNUMBER(M188), $B199 * N188, "")</f>
        <v>-862.37780848559282</v>
      </c>
      <c r="Q188" s="193"/>
      <c r="R188" s="194"/>
      <c r="S188" s="195"/>
    </row>
    <row r="189" spans="1:19">
      <c r="A189" s="123" t="s">
        <v>112</v>
      </c>
      <c r="B189" s="124">
        <v>983</v>
      </c>
      <c r="C189" s="76">
        <v>2.0387360000000002E-3</v>
      </c>
      <c r="D189" s="13">
        <v>953</v>
      </c>
      <c r="E189" s="14">
        <f>IF(ISNUMBER(D189), (D189 - $B189) / $B189, "")</f>
        <v>-3.0518819938962362E-2</v>
      </c>
      <c r="F189" s="16">
        <f>IF(ISNUMBER(D189), $B199 * E189, "")</f>
        <v>-4577.8229908443545</v>
      </c>
      <c r="G189" s="29">
        <v>943</v>
      </c>
      <c r="H189" s="14">
        <f>IF(ISNUMBER(G189), (G189 - $B189) / $B189, "")</f>
        <v>-4.0691759918616482E-2</v>
      </c>
      <c r="I189" s="100">
        <f>IF(ISNUMBER(G189), $B199 * H189, "")</f>
        <v>-6103.7639877924721</v>
      </c>
      <c r="J189" s="13">
        <v>942</v>
      </c>
      <c r="K189" s="14">
        <f>IF(ISNUMBER(J189), (J189 - $B189) / $B189, "")</f>
        <v>-4.170905391658189E-2</v>
      </c>
      <c r="L189" s="16">
        <f>IF(ISNUMBER(J189), $B199 * K189, "")</f>
        <v>-6256.3580874872832</v>
      </c>
      <c r="M189" s="29">
        <v>949</v>
      </c>
      <c r="N189" s="14">
        <f>IF(ISNUMBER(M189), (M189 - $B189) / $B189, "")</f>
        <v>-3.4587995930824011E-2</v>
      </c>
      <c r="O189" s="16">
        <f>IF(ISNUMBER(M189), $B199 * N189, "")</f>
        <v>-5188.1993896236017</v>
      </c>
      <c r="Q189" s="196"/>
      <c r="R189" s="197"/>
      <c r="S189" s="198"/>
    </row>
    <row r="190" spans="1:19" ht="17.25" thickBot="1">
      <c r="A190" s="125" t="s">
        <v>202</v>
      </c>
      <c r="B190" s="126">
        <v>15</v>
      </c>
      <c r="C190" s="77">
        <v>0</v>
      </c>
      <c r="D190" s="15">
        <v>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14.7</v>
      </c>
      <c r="H190" s="32">
        <f t="shared" ref="H190:H193" si="103">IF(ISNUMBER(G190), (G190 - $B190) / $B190, "")</f>
        <v>-2.0000000000000049E-2</v>
      </c>
      <c r="I190" s="101">
        <f>IF(ISNUMBER(G190), $B199 * H190, "")</f>
        <v>-3000.0000000000073</v>
      </c>
      <c r="J190" s="15">
        <v>14.7</v>
      </c>
      <c r="K190" s="32">
        <f t="shared" ref="K190:K193" si="104">IF(ISNUMBER(J190), (J190 - $B190) / $B190, "")</f>
        <v>-2.0000000000000049E-2</v>
      </c>
      <c r="L190" s="18">
        <f>IF(ISNUMBER(J190), $B199 * K190, "")</f>
        <v>-3000.0000000000073</v>
      </c>
      <c r="M190" s="31">
        <v>14.8</v>
      </c>
      <c r="N190" s="32">
        <f t="shared" ref="N190:N193" si="105">IF(ISNUMBER(M190), (M190 - $B190) / $B190, "")</f>
        <v>-1.3333333333333286E-2</v>
      </c>
      <c r="O190" s="18">
        <f>IF(ISNUMBER(M190), $B199 * N190, "")</f>
        <v>-1999.999999999993</v>
      </c>
      <c r="Q190" s="199"/>
      <c r="R190" s="200"/>
      <c r="S190" s="201"/>
    </row>
    <row r="191" spans="1:19" ht="17.25" thickBot="1">
      <c r="A191" s="125" t="s">
        <v>186</v>
      </c>
      <c r="B191" s="126">
        <v>12.8</v>
      </c>
      <c r="C191" s="77">
        <v>0</v>
      </c>
      <c r="D191" s="15">
        <v>13.2</v>
      </c>
      <c r="E191" s="32">
        <f t="shared" si="102"/>
        <v>3.1249999999999889E-2</v>
      </c>
      <c r="F191" s="18">
        <f>IF(ISNUMBER(D191), $B199 * E191, "")</f>
        <v>4687.4999999999836</v>
      </c>
      <c r="G191" s="31">
        <v>13.1</v>
      </c>
      <c r="H191" s="32">
        <f t="shared" si="103"/>
        <v>2.3437499999999917E-2</v>
      </c>
      <c r="I191" s="101">
        <f>IF(ISNUMBER(G191), $B199 * H191, "")</f>
        <v>3515.6249999999877</v>
      </c>
      <c r="J191" s="15">
        <v>13.3</v>
      </c>
      <c r="K191" s="32">
        <f t="shared" si="104"/>
        <v>3.90625E-2</v>
      </c>
      <c r="L191" s="18">
        <f>IF(ISNUMBER(J191), $B199 * K191, "")</f>
        <v>5859.375</v>
      </c>
      <c r="M191" s="31">
        <v>13.3</v>
      </c>
      <c r="N191" s="32">
        <f t="shared" si="105"/>
        <v>3.90625E-2</v>
      </c>
      <c r="O191" s="18">
        <f>IF(ISNUMBER(M191), $B199 * N191, "")</f>
        <v>5859.375</v>
      </c>
      <c r="Q191" s="192"/>
      <c r="R191" s="192"/>
      <c r="S191" s="192"/>
    </row>
    <row r="192" spans="1:19" ht="17.25" thickBot="1">
      <c r="A192" s="125" t="s">
        <v>212</v>
      </c>
      <c r="B192" s="126">
        <v>1005</v>
      </c>
      <c r="C192" s="77">
        <v>0</v>
      </c>
      <c r="D192" s="15">
        <v>992</v>
      </c>
      <c r="E192" s="32">
        <f t="shared" si="102"/>
        <v>-1.2935323383084577E-2</v>
      </c>
      <c r="F192" s="18">
        <f>IF(ISNUMBER(D192), $B199 * E192, "")</f>
        <v>-1940.2985074626865</v>
      </c>
      <c r="G192" s="31">
        <v>979</v>
      </c>
      <c r="H192" s="32">
        <f t="shared" si="103"/>
        <v>-2.5870646766169153E-2</v>
      </c>
      <c r="I192" s="101">
        <f>IF(ISNUMBER(G192), $B199 * H192, "")</f>
        <v>-3880.5970149253731</v>
      </c>
      <c r="J192" s="15">
        <v>980</v>
      </c>
      <c r="K192" s="32">
        <f t="shared" si="104"/>
        <v>-2.4875621890547265E-2</v>
      </c>
      <c r="L192" s="18">
        <f>IF(ISNUMBER(J192), $B199 * K192, "")</f>
        <v>-3731.34328358209</v>
      </c>
      <c r="M192" s="31">
        <v>985</v>
      </c>
      <c r="N192" s="32">
        <f t="shared" si="105"/>
        <v>-1.9900497512437811E-2</v>
      </c>
      <c r="O192" s="18">
        <f>IF(ISNUMBER(M192), $B199 * N192, "")</f>
        <v>-2985.0746268656717</v>
      </c>
      <c r="Q192" s="202"/>
      <c r="R192" s="202"/>
      <c r="S192" s="202"/>
    </row>
    <row r="193" spans="1:19" ht="17.25" thickBot="1">
      <c r="A193" s="127" t="s">
        <v>65</v>
      </c>
      <c r="B193" s="128">
        <v>69.7</v>
      </c>
      <c r="C193" s="78">
        <v>-2.8612302999999999E-3</v>
      </c>
      <c r="D193" s="20">
        <v>68.5</v>
      </c>
      <c r="E193" s="21">
        <f t="shared" si="102"/>
        <v>-1.7216642754662882E-2</v>
      </c>
      <c r="F193" s="22">
        <f>IF(ISNUMBER(D193), $B199 * E193, "")</f>
        <v>-2582.496413199432</v>
      </c>
      <c r="G193" s="30">
        <v>66.900000000000006</v>
      </c>
      <c r="H193" s="21">
        <f t="shared" si="103"/>
        <v>-4.0172166427546584E-2</v>
      </c>
      <c r="I193" s="105">
        <f>IF(ISNUMBER(G193), $B199 * H193, "")</f>
        <v>-6025.8249641319871</v>
      </c>
      <c r="J193" s="20">
        <v>67</v>
      </c>
      <c r="K193" s="21">
        <f t="shared" si="104"/>
        <v>-3.8737446197991431E-2</v>
      </c>
      <c r="L193" s="22">
        <f>IF(ISNUMBER(J193), $B199 * K193, "")</f>
        <v>-5810.6169296987146</v>
      </c>
      <c r="M193" s="30">
        <v>67.2</v>
      </c>
      <c r="N193" s="21">
        <f t="shared" si="105"/>
        <v>-3.5868005738880916E-2</v>
      </c>
      <c r="O193" s="22">
        <f>IF(ISNUMBER(M193), $B199 * N193, "")</f>
        <v>-5380.2008608321376</v>
      </c>
      <c r="Q193" s="202"/>
      <c r="R193" s="202"/>
      <c r="S193" s="202"/>
    </row>
    <row r="194" spans="1:19" ht="17.25" thickBot="1">
      <c r="A194" s="125" t="s">
        <v>162</v>
      </c>
      <c r="B194" s="129">
        <v>813</v>
      </c>
      <c r="C194" s="80">
        <v>-7.3260073000000004E-3</v>
      </c>
      <c r="D194" s="106">
        <v>823</v>
      </c>
      <c r="E194" s="107">
        <f>IF(ISNUMBER(D194), (D194 - $B194) / $B194, "")</f>
        <v>1.2300123001230012E-2</v>
      </c>
      <c r="F194" s="108">
        <f>IF(ISNUMBER(D194), $B199 * E194, "")</f>
        <v>1845.0184501845019</v>
      </c>
      <c r="G194" s="109">
        <v>801</v>
      </c>
      <c r="H194" s="107">
        <f>IF(ISNUMBER(G194), (G194 - $B194) / $B194, "")</f>
        <v>-1.4760147601476014E-2</v>
      </c>
      <c r="I194" s="110">
        <f>IF(ISNUMBER(G194), $B199 * H194, "")</f>
        <v>-2214.022140221402</v>
      </c>
      <c r="J194" s="106">
        <v>805</v>
      </c>
      <c r="K194" s="107">
        <f>IF(ISNUMBER(J194), (J194 - $B194) / $B194, "")</f>
        <v>-9.8400984009840101E-3</v>
      </c>
      <c r="L194" s="108">
        <f>IF(ISNUMBER(J194), $B199 * K194, "")</f>
        <v>-1476.0147601476015</v>
      </c>
      <c r="M194" s="109">
        <v>806</v>
      </c>
      <c r="N194" s="107">
        <f>IF(ISNUMBER(M194), (M194 - $B194) / $B194, "")</f>
        <v>-8.6100861008610082E-3</v>
      </c>
      <c r="O194" s="108">
        <f>IF(ISNUMBER(M194), $B199 * N194, "")</f>
        <v>-1291.5129151291512</v>
      </c>
      <c r="Q194" s="192"/>
      <c r="R194" s="192"/>
      <c r="S194" s="192"/>
    </row>
    <row r="195" spans="1:19" ht="17.25" thickBot="1">
      <c r="A195" s="125" t="s">
        <v>240</v>
      </c>
      <c r="B195" s="126">
        <v>634</v>
      </c>
      <c r="C195" s="77">
        <v>-7.8247261000000002E-3</v>
      </c>
      <c r="D195" s="15">
        <v>638</v>
      </c>
      <c r="E195" s="32">
        <f t="shared" ref="E195:E198" si="106">IF(ISNUMBER(D195), (D195 - $B195) / $B195, "")</f>
        <v>6.3091482649842269E-3</v>
      </c>
      <c r="F195" s="18">
        <f>IF(ISNUMBER(D195), $B199 * E195, "")</f>
        <v>946.37223974763401</v>
      </c>
      <c r="G195" s="31">
        <v>627</v>
      </c>
      <c r="H195" s="32">
        <f t="shared" ref="H195:H198" si="107">IF(ISNUMBER(G195), (G195 - $B195) / $B195, "")</f>
        <v>-1.1041009463722398E-2</v>
      </c>
      <c r="I195" s="101">
        <f>IF(ISNUMBER(G195), $B199 * H195, "")</f>
        <v>-1656.1514195583597</v>
      </c>
      <c r="J195" s="15">
        <v>630</v>
      </c>
      <c r="K195" s="32">
        <f t="shared" ref="K195:K198" si="108">IF(ISNUMBER(J195), (J195 - $B195) / $B195, "")</f>
        <v>-6.3091482649842269E-3</v>
      </c>
      <c r="L195" s="18">
        <f>IF(ISNUMBER(J195), $B199 * K195, "")</f>
        <v>-946.37223974763401</v>
      </c>
      <c r="M195" s="31">
        <v>631</v>
      </c>
      <c r="N195" s="32">
        <f t="shared" ref="N195:N198" si="109">IF(ISNUMBER(M195), (M195 - $B195) / $B195, "")</f>
        <v>-4.7318611987381704E-3</v>
      </c>
      <c r="O195" s="18">
        <f>IF(ISNUMBER(M195), $B199 * N195, "")</f>
        <v>-709.77917981072551</v>
      </c>
      <c r="Q195" s="192"/>
      <c r="R195" s="192"/>
      <c r="S195" s="192"/>
    </row>
    <row r="196" spans="1:19" ht="17.25" thickBot="1">
      <c r="A196" s="125" t="s">
        <v>174</v>
      </c>
      <c r="B196" s="126">
        <v>1575</v>
      </c>
      <c r="C196" s="77">
        <v>-1.5625E-2</v>
      </c>
      <c r="D196" s="15">
        <v>1625</v>
      </c>
      <c r="E196" s="32">
        <f t="shared" si="106"/>
        <v>3.1746031746031744E-2</v>
      </c>
      <c r="F196" s="18">
        <f>IF(ISNUMBER(D196), $B199 * E196, "")</f>
        <v>4761.9047619047615</v>
      </c>
      <c r="G196" s="31">
        <v>1575</v>
      </c>
      <c r="H196" s="32">
        <f t="shared" si="107"/>
        <v>0</v>
      </c>
      <c r="I196" s="101">
        <f>IF(ISNUMBER(G196), $B199 * H196, "")</f>
        <v>0</v>
      </c>
      <c r="J196" s="15">
        <v>1585</v>
      </c>
      <c r="K196" s="32">
        <f t="shared" si="108"/>
        <v>6.3492063492063492E-3</v>
      </c>
      <c r="L196" s="18">
        <f>IF(ISNUMBER(J196), $B199 * K196, "")</f>
        <v>952.38095238095241</v>
      </c>
      <c r="M196" s="31">
        <v>1580</v>
      </c>
      <c r="N196" s="32">
        <f t="shared" si="109"/>
        <v>3.1746031746031746E-3</v>
      </c>
      <c r="O196" s="18">
        <f>IF(ISNUMBER(M196), $B199 * N196, "")</f>
        <v>476.1904761904762</v>
      </c>
      <c r="Q196" s="192"/>
      <c r="R196" s="192"/>
      <c r="S196" s="192"/>
    </row>
    <row r="197" spans="1:19">
      <c r="A197" s="125" t="s">
        <v>238</v>
      </c>
      <c r="B197" s="126">
        <v>72.400000000000006</v>
      </c>
      <c r="C197" s="77">
        <v>-1.8970189700000001E-2</v>
      </c>
      <c r="D197" s="15">
        <v>71</v>
      </c>
      <c r="E197" s="32">
        <f t="shared" si="106"/>
        <v>-1.9337016574585711E-2</v>
      </c>
      <c r="F197" s="18">
        <f>IF(ISNUMBER(D197), $B199 * E197, "")</f>
        <v>-2900.5524861878566</v>
      </c>
      <c r="G197" s="31">
        <v>70.400000000000006</v>
      </c>
      <c r="H197" s="32">
        <f t="shared" si="107"/>
        <v>-2.7624309392265192E-2</v>
      </c>
      <c r="I197" s="101">
        <f>IF(ISNUMBER(G197), $B199 * H197, "")</f>
        <v>-4143.6464088397788</v>
      </c>
      <c r="J197" s="15">
        <v>70.2</v>
      </c>
      <c r="K197" s="32">
        <f t="shared" si="108"/>
        <v>-3.038674033149175E-2</v>
      </c>
      <c r="L197" s="18">
        <f>IF(ISNUMBER(J197), $B199 * K197, "")</f>
        <v>-4558.0110497237629</v>
      </c>
      <c r="M197" s="31">
        <v>70.400000000000006</v>
      </c>
      <c r="N197" s="32">
        <f t="shared" si="109"/>
        <v>-2.7624309392265192E-2</v>
      </c>
      <c r="O197" s="18">
        <f>IF(ISNUMBER(M197), $B199 * N197, "")</f>
        <v>-4143.6464088397788</v>
      </c>
      <c r="Q197" s="181"/>
      <c r="R197" s="182"/>
      <c r="S197" s="183"/>
    </row>
    <row r="198" spans="1:19" ht="17.25" thickBot="1">
      <c r="A198" s="130" t="s">
        <v>328</v>
      </c>
      <c r="B198" s="131">
        <v>0.30299999999999999</v>
      </c>
      <c r="C198" s="79">
        <v>-2.88461538E-2</v>
      </c>
      <c r="D198" s="24">
        <v>0.29899999999999999</v>
      </c>
      <c r="E198" s="25">
        <f t="shared" si="106"/>
        <v>-1.3201320132013214E-2</v>
      </c>
      <c r="F198" s="104">
        <f>IF(ISNUMBER(D198), $B199 * E198, "")</f>
        <v>-1980.1980198019821</v>
      </c>
      <c r="G198" s="102">
        <v>0.29599999999999999</v>
      </c>
      <c r="H198" s="25">
        <f t="shared" si="107"/>
        <v>-2.3102310231023125E-2</v>
      </c>
      <c r="I198" s="103">
        <f>IF(ISNUMBER(G198), $B199 * H198, "")</f>
        <v>-3465.3465346534686</v>
      </c>
      <c r="J198" s="24">
        <v>0.29599999999999999</v>
      </c>
      <c r="K198" s="25">
        <f t="shared" si="108"/>
        <v>-2.3102310231023125E-2</v>
      </c>
      <c r="L198" s="104">
        <f>IF(ISNUMBER(J198), $B199 * K198, "")</f>
        <v>-3465.3465346534686</v>
      </c>
      <c r="M198" s="102">
        <v>0.29599999999999999</v>
      </c>
      <c r="N198" s="25">
        <f t="shared" si="109"/>
        <v>-2.3102310231023125E-2</v>
      </c>
      <c r="O198" s="104">
        <f>IF(ISNUMBER(M198), $B199 * N198, "")</f>
        <v>-3465.3465346534686</v>
      </c>
      <c r="Q198" s="184"/>
      <c r="R198" s="185"/>
      <c r="S198" s="186"/>
    </row>
    <row r="199" spans="1:19" ht="17.25" thickBot="1">
      <c r="A199" s="132" t="s">
        <v>268</v>
      </c>
      <c r="B199" s="245">
        <f>$B$37</f>
        <v>150000</v>
      </c>
      <c r="C199" s="246"/>
      <c r="D199" s="26" t="s">
        <v>269</v>
      </c>
      <c r="E199" s="27">
        <f>IF(COUNT(E179:E198), SUM(E179:E198) / COUNT(E179:E198), 0)</f>
        <v>8.3830008734550668E-3</v>
      </c>
      <c r="F199" s="28">
        <f>SUM(F179:F198)</f>
        <v>25149.002620365209</v>
      </c>
      <c r="G199" s="26" t="s">
        <v>269</v>
      </c>
      <c r="H199" s="27">
        <f>IF(COUNT(H179:H198), SUM(H179:H198) / COUNT(H179:H198), 0)</f>
        <v>-5.3977226130006162E-3</v>
      </c>
      <c r="I199" s="28">
        <f>SUM(I179:I198)</f>
        <v>-16193.16783900185</v>
      </c>
      <c r="J199" s="26" t="s">
        <v>269</v>
      </c>
      <c r="K199" s="27">
        <f>IF(COUNT(K179:K198), SUM(K179:K198) / COUNT(K179:K198), 0)</f>
        <v>-4.2511434844521969E-3</v>
      </c>
      <c r="L199" s="28">
        <f>SUM(L179:L198)</f>
        <v>-12753.430453356592</v>
      </c>
      <c r="M199" s="26" t="s">
        <v>269</v>
      </c>
      <c r="N199" s="27">
        <f>IF(COUNT(N179:N198), SUM(N179:N198) / COUNT(N179:N198), 0)</f>
        <v>1.1882404218751714E-3</v>
      </c>
      <c r="O199" s="28">
        <f>SUM(O179:O198)</f>
        <v>3564.721265625516</v>
      </c>
      <c r="Q199" s="187"/>
      <c r="R199" s="188"/>
      <c r="S199" s="1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FDBF9-828B-41F9-AE15-F03AAD974850}">
  <sheetPr codeName="Sheet10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44473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318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326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-84,401 KRW (-2.81%)</v>
      </c>
      <c r="H3" s="225"/>
      <c r="I3" s="226"/>
      <c r="J3" s="4" t="s">
        <v>7</v>
      </c>
      <c r="K3" s="228" t="s">
        <v>319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320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317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-85,617 KRW (-3.17%)</v>
      </c>
      <c r="H5" s="225"/>
      <c r="I5" s="226"/>
      <c r="J5" s="4" t="s">
        <v>15</v>
      </c>
      <c r="K5" s="228" t="s">
        <v>321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322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-53,755 KRW (-1.79%)</v>
      </c>
      <c r="H7" s="225"/>
      <c r="I7" s="226"/>
      <c r="J7" s="4" t="s">
        <v>21</v>
      </c>
      <c r="K7" s="228" t="s">
        <v>323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31" t="s">
        <v>253</v>
      </c>
      <c r="H8" s="232"/>
      <c r="I8" s="233"/>
      <c r="J8" s="4" t="s">
        <v>24</v>
      </c>
      <c r="K8" s="228"/>
      <c r="L8" s="229"/>
      <c r="M8" s="229"/>
      <c r="N8" s="229"/>
      <c r="O8" s="230"/>
      <c r="Q8" s="203" t="s">
        <v>27</v>
      </c>
      <c r="R8" s="205"/>
    </row>
    <row r="9" spans="1:19" ht="17.25" thickBot="1">
      <c r="A9" s="118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-62,576 KRW (-2.09%)</v>
      </c>
      <c r="H9" s="225"/>
      <c r="I9" s="226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 t="s">
        <v>324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21" t="s">
        <v>325</v>
      </c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 t="s">
        <v>316</v>
      </c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34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69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62630000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1.5632601400000001E-2</v>
      </c>
      <c r="N14" s="210"/>
      <c r="O14" s="211"/>
      <c r="Q14" s="202"/>
      <c r="R14" s="202"/>
      <c r="S14" s="202"/>
    </row>
    <row r="15" spans="1:19" ht="17.25" customHeight="1" thickBot="1">
      <c r="A15" s="240" t="s">
        <v>39</v>
      </c>
      <c r="B15" s="241" t="str">
        <f>TEXT($G$1, "[$-ko-KR]yyyy-mm-dd(ddd) ") &amp; "오전 00:00"</f>
        <v>2021-10-04(월) 오전 00:00</v>
      </c>
      <c r="C15" s="242"/>
      <c r="D15" s="216" t="str">
        <f>TEXT($G$1, "[$-ko-KR]yyyy-mm-dd(ddd) ") &amp; "오후 14:00"</f>
        <v>2021-10-04(월) 오후 14:00</v>
      </c>
      <c r="E15" s="217"/>
      <c r="F15" s="218"/>
      <c r="G15" s="216" t="str">
        <f>TEXT($G$1, "[$-ko-KR]yyyy-mm-dd(ddd) ") &amp; "오후 19:00"</f>
        <v>2021-10-04(월) 오후 19:00</v>
      </c>
      <c r="H15" s="217"/>
      <c r="I15" s="218"/>
      <c r="J15" s="216" t="str">
        <f>TEXT($G$1, "[$-ko-KR]yyyy-mm-dd(ddd) ") &amp; "오후 21:00"</f>
        <v>2021-10-04(월) 오후 21:00</v>
      </c>
      <c r="K15" s="217"/>
      <c r="L15" s="218"/>
      <c r="M15" s="216" t="str">
        <f>TEXT($G$1+1, "[$-ko-KR]yyyy-mm-dd(ddd) ") &amp; "오전 00:00"</f>
        <v>2021-10-05(화) 오전 00:00</v>
      </c>
      <c r="N15" s="217"/>
      <c r="O15" s="218"/>
      <c r="Q15" s="202"/>
      <c r="R15" s="202"/>
      <c r="S15" s="202"/>
    </row>
    <row r="16" spans="1:19" ht="17.25" customHeight="1" thickBot="1">
      <c r="A16" s="24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132" t="s">
        <v>42</v>
      </c>
      <c r="B37" s="245">
        <v>150000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69" t="s">
        <v>265</v>
      </c>
      <c r="B41" s="203" t="s">
        <v>49</v>
      </c>
      <c r="C41" s="205"/>
      <c r="D41" s="203" t="s">
        <v>58</v>
      </c>
      <c r="E41" s="204"/>
      <c r="F41" s="205"/>
      <c r="G41" s="206">
        <f>_xlfn.IFNA(VLOOKUP(B41, 현재가테이블!$B$2:$D$200, 2, FALSE), "-")</f>
        <v>62630000</v>
      </c>
      <c r="H41" s="207"/>
      <c r="I41" s="208"/>
      <c r="J41" s="203" t="s">
        <v>59</v>
      </c>
      <c r="K41" s="204"/>
      <c r="L41" s="205"/>
      <c r="M41" s="209">
        <f>_xlfn.IFNA(VLOOKUP(B41, 현재가테이블!$B$2:$D$200, 3, FALSE), "-")</f>
        <v>1.5632601400000001E-2</v>
      </c>
      <c r="N41" s="210"/>
      <c r="O41" s="211"/>
      <c r="Q41" s="202"/>
      <c r="R41" s="202"/>
      <c r="S41" s="202"/>
    </row>
    <row r="42" spans="1:19" ht="17.25" customHeight="1" thickBot="1">
      <c r="A42" s="247" t="s">
        <v>55</v>
      </c>
      <c r="B42" s="243" t="str">
        <f>TEXT($G$1, "[$-ko-KR]yyyy-mm-dd(ddd) ") &amp; "오전 00:00"</f>
        <v>2021-10-04(월) 오전 00:00</v>
      </c>
      <c r="C42" s="244"/>
      <c r="D42" s="216" t="str">
        <f>TEXT($G$1, "[$-ko-KR]yyyy-mm-dd(ddd) ") &amp; "오후 14:00"</f>
        <v>2021-10-04(월) 오후 14:00</v>
      </c>
      <c r="E42" s="217"/>
      <c r="F42" s="218"/>
      <c r="G42" s="216" t="str">
        <f>TEXT($G$1, "[$-ko-KR]yyyy-mm-dd(ddd) ") &amp; "오후 19:00"</f>
        <v>2021-10-04(월) 오후 19:00</v>
      </c>
      <c r="H42" s="217"/>
      <c r="I42" s="218"/>
      <c r="J42" s="216" t="str">
        <f>TEXT($G$1, "[$-ko-KR]yyyy-mm-dd(ddd) ") &amp; "오후 21:00"</f>
        <v>2021-10-04(월) 오후 21:00</v>
      </c>
      <c r="K42" s="217"/>
      <c r="L42" s="218"/>
      <c r="M42" s="216" t="str">
        <f>TEXT($G$1+1, "[$-ko-KR]yyyy-mm-dd(ddd) ") &amp; "오전 00:00"</f>
        <v>2021-10-05(화) 오전 00:00</v>
      </c>
      <c r="N42" s="217"/>
      <c r="O42" s="218"/>
      <c r="Q42" s="202"/>
      <c r="R42" s="202"/>
      <c r="S42" s="202"/>
    </row>
    <row r="43" spans="1:19" ht="17.25" customHeight="1" thickBot="1">
      <c r="A43" s="24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0" t="s">
        <v>58</v>
      </c>
      <c r="H43" s="171" t="s">
        <v>266</v>
      </c>
      <c r="I43" s="17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192"/>
      <c r="R43" s="192"/>
      <c r="S43" s="192"/>
    </row>
    <row r="44" spans="1:19" ht="17.25" customHeight="1" thickBot="1">
      <c r="A44" s="123" t="s">
        <v>186</v>
      </c>
      <c r="B44" s="124">
        <v>13.3</v>
      </c>
      <c r="C44" s="76">
        <v>3.1007751900000002E-2</v>
      </c>
      <c r="D44" s="13">
        <v>13.1</v>
      </c>
      <c r="E44" s="14">
        <f>IF(ISNUMBER(D44), (D44 - $B44) / $B44, "")</f>
        <v>-1.5037593984962485E-2</v>
      </c>
      <c r="F44" s="16">
        <f>IF(ISNUMBER(D44), $B64 * E44, "")</f>
        <v>-2255.6390977443725</v>
      </c>
      <c r="G44" s="29">
        <v>13</v>
      </c>
      <c r="H44" s="14">
        <f>IF(ISNUMBER(G44), (G44 - $B44) / $B44, "")</f>
        <v>-2.255639097744366E-2</v>
      </c>
      <c r="I44" s="100">
        <f>IF(ISNUMBER(G44), $B64 * H44, "")</f>
        <v>-3383.4586466165488</v>
      </c>
      <c r="J44" s="13">
        <v>13</v>
      </c>
      <c r="K44" s="14">
        <f>IF(ISNUMBER(J44), (J44 - $B44) / $B44, "")</f>
        <v>-2.255639097744366E-2</v>
      </c>
      <c r="L44" s="16">
        <f>IF(ISNUMBER(J44), $B64 * K44, "")</f>
        <v>-3383.4586466165488</v>
      </c>
      <c r="M44" s="29">
        <v>12.9</v>
      </c>
      <c r="N44" s="14">
        <f>IF(ISNUMBER(M44), (M44 - $B44) / $B44, "")</f>
        <v>-3.0075187969924838E-2</v>
      </c>
      <c r="O44" s="16">
        <f>IF(ISNUMBER(M44), $B64 * N44, "")</f>
        <v>-4511.2781954887259</v>
      </c>
      <c r="Q44" s="202"/>
      <c r="R44" s="202"/>
      <c r="S44" s="202"/>
    </row>
    <row r="45" spans="1:19" ht="17.25" customHeight="1" thickBot="1">
      <c r="A45" s="125" t="s">
        <v>214</v>
      </c>
      <c r="B45" s="126">
        <v>11</v>
      </c>
      <c r="C45" s="77">
        <v>1.8518518500000001E-2</v>
      </c>
      <c r="D45" s="15">
        <v>11.1</v>
      </c>
      <c r="E45" s="32">
        <f t="shared" ref="E45:E48" si="14">IF(ISNUMBER(D45), (D45 - $B45) / $B45, "")</f>
        <v>9.0909090909090592E-3</v>
      </c>
      <c r="F45" s="18">
        <f>IF(ISNUMBER(D45), $B64 * E45, "")</f>
        <v>1363.636363636359</v>
      </c>
      <c r="G45" s="31">
        <v>10.6</v>
      </c>
      <c r="H45" s="32">
        <f t="shared" ref="H45:H48" si="15">IF(ISNUMBER(G45), (G45 - $B45) / $B45, "")</f>
        <v>-3.6363636363636397E-2</v>
      </c>
      <c r="I45" s="101">
        <f>IF(ISNUMBER(G45), $B64 * H45, "")</f>
        <v>-5454.5454545454595</v>
      </c>
      <c r="J45" s="15">
        <v>10.6</v>
      </c>
      <c r="K45" s="32">
        <f t="shared" ref="K45:K48" si="16">IF(ISNUMBER(J45), (J45 - $B45) / $B45, "")</f>
        <v>-3.6363636363636397E-2</v>
      </c>
      <c r="L45" s="18">
        <f>IF(ISNUMBER(J45), $B64 * K45, "")</f>
        <v>-5454.5454545454595</v>
      </c>
      <c r="M45" s="31">
        <v>10.5</v>
      </c>
      <c r="N45" s="32">
        <f t="shared" ref="N45:N48" si="17">IF(ISNUMBER(M45), (M45 - $B45) / $B45, "")</f>
        <v>-4.5454545454545456E-2</v>
      </c>
      <c r="O45" s="18">
        <f>IF(ISNUMBER(M45), $B64 * N45, "")</f>
        <v>-6818.181818181818</v>
      </c>
      <c r="Q45" s="202"/>
      <c r="R45" s="202"/>
      <c r="S45" s="202"/>
    </row>
    <row r="46" spans="1:19" ht="17.25" customHeight="1" thickBot="1">
      <c r="A46" s="125" t="s">
        <v>248</v>
      </c>
      <c r="B46" s="126">
        <v>85.1</v>
      </c>
      <c r="C46" s="77">
        <v>1.4302741399999999E-2</v>
      </c>
      <c r="D46" s="15">
        <v>82.8</v>
      </c>
      <c r="E46" s="32">
        <f t="shared" si="14"/>
        <v>-2.7027027027026994E-2</v>
      </c>
      <c r="F46" s="18">
        <f>IF(ISNUMBER(D46), $B64 * E46, "")</f>
        <v>-4054.0540540540492</v>
      </c>
      <c r="G46" s="31">
        <v>82.8</v>
      </c>
      <c r="H46" s="32">
        <f t="shared" si="15"/>
        <v>-2.7027027027026994E-2</v>
      </c>
      <c r="I46" s="101">
        <f>IF(ISNUMBER(G46), $B64 * H46, "")</f>
        <v>-4054.0540540540492</v>
      </c>
      <c r="J46" s="15">
        <v>82.5</v>
      </c>
      <c r="K46" s="32">
        <f t="shared" si="16"/>
        <v>-3.0552291421856573E-2</v>
      </c>
      <c r="L46" s="18">
        <f>IF(ISNUMBER(J46), $B64 * K46, "")</f>
        <v>-4582.8437132784857</v>
      </c>
      <c r="M46" s="31">
        <v>81.900000000000006</v>
      </c>
      <c r="N46" s="32">
        <f t="shared" si="17"/>
        <v>-3.7602820211515731E-2</v>
      </c>
      <c r="O46" s="18">
        <f>IF(ISNUMBER(M46), $B64 * N46, "")</f>
        <v>-5640.4230317273596</v>
      </c>
      <c r="Q46" s="192"/>
      <c r="R46" s="192"/>
      <c r="S46" s="192"/>
    </row>
    <row r="47" spans="1:19" ht="17.25" customHeight="1" thickBot="1">
      <c r="A47" s="125" t="s">
        <v>146</v>
      </c>
      <c r="B47" s="126">
        <v>19.899999999999999</v>
      </c>
      <c r="C47" s="77">
        <v>1.01522843E-2</v>
      </c>
      <c r="D47" s="15">
        <v>19.399999999999999</v>
      </c>
      <c r="E47" s="32">
        <f t="shared" si="14"/>
        <v>-2.5125628140703519E-2</v>
      </c>
      <c r="F47" s="18">
        <f>IF(ISNUMBER(D47), $B64 * E47, "")</f>
        <v>-3768.844221105528</v>
      </c>
      <c r="G47" s="31">
        <v>19.3</v>
      </c>
      <c r="H47" s="32">
        <f t="shared" si="15"/>
        <v>-3.0150753768844116E-2</v>
      </c>
      <c r="I47" s="101">
        <f>IF(ISNUMBER(G47), $B64 * H47, "")</f>
        <v>-4522.6130653266173</v>
      </c>
      <c r="J47" s="15">
        <v>19.3</v>
      </c>
      <c r="K47" s="32">
        <f t="shared" si="16"/>
        <v>-3.0150753768844116E-2</v>
      </c>
      <c r="L47" s="18">
        <f>IF(ISNUMBER(J47), $B64 * K47, "")</f>
        <v>-4522.6130653266173</v>
      </c>
      <c r="M47" s="31">
        <v>19.2</v>
      </c>
      <c r="N47" s="32">
        <f t="shared" si="17"/>
        <v>-3.517587939698489E-2</v>
      </c>
      <c r="O47" s="18">
        <f>IF(ISNUMBER(M47), $B64 * N47, "")</f>
        <v>-5276.3819095477338</v>
      </c>
      <c r="Q47" s="192"/>
      <c r="R47" s="192"/>
      <c r="S47" s="192"/>
    </row>
    <row r="48" spans="1:19" ht="17.25" customHeight="1" thickBot="1">
      <c r="A48" s="127" t="s">
        <v>98</v>
      </c>
      <c r="B48" s="128">
        <v>4.22</v>
      </c>
      <c r="C48" s="78">
        <v>9.5693779999999999E-3</v>
      </c>
      <c r="D48" s="20">
        <v>4.17</v>
      </c>
      <c r="E48" s="21">
        <f t="shared" si="14"/>
        <v>-1.1848341232227447E-2</v>
      </c>
      <c r="F48" s="22">
        <f>IF(ISNUMBER(D48), $B64 * E48, "")</f>
        <v>-1777.2511848341171</v>
      </c>
      <c r="G48" s="30">
        <v>4.13</v>
      </c>
      <c r="H48" s="21">
        <f t="shared" si="15"/>
        <v>-2.1327014218009446E-2</v>
      </c>
      <c r="I48" s="105">
        <f>IF(ISNUMBER(G48), $B64 * H48, "")</f>
        <v>-3199.0521327014167</v>
      </c>
      <c r="J48" s="20">
        <v>4.12</v>
      </c>
      <c r="K48" s="21">
        <f t="shared" si="16"/>
        <v>-2.3696682464454895E-2</v>
      </c>
      <c r="L48" s="22">
        <f>IF(ISNUMBER(J48), $B64 * K48, "")</f>
        <v>-3554.5023696682342</v>
      </c>
      <c r="M48" s="30">
        <v>4.13</v>
      </c>
      <c r="N48" s="21">
        <f t="shared" si="17"/>
        <v>-2.1327014218009446E-2</v>
      </c>
      <c r="O48" s="22">
        <f>IF(ISNUMBER(M48), $B64 * N48, "")</f>
        <v>-3199.0521327014167</v>
      </c>
      <c r="Q48" s="192"/>
      <c r="R48" s="192"/>
      <c r="S48" s="192"/>
    </row>
    <row r="49" spans="1:19" ht="17.25" customHeight="1" thickBot="1">
      <c r="A49" s="125" t="s">
        <v>208</v>
      </c>
      <c r="B49" s="129">
        <v>13.5</v>
      </c>
      <c r="C49" s="80">
        <v>0</v>
      </c>
      <c r="D49" s="106">
        <v>13.1</v>
      </c>
      <c r="E49" s="107">
        <f>IF(ISNUMBER(D49), (D49 - $B49) / $B49, "")</f>
        <v>-2.9629629629629655E-2</v>
      </c>
      <c r="F49" s="108">
        <f>IF(ISNUMBER(D49), $B64 * E49, "")</f>
        <v>-4444.444444444448</v>
      </c>
      <c r="G49" s="109">
        <v>12.9</v>
      </c>
      <c r="H49" s="107">
        <f>IF(ISNUMBER(G49), (G49 - $B49) / $B49, "")</f>
        <v>-4.4444444444444418E-2</v>
      </c>
      <c r="I49" s="110">
        <f>IF(ISNUMBER(G49), $B64 * H49, "")</f>
        <v>-6666.6666666666624</v>
      </c>
      <c r="J49" s="106">
        <v>12.8</v>
      </c>
      <c r="K49" s="107">
        <f>IF(ISNUMBER(J49), (J49 - $B49) / $B49, "")</f>
        <v>-5.1851851851851802E-2</v>
      </c>
      <c r="L49" s="108">
        <f>IF(ISNUMBER(J49), $B64 * K49, "")</f>
        <v>-7777.7777777777701</v>
      </c>
      <c r="M49" s="109">
        <v>13.2</v>
      </c>
      <c r="N49" s="107">
        <f>IF(ISNUMBER(M49), (M49 - $B49) / $B49, "")</f>
        <v>-2.2222222222222275E-2</v>
      </c>
      <c r="O49" s="108">
        <f>IF(ISNUMBER(M49), $B64 * N49, "")</f>
        <v>-3333.3333333333412</v>
      </c>
      <c r="Q49" s="192"/>
      <c r="R49" s="192"/>
      <c r="S49" s="192"/>
    </row>
    <row r="50" spans="1:19" ht="17.25" customHeight="1" thickBot="1">
      <c r="A50" s="125" t="s">
        <v>206</v>
      </c>
      <c r="B50" s="126">
        <v>13</v>
      </c>
      <c r="C50" s="77">
        <v>-7.6335878000000001E-3</v>
      </c>
      <c r="D50" s="15">
        <v>12.6</v>
      </c>
      <c r="E50" s="32">
        <f t="shared" ref="E50:E53" si="18">IF(ISNUMBER(D50), (D50 - $B50) / $B50, "")</f>
        <v>-3.0769230769230795E-2</v>
      </c>
      <c r="F50" s="18">
        <f>IF(ISNUMBER(D50), $B64 * E50, "")</f>
        <v>-4615.3846153846189</v>
      </c>
      <c r="G50" s="31">
        <v>12.6</v>
      </c>
      <c r="H50" s="32">
        <f t="shared" ref="H50:H53" si="19">IF(ISNUMBER(G50), (G50 - $B50) / $B50, "")</f>
        <v>-3.0769230769230795E-2</v>
      </c>
      <c r="I50" s="101">
        <f>IF(ISNUMBER(G50), $B64 * H50, "")</f>
        <v>-4615.3846153846189</v>
      </c>
      <c r="J50" s="15">
        <v>12.6</v>
      </c>
      <c r="K50" s="32">
        <f t="shared" ref="K50:K53" si="20">IF(ISNUMBER(J50), (J50 - $B50) / $B50, "")</f>
        <v>-3.0769230769230795E-2</v>
      </c>
      <c r="L50" s="18">
        <f>IF(ISNUMBER(J50), $B64 * K50, "")</f>
        <v>-4615.3846153846189</v>
      </c>
      <c r="M50" s="31">
        <v>12.5</v>
      </c>
      <c r="N50" s="32">
        <f t="shared" ref="N50:N53" si="21">IF(ISNUMBER(M50), (M50 - $B50) / $B50, "")</f>
        <v>-3.8461538461538464E-2</v>
      </c>
      <c r="O50" s="18">
        <f>IF(ISNUMBER(M50), $B64 * N50, "")</f>
        <v>-5769.2307692307695</v>
      </c>
      <c r="Q50" s="192"/>
      <c r="R50" s="192"/>
      <c r="S50" s="192"/>
    </row>
    <row r="51" spans="1:19" ht="17.25" customHeight="1" thickBot="1">
      <c r="A51" s="125" t="s">
        <v>72</v>
      </c>
      <c r="B51" s="126">
        <v>23.7</v>
      </c>
      <c r="C51" s="77">
        <v>-8.3682007999999995E-3</v>
      </c>
      <c r="D51" s="15">
        <v>24.7</v>
      </c>
      <c r="E51" s="32">
        <f t="shared" si="18"/>
        <v>4.2194092827004218E-2</v>
      </c>
      <c r="F51" s="18">
        <f>IF(ISNUMBER(D51), $B64 * E51, "")</f>
        <v>6329.1139240506327</v>
      </c>
      <c r="G51" s="31">
        <v>24.7</v>
      </c>
      <c r="H51" s="32">
        <f t="shared" si="19"/>
        <v>4.2194092827004218E-2</v>
      </c>
      <c r="I51" s="101">
        <f>IF(ISNUMBER(G51), $B64 * H51, "")</f>
        <v>6329.1139240506327</v>
      </c>
      <c r="J51" s="15">
        <v>24.7</v>
      </c>
      <c r="K51" s="32">
        <f t="shared" si="20"/>
        <v>4.2194092827004218E-2</v>
      </c>
      <c r="L51" s="18">
        <f>IF(ISNUMBER(J51), $B64 * K51, "")</f>
        <v>6329.1139240506327</v>
      </c>
      <c r="M51" s="31">
        <v>24.4</v>
      </c>
      <c r="N51" s="32">
        <f t="shared" si="21"/>
        <v>2.9535864978902926E-2</v>
      </c>
      <c r="O51" s="18">
        <f>IF(ISNUMBER(M51), $B64 * N51, "")</f>
        <v>4430.3797468354387</v>
      </c>
      <c r="Q51" s="192"/>
      <c r="R51" s="192"/>
      <c r="S51" s="192"/>
    </row>
    <row r="52" spans="1:19" ht="17.25" customHeight="1" thickBot="1">
      <c r="A52" s="125" t="s">
        <v>120</v>
      </c>
      <c r="B52" s="126">
        <v>37.1</v>
      </c>
      <c r="C52" s="77">
        <v>-1.0666666700000001E-2</v>
      </c>
      <c r="D52" s="15">
        <v>35.700000000000003</v>
      </c>
      <c r="E52" s="32">
        <f t="shared" si="18"/>
        <v>-3.7735849056603731E-2</v>
      </c>
      <c r="F52" s="18">
        <f>IF(ISNUMBER(D52), $B64 * E52, "")</f>
        <v>-5660.3773584905593</v>
      </c>
      <c r="G52" s="31">
        <v>35.5</v>
      </c>
      <c r="H52" s="32">
        <f t="shared" si="19"/>
        <v>-4.3126684636118635E-2</v>
      </c>
      <c r="I52" s="101">
        <f>IF(ISNUMBER(G52), $B64 * H52, "")</f>
        <v>-6469.0026954177956</v>
      </c>
      <c r="J52" s="15">
        <v>35.5</v>
      </c>
      <c r="K52" s="32">
        <f t="shared" si="20"/>
        <v>-4.3126684636118635E-2</v>
      </c>
      <c r="L52" s="18">
        <f>IF(ISNUMBER(J52), $B64 * K52, "")</f>
        <v>-6469.0026954177956</v>
      </c>
      <c r="M52" s="31">
        <v>35.1</v>
      </c>
      <c r="N52" s="32">
        <f t="shared" si="21"/>
        <v>-5.3908355795148244E-2</v>
      </c>
      <c r="O52" s="18">
        <f>IF(ISNUMBER(M52), $B64 * N52, "")</f>
        <v>-8086.2533692722363</v>
      </c>
      <c r="Q52" s="33"/>
      <c r="R52" s="33"/>
    </row>
    <row r="53" spans="1:19" ht="17.25" customHeight="1" thickBot="1">
      <c r="A53" s="130" t="s">
        <v>176</v>
      </c>
      <c r="B53" s="131">
        <v>17</v>
      </c>
      <c r="C53" s="79">
        <v>-1.1627907E-2</v>
      </c>
      <c r="D53" s="24">
        <v>16.600000000000001</v>
      </c>
      <c r="E53" s="25">
        <f t="shared" si="18"/>
        <v>-2.3529411764705799E-2</v>
      </c>
      <c r="F53" s="104">
        <f>IF(ISNUMBER(D53), $B64 * E53, "")</f>
        <v>-3529.4117647058697</v>
      </c>
      <c r="G53" s="102">
        <v>16.5</v>
      </c>
      <c r="H53" s="25">
        <f t="shared" si="19"/>
        <v>-2.9411764705882353E-2</v>
      </c>
      <c r="I53" s="103">
        <f>IF(ISNUMBER(G53), $B64 * H53, "")</f>
        <v>-4411.7647058823532</v>
      </c>
      <c r="J53" s="24">
        <v>16.5</v>
      </c>
      <c r="K53" s="25">
        <f t="shared" si="20"/>
        <v>-2.9411764705882353E-2</v>
      </c>
      <c r="L53" s="104">
        <f>IF(ISNUMBER(J53), $B64 * K53, "")</f>
        <v>-4411.7647058823532</v>
      </c>
      <c r="M53" s="102">
        <v>16.399999999999999</v>
      </c>
      <c r="N53" s="25">
        <f t="shared" si="21"/>
        <v>-3.5294117647058906E-2</v>
      </c>
      <c r="O53" s="104">
        <f>IF(ISNUMBER(M53), $B64 * N53, "")</f>
        <v>-5294.1176470588362</v>
      </c>
      <c r="Q53" s="193"/>
      <c r="R53" s="194"/>
      <c r="S53" s="195"/>
    </row>
    <row r="54" spans="1:19" ht="17.25" customHeight="1">
      <c r="A54" s="123" t="s">
        <v>200</v>
      </c>
      <c r="B54" s="124">
        <v>77.900000000000006</v>
      </c>
      <c r="C54" s="76">
        <v>-1.39240506E-2</v>
      </c>
      <c r="D54" s="13">
        <v>75.400000000000006</v>
      </c>
      <c r="E54" s="14">
        <f>IF(ISNUMBER(D54), (D54 - $B54) / $B54, "")</f>
        <v>-3.2092426187419767E-2</v>
      </c>
      <c r="F54" s="16">
        <f>IF(ISNUMBER(D54), $B64 * E54, "")</f>
        <v>-4813.8639281129654</v>
      </c>
      <c r="G54" s="29">
        <v>74.900000000000006</v>
      </c>
      <c r="H54" s="14">
        <f>IF(ISNUMBER(G54), (G54 - $B54) / $B54, "")</f>
        <v>-3.8510911424903718E-2</v>
      </c>
      <c r="I54" s="100">
        <f>IF(ISNUMBER(G54), $B64 * H54, "")</f>
        <v>-5776.6367137355574</v>
      </c>
      <c r="J54" s="13">
        <v>74.900000000000006</v>
      </c>
      <c r="K54" s="14">
        <f>IF(ISNUMBER(J54), (J54 - $B54) / $B54, "")</f>
        <v>-3.8510911424903718E-2</v>
      </c>
      <c r="L54" s="16">
        <f>IF(ISNUMBER(J54), $B64 * K54, "")</f>
        <v>-5776.6367137355574</v>
      </c>
      <c r="M54" s="29">
        <v>74.8</v>
      </c>
      <c r="N54" s="14">
        <f>IF(ISNUMBER(M54), (M54 - $B54) / $B54, "")</f>
        <v>-3.9794608472400621E-2</v>
      </c>
      <c r="O54" s="16">
        <f>IF(ISNUMBER(M54), $B64 * N54, "")</f>
        <v>-5969.191270860093</v>
      </c>
      <c r="Q54" s="196"/>
      <c r="R54" s="197"/>
      <c r="S54" s="198"/>
    </row>
    <row r="55" spans="1:19" ht="17.25" customHeight="1" thickBot="1">
      <c r="A55" s="125" t="s">
        <v>232</v>
      </c>
      <c r="B55" s="126">
        <v>76.5</v>
      </c>
      <c r="C55" s="77">
        <v>-1.54440154E-2</v>
      </c>
      <c r="D55" s="15">
        <v>74.5</v>
      </c>
      <c r="E55" s="32">
        <f t="shared" ref="E55:E58" si="22">IF(ISNUMBER(D55), (D55 - $B55) / $B55, "")</f>
        <v>-2.6143790849673203E-2</v>
      </c>
      <c r="F55" s="18">
        <f>IF(ISNUMBER(D55), $B64 * E55, "")</f>
        <v>-3921.5686274509803</v>
      </c>
      <c r="G55" s="31">
        <v>73.8</v>
      </c>
      <c r="H55" s="32">
        <f t="shared" ref="H55:H58" si="23">IF(ISNUMBER(G55), (G55 - $B55) / $B55, "")</f>
        <v>-3.5294117647058858E-2</v>
      </c>
      <c r="I55" s="101">
        <f>IF(ISNUMBER(G55), $B64 * H55, "")</f>
        <v>-5294.1176470588289</v>
      </c>
      <c r="J55" s="15">
        <v>73.5</v>
      </c>
      <c r="K55" s="32">
        <f t="shared" ref="K55:K58" si="24">IF(ISNUMBER(J55), (J55 - $B55) / $B55, "")</f>
        <v>-3.9215686274509803E-2</v>
      </c>
      <c r="L55" s="18">
        <f>IF(ISNUMBER(J55), $B64 * K55, "")</f>
        <v>-5882.3529411764703</v>
      </c>
      <c r="M55" s="31">
        <v>73.5</v>
      </c>
      <c r="N55" s="32">
        <f t="shared" ref="N55:N58" si="25">IF(ISNUMBER(M55), (M55 - $B55) / $B55, "")</f>
        <v>-3.9215686274509803E-2</v>
      </c>
      <c r="O55" s="18">
        <f>IF(ISNUMBER(M55), $B64 * N55, "")</f>
        <v>-5882.3529411764703</v>
      </c>
      <c r="Q55" s="199"/>
      <c r="R55" s="200"/>
      <c r="S55" s="201"/>
    </row>
    <row r="56" spans="1:19" ht="17.25" customHeight="1" thickBot="1">
      <c r="A56" s="125" t="s">
        <v>148</v>
      </c>
      <c r="B56" s="126">
        <v>11.6</v>
      </c>
      <c r="C56" s="77">
        <v>-1.6949152499999998E-2</v>
      </c>
      <c r="D56" s="15">
        <v>11.3</v>
      </c>
      <c r="E56" s="32">
        <f t="shared" si="22"/>
        <v>-2.5862068965517151E-2</v>
      </c>
      <c r="F56" s="18">
        <f>IF(ISNUMBER(D56), $B64 * E56, "")</f>
        <v>-3879.3103448275724</v>
      </c>
      <c r="G56" s="31">
        <v>11.3</v>
      </c>
      <c r="H56" s="32">
        <f t="shared" si="23"/>
        <v>-2.5862068965517151E-2</v>
      </c>
      <c r="I56" s="101">
        <f>IF(ISNUMBER(G56), $B64 * H56, "")</f>
        <v>-3879.3103448275724</v>
      </c>
      <c r="J56" s="15">
        <v>11.2</v>
      </c>
      <c r="K56" s="32">
        <f t="shared" si="24"/>
        <v>-3.4482758620689689E-2</v>
      </c>
      <c r="L56" s="18">
        <f>IF(ISNUMBER(J56), $B64 * K56, "")</f>
        <v>-5172.4137931034538</v>
      </c>
      <c r="M56" s="31">
        <v>11.2</v>
      </c>
      <c r="N56" s="32">
        <f t="shared" si="25"/>
        <v>-3.4482758620689689E-2</v>
      </c>
      <c r="O56" s="18">
        <f>IF(ISNUMBER(M56), $B64 * N56, "")</f>
        <v>-5172.4137931034538</v>
      </c>
      <c r="Q56" s="192"/>
      <c r="R56" s="192"/>
      <c r="S56" s="192"/>
    </row>
    <row r="57" spans="1:19" ht="17.25" customHeight="1" thickBot="1">
      <c r="A57" s="125" t="s">
        <v>202</v>
      </c>
      <c r="B57" s="126">
        <v>14.8</v>
      </c>
      <c r="C57" s="77">
        <v>-1.9867549700000001E-2</v>
      </c>
      <c r="D57" s="15">
        <v>14.5</v>
      </c>
      <c r="E57" s="32">
        <f t="shared" si="22"/>
        <v>-2.0270270270270316E-2</v>
      </c>
      <c r="F57" s="18">
        <f>IF(ISNUMBER(D57), $B64 * E57, "")</f>
        <v>-3040.5405405405477</v>
      </c>
      <c r="G57" s="31">
        <v>14.5</v>
      </c>
      <c r="H57" s="32">
        <f t="shared" si="23"/>
        <v>-2.0270270270270316E-2</v>
      </c>
      <c r="I57" s="101">
        <f>IF(ISNUMBER(G57), $B64 * H57, "")</f>
        <v>-3040.5405405405477</v>
      </c>
      <c r="J57" s="15">
        <v>14.3</v>
      </c>
      <c r="K57" s="32">
        <f t="shared" si="24"/>
        <v>-3.3783783783783779E-2</v>
      </c>
      <c r="L57" s="18">
        <f>IF(ISNUMBER(J57), $B64 * K57, "")</f>
        <v>-5067.5675675675666</v>
      </c>
      <c r="M57" s="31">
        <v>14.3</v>
      </c>
      <c r="N57" s="32">
        <f t="shared" si="25"/>
        <v>-3.3783783783783779E-2</v>
      </c>
      <c r="O57" s="18">
        <f>IF(ISNUMBER(M57), $B64 * N57, "")</f>
        <v>-5067.5675675675666</v>
      </c>
      <c r="Q57" s="202"/>
      <c r="R57" s="202"/>
      <c r="S57" s="202"/>
    </row>
    <row r="58" spans="1:19" ht="17.25" customHeight="1" thickBot="1">
      <c r="A58" s="127" t="s">
        <v>65</v>
      </c>
      <c r="B58" s="128">
        <v>67.2</v>
      </c>
      <c r="C58" s="78">
        <v>-2.18340611E-2</v>
      </c>
      <c r="D58" s="20">
        <v>64.7</v>
      </c>
      <c r="E58" s="21">
        <f t="shared" si="22"/>
        <v>-3.7202380952380952E-2</v>
      </c>
      <c r="F58" s="22">
        <f>IF(ISNUMBER(D58), $B64 * E58, "")</f>
        <v>-5580.3571428571431</v>
      </c>
      <c r="G58" s="30">
        <v>64.3</v>
      </c>
      <c r="H58" s="21">
        <f t="shared" si="23"/>
        <v>-4.3154761904761987E-2</v>
      </c>
      <c r="I58" s="105">
        <f>IF(ISNUMBER(G58), $B64 * H58, "")</f>
        <v>-6473.2142857142981</v>
      </c>
      <c r="J58" s="20">
        <v>64.3</v>
      </c>
      <c r="K58" s="21">
        <f t="shared" si="24"/>
        <v>-4.3154761904761987E-2</v>
      </c>
      <c r="L58" s="22">
        <f>IF(ISNUMBER(J58), $B64 * K58, "")</f>
        <v>-6473.2142857142981</v>
      </c>
      <c r="M58" s="30">
        <v>64.099999999999994</v>
      </c>
      <c r="N58" s="21">
        <f t="shared" si="25"/>
        <v>-4.6130952380952508E-2</v>
      </c>
      <c r="O58" s="22">
        <f>IF(ISNUMBER(M58), $B64 * N58, "")</f>
        <v>-6919.642857142876</v>
      </c>
      <c r="Q58" s="202"/>
      <c r="R58" s="202"/>
      <c r="S58" s="202"/>
    </row>
    <row r="59" spans="1:19" ht="17.25" customHeight="1" thickBot="1">
      <c r="A59" s="125" t="s">
        <v>188</v>
      </c>
      <c r="B59" s="129">
        <v>16.5</v>
      </c>
      <c r="C59" s="80">
        <v>-2.36686391E-2</v>
      </c>
      <c r="D59" s="106">
        <v>17</v>
      </c>
      <c r="E59" s="107">
        <f>IF(ISNUMBER(D59), (D59 - $B59) / $B59, "")</f>
        <v>3.0303030303030304E-2</v>
      </c>
      <c r="F59" s="108">
        <f>IF(ISNUMBER(D59), $B64 * E59, "")</f>
        <v>4545.454545454546</v>
      </c>
      <c r="G59" s="109">
        <v>17.399999999999999</v>
      </c>
      <c r="H59" s="107">
        <f>IF(ISNUMBER(G59), (G59 - $B59) / $B59, "")</f>
        <v>5.454545454545446E-2</v>
      </c>
      <c r="I59" s="110">
        <f>IF(ISNUMBER(G59), $B64 * H59, "")</f>
        <v>8181.8181818181693</v>
      </c>
      <c r="J59" s="106">
        <v>17.100000000000001</v>
      </c>
      <c r="K59" s="107">
        <f>IF(ISNUMBER(J59), (J59 - $B59) / $B59, "")</f>
        <v>3.6363636363636452E-2</v>
      </c>
      <c r="L59" s="108">
        <f>IF(ISNUMBER(J59), $B64 * K59, "")</f>
        <v>5454.5454545454677</v>
      </c>
      <c r="M59" s="109">
        <v>16.7</v>
      </c>
      <c r="N59" s="107">
        <f>IF(ISNUMBER(M59), (M59 - $B59) / $B59, "")</f>
        <v>1.2121212121212078E-2</v>
      </c>
      <c r="O59" s="108">
        <f>IF(ISNUMBER(M59), $B64 * N59, "")</f>
        <v>1818.1818181818116</v>
      </c>
      <c r="Q59" s="192"/>
      <c r="R59" s="192"/>
      <c r="S59" s="192"/>
    </row>
    <row r="60" spans="1:19" ht="17.25" customHeight="1" thickBot="1">
      <c r="A60" s="125" t="s">
        <v>238</v>
      </c>
      <c r="B60" s="126">
        <v>70.400000000000006</v>
      </c>
      <c r="C60" s="77">
        <v>-2.6279391400000001E-2</v>
      </c>
      <c r="D60" s="15">
        <v>68</v>
      </c>
      <c r="E60" s="32">
        <f t="shared" ref="E60:E63" si="26">IF(ISNUMBER(D60), (D60 - $B60) / $B60, "")</f>
        <v>-3.4090909090909172E-2</v>
      </c>
      <c r="F60" s="18">
        <f>IF(ISNUMBER(D60), $B64 * E60, "")</f>
        <v>-5113.6363636363758</v>
      </c>
      <c r="G60" s="31">
        <v>67.7</v>
      </c>
      <c r="H60" s="32">
        <f t="shared" ref="H60:H63" si="27">IF(ISNUMBER(G60), (G60 - $B60) / $B60, "")</f>
        <v>-3.8352272727272763E-2</v>
      </c>
      <c r="I60" s="101">
        <f>IF(ISNUMBER(G60), $B64 * H60, "")</f>
        <v>-5752.8409090909145</v>
      </c>
      <c r="J60" s="15">
        <v>67.599999999999994</v>
      </c>
      <c r="K60" s="32">
        <f t="shared" ref="K60:K63" si="28">IF(ISNUMBER(J60), (J60 - $B60) / $B60, "")</f>
        <v>-3.9772727272727432E-2</v>
      </c>
      <c r="L60" s="18">
        <f>IF(ISNUMBER(J60), $B64 * K60, "")</f>
        <v>-5965.9090909091146</v>
      </c>
      <c r="M60" s="31">
        <v>67.2</v>
      </c>
      <c r="N60" s="32">
        <f t="shared" ref="N60:N63" si="29">IF(ISNUMBER(M60), (M60 - $B60) / $B60, "")</f>
        <v>-4.5454545454545491E-2</v>
      </c>
      <c r="O60" s="18">
        <f>IF(ISNUMBER(M60), $B64 * N60, "")</f>
        <v>-6818.1818181818235</v>
      </c>
      <c r="Q60" s="192"/>
      <c r="R60" s="192"/>
      <c r="S60" s="192"/>
    </row>
    <row r="61" spans="1:19" ht="17.25" customHeight="1" thickBot="1">
      <c r="A61" s="125" t="s">
        <v>328</v>
      </c>
      <c r="B61" s="126">
        <v>0.29599999999999999</v>
      </c>
      <c r="C61" s="77">
        <v>-2.9508196699999999E-2</v>
      </c>
      <c r="D61" s="15">
        <v>0.28199999999999997</v>
      </c>
      <c r="E61" s="32">
        <f t="shared" si="26"/>
        <v>-4.7297297297297342E-2</v>
      </c>
      <c r="F61" s="18">
        <f>IF(ISNUMBER(D61), $B64 * E61, "")</f>
        <v>-7094.5945945946014</v>
      </c>
      <c r="G61" s="31">
        <v>0.28000000000000003</v>
      </c>
      <c r="H61" s="32">
        <f t="shared" si="27"/>
        <v>-5.4054054054053918E-2</v>
      </c>
      <c r="I61" s="101">
        <f>IF(ISNUMBER(G61), $B64 * H61, "")</f>
        <v>-8108.1081081080874</v>
      </c>
      <c r="J61" s="15">
        <v>0.27800000000000002</v>
      </c>
      <c r="K61" s="32">
        <f t="shared" si="28"/>
        <v>-6.0810810810810682E-2</v>
      </c>
      <c r="L61" s="18">
        <f>IF(ISNUMBER(J61), $B64 * K61, "")</f>
        <v>-9121.6216216216017</v>
      </c>
      <c r="M61" s="31">
        <v>0.28000000000000003</v>
      </c>
      <c r="N61" s="32">
        <f t="shared" si="29"/>
        <v>-5.4054054054053918E-2</v>
      </c>
      <c r="O61" s="18">
        <f>IF(ISNUMBER(M61), $B64 * N61, "")</f>
        <v>-8108.1081081080874</v>
      </c>
      <c r="Q61" s="192"/>
      <c r="R61" s="192"/>
      <c r="S61" s="19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81"/>
      <c r="R62" s="182"/>
      <c r="S62" s="1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84"/>
      <c r="R63" s="185"/>
      <c r="S63" s="186"/>
    </row>
    <row r="64" spans="1:19" ht="17.25" customHeight="1" thickBot="1">
      <c r="A64" s="132" t="s">
        <v>268</v>
      </c>
      <c r="B64" s="245">
        <f>$B$37</f>
        <v>150000</v>
      </c>
      <c r="C64" s="246"/>
      <c r="D64" s="26" t="s">
        <v>269</v>
      </c>
      <c r="E64" s="27">
        <f>IF(COUNT(E44:E63), SUM(E44:E63) / COUNT(E44:E63), 0)</f>
        <v>-1.9004101277645267E-2</v>
      </c>
      <c r="F64" s="28">
        <f>SUM(F44:F63)</f>
        <v>-51311.073449642216</v>
      </c>
      <c r="G64" s="26" t="s">
        <v>269</v>
      </c>
      <c r="H64" s="27">
        <f>IF(COUNT(H44:H63), SUM(H44:H63) / COUNT(H44:H63), 0)</f>
        <v>-2.4663103140667601E-2</v>
      </c>
      <c r="I64" s="28">
        <f>SUM(I44:I63)</f>
        <v>-66590.378479802515</v>
      </c>
      <c r="J64" s="26" t="s">
        <v>269</v>
      </c>
      <c r="K64" s="27">
        <f>IF(COUNT(K44:K63), SUM(K44:K63) / COUNT(K44:K63), 0)</f>
        <v>-2.8314055436714749E-2</v>
      </c>
      <c r="L64" s="28">
        <f>SUM(L44:L63)</f>
        <v>-76447.949679129844</v>
      </c>
      <c r="M64" s="26" t="s">
        <v>269</v>
      </c>
      <c r="N64" s="27">
        <f>IF(COUNT(N44:N63), SUM(N44:N63) / COUNT(N44:N63), 0)</f>
        <v>-3.1710055184320504E-2</v>
      </c>
      <c r="O64" s="28">
        <f>SUM(O44:O63)</f>
        <v>-85617.148997665354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69" t="s">
        <v>265</v>
      </c>
      <c r="B68" s="203" t="s">
        <v>49</v>
      </c>
      <c r="C68" s="205"/>
      <c r="D68" s="203" t="s">
        <v>58</v>
      </c>
      <c r="E68" s="204"/>
      <c r="F68" s="205"/>
      <c r="G68" s="206">
        <f>_xlfn.IFNA(VLOOKUP(B68, 현재가테이블!$B$2:$D$200, 2, FALSE), "-")</f>
        <v>62630000</v>
      </c>
      <c r="H68" s="207"/>
      <c r="I68" s="208"/>
      <c r="J68" s="203" t="s">
        <v>59</v>
      </c>
      <c r="K68" s="204"/>
      <c r="L68" s="205"/>
      <c r="M68" s="209">
        <f>_xlfn.IFNA(VLOOKUP(B68, 현재가테이블!$B$2:$D$200, 3, FALSE), "-")</f>
        <v>1.5632601400000001E-2</v>
      </c>
      <c r="N68" s="210"/>
      <c r="O68" s="211"/>
      <c r="Q68" s="202"/>
      <c r="R68" s="202"/>
      <c r="S68" s="202"/>
    </row>
    <row r="69" spans="1:19" ht="17.25" thickBot="1">
      <c r="A69" s="247" t="s">
        <v>55</v>
      </c>
      <c r="B69" s="243" t="str">
        <f>TEXT($G$1, "[$-ko-KR]yyyy-mm-dd(ddd) ") &amp; "오전 00:00"</f>
        <v>2021-10-04(월) 오전 00:00</v>
      </c>
      <c r="C69" s="244"/>
      <c r="D69" s="216" t="str">
        <f>TEXT($G$1, "[$-ko-KR]yyyy-mm-dd(ddd) ") &amp; "오후 14:00"</f>
        <v>2021-10-04(월) 오후 14:00</v>
      </c>
      <c r="E69" s="217"/>
      <c r="F69" s="218"/>
      <c r="G69" s="216" t="str">
        <f>TEXT($G$1, "[$-ko-KR]yyyy-mm-dd(ddd) ") &amp; "오후 19:00"</f>
        <v>2021-10-04(월) 오후 19:00</v>
      </c>
      <c r="H69" s="217"/>
      <c r="I69" s="218"/>
      <c r="J69" s="216" t="str">
        <f>TEXT($G$1, "[$-ko-KR]yyyy-mm-dd(ddd) ") &amp; "오후 21:00"</f>
        <v>2021-10-04(월) 오후 21:00</v>
      </c>
      <c r="K69" s="217"/>
      <c r="L69" s="218"/>
      <c r="M69" s="216" t="str">
        <f>TEXT($G$1+1, "[$-ko-KR]yyyy-mm-dd(ddd) ") &amp; "오전 00:00"</f>
        <v>2021-10-05(화) 오전 00:00</v>
      </c>
      <c r="N69" s="217"/>
      <c r="O69" s="218"/>
      <c r="Q69" s="202"/>
      <c r="R69" s="202"/>
      <c r="S69" s="202"/>
    </row>
    <row r="70" spans="1:19" ht="17.25" thickBot="1">
      <c r="A70" s="24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0" t="s">
        <v>58</v>
      </c>
      <c r="H70" s="171" t="s">
        <v>266</v>
      </c>
      <c r="I70" s="17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192"/>
      <c r="R70" s="192"/>
      <c r="S70" s="192"/>
    </row>
    <row r="71" spans="1:19" ht="17.25" thickBot="1">
      <c r="A71" s="123" t="s">
        <v>228</v>
      </c>
      <c r="B71" s="124">
        <v>360</v>
      </c>
      <c r="C71" s="76">
        <v>0.1076923077</v>
      </c>
      <c r="D71" s="13">
        <v>365</v>
      </c>
      <c r="E71" s="14">
        <f>IF(ISNUMBER(D71), (D71 - $B71) / $B71, "")</f>
        <v>1.3888888888888888E-2</v>
      </c>
      <c r="F71" s="16">
        <f>IF(ISNUMBER(D71), $B91 * E71, "")</f>
        <v>2083.333333333333</v>
      </c>
      <c r="G71" s="29">
        <v>364</v>
      </c>
      <c r="H71" s="14">
        <f>IF(ISNUMBER(G71), (G71 - $B71) / $B71, "")</f>
        <v>1.1111111111111112E-2</v>
      </c>
      <c r="I71" s="100">
        <f>IF(ISNUMBER(G71), $B91 * H71, "")</f>
        <v>1666.6666666666667</v>
      </c>
      <c r="J71" s="13">
        <v>365</v>
      </c>
      <c r="K71" s="14">
        <f>IF(ISNUMBER(J71), (J71 - $B71) / $B71, "")</f>
        <v>1.3888888888888888E-2</v>
      </c>
      <c r="L71" s="16">
        <f>IF(ISNUMBER(J71), $B91 * K71, "")</f>
        <v>2083.333333333333</v>
      </c>
      <c r="M71" s="29">
        <v>363</v>
      </c>
      <c r="N71" s="14">
        <f>IF(ISNUMBER(M71), (M71 - $B71) / $B71, "")</f>
        <v>8.3333333333333332E-3</v>
      </c>
      <c r="O71" s="16">
        <f>IF(ISNUMBER(M71), $B91 * N71, "")</f>
        <v>1250</v>
      </c>
      <c r="Q71" s="202"/>
      <c r="R71" s="202"/>
      <c r="S71" s="202"/>
    </row>
    <row r="72" spans="1:19" ht="17.25" thickBot="1">
      <c r="A72" s="125" t="s">
        <v>204</v>
      </c>
      <c r="B72" s="126">
        <v>986</v>
      </c>
      <c r="C72" s="77">
        <v>8.1140350900000005E-2</v>
      </c>
      <c r="D72" s="15">
        <v>1155</v>
      </c>
      <c r="E72" s="32">
        <f t="shared" ref="E72:E75" si="30">IF(ISNUMBER(D72), (D72 - $B72) / $B72, "")</f>
        <v>0.17139959432048682</v>
      </c>
      <c r="F72" s="18">
        <f>IF(ISNUMBER(D72), $B91 * E72, "")</f>
        <v>25709.939148073023</v>
      </c>
      <c r="G72" s="31">
        <v>1140</v>
      </c>
      <c r="H72" s="32">
        <f t="shared" ref="H72:H75" si="31">IF(ISNUMBER(G72), (G72 - $B72) / $B72, "")</f>
        <v>0.15618661257606492</v>
      </c>
      <c r="I72" s="101">
        <f>IF(ISNUMBER(G72), $B91 * H72, "")</f>
        <v>23427.991886409738</v>
      </c>
      <c r="J72" s="15">
        <v>1145</v>
      </c>
      <c r="K72" s="32">
        <f t="shared" ref="K72:K75" si="32">IF(ISNUMBER(J72), (J72 - $B72) / $B72, "")</f>
        <v>0.1612576064908722</v>
      </c>
      <c r="L72" s="18">
        <f>IF(ISNUMBER(J72), $B91 * K72, "")</f>
        <v>24188.640973630831</v>
      </c>
      <c r="M72" s="31">
        <v>1125</v>
      </c>
      <c r="N72" s="32">
        <f t="shared" ref="N72:N75" si="33">IF(ISNUMBER(M72), (M72 - $B72) / $B72, "")</f>
        <v>0.14097363083164299</v>
      </c>
      <c r="O72" s="18">
        <f>IF(ISNUMBER(M72), $B91 * N72, "")</f>
        <v>21146.04462474645</v>
      </c>
      <c r="Q72" s="202"/>
      <c r="R72" s="202"/>
      <c r="S72" s="202"/>
    </row>
    <row r="73" spans="1:19" ht="17.25" thickBot="1">
      <c r="A73" s="125" t="s">
        <v>122</v>
      </c>
      <c r="B73" s="126">
        <v>628</v>
      </c>
      <c r="C73" s="77">
        <v>8.0895008599999998E-2</v>
      </c>
      <c r="D73" s="15">
        <v>613</v>
      </c>
      <c r="E73" s="32">
        <f t="shared" si="30"/>
        <v>-2.3885350318471339E-2</v>
      </c>
      <c r="F73" s="18">
        <f>IF(ISNUMBER(D73), $B91 * E73, "")</f>
        <v>-3582.802547770701</v>
      </c>
      <c r="G73" s="31">
        <v>619</v>
      </c>
      <c r="H73" s="32">
        <f t="shared" si="31"/>
        <v>-1.4331210191082803E-2</v>
      </c>
      <c r="I73" s="101">
        <f>IF(ISNUMBER(G73), $B91 * H73, "")</f>
        <v>-2149.6815286624205</v>
      </c>
      <c r="J73" s="15">
        <v>620</v>
      </c>
      <c r="K73" s="32">
        <f t="shared" si="32"/>
        <v>-1.2738853503184714E-2</v>
      </c>
      <c r="L73" s="18">
        <f>IF(ISNUMBER(J73), $B91 * K73, "")</f>
        <v>-1910.8280254777071</v>
      </c>
      <c r="M73" s="31">
        <v>610</v>
      </c>
      <c r="N73" s="32">
        <f t="shared" si="33"/>
        <v>-2.8662420382165606E-2</v>
      </c>
      <c r="O73" s="18">
        <f>IF(ISNUMBER(M73), $B91 * N73, "")</f>
        <v>-4299.3630573248411</v>
      </c>
      <c r="Q73" s="192"/>
      <c r="R73" s="192"/>
      <c r="S73" s="192"/>
    </row>
    <row r="74" spans="1:19" ht="17.25" thickBot="1">
      <c r="A74" s="125" t="s">
        <v>230</v>
      </c>
      <c r="B74" s="126">
        <v>825</v>
      </c>
      <c r="C74" s="77">
        <v>5.0955413999999997E-2</v>
      </c>
      <c r="D74" s="15">
        <v>852</v>
      </c>
      <c r="E74" s="32">
        <f t="shared" si="30"/>
        <v>3.272727272727273E-2</v>
      </c>
      <c r="F74" s="18">
        <f>IF(ISNUMBER(D74), $B91 * E74, "")</f>
        <v>4909.0909090909099</v>
      </c>
      <c r="G74" s="31">
        <v>844</v>
      </c>
      <c r="H74" s="32">
        <f t="shared" si="31"/>
        <v>2.3030303030303029E-2</v>
      </c>
      <c r="I74" s="101">
        <f>IF(ISNUMBER(G74), $B91 * H74, "")</f>
        <v>3454.5454545454545</v>
      </c>
      <c r="J74" s="15">
        <v>841</v>
      </c>
      <c r="K74" s="32">
        <f t="shared" si="32"/>
        <v>1.9393939393939394E-2</v>
      </c>
      <c r="L74" s="18">
        <f>IF(ISNUMBER(J74), $B91 * K74, "")</f>
        <v>2909.090909090909</v>
      </c>
      <c r="M74" s="31">
        <v>814</v>
      </c>
      <c r="N74" s="32">
        <f t="shared" si="33"/>
        <v>-1.3333333333333334E-2</v>
      </c>
      <c r="O74" s="18">
        <f>IF(ISNUMBER(M74), $B91 * N74, "")</f>
        <v>-2000.0000000000002</v>
      </c>
      <c r="Q74" s="192"/>
      <c r="R74" s="192"/>
      <c r="S74" s="192"/>
    </row>
    <row r="75" spans="1:19" ht="17.25" thickBot="1">
      <c r="A75" s="127" t="s">
        <v>172</v>
      </c>
      <c r="B75" s="128">
        <v>432</v>
      </c>
      <c r="C75" s="78">
        <v>4.3478260900000003E-2</v>
      </c>
      <c r="D75" s="20">
        <v>435</v>
      </c>
      <c r="E75" s="21">
        <f t="shared" si="30"/>
        <v>6.9444444444444441E-3</v>
      </c>
      <c r="F75" s="22">
        <f>IF(ISNUMBER(D75), $B91 * E75, "")</f>
        <v>1041.6666666666665</v>
      </c>
      <c r="G75" s="30">
        <v>430</v>
      </c>
      <c r="H75" s="21">
        <f t="shared" si="31"/>
        <v>-4.6296296296296294E-3</v>
      </c>
      <c r="I75" s="105">
        <f>IF(ISNUMBER(G75), $B91 * H75, "")</f>
        <v>-694.44444444444446</v>
      </c>
      <c r="J75" s="20">
        <v>433</v>
      </c>
      <c r="K75" s="21">
        <f t="shared" si="32"/>
        <v>2.3148148148148147E-3</v>
      </c>
      <c r="L75" s="22">
        <f>IF(ISNUMBER(J75), $B91 * K75, "")</f>
        <v>347.22222222222223</v>
      </c>
      <c r="M75" s="30">
        <v>424</v>
      </c>
      <c r="N75" s="21">
        <f t="shared" si="33"/>
        <v>-1.8518518518518517E-2</v>
      </c>
      <c r="O75" s="22">
        <f>IF(ISNUMBER(M75), $B91 * N75, "")</f>
        <v>-2777.7777777777778</v>
      </c>
      <c r="Q75" s="192"/>
      <c r="R75" s="192"/>
      <c r="S75" s="192"/>
    </row>
    <row r="76" spans="1:19" ht="17.25" thickBot="1">
      <c r="A76" s="125" t="s">
        <v>130</v>
      </c>
      <c r="B76" s="129">
        <v>123</v>
      </c>
      <c r="C76" s="80">
        <v>4.23728814E-2</v>
      </c>
      <c r="D76" s="106">
        <v>117</v>
      </c>
      <c r="E76" s="107">
        <f>IF(ISNUMBER(D76), (D76 - $B76) / $B76, "")</f>
        <v>-4.878048780487805E-2</v>
      </c>
      <c r="F76" s="108">
        <f>IF(ISNUMBER(D76), $B91 * E76, "")</f>
        <v>-7317.0731707317073</v>
      </c>
      <c r="G76" s="109">
        <v>118</v>
      </c>
      <c r="H76" s="107">
        <f>IF(ISNUMBER(G76), (G76 - $B76) / $B76, "")</f>
        <v>-4.065040650406504E-2</v>
      </c>
      <c r="I76" s="110">
        <f>IF(ISNUMBER(G76), $B91 * H76, "")</f>
        <v>-6097.5609756097556</v>
      </c>
      <c r="J76" s="106">
        <v>118</v>
      </c>
      <c r="K76" s="107">
        <f>IF(ISNUMBER(J76), (J76 - $B76) / $B76, "")</f>
        <v>-4.065040650406504E-2</v>
      </c>
      <c r="L76" s="108">
        <f>IF(ISNUMBER(J76), $B91 * K76, "")</f>
        <v>-6097.5609756097556</v>
      </c>
      <c r="M76" s="109">
        <v>118</v>
      </c>
      <c r="N76" s="107">
        <f>IF(ISNUMBER(M76), (M76 - $B76) / $B76, "")</f>
        <v>-4.065040650406504E-2</v>
      </c>
      <c r="O76" s="108">
        <f>IF(ISNUMBER(M76), $B91 * N76, "")</f>
        <v>-6097.5609756097556</v>
      </c>
      <c r="Q76" s="192"/>
      <c r="R76" s="192"/>
      <c r="S76" s="192"/>
    </row>
    <row r="77" spans="1:19" ht="17.25" thickBot="1">
      <c r="A77" s="125" t="s">
        <v>226</v>
      </c>
      <c r="B77" s="126">
        <v>939</v>
      </c>
      <c r="C77" s="77">
        <v>4.2175360699999997E-2</v>
      </c>
      <c r="D77" s="15">
        <v>914</v>
      </c>
      <c r="E77" s="32">
        <f t="shared" ref="E77:E80" si="34">IF(ISNUMBER(D77), (D77 - $B77) / $B77, "")</f>
        <v>-2.6624068157614485E-2</v>
      </c>
      <c r="F77" s="18">
        <f>IF(ISNUMBER(D77), $B91 * E77, "")</f>
        <v>-3993.6102236421725</v>
      </c>
      <c r="G77" s="31">
        <v>908</v>
      </c>
      <c r="H77" s="32">
        <f t="shared" ref="H77:H80" si="35">IF(ISNUMBER(G77), (G77 - $B77) / $B77, "")</f>
        <v>-3.301384451544196E-2</v>
      </c>
      <c r="I77" s="101">
        <f>IF(ISNUMBER(G77), $B91 * H77, "")</f>
        <v>-4952.0766773162941</v>
      </c>
      <c r="J77" s="15">
        <v>910</v>
      </c>
      <c r="K77" s="32">
        <f t="shared" ref="K77:K80" si="36">IF(ISNUMBER(J77), (J77 - $B77) / $B77, "")</f>
        <v>-3.0883919062832801E-2</v>
      </c>
      <c r="L77" s="18">
        <f>IF(ISNUMBER(J77), $B91 * K77, "")</f>
        <v>-4632.5878594249198</v>
      </c>
      <c r="M77" s="31">
        <v>899</v>
      </c>
      <c r="N77" s="32">
        <f t="shared" ref="N77:N80" si="37">IF(ISNUMBER(M77), (M77 - $B77) / $B77, "")</f>
        <v>-4.2598509052183174E-2</v>
      </c>
      <c r="O77" s="18">
        <f>IF(ISNUMBER(M77), $B91 * N77, "")</f>
        <v>-6389.7763578274762</v>
      </c>
      <c r="Q77" s="192"/>
      <c r="R77" s="192"/>
      <c r="S77" s="192"/>
    </row>
    <row r="78" spans="1:19" ht="17.25" thickBot="1">
      <c r="A78" s="125" t="s">
        <v>142</v>
      </c>
      <c r="B78" s="126">
        <v>106</v>
      </c>
      <c r="C78" s="77">
        <v>2.9126213599999999E-2</v>
      </c>
      <c r="D78" s="15">
        <v>102</v>
      </c>
      <c r="E78" s="32">
        <f t="shared" si="34"/>
        <v>-3.7735849056603772E-2</v>
      </c>
      <c r="F78" s="18">
        <f>IF(ISNUMBER(D78), $B91 * E78, "")</f>
        <v>-5660.3773584905657</v>
      </c>
      <c r="G78" s="31">
        <v>100</v>
      </c>
      <c r="H78" s="32">
        <f t="shared" si="35"/>
        <v>-5.6603773584905662E-2</v>
      </c>
      <c r="I78" s="101">
        <f>IF(ISNUMBER(G78), $B91 * H78, "")</f>
        <v>-8490.566037735849</v>
      </c>
      <c r="J78" s="15">
        <v>101</v>
      </c>
      <c r="K78" s="32">
        <f t="shared" si="36"/>
        <v>-4.716981132075472E-2</v>
      </c>
      <c r="L78" s="18">
        <f>IF(ISNUMBER(J78), $B91 * K78, "")</f>
        <v>-7075.4716981132078</v>
      </c>
      <c r="M78" s="31">
        <v>101</v>
      </c>
      <c r="N78" s="32">
        <f t="shared" si="37"/>
        <v>-4.716981132075472E-2</v>
      </c>
      <c r="O78" s="18">
        <f>IF(ISNUMBER(M78), $B91 * N78, "")</f>
        <v>-7075.4716981132078</v>
      </c>
      <c r="Q78" s="192"/>
      <c r="R78" s="192"/>
      <c r="S78" s="192"/>
    </row>
    <row r="79" spans="1:19" ht="17.25" thickBot="1">
      <c r="A79" s="125" t="s">
        <v>116</v>
      </c>
      <c r="B79" s="126">
        <v>218</v>
      </c>
      <c r="C79" s="77">
        <v>2.8301886799999999E-2</v>
      </c>
      <c r="D79" s="15">
        <v>214</v>
      </c>
      <c r="E79" s="32">
        <f t="shared" si="34"/>
        <v>-1.834862385321101E-2</v>
      </c>
      <c r="F79" s="18">
        <f>IF(ISNUMBER(D79), $B91 * E79, "")</f>
        <v>-2752.2935779816517</v>
      </c>
      <c r="G79" s="31">
        <v>214</v>
      </c>
      <c r="H79" s="32">
        <f t="shared" si="35"/>
        <v>-1.834862385321101E-2</v>
      </c>
      <c r="I79" s="101">
        <f>IF(ISNUMBER(G79), $B91 * H79, "")</f>
        <v>-2752.2935779816517</v>
      </c>
      <c r="J79" s="15">
        <v>214</v>
      </c>
      <c r="K79" s="32">
        <f t="shared" si="36"/>
        <v>-1.834862385321101E-2</v>
      </c>
      <c r="L79" s="18">
        <f>IF(ISNUMBER(J79), $B91 * K79, "")</f>
        <v>-2752.2935779816517</v>
      </c>
      <c r="M79" s="31">
        <v>213</v>
      </c>
      <c r="N79" s="32">
        <f t="shared" si="37"/>
        <v>-2.2935779816513763E-2</v>
      </c>
      <c r="O79" s="18">
        <f>IF(ISNUMBER(M79), $B91 * N79, "")</f>
        <v>-3440.3669724770643</v>
      </c>
      <c r="Q79" s="33"/>
      <c r="R79" s="33"/>
    </row>
    <row r="80" spans="1:19" ht="17.25" thickBot="1">
      <c r="A80" s="130" t="s">
        <v>54</v>
      </c>
      <c r="B80" s="131">
        <v>485</v>
      </c>
      <c r="C80" s="79">
        <v>2.7542372900000001E-2</v>
      </c>
      <c r="D80" s="24">
        <v>474</v>
      </c>
      <c r="E80" s="25">
        <f t="shared" si="34"/>
        <v>-2.268041237113402E-2</v>
      </c>
      <c r="F80" s="104">
        <f>IF(ISNUMBER(D80), $B91 * E80, "")</f>
        <v>-3402.0618556701029</v>
      </c>
      <c r="G80" s="102">
        <v>471</v>
      </c>
      <c r="H80" s="25">
        <f t="shared" si="35"/>
        <v>-2.88659793814433E-2</v>
      </c>
      <c r="I80" s="103">
        <f>IF(ISNUMBER(G80), $B91 * H80, "")</f>
        <v>-4329.8969072164955</v>
      </c>
      <c r="J80" s="24">
        <v>469</v>
      </c>
      <c r="K80" s="25">
        <f t="shared" si="36"/>
        <v>-3.2989690721649485E-2</v>
      </c>
      <c r="L80" s="104">
        <f>IF(ISNUMBER(J80), $B91 * K80, "")</f>
        <v>-4948.4536082474224</v>
      </c>
      <c r="M80" s="102">
        <v>473</v>
      </c>
      <c r="N80" s="25">
        <f t="shared" si="37"/>
        <v>-2.4742268041237112E-2</v>
      </c>
      <c r="O80" s="104">
        <f>IF(ISNUMBER(M80), $B91 * N80, "")</f>
        <v>-3711.3402061855668</v>
      </c>
      <c r="Q80" s="193"/>
      <c r="R80" s="194"/>
      <c r="S80" s="195"/>
    </row>
    <row r="81" spans="1:19">
      <c r="A81" s="123" t="s">
        <v>234</v>
      </c>
      <c r="B81" s="124">
        <v>656</v>
      </c>
      <c r="C81" s="76">
        <v>2.1806853599999999E-2</v>
      </c>
      <c r="D81" s="13">
        <v>676</v>
      </c>
      <c r="E81" s="14">
        <f>IF(ISNUMBER(D81), (D81 - $B81) / $B81, "")</f>
        <v>3.048780487804878E-2</v>
      </c>
      <c r="F81" s="16">
        <f>IF(ISNUMBER(D81), $B91 * E81, "")</f>
        <v>4573.1707317073169</v>
      </c>
      <c r="G81" s="29">
        <v>677</v>
      </c>
      <c r="H81" s="14">
        <f>IF(ISNUMBER(G81), (G81 - $B81) / $B81, "")</f>
        <v>3.201219512195122E-2</v>
      </c>
      <c r="I81" s="100">
        <f>IF(ISNUMBER(G81), $B91 * H81, "")</f>
        <v>4801.8292682926831</v>
      </c>
      <c r="J81" s="13">
        <v>677</v>
      </c>
      <c r="K81" s="14">
        <f>IF(ISNUMBER(J81), (J81 - $B81) / $B81, "")</f>
        <v>3.201219512195122E-2</v>
      </c>
      <c r="L81" s="16">
        <f>IF(ISNUMBER(J81), $B91 * K81, "")</f>
        <v>4801.8292682926831</v>
      </c>
      <c r="M81" s="29">
        <v>652</v>
      </c>
      <c r="N81" s="14">
        <f>IF(ISNUMBER(M81), (M81 - $B81) / $B81, "")</f>
        <v>-6.0975609756097563E-3</v>
      </c>
      <c r="O81" s="16">
        <f>IF(ISNUMBER(M81), $B91 * N81, "")</f>
        <v>-914.63414634146341</v>
      </c>
      <c r="Q81" s="196"/>
      <c r="R81" s="197"/>
      <c r="S81" s="198"/>
    </row>
    <row r="82" spans="1:19" ht="17.25" thickBot="1">
      <c r="A82" s="125" t="s">
        <v>80</v>
      </c>
      <c r="B82" s="126">
        <v>880</v>
      </c>
      <c r="C82" s="77">
        <v>1.7341040499999998E-2</v>
      </c>
      <c r="D82" s="15">
        <v>857</v>
      </c>
      <c r="E82" s="32">
        <f t="shared" ref="E82:E85" si="38">IF(ISNUMBER(D82), (D82 - $B82) / $B82, "")</f>
        <v>-2.6136363636363635E-2</v>
      </c>
      <c r="F82" s="18">
        <f>IF(ISNUMBER(D82), $B91 * E82, "")</f>
        <v>-3920.454545454545</v>
      </c>
      <c r="G82" s="31">
        <v>853</v>
      </c>
      <c r="H82" s="32">
        <f t="shared" ref="H82:H85" si="39">IF(ISNUMBER(G82), (G82 - $B82) / $B82, "")</f>
        <v>-3.0681818181818182E-2</v>
      </c>
      <c r="I82" s="101">
        <f>IF(ISNUMBER(G82), $B91 * H82, "")</f>
        <v>-4602.272727272727</v>
      </c>
      <c r="J82" s="15">
        <v>850</v>
      </c>
      <c r="K82" s="32">
        <f t="shared" ref="K82:K85" si="40">IF(ISNUMBER(J82), (J82 - $B82) / $B82, "")</f>
        <v>-3.4090909090909088E-2</v>
      </c>
      <c r="L82" s="18">
        <f>IF(ISNUMBER(J82), $B91 * K82, "")</f>
        <v>-5113.6363636363631</v>
      </c>
      <c r="M82" s="31">
        <v>850</v>
      </c>
      <c r="N82" s="32">
        <f t="shared" ref="N82:N85" si="41">IF(ISNUMBER(M82), (M82 - $B82) / $B82, "")</f>
        <v>-3.4090909090909088E-2</v>
      </c>
      <c r="O82" s="18">
        <f>IF(ISNUMBER(M82), $B91 * N82, "")</f>
        <v>-5113.6363636363631</v>
      </c>
      <c r="Q82" s="199"/>
      <c r="R82" s="200"/>
      <c r="S82" s="201"/>
    </row>
    <row r="83" spans="1:19" ht="17.25" thickBot="1">
      <c r="A83" s="125" t="s">
        <v>86</v>
      </c>
      <c r="B83" s="126">
        <v>353</v>
      </c>
      <c r="C83" s="77">
        <v>1.7291066300000001E-2</v>
      </c>
      <c r="D83" s="15">
        <v>340</v>
      </c>
      <c r="E83" s="32">
        <f t="shared" si="38"/>
        <v>-3.6827195467422094E-2</v>
      </c>
      <c r="F83" s="18">
        <f>IF(ISNUMBER(D83), $B91 * E83, "")</f>
        <v>-5524.0793201133138</v>
      </c>
      <c r="G83" s="31">
        <v>337</v>
      </c>
      <c r="H83" s="32">
        <f t="shared" si="39"/>
        <v>-4.5325779036827198E-2</v>
      </c>
      <c r="I83" s="101">
        <f>IF(ISNUMBER(G83), $B91 * H83, "")</f>
        <v>-6798.8668555240793</v>
      </c>
      <c r="J83" s="15">
        <v>338</v>
      </c>
      <c r="K83" s="32">
        <f t="shared" si="40"/>
        <v>-4.2492917847025496E-2</v>
      </c>
      <c r="L83" s="18">
        <f>IF(ISNUMBER(J83), $B91 * K83, "")</f>
        <v>-6373.9376770538247</v>
      </c>
      <c r="M83" s="31">
        <v>339</v>
      </c>
      <c r="N83" s="32">
        <f t="shared" si="41"/>
        <v>-3.9660056657223795E-2</v>
      </c>
      <c r="O83" s="18">
        <f>IF(ISNUMBER(M83), $B91 * N83, "")</f>
        <v>-5949.0084985835692</v>
      </c>
      <c r="Q83" s="192"/>
      <c r="R83" s="192"/>
      <c r="S83" s="192"/>
    </row>
    <row r="84" spans="1:19" ht="17.25" thickBot="1">
      <c r="A84" s="125" t="s">
        <v>57</v>
      </c>
      <c r="B84" s="126">
        <v>199</v>
      </c>
      <c r="C84" s="77">
        <v>1.53061224E-2</v>
      </c>
      <c r="D84" s="15">
        <v>192</v>
      </c>
      <c r="E84" s="32">
        <f t="shared" si="38"/>
        <v>-3.5175879396984924E-2</v>
      </c>
      <c r="F84" s="18">
        <f>IF(ISNUMBER(D84), $B91 * E84, "")</f>
        <v>-5276.3819095477384</v>
      </c>
      <c r="G84" s="31">
        <v>191</v>
      </c>
      <c r="H84" s="32">
        <f t="shared" si="39"/>
        <v>-4.0201005025125629E-2</v>
      </c>
      <c r="I84" s="101">
        <f>IF(ISNUMBER(G84), $B91 * H84, "")</f>
        <v>-6030.150753768844</v>
      </c>
      <c r="J84" s="15">
        <v>190</v>
      </c>
      <c r="K84" s="32">
        <f t="shared" si="40"/>
        <v>-4.5226130653266333E-2</v>
      </c>
      <c r="L84" s="18">
        <f>IF(ISNUMBER(J84), $B91 * K84, "")</f>
        <v>-6783.9195979899496</v>
      </c>
      <c r="M84" s="31">
        <v>189</v>
      </c>
      <c r="N84" s="32">
        <f t="shared" si="41"/>
        <v>-5.0251256281407038E-2</v>
      </c>
      <c r="O84" s="18">
        <f>IF(ISNUMBER(M84), $B91 * N84, "")</f>
        <v>-7537.6884422110561</v>
      </c>
      <c r="Q84" s="202"/>
      <c r="R84" s="202"/>
      <c r="S84" s="202"/>
    </row>
    <row r="85" spans="1:19" ht="17.25" thickBot="1">
      <c r="A85" s="127" t="s">
        <v>252</v>
      </c>
      <c r="B85" s="128">
        <v>402</v>
      </c>
      <c r="C85" s="78">
        <v>1.2594458399999999E-2</v>
      </c>
      <c r="D85" s="20">
        <v>391</v>
      </c>
      <c r="E85" s="21">
        <f t="shared" si="38"/>
        <v>-2.736318407960199E-2</v>
      </c>
      <c r="F85" s="22">
        <f>IF(ISNUMBER(D85), $B91 * E85, "")</f>
        <v>-4104.4776119402986</v>
      </c>
      <c r="G85" s="30">
        <v>385</v>
      </c>
      <c r="H85" s="21">
        <f t="shared" si="39"/>
        <v>-4.228855721393035E-2</v>
      </c>
      <c r="I85" s="105">
        <f>IF(ISNUMBER(G85), $B91 * H85, "")</f>
        <v>-6343.2835820895525</v>
      </c>
      <c r="J85" s="20">
        <v>385</v>
      </c>
      <c r="K85" s="21">
        <f t="shared" si="40"/>
        <v>-4.228855721393035E-2</v>
      </c>
      <c r="L85" s="22">
        <f>IF(ISNUMBER(J85), $B91 * K85, "")</f>
        <v>-6343.2835820895525</v>
      </c>
      <c r="M85" s="30">
        <v>382</v>
      </c>
      <c r="N85" s="21">
        <f t="shared" si="41"/>
        <v>-4.975124378109453E-2</v>
      </c>
      <c r="O85" s="22">
        <f>IF(ISNUMBER(M85), $B91 * N85, "")</f>
        <v>-7462.6865671641799</v>
      </c>
      <c r="Q85" s="202"/>
      <c r="R85" s="202"/>
      <c r="S85" s="202"/>
    </row>
    <row r="86" spans="1:19" ht="17.25" thickBot="1">
      <c r="A86" s="125" t="s">
        <v>150</v>
      </c>
      <c r="B86" s="129">
        <v>116</v>
      </c>
      <c r="C86" s="80">
        <v>8.6956522000000008E-3</v>
      </c>
      <c r="D86" s="106">
        <v>113</v>
      </c>
      <c r="E86" s="107">
        <f>IF(ISNUMBER(D86), (D86 - $B86) / $B86, "")</f>
        <v>-2.5862068965517241E-2</v>
      </c>
      <c r="F86" s="108">
        <f>IF(ISNUMBER(D86), $B91 * E86, "")</f>
        <v>-3879.3103448275861</v>
      </c>
      <c r="G86" s="109">
        <v>112</v>
      </c>
      <c r="H86" s="107">
        <f>IF(ISNUMBER(G86), (G86 - $B86) / $B86, "")</f>
        <v>-3.4482758620689655E-2</v>
      </c>
      <c r="I86" s="110">
        <f>IF(ISNUMBER(G86), $B91 * H86, "")</f>
        <v>-5172.4137931034484</v>
      </c>
      <c r="J86" s="106">
        <v>112</v>
      </c>
      <c r="K86" s="107">
        <f>IF(ISNUMBER(J86), (J86 - $B86) / $B86, "")</f>
        <v>-3.4482758620689655E-2</v>
      </c>
      <c r="L86" s="108">
        <f>IF(ISNUMBER(J86), $B91 * K86, "")</f>
        <v>-5172.4137931034484</v>
      </c>
      <c r="M86" s="109">
        <v>112</v>
      </c>
      <c r="N86" s="107">
        <f>IF(ISNUMBER(M86), (M86 - $B86) / $B86, "")</f>
        <v>-3.4482758620689655E-2</v>
      </c>
      <c r="O86" s="108">
        <f>IF(ISNUMBER(M86), $B91 * N86, "")</f>
        <v>-5172.4137931034484</v>
      </c>
      <c r="Q86" s="192"/>
      <c r="R86" s="192"/>
      <c r="S86" s="192"/>
    </row>
    <row r="87" spans="1:19" ht="17.25" thickBot="1">
      <c r="A87" s="125" t="s">
        <v>264</v>
      </c>
      <c r="B87" s="126">
        <v>270</v>
      </c>
      <c r="C87" s="77">
        <v>7.4626865999999998E-3</v>
      </c>
      <c r="D87" s="15">
        <v>263</v>
      </c>
      <c r="E87" s="32">
        <f t="shared" ref="E87:E90" si="42">IF(ISNUMBER(D87), (D87 - $B87) / $B87, "")</f>
        <v>-2.5925925925925925E-2</v>
      </c>
      <c r="F87" s="18">
        <f>IF(ISNUMBER(D87), $B91 * E87, "")</f>
        <v>-3888.8888888888887</v>
      </c>
      <c r="G87" s="31">
        <v>261</v>
      </c>
      <c r="H87" s="32">
        <f t="shared" ref="H87:H90" si="43">IF(ISNUMBER(G87), (G87 - $B87) / $B87, "")</f>
        <v>-3.3333333333333333E-2</v>
      </c>
      <c r="I87" s="101">
        <f>IF(ISNUMBER(G87), $B91 * H87, "")</f>
        <v>-5000</v>
      </c>
      <c r="J87" s="15">
        <v>262</v>
      </c>
      <c r="K87" s="32">
        <f t="shared" ref="K87:K90" si="44">IF(ISNUMBER(J87), (J87 - $B87) / $B87, "")</f>
        <v>-2.9629629629629631E-2</v>
      </c>
      <c r="L87" s="18">
        <f>IF(ISNUMBER(J87), $B91 * K87, "")</f>
        <v>-4444.4444444444443</v>
      </c>
      <c r="M87" s="31">
        <v>269</v>
      </c>
      <c r="N87" s="32">
        <f t="shared" ref="N87:N90" si="45">IF(ISNUMBER(M87), (M87 - $B87) / $B87, "")</f>
        <v>-3.7037037037037038E-3</v>
      </c>
      <c r="O87" s="18">
        <f>IF(ISNUMBER(M87), $B91 * N87, "")</f>
        <v>-555.55555555555554</v>
      </c>
      <c r="Q87" s="192"/>
      <c r="R87" s="192"/>
      <c r="S87" s="192"/>
    </row>
    <row r="88" spans="1:19" ht="17.25" thickBot="1">
      <c r="A88" s="125" t="s">
        <v>216</v>
      </c>
      <c r="B88" s="126">
        <v>141</v>
      </c>
      <c r="C88" s="77">
        <v>7.1428571000000003E-3</v>
      </c>
      <c r="D88" s="15">
        <v>135</v>
      </c>
      <c r="E88" s="32">
        <f t="shared" si="42"/>
        <v>-4.2553191489361701E-2</v>
      </c>
      <c r="F88" s="18">
        <f>IF(ISNUMBER(D88), $B91 * E88, "")</f>
        <v>-6382.9787234042551</v>
      </c>
      <c r="G88" s="31">
        <v>135</v>
      </c>
      <c r="H88" s="32">
        <f t="shared" si="43"/>
        <v>-4.2553191489361701E-2</v>
      </c>
      <c r="I88" s="101">
        <f>IF(ISNUMBER(G88), $B91 * H88, "")</f>
        <v>-6382.9787234042551</v>
      </c>
      <c r="J88" s="15">
        <v>133</v>
      </c>
      <c r="K88" s="32">
        <f t="shared" si="44"/>
        <v>-5.6737588652482268E-2</v>
      </c>
      <c r="L88" s="18">
        <f>IF(ISNUMBER(J88), $B91 * K88, "")</f>
        <v>-8510.6382978723395</v>
      </c>
      <c r="M88" s="31">
        <v>133</v>
      </c>
      <c r="N88" s="32">
        <f t="shared" si="45"/>
        <v>-5.6737588652482268E-2</v>
      </c>
      <c r="O88" s="18">
        <f>IF(ISNUMBER(M88), $B91 * N88, "")</f>
        <v>-8510.6382978723395</v>
      </c>
      <c r="Q88" s="192"/>
      <c r="R88" s="192"/>
      <c r="S88" s="192"/>
    </row>
    <row r="89" spans="1:19">
      <c r="A89" s="125" t="s">
        <v>61</v>
      </c>
      <c r="B89" s="126">
        <v>924</v>
      </c>
      <c r="C89" s="77">
        <v>5.4406964000000002E-3</v>
      </c>
      <c r="D89" s="15">
        <v>907</v>
      </c>
      <c r="E89" s="32">
        <f t="shared" si="42"/>
        <v>-1.83982683982684E-2</v>
      </c>
      <c r="F89" s="18">
        <f>IF(ISNUMBER(D89), $B91 * E89, "")</f>
        <v>-2759.7402597402602</v>
      </c>
      <c r="G89" s="31">
        <v>956</v>
      </c>
      <c r="H89" s="32">
        <f t="shared" si="43"/>
        <v>3.4632034632034632E-2</v>
      </c>
      <c r="I89" s="101">
        <f>IF(ISNUMBER(G89), $B91 * H89, "")</f>
        <v>5194.8051948051952</v>
      </c>
      <c r="J89" s="15">
        <v>969</v>
      </c>
      <c r="K89" s="32">
        <f t="shared" si="44"/>
        <v>4.8701298701298704E-2</v>
      </c>
      <c r="L89" s="18">
        <f>IF(ISNUMBER(J89), $B91 * K89, "")</f>
        <v>7305.1948051948057</v>
      </c>
      <c r="M89" s="31">
        <v>943</v>
      </c>
      <c r="N89" s="32">
        <f t="shared" si="45"/>
        <v>2.0562770562770564E-2</v>
      </c>
      <c r="O89" s="18">
        <f>IF(ISNUMBER(M89), $B91 * N89, "")</f>
        <v>3084.4155844155844</v>
      </c>
      <c r="Q89" s="181"/>
      <c r="R89" s="182"/>
      <c r="S89" s="183"/>
    </row>
    <row r="90" spans="1:19" ht="17.25" thickBot="1">
      <c r="A90" s="130" t="s">
        <v>160</v>
      </c>
      <c r="B90" s="131">
        <v>101</v>
      </c>
      <c r="C90" s="79">
        <v>0</v>
      </c>
      <c r="D90" s="24">
        <v>99.1</v>
      </c>
      <c r="E90" s="25">
        <f t="shared" si="42"/>
        <v>-1.8811881188118867E-2</v>
      </c>
      <c r="F90" s="104">
        <f>IF(ISNUMBER(D90), $B91 * E90, "")</f>
        <v>-2821.7821782178298</v>
      </c>
      <c r="G90" s="102">
        <v>99.2</v>
      </c>
      <c r="H90" s="25">
        <f t="shared" si="43"/>
        <v>-1.7821782178217793E-2</v>
      </c>
      <c r="I90" s="103">
        <f>IF(ISNUMBER(G90), $B91 * H90, "")</f>
        <v>-2673.2673267326691</v>
      </c>
      <c r="J90" s="24">
        <v>98.8</v>
      </c>
      <c r="K90" s="25">
        <f t="shared" si="44"/>
        <v>-2.1782178217821812E-2</v>
      </c>
      <c r="L90" s="104">
        <f>IF(ISNUMBER(J90), $B91 * K90, "")</f>
        <v>-3267.3267326732716</v>
      </c>
      <c r="M90" s="102">
        <v>99.5</v>
      </c>
      <c r="N90" s="25">
        <f t="shared" si="45"/>
        <v>-1.4851485148514851E-2</v>
      </c>
      <c r="O90" s="104">
        <f>IF(ISNUMBER(M90), $B91 * N90, "")</f>
        <v>-2227.7227722772277</v>
      </c>
      <c r="Q90" s="184"/>
      <c r="R90" s="185"/>
      <c r="S90" s="186"/>
    </row>
    <row r="91" spans="1:19" ht="17.25" thickBot="1">
      <c r="A91" s="132" t="s">
        <v>268</v>
      </c>
      <c r="B91" s="245">
        <f>$B$37</f>
        <v>150000</v>
      </c>
      <c r="C91" s="246"/>
      <c r="D91" s="26" t="s">
        <v>269</v>
      </c>
      <c r="E91" s="27">
        <f>IF(COUNT(E71:E90), SUM(E71:E90) / COUNT(E71:E90), 0)</f>
        <v>-8.9830372425167872E-3</v>
      </c>
      <c r="F91" s="28">
        <f>SUM(F71:F90)</f>
        <v>-26949.111727550364</v>
      </c>
      <c r="G91" s="26" t="s">
        <v>269</v>
      </c>
      <c r="H91" s="27">
        <f>IF(COUNT(H71:H90), SUM(H71:H90) / COUNT(H71:H90), 0)</f>
        <v>-1.1307971813380915E-2</v>
      </c>
      <c r="I91" s="28">
        <f>SUM(I71:I90)</f>
        <v>-33923.915440142744</v>
      </c>
      <c r="J91" s="26" t="s">
        <v>269</v>
      </c>
      <c r="K91" s="27">
        <f>IF(COUNT(K71:K90), SUM(K71:K90) / COUNT(K71:K90), 0)</f>
        <v>-1.0597161573984357E-2</v>
      </c>
      <c r="L91" s="28">
        <f>SUM(L71:L90)</f>
        <v>-31791.484721953075</v>
      </c>
      <c r="M91" s="26" t="s">
        <v>269</v>
      </c>
      <c r="N91" s="27">
        <f>IF(COUNT(N71:N90), SUM(N71:N90) / COUNT(N71:N90), 0)</f>
        <v>-1.7918393757632954E-2</v>
      </c>
      <c r="O91" s="28">
        <f>SUM(O71:O90)</f>
        <v>-53755.181272898859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69" t="s">
        <v>265</v>
      </c>
      <c r="B95" s="203" t="s">
        <v>49</v>
      </c>
      <c r="C95" s="205"/>
      <c r="D95" s="203" t="s">
        <v>58</v>
      </c>
      <c r="E95" s="204"/>
      <c r="F95" s="205"/>
      <c r="G95" s="206">
        <f>_xlfn.IFNA(VLOOKUP(B95, 현재가테이블!$B$2:$D$200, 2, FALSE), "-")</f>
        <v>62630000</v>
      </c>
      <c r="H95" s="207"/>
      <c r="I95" s="208"/>
      <c r="J95" s="203" t="s">
        <v>59</v>
      </c>
      <c r="K95" s="204"/>
      <c r="L95" s="205"/>
      <c r="M95" s="209">
        <f>_xlfn.IFNA(VLOOKUP(B95, 현재가테이블!$B$2:$D$200, 3, FALSE), "-")</f>
        <v>1.5632601400000001E-2</v>
      </c>
      <c r="N95" s="210"/>
      <c r="O95" s="211"/>
      <c r="Q95" s="202"/>
      <c r="R95" s="202"/>
      <c r="S95" s="202"/>
    </row>
    <row r="96" spans="1:19" ht="17.25" thickBot="1">
      <c r="A96" s="247" t="s">
        <v>55</v>
      </c>
      <c r="B96" s="243" t="str">
        <f>TEXT($G$1, "[$-ko-KR]yyyy-mm-dd(ddd) ") &amp; "오전 00:00"</f>
        <v>2021-10-04(월) 오전 00:00</v>
      </c>
      <c r="C96" s="244"/>
      <c r="D96" s="216" t="str">
        <f>TEXT($G$1, "[$-ko-KR]yyyy-mm-dd(ddd) ") &amp; "오후 14:00"</f>
        <v>2021-10-04(월) 오후 14:00</v>
      </c>
      <c r="E96" s="217"/>
      <c r="F96" s="218"/>
      <c r="G96" s="216" t="str">
        <f>TEXT($G$1, "[$-ko-KR]yyyy-mm-dd(ddd) ") &amp; "오후 19:00"</f>
        <v>2021-10-04(월) 오후 19:00</v>
      </c>
      <c r="H96" s="217"/>
      <c r="I96" s="218"/>
      <c r="J96" s="216" t="str">
        <f>TEXT($G$1, "[$-ko-KR]yyyy-mm-dd(ddd) ") &amp; "오후 21:00"</f>
        <v>2021-10-04(월) 오후 21:00</v>
      </c>
      <c r="K96" s="217"/>
      <c r="L96" s="218"/>
      <c r="M96" s="216" t="str">
        <f>TEXT($G$1+1, "[$-ko-KR]yyyy-mm-dd(ddd) ") &amp; "오전 00:00"</f>
        <v>2021-10-05(화) 오전 00:00</v>
      </c>
      <c r="N96" s="217"/>
      <c r="O96" s="218"/>
      <c r="Q96" s="202"/>
      <c r="R96" s="202"/>
      <c r="S96" s="202"/>
    </row>
    <row r="97" spans="1:19" ht="17.25" thickBot="1">
      <c r="A97" s="24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0" t="s">
        <v>58</v>
      </c>
      <c r="H97" s="171" t="s">
        <v>266</v>
      </c>
      <c r="I97" s="17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192"/>
      <c r="R97" s="192"/>
      <c r="S97" s="192"/>
    </row>
    <row r="98" spans="1:19" ht="17.25" thickBot="1">
      <c r="A98" s="123" t="s">
        <v>96</v>
      </c>
      <c r="B98" s="124">
        <v>10510</v>
      </c>
      <c r="C98" s="76">
        <v>0.16972732330000001</v>
      </c>
      <c r="D98" s="13">
        <v>10200</v>
      </c>
      <c r="E98" s="14">
        <f>IF(ISNUMBER(D98), (D98 - $B98) / $B98, "")</f>
        <v>-2.9495718363463368E-2</v>
      </c>
      <c r="F98" s="16">
        <f>IF(ISNUMBER(D98), $B118 * E98, "")</f>
        <v>-4424.3577545195049</v>
      </c>
      <c r="G98" s="29">
        <v>10590</v>
      </c>
      <c r="H98" s="14">
        <f>IF(ISNUMBER(G98), (G98 - $B98) / $B98, "")</f>
        <v>7.6117982873453857E-3</v>
      </c>
      <c r="I98" s="100">
        <f>IF(ISNUMBER(G98), $B118 * H98, "")</f>
        <v>1141.7697431018078</v>
      </c>
      <c r="J98" s="13">
        <v>10700</v>
      </c>
      <c r="K98" s="14">
        <f>IF(ISNUMBER(J98), (J98 - $B98) / $B98, "")</f>
        <v>1.8078020932445291E-2</v>
      </c>
      <c r="L98" s="16">
        <f>IF(ISNUMBER(J98), $B118 * K98, "")</f>
        <v>2711.7031398667937</v>
      </c>
      <c r="M98" s="29">
        <v>10250</v>
      </c>
      <c r="N98" s="14">
        <f>IF(ISNUMBER(M98), (M98 - $B98) / $B98, "")</f>
        <v>-2.4738344433872503E-2</v>
      </c>
      <c r="O98" s="16">
        <f>IF(ISNUMBER(M98), $B118 * N98, "")</f>
        <v>-3710.7516650808752</v>
      </c>
      <c r="Q98" s="202"/>
      <c r="R98" s="202"/>
      <c r="S98" s="202"/>
    </row>
    <row r="99" spans="1:19" ht="17.25" thickBot="1">
      <c r="A99" s="125" t="s">
        <v>106</v>
      </c>
      <c r="B99" s="126">
        <v>2665</v>
      </c>
      <c r="C99" s="77">
        <v>0.11974789919999999</v>
      </c>
      <c r="D99" s="15">
        <v>2560</v>
      </c>
      <c r="E99" s="32">
        <f t="shared" ref="E99:E102" si="46">IF(ISNUMBER(D99), (D99 - $B99) / $B99, "")</f>
        <v>-3.9399624765478425E-2</v>
      </c>
      <c r="F99" s="18">
        <f>IF(ISNUMBER(D99), $B118 * E99, "")</f>
        <v>-5909.9437148217639</v>
      </c>
      <c r="G99" s="31">
        <v>2610</v>
      </c>
      <c r="H99" s="32">
        <f t="shared" ref="H99:H102" si="47">IF(ISNUMBER(G99), (G99 - $B99) / $B99, "")</f>
        <v>-2.0637898686679174E-2</v>
      </c>
      <c r="I99" s="101">
        <f>IF(ISNUMBER(G99), $B118 * H99, "")</f>
        <v>-3095.6848030018759</v>
      </c>
      <c r="J99" s="15">
        <v>2650</v>
      </c>
      <c r="K99" s="32">
        <f t="shared" ref="K99:K102" si="48">IF(ISNUMBER(J99), (J99 - $B99) / $B99, "")</f>
        <v>-5.6285178236397749E-3</v>
      </c>
      <c r="L99" s="18">
        <f>IF(ISNUMBER(J99), $B118 * K99, "")</f>
        <v>-844.27767354596619</v>
      </c>
      <c r="M99" s="31">
        <v>2565</v>
      </c>
      <c r="N99" s="32">
        <f t="shared" ref="N99:N102" si="49">IF(ISNUMBER(M99), (M99 - $B99) / $B99, "")</f>
        <v>-3.7523452157598502E-2</v>
      </c>
      <c r="O99" s="18">
        <f>IF(ISNUMBER(M99), $B118 * N99, "")</f>
        <v>-5628.5178236397751</v>
      </c>
      <c r="Q99" s="202"/>
      <c r="R99" s="202"/>
      <c r="S99" s="202"/>
    </row>
    <row r="100" spans="1:19" ht="17.25" thickBot="1">
      <c r="A100" s="125" t="s">
        <v>228</v>
      </c>
      <c r="B100" s="126">
        <v>360</v>
      </c>
      <c r="C100" s="77">
        <v>0.1076923077</v>
      </c>
      <c r="D100" s="15">
        <v>365</v>
      </c>
      <c r="E100" s="32">
        <f t="shared" si="46"/>
        <v>1.3888888888888888E-2</v>
      </c>
      <c r="F100" s="18">
        <f>IF(ISNUMBER(D100), $B118 * E100, "")</f>
        <v>2083.333333333333</v>
      </c>
      <c r="G100" s="31">
        <v>364</v>
      </c>
      <c r="H100" s="32">
        <f t="shared" si="47"/>
        <v>1.1111111111111112E-2</v>
      </c>
      <c r="I100" s="101">
        <f>IF(ISNUMBER(G100), $B118 * H100, "")</f>
        <v>1666.6666666666667</v>
      </c>
      <c r="J100" s="15">
        <v>365</v>
      </c>
      <c r="K100" s="32">
        <f t="shared" si="48"/>
        <v>1.3888888888888888E-2</v>
      </c>
      <c r="L100" s="18">
        <f>IF(ISNUMBER(J100), $B118 * K100, "")</f>
        <v>2083.333333333333</v>
      </c>
      <c r="M100" s="31">
        <v>363</v>
      </c>
      <c r="N100" s="32">
        <f t="shared" si="49"/>
        <v>8.3333333333333332E-3</v>
      </c>
      <c r="O100" s="18">
        <f>IF(ISNUMBER(M100), $B118 * N100, "")</f>
        <v>1250</v>
      </c>
      <c r="Q100" s="192"/>
      <c r="R100" s="192"/>
      <c r="S100" s="192"/>
    </row>
    <row r="101" spans="1:19" ht="17.25" thickBot="1">
      <c r="A101" s="125" t="s">
        <v>84</v>
      </c>
      <c r="B101" s="126">
        <v>5760</v>
      </c>
      <c r="C101" s="77">
        <v>9.1943127999999999E-2</v>
      </c>
      <c r="D101" s="15">
        <v>5475</v>
      </c>
      <c r="E101" s="32">
        <f t="shared" si="46"/>
        <v>-4.9479166666666664E-2</v>
      </c>
      <c r="F101" s="18">
        <f>IF(ISNUMBER(D101), $B118 * E101, "")</f>
        <v>-7421.875</v>
      </c>
      <c r="G101" s="31">
        <v>5455</v>
      </c>
      <c r="H101" s="32">
        <f t="shared" si="47"/>
        <v>-5.2951388888888888E-2</v>
      </c>
      <c r="I101" s="101">
        <f>IF(ISNUMBER(G101), $B118 * H101, "")</f>
        <v>-7942.708333333333</v>
      </c>
      <c r="J101" s="15">
        <v>5475</v>
      </c>
      <c r="K101" s="32">
        <f t="shared" si="48"/>
        <v>-4.9479166666666664E-2</v>
      </c>
      <c r="L101" s="18">
        <f>IF(ISNUMBER(J101), $B118 * K101, "")</f>
        <v>-7421.875</v>
      </c>
      <c r="M101" s="31">
        <v>5415</v>
      </c>
      <c r="N101" s="32">
        <f t="shared" si="49"/>
        <v>-5.9895833333333336E-2</v>
      </c>
      <c r="O101" s="18">
        <f>IF(ISNUMBER(M101), $B118 * N101, "")</f>
        <v>-8984.375</v>
      </c>
      <c r="Q101" s="192"/>
      <c r="R101" s="192"/>
      <c r="S101" s="192"/>
    </row>
    <row r="102" spans="1:19" ht="17.25" thickBot="1">
      <c r="A102" s="127" t="s">
        <v>204</v>
      </c>
      <c r="B102" s="128">
        <v>986</v>
      </c>
      <c r="C102" s="78">
        <v>8.1140350900000005E-2</v>
      </c>
      <c r="D102" s="20">
        <v>1155</v>
      </c>
      <c r="E102" s="21">
        <f t="shared" si="46"/>
        <v>0.17139959432048682</v>
      </c>
      <c r="F102" s="22">
        <f>IF(ISNUMBER(D102), $B118 * E102, "")</f>
        <v>25709.939148073023</v>
      </c>
      <c r="G102" s="30">
        <v>1140</v>
      </c>
      <c r="H102" s="21">
        <f t="shared" si="47"/>
        <v>0.15618661257606492</v>
      </c>
      <c r="I102" s="105">
        <f>IF(ISNUMBER(G102), $B118 * H102, "")</f>
        <v>23427.991886409738</v>
      </c>
      <c r="J102" s="20">
        <v>1145</v>
      </c>
      <c r="K102" s="21">
        <f t="shared" si="48"/>
        <v>0.1612576064908722</v>
      </c>
      <c r="L102" s="22">
        <f>IF(ISNUMBER(J102), $B118 * K102, "")</f>
        <v>24188.640973630831</v>
      </c>
      <c r="M102" s="30">
        <v>1125</v>
      </c>
      <c r="N102" s="21">
        <f t="shared" si="49"/>
        <v>0.14097363083164299</v>
      </c>
      <c r="O102" s="22">
        <f>IF(ISNUMBER(M102), $B118 * N102, "")</f>
        <v>21146.04462474645</v>
      </c>
      <c r="Q102" s="192"/>
      <c r="R102" s="192"/>
      <c r="S102" s="192"/>
    </row>
    <row r="103" spans="1:19" ht="17.25" thickBot="1">
      <c r="A103" s="125" t="s">
        <v>122</v>
      </c>
      <c r="B103" s="129">
        <v>628</v>
      </c>
      <c r="C103" s="80">
        <v>8.0895008599999998E-2</v>
      </c>
      <c r="D103" s="106">
        <v>613</v>
      </c>
      <c r="E103" s="107">
        <f>IF(ISNUMBER(D103), (D103 - $B103) / $B103, "")</f>
        <v>-2.3885350318471339E-2</v>
      </c>
      <c r="F103" s="108">
        <f>IF(ISNUMBER(D103), $B118 * E103, "")</f>
        <v>-3582.802547770701</v>
      </c>
      <c r="G103" s="109">
        <v>619</v>
      </c>
      <c r="H103" s="107">
        <f>IF(ISNUMBER(G103), (G103 - $B103) / $B103, "")</f>
        <v>-1.4331210191082803E-2</v>
      </c>
      <c r="I103" s="110">
        <f>IF(ISNUMBER(G103), $B118 * H103, "")</f>
        <v>-2149.6815286624205</v>
      </c>
      <c r="J103" s="106">
        <v>620</v>
      </c>
      <c r="K103" s="107">
        <f>IF(ISNUMBER(J103), (J103 - $B103) / $B103, "")</f>
        <v>-1.2738853503184714E-2</v>
      </c>
      <c r="L103" s="108">
        <f>IF(ISNUMBER(J103), $B118 * K103, "")</f>
        <v>-1910.8280254777071</v>
      </c>
      <c r="M103" s="109">
        <v>610</v>
      </c>
      <c r="N103" s="107">
        <f>IF(ISNUMBER(M103), (M103 - $B103) / $B103, "")</f>
        <v>-2.8662420382165606E-2</v>
      </c>
      <c r="O103" s="108">
        <f>IF(ISNUMBER(M103), $B118 * N103, "")</f>
        <v>-4299.3630573248411</v>
      </c>
      <c r="Q103" s="192"/>
      <c r="R103" s="192"/>
      <c r="S103" s="192"/>
    </row>
    <row r="104" spans="1:19" ht="17.25" thickBot="1">
      <c r="A104" s="125" t="s">
        <v>102</v>
      </c>
      <c r="B104" s="126">
        <v>1105</v>
      </c>
      <c r="C104" s="77">
        <v>6.7632850199999997E-2</v>
      </c>
      <c r="D104" s="15">
        <v>1060</v>
      </c>
      <c r="E104" s="32">
        <f t="shared" ref="E104:E107" si="50">IF(ISNUMBER(D104), (D104 - $B104) / $B104, "")</f>
        <v>-4.072398190045249E-2</v>
      </c>
      <c r="F104" s="18">
        <f>IF(ISNUMBER(D104), $B118 * E104, "")</f>
        <v>-6108.5972850678736</v>
      </c>
      <c r="G104" s="31">
        <v>1045</v>
      </c>
      <c r="H104" s="32">
        <f t="shared" ref="H104:H107" si="51">IF(ISNUMBER(G104), (G104 - $B104) / $B104, "")</f>
        <v>-5.4298642533936653E-2</v>
      </c>
      <c r="I104" s="101">
        <f>IF(ISNUMBER(G104), $B118 * H104, "")</f>
        <v>-8144.7963800904981</v>
      </c>
      <c r="J104" s="15">
        <v>1045</v>
      </c>
      <c r="K104" s="32">
        <f t="shared" ref="K104:K107" si="52">IF(ISNUMBER(J104), (J104 - $B104) / $B104, "")</f>
        <v>-5.4298642533936653E-2</v>
      </c>
      <c r="L104" s="18">
        <f>IF(ISNUMBER(J104), $B118 * K104, "")</f>
        <v>-8144.7963800904981</v>
      </c>
      <c r="M104" s="31">
        <v>1035</v>
      </c>
      <c r="N104" s="32">
        <f t="shared" ref="N104:N107" si="53">IF(ISNUMBER(M104), (M104 - $B104) / $B104, "")</f>
        <v>-6.3348416289592757E-2</v>
      </c>
      <c r="O104" s="18">
        <f>IF(ISNUMBER(M104), $B118 * N104, "")</f>
        <v>-9502.2624434389127</v>
      </c>
      <c r="Q104" s="192"/>
      <c r="R104" s="192"/>
      <c r="S104" s="192"/>
    </row>
    <row r="105" spans="1:19" ht="17.25" thickBot="1">
      <c r="A105" s="125" t="s">
        <v>63</v>
      </c>
      <c r="B105" s="126">
        <v>55120</v>
      </c>
      <c r="C105" s="77">
        <v>6.2451811900000001E-2</v>
      </c>
      <c r="D105" s="15">
        <v>52380</v>
      </c>
      <c r="E105" s="32">
        <f t="shared" si="50"/>
        <v>-4.9709724238026123E-2</v>
      </c>
      <c r="F105" s="18">
        <f>IF(ISNUMBER(D105), $B118 * E105, "")</f>
        <v>-7456.4586357039188</v>
      </c>
      <c r="G105" s="31">
        <v>52100</v>
      </c>
      <c r="H105" s="32">
        <f t="shared" si="51"/>
        <v>-5.4789550072568943E-2</v>
      </c>
      <c r="I105" s="101">
        <f>IF(ISNUMBER(G105), $B118 * H105, "")</f>
        <v>-8218.4325108853409</v>
      </c>
      <c r="J105" s="15">
        <v>51990</v>
      </c>
      <c r="K105" s="32">
        <f t="shared" si="52"/>
        <v>-5.6785195936139329E-2</v>
      </c>
      <c r="L105" s="18">
        <f>IF(ISNUMBER(J105), $B118 * K105, "")</f>
        <v>-8517.7793904208993</v>
      </c>
      <c r="M105" s="31">
        <v>51590</v>
      </c>
      <c r="N105" s="32">
        <f t="shared" si="53"/>
        <v>-6.4042089985486217E-2</v>
      </c>
      <c r="O105" s="18">
        <f>IF(ISNUMBER(M105), $B118 * N105, "")</f>
        <v>-9606.3134978229318</v>
      </c>
      <c r="Q105" s="192"/>
      <c r="R105" s="192"/>
      <c r="S105" s="192"/>
    </row>
    <row r="106" spans="1:19" ht="17.25" thickBot="1">
      <c r="A106" s="125" t="s">
        <v>138</v>
      </c>
      <c r="B106" s="126">
        <v>20210</v>
      </c>
      <c r="C106" s="77">
        <v>6.1449579800000001E-2</v>
      </c>
      <c r="D106" s="15">
        <v>19420</v>
      </c>
      <c r="E106" s="32">
        <f t="shared" si="50"/>
        <v>-3.9089559623948542E-2</v>
      </c>
      <c r="F106" s="18">
        <f>IF(ISNUMBER(D106), $B118 * E106, "")</f>
        <v>-5863.4339435922811</v>
      </c>
      <c r="G106" s="31">
        <v>21100</v>
      </c>
      <c r="H106" s="32">
        <f t="shared" si="51"/>
        <v>4.4037605145967343E-2</v>
      </c>
      <c r="I106" s="101">
        <f>IF(ISNUMBER(G106), $B118 * H106, "")</f>
        <v>6605.6407718951014</v>
      </c>
      <c r="J106" s="15">
        <v>21450</v>
      </c>
      <c r="K106" s="32">
        <f t="shared" si="52"/>
        <v>6.1355764473033154E-2</v>
      </c>
      <c r="L106" s="18">
        <f>IF(ISNUMBER(J106), $B118 * K106, "")</f>
        <v>9203.3646709549739</v>
      </c>
      <c r="M106" s="31">
        <v>20580</v>
      </c>
      <c r="N106" s="32">
        <f t="shared" si="53"/>
        <v>1.830776843146957E-2</v>
      </c>
      <c r="O106" s="18">
        <f>IF(ISNUMBER(M106), $B118 * N106, "")</f>
        <v>2746.1652647204355</v>
      </c>
      <c r="Q106" s="33"/>
      <c r="R106" s="33"/>
    </row>
    <row r="107" spans="1:19" ht="17.25" thickBot="1">
      <c r="A107" s="130" t="s">
        <v>69</v>
      </c>
      <c r="B107" s="131">
        <v>11100</v>
      </c>
      <c r="C107" s="79">
        <v>5.4131054099999999E-2</v>
      </c>
      <c r="D107" s="24">
        <v>10420</v>
      </c>
      <c r="E107" s="25">
        <f t="shared" si="50"/>
        <v>-6.126126126126126E-2</v>
      </c>
      <c r="F107" s="104">
        <f>IF(ISNUMBER(D107), $B118 * E107, "")</f>
        <v>-9189.1891891891883</v>
      </c>
      <c r="G107" s="102">
        <v>10360</v>
      </c>
      <c r="H107" s="25">
        <f t="shared" si="51"/>
        <v>-6.6666666666666666E-2</v>
      </c>
      <c r="I107" s="103">
        <f>IF(ISNUMBER(G107), $B118 * H107, "")</f>
        <v>-10000</v>
      </c>
      <c r="J107" s="24">
        <v>10310</v>
      </c>
      <c r="K107" s="25">
        <f t="shared" si="52"/>
        <v>-7.1171171171171166E-2</v>
      </c>
      <c r="L107" s="104">
        <f>IF(ISNUMBER(J107), $B118 * K107, "")</f>
        <v>-10675.675675675675</v>
      </c>
      <c r="M107" s="102">
        <v>10280</v>
      </c>
      <c r="N107" s="25">
        <f t="shared" si="53"/>
        <v>-7.3873873873873869E-2</v>
      </c>
      <c r="O107" s="104">
        <f>IF(ISNUMBER(M107), $B118 * N107, "")</f>
        <v>-11081.08108108108</v>
      </c>
      <c r="Q107" s="193"/>
      <c r="R107" s="194"/>
      <c r="S107" s="195"/>
    </row>
    <row r="108" spans="1:19">
      <c r="A108" s="123" t="s">
        <v>230</v>
      </c>
      <c r="B108" s="124">
        <v>825</v>
      </c>
      <c r="C108" s="76">
        <v>5.0955413999999997E-2</v>
      </c>
      <c r="D108" s="13">
        <v>852</v>
      </c>
      <c r="E108" s="14">
        <f>IF(ISNUMBER(D108), (D108 - $B108) / $B108, "")</f>
        <v>3.272727272727273E-2</v>
      </c>
      <c r="F108" s="16">
        <f>IF(ISNUMBER(D108), $B118 * E108, "")</f>
        <v>4909.0909090909099</v>
      </c>
      <c r="G108" s="29">
        <v>844</v>
      </c>
      <c r="H108" s="14">
        <f>IF(ISNUMBER(G108), (G108 - $B108) / $B108, "")</f>
        <v>2.3030303030303029E-2</v>
      </c>
      <c r="I108" s="100">
        <f>IF(ISNUMBER(G108), $B118 * H108, "")</f>
        <v>3454.5454545454545</v>
      </c>
      <c r="J108" s="13">
        <v>841</v>
      </c>
      <c r="K108" s="14">
        <f>IF(ISNUMBER(J108), (J108 - $B108) / $B108, "")</f>
        <v>1.9393939393939394E-2</v>
      </c>
      <c r="L108" s="16">
        <f>IF(ISNUMBER(J108), $B118 * K108, "")</f>
        <v>2909.090909090909</v>
      </c>
      <c r="M108" s="29">
        <v>814</v>
      </c>
      <c r="N108" s="14">
        <f>IF(ISNUMBER(M108), (M108 - $B108) / $B108, "")</f>
        <v>-1.3333333333333334E-2</v>
      </c>
      <c r="O108" s="16">
        <f>IF(ISNUMBER(M108), $B118 * N108, "")</f>
        <v>-2000.0000000000002</v>
      </c>
      <c r="Q108" s="196"/>
      <c r="R108" s="197"/>
      <c r="S108" s="198"/>
    </row>
    <row r="109" spans="1:19" ht="17.25" thickBot="1">
      <c r="A109" s="125" t="s">
        <v>172</v>
      </c>
      <c r="B109" s="126">
        <v>432</v>
      </c>
      <c r="C109" s="77">
        <v>4.3478260900000003E-2</v>
      </c>
      <c r="D109" s="15">
        <v>435</v>
      </c>
      <c r="E109" s="32">
        <f t="shared" ref="E109:E112" si="54">IF(ISNUMBER(D109), (D109 - $B109) / $B109, "")</f>
        <v>6.9444444444444441E-3</v>
      </c>
      <c r="F109" s="18">
        <f>IF(ISNUMBER(D109), $B118 * E109, "")</f>
        <v>1041.6666666666665</v>
      </c>
      <c r="G109" s="31">
        <v>430</v>
      </c>
      <c r="H109" s="32">
        <f t="shared" ref="H109:H112" si="55">IF(ISNUMBER(G109), (G109 - $B109) / $B109, "")</f>
        <v>-4.6296296296296294E-3</v>
      </c>
      <c r="I109" s="101">
        <f>IF(ISNUMBER(G109), $B118 * H109, "")</f>
        <v>-694.44444444444446</v>
      </c>
      <c r="J109" s="15">
        <v>433</v>
      </c>
      <c r="K109" s="32">
        <f t="shared" ref="K109:K112" si="56">IF(ISNUMBER(J109), (J109 - $B109) / $B109, "")</f>
        <v>2.3148148148148147E-3</v>
      </c>
      <c r="L109" s="18">
        <f>IF(ISNUMBER(J109), $B118 * K109, "")</f>
        <v>347.22222222222223</v>
      </c>
      <c r="M109" s="31">
        <v>424</v>
      </c>
      <c r="N109" s="32">
        <f t="shared" ref="N109:N112" si="57">IF(ISNUMBER(M109), (M109 - $B109) / $B109, "")</f>
        <v>-1.8518518518518517E-2</v>
      </c>
      <c r="O109" s="18">
        <f>IF(ISNUMBER(M109), $B118 * N109, "")</f>
        <v>-2777.7777777777778</v>
      </c>
      <c r="Q109" s="199"/>
      <c r="R109" s="200"/>
      <c r="S109" s="201"/>
    </row>
    <row r="110" spans="1:19" ht="17.25" thickBot="1">
      <c r="A110" s="125" t="s">
        <v>130</v>
      </c>
      <c r="B110" s="126">
        <v>123</v>
      </c>
      <c r="C110" s="77">
        <v>4.23728814E-2</v>
      </c>
      <c r="D110" s="15">
        <v>117</v>
      </c>
      <c r="E110" s="32">
        <f t="shared" si="54"/>
        <v>-4.878048780487805E-2</v>
      </c>
      <c r="F110" s="18">
        <f>IF(ISNUMBER(D110), $B118 * E110, "")</f>
        <v>-7317.0731707317073</v>
      </c>
      <c r="G110" s="31">
        <v>118</v>
      </c>
      <c r="H110" s="32">
        <f t="shared" si="55"/>
        <v>-4.065040650406504E-2</v>
      </c>
      <c r="I110" s="101">
        <f>IF(ISNUMBER(G110), $B118 * H110, "")</f>
        <v>-6097.5609756097556</v>
      </c>
      <c r="J110" s="15">
        <v>118</v>
      </c>
      <c r="K110" s="32">
        <f t="shared" si="56"/>
        <v>-4.065040650406504E-2</v>
      </c>
      <c r="L110" s="18">
        <f>IF(ISNUMBER(J110), $B118 * K110, "")</f>
        <v>-6097.5609756097556</v>
      </c>
      <c r="M110" s="31">
        <v>118</v>
      </c>
      <c r="N110" s="32">
        <f t="shared" si="57"/>
        <v>-4.065040650406504E-2</v>
      </c>
      <c r="O110" s="18">
        <f>IF(ISNUMBER(M110), $B118 * N110, "")</f>
        <v>-6097.5609756097556</v>
      </c>
      <c r="Q110" s="192"/>
      <c r="R110" s="192"/>
      <c r="S110" s="192"/>
    </row>
    <row r="111" spans="1:19" ht="17.25" thickBot="1">
      <c r="A111" s="125" t="s">
        <v>226</v>
      </c>
      <c r="B111" s="126">
        <v>939</v>
      </c>
      <c r="C111" s="77">
        <v>4.2175360699999997E-2</v>
      </c>
      <c r="D111" s="15">
        <v>914</v>
      </c>
      <c r="E111" s="32">
        <f t="shared" si="54"/>
        <v>-2.6624068157614485E-2</v>
      </c>
      <c r="F111" s="18">
        <f>IF(ISNUMBER(D111), $B118 * E111, "")</f>
        <v>-3993.6102236421725</v>
      </c>
      <c r="G111" s="31">
        <v>908</v>
      </c>
      <c r="H111" s="32">
        <f t="shared" si="55"/>
        <v>-3.301384451544196E-2</v>
      </c>
      <c r="I111" s="101">
        <f>IF(ISNUMBER(G111), $B118 * H111, "")</f>
        <v>-4952.0766773162941</v>
      </c>
      <c r="J111" s="15">
        <v>910</v>
      </c>
      <c r="K111" s="32">
        <f t="shared" si="56"/>
        <v>-3.0883919062832801E-2</v>
      </c>
      <c r="L111" s="18">
        <f>IF(ISNUMBER(J111), $B118 * K111, "")</f>
        <v>-4632.5878594249198</v>
      </c>
      <c r="M111" s="31">
        <v>899</v>
      </c>
      <c r="N111" s="32">
        <f t="shared" si="57"/>
        <v>-4.2598509052183174E-2</v>
      </c>
      <c r="O111" s="18">
        <f>IF(ISNUMBER(M111), $B118 * N111, "")</f>
        <v>-6389.7763578274762</v>
      </c>
      <c r="Q111" s="202"/>
      <c r="R111" s="202"/>
      <c r="S111" s="202"/>
    </row>
    <row r="112" spans="1:19" ht="17.25" thickBot="1">
      <c r="A112" s="127" t="s">
        <v>104</v>
      </c>
      <c r="B112" s="128">
        <v>1240</v>
      </c>
      <c r="C112" s="78">
        <v>3.7656903800000002E-2</v>
      </c>
      <c r="D112" s="20">
        <v>1195</v>
      </c>
      <c r="E112" s="21">
        <f t="shared" si="54"/>
        <v>-3.6290322580645164E-2</v>
      </c>
      <c r="F112" s="22">
        <f>IF(ISNUMBER(D112), $B118 * E112, "")</f>
        <v>-5443.5483870967746</v>
      </c>
      <c r="G112" s="30">
        <v>1170</v>
      </c>
      <c r="H112" s="21">
        <f t="shared" si="55"/>
        <v>-5.6451612903225805E-2</v>
      </c>
      <c r="I112" s="105">
        <f>IF(ISNUMBER(G112), $B118 * H112, "")</f>
        <v>-8467.7419354838712</v>
      </c>
      <c r="J112" s="20">
        <v>1175</v>
      </c>
      <c r="K112" s="21">
        <f t="shared" si="56"/>
        <v>-5.2419354838709679E-2</v>
      </c>
      <c r="L112" s="22">
        <f>IF(ISNUMBER(J112), $B118 * K112, "")</f>
        <v>-7862.9032258064517</v>
      </c>
      <c r="M112" s="30">
        <v>1160</v>
      </c>
      <c r="N112" s="21">
        <f t="shared" si="57"/>
        <v>-6.4516129032258063E-2</v>
      </c>
      <c r="O112" s="22">
        <f>IF(ISNUMBER(M112), $B118 * N112, "")</f>
        <v>-9677.4193548387102</v>
      </c>
      <c r="Q112" s="202"/>
      <c r="R112" s="202"/>
      <c r="S112" s="202"/>
    </row>
    <row r="113" spans="1:19" ht="17.25" thickBot="1">
      <c r="A113" s="125" t="s">
        <v>156</v>
      </c>
      <c r="B113" s="129">
        <v>33380</v>
      </c>
      <c r="C113" s="80">
        <v>3.69680025E-2</v>
      </c>
      <c r="D113" s="106">
        <v>31930</v>
      </c>
      <c r="E113" s="107">
        <f>IF(ISNUMBER(D113), (D113 - $B113) / $B113, "")</f>
        <v>-4.3439185140802875E-2</v>
      </c>
      <c r="F113" s="108">
        <f>IF(ISNUMBER(D113), $B118 * E113, "")</f>
        <v>-6515.8777711204311</v>
      </c>
      <c r="G113" s="109">
        <v>31710</v>
      </c>
      <c r="H113" s="107">
        <f>IF(ISNUMBER(G113), (G113 - $B113) / $B113, "")</f>
        <v>-5.0029958058717794E-2</v>
      </c>
      <c r="I113" s="110">
        <f>IF(ISNUMBER(G113), $B118 * H113, "")</f>
        <v>-7504.4937088076695</v>
      </c>
      <c r="J113" s="106">
        <v>31720</v>
      </c>
      <c r="K113" s="107">
        <f>IF(ISNUMBER(J113), (J113 - $B113) / $B113, "")</f>
        <v>-4.9730377471539841E-2</v>
      </c>
      <c r="L113" s="108">
        <f>IF(ISNUMBER(J113), $B118 * K113, "")</f>
        <v>-7459.5566207309757</v>
      </c>
      <c r="M113" s="109">
        <v>31650</v>
      </c>
      <c r="N113" s="107">
        <f>IF(ISNUMBER(M113), (M113 - $B113) / $B113, "")</f>
        <v>-5.1827441581785504E-2</v>
      </c>
      <c r="O113" s="108">
        <f>IF(ISNUMBER(M113), $B118 * N113, "")</f>
        <v>-7774.1162372678255</v>
      </c>
      <c r="Q113" s="192"/>
      <c r="R113" s="192"/>
      <c r="S113" s="192"/>
    </row>
    <row r="114" spans="1:19" ht="17.25" thickBot="1">
      <c r="A114" s="125" t="s">
        <v>224</v>
      </c>
      <c r="B114" s="126">
        <v>1825</v>
      </c>
      <c r="C114" s="77">
        <v>3.6931818200000001E-2</v>
      </c>
      <c r="D114" s="15">
        <v>1765</v>
      </c>
      <c r="E114" s="32">
        <f t="shared" ref="E114:E117" si="58">IF(ISNUMBER(D114), (D114 - $B114) / $B114, "")</f>
        <v>-3.287671232876712E-2</v>
      </c>
      <c r="F114" s="18">
        <f>IF(ISNUMBER(D114), $B118 * E114, "")</f>
        <v>-4931.5068493150684</v>
      </c>
      <c r="G114" s="31">
        <v>1755</v>
      </c>
      <c r="H114" s="32">
        <f t="shared" ref="H114:H117" si="59">IF(ISNUMBER(G114), (G114 - $B114) / $B114, "")</f>
        <v>-3.8356164383561646E-2</v>
      </c>
      <c r="I114" s="101">
        <f>IF(ISNUMBER(G114), $B118 * H114, "")</f>
        <v>-5753.4246575342468</v>
      </c>
      <c r="J114" s="15">
        <v>1755</v>
      </c>
      <c r="K114" s="32">
        <f t="shared" ref="K114:K117" si="60">IF(ISNUMBER(J114), (J114 - $B114) / $B114, "")</f>
        <v>-3.8356164383561646E-2</v>
      </c>
      <c r="L114" s="18">
        <f>IF(ISNUMBER(J114), $B118 * K114, "")</f>
        <v>-5753.4246575342468</v>
      </c>
      <c r="M114" s="31">
        <v>1740</v>
      </c>
      <c r="N114" s="32">
        <f t="shared" ref="N114:N117" si="61">IF(ISNUMBER(M114), (M114 - $B114) / $B114, "")</f>
        <v>-4.6575342465753428E-2</v>
      </c>
      <c r="O114" s="18">
        <f>IF(ISNUMBER(M114), $B118 * N114, "")</f>
        <v>-6986.3013698630139</v>
      </c>
      <c r="Q114" s="192"/>
      <c r="R114" s="192"/>
      <c r="S114" s="192"/>
    </row>
    <row r="115" spans="1:19" ht="17.25" thickBot="1">
      <c r="A115" s="125" t="s">
        <v>186</v>
      </c>
      <c r="B115" s="126">
        <v>13.3</v>
      </c>
      <c r="C115" s="77">
        <v>3.1007751900000002E-2</v>
      </c>
      <c r="D115" s="15">
        <v>13.1</v>
      </c>
      <c r="E115" s="32">
        <f t="shared" si="58"/>
        <v>-1.5037593984962485E-2</v>
      </c>
      <c r="F115" s="18">
        <f>IF(ISNUMBER(D115), $B118 * E115, "")</f>
        <v>-2255.6390977443725</v>
      </c>
      <c r="G115" s="31">
        <v>13</v>
      </c>
      <c r="H115" s="32">
        <f t="shared" si="59"/>
        <v>-2.255639097744366E-2</v>
      </c>
      <c r="I115" s="101">
        <f>IF(ISNUMBER(G115), $B118 * H115, "")</f>
        <v>-3383.4586466165488</v>
      </c>
      <c r="J115" s="15">
        <v>13</v>
      </c>
      <c r="K115" s="32">
        <f t="shared" si="60"/>
        <v>-2.255639097744366E-2</v>
      </c>
      <c r="L115" s="18">
        <f>IF(ISNUMBER(J115), $B118 * K115, "")</f>
        <v>-3383.4586466165488</v>
      </c>
      <c r="M115" s="31">
        <v>12.9</v>
      </c>
      <c r="N115" s="32">
        <f t="shared" si="61"/>
        <v>-3.0075187969924838E-2</v>
      </c>
      <c r="O115" s="18">
        <f>IF(ISNUMBER(M115), $B118 * N115, "")</f>
        <v>-4511.2781954887259</v>
      </c>
      <c r="Q115" s="192"/>
      <c r="R115" s="192"/>
      <c r="S115" s="192"/>
    </row>
    <row r="116" spans="1:19">
      <c r="A116" s="125" t="s">
        <v>142</v>
      </c>
      <c r="B116" s="126">
        <v>106</v>
      </c>
      <c r="C116" s="77">
        <v>2.9126213599999999E-2</v>
      </c>
      <c r="D116" s="15">
        <v>102</v>
      </c>
      <c r="E116" s="32">
        <f t="shared" si="58"/>
        <v>-3.7735849056603772E-2</v>
      </c>
      <c r="F116" s="18">
        <f>IF(ISNUMBER(D116), $B118 * E116, "")</f>
        <v>-5660.3773584905657</v>
      </c>
      <c r="G116" s="31">
        <v>100</v>
      </c>
      <c r="H116" s="32">
        <f t="shared" si="59"/>
        <v>-5.6603773584905662E-2</v>
      </c>
      <c r="I116" s="101">
        <f>IF(ISNUMBER(G116), $B118 * H116, "")</f>
        <v>-8490.566037735849</v>
      </c>
      <c r="J116" s="15">
        <v>101</v>
      </c>
      <c r="K116" s="32">
        <f t="shared" si="60"/>
        <v>-4.716981132075472E-2</v>
      </c>
      <c r="L116" s="18">
        <f>IF(ISNUMBER(J116), $B118 * K116, "")</f>
        <v>-7075.4716981132078</v>
      </c>
      <c r="M116" s="31">
        <v>101</v>
      </c>
      <c r="N116" s="32">
        <f t="shared" si="61"/>
        <v>-4.716981132075472E-2</v>
      </c>
      <c r="O116" s="18">
        <f>IF(ISNUMBER(M116), $B118 * N116, "")</f>
        <v>-7075.4716981132078</v>
      </c>
      <c r="Q116" s="181"/>
      <c r="R116" s="182"/>
      <c r="S116" s="183"/>
    </row>
    <row r="117" spans="1:19" ht="17.25" thickBot="1">
      <c r="A117" s="130" t="s">
        <v>116</v>
      </c>
      <c r="B117" s="131">
        <v>218</v>
      </c>
      <c r="C117" s="79">
        <v>2.8301886799999999E-2</v>
      </c>
      <c r="D117" s="24">
        <v>214</v>
      </c>
      <c r="E117" s="25">
        <f t="shared" si="58"/>
        <v>-1.834862385321101E-2</v>
      </c>
      <c r="F117" s="104">
        <f>IF(ISNUMBER(D117), $B118 * E117, "")</f>
        <v>-2752.2935779816517</v>
      </c>
      <c r="G117" s="102">
        <v>214</v>
      </c>
      <c r="H117" s="25">
        <f t="shared" si="59"/>
        <v>-1.834862385321101E-2</v>
      </c>
      <c r="I117" s="103">
        <f>IF(ISNUMBER(G117), $B118 * H117, "")</f>
        <v>-2752.2935779816517</v>
      </c>
      <c r="J117" s="24">
        <v>214</v>
      </c>
      <c r="K117" s="25">
        <f t="shared" si="60"/>
        <v>-1.834862385321101E-2</v>
      </c>
      <c r="L117" s="104">
        <f>IF(ISNUMBER(J117), $B118 * K117, "")</f>
        <v>-2752.2935779816517</v>
      </c>
      <c r="M117" s="102">
        <v>213</v>
      </c>
      <c r="N117" s="25">
        <f t="shared" si="61"/>
        <v>-2.2935779816513763E-2</v>
      </c>
      <c r="O117" s="104">
        <f>IF(ISNUMBER(M117), $B118 * N117, "")</f>
        <v>-3440.3669724770643</v>
      </c>
      <c r="Q117" s="184"/>
      <c r="R117" s="185"/>
      <c r="S117" s="186"/>
    </row>
    <row r="118" spans="1:19" ht="17.25" thickBot="1">
      <c r="A118" s="132" t="s">
        <v>268</v>
      </c>
      <c r="B118" s="245">
        <f>$B$37</f>
        <v>150000</v>
      </c>
      <c r="C118" s="246"/>
      <c r="D118" s="26" t="s">
        <v>269</v>
      </c>
      <c r="E118" s="27">
        <f>IF(COUNT(E98:E117), SUM(E98:E117) / COUNT(E98:E117), 0)</f>
        <v>-1.8360851483208009E-2</v>
      </c>
      <c r="F118" s="28">
        <f>SUM(F98:F117)</f>
        <v>-55082.554449624047</v>
      </c>
      <c r="G118" s="26" t="s">
        <v>269</v>
      </c>
      <c r="H118" s="27">
        <f>IF(COUNT(H98:H117), SUM(H98:H117) / COUNT(H98:H117), 0)</f>
        <v>-1.7116916564961678E-2</v>
      </c>
      <c r="I118" s="28">
        <f>SUM(I98:I117)</f>
        <v>-51350.749694885038</v>
      </c>
      <c r="J118" s="26" t="s">
        <v>269</v>
      </c>
      <c r="K118" s="27">
        <f>IF(COUNT(K98:K117), SUM(K98:K117) / COUNT(K98:K117), 0)</f>
        <v>-1.3696378052643149E-2</v>
      </c>
      <c r="L118" s="28">
        <f>SUM(L98:L117)</f>
        <v>-41089.134157929446</v>
      </c>
      <c r="M118" s="26" t="s">
        <v>269</v>
      </c>
      <c r="N118" s="27">
        <f>IF(COUNT(N98:N117), SUM(N98:N117) / COUNT(N98:N117), 0)</f>
        <v>-2.8133507872728357E-2</v>
      </c>
      <c r="O118" s="28">
        <f>SUM(O98:O117)</f>
        <v>-84400.523618185092</v>
      </c>
      <c r="Q118" s="187"/>
      <c r="R118" s="188"/>
      <c r="S118" s="189"/>
    </row>
    <row r="120" spans="1:19" ht="17.25" thickBot="1"/>
    <row r="121" spans="1:19" ht="17.25" thickBot="1">
      <c r="A121" s="203" t="s">
        <v>256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69" t="s">
        <v>265</v>
      </c>
      <c r="B122" s="203" t="s">
        <v>49</v>
      </c>
      <c r="C122" s="205"/>
      <c r="D122" s="203" t="s">
        <v>58</v>
      </c>
      <c r="E122" s="204"/>
      <c r="F122" s="205"/>
      <c r="G122" s="206">
        <f>_xlfn.IFNA(VLOOKUP(B122, 현재가테이블!$B$2:$D$200, 2, FALSE), "-")</f>
        <v>62630000</v>
      </c>
      <c r="H122" s="207"/>
      <c r="I122" s="208"/>
      <c r="J122" s="203" t="s">
        <v>59</v>
      </c>
      <c r="K122" s="204"/>
      <c r="L122" s="205"/>
      <c r="M122" s="209">
        <f>_xlfn.IFNA(VLOOKUP(B122, 현재가테이블!$B$2:$D$200, 3, FALSE), "-")</f>
        <v>1.5632601400000001E-2</v>
      </c>
      <c r="N122" s="210"/>
      <c r="O122" s="211"/>
      <c r="Q122" s="202"/>
      <c r="R122" s="202"/>
      <c r="S122" s="202"/>
    </row>
    <row r="123" spans="1:19" ht="17.25" thickBot="1">
      <c r="A123" s="247" t="s">
        <v>55</v>
      </c>
      <c r="B123" s="243" t="str">
        <f>TEXT($G$1, "[$-ko-KR]yyyy-mm-dd(ddd) ") &amp; "오전 00:00"</f>
        <v>2021-10-04(월) 오전 00:00</v>
      </c>
      <c r="C123" s="244"/>
      <c r="D123" s="216" t="str">
        <f>TEXT($G$1, "[$-ko-KR]yyyy-mm-dd(ddd) ") &amp; "오후 14:00"</f>
        <v>2021-10-04(월) 오후 14:00</v>
      </c>
      <c r="E123" s="217"/>
      <c r="F123" s="218"/>
      <c r="G123" s="216" t="str">
        <f>TEXT($G$1, "[$-ko-KR]yyyy-mm-dd(ddd) ") &amp; "오후 19:00"</f>
        <v>2021-10-04(월) 오후 19:00</v>
      </c>
      <c r="H123" s="217"/>
      <c r="I123" s="218"/>
      <c r="J123" s="216" t="str">
        <f>TEXT($G$1, "[$-ko-KR]yyyy-mm-dd(ddd) ") &amp; "오후 21:00"</f>
        <v>2021-10-04(월) 오후 21:00</v>
      </c>
      <c r="K123" s="217"/>
      <c r="L123" s="218"/>
      <c r="M123" s="216" t="str">
        <f>TEXT($G$1+1, "[$-ko-KR]yyyy-mm-dd(ddd) ") &amp; "오전 00:00"</f>
        <v>2021-10-05(화) 오전 00:00</v>
      </c>
      <c r="N123" s="217"/>
      <c r="O123" s="218"/>
      <c r="Q123" s="202"/>
      <c r="R123" s="202"/>
      <c r="S123" s="202"/>
    </row>
    <row r="124" spans="1:19" ht="17.25" thickBot="1">
      <c r="A124" s="24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0" t="s">
        <v>58</v>
      </c>
      <c r="H124" s="171" t="s">
        <v>266</v>
      </c>
      <c r="I124" s="17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192"/>
      <c r="R124" s="192"/>
      <c r="S124" s="192"/>
    </row>
    <row r="125" spans="1:19" ht="17.25" thickBot="1">
      <c r="A125" s="123" t="s">
        <v>186</v>
      </c>
      <c r="B125" s="124">
        <v>13.3</v>
      </c>
      <c r="C125" s="76">
        <v>3.1007751900000002E-2</v>
      </c>
      <c r="D125" s="13">
        <v>13.1</v>
      </c>
      <c r="E125" s="14">
        <f>IF(ISNUMBER(D125), (D125 - $B125) / $B125, "")</f>
        <v>-1.5037593984962485E-2</v>
      </c>
      <c r="F125" s="16">
        <f>IF(ISNUMBER(D125), $B145 * E125, "")</f>
        <v>-2255.6390977443725</v>
      </c>
      <c r="G125" s="29">
        <v>13</v>
      </c>
      <c r="H125" s="14">
        <f>IF(ISNUMBER(G125), (G125 - $B125) / $B125, "")</f>
        <v>-2.255639097744366E-2</v>
      </c>
      <c r="I125" s="100">
        <f>IF(ISNUMBER(G125), $B145 * H125, "")</f>
        <v>-3383.4586466165488</v>
      </c>
      <c r="J125" s="13">
        <v>13</v>
      </c>
      <c r="K125" s="14">
        <f>IF(ISNUMBER(J125), (J125 - $B125) / $B125, "")</f>
        <v>-2.255639097744366E-2</v>
      </c>
      <c r="L125" s="16">
        <f>IF(ISNUMBER(J125), $B145 * K125, "")</f>
        <v>-3383.4586466165488</v>
      </c>
      <c r="M125" s="29">
        <v>12.9</v>
      </c>
      <c r="N125" s="14">
        <f>IF(ISNUMBER(M125), (M125 - $B125) / $B125, "")</f>
        <v>-3.0075187969924838E-2</v>
      </c>
      <c r="O125" s="16">
        <f>IF(ISNUMBER(M125), $B145 * N125, "")</f>
        <v>-4511.2781954887259</v>
      </c>
      <c r="Q125" s="202"/>
      <c r="R125" s="202"/>
      <c r="S125" s="202"/>
    </row>
    <row r="126" spans="1:19" ht="17.25" thickBot="1">
      <c r="A126" s="125" t="s">
        <v>214</v>
      </c>
      <c r="B126" s="126">
        <v>11</v>
      </c>
      <c r="C126" s="77">
        <v>1.8518518500000001E-2</v>
      </c>
      <c r="D126" s="15">
        <v>11.1</v>
      </c>
      <c r="E126" s="32">
        <f t="shared" ref="E126:E129" si="62">IF(ISNUMBER(D126), (D126 - $B126) / $B126, "")</f>
        <v>9.0909090909090592E-3</v>
      </c>
      <c r="F126" s="18">
        <f>IF(ISNUMBER(D126), $B145 * E126, "")</f>
        <v>1363.636363636359</v>
      </c>
      <c r="G126" s="31">
        <v>10.6</v>
      </c>
      <c r="H126" s="32">
        <f t="shared" ref="H126:H129" si="63">IF(ISNUMBER(G126), (G126 - $B126) / $B126, "")</f>
        <v>-3.6363636363636397E-2</v>
      </c>
      <c r="I126" s="101">
        <f>IF(ISNUMBER(G126), $B145 * H126, "")</f>
        <v>-5454.5454545454595</v>
      </c>
      <c r="J126" s="15">
        <v>10.6</v>
      </c>
      <c r="K126" s="32">
        <f t="shared" ref="K126:K129" si="64">IF(ISNUMBER(J126), (J126 - $B126) / $B126, "")</f>
        <v>-3.6363636363636397E-2</v>
      </c>
      <c r="L126" s="18">
        <f>IF(ISNUMBER(J126), $B145 * K126, "")</f>
        <v>-5454.5454545454595</v>
      </c>
      <c r="M126" s="31">
        <v>10.5</v>
      </c>
      <c r="N126" s="32">
        <f t="shared" ref="N126:N129" si="65">IF(ISNUMBER(M126), (M126 - $B126) / $B126, "")</f>
        <v>-4.5454545454545456E-2</v>
      </c>
      <c r="O126" s="18">
        <f>IF(ISNUMBER(M126), $B145 * N126, "")</f>
        <v>-6818.181818181818</v>
      </c>
      <c r="Q126" s="202"/>
      <c r="R126" s="202"/>
      <c r="S126" s="202"/>
    </row>
    <row r="127" spans="1:19" ht="17.25" thickBot="1">
      <c r="A127" s="125" t="s">
        <v>248</v>
      </c>
      <c r="B127" s="126">
        <v>85.1</v>
      </c>
      <c r="C127" s="77">
        <v>1.4302741399999999E-2</v>
      </c>
      <c r="D127" s="15">
        <v>82.8</v>
      </c>
      <c r="E127" s="32">
        <f t="shared" si="62"/>
        <v>-2.7027027027026994E-2</v>
      </c>
      <c r="F127" s="18">
        <f>IF(ISNUMBER(D127), $B145 * E127, "")</f>
        <v>-4054.0540540540492</v>
      </c>
      <c r="G127" s="31">
        <v>82.8</v>
      </c>
      <c r="H127" s="32">
        <f t="shared" si="63"/>
        <v>-2.7027027027026994E-2</v>
      </c>
      <c r="I127" s="101">
        <f>IF(ISNUMBER(G127), $B145 * H127, "")</f>
        <v>-4054.0540540540492</v>
      </c>
      <c r="J127" s="15">
        <v>82.5</v>
      </c>
      <c r="K127" s="32">
        <f t="shared" si="64"/>
        <v>-3.0552291421856573E-2</v>
      </c>
      <c r="L127" s="18">
        <f>IF(ISNUMBER(J127), $B145 * K127, "")</f>
        <v>-4582.8437132784857</v>
      </c>
      <c r="M127" s="31">
        <v>81.900000000000006</v>
      </c>
      <c r="N127" s="32">
        <f t="shared" si="65"/>
        <v>-3.7602820211515731E-2</v>
      </c>
      <c r="O127" s="18">
        <f>IF(ISNUMBER(M127), $B145 * N127, "")</f>
        <v>-5640.4230317273596</v>
      </c>
      <c r="Q127" s="192"/>
      <c r="R127" s="192"/>
      <c r="S127" s="192"/>
    </row>
    <row r="128" spans="1:19" ht="17.25" thickBot="1">
      <c r="A128" s="125" t="s">
        <v>146</v>
      </c>
      <c r="B128" s="126">
        <v>19.899999999999999</v>
      </c>
      <c r="C128" s="77">
        <v>1.01522843E-2</v>
      </c>
      <c r="D128" s="15">
        <v>19.399999999999999</v>
      </c>
      <c r="E128" s="32">
        <f t="shared" si="62"/>
        <v>-2.5125628140703519E-2</v>
      </c>
      <c r="F128" s="18">
        <f>IF(ISNUMBER(D128), $B145 * E128, "")</f>
        <v>-3768.844221105528</v>
      </c>
      <c r="G128" s="31">
        <v>19.3</v>
      </c>
      <c r="H128" s="32">
        <f t="shared" si="63"/>
        <v>-3.0150753768844116E-2</v>
      </c>
      <c r="I128" s="101">
        <f>IF(ISNUMBER(G128), $B145 * H128, "")</f>
        <v>-4522.6130653266173</v>
      </c>
      <c r="J128" s="15">
        <v>19.3</v>
      </c>
      <c r="K128" s="32">
        <f t="shared" si="64"/>
        <v>-3.0150753768844116E-2</v>
      </c>
      <c r="L128" s="18">
        <f>IF(ISNUMBER(J128), $B145 * K128, "")</f>
        <v>-4522.6130653266173</v>
      </c>
      <c r="M128" s="31">
        <v>19.2</v>
      </c>
      <c r="N128" s="32">
        <f t="shared" si="65"/>
        <v>-3.517587939698489E-2</v>
      </c>
      <c r="O128" s="18">
        <f>IF(ISNUMBER(M128), $B145 * N128, "")</f>
        <v>-5276.3819095477338</v>
      </c>
      <c r="Q128" s="192"/>
      <c r="R128" s="192"/>
      <c r="S128" s="192"/>
    </row>
    <row r="129" spans="1:19" ht="17.25" thickBot="1">
      <c r="A129" s="127" t="s">
        <v>98</v>
      </c>
      <c r="B129" s="128">
        <v>4.22</v>
      </c>
      <c r="C129" s="78">
        <v>9.5693779999999999E-3</v>
      </c>
      <c r="D129" s="20">
        <v>4.17</v>
      </c>
      <c r="E129" s="21">
        <f t="shared" si="62"/>
        <v>-1.1848341232227447E-2</v>
      </c>
      <c r="F129" s="22">
        <f>IF(ISNUMBER(D129), $B145 * E129, "")</f>
        <v>-1777.2511848341171</v>
      </c>
      <c r="G129" s="30">
        <v>4.13</v>
      </c>
      <c r="H129" s="21">
        <f t="shared" si="63"/>
        <v>-2.1327014218009446E-2</v>
      </c>
      <c r="I129" s="105">
        <f>IF(ISNUMBER(G129), $B145 * H129, "")</f>
        <v>-3199.0521327014167</v>
      </c>
      <c r="J129" s="20">
        <v>4.12</v>
      </c>
      <c r="K129" s="21">
        <f t="shared" si="64"/>
        <v>-2.3696682464454895E-2</v>
      </c>
      <c r="L129" s="22">
        <f>IF(ISNUMBER(J129), $B145 * K129, "")</f>
        <v>-3554.5023696682342</v>
      </c>
      <c r="M129" s="30">
        <v>4.13</v>
      </c>
      <c r="N129" s="21">
        <f t="shared" si="65"/>
        <v>-2.1327014218009446E-2</v>
      </c>
      <c r="O129" s="22">
        <f>IF(ISNUMBER(M129), $B145 * N129, "")</f>
        <v>-3199.0521327014167</v>
      </c>
      <c r="Q129" s="192"/>
      <c r="R129" s="192"/>
      <c r="S129" s="192"/>
    </row>
    <row r="130" spans="1:19" ht="17.25" thickBot="1">
      <c r="A130" s="125" t="s">
        <v>208</v>
      </c>
      <c r="B130" s="129">
        <v>13.5</v>
      </c>
      <c r="C130" s="80">
        <v>0</v>
      </c>
      <c r="D130" s="106">
        <v>13.1</v>
      </c>
      <c r="E130" s="107">
        <f>IF(ISNUMBER(D130), (D130 - $B130) / $B130, "")</f>
        <v>-2.9629629629629655E-2</v>
      </c>
      <c r="F130" s="108">
        <f>IF(ISNUMBER(D130), $B145 * E130, "")</f>
        <v>-4444.444444444448</v>
      </c>
      <c r="G130" s="109">
        <v>12.9</v>
      </c>
      <c r="H130" s="107">
        <f>IF(ISNUMBER(G130), (G130 - $B130) / $B130, "")</f>
        <v>-4.4444444444444418E-2</v>
      </c>
      <c r="I130" s="110">
        <f>IF(ISNUMBER(G130), $B145 * H130, "")</f>
        <v>-6666.6666666666624</v>
      </c>
      <c r="J130" s="106">
        <v>12.8</v>
      </c>
      <c r="K130" s="107">
        <f>IF(ISNUMBER(J130), (J130 - $B130) / $B130, "")</f>
        <v>-5.1851851851851802E-2</v>
      </c>
      <c r="L130" s="108">
        <f>IF(ISNUMBER(J130), $B145 * K130, "")</f>
        <v>-7777.7777777777701</v>
      </c>
      <c r="M130" s="109">
        <v>13.2</v>
      </c>
      <c r="N130" s="107">
        <f>IF(ISNUMBER(M130), (M130 - $B130) / $B130, "")</f>
        <v>-2.2222222222222275E-2</v>
      </c>
      <c r="O130" s="108">
        <f>IF(ISNUMBER(M130), $B145 * N130, "")</f>
        <v>-3333.3333333333412</v>
      </c>
      <c r="Q130" s="192"/>
      <c r="R130" s="192"/>
      <c r="S130" s="192"/>
    </row>
    <row r="131" spans="1:19" ht="17.25" thickBot="1">
      <c r="A131" s="125" t="s">
        <v>206</v>
      </c>
      <c r="B131" s="126">
        <v>13</v>
      </c>
      <c r="C131" s="77">
        <v>-7.6335878000000001E-3</v>
      </c>
      <c r="D131" s="15">
        <v>12.6</v>
      </c>
      <c r="E131" s="32">
        <f t="shared" ref="E131:E134" si="66">IF(ISNUMBER(D131), (D131 - $B131) / $B131, "")</f>
        <v>-3.0769230769230795E-2</v>
      </c>
      <c r="F131" s="18">
        <f>IF(ISNUMBER(D131), $B145 * E131, "")</f>
        <v>-4615.3846153846189</v>
      </c>
      <c r="G131" s="31">
        <v>12.6</v>
      </c>
      <c r="H131" s="32">
        <f t="shared" ref="H131:H134" si="67">IF(ISNUMBER(G131), (G131 - $B131) / $B131, "")</f>
        <v>-3.0769230769230795E-2</v>
      </c>
      <c r="I131" s="101">
        <f>IF(ISNUMBER(G131), $B145 * H131, "")</f>
        <v>-4615.3846153846189</v>
      </c>
      <c r="J131" s="15">
        <v>12.6</v>
      </c>
      <c r="K131" s="32">
        <f t="shared" ref="K131:K134" si="68">IF(ISNUMBER(J131), (J131 - $B131) / $B131, "")</f>
        <v>-3.0769230769230795E-2</v>
      </c>
      <c r="L131" s="18">
        <f>IF(ISNUMBER(J131), $B145 * K131, "")</f>
        <v>-4615.3846153846189</v>
      </c>
      <c r="M131" s="31">
        <v>12.5</v>
      </c>
      <c r="N131" s="32">
        <f t="shared" ref="N131:N134" si="69">IF(ISNUMBER(M131), (M131 - $B131) / $B131, "")</f>
        <v>-3.8461538461538464E-2</v>
      </c>
      <c r="O131" s="18">
        <f>IF(ISNUMBER(M131), $B145 * N131, "")</f>
        <v>-5769.2307692307695</v>
      </c>
      <c r="Q131" s="192"/>
      <c r="R131" s="192"/>
      <c r="S131" s="192"/>
    </row>
    <row r="132" spans="1:19" ht="17.25" thickBot="1">
      <c r="A132" s="125" t="s">
        <v>72</v>
      </c>
      <c r="B132" s="126">
        <v>23.7</v>
      </c>
      <c r="C132" s="77">
        <v>-8.3682007999999995E-3</v>
      </c>
      <c r="D132" s="15">
        <v>24.7</v>
      </c>
      <c r="E132" s="32">
        <f t="shared" si="66"/>
        <v>4.2194092827004218E-2</v>
      </c>
      <c r="F132" s="18">
        <f>IF(ISNUMBER(D132), $B145 * E132, "")</f>
        <v>6329.1139240506327</v>
      </c>
      <c r="G132" s="31">
        <v>24.7</v>
      </c>
      <c r="H132" s="32">
        <f t="shared" si="67"/>
        <v>4.2194092827004218E-2</v>
      </c>
      <c r="I132" s="101">
        <f>IF(ISNUMBER(G132), $B145 * H132, "")</f>
        <v>6329.1139240506327</v>
      </c>
      <c r="J132" s="15">
        <v>24.7</v>
      </c>
      <c r="K132" s="32">
        <f t="shared" si="68"/>
        <v>4.2194092827004218E-2</v>
      </c>
      <c r="L132" s="18">
        <f>IF(ISNUMBER(J132), $B145 * K132, "")</f>
        <v>6329.1139240506327</v>
      </c>
      <c r="M132" s="31">
        <v>24.4</v>
      </c>
      <c r="N132" s="32">
        <f t="shared" si="69"/>
        <v>2.9535864978902926E-2</v>
      </c>
      <c r="O132" s="18">
        <f>IF(ISNUMBER(M132), $B145 * N132, "")</f>
        <v>4430.3797468354387</v>
      </c>
      <c r="Q132" s="192"/>
      <c r="R132" s="192"/>
      <c r="S132" s="192"/>
    </row>
    <row r="133" spans="1:19" ht="17.25" thickBot="1">
      <c r="A133" s="125" t="s">
        <v>120</v>
      </c>
      <c r="B133" s="126">
        <v>37.1</v>
      </c>
      <c r="C133" s="77">
        <v>-1.0666666700000001E-2</v>
      </c>
      <c r="D133" s="15">
        <v>35.700000000000003</v>
      </c>
      <c r="E133" s="32">
        <f t="shared" si="66"/>
        <v>-3.7735849056603731E-2</v>
      </c>
      <c r="F133" s="18">
        <f>IF(ISNUMBER(D133), $B145 * E133, "")</f>
        <v>-5660.3773584905593</v>
      </c>
      <c r="G133" s="31">
        <v>35.5</v>
      </c>
      <c r="H133" s="32">
        <f t="shared" si="67"/>
        <v>-4.3126684636118635E-2</v>
      </c>
      <c r="I133" s="101">
        <f>IF(ISNUMBER(G133), $B145 * H133, "")</f>
        <v>-6469.0026954177956</v>
      </c>
      <c r="J133" s="15">
        <v>35.5</v>
      </c>
      <c r="K133" s="32">
        <f t="shared" si="68"/>
        <v>-4.3126684636118635E-2</v>
      </c>
      <c r="L133" s="18">
        <f>IF(ISNUMBER(J133), $B145 * K133, "")</f>
        <v>-6469.0026954177956</v>
      </c>
      <c r="M133" s="31">
        <v>35.1</v>
      </c>
      <c r="N133" s="32">
        <f t="shared" si="69"/>
        <v>-5.3908355795148244E-2</v>
      </c>
      <c r="O133" s="18">
        <f>IF(ISNUMBER(M133), $B145 * N133, "")</f>
        <v>-8086.2533692722363</v>
      </c>
      <c r="Q133" s="33"/>
      <c r="R133" s="33"/>
    </row>
    <row r="134" spans="1:19" ht="17.25" thickBot="1">
      <c r="A134" s="130" t="s">
        <v>176</v>
      </c>
      <c r="B134" s="131">
        <v>17</v>
      </c>
      <c r="C134" s="79">
        <v>-1.1627907E-2</v>
      </c>
      <c r="D134" s="24">
        <v>16.600000000000001</v>
      </c>
      <c r="E134" s="25">
        <f t="shared" si="66"/>
        <v>-2.3529411764705799E-2</v>
      </c>
      <c r="F134" s="104">
        <f>IF(ISNUMBER(D134), $B145 * E134, "")</f>
        <v>-3529.4117647058697</v>
      </c>
      <c r="G134" s="102">
        <v>16.5</v>
      </c>
      <c r="H134" s="25">
        <f t="shared" si="67"/>
        <v>-2.9411764705882353E-2</v>
      </c>
      <c r="I134" s="103">
        <f>IF(ISNUMBER(G134), $B145 * H134, "")</f>
        <v>-4411.7647058823532</v>
      </c>
      <c r="J134" s="24">
        <v>16.5</v>
      </c>
      <c r="K134" s="25">
        <f t="shared" si="68"/>
        <v>-2.9411764705882353E-2</v>
      </c>
      <c r="L134" s="104">
        <f>IF(ISNUMBER(J134), $B145 * K134, "")</f>
        <v>-4411.7647058823532</v>
      </c>
      <c r="M134" s="102">
        <v>16.399999999999999</v>
      </c>
      <c r="N134" s="25">
        <f t="shared" si="69"/>
        <v>-3.5294117647058906E-2</v>
      </c>
      <c r="O134" s="104">
        <f>IF(ISNUMBER(M134), $B145 * N134, "")</f>
        <v>-5294.1176470588362</v>
      </c>
      <c r="Q134" s="193"/>
      <c r="R134" s="194"/>
      <c r="S134" s="195"/>
    </row>
    <row r="135" spans="1:19">
      <c r="A135" s="123" t="s">
        <v>200</v>
      </c>
      <c r="B135" s="124">
        <v>77.900000000000006</v>
      </c>
      <c r="C135" s="76">
        <v>-1.39240506E-2</v>
      </c>
      <c r="D135" s="13">
        <v>75.400000000000006</v>
      </c>
      <c r="E135" s="14">
        <f>IF(ISNUMBER(D135), (D135 - $B135) / $B135, "")</f>
        <v>-3.2092426187419767E-2</v>
      </c>
      <c r="F135" s="16">
        <f>IF(ISNUMBER(D135), $B145 * E135, "")</f>
        <v>-4813.8639281129654</v>
      </c>
      <c r="G135" s="29">
        <v>74.900000000000006</v>
      </c>
      <c r="H135" s="14">
        <f>IF(ISNUMBER(G135), (G135 - $B135) / $B135, "")</f>
        <v>-3.8510911424903718E-2</v>
      </c>
      <c r="I135" s="100">
        <f>IF(ISNUMBER(G135), $B145 * H135, "")</f>
        <v>-5776.6367137355574</v>
      </c>
      <c r="J135" s="13">
        <v>74.900000000000006</v>
      </c>
      <c r="K135" s="14">
        <f>IF(ISNUMBER(J135), (J135 - $B135) / $B135, "")</f>
        <v>-3.8510911424903718E-2</v>
      </c>
      <c r="L135" s="16">
        <f>IF(ISNUMBER(J135), $B145 * K135, "")</f>
        <v>-5776.6367137355574</v>
      </c>
      <c r="M135" s="29">
        <v>74.8</v>
      </c>
      <c r="N135" s="14">
        <f>IF(ISNUMBER(M135), (M135 - $B135) / $B135, "")</f>
        <v>-3.9794608472400621E-2</v>
      </c>
      <c r="O135" s="16">
        <f>IF(ISNUMBER(M135), $B145 * N135, "")</f>
        <v>-5969.191270860093</v>
      </c>
      <c r="Q135" s="196"/>
      <c r="R135" s="197"/>
      <c r="S135" s="198"/>
    </row>
    <row r="136" spans="1:19" ht="17.25" thickBot="1">
      <c r="A136" s="125" t="s">
        <v>232</v>
      </c>
      <c r="B136" s="126">
        <v>76.5</v>
      </c>
      <c r="C136" s="77">
        <v>-1.54440154E-2</v>
      </c>
      <c r="D136" s="15">
        <v>74.5</v>
      </c>
      <c r="E136" s="32">
        <f t="shared" ref="E136:E139" si="70">IF(ISNUMBER(D136), (D136 - $B136) / $B136, "")</f>
        <v>-2.6143790849673203E-2</v>
      </c>
      <c r="F136" s="18">
        <f>IF(ISNUMBER(D136), $B145 * E136, "")</f>
        <v>-3921.5686274509803</v>
      </c>
      <c r="G136" s="31">
        <v>73.8</v>
      </c>
      <c r="H136" s="32">
        <f t="shared" ref="H136:H139" si="71">IF(ISNUMBER(G136), (G136 - $B136) / $B136, "")</f>
        <v>-3.5294117647058858E-2</v>
      </c>
      <c r="I136" s="101">
        <f>IF(ISNUMBER(G136), $B145 * H136, "")</f>
        <v>-5294.1176470588289</v>
      </c>
      <c r="J136" s="15">
        <v>73.5</v>
      </c>
      <c r="K136" s="32">
        <f t="shared" ref="K136:K139" si="72">IF(ISNUMBER(J136), (J136 - $B136) / $B136, "")</f>
        <v>-3.9215686274509803E-2</v>
      </c>
      <c r="L136" s="18">
        <f>IF(ISNUMBER(J136), $B145 * K136, "")</f>
        <v>-5882.3529411764703</v>
      </c>
      <c r="M136" s="31">
        <v>73.5</v>
      </c>
      <c r="N136" s="32">
        <f t="shared" ref="N136:N139" si="73">IF(ISNUMBER(M136), (M136 - $B136) / $B136, "")</f>
        <v>-3.9215686274509803E-2</v>
      </c>
      <c r="O136" s="18">
        <f>IF(ISNUMBER(M136), $B145 * N136, "")</f>
        <v>-5882.3529411764703</v>
      </c>
      <c r="Q136" s="199"/>
      <c r="R136" s="200"/>
      <c r="S136" s="201"/>
    </row>
    <row r="137" spans="1:19" ht="17.25" thickBot="1">
      <c r="A137" s="125" t="s">
        <v>148</v>
      </c>
      <c r="B137" s="126">
        <v>11.6</v>
      </c>
      <c r="C137" s="77">
        <v>-1.6949152499999998E-2</v>
      </c>
      <c r="D137" s="15">
        <v>11.3</v>
      </c>
      <c r="E137" s="32">
        <f t="shared" si="70"/>
        <v>-2.5862068965517151E-2</v>
      </c>
      <c r="F137" s="18">
        <f>IF(ISNUMBER(D137), $B145 * E137, "")</f>
        <v>-3879.3103448275724</v>
      </c>
      <c r="G137" s="31">
        <v>11.3</v>
      </c>
      <c r="H137" s="32">
        <f t="shared" si="71"/>
        <v>-2.5862068965517151E-2</v>
      </c>
      <c r="I137" s="101">
        <f>IF(ISNUMBER(G137), $B145 * H137, "")</f>
        <v>-3879.3103448275724</v>
      </c>
      <c r="J137" s="15">
        <v>11.2</v>
      </c>
      <c r="K137" s="32">
        <f t="shared" si="72"/>
        <v>-3.4482758620689689E-2</v>
      </c>
      <c r="L137" s="18">
        <f>IF(ISNUMBER(J137), $B145 * K137, "")</f>
        <v>-5172.4137931034538</v>
      </c>
      <c r="M137" s="31">
        <v>11.2</v>
      </c>
      <c r="N137" s="32">
        <f t="shared" si="73"/>
        <v>-3.4482758620689689E-2</v>
      </c>
      <c r="O137" s="18">
        <f>IF(ISNUMBER(M137), $B145 * N137, "")</f>
        <v>-5172.4137931034538</v>
      </c>
      <c r="Q137" s="192"/>
      <c r="R137" s="192"/>
      <c r="S137" s="192"/>
    </row>
    <row r="138" spans="1:19" ht="17.25" thickBot="1">
      <c r="A138" s="125" t="s">
        <v>202</v>
      </c>
      <c r="B138" s="126">
        <v>14.8</v>
      </c>
      <c r="C138" s="77">
        <v>-1.9867549700000001E-2</v>
      </c>
      <c r="D138" s="15">
        <v>14.5</v>
      </c>
      <c r="E138" s="32">
        <f t="shared" si="70"/>
        <v>-2.0270270270270316E-2</v>
      </c>
      <c r="F138" s="18">
        <f>IF(ISNUMBER(D138), $B145 * E138, "")</f>
        <v>-3040.5405405405477</v>
      </c>
      <c r="G138" s="31">
        <v>14.5</v>
      </c>
      <c r="H138" s="32">
        <f t="shared" si="71"/>
        <v>-2.0270270270270316E-2</v>
      </c>
      <c r="I138" s="101">
        <f>IF(ISNUMBER(G138), $B145 * H138, "")</f>
        <v>-3040.5405405405477</v>
      </c>
      <c r="J138" s="15">
        <v>14.3</v>
      </c>
      <c r="K138" s="32">
        <f t="shared" si="72"/>
        <v>-3.3783783783783779E-2</v>
      </c>
      <c r="L138" s="18">
        <f>IF(ISNUMBER(J138), $B145 * K138, "")</f>
        <v>-5067.5675675675666</v>
      </c>
      <c r="M138" s="31">
        <v>14.3</v>
      </c>
      <c r="N138" s="32">
        <f t="shared" si="73"/>
        <v>-3.3783783783783779E-2</v>
      </c>
      <c r="O138" s="18">
        <f>IF(ISNUMBER(M138), $B145 * N138, "")</f>
        <v>-5067.5675675675666</v>
      </c>
      <c r="Q138" s="202"/>
      <c r="R138" s="202"/>
      <c r="S138" s="202"/>
    </row>
    <row r="139" spans="1:19" ht="17.25" thickBot="1">
      <c r="A139" s="127" t="s">
        <v>65</v>
      </c>
      <c r="B139" s="128">
        <v>67.2</v>
      </c>
      <c r="C139" s="78">
        <v>-2.18340611E-2</v>
      </c>
      <c r="D139" s="20">
        <v>64.7</v>
      </c>
      <c r="E139" s="21">
        <f t="shared" si="70"/>
        <v>-3.7202380952380952E-2</v>
      </c>
      <c r="F139" s="22">
        <f>IF(ISNUMBER(D139), $B145 * E139, "")</f>
        <v>-5580.3571428571431</v>
      </c>
      <c r="G139" s="30">
        <v>64.3</v>
      </c>
      <c r="H139" s="21">
        <f t="shared" si="71"/>
        <v>-4.3154761904761987E-2</v>
      </c>
      <c r="I139" s="105">
        <f>IF(ISNUMBER(G139), $B145 * H139, "")</f>
        <v>-6473.2142857142981</v>
      </c>
      <c r="J139" s="20">
        <v>64.3</v>
      </c>
      <c r="K139" s="21">
        <f t="shared" si="72"/>
        <v>-4.3154761904761987E-2</v>
      </c>
      <c r="L139" s="22">
        <f>IF(ISNUMBER(J139), $B145 * K139, "")</f>
        <v>-6473.2142857142981</v>
      </c>
      <c r="M139" s="30">
        <v>64.099999999999994</v>
      </c>
      <c r="N139" s="21">
        <f t="shared" si="73"/>
        <v>-4.6130952380952508E-2</v>
      </c>
      <c r="O139" s="22">
        <f>IF(ISNUMBER(M139), $B145 * N139, "")</f>
        <v>-6919.642857142876</v>
      </c>
      <c r="Q139" s="202"/>
      <c r="R139" s="202"/>
      <c r="S139" s="202"/>
    </row>
    <row r="140" spans="1:19" ht="17.25" thickBot="1">
      <c r="A140" s="125" t="s">
        <v>188</v>
      </c>
      <c r="B140" s="129">
        <v>16.5</v>
      </c>
      <c r="C140" s="80">
        <v>-2.36686391E-2</v>
      </c>
      <c r="D140" s="106">
        <v>17</v>
      </c>
      <c r="E140" s="107">
        <f>IF(ISNUMBER(D140), (D140 - $B140) / $B140, "")</f>
        <v>3.0303030303030304E-2</v>
      </c>
      <c r="F140" s="108">
        <f>IF(ISNUMBER(D140), $B145 * E140, "")</f>
        <v>4545.454545454546</v>
      </c>
      <c r="G140" s="109">
        <v>17.399999999999999</v>
      </c>
      <c r="H140" s="107">
        <f>IF(ISNUMBER(G140), (G140 - $B140) / $B140, "")</f>
        <v>5.454545454545446E-2</v>
      </c>
      <c r="I140" s="110">
        <f>IF(ISNUMBER(G140), $B145 * H140, "")</f>
        <v>8181.8181818181693</v>
      </c>
      <c r="J140" s="106">
        <v>17.100000000000001</v>
      </c>
      <c r="K140" s="107">
        <f>IF(ISNUMBER(J140), (J140 - $B140) / $B140, "")</f>
        <v>3.6363636363636452E-2</v>
      </c>
      <c r="L140" s="108">
        <f>IF(ISNUMBER(J140), $B145 * K140, "")</f>
        <v>5454.5454545454677</v>
      </c>
      <c r="M140" s="109">
        <v>16.7</v>
      </c>
      <c r="N140" s="107">
        <f>IF(ISNUMBER(M140), (M140 - $B140) / $B140, "")</f>
        <v>1.2121212121212078E-2</v>
      </c>
      <c r="O140" s="108">
        <f>IF(ISNUMBER(M140), $B145 * N140, "")</f>
        <v>1818.1818181818116</v>
      </c>
      <c r="Q140" s="192"/>
      <c r="R140" s="192"/>
      <c r="S140" s="192"/>
    </row>
    <row r="141" spans="1:19" ht="17.25" thickBot="1">
      <c r="A141" s="125" t="s">
        <v>238</v>
      </c>
      <c r="B141" s="126">
        <v>70.400000000000006</v>
      </c>
      <c r="C141" s="77">
        <v>-2.6279391400000001E-2</v>
      </c>
      <c r="D141" s="15">
        <v>68</v>
      </c>
      <c r="E141" s="32">
        <f t="shared" ref="E141:E144" si="74">IF(ISNUMBER(D141), (D141 - $B141) / $B141, "")</f>
        <v>-3.4090909090909172E-2</v>
      </c>
      <c r="F141" s="18">
        <f>IF(ISNUMBER(D141), $B145 * E141, "")</f>
        <v>-5113.6363636363758</v>
      </c>
      <c r="G141" s="31">
        <v>67.7</v>
      </c>
      <c r="H141" s="32">
        <f t="shared" ref="H141:H144" si="75">IF(ISNUMBER(G141), (G141 - $B141) / $B141, "")</f>
        <v>-3.8352272727272763E-2</v>
      </c>
      <c r="I141" s="101">
        <f>IF(ISNUMBER(G141), $B145 * H141, "")</f>
        <v>-5752.8409090909145</v>
      </c>
      <c r="J141" s="15">
        <v>67.599999999999994</v>
      </c>
      <c r="K141" s="32">
        <f t="shared" ref="K141:K144" si="76">IF(ISNUMBER(J141), (J141 - $B141) / $B141, "")</f>
        <v>-3.9772727272727432E-2</v>
      </c>
      <c r="L141" s="18">
        <f>IF(ISNUMBER(J141), $B145 * K141, "")</f>
        <v>-5965.9090909091146</v>
      </c>
      <c r="M141" s="31">
        <v>67.2</v>
      </c>
      <c r="N141" s="32">
        <f t="shared" ref="N141:N144" si="77">IF(ISNUMBER(M141), (M141 - $B141) / $B141, "")</f>
        <v>-4.5454545454545491E-2</v>
      </c>
      <c r="O141" s="18">
        <f>IF(ISNUMBER(M141), $B145 * N141, "")</f>
        <v>-6818.1818181818235</v>
      </c>
      <c r="Q141" s="192"/>
      <c r="R141" s="192"/>
      <c r="S141" s="192"/>
    </row>
    <row r="142" spans="1:19" ht="17.25" thickBot="1">
      <c r="A142" s="125" t="s">
        <v>328</v>
      </c>
      <c r="B142" s="126">
        <v>0.29599999999999999</v>
      </c>
      <c r="C142" s="77">
        <v>-2.9508196699999999E-2</v>
      </c>
      <c r="D142" s="15">
        <v>0.28199999999999997</v>
      </c>
      <c r="E142" s="32">
        <f t="shared" si="74"/>
        <v>-4.7297297297297342E-2</v>
      </c>
      <c r="F142" s="18">
        <f>IF(ISNUMBER(D142), $B145 * E142, "")</f>
        <v>-7094.5945945946014</v>
      </c>
      <c r="G142" s="31">
        <v>0.28000000000000003</v>
      </c>
      <c r="H142" s="32">
        <f t="shared" si="75"/>
        <v>-5.4054054054053918E-2</v>
      </c>
      <c r="I142" s="101">
        <f>IF(ISNUMBER(G142), $B145 * H142, "")</f>
        <v>-8108.1081081080874</v>
      </c>
      <c r="J142" s="15">
        <v>0.27800000000000002</v>
      </c>
      <c r="K142" s="32">
        <f t="shared" si="76"/>
        <v>-6.0810810810810682E-2</v>
      </c>
      <c r="L142" s="18">
        <f>IF(ISNUMBER(J142), $B145 * K142, "")</f>
        <v>-9121.6216216216017</v>
      </c>
      <c r="M142" s="31">
        <v>0.28000000000000003</v>
      </c>
      <c r="N142" s="32">
        <f t="shared" si="77"/>
        <v>-5.4054054054053918E-2</v>
      </c>
      <c r="O142" s="18">
        <f>IF(ISNUMBER(M142), $B145 * N142, "")</f>
        <v>-8108.1081081080874</v>
      </c>
      <c r="Q142" s="192"/>
      <c r="R142" s="192"/>
      <c r="S142" s="19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81"/>
      <c r="R143" s="182"/>
      <c r="S143" s="1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84"/>
      <c r="R144" s="185"/>
      <c r="S144" s="186"/>
    </row>
    <row r="145" spans="1:19" ht="17.25" thickBot="1">
      <c r="A145" s="132" t="s">
        <v>268</v>
      </c>
      <c r="B145" s="245">
        <f>$B$37</f>
        <v>150000</v>
      </c>
      <c r="C145" s="246"/>
      <c r="D145" s="26" t="s">
        <v>269</v>
      </c>
      <c r="E145" s="27">
        <f>IF(COUNT(E125:E144), SUM(E125:E144) / COUNT(E125:E144), 0)</f>
        <v>-1.9004101277645267E-2</v>
      </c>
      <c r="F145" s="28">
        <f>SUM(F125:F144)</f>
        <v>-51311.073449642216</v>
      </c>
      <c r="G145" s="26" t="s">
        <v>269</v>
      </c>
      <c r="H145" s="27">
        <f>IF(COUNT(H125:H144), SUM(H125:H144) / COUNT(H125:H144), 0)</f>
        <v>-2.4663103140667601E-2</v>
      </c>
      <c r="I145" s="28">
        <f>SUM(I125:I144)</f>
        <v>-66590.378479802515</v>
      </c>
      <c r="J145" s="26" t="s">
        <v>269</v>
      </c>
      <c r="K145" s="27">
        <f>IF(COUNT(K125:K144), SUM(K125:K144) / COUNT(K125:K144), 0)</f>
        <v>-2.8314055436714749E-2</v>
      </c>
      <c r="L145" s="28">
        <f>SUM(L125:L144)</f>
        <v>-76447.949679129844</v>
      </c>
      <c r="M145" s="26" t="s">
        <v>269</v>
      </c>
      <c r="N145" s="27">
        <f>IF(COUNT(N125:N144), SUM(N125:N144) / COUNT(N125:N144), 0)</f>
        <v>-3.1710055184320504E-2</v>
      </c>
      <c r="O145" s="28">
        <f>SUM(O125:O144)</f>
        <v>-85617.148997665354</v>
      </c>
      <c r="Q145" s="187"/>
      <c r="R145" s="188"/>
      <c r="S145" s="189"/>
    </row>
    <row r="147" spans="1:19" ht="17.25" thickBot="1"/>
    <row r="148" spans="1:19" ht="17.25" thickBot="1">
      <c r="A148" s="203" t="s">
        <v>257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69" t="s">
        <v>265</v>
      </c>
      <c r="B149" s="203" t="s">
        <v>49</v>
      </c>
      <c r="C149" s="205"/>
      <c r="D149" s="203" t="s">
        <v>58</v>
      </c>
      <c r="E149" s="204"/>
      <c r="F149" s="205"/>
      <c r="G149" s="206">
        <f>_xlfn.IFNA(VLOOKUP(B149, 현재가테이블!$B$2:$D$200, 2, FALSE), "-")</f>
        <v>62630000</v>
      </c>
      <c r="H149" s="207"/>
      <c r="I149" s="208"/>
      <c r="J149" s="203" t="s">
        <v>59</v>
      </c>
      <c r="K149" s="204"/>
      <c r="L149" s="205"/>
      <c r="M149" s="209">
        <f>_xlfn.IFNA(VLOOKUP(B149, 현재가테이블!$B$2:$D$200, 3, FALSE), "-")</f>
        <v>1.5632601400000001E-2</v>
      </c>
      <c r="N149" s="210"/>
      <c r="O149" s="211"/>
      <c r="Q149" s="202"/>
      <c r="R149" s="202"/>
      <c r="S149" s="202"/>
    </row>
    <row r="150" spans="1:19" ht="17.25" thickBot="1">
      <c r="A150" s="247" t="s">
        <v>55</v>
      </c>
      <c r="B150" s="243" t="str">
        <f>TEXT($G$1, "[$-ko-KR]yyyy-mm-dd(ddd) ") &amp; "오전 00:00"</f>
        <v>2021-10-04(월) 오전 00:00</v>
      </c>
      <c r="C150" s="244"/>
      <c r="D150" s="216" t="str">
        <f>TEXT($G$1, "[$-ko-KR]yyyy-mm-dd(ddd) ") &amp; "오후 14:00"</f>
        <v>2021-10-04(월) 오후 14:00</v>
      </c>
      <c r="E150" s="217"/>
      <c r="F150" s="218"/>
      <c r="G150" s="216" t="str">
        <f>TEXT($G$1, "[$-ko-KR]yyyy-mm-dd(ddd) ") &amp; "오후 19:00"</f>
        <v>2021-10-04(월) 오후 19:00</v>
      </c>
      <c r="H150" s="217"/>
      <c r="I150" s="218"/>
      <c r="J150" s="216" t="str">
        <f>TEXT($G$1, "[$-ko-KR]yyyy-mm-dd(ddd) ") &amp; "오후 21:00"</f>
        <v>2021-10-04(월) 오후 21:00</v>
      </c>
      <c r="K150" s="217"/>
      <c r="L150" s="218"/>
      <c r="M150" s="216" t="str">
        <f>TEXT($G$1+1, "[$-ko-KR]yyyy-mm-dd(ddd) ") &amp; "오전 00:00"</f>
        <v>2021-10-05(화) 오전 00:00</v>
      </c>
      <c r="N150" s="217"/>
      <c r="O150" s="218"/>
      <c r="Q150" s="202"/>
      <c r="R150" s="202"/>
      <c r="S150" s="202"/>
    </row>
    <row r="151" spans="1:19" ht="17.25" thickBot="1">
      <c r="A151" s="24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0" t="s">
        <v>58</v>
      </c>
      <c r="H151" s="171" t="s">
        <v>266</v>
      </c>
      <c r="I151" s="17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192"/>
      <c r="R151" s="192"/>
      <c r="S151" s="192"/>
    </row>
    <row r="152" spans="1:19" ht="17.25" thickBot="1">
      <c r="A152" s="123" t="s">
        <v>264</v>
      </c>
      <c r="B152" s="124">
        <v>270</v>
      </c>
      <c r="C152" s="76">
        <v>7.4626865999999998E-3</v>
      </c>
      <c r="D152" s="13">
        <v>263</v>
      </c>
      <c r="E152" s="14">
        <f>IF(ISNUMBER(D152), (D152 - $B152) / $B152, "")</f>
        <v>-2.5925925925925925E-2</v>
      </c>
      <c r="F152" s="16">
        <f>IF(ISNUMBER(D152), $B172 * E152, "")</f>
        <v>-3888.8888888888887</v>
      </c>
      <c r="G152" s="29">
        <v>261</v>
      </c>
      <c r="H152" s="14">
        <f>IF(ISNUMBER(G152), (G152 - $B152) / $B152, "")</f>
        <v>-3.3333333333333333E-2</v>
      </c>
      <c r="I152" s="100">
        <f>IF(ISNUMBER(G152), $B172 * H152, "")</f>
        <v>-5000</v>
      </c>
      <c r="J152" s="13">
        <v>262</v>
      </c>
      <c r="K152" s="14">
        <f>IF(ISNUMBER(J152), (J152 - $B152) / $B152, "")</f>
        <v>-2.9629629629629631E-2</v>
      </c>
      <c r="L152" s="16">
        <f>IF(ISNUMBER(J152), $B172 * K152, "")</f>
        <v>-4444.4444444444443</v>
      </c>
      <c r="M152" s="29">
        <v>269</v>
      </c>
      <c r="N152" s="14">
        <f>IF(ISNUMBER(M152), (M152 - $B152) / $B152, "")</f>
        <v>-3.7037037037037038E-3</v>
      </c>
      <c r="O152" s="16">
        <f>IF(ISNUMBER(M152), $B172 * N152, "")</f>
        <v>-555.55555555555554</v>
      </c>
      <c r="Q152" s="202"/>
      <c r="R152" s="202"/>
      <c r="S152" s="202"/>
    </row>
    <row r="153" spans="1:19" ht="17.25" thickBot="1">
      <c r="A153" s="125" t="s">
        <v>216</v>
      </c>
      <c r="B153" s="126">
        <v>141</v>
      </c>
      <c r="C153" s="77">
        <v>7.1428571000000003E-3</v>
      </c>
      <c r="D153" s="15">
        <v>135</v>
      </c>
      <c r="E153" s="32">
        <f t="shared" ref="E153:E156" si="78">IF(ISNUMBER(D153), (D153 - $B153) / $B153, "")</f>
        <v>-4.2553191489361701E-2</v>
      </c>
      <c r="F153" s="18">
        <f>IF(ISNUMBER(D153), $B172 * E153, "")</f>
        <v>-6382.9787234042551</v>
      </c>
      <c r="G153" s="31">
        <v>135</v>
      </c>
      <c r="H153" s="32">
        <f t="shared" ref="H153:H156" si="79">IF(ISNUMBER(G153), (G153 - $B153) / $B153, "")</f>
        <v>-4.2553191489361701E-2</v>
      </c>
      <c r="I153" s="101">
        <f>IF(ISNUMBER(G153), $B172 * H153, "")</f>
        <v>-6382.9787234042551</v>
      </c>
      <c r="J153" s="15">
        <v>133</v>
      </c>
      <c r="K153" s="32">
        <f t="shared" ref="K153:K156" si="80">IF(ISNUMBER(J153), (J153 - $B153) / $B153, "")</f>
        <v>-5.6737588652482268E-2</v>
      </c>
      <c r="L153" s="18">
        <f>IF(ISNUMBER(J153), $B172 * K153, "")</f>
        <v>-8510.6382978723395</v>
      </c>
      <c r="M153" s="31">
        <v>133</v>
      </c>
      <c r="N153" s="32">
        <f t="shared" ref="N153:N156" si="81">IF(ISNUMBER(M153), (M153 - $B153) / $B153, "")</f>
        <v>-5.6737588652482268E-2</v>
      </c>
      <c r="O153" s="18">
        <f>IF(ISNUMBER(M153), $B172 * N153, "")</f>
        <v>-8510.6382978723395</v>
      </c>
      <c r="Q153" s="202"/>
      <c r="R153" s="202"/>
      <c r="S153" s="202"/>
    </row>
    <row r="154" spans="1:19" ht="17.25" thickBot="1">
      <c r="A154" s="125" t="s">
        <v>61</v>
      </c>
      <c r="B154" s="126">
        <v>924</v>
      </c>
      <c r="C154" s="77">
        <v>5.4406964000000002E-3</v>
      </c>
      <c r="D154" s="15">
        <v>907</v>
      </c>
      <c r="E154" s="32">
        <f t="shared" si="78"/>
        <v>-1.83982683982684E-2</v>
      </c>
      <c r="F154" s="18">
        <f>IF(ISNUMBER(D154), $B172 * E154, "")</f>
        <v>-2759.7402597402602</v>
      </c>
      <c r="G154" s="31">
        <v>956</v>
      </c>
      <c r="H154" s="32">
        <f t="shared" si="79"/>
        <v>3.4632034632034632E-2</v>
      </c>
      <c r="I154" s="101">
        <f>IF(ISNUMBER(G154), $B172 * H154, "")</f>
        <v>5194.8051948051952</v>
      </c>
      <c r="J154" s="15">
        <v>969</v>
      </c>
      <c r="K154" s="32">
        <f t="shared" si="80"/>
        <v>4.8701298701298704E-2</v>
      </c>
      <c r="L154" s="18">
        <f>IF(ISNUMBER(J154), $B172 * K154, "")</f>
        <v>7305.1948051948057</v>
      </c>
      <c r="M154" s="31">
        <v>943</v>
      </c>
      <c r="N154" s="32">
        <f t="shared" si="81"/>
        <v>2.0562770562770564E-2</v>
      </c>
      <c r="O154" s="18">
        <f>IF(ISNUMBER(M154), $B172 * N154, "")</f>
        <v>3084.4155844155844</v>
      </c>
      <c r="Q154" s="192"/>
      <c r="R154" s="192"/>
      <c r="S154" s="192"/>
    </row>
    <row r="155" spans="1:19" ht="17.25" thickBot="1">
      <c r="A155" s="125" t="s">
        <v>160</v>
      </c>
      <c r="B155" s="126">
        <v>101</v>
      </c>
      <c r="C155" s="77">
        <v>0</v>
      </c>
      <c r="D155" s="15">
        <v>99.1</v>
      </c>
      <c r="E155" s="32">
        <f t="shared" si="78"/>
        <v>-1.8811881188118867E-2</v>
      </c>
      <c r="F155" s="18">
        <f>IF(ISNUMBER(D155), $B172 * E155, "")</f>
        <v>-2821.7821782178298</v>
      </c>
      <c r="G155" s="31">
        <v>99.2</v>
      </c>
      <c r="H155" s="32">
        <f t="shared" si="79"/>
        <v>-1.7821782178217793E-2</v>
      </c>
      <c r="I155" s="101">
        <f>IF(ISNUMBER(G155), $B172 * H155, "")</f>
        <v>-2673.2673267326691</v>
      </c>
      <c r="J155" s="15">
        <v>98.8</v>
      </c>
      <c r="K155" s="32">
        <f t="shared" si="80"/>
        <v>-2.1782178217821812E-2</v>
      </c>
      <c r="L155" s="18">
        <f>IF(ISNUMBER(J155), $B172 * K155, "")</f>
        <v>-3267.3267326732716</v>
      </c>
      <c r="M155" s="31">
        <v>99.5</v>
      </c>
      <c r="N155" s="32">
        <f t="shared" si="81"/>
        <v>-1.4851485148514851E-2</v>
      </c>
      <c r="O155" s="18">
        <f>IF(ISNUMBER(M155), $B172 * N155, "")</f>
        <v>-2227.7227722772277</v>
      </c>
      <c r="Q155" s="192"/>
      <c r="R155" s="192"/>
      <c r="S155" s="192"/>
    </row>
    <row r="156" spans="1:19" ht="17.25" thickBot="1">
      <c r="A156" s="127" t="s">
        <v>51</v>
      </c>
      <c r="B156" s="128">
        <v>386</v>
      </c>
      <c r="C156" s="78">
        <v>0</v>
      </c>
      <c r="D156" s="20">
        <v>368</v>
      </c>
      <c r="E156" s="21">
        <f t="shared" si="78"/>
        <v>-4.6632124352331605E-2</v>
      </c>
      <c r="F156" s="22">
        <f>IF(ISNUMBER(D156), $B172 * E156, "")</f>
        <v>-6994.8186528497408</v>
      </c>
      <c r="G156" s="30">
        <v>366</v>
      </c>
      <c r="H156" s="21">
        <f t="shared" si="79"/>
        <v>-5.181347150259067E-2</v>
      </c>
      <c r="I156" s="105">
        <f>IF(ISNUMBER(G156), $B172 * H156, "")</f>
        <v>-7772.0207253886001</v>
      </c>
      <c r="J156" s="20">
        <v>366</v>
      </c>
      <c r="K156" s="21">
        <f t="shared" si="80"/>
        <v>-5.181347150259067E-2</v>
      </c>
      <c r="L156" s="22">
        <f>IF(ISNUMBER(J156), $B172 * K156, "")</f>
        <v>-7772.0207253886001</v>
      </c>
      <c r="M156" s="30">
        <v>366</v>
      </c>
      <c r="N156" s="21">
        <f t="shared" si="81"/>
        <v>-5.181347150259067E-2</v>
      </c>
      <c r="O156" s="22">
        <f>IF(ISNUMBER(M156), $B172 * N156, "")</f>
        <v>-7772.0207253886001</v>
      </c>
      <c r="Q156" s="192"/>
      <c r="R156" s="192"/>
      <c r="S156" s="192"/>
    </row>
    <row r="157" spans="1:19" ht="17.25" thickBot="1">
      <c r="A157" s="125" t="s">
        <v>236</v>
      </c>
      <c r="B157" s="129">
        <v>122</v>
      </c>
      <c r="C157" s="80">
        <v>0</v>
      </c>
      <c r="D157" s="106">
        <v>118</v>
      </c>
      <c r="E157" s="107">
        <f>IF(ISNUMBER(D157), (D157 - $B157) / $B157, "")</f>
        <v>-3.2786885245901641E-2</v>
      </c>
      <c r="F157" s="108">
        <f>IF(ISNUMBER(D157), $B172 * E157, "")</f>
        <v>-4918.0327868852464</v>
      </c>
      <c r="G157" s="109">
        <v>116</v>
      </c>
      <c r="H157" s="107">
        <f>IF(ISNUMBER(G157), (G157 - $B157) / $B157, "")</f>
        <v>-4.9180327868852458E-2</v>
      </c>
      <c r="I157" s="110">
        <f>IF(ISNUMBER(G157), $B172 * H157, "")</f>
        <v>-7377.0491803278683</v>
      </c>
      <c r="J157" s="106">
        <v>115</v>
      </c>
      <c r="K157" s="107">
        <f>IF(ISNUMBER(J157), (J157 - $B157) / $B157, "")</f>
        <v>-5.737704918032787E-2</v>
      </c>
      <c r="L157" s="108">
        <f>IF(ISNUMBER(J157), $B172 * K157, "")</f>
        <v>-8606.557377049181</v>
      </c>
      <c r="M157" s="109">
        <v>115</v>
      </c>
      <c r="N157" s="107">
        <f>IF(ISNUMBER(M157), (M157 - $B157) / $B157, "")</f>
        <v>-5.737704918032787E-2</v>
      </c>
      <c r="O157" s="108">
        <f>IF(ISNUMBER(M157), $B172 * N157, "")</f>
        <v>-8606.557377049181</v>
      </c>
      <c r="Q157" s="192"/>
      <c r="R157" s="192"/>
      <c r="S157" s="192"/>
    </row>
    <row r="158" spans="1:19" ht="17.25" thickBot="1">
      <c r="A158" s="125" t="s">
        <v>126</v>
      </c>
      <c r="B158" s="126">
        <v>136</v>
      </c>
      <c r="C158" s="77">
        <v>0</v>
      </c>
      <c r="D158" s="15">
        <v>129</v>
      </c>
      <c r="E158" s="32">
        <f t="shared" ref="E158:E161" si="82">IF(ISNUMBER(D158), (D158 - $B158) / $B158, "")</f>
        <v>-5.1470588235294115E-2</v>
      </c>
      <c r="F158" s="18">
        <f>IF(ISNUMBER(D158), $B172 * E158, "")</f>
        <v>-7720.5882352941171</v>
      </c>
      <c r="G158" s="31">
        <v>130</v>
      </c>
      <c r="H158" s="32">
        <f t="shared" ref="H158:H161" si="83">IF(ISNUMBER(G158), (G158 - $B158) / $B158, "")</f>
        <v>-4.4117647058823532E-2</v>
      </c>
      <c r="I158" s="101">
        <f>IF(ISNUMBER(G158), $B172 * H158, "")</f>
        <v>-6617.6470588235297</v>
      </c>
      <c r="J158" s="15">
        <v>131</v>
      </c>
      <c r="K158" s="32">
        <f t="shared" ref="K158:K161" si="84">IF(ISNUMBER(J158), (J158 - $B158) / $B158, "")</f>
        <v>-3.6764705882352942E-2</v>
      </c>
      <c r="L158" s="18">
        <f>IF(ISNUMBER(J158), $B172 * K158, "")</f>
        <v>-5514.7058823529414</v>
      </c>
      <c r="M158" s="31">
        <v>131</v>
      </c>
      <c r="N158" s="32">
        <f t="shared" ref="N158:N161" si="85">IF(ISNUMBER(M158), (M158 - $B158) / $B158, "")</f>
        <v>-3.6764705882352942E-2</v>
      </c>
      <c r="O158" s="18">
        <f>IF(ISNUMBER(M158), $B172 * N158, "")</f>
        <v>-5514.7058823529414</v>
      </c>
      <c r="Q158" s="192"/>
      <c r="R158" s="192"/>
      <c r="S158" s="192"/>
    </row>
    <row r="159" spans="1:19" ht="17.25" thickBot="1">
      <c r="A159" s="125" t="s">
        <v>198</v>
      </c>
      <c r="B159" s="126">
        <v>189</v>
      </c>
      <c r="C159" s="77">
        <v>0</v>
      </c>
      <c r="D159" s="15">
        <v>187</v>
      </c>
      <c r="E159" s="32">
        <f t="shared" si="82"/>
        <v>-1.0582010582010581E-2</v>
      </c>
      <c r="F159" s="18">
        <f>IF(ISNUMBER(D159), $B172 * E159, "")</f>
        <v>-1587.3015873015872</v>
      </c>
      <c r="G159" s="31">
        <v>185</v>
      </c>
      <c r="H159" s="32">
        <f t="shared" si="83"/>
        <v>-2.1164021164021163E-2</v>
      </c>
      <c r="I159" s="101">
        <f>IF(ISNUMBER(G159), $B172 * H159, "")</f>
        <v>-3174.6031746031745</v>
      </c>
      <c r="J159" s="15">
        <v>185</v>
      </c>
      <c r="K159" s="32">
        <f t="shared" si="84"/>
        <v>-2.1164021164021163E-2</v>
      </c>
      <c r="L159" s="18">
        <f>IF(ISNUMBER(J159), $B172 * K159, "")</f>
        <v>-3174.6031746031745</v>
      </c>
      <c r="M159" s="31">
        <v>184</v>
      </c>
      <c r="N159" s="32">
        <f t="shared" si="85"/>
        <v>-2.6455026455026454E-2</v>
      </c>
      <c r="O159" s="18">
        <f>IF(ISNUMBER(M159), $B172 * N159, "")</f>
        <v>-3968.2539682539682</v>
      </c>
      <c r="Q159" s="192"/>
      <c r="R159" s="192"/>
      <c r="S159" s="192"/>
    </row>
    <row r="160" spans="1:19" ht="17.25" thickBot="1">
      <c r="A160" s="125" t="s">
        <v>190</v>
      </c>
      <c r="B160" s="126">
        <v>373</v>
      </c>
      <c r="C160" s="77">
        <v>-2.6737967999999998E-3</v>
      </c>
      <c r="D160" s="15">
        <v>394</v>
      </c>
      <c r="E160" s="32">
        <f t="shared" si="82"/>
        <v>5.6300268096514748E-2</v>
      </c>
      <c r="F160" s="18">
        <f>IF(ISNUMBER(D160), $B172 * E160, "")</f>
        <v>8445.0402144772124</v>
      </c>
      <c r="G160" s="31">
        <v>398</v>
      </c>
      <c r="H160" s="32">
        <f t="shared" si="83"/>
        <v>6.7024128686327081E-2</v>
      </c>
      <c r="I160" s="101">
        <f>IF(ISNUMBER(G160), $B172 * H160, "")</f>
        <v>10053.619302949062</v>
      </c>
      <c r="J160" s="15">
        <v>398</v>
      </c>
      <c r="K160" s="32">
        <f t="shared" si="84"/>
        <v>6.7024128686327081E-2</v>
      </c>
      <c r="L160" s="18">
        <f>IF(ISNUMBER(J160), $B172 * K160, "")</f>
        <v>10053.619302949062</v>
      </c>
      <c r="M160" s="31">
        <v>392</v>
      </c>
      <c r="N160" s="32">
        <f t="shared" si="85"/>
        <v>5.0938337801608578E-2</v>
      </c>
      <c r="O160" s="18">
        <f>IF(ISNUMBER(M160), $B172 * N160, "")</f>
        <v>7640.7506702412866</v>
      </c>
      <c r="Q160" s="33"/>
      <c r="R160" s="33"/>
    </row>
    <row r="161" spans="1:19" ht="17.25" thickBot="1">
      <c r="A161" s="130" t="s">
        <v>220</v>
      </c>
      <c r="B161" s="131">
        <v>167</v>
      </c>
      <c r="C161" s="79">
        <v>-5.9523809999999996E-3</v>
      </c>
      <c r="D161" s="24">
        <v>162</v>
      </c>
      <c r="E161" s="25">
        <f t="shared" si="82"/>
        <v>-2.9940119760479042E-2</v>
      </c>
      <c r="F161" s="104">
        <f>IF(ISNUMBER(D161), $B172 * E161, "")</f>
        <v>-4491.0179640718561</v>
      </c>
      <c r="G161" s="102">
        <v>161</v>
      </c>
      <c r="H161" s="25">
        <f t="shared" si="83"/>
        <v>-3.5928143712574849E-2</v>
      </c>
      <c r="I161" s="103">
        <f>IF(ISNUMBER(G161), $B172 * H161, "")</f>
        <v>-5389.2215568862275</v>
      </c>
      <c r="J161" s="24">
        <v>160</v>
      </c>
      <c r="K161" s="25">
        <f t="shared" si="84"/>
        <v>-4.1916167664670656E-2</v>
      </c>
      <c r="L161" s="104">
        <f>IF(ISNUMBER(J161), $B172 * K161, "")</f>
        <v>-6287.425149700598</v>
      </c>
      <c r="M161" s="102">
        <v>161</v>
      </c>
      <c r="N161" s="25">
        <f t="shared" si="85"/>
        <v>-3.5928143712574849E-2</v>
      </c>
      <c r="O161" s="104">
        <f>IF(ISNUMBER(M161), $B172 * N161, "")</f>
        <v>-5389.2215568862275</v>
      </c>
      <c r="Q161" s="193"/>
      <c r="R161" s="194"/>
      <c r="S161" s="195"/>
    </row>
    <row r="162" spans="1:19">
      <c r="A162" s="123" t="s">
        <v>240</v>
      </c>
      <c r="B162" s="124">
        <v>631</v>
      </c>
      <c r="C162" s="76">
        <v>-6.2992126000000004E-3</v>
      </c>
      <c r="D162" s="13">
        <v>632</v>
      </c>
      <c r="E162" s="14">
        <f>IF(ISNUMBER(D162), (D162 - $B162) / $B162, "")</f>
        <v>1.5847860538827259E-3</v>
      </c>
      <c r="F162" s="16">
        <f>IF(ISNUMBER(D162), $B172 * E162, "")</f>
        <v>237.71790808240888</v>
      </c>
      <c r="G162" s="29">
        <v>620</v>
      </c>
      <c r="H162" s="14">
        <f>IF(ISNUMBER(G162), (G162 - $B162) / $B162, "")</f>
        <v>-1.7432646592709985E-2</v>
      </c>
      <c r="I162" s="100">
        <f>IF(ISNUMBER(G162), $B172 * H162, "")</f>
        <v>-2614.8969889064979</v>
      </c>
      <c r="J162" s="13">
        <v>615</v>
      </c>
      <c r="K162" s="14">
        <f>IF(ISNUMBER(J162), (J162 - $B162) / $B162, "")</f>
        <v>-2.5356576862123614E-2</v>
      </c>
      <c r="L162" s="16">
        <f>IF(ISNUMBER(J162), $B172 * K162, "")</f>
        <v>-3803.4865293185421</v>
      </c>
      <c r="M162" s="29">
        <v>617</v>
      </c>
      <c r="N162" s="14">
        <f>IF(ISNUMBER(M162), (M162 - $B162) / $B162, "")</f>
        <v>-2.2187004754358162E-2</v>
      </c>
      <c r="O162" s="16">
        <f>IF(ISNUMBER(M162), $B172 * N162, "")</f>
        <v>-3328.0507131537242</v>
      </c>
      <c r="Q162" s="196"/>
      <c r="R162" s="197"/>
      <c r="S162" s="198"/>
    </row>
    <row r="163" spans="1:19" ht="17.25" thickBot="1">
      <c r="A163" s="125" t="s">
        <v>108</v>
      </c>
      <c r="B163" s="126">
        <v>164</v>
      </c>
      <c r="C163" s="77">
        <v>-1.20481928E-2</v>
      </c>
      <c r="D163" s="15">
        <v>160</v>
      </c>
      <c r="E163" s="32">
        <f t="shared" ref="E163:E166" si="86">IF(ISNUMBER(D163), (D163 - $B163) / $B163, "")</f>
        <v>-2.4390243902439025E-2</v>
      </c>
      <c r="F163" s="18">
        <f>IF(ISNUMBER(D163), $B172 * E163, "")</f>
        <v>-3658.5365853658536</v>
      </c>
      <c r="G163" s="31">
        <v>158</v>
      </c>
      <c r="H163" s="32">
        <f t="shared" ref="H163:H166" si="87">IF(ISNUMBER(G163), (G163 - $B163) / $B163, "")</f>
        <v>-3.6585365853658534E-2</v>
      </c>
      <c r="I163" s="101">
        <f>IF(ISNUMBER(G163), $B172 * H163, "")</f>
        <v>-5487.8048780487798</v>
      </c>
      <c r="J163" s="15">
        <v>157</v>
      </c>
      <c r="K163" s="32">
        <f t="shared" ref="K163:K166" si="88">IF(ISNUMBER(J163), (J163 - $B163) / $B163, "")</f>
        <v>-4.2682926829268296E-2</v>
      </c>
      <c r="L163" s="18">
        <f>IF(ISNUMBER(J163), $B172 * K163, "")</f>
        <v>-6402.4390243902444</v>
      </c>
      <c r="M163" s="31">
        <v>157</v>
      </c>
      <c r="N163" s="32">
        <f t="shared" ref="N163:N166" si="89">IF(ISNUMBER(M163), (M163 - $B163) / $B163, "")</f>
        <v>-4.2682926829268296E-2</v>
      </c>
      <c r="O163" s="18">
        <f>IF(ISNUMBER(M163), $B172 * N163, "")</f>
        <v>-6402.4390243902444</v>
      </c>
      <c r="Q163" s="199"/>
      <c r="R163" s="200"/>
      <c r="S163" s="201"/>
    </row>
    <row r="164" spans="1:19" ht="17.25" thickBot="1">
      <c r="A164" s="125" t="s">
        <v>112</v>
      </c>
      <c r="B164" s="126">
        <v>949</v>
      </c>
      <c r="C164" s="77">
        <v>-1.3513513499999999E-2</v>
      </c>
      <c r="D164" s="15">
        <v>994</v>
      </c>
      <c r="E164" s="32">
        <f t="shared" si="86"/>
        <v>4.7418335089567963E-2</v>
      </c>
      <c r="F164" s="18">
        <f>IF(ISNUMBER(D164), $B172 * E164, "")</f>
        <v>7112.750263435194</v>
      </c>
      <c r="G164" s="31">
        <v>1025</v>
      </c>
      <c r="H164" s="32">
        <f t="shared" si="87"/>
        <v>8.0084299262381448E-2</v>
      </c>
      <c r="I164" s="101">
        <f>IF(ISNUMBER(G164), $B172 * H164, "")</f>
        <v>12012.644889357218</v>
      </c>
      <c r="J164" s="15">
        <v>1010</v>
      </c>
      <c r="K164" s="32">
        <f t="shared" si="88"/>
        <v>6.4278187565858805E-2</v>
      </c>
      <c r="L164" s="18">
        <f>IF(ISNUMBER(J164), $B172 * K164, "")</f>
        <v>9641.7281348788201</v>
      </c>
      <c r="M164" s="31">
        <v>992</v>
      </c>
      <c r="N164" s="32">
        <f t="shared" si="89"/>
        <v>4.5310853530031614E-2</v>
      </c>
      <c r="O164" s="18">
        <f>IF(ISNUMBER(M164), $B172 * N164, "")</f>
        <v>6796.6280295047418</v>
      </c>
      <c r="Q164" s="192"/>
      <c r="R164" s="192"/>
      <c r="S164" s="192"/>
    </row>
    <row r="165" spans="1:19" ht="17.25" thickBot="1">
      <c r="A165" s="125" t="s">
        <v>128</v>
      </c>
      <c r="B165" s="126">
        <v>135</v>
      </c>
      <c r="C165" s="77">
        <v>-1.45985401E-2</v>
      </c>
      <c r="D165" s="15">
        <v>132</v>
      </c>
      <c r="E165" s="32">
        <f t="shared" si="86"/>
        <v>-2.2222222222222223E-2</v>
      </c>
      <c r="F165" s="18">
        <f>IF(ISNUMBER(D165), $B172 * E165, "")</f>
        <v>-3333.3333333333335</v>
      </c>
      <c r="G165" s="31">
        <v>131</v>
      </c>
      <c r="H165" s="32">
        <f t="shared" si="87"/>
        <v>-2.9629629629629631E-2</v>
      </c>
      <c r="I165" s="101">
        <f>IF(ISNUMBER(G165), $B172 * H165, "")</f>
        <v>-4444.4444444444443</v>
      </c>
      <c r="J165" s="15">
        <v>131</v>
      </c>
      <c r="K165" s="32">
        <f t="shared" si="88"/>
        <v>-2.9629629629629631E-2</v>
      </c>
      <c r="L165" s="18">
        <f>IF(ISNUMBER(J165), $B172 * K165, "")</f>
        <v>-4444.4444444444443</v>
      </c>
      <c r="M165" s="31">
        <v>132</v>
      </c>
      <c r="N165" s="32">
        <f t="shared" si="89"/>
        <v>-2.2222222222222223E-2</v>
      </c>
      <c r="O165" s="18">
        <f>IF(ISNUMBER(M165), $B172 * N165, "")</f>
        <v>-3333.3333333333335</v>
      </c>
      <c r="Q165" s="202"/>
      <c r="R165" s="202"/>
      <c r="S165" s="202"/>
    </row>
    <row r="166" spans="1:19" ht="17.25" thickBot="1">
      <c r="A166" s="127" t="s">
        <v>162</v>
      </c>
      <c r="B166" s="128">
        <v>806</v>
      </c>
      <c r="C166" s="78">
        <v>-1.46699267E-2</v>
      </c>
      <c r="D166" s="20">
        <v>817</v>
      </c>
      <c r="E166" s="21">
        <f t="shared" si="86"/>
        <v>1.3647642679900745E-2</v>
      </c>
      <c r="F166" s="22">
        <f>IF(ISNUMBER(D166), $B172 * E166, "")</f>
        <v>2047.1464019851117</v>
      </c>
      <c r="G166" s="30">
        <v>814</v>
      </c>
      <c r="H166" s="21">
        <f t="shared" si="87"/>
        <v>9.9255583126550868E-3</v>
      </c>
      <c r="I166" s="105">
        <f>IF(ISNUMBER(G166), $B172 * H166, "")</f>
        <v>1488.8337468982629</v>
      </c>
      <c r="J166" s="20">
        <v>816</v>
      </c>
      <c r="K166" s="21">
        <f t="shared" si="88"/>
        <v>1.2406947890818859E-2</v>
      </c>
      <c r="L166" s="22">
        <f>IF(ISNUMBER(J166), $B172 * K166, "")</f>
        <v>1861.0421836228288</v>
      </c>
      <c r="M166" s="30">
        <v>811</v>
      </c>
      <c r="N166" s="21">
        <f t="shared" si="89"/>
        <v>6.2034739454094297E-3</v>
      </c>
      <c r="O166" s="22">
        <f>IF(ISNUMBER(M166), $B172 * N166, "")</f>
        <v>930.52109181141441</v>
      </c>
      <c r="Q166" s="202"/>
      <c r="R166" s="202"/>
      <c r="S166" s="202"/>
    </row>
    <row r="167" spans="1:19" ht="17.25" thickBot="1">
      <c r="A167" s="125" t="s">
        <v>218</v>
      </c>
      <c r="B167" s="129">
        <v>236</v>
      </c>
      <c r="C167" s="80">
        <v>-1.6666666699999999E-2</v>
      </c>
      <c r="D167" s="106">
        <v>228</v>
      </c>
      <c r="E167" s="107">
        <f>IF(ISNUMBER(D167), (D167 - $B167) / $B167, "")</f>
        <v>-3.3898305084745763E-2</v>
      </c>
      <c r="F167" s="108">
        <f>IF(ISNUMBER(D167), $B172 * E167, "")</f>
        <v>-5084.7457627118647</v>
      </c>
      <c r="G167" s="109">
        <v>227</v>
      </c>
      <c r="H167" s="107">
        <f>IF(ISNUMBER(G167), (G167 - $B167) / $B167, "")</f>
        <v>-3.8135593220338986E-2</v>
      </c>
      <c r="I167" s="110">
        <f>IF(ISNUMBER(G167), $B172 * H167, "")</f>
        <v>-5720.3389830508477</v>
      </c>
      <c r="J167" s="106">
        <v>227</v>
      </c>
      <c r="K167" s="107">
        <f>IF(ISNUMBER(J167), (J167 - $B167) / $B167, "")</f>
        <v>-3.8135593220338986E-2</v>
      </c>
      <c r="L167" s="108">
        <f>IF(ISNUMBER(J167), $B172 * K167, "")</f>
        <v>-5720.3389830508477</v>
      </c>
      <c r="M167" s="109">
        <v>226</v>
      </c>
      <c r="N167" s="107">
        <f>IF(ISNUMBER(M167), (M167 - $B167) / $B167, "")</f>
        <v>-4.2372881355932202E-2</v>
      </c>
      <c r="O167" s="108">
        <f>IF(ISNUMBER(M167), $B172 * N167, "")</f>
        <v>-6355.9322033898306</v>
      </c>
      <c r="Q167" s="192"/>
      <c r="R167" s="192"/>
      <c r="S167" s="192"/>
    </row>
    <row r="168" spans="1:19" ht="17.25" thickBot="1">
      <c r="A168" s="125" t="s">
        <v>192</v>
      </c>
      <c r="B168" s="126">
        <v>114</v>
      </c>
      <c r="C168" s="77">
        <v>-1.7241379300000002E-2</v>
      </c>
      <c r="D168" s="15">
        <v>112</v>
      </c>
      <c r="E168" s="32">
        <f t="shared" ref="E168:E171" si="90">IF(ISNUMBER(D168), (D168 - $B168) / $B168, "")</f>
        <v>-1.7543859649122806E-2</v>
      </c>
      <c r="F168" s="18">
        <f>IF(ISNUMBER(D168), $B172 * E168, "")</f>
        <v>-2631.5789473684208</v>
      </c>
      <c r="G168" s="31">
        <v>111</v>
      </c>
      <c r="H168" s="32">
        <f t="shared" ref="H168:H171" si="91">IF(ISNUMBER(G168), (G168 - $B168) / $B168, "")</f>
        <v>-2.6315789473684209E-2</v>
      </c>
      <c r="I168" s="101">
        <f>IF(ISNUMBER(G168), $B172 * H168, "")</f>
        <v>-3947.3684210526312</v>
      </c>
      <c r="J168" s="15">
        <v>111</v>
      </c>
      <c r="K168" s="32">
        <f t="shared" ref="K168:K171" si="92">IF(ISNUMBER(J168), (J168 - $B168) / $B168, "")</f>
        <v>-2.6315789473684209E-2</v>
      </c>
      <c r="L168" s="18">
        <f>IF(ISNUMBER(J168), $B172 * K168, "")</f>
        <v>-3947.3684210526312</v>
      </c>
      <c r="M168" s="31">
        <v>111</v>
      </c>
      <c r="N168" s="32">
        <f t="shared" ref="N168:N171" si="93">IF(ISNUMBER(M168), (M168 - $B168) / $B168, "")</f>
        <v>-2.6315789473684209E-2</v>
      </c>
      <c r="O168" s="18">
        <f>IF(ISNUMBER(M168), $B172 * N168, "")</f>
        <v>-3947.3684210526312</v>
      </c>
      <c r="Q168" s="192"/>
      <c r="R168" s="192"/>
      <c r="S168" s="192"/>
    </row>
    <row r="169" spans="1:19" ht="17.25" thickBot="1">
      <c r="A169" s="125" t="s">
        <v>164</v>
      </c>
      <c r="B169" s="126">
        <v>222</v>
      </c>
      <c r="C169" s="77">
        <v>-2.2026431700000002E-2</v>
      </c>
      <c r="D169" s="15">
        <v>215</v>
      </c>
      <c r="E169" s="32">
        <f t="shared" si="90"/>
        <v>-3.1531531531531529E-2</v>
      </c>
      <c r="F169" s="18">
        <f>IF(ISNUMBER(D169), $B172 * E169, "")</f>
        <v>-4729.7297297297291</v>
      </c>
      <c r="G169" s="31">
        <v>213</v>
      </c>
      <c r="H169" s="32">
        <f t="shared" si="91"/>
        <v>-4.0540540540540543E-2</v>
      </c>
      <c r="I169" s="101">
        <f>IF(ISNUMBER(G169), $B172 * H169, "")</f>
        <v>-6081.0810810810817</v>
      </c>
      <c r="J169" s="15">
        <v>214</v>
      </c>
      <c r="K169" s="32">
        <f t="shared" si="92"/>
        <v>-3.6036036036036036E-2</v>
      </c>
      <c r="L169" s="18">
        <f>IF(ISNUMBER(J169), $B172 * K169, "")</f>
        <v>-5405.405405405405</v>
      </c>
      <c r="M169" s="31">
        <v>214</v>
      </c>
      <c r="N169" s="32">
        <f t="shared" si="93"/>
        <v>-3.6036036036036036E-2</v>
      </c>
      <c r="O169" s="18">
        <f>IF(ISNUMBER(M169), $B172 * N169, "")</f>
        <v>-5405.405405405405</v>
      </c>
      <c r="Q169" s="192"/>
      <c r="R169" s="192"/>
      <c r="S169" s="192"/>
    </row>
    <row r="170" spans="1:19">
      <c r="A170" s="125" t="s">
        <v>212</v>
      </c>
      <c r="B170" s="126">
        <v>985</v>
      </c>
      <c r="C170" s="77">
        <v>-2.4752475199999999E-2</v>
      </c>
      <c r="D170" s="15">
        <v>1000</v>
      </c>
      <c r="E170" s="32">
        <f t="shared" si="90"/>
        <v>1.5228426395939087E-2</v>
      </c>
      <c r="F170" s="18">
        <f>IF(ISNUMBER(D170), $B172 * E170, "")</f>
        <v>2284.263959390863</v>
      </c>
      <c r="G170" s="31">
        <v>1015</v>
      </c>
      <c r="H170" s="32">
        <f t="shared" si="91"/>
        <v>3.0456852791878174E-2</v>
      </c>
      <c r="I170" s="101">
        <f>IF(ISNUMBER(G170), $B172 * H170, "")</f>
        <v>4568.5279187817259</v>
      </c>
      <c r="J170" s="15">
        <v>1005</v>
      </c>
      <c r="K170" s="32">
        <f t="shared" si="92"/>
        <v>2.030456852791878E-2</v>
      </c>
      <c r="L170" s="18">
        <f>IF(ISNUMBER(J170), $B172 * K170, "")</f>
        <v>3045.6852791878168</v>
      </c>
      <c r="M170" s="31">
        <v>1010</v>
      </c>
      <c r="N170" s="32">
        <f t="shared" si="93"/>
        <v>2.5380710659898477E-2</v>
      </c>
      <c r="O170" s="18">
        <f>IF(ISNUMBER(M170), $B172 * N170, "")</f>
        <v>3807.1065989847716</v>
      </c>
      <c r="Q170" s="181"/>
      <c r="R170" s="182"/>
      <c r="S170" s="183"/>
    </row>
    <row r="171" spans="1:19" ht="17.25" thickBot="1">
      <c r="A171" s="130" t="s">
        <v>136</v>
      </c>
      <c r="B171" s="131">
        <v>356</v>
      </c>
      <c r="C171" s="79">
        <v>-2.9972751999999998E-2</v>
      </c>
      <c r="D171" s="24">
        <v>346</v>
      </c>
      <c r="E171" s="25">
        <f t="shared" si="90"/>
        <v>-2.8089887640449437E-2</v>
      </c>
      <c r="F171" s="104">
        <f>IF(ISNUMBER(D171), $B172 * E171, "")</f>
        <v>-4213.4831460674159</v>
      </c>
      <c r="G171" s="102">
        <v>342</v>
      </c>
      <c r="H171" s="25">
        <f t="shared" si="91"/>
        <v>-3.9325842696629212E-2</v>
      </c>
      <c r="I171" s="103">
        <f>IF(ISNUMBER(G171), $B172 * H171, "")</f>
        <v>-5898.8764044943819</v>
      </c>
      <c r="J171" s="24">
        <v>341</v>
      </c>
      <c r="K171" s="25">
        <f t="shared" si="92"/>
        <v>-4.2134831460674156E-2</v>
      </c>
      <c r="L171" s="104">
        <f>IF(ISNUMBER(J171), $B172 * K171, "")</f>
        <v>-6320.2247191011238</v>
      </c>
      <c r="M171" s="102">
        <v>342</v>
      </c>
      <c r="N171" s="25">
        <f t="shared" si="93"/>
        <v>-3.9325842696629212E-2</v>
      </c>
      <c r="O171" s="104">
        <f>IF(ISNUMBER(M171), $B172 * N171, "")</f>
        <v>-5898.8764044943819</v>
      </c>
      <c r="Q171" s="184"/>
      <c r="R171" s="185"/>
      <c r="S171" s="186"/>
    </row>
    <row r="172" spans="1:19" ht="17.25" thickBot="1">
      <c r="A172" s="132" t="s">
        <v>268</v>
      </c>
      <c r="B172" s="245">
        <f>$B$37</f>
        <v>150000</v>
      </c>
      <c r="C172" s="246"/>
      <c r="D172" s="26" t="s">
        <v>269</v>
      </c>
      <c r="E172" s="27">
        <f>IF(COUNT(E152:E171), SUM(E152:E171) / COUNT(E152:E171), 0)</f>
        <v>-1.5029879344619874E-2</v>
      </c>
      <c r="F172" s="28">
        <f>SUM(F152:F171)</f>
        <v>-45089.638033859614</v>
      </c>
      <c r="G172" s="26" t="s">
        <v>269</v>
      </c>
      <c r="H172" s="27">
        <f>IF(COUNT(H152:H171), SUM(H152:H171) / COUNT(H152:H171), 0)</f>
        <v>-1.5087722631484507E-2</v>
      </c>
      <c r="I172" s="28">
        <f>SUM(I152:I171)</f>
        <v>-45263.167894453516</v>
      </c>
      <c r="J172" s="26" t="s">
        <v>269</v>
      </c>
      <c r="K172" s="27">
        <f>IF(COUNT(K152:K171), SUM(K152:K171) / COUNT(K152:K171), 0)</f>
        <v>-1.7238053201671485E-2</v>
      </c>
      <c r="L172" s="28">
        <f>SUM(L152:L171)</f>
        <v>-51714.159605014458</v>
      </c>
      <c r="M172" s="26" t="s">
        <v>269</v>
      </c>
      <c r="N172" s="27">
        <f>IF(COUNT(N152:N171), SUM(N152:N171) / COUNT(N152:N171), 0)</f>
        <v>-1.8318886555299264E-2</v>
      </c>
      <c r="O172" s="28">
        <f>SUM(O152:O171)</f>
        <v>-54956.659665897801</v>
      </c>
      <c r="Q172" s="187"/>
      <c r="R172" s="188"/>
      <c r="S172" s="189"/>
    </row>
    <row r="174" spans="1:19" ht="17.25" thickBot="1"/>
    <row r="175" spans="1:19" ht="17.25" thickBot="1">
      <c r="A175" s="203" t="s">
        <v>253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69" t="s">
        <v>265</v>
      </c>
      <c r="B176" s="203" t="s">
        <v>49</v>
      </c>
      <c r="C176" s="205"/>
      <c r="D176" s="203" t="s">
        <v>58</v>
      </c>
      <c r="E176" s="204"/>
      <c r="F176" s="205"/>
      <c r="G176" s="206">
        <f>_xlfn.IFNA(VLOOKUP(B176, 현재가테이블!$B$2:$D$200, 2, FALSE), "-")</f>
        <v>62630000</v>
      </c>
      <c r="H176" s="207"/>
      <c r="I176" s="208"/>
      <c r="J176" s="203" t="s">
        <v>59</v>
      </c>
      <c r="K176" s="204"/>
      <c r="L176" s="205"/>
      <c r="M176" s="209">
        <f>_xlfn.IFNA(VLOOKUP(B176, 현재가테이블!$B$2:$D$200, 3, FALSE), "-")</f>
        <v>1.5632601400000001E-2</v>
      </c>
      <c r="N176" s="210"/>
      <c r="O176" s="211"/>
      <c r="Q176" s="202"/>
      <c r="R176" s="202"/>
      <c r="S176" s="202"/>
    </row>
    <row r="177" spans="1:19" ht="17.25" thickBot="1">
      <c r="A177" s="247" t="s">
        <v>55</v>
      </c>
      <c r="B177" s="243" t="str">
        <f>TEXT($G$1, "[$-ko-KR]yyyy-mm-dd(ddd) ") &amp; "오전 00:00"</f>
        <v>2021-10-04(월) 오전 00:00</v>
      </c>
      <c r="C177" s="244"/>
      <c r="D177" s="216" t="str">
        <f>TEXT($G$1, "[$-ko-KR]yyyy-mm-dd(ddd) ") &amp; "오후 14:00"</f>
        <v>2021-10-04(월) 오후 14:00</v>
      </c>
      <c r="E177" s="217"/>
      <c r="F177" s="218"/>
      <c r="G177" s="216" t="str">
        <f>TEXT($G$1, "[$-ko-KR]yyyy-mm-dd(ddd) ") &amp; "오후 19:00"</f>
        <v>2021-10-04(월) 오후 19:00</v>
      </c>
      <c r="H177" s="217"/>
      <c r="I177" s="218"/>
      <c r="J177" s="216" t="str">
        <f>TEXT($G$1, "[$-ko-KR]yyyy-mm-dd(ddd) ") &amp; "오후 21:00"</f>
        <v>2021-10-04(월) 오후 21:00</v>
      </c>
      <c r="K177" s="217"/>
      <c r="L177" s="218"/>
      <c r="M177" s="216" t="str">
        <f>TEXT($G$1+1, "[$-ko-KR]yyyy-mm-dd(ddd) ") &amp; "오전 00:00"</f>
        <v>2021-10-05(화) 오전 00:00</v>
      </c>
      <c r="N177" s="217"/>
      <c r="O177" s="218"/>
      <c r="Q177" s="202"/>
      <c r="R177" s="202"/>
      <c r="S177" s="202"/>
    </row>
    <row r="178" spans="1:19" ht="17.25" thickBot="1">
      <c r="A178" s="24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0" t="s">
        <v>58</v>
      </c>
      <c r="H178" s="171" t="s">
        <v>266</v>
      </c>
      <c r="I178" s="17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192"/>
      <c r="R178" s="192"/>
      <c r="S178" s="192"/>
    </row>
    <row r="179" spans="1:19" ht="17.25" thickBot="1">
      <c r="A179" s="123" t="s">
        <v>128</v>
      </c>
      <c r="B179" s="124">
        <v>135</v>
      </c>
      <c r="C179" s="76">
        <v>-1.45985401E-2</v>
      </c>
      <c r="D179" s="13">
        <v>132</v>
      </c>
      <c r="E179" s="14">
        <f>IF(ISNUMBER(D179), (D179 - $B179) / $B179, "")</f>
        <v>-2.2222222222222223E-2</v>
      </c>
      <c r="F179" s="16">
        <f>IF(ISNUMBER(D179), $B199 * E179, "")</f>
        <v>-3333.3333333333335</v>
      </c>
      <c r="G179" s="29">
        <v>131</v>
      </c>
      <c r="H179" s="14">
        <f>IF(ISNUMBER(G179), (G179 - $B179) / $B179, "")</f>
        <v>-2.9629629629629631E-2</v>
      </c>
      <c r="I179" s="100">
        <f>IF(ISNUMBER(G179), $B199 * H179, "")</f>
        <v>-4444.4444444444443</v>
      </c>
      <c r="J179" s="13">
        <v>131</v>
      </c>
      <c r="K179" s="14">
        <f>IF(ISNUMBER(J179), (J179 - $B179) / $B179, "")</f>
        <v>-2.9629629629629631E-2</v>
      </c>
      <c r="L179" s="16">
        <f>IF(ISNUMBER(J179), $B199 * K179, "")</f>
        <v>-4444.4444444444443</v>
      </c>
      <c r="M179" s="29">
        <v>132</v>
      </c>
      <c r="N179" s="14">
        <f>IF(ISNUMBER(M179), (M179 - $B179) / $B179, "")</f>
        <v>-2.2222222222222223E-2</v>
      </c>
      <c r="O179" s="16">
        <f>IF(ISNUMBER(M179), $B199 * N179, "")</f>
        <v>-3333.3333333333335</v>
      </c>
      <c r="Q179" s="202"/>
      <c r="R179" s="202"/>
      <c r="S179" s="202"/>
    </row>
    <row r="180" spans="1:19" ht="17.25" thickBot="1">
      <c r="A180" s="125" t="s">
        <v>162</v>
      </c>
      <c r="B180" s="126">
        <v>806</v>
      </c>
      <c r="C180" s="77">
        <v>-1.46699267E-2</v>
      </c>
      <c r="D180" s="15">
        <v>817</v>
      </c>
      <c r="E180" s="32">
        <f t="shared" ref="E180:E183" si="94">IF(ISNUMBER(D180), (D180 - $B180) / $B180, "")</f>
        <v>1.3647642679900745E-2</v>
      </c>
      <c r="F180" s="18">
        <f>IF(ISNUMBER(D180), $B199 * E180, "")</f>
        <v>2047.1464019851117</v>
      </c>
      <c r="G180" s="31">
        <v>814</v>
      </c>
      <c r="H180" s="32">
        <f t="shared" ref="H180:H183" si="95">IF(ISNUMBER(G180), (G180 - $B180) / $B180, "")</f>
        <v>9.9255583126550868E-3</v>
      </c>
      <c r="I180" s="101">
        <f>IF(ISNUMBER(G180), $B199 * H180, "")</f>
        <v>1488.8337468982629</v>
      </c>
      <c r="J180" s="15">
        <v>816</v>
      </c>
      <c r="K180" s="32">
        <f t="shared" ref="K180:K183" si="96">IF(ISNUMBER(J180), (J180 - $B180) / $B180, "")</f>
        <v>1.2406947890818859E-2</v>
      </c>
      <c r="L180" s="18">
        <f>IF(ISNUMBER(J180), $B199 * K180, "")</f>
        <v>1861.0421836228288</v>
      </c>
      <c r="M180" s="31">
        <v>811</v>
      </c>
      <c r="N180" s="32">
        <f t="shared" ref="N180:N183" si="97">IF(ISNUMBER(M180), (M180 - $B180) / $B180, "")</f>
        <v>6.2034739454094297E-3</v>
      </c>
      <c r="O180" s="18">
        <f>IF(ISNUMBER(M180), $B199 * N180, "")</f>
        <v>930.52109181141441</v>
      </c>
      <c r="Q180" s="202"/>
      <c r="R180" s="202"/>
      <c r="S180" s="202"/>
    </row>
    <row r="181" spans="1:19" ht="17.25" thickBot="1">
      <c r="A181" s="125" t="s">
        <v>196</v>
      </c>
      <c r="B181" s="126">
        <v>22580</v>
      </c>
      <c r="C181" s="77">
        <v>-1.5263846500000001E-2</v>
      </c>
      <c r="D181" s="15">
        <v>22380</v>
      </c>
      <c r="E181" s="32">
        <f t="shared" si="94"/>
        <v>-8.8573959255978749E-3</v>
      </c>
      <c r="F181" s="18">
        <f>IF(ISNUMBER(D181), $B199 * E181, "")</f>
        <v>-1328.6093888396813</v>
      </c>
      <c r="G181" s="31">
        <v>24310</v>
      </c>
      <c r="H181" s="32">
        <f t="shared" si="95"/>
        <v>7.661647475642161E-2</v>
      </c>
      <c r="I181" s="101">
        <f>IF(ISNUMBER(G181), $B199 * H181, "")</f>
        <v>11492.471213463241</v>
      </c>
      <c r="J181" s="15">
        <v>24930</v>
      </c>
      <c r="K181" s="32">
        <f t="shared" si="96"/>
        <v>0.10407440212577503</v>
      </c>
      <c r="L181" s="18">
        <f>IF(ISNUMBER(J181), $B199 * K181, "")</f>
        <v>15611.160318866254</v>
      </c>
      <c r="M181" s="31">
        <v>24430</v>
      </c>
      <c r="N181" s="32">
        <f t="shared" si="97"/>
        <v>8.1930912311780332E-2</v>
      </c>
      <c r="O181" s="18">
        <f>IF(ISNUMBER(M181), $B199 * N181, "")</f>
        <v>12289.636846767049</v>
      </c>
      <c r="Q181" s="192"/>
      <c r="R181" s="192"/>
      <c r="S181" s="192"/>
    </row>
    <row r="182" spans="1:19" ht="17.25" thickBot="1">
      <c r="A182" s="125" t="s">
        <v>232</v>
      </c>
      <c r="B182" s="126">
        <v>76.5</v>
      </c>
      <c r="C182" s="77">
        <v>-1.54440154E-2</v>
      </c>
      <c r="D182" s="15">
        <v>74.5</v>
      </c>
      <c r="E182" s="32">
        <f t="shared" si="94"/>
        <v>-2.6143790849673203E-2</v>
      </c>
      <c r="F182" s="18">
        <f>IF(ISNUMBER(D182), $B199 * E182, "")</f>
        <v>-3921.5686274509803</v>
      </c>
      <c r="G182" s="31">
        <v>73.8</v>
      </c>
      <c r="H182" s="32">
        <f t="shared" si="95"/>
        <v>-3.5294117647058858E-2</v>
      </c>
      <c r="I182" s="101">
        <f>IF(ISNUMBER(G182), $B199 * H182, "")</f>
        <v>-5294.1176470588289</v>
      </c>
      <c r="J182" s="15">
        <v>73.5</v>
      </c>
      <c r="K182" s="32">
        <f t="shared" si="96"/>
        <v>-3.9215686274509803E-2</v>
      </c>
      <c r="L182" s="18">
        <f>IF(ISNUMBER(J182), $B199 * K182, "")</f>
        <v>-5882.3529411764703</v>
      </c>
      <c r="M182" s="31">
        <v>73.5</v>
      </c>
      <c r="N182" s="32">
        <f t="shared" si="97"/>
        <v>-3.9215686274509803E-2</v>
      </c>
      <c r="O182" s="18">
        <f>IF(ISNUMBER(M182), $B199 * N182, "")</f>
        <v>-5882.3529411764703</v>
      </c>
      <c r="Q182" s="192"/>
      <c r="R182" s="192"/>
      <c r="S182" s="192"/>
    </row>
    <row r="183" spans="1:19" ht="17.25" thickBot="1">
      <c r="A183" s="127" t="s">
        <v>168</v>
      </c>
      <c r="B183" s="128">
        <v>28670</v>
      </c>
      <c r="C183" s="78">
        <v>-1.6466552299999999E-2</v>
      </c>
      <c r="D183" s="20">
        <v>28410</v>
      </c>
      <c r="E183" s="21">
        <f t="shared" si="94"/>
        <v>-9.068712940355772E-3</v>
      </c>
      <c r="F183" s="22">
        <f>IF(ISNUMBER(D183), $B199 * E183, "")</f>
        <v>-1360.3069410533658</v>
      </c>
      <c r="G183" s="30">
        <v>28800</v>
      </c>
      <c r="H183" s="21">
        <f t="shared" si="95"/>
        <v>4.534356470177886E-3</v>
      </c>
      <c r="I183" s="105">
        <f>IF(ISNUMBER(G183), $B199 * H183, "")</f>
        <v>680.1534705266829</v>
      </c>
      <c r="J183" s="20">
        <v>29230</v>
      </c>
      <c r="K183" s="21">
        <f t="shared" si="96"/>
        <v>1.9532612486920127E-2</v>
      </c>
      <c r="L183" s="22">
        <f>IF(ISNUMBER(J183), $B199 * K183, "")</f>
        <v>2929.8918730380192</v>
      </c>
      <c r="M183" s="30">
        <v>28710</v>
      </c>
      <c r="N183" s="21">
        <f t="shared" si="97"/>
        <v>1.3951866062085804E-3</v>
      </c>
      <c r="O183" s="22">
        <f>IF(ISNUMBER(M183), $B199 * N183, "")</f>
        <v>209.27799093128706</v>
      </c>
      <c r="Q183" s="192"/>
      <c r="R183" s="192"/>
      <c r="S183" s="192"/>
    </row>
    <row r="184" spans="1:19" ht="17.25" thickBot="1">
      <c r="A184" s="125" t="s">
        <v>218</v>
      </c>
      <c r="B184" s="129">
        <v>236</v>
      </c>
      <c r="C184" s="80">
        <v>-1.6666666699999999E-2</v>
      </c>
      <c r="D184" s="106">
        <v>228</v>
      </c>
      <c r="E184" s="107">
        <f>IF(ISNUMBER(D184), (D184 - $B184) / $B184, "")</f>
        <v>-3.3898305084745763E-2</v>
      </c>
      <c r="F184" s="108">
        <f>IF(ISNUMBER(D184), $B199 * E184, "")</f>
        <v>-5084.7457627118647</v>
      </c>
      <c r="G184" s="109">
        <v>227</v>
      </c>
      <c r="H184" s="107">
        <f>IF(ISNUMBER(G184), (G184 - $B184) / $B184, "")</f>
        <v>-3.8135593220338986E-2</v>
      </c>
      <c r="I184" s="110">
        <f>IF(ISNUMBER(G184), $B199 * H184, "")</f>
        <v>-5720.3389830508477</v>
      </c>
      <c r="J184" s="106">
        <v>227</v>
      </c>
      <c r="K184" s="107">
        <f>IF(ISNUMBER(J184), (J184 - $B184) / $B184, "")</f>
        <v>-3.8135593220338986E-2</v>
      </c>
      <c r="L184" s="108">
        <f>IF(ISNUMBER(J184), $B199 * K184, "")</f>
        <v>-5720.3389830508477</v>
      </c>
      <c r="M184" s="109">
        <v>226</v>
      </c>
      <c r="N184" s="107">
        <f>IF(ISNUMBER(M184), (M184 - $B184) / $B184, "")</f>
        <v>-4.2372881355932202E-2</v>
      </c>
      <c r="O184" s="108">
        <f>IF(ISNUMBER(M184), $B199 * N184, "")</f>
        <v>-6355.9322033898306</v>
      </c>
      <c r="Q184" s="192"/>
      <c r="R184" s="192"/>
      <c r="S184" s="192"/>
    </row>
    <row r="185" spans="1:19" ht="17.25" thickBot="1">
      <c r="A185" s="125" t="s">
        <v>148</v>
      </c>
      <c r="B185" s="126">
        <v>11.6</v>
      </c>
      <c r="C185" s="77">
        <v>-1.6949152499999998E-2</v>
      </c>
      <c r="D185" s="15">
        <v>11.3</v>
      </c>
      <c r="E185" s="32">
        <f t="shared" ref="E185:E188" si="98">IF(ISNUMBER(D185), (D185 - $B185) / $B185, "")</f>
        <v>-2.5862068965517151E-2</v>
      </c>
      <c r="F185" s="18">
        <f>IF(ISNUMBER(D185), $B199 * E185, "")</f>
        <v>-3879.3103448275724</v>
      </c>
      <c r="G185" s="31">
        <v>11.3</v>
      </c>
      <c r="H185" s="32">
        <f t="shared" ref="H185:H188" si="99">IF(ISNUMBER(G185), (G185 - $B185) / $B185, "")</f>
        <v>-2.5862068965517151E-2</v>
      </c>
      <c r="I185" s="101">
        <f>IF(ISNUMBER(G185), $B199 * H185, "")</f>
        <v>-3879.3103448275724</v>
      </c>
      <c r="J185" s="15">
        <v>11.2</v>
      </c>
      <c r="K185" s="32">
        <f t="shared" ref="K185:K188" si="100">IF(ISNUMBER(J185), (J185 - $B185) / $B185, "")</f>
        <v>-3.4482758620689689E-2</v>
      </c>
      <c r="L185" s="18">
        <f>IF(ISNUMBER(J185), $B199 * K185, "")</f>
        <v>-5172.4137931034538</v>
      </c>
      <c r="M185" s="31">
        <v>11.2</v>
      </c>
      <c r="N185" s="32">
        <f t="shared" ref="N185:N188" si="101">IF(ISNUMBER(M185), (M185 - $B185) / $B185, "")</f>
        <v>-3.4482758620689689E-2</v>
      </c>
      <c r="O185" s="18">
        <f>IF(ISNUMBER(M185), $B199 * N185, "")</f>
        <v>-5172.4137931034538</v>
      </c>
      <c r="Q185" s="192"/>
      <c r="R185" s="192"/>
      <c r="S185" s="192"/>
    </row>
    <row r="186" spans="1:19" ht="17.25" thickBot="1">
      <c r="A186" s="125" t="s">
        <v>192</v>
      </c>
      <c r="B186" s="126">
        <v>114</v>
      </c>
      <c r="C186" s="77">
        <v>-1.7241379300000002E-2</v>
      </c>
      <c r="D186" s="15">
        <v>112</v>
      </c>
      <c r="E186" s="32">
        <f t="shared" si="98"/>
        <v>-1.7543859649122806E-2</v>
      </c>
      <c r="F186" s="18">
        <f>IF(ISNUMBER(D186), $B199 * E186, "")</f>
        <v>-2631.5789473684208</v>
      </c>
      <c r="G186" s="31">
        <v>111</v>
      </c>
      <c r="H186" s="32">
        <f t="shared" si="99"/>
        <v>-2.6315789473684209E-2</v>
      </c>
      <c r="I186" s="101">
        <f>IF(ISNUMBER(G186), $B199 * H186, "")</f>
        <v>-3947.3684210526312</v>
      </c>
      <c r="J186" s="15">
        <v>111</v>
      </c>
      <c r="K186" s="32">
        <f t="shared" si="100"/>
        <v>-2.6315789473684209E-2</v>
      </c>
      <c r="L186" s="18">
        <f>IF(ISNUMBER(J186), $B199 * K186, "")</f>
        <v>-3947.3684210526312</v>
      </c>
      <c r="M186" s="31">
        <v>111</v>
      </c>
      <c r="N186" s="32">
        <f t="shared" si="101"/>
        <v>-2.6315789473684209E-2</v>
      </c>
      <c r="O186" s="18">
        <f>IF(ISNUMBER(M186), $B199 * N186, "")</f>
        <v>-3947.3684210526312</v>
      </c>
      <c r="Q186" s="192"/>
      <c r="R186" s="192"/>
      <c r="S186" s="192"/>
    </row>
    <row r="187" spans="1:19" ht="17.25" thickBot="1">
      <c r="A187" s="125" t="s">
        <v>202</v>
      </c>
      <c r="B187" s="126">
        <v>14.8</v>
      </c>
      <c r="C187" s="77">
        <v>-1.9867549700000001E-2</v>
      </c>
      <c r="D187" s="15">
        <v>14.5</v>
      </c>
      <c r="E187" s="32">
        <f t="shared" si="98"/>
        <v>-2.0270270270270316E-2</v>
      </c>
      <c r="F187" s="18">
        <f>IF(ISNUMBER(D187), $B199 * E187, "")</f>
        <v>-3040.5405405405477</v>
      </c>
      <c r="G187" s="31">
        <v>14.5</v>
      </c>
      <c r="H187" s="32">
        <f t="shared" si="99"/>
        <v>-2.0270270270270316E-2</v>
      </c>
      <c r="I187" s="101">
        <f>IF(ISNUMBER(G187), $B199 * H187, "")</f>
        <v>-3040.5405405405477</v>
      </c>
      <c r="J187" s="15">
        <v>14.3</v>
      </c>
      <c r="K187" s="32">
        <f t="shared" si="100"/>
        <v>-3.3783783783783779E-2</v>
      </c>
      <c r="L187" s="18">
        <f>IF(ISNUMBER(J187), $B199 * K187, "")</f>
        <v>-5067.5675675675666</v>
      </c>
      <c r="M187" s="31">
        <v>14.3</v>
      </c>
      <c r="N187" s="32">
        <f t="shared" si="101"/>
        <v>-3.3783783783783779E-2</v>
      </c>
      <c r="O187" s="18">
        <f>IF(ISNUMBER(M187), $B199 * N187, "")</f>
        <v>-5067.5675675675666</v>
      </c>
      <c r="Q187" s="33"/>
      <c r="R187" s="33"/>
    </row>
    <row r="188" spans="1:19" ht="17.25" thickBot="1">
      <c r="A188" s="130" t="s">
        <v>242</v>
      </c>
      <c r="B188" s="131">
        <v>1915</v>
      </c>
      <c r="C188" s="79">
        <v>-2.0460358099999999E-2</v>
      </c>
      <c r="D188" s="24">
        <v>1850</v>
      </c>
      <c r="E188" s="25">
        <f t="shared" si="98"/>
        <v>-3.3942558746736295E-2</v>
      </c>
      <c r="F188" s="104">
        <f>IF(ISNUMBER(D188), $B199 * E188, "")</f>
        <v>-5091.3838120104447</v>
      </c>
      <c r="G188" s="102">
        <v>1850</v>
      </c>
      <c r="H188" s="25">
        <f t="shared" si="99"/>
        <v>-3.3942558746736295E-2</v>
      </c>
      <c r="I188" s="103">
        <f>IF(ISNUMBER(G188), $B199 * H188, "")</f>
        <v>-5091.3838120104447</v>
      </c>
      <c r="J188" s="24">
        <v>1850</v>
      </c>
      <c r="K188" s="25">
        <f t="shared" si="100"/>
        <v>-3.3942558746736295E-2</v>
      </c>
      <c r="L188" s="104">
        <f>IF(ISNUMBER(J188), $B199 * K188, "")</f>
        <v>-5091.3838120104447</v>
      </c>
      <c r="M188" s="102">
        <v>1835</v>
      </c>
      <c r="N188" s="25">
        <f t="shared" si="101"/>
        <v>-4.1775456919060053E-2</v>
      </c>
      <c r="O188" s="104">
        <f>IF(ISNUMBER(M188), $B199 * N188, "")</f>
        <v>-6266.3185378590078</v>
      </c>
      <c r="Q188" s="193"/>
      <c r="R188" s="194"/>
      <c r="S188" s="195"/>
    </row>
    <row r="189" spans="1:19">
      <c r="A189" s="123" t="s">
        <v>118</v>
      </c>
      <c r="B189" s="124">
        <v>4035</v>
      </c>
      <c r="C189" s="76">
        <v>-2.0631067999999999E-2</v>
      </c>
      <c r="D189" s="13">
        <v>3915</v>
      </c>
      <c r="E189" s="14">
        <f>IF(ISNUMBER(D189), (D189 - $B189) / $B189, "")</f>
        <v>-2.9739776951672861E-2</v>
      </c>
      <c r="F189" s="16">
        <f>IF(ISNUMBER(D189), $B199 * E189, "")</f>
        <v>-4460.966542750929</v>
      </c>
      <c r="G189" s="29">
        <v>3915</v>
      </c>
      <c r="H189" s="14">
        <f>IF(ISNUMBER(G189), (G189 - $B189) / $B189, "")</f>
        <v>-2.9739776951672861E-2</v>
      </c>
      <c r="I189" s="100">
        <f>IF(ISNUMBER(G189), $B199 * H189, "")</f>
        <v>-4460.966542750929</v>
      </c>
      <c r="J189" s="13">
        <v>3910</v>
      </c>
      <c r="K189" s="14">
        <f>IF(ISNUMBER(J189), (J189 - $B189) / $B189, "")</f>
        <v>-3.0978934324659233E-2</v>
      </c>
      <c r="L189" s="16">
        <f>IF(ISNUMBER(J189), $B199 * K189, "")</f>
        <v>-4646.8401486988851</v>
      </c>
      <c r="M189" s="29">
        <v>3885</v>
      </c>
      <c r="N189" s="14">
        <f>IF(ISNUMBER(M189), (M189 - $B189) / $B189, "")</f>
        <v>-3.717472118959108E-2</v>
      </c>
      <c r="O189" s="16">
        <f>IF(ISNUMBER(M189), $B199 * N189, "")</f>
        <v>-5576.2081784386619</v>
      </c>
      <c r="Q189" s="196"/>
      <c r="R189" s="197"/>
      <c r="S189" s="198"/>
    </row>
    <row r="190" spans="1:19" ht="17.25" thickBot="1">
      <c r="A190" s="125" t="s">
        <v>65</v>
      </c>
      <c r="B190" s="126">
        <v>67.2</v>
      </c>
      <c r="C190" s="77">
        <v>-2.18340611E-2</v>
      </c>
      <c r="D190" s="15">
        <v>64.7</v>
      </c>
      <c r="E190" s="32">
        <f t="shared" ref="E190:E193" si="102">IF(ISNUMBER(D190), (D190 - $B190) / $B190, "")</f>
        <v>-3.7202380952380952E-2</v>
      </c>
      <c r="F190" s="18">
        <f>IF(ISNUMBER(D190), $B199 * E190, "")</f>
        <v>-5580.3571428571431</v>
      </c>
      <c r="G190" s="31">
        <v>64.3</v>
      </c>
      <c r="H190" s="32">
        <f t="shared" ref="H190:H193" si="103">IF(ISNUMBER(G190), (G190 - $B190) / $B190, "")</f>
        <v>-4.3154761904761987E-2</v>
      </c>
      <c r="I190" s="101">
        <f>IF(ISNUMBER(G190), $B199 * H190, "")</f>
        <v>-6473.2142857142981</v>
      </c>
      <c r="J190" s="15">
        <v>64.3</v>
      </c>
      <c r="K190" s="32">
        <f t="shared" ref="K190:K193" si="104">IF(ISNUMBER(J190), (J190 - $B190) / $B190, "")</f>
        <v>-4.3154761904761987E-2</v>
      </c>
      <c r="L190" s="18">
        <f>IF(ISNUMBER(J190), $B199 * K190, "")</f>
        <v>-6473.2142857142981</v>
      </c>
      <c r="M190" s="31">
        <v>64.099999999999994</v>
      </c>
      <c r="N190" s="32">
        <f t="shared" ref="N190:N193" si="105">IF(ISNUMBER(M190), (M190 - $B190) / $B190, "")</f>
        <v>-4.6130952380952508E-2</v>
      </c>
      <c r="O190" s="18">
        <f>IF(ISNUMBER(M190), $B199 * N190, "")</f>
        <v>-6919.642857142876</v>
      </c>
      <c r="Q190" s="199"/>
      <c r="R190" s="200"/>
      <c r="S190" s="201"/>
    </row>
    <row r="191" spans="1:19" ht="17.25" thickBot="1">
      <c r="A191" s="125" t="s">
        <v>178</v>
      </c>
      <c r="B191" s="126">
        <v>16490</v>
      </c>
      <c r="C191" s="77">
        <v>-2.1945433E-2</v>
      </c>
      <c r="D191" s="15">
        <v>16200</v>
      </c>
      <c r="E191" s="32">
        <f t="shared" si="102"/>
        <v>-1.758641600970285E-2</v>
      </c>
      <c r="F191" s="18">
        <f>IF(ISNUMBER(D191), $B199 * E191, "")</f>
        <v>-2637.9624014554274</v>
      </c>
      <c r="G191" s="31">
        <v>16630</v>
      </c>
      <c r="H191" s="32">
        <f t="shared" si="103"/>
        <v>8.4899939357186167E-3</v>
      </c>
      <c r="I191" s="101">
        <f>IF(ISNUMBER(G191), $B199 * H191, "")</f>
        <v>1273.4990903577925</v>
      </c>
      <c r="J191" s="15">
        <v>16710</v>
      </c>
      <c r="K191" s="32">
        <f t="shared" si="104"/>
        <v>1.3341419041843541E-2</v>
      </c>
      <c r="L191" s="18">
        <f>IF(ISNUMBER(J191), $B199 * K191, "")</f>
        <v>2001.2128562765311</v>
      </c>
      <c r="M191" s="31">
        <v>16240</v>
      </c>
      <c r="N191" s="32">
        <f t="shared" si="105"/>
        <v>-1.5160703456640388E-2</v>
      </c>
      <c r="O191" s="18">
        <f>IF(ISNUMBER(M191), $B199 * N191, "")</f>
        <v>-2274.1055184960583</v>
      </c>
      <c r="Q191" s="192"/>
      <c r="R191" s="192"/>
      <c r="S191" s="192"/>
    </row>
    <row r="192" spans="1:19" ht="17.25" thickBot="1">
      <c r="A192" s="125" t="s">
        <v>164</v>
      </c>
      <c r="B192" s="126">
        <v>222</v>
      </c>
      <c r="C192" s="77">
        <v>-2.2026431700000002E-2</v>
      </c>
      <c r="D192" s="15">
        <v>215</v>
      </c>
      <c r="E192" s="32">
        <f t="shared" si="102"/>
        <v>-3.1531531531531529E-2</v>
      </c>
      <c r="F192" s="18">
        <f>IF(ISNUMBER(D192), $B199 * E192, "")</f>
        <v>-4729.7297297297291</v>
      </c>
      <c r="G192" s="31">
        <v>213</v>
      </c>
      <c r="H192" s="32">
        <f t="shared" si="103"/>
        <v>-4.0540540540540543E-2</v>
      </c>
      <c r="I192" s="101">
        <f>IF(ISNUMBER(G192), $B199 * H192, "")</f>
        <v>-6081.0810810810817</v>
      </c>
      <c r="J192" s="15">
        <v>214</v>
      </c>
      <c r="K192" s="32">
        <f t="shared" si="104"/>
        <v>-3.6036036036036036E-2</v>
      </c>
      <c r="L192" s="18">
        <f>IF(ISNUMBER(J192), $B199 * K192, "")</f>
        <v>-5405.405405405405</v>
      </c>
      <c r="M192" s="31">
        <v>214</v>
      </c>
      <c r="N192" s="32">
        <f t="shared" si="105"/>
        <v>-3.6036036036036036E-2</v>
      </c>
      <c r="O192" s="18">
        <f>IF(ISNUMBER(M192), $B199 * N192, "")</f>
        <v>-5405.405405405405</v>
      </c>
      <c r="Q192" s="202"/>
      <c r="R192" s="202"/>
      <c r="S192" s="202"/>
    </row>
    <row r="193" spans="1:19" ht="17.25" thickBot="1">
      <c r="A193" s="127" t="s">
        <v>188</v>
      </c>
      <c r="B193" s="128">
        <v>16.5</v>
      </c>
      <c r="C193" s="78">
        <v>-2.36686391E-2</v>
      </c>
      <c r="D193" s="20">
        <v>17</v>
      </c>
      <c r="E193" s="21">
        <f t="shared" si="102"/>
        <v>3.0303030303030304E-2</v>
      </c>
      <c r="F193" s="22">
        <f>IF(ISNUMBER(D193), $B199 * E193, "")</f>
        <v>4545.454545454546</v>
      </c>
      <c r="G193" s="30">
        <v>17.399999999999999</v>
      </c>
      <c r="H193" s="21">
        <f t="shared" si="103"/>
        <v>5.454545454545446E-2</v>
      </c>
      <c r="I193" s="105">
        <f>IF(ISNUMBER(G193), $B199 * H193, "")</f>
        <v>8181.8181818181693</v>
      </c>
      <c r="J193" s="20">
        <v>17.100000000000001</v>
      </c>
      <c r="K193" s="21">
        <f t="shared" si="104"/>
        <v>3.6363636363636452E-2</v>
      </c>
      <c r="L193" s="22">
        <f>IF(ISNUMBER(J193), $B199 * K193, "")</f>
        <v>5454.5454545454677</v>
      </c>
      <c r="M193" s="30">
        <v>16.7</v>
      </c>
      <c r="N193" s="21">
        <f t="shared" si="105"/>
        <v>1.2121212121212078E-2</v>
      </c>
      <c r="O193" s="22">
        <f>IF(ISNUMBER(M193), $B199 * N193, "")</f>
        <v>1818.1818181818116</v>
      </c>
      <c r="Q193" s="202"/>
      <c r="R193" s="202"/>
      <c r="S193" s="202"/>
    </row>
    <row r="194" spans="1:19" ht="17.25" thickBot="1">
      <c r="A194" s="125" t="s">
        <v>212</v>
      </c>
      <c r="B194" s="129">
        <v>985</v>
      </c>
      <c r="C194" s="80">
        <v>-2.4752475199999999E-2</v>
      </c>
      <c r="D194" s="106">
        <v>1000</v>
      </c>
      <c r="E194" s="107">
        <f>IF(ISNUMBER(D194), (D194 - $B194) / $B194, "")</f>
        <v>1.5228426395939087E-2</v>
      </c>
      <c r="F194" s="108">
        <f>IF(ISNUMBER(D194), $B199 * E194, "")</f>
        <v>2284.263959390863</v>
      </c>
      <c r="G194" s="109">
        <v>1015</v>
      </c>
      <c r="H194" s="107">
        <f>IF(ISNUMBER(G194), (G194 - $B194) / $B194, "")</f>
        <v>3.0456852791878174E-2</v>
      </c>
      <c r="I194" s="110">
        <f>IF(ISNUMBER(G194), $B199 * H194, "")</f>
        <v>4568.5279187817259</v>
      </c>
      <c r="J194" s="106">
        <v>1005</v>
      </c>
      <c r="K194" s="107">
        <f>IF(ISNUMBER(J194), (J194 - $B194) / $B194, "")</f>
        <v>2.030456852791878E-2</v>
      </c>
      <c r="L194" s="108">
        <f>IF(ISNUMBER(J194), $B199 * K194, "")</f>
        <v>3045.6852791878168</v>
      </c>
      <c r="M194" s="109">
        <v>1010</v>
      </c>
      <c r="N194" s="107">
        <f>IF(ISNUMBER(M194), (M194 - $B194) / $B194, "")</f>
        <v>2.5380710659898477E-2</v>
      </c>
      <c r="O194" s="108">
        <f>IF(ISNUMBER(M194), $B199 * N194, "")</f>
        <v>3807.1065989847716</v>
      </c>
      <c r="Q194" s="192"/>
      <c r="R194" s="192"/>
      <c r="S194" s="192"/>
    </row>
    <row r="195" spans="1:19" ht="17.25" thickBot="1">
      <c r="A195" s="125" t="s">
        <v>238</v>
      </c>
      <c r="B195" s="126">
        <v>70.400000000000006</v>
      </c>
      <c r="C195" s="77">
        <v>-2.6279391400000001E-2</v>
      </c>
      <c r="D195" s="15">
        <v>68</v>
      </c>
      <c r="E195" s="32">
        <f t="shared" ref="E195:E198" si="106">IF(ISNUMBER(D195), (D195 - $B195) / $B195, "")</f>
        <v>-3.4090909090909172E-2</v>
      </c>
      <c r="F195" s="18">
        <f>IF(ISNUMBER(D195), $B199 * E195, "")</f>
        <v>-5113.6363636363758</v>
      </c>
      <c r="G195" s="31">
        <v>67.7</v>
      </c>
      <c r="H195" s="32">
        <f t="shared" ref="H195:H198" si="107">IF(ISNUMBER(G195), (G195 - $B195) / $B195, "")</f>
        <v>-3.8352272727272763E-2</v>
      </c>
      <c r="I195" s="101">
        <f>IF(ISNUMBER(G195), $B199 * H195, "")</f>
        <v>-5752.8409090909145</v>
      </c>
      <c r="J195" s="15">
        <v>67.599999999999994</v>
      </c>
      <c r="K195" s="32">
        <f t="shared" ref="K195:K198" si="108">IF(ISNUMBER(J195), (J195 - $B195) / $B195, "")</f>
        <v>-3.9772727272727432E-2</v>
      </c>
      <c r="L195" s="18">
        <f>IF(ISNUMBER(J195), $B199 * K195, "")</f>
        <v>-5965.9090909091146</v>
      </c>
      <c r="M195" s="31">
        <v>67.2</v>
      </c>
      <c r="N195" s="32">
        <f t="shared" ref="N195:N198" si="109">IF(ISNUMBER(M195), (M195 - $B195) / $B195, "")</f>
        <v>-4.5454545454545491E-2</v>
      </c>
      <c r="O195" s="18">
        <f>IF(ISNUMBER(M195), $B199 * N195, "")</f>
        <v>-6818.1818181818235</v>
      </c>
      <c r="Q195" s="192"/>
      <c r="R195" s="192"/>
      <c r="S195" s="192"/>
    </row>
    <row r="196" spans="1:19" ht="17.25" thickBot="1">
      <c r="A196" s="125" t="s">
        <v>328</v>
      </c>
      <c r="B196" s="126">
        <v>0.29599999999999999</v>
      </c>
      <c r="C196" s="77">
        <v>-2.9508196699999999E-2</v>
      </c>
      <c r="D196" s="15">
        <v>0.28199999999999997</v>
      </c>
      <c r="E196" s="32">
        <f t="shared" si="106"/>
        <v>-4.7297297297297342E-2</v>
      </c>
      <c r="F196" s="18">
        <f>IF(ISNUMBER(D196), $B199 * E196, "")</f>
        <v>-7094.5945945946014</v>
      </c>
      <c r="G196" s="31">
        <v>0.28000000000000003</v>
      </c>
      <c r="H196" s="32">
        <f t="shared" si="107"/>
        <v>-5.4054054054053918E-2</v>
      </c>
      <c r="I196" s="101">
        <f>IF(ISNUMBER(G196), $B199 * H196, "")</f>
        <v>-8108.1081081080874</v>
      </c>
      <c r="J196" s="15">
        <v>0.27800000000000002</v>
      </c>
      <c r="K196" s="32">
        <f t="shared" si="108"/>
        <v>-6.0810810810810682E-2</v>
      </c>
      <c r="L196" s="18">
        <f>IF(ISNUMBER(J196), $B199 * K196, "")</f>
        <v>-9121.6216216216017</v>
      </c>
      <c r="M196" s="31">
        <v>0.28000000000000003</v>
      </c>
      <c r="N196" s="32">
        <f t="shared" si="109"/>
        <v>-5.4054054054053918E-2</v>
      </c>
      <c r="O196" s="18">
        <f>IF(ISNUMBER(M196), $B199 * N196, "")</f>
        <v>-8108.1081081080874</v>
      </c>
      <c r="Q196" s="192"/>
      <c r="R196" s="192"/>
      <c r="S196" s="192"/>
    </row>
    <row r="197" spans="1:19">
      <c r="A197" s="125" t="s">
        <v>180</v>
      </c>
      <c r="B197" s="126">
        <v>68400</v>
      </c>
      <c r="C197" s="77">
        <v>-2.9787233999999999E-2</v>
      </c>
      <c r="D197" s="15">
        <v>66810</v>
      </c>
      <c r="E197" s="32">
        <f t="shared" si="106"/>
        <v>-2.3245614035087719E-2</v>
      </c>
      <c r="F197" s="18">
        <f>IF(ISNUMBER(D197), $B199 * E197, "")</f>
        <v>-3486.8421052631579</v>
      </c>
      <c r="G197" s="31">
        <v>66460</v>
      </c>
      <c r="H197" s="32">
        <f t="shared" si="107"/>
        <v>-2.8362573099415204E-2</v>
      </c>
      <c r="I197" s="101">
        <f>IF(ISNUMBER(G197), $B199 * H197, "")</f>
        <v>-4254.3859649122805</v>
      </c>
      <c r="J197" s="15">
        <v>66200</v>
      </c>
      <c r="K197" s="32">
        <f t="shared" si="108"/>
        <v>-3.2163742690058478E-2</v>
      </c>
      <c r="L197" s="18">
        <f>IF(ISNUMBER(J197), $B199 * K197, "")</f>
        <v>-4824.5614035087719</v>
      </c>
      <c r="M197" s="31">
        <v>66300</v>
      </c>
      <c r="N197" s="32">
        <f t="shared" si="109"/>
        <v>-3.0701754385964911E-2</v>
      </c>
      <c r="O197" s="18">
        <f>IF(ISNUMBER(M197), $B199 * N197, "")</f>
        <v>-4605.2631578947367</v>
      </c>
      <c r="Q197" s="181"/>
      <c r="R197" s="182"/>
      <c r="S197" s="183"/>
    </row>
    <row r="198" spans="1:19" ht="17.25" thickBot="1">
      <c r="A198" s="130" t="s">
        <v>136</v>
      </c>
      <c r="B198" s="131">
        <v>356</v>
      </c>
      <c r="C198" s="79">
        <v>-2.9972751999999998E-2</v>
      </c>
      <c r="D198" s="24">
        <v>346</v>
      </c>
      <c r="E198" s="25">
        <f t="shared" si="106"/>
        <v>-2.8089887640449437E-2</v>
      </c>
      <c r="F198" s="104">
        <f>IF(ISNUMBER(D198), $B199 * E198, "")</f>
        <v>-4213.4831460674159</v>
      </c>
      <c r="G198" s="102">
        <v>342</v>
      </c>
      <c r="H198" s="25">
        <f t="shared" si="107"/>
        <v>-3.9325842696629212E-2</v>
      </c>
      <c r="I198" s="103">
        <f>IF(ISNUMBER(G198), $B199 * H198, "")</f>
        <v>-5898.8764044943819</v>
      </c>
      <c r="J198" s="24">
        <v>341</v>
      </c>
      <c r="K198" s="25">
        <f t="shared" si="108"/>
        <v>-4.2134831460674156E-2</v>
      </c>
      <c r="L198" s="104">
        <f>IF(ISNUMBER(J198), $B199 * K198, "")</f>
        <v>-6320.2247191011238</v>
      </c>
      <c r="M198" s="102">
        <v>342</v>
      </c>
      <c r="N198" s="25">
        <f t="shared" si="109"/>
        <v>-3.9325842696629212E-2</v>
      </c>
      <c r="O198" s="104">
        <f>IF(ISNUMBER(M198), $B199 * N198, "")</f>
        <v>-5898.8764044943819</v>
      </c>
      <c r="Q198" s="184"/>
      <c r="R198" s="185"/>
      <c r="S198" s="186"/>
    </row>
    <row r="199" spans="1:19" ht="17.25" thickBot="1">
      <c r="A199" s="132" t="s">
        <v>268</v>
      </c>
      <c r="B199" s="245">
        <f>$B$37</f>
        <v>150000</v>
      </c>
      <c r="C199" s="246"/>
      <c r="D199" s="26" t="s">
        <v>269</v>
      </c>
      <c r="E199" s="27">
        <f>IF(COUNT(E179:E198), SUM(E179:E198) / COUNT(E179:E198), 0)</f>
        <v>-1.9370694939220154E-2</v>
      </c>
      <c r="F199" s="28">
        <f>SUM(F179:F198)</f>
        <v>-58112.08481766047</v>
      </c>
      <c r="G199" s="26" t="s">
        <v>269</v>
      </c>
      <c r="H199" s="27">
        <f>IF(COUNT(H179:H198), SUM(H179:H198) / COUNT(H179:H198), 0)</f>
        <v>-1.4920557955763806E-2</v>
      </c>
      <c r="I199" s="28">
        <f>SUM(I179:I198)</f>
        <v>-44761.673867291414</v>
      </c>
      <c r="J199" s="26" t="s">
        <v>269</v>
      </c>
      <c r="K199" s="27">
        <f>IF(COUNT(K179:K198), SUM(K179:K198) / COUNT(K179:K198), 0)</f>
        <v>-1.572670289060938E-2</v>
      </c>
      <c r="L199" s="28">
        <f>SUM(L179:L198)</f>
        <v>-47180.108671828144</v>
      </c>
      <c r="M199" s="26" t="s">
        <v>269</v>
      </c>
      <c r="N199" s="27">
        <f>IF(COUNT(N179:N198), SUM(N179:N198) / COUNT(N179:N198), 0)</f>
        <v>-2.0858784632989329E-2</v>
      </c>
      <c r="O199" s="28">
        <f>SUM(O179:O198)</f>
        <v>-62576.353898967995</v>
      </c>
      <c r="Q199" s="187"/>
      <c r="R199" s="188"/>
      <c r="S199" s="1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BBAE3-BC81-43B8-B6C6-35243F595BF9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44474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318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326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20,032 KRW (0.67%)</v>
      </c>
      <c r="H3" s="225"/>
      <c r="I3" s="226"/>
      <c r="J3" s="4" t="s">
        <v>7</v>
      </c>
      <c r="K3" s="228" t="s">
        <v>319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320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317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484,996 KRW (17.02%)</v>
      </c>
      <c r="H5" s="225"/>
      <c r="I5" s="226"/>
      <c r="J5" s="4" t="s">
        <v>15</v>
      </c>
      <c r="K5" s="228" t="s">
        <v>321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322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84,363 KRW (2.81%)</v>
      </c>
      <c r="H7" s="225"/>
      <c r="I7" s="226"/>
      <c r="J7" s="4" t="s">
        <v>21</v>
      </c>
      <c r="K7" s="228" t="s">
        <v>323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31" t="s">
        <v>253</v>
      </c>
      <c r="H8" s="232"/>
      <c r="I8" s="233"/>
      <c r="J8" s="4" t="s">
        <v>24</v>
      </c>
      <c r="K8" s="228"/>
      <c r="L8" s="229"/>
      <c r="M8" s="229"/>
      <c r="N8" s="229"/>
      <c r="O8" s="230"/>
      <c r="Q8" s="203" t="s">
        <v>27</v>
      </c>
      <c r="R8" s="205"/>
    </row>
    <row r="9" spans="1:19" ht="17.25" thickBot="1">
      <c r="A9" s="118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124,159 KRW (4.14%)</v>
      </c>
      <c r="H9" s="225"/>
      <c r="I9" s="226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 t="s">
        <v>324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21" t="s">
        <v>325</v>
      </c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 t="s">
        <v>316</v>
      </c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34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73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62630000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1.5632601400000001E-2</v>
      </c>
      <c r="N14" s="210"/>
      <c r="O14" s="211"/>
      <c r="Q14" s="202"/>
      <c r="R14" s="202"/>
      <c r="S14" s="202"/>
    </row>
    <row r="15" spans="1:19" ht="17.25" customHeight="1" thickBot="1">
      <c r="A15" s="240" t="s">
        <v>39</v>
      </c>
      <c r="B15" s="241" t="str">
        <f>TEXT($G$1, "[$-ko-KR]yyyy-mm-dd(ddd) ") &amp; "오전 00:00"</f>
        <v>2021-10-05(화) 오전 00:00</v>
      </c>
      <c r="C15" s="242"/>
      <c r="D15" s="216" t="str">
        <f>TEXT($G$1, "[$-ko-KR]yyyy-mm-dd(ddd) ") &amp; "오후 14:00"</f>
        <v>2021-10-05(화) 오후 14:00</v>
      </c>
      <c r="E15" s="217"/>
      <c r="F15" s="218"/>
      <c r="G15" s="216" t="str">
        <f>TEXT($G$1, "[$-ko-KR]yyyy-mm-dd(ddd) ") &amp; "오후 19:00"</f>
        <v>2021-10-05(화) 오후 19:00</v>
      </c>
      <c r="H15" s="217"/>
      <c r="I15" s="218"/>
      <c r="J15" s="216" t="str">
        <f>TEXT($G$1, "[$-ko-KR]yyyy-mm-dd(ddd) ") &amp; "오후 21:00"</f>
        <v>2021-10-05(화) 오후 21:00</v>
      </c>
      <c r="K15" s="217"/>
      <c r="L15" s="218"/>
      <c r="M15" s="216" t="str">
        <f>TEXT($G$1+1, "[$-ko-KR]yyyy-mm-dd(ddd) ") &amp; "오전 00:00"</f>
        <v>2021-10-06(수) 오전 00:00</v>
      </c>
      <c r="N15" s="217"/>
      <c r="O15" s="218"/>
      <c r="Q15" s="202"/>
      <c r="R15" s="202"/>
      <c r="S15" s="202"/>
    </row>
    <row r="16" spans="1:19" ht="17.25" customHeight="1" thickBot="1">
      <c r="A16" s="24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132" t="s">
        <v>42</v>
      </c>
      <c r="B37" s="245">
        <v>150000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73" t="s">
        <v>265</v>
      </c>
      <c r="B41" s="203" t="s">
        <v>49</v>
      </c>
      <c r="C41" s="205"/>
      <c r="D41" s="203" t="s">
        <v>58</v>
      </c>
      <c r="E41" s="204"/>
      <c r="F41" s="205"/>
      <c r="G41" s="206">
        <f>_xlfn.IFNA(VLOOKUP(B41, 현재가테이블!$B$2:$D$200, 2, FALSE), "-")</f>
        <v>62630000</v>
      </c>
      <c r="H41" s="207"/>
      <c r="I41" s="208"/>
      <c r="J41" s="203" t="s">
        <v>59</v>
      </c>
      <c r="K41" s="204"/>
      <c r="L41" s="205"/>
      <c r="M41" s="209">
        <f>_xlfn.IFNA(VLOOKUP(B41, 현재가테이블!$B$2:$D$200, 3, FALSE), "-")</f>
        <v>1.5632601400000001E-2</v>
      </c>
      <c r="N41" s="210"/>
      <c r="O41" s="211"/>
      <c r="Q41" s="202"/>
      <c r="R41" s="202"/>
      <c r="S41" s="202"/>
    </row>
    <row r="42" spans="1:19" ht="17.25" customHeight="1" thickBot="1">
      <c r="A42" s="247" t="s">
        <v>55</v>
      </c>
      <c r="B42" s="243" t="str">
        <f>TEXT($G$1, "[$-ko-KR]yyyy-mm-dd(ddd) ") &amp; "오전 00:00"</f>
        <v>2021-10-05(화) 오전 00:00</v>
      </c>
      <c r="C42" s="244"/>
      <c r="D42" s="216" t="str">
        <f>TEXT($G$1, "[$-ko-KR]yyyy-mm-dd(ddd) ") &amp; "오후 14:00"</f>
        <v>2021-10-05(화) 오후 14:00</v>
      </c>
      <c r="E42" s="217"/>
      <c r="F42" s="218"/>
      <c r="G42" s="216" t="str">
        <f>TEXT($G$1, "[$-ko-KR]yyyy-mm-dd(ddd) ") &amp; "오후 19:00"</f>
        <v>2021-10-05(화) 오후 19:00</v>
      </c>
      <c r="H42" s="217"/>
      <c r="I42" s="218"/>
      <c r="J42" s="216" t="str">
        <f>TEXT($G$1, "[$-ko-KR]yyyy-mm-dd(ddd) ") &amp; "오후 21:00"</f>
        <v>2021-10-05(화) 오후 21:00</v>
      </c>
      <c r="K42" s="217"/>
      <c r="L42" s="218"/>
      <c r="M42" s="216" t="str">
        <f>TEXT($G$1+1, "[$-ko-KR]yyyy-mm-dd(ddd) ") &amp; "오전 00:00"</f>
        <v>2021-10-06(수) 오전 00:00</v>
      </c>
      <c r="N42" s="217"/>
      <c r="O42" s="218"/>
      <c r="Q42" s="202"/>
      <c r="R42" s="202"/>
      <c r="S42" s="202"/>
    </row>
    <row r="43" spans="1:19" ht="17.25" customHeight="1" thickBot="1">
      <c r="A43" s="24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4" t="s">
        <v>58</v>
      </c>
      <c r="H43" s="175" t="s">
        <v>266</v>
      </c>
      <c r="I43" s="17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192"/>
      <c r="R43" s="192"/>
      <c r="S43" s="192"/>
    </row>
    <row r="44" spans="1:19" ht="17.25" customHeight="1" thickBot="1">
      <c r="A44" s="123" t="s">
        <v>72</v>
      </c>
      <c r="B44" s="124">
        <v>24.4</v>
      </c>
      <c r="C44" s="76">
        <v>2.9535865000000001E-2</v>
      </c>
      <c r="D44" s="13">
        <v>24.5</v>
      </c>
      <c r="E44" s="14">
        <f>IF(ISNUMBER(D44), (D44 - $B44) / $B44, "")</f>
        <v>4.0983606557377632E-3</v>
      </c>
      <c r="F44" s="16">
        <f>IF(ISNUMBER(D44), $B64 * E44, "")</f>
        <v>614.75409836066444</v>
      </c>
      <c r="G44" s="29">
        <v>25.4</v>
      </c>
      <c r="H44" s="14">
        <f>IF(ISNUMBER(G44), (G44 - $B44) / $B44, "")</f>
        <v>4.0983606557377053E-2</v>
      </c>
      <c r="I44" s="100">
        <f>IF(ISNUMBER(G44), $B64 * H44, "")</f>
        <v>6147.5409836065583</v>
      </c>
      <c r="J44" s="13">
        <v>26.6</v>
      </c>
      <c r="K44" s="14">
        <f>IF(ISNUMBER(J44), (J44 - $B44) / $B44, "")</f>
        <v>9.0163934426229636E-2</v>
      </c>
      <c r="L44" s="16">
        <f>IF(ISNUMBER(J44), $B64 * K44, "")</f>
        <v>13524.590163934445</v>
      </c>
      <c r="M44" s="29">
        <v>25.5</v>
      </c>
      <c r="N44" s="14">
        <f>IF(ISNUMBER(M44), (M44 - $B44) / $B44, "")</f>
        <v>4.5081967213114818E-2</v>
      </c>
      <c r="O44" s="16">
        <f>IF(ISNUMBER(M44), $B64 * N44, "")</f>
        <v>6762.2950819672224</v>
      </c>
      <c r="Q44" s="202"/>
      <c r="R44" s="202"/>
      <c r="S44" s="202"/>
    </row>
    <row r="45" spans="1:19" ht="17.25" customHeight="1" thickBot="1">
      <c r="A45" s="125" t="s">
        <v>188</v>
      </c>
      <c r="B45" s="126">
        <v>16.7</v>
      </c>
      <c r="C45" s="77">
        <v>1.2121212100000001E-2</v>
      </c>
      <c r="D45" s="15">
        <v>16.8</v>
      </c>
      <c r="E45" s="32">
        <f t="shared" ref="E45:E48" si="14">IF(ISNUMBER(D45), (D45 - $B45) / $B45, "")</f>
        <v>5.9880239520958937E-3</v>
      </c>
      <c r="F45" s="18">
        <f>IF(ISNUMBER(D45), $B64 * E45, "")</f>
        <v>898.20359281438402</v>
      </c>
      <c r="G45" s="31">
        <v>17.5</v>
      </c>
      <c r="H45" s="32">
        <f t="shared" ref="H45:H48" si="15">IF(ISNUMBER(G45), (G45 - $B45) / $B45, "")</f>
        <v>4.7904191616766512E-2</v>
      </c>
      <c r="I45" s="101">
        <f>IF(ISNUMBER(G45), $B64 * H45, "")</f>
        <v>7185.6287425149767</v>
      </c>
      <c r="J45" s="15">
        <v>18.3</v>
      </c>
      <c r="K45" s="32">
        <f t="shared" ref="K45:K48" si="16">IF(ISNUMBER(J45), (J45 - $B45) / $B45, "")</f>
        <v>9.5808383233533023E-2</v>
      </c>
      <c r="L45" s="18">
        <f>IF(ISNUMBER(J45), $B64 * K45, "")</f>
        <v>14371.257485029953</v>
      </c>
      <c r="M45" s="31">
        <v>17.5</v>
      </c>
      <c r="N45" s="32">
        <f t="shared" ref="N45:N48" si="17">IF(ISNUMBER(M45), (M45 - $B45) / $B45, "")</f>
        <v>4.7904191616766512E-2</v>
      </c>
      <c r="O45" s="18">
        <f>IF(ISNUMBER(M45), $B64 * N45, "")</f>
        <v>7185.6287425149767</v>
      </c>
      <c r="Q45" s="202"/>
      <c r="R45" s="202"/>
      <c r="S45" s="202"/>
    </row>
    <row r="46" spans="1:19" ht="17.25" customHeight="1" thickBot="1">
      <c r="A46" s="125" t="s">
        <v>160</v>
      </c>
      <c r="B46" s="126">
        <v>99.5</v>
      </c>
      <c r="C46" s="77">
        <v>-1.4851485100000001E-2</v>
      </c>
      <c r="D46" s="15">
        <v>101</v>
      </c>
      <c r="E46" s="32">
        <f t="shared" si="14"/>
        <v>1.507537688442211E-2</v>
      </c>
      <c r="F46" s="18">
        <f>IF(ISNUMBER(D46), $B64 * E46, "")</f>
        <v>2261.3065326633164</v>
      </c>
      <c r="G46" s="31">
        <v>102</v>
      </c>
      <c r="H46" s="32">
        <f t="shared" si="15"/>
        <v>2.5125628140703519E-2</v>
      </c>
      <c r="I46" s="101">
        <f>IF(ISNUMBER(G46), $B64 * H46, "")</f>
        <v>3768.844221105528</v>
      </c>
      <c r="J46" s="15">
        <v>106</v>
      </c>
      <c r="K46" s="32">
        <f t="shared" si="16"/>
        <v>6.5326633165829151E-2</v>
      </c>
      <c r="L46" s="18">
        <f>IF(ISNUMBER(J46), $B64 * K46, "")</f>
        <v>9798.9949748743729</v>
      </c>
      <c r="M46" s="31">
        <v>104</v>
      </c>
      <c r="N46" s="32">
        <f t="shared" si="17"/>
        <v>4.5226130653266333E-2</v>
      </c>
      <c r="O46" s="18">
        <f>IF(ISNUMBER(M46), $B64 * N46, "")</f>
        <v>6783.9195979899496</v>
      </c>
      <c r="Q46" s="192"/>
      <c r="R46" s="192"/>
      <c r="S46" s="192"/>
    </row>
    <row r="47" spans="1:19" ht="17.25" customHeight="1" thickBot="1">
      <c r="A47" s="125" t="s">
        <v>208</v>
      </c>
      <c r="B47" s="126">
        <v>13.2</v>
      </c>
      <c r="C47" s="77">
        <v>-2.2222222199999999E-2</v>
      </c>
      <c r="D47" s="15">
        <v>14</v>
      </c>
      <c r="E47" s="32">
        <f t="shared" si="14"/>
        <v>6.0606060606060663E-2</v>
      </c>
      <c r="F47" s="18">
        <f>IF(ISNUMBER(D47), $B64 * E47, "")</f>
        <v>9090.9090909090992</v>
      </c>
      <c r="G47" s="31">
        <v>15.4</v>
      </c>
      <c r="H47" s="32">
        <f t="shared" si="15"/>
        <v>0.16666666666666677</v>
      </c>
      <c r="I47" s="101">
        <f>IF(ISNUMBER(G47), $B64 * H47, "")</f>
        <v>25000.000000000015</v>
      </c>
      <c r="J47" s="15">
        <v>17</v>
      </c>
      <c r="K47" s="32">
        <f t="shared" si="16"/>
        <v>0.28787878787878796</v>
      </c>
      <c r="L47" s="18">
        <f>IF(ISNUMBER(J47), $B64 * K47, "")</f>
        <v>43181.818181818191</v>
      </c>
      <c r="M47" s="31">
        <v>15.7</v>
      </c>
      <c r="N47" s="32">
        <f t="shared" si="17"/>
        <v>0.18939393939393939</v>
      </c>
      <c r="O47" s="18">
        <f>IF(ISNUMBER(M47), $B64 * N47, "")</f>
        <v>28409.090909090908</v>
      </c>
      <c r="Q47" s="192"/>
      <c r="R47" s="192"/>
      <c r="S47" s="192"/>
    </row>
    <row r="48" spans="1:19" ht="17.25" customHeight="1" thickBot="1">
      <c r="A48" s="127" t="s">
        <v>206</v>
      </c>
      <c r="B48" s="128">
        <v>12.5</v>
      </c>
      <c r="C48" s="78">
        <v>-3.8461538500000003E-2</v>
      </c>
      <c r="D48" s="20">
        <v>12.7</v>
      </c>
      <c r="E48" s="21">
        <f t="shared" si="14"/>
        <v>1.5999999999999945E-2</v>
      </c>
      <c r="F48" s="22">
        <f>IF(ISNUMBER(D48), $B64 * E48, "")</f>
        <v>2399.9999999999918</v>
      </c>
      <c r="G48" s="30">
        <v>13.3</v>
      </c>
      <c r="H48" s="21">
        <f t="shared" si="15"/>
        <v>6.4000000000000057E-2</v>
      </c>
      <c r="I48" s="105">
        <f>IF(ISNUMBER(G48), $B64 * H48, "")</f>
        <v>9600.0000000000091</v>
      </c>
      <c r="J48" s="20">
        <v>13.9</v>
      </c>
      <c r="K48" s="21">
        <f t="shared" si="16"/>
        <v>0.11200000000000003</v>
      </c>
      <c r="L48" s="22">
        <f>IF(ISNUMBER(J48), $B64 * K48, "")</f>
        <v>16800.000000000004</v>
      </c>
      <c r="M48" s="30">
        <v>13.4</v>
      </c>
      <c r="N48" s="21">
        <f t="shared" si="17"/>
        <v>7.2000000000000022E-2</v>
      </c>
      <c r="O48" s="22">
        <f>IF(ISNUMBER(M48), $B64 * N48, "")</f>
        <v>10800.000000000004</v>
      </c>
      <c r="Q48" s="192"/>
      <c r="R48" s="192"/>
      <c r="S48" s="192"/>
    </row>
    <row r="49" spans="1:19" ht="17.25" customHeight="1" thickBot="1">
      <c r="A49" s="125" t="s">
        <v>176</v>
      </c>
      <c r="B49" s="129">
        <v>16.399999999999999</v>
      </c>
      <c r="C49" s="80">
        <v>-4.0935672499999999E-2</v>
      </c>
      <c r="D49" s="106">
        <v>16.7</v>
      </c>
      <c r="E49" s="107">
        <f>IF(ISNUMBER(D49), (D49 - $B49) / $B49, "")</f>
        <v>1.8292682926829312E-2</v>
      </c>
      <c r="F49" s="108">
        <f>IF(ISNUMBER(D49), $B64 * E49, "")</f>
        <v>2743.9024390243967</v>
      </c>
      <c r="G49" s="109">
        <v>17.600000000000001</v>
      </c>
      <c r="H49" s="107">
        <f>IF(ISNUMBER(G49), (G49 - $B49) / $B49, "")</f>
        <v>7.3170731707317249E-2</v>
      </c>
      <c r="I49" s="110">
        <f>IF(ISNUMBER(G49), $B64 * H49, "")</f>
        <v>10975.609756097587</v>
      </c>
      <c r="J49" s="106">
        <v>18.3</v>
      </c>
      <c r="K49" s="107">
        <f>IF(ISNUMBER(J49), (J49 - $B49) / $B49, "")</f>
        <v>0.11585365853658551</v>
      </c>
      <c r="L49" s="108">
        <f>IF(ISNUMBER(J49), $B64 * K49, "")</f>
        <v>17378.048780487825</v>
      </c>
      <c r="M49" s="109">
        <v>17.399999999999999</v>
      </c>
      <c r="N49" s="107">
        <f>IF(ISNUMBER(M49), (M49 - $B49) / $B49, "")</f>
        <v>6.0975609756097567E-2</v>
      </c>
      <c r="O49" s="108">
        <f>IF(ISNUMBER(M49), $B64 * N49, "")</f>
        <v>9146.3414634146357</v>
      </c>
      <c r="Q49" s="192"/>
      <c r="R49" s="192"/>
      <c r="S49" s="192"/>
    </row>
    <row r="50" spans="1:19" ht="17.25" customHeight="1" thickBot="1">
      <c r="A50" s="125" t="s">
        <v>98</v>
      </c>
      <c r="B50" s="126">
        <v>4.13</v>
      </c>
      <c r="C50" s="77">
        <v>-4.1763341099999997E-2</v>
      </c>
      <c r="D50" s="15">
        <v>4.21</v>
      </c>
      <c r="E50" s="32">
        <f t="shared" ref="E50:E53" si="18">IF(ISNUMBER(D50), (D50 - $B50) / $B50, "")</f>
        <v>1.9370460048426168E-2</v>
      </c>
      <c r="F50" s="18">
        <f>IF(ISNUMBER(D50), $B64 * E50, "")</f>
        <v>2905.5690072639254</v>
      </c>
      <c r="G50" s="31">
        <v>4.3499999999999996</v>
      </c>
      <c r="H50" s="32">
        <f t="shared" ref="H50:H53" si="19">IF(ISNUMBER(G50), (G50 - $B50) / $B50, "")</f>
        <v>5.3268765133171851E-2</v>
      </c>
      <c r="I50" s="101">
        <f>IF(ISNUMBER(G50), $B64 * H50, "")</f>
        <v>7990.3147699757774</v>
      </c>
      <c r="J50" s="15">
        <v>4.29</v>
      </c>
      <c r="K50" s="32">
        <f t="shared" ref="K50:K53" si="20">IF(ISNUMBER(J50), (J50 - $B50) / $B50, "")</f>
        <v>3.8740920096852337E-2</v>
      </c>
      <c r="L50" s="18">
        <f>IF(ISNUMBER(J50), $B64 * K50, "")</f>
        <v>5811.1380145278508</v>
      </c>
      <c r="M50" s="31">
        <v>4.3</v>
      </c>
      <c r="N50" s="32">
        <f t="shared" ref="N50:N53" si="21">IF(ISNUMBER(M50), (M50 - $B50) / $B50, "")</f>
        <v>4.1162227602905554E-2</v>
      </c>
      <c r="O50" s="18">
        <f>IF(ISNUMBER(M50), $B64 * N50, "")</f>
        <v>6174.3341404358334</v>
      </c>
      <c r="Q50" s="192"/>
      <c r="R50" s="192"/>
      <c r="S50" s="192"/>
    </row>
    <row r="51" spans="1:19" ht="17.25" customHeight="1" thickBot="1">
      <c r="A51" s="125" t="s">
        <v>148</v>
      </c>
      <c r="B51" s="126">
        <v>11.2</v>
      </c>
      <c r="C51" s="77">
        <v>-4.2735042700000003E-2</v>
      </c>
      <c r="D51" s="15">
        <v>11.6</v>
      </c>
      <c r="E51" s="32">
        <f t="shared" si="18"/>
        <v>3.5714285714285747E-2</v>
      </c>
      <c r="F51" s="18">
        <f>IF(ISNUMBER(D51), $B64 * E51, "")</f>
        <v>5357.1428571428623</v>
      </c>
      <c r="G51" s="31">
        <v>11.9</v>
      </c>
      <c r="H51" s="32">
        <f t="shared" si="19"/>
        <v>6.2500000000000097E-2</v>
      </c>
      <c r="I51" s="101">
        <f>IF(ISNUMBER(G51), $B64 * H51, "")</f>
        <v>9375.0000000000146</v>
      </c>
      <c r="J51" s="15">
        <v>13.2</v>
      </c>
      <c r="K51" s="32">
        <f t="shared" si="20"/>
        <v>0.17857142857142858</v>
      </c>
      <c r="L51" s="18">
        <f>IF(ISNUMBER(J51), $B64 * K51, "")</f>
        <v>26785.714285714286</v>
      </c>
      <c r="M51" s="31">
        <v>12</v>
      </c>
      <c r="N51" s="32">
        <f t="shared" si="21"/>
        <v>7.1428571428571494E-2</v>
      </c>
      <c r="O51" s="18">
        <f>IF(ISNUMBER(M51), $B64 * N51, "")</f>
        <v>10714.285714285725</v>
      </c>
      <c r="Q51" s="192"/>
      <c r="R51" s="192"/>
      <c r="S51" s="192"/>
    </row>
    <row r="52" spans="1:19" ht="17.25" customHeight="1" thickBot="1">
      <c r="A52" s="125" t="s">
        <v>146</v>
      </c>
      <c r="B52" s="126">
        <v>19.2</v>
      </c>
      <c r="C52" s="77">
        <v>-4.4776119400000002E-2</v>
      </c>
      <c r="D52" s="15">
        <v>19.600000000000001</v>
      </c>
      <c r="E52" s="32">
        <f t="shared" si="18"/>
        <v>2.0833333333333447E-2</v>
      </c>
      <c r="F52" s="18">
        <f>IF(ISNUMBER(D52), $B64 * E52, "")</f>
        <v>3125.0000000000168</v>
      </c>
      <c r="G52" s="31">
        <v>20.2</v>
      </c>
      <c r="H52" s="32">
        <f t="shared" si="19"/>
        <v>5.2083333333333336E-2</v>
      </c>
      <c r="I52" s="101">
        <f>IF(ISNUMBER(G52), $B64 * H52, "")</f>
        <v>7812.5</v>
      </c>
      <c r="J52" s="15">
        <v>20.7</v>
      </c>
      <c r="K52" s="32">
        <f t="shared" si="20"/>
        <v>7.8125E-2</v>
      </c>
      <c r="L52" s="18">
        <f>IF(ISNUMBER(J52), $B64 * K52, "")</f>
        <v>11718.75</v>
      </c>
      <c r="M52" s="31">
        <v>21.1</v>
      </c>
      <c r="N52" s="32">
        <f t="shared" si="21"/>
        <v>9.8958333333333454E-2</v>
      </c>
      <c r="O52" s="18">
        <f>IF(ISNUMBER(M52), $B64 * N52, "")</f>
        <v>14843.750000000018</v>
      </c>
      <c r="Q52" s="33"/>
      <c r="R52" s="33"/>
    </row>
    <row r="53" spans="1:19" ht="17.25" customHeight="1" thickBot="1">
      <c r="A53" s="130" t="s">
        <v>238</v>
      </c>
      <c r="B53" s="131">
        <v>67.2</v>
      </c>
      <c r="C53" s="79">
        <v>-4.6808510599999999E-2</v>
      </c>
      <c r="D53" s="24">
        <v>71.7</v>
      </c>
      <c r="E53" s="25">
        <f t="shared" si="18"/>
        <v>6.6964285714285712E-2</v>
      </c>
      <c r="F53" s="104">
        <f>IF(ISNUMBER(D53), $B64 * E53, "")</f>
        <v>10044.642857142857</v>
      </c>
      <c r="G53" s="102">
        <v>99.4</v>
      </c>
      <c r="H53" s="25">
        <f t="shared" si="19"/>
        <v>0.47916666666666669</v>
      </c>
      <c r="I53" s="103">
        <f>IF(ISNUMBER(G53), $B64 * H53, "")</f>
        <v>71875</v>
      </c>
      <c r="J53" s="24">
        <v>195</v>
      </c>
      <c r="K53" s="25">
        <f t="shared" si="20"/>
        <v>1.9017857142857142</v>
      </c>
      <c r="L53" s="104">
        <f>IF(ISNUMBER(J53), $B64 * K53, "")</f>
        <v>285267.8571428571</v>
      </c>
      <c r="M53" s="102">
        <v>183</v>
      </c>
      <c r="N53" s="25">
        <f t="shared" si="21"/>
        <v>1.7232142857142856</v>
      </c>
      <c r="O53" s="104">
        <f>IF(ISNUMBER(M53), $B64 * N53, "")</f>
        <v>258482.14285714284</v>
      </c>
      <c r="Q53" s="193"/>
      <c r="R53" s="194"/>
      <c r="S53" s="195"/>
    </row>
    <row r="54" spans="1:19" ht="17.25" customHeight="1">
      <c r="A54" s="123" t="s">
        <v>65</v>
      </c>
      <c r="B54" s="124">
        <v>64.099999999999994</v>
      </c>
      <c r="C54" s="76">
        <v>-4.7548291200000002E-2</v>
      </c>
      <c r="D54" s="13">
        <v>64.400000000000006</v>
      </c>
      <c r="E54" s="14">
        <f>IF(ISNUMBER(D54), (D54 - $B54) / $B54, "")</f>
        <v>4.6801872074884775E-3</v>
      </c>
      <c r="F54" s="16">
        <f>IF(ISNUMBER(D54), $B64 * E54, "")</f>
        <v>702.02808112327159</v>
      </c>
      <c r="G54" s="29">
        <v>67.3</v>
      </c>
      <c r="H54" s="14">
        <f>IF(ISNUMBER(G54), (G54 - $B54) / $B54, "")</f>
        <v>4.9921996879875245E-2</v>
      </c>
      <c r="I54" s="100">
        <f>IF(ISNUMBER(G54), $B64 * H54, "")</f>
        <v>7488.2995319812871</v>
      </c>
      <c r="J54" s="13">
        <v>67</v>
      </c>
      <c r="K54" s="14">
        <f>IF(ISNUMBER(J54), (J54 - $B54) / $B54, "")</f>
        <v>4.5241809672386987E-2</v>
      </c>
      <c r="L54" s="16">
        <f>IF(ISNUMBER(J54), $B64 * K54, "")</f>
        <v>6786.2714508580484</v>
      </c>
      <c r="M54" s="29">
        <v>65.5</v>
      </c>
      <c r="N54" s="14">
        <f>IF(ISNUMBER(M54), (M54 - $B54) / $B54, "")</f>
        <v>2.1840873634945489E-2</v>
      </c>
      <c r="O54" s="16">
        <f>IF(ISNUMBER(M54), $B64 * N54, "")</f>
        <v>3276.1310452418234</v>
      </c>
      <c r="Q54" s="196"/>
      <c r="R54" s="197"/>
      <c r="S54" s="198"/>
    </row>
    <row r="55" spans="1:19" ht="17.25" customHeight="1" thickBot="1">
      <c r="A55" s="125" t="s">
        <v>232</v>
      </c>
      <c r="B55" s="126">
        <v>73.5</v>
      </c>
      <c r="C55" s="77">
        <v>-4.7927461099999999E-2</v>
      </c>
      <c r="D55" s="15">
        <v>76.400000000000006</v>
      </c>
      <c r="E55" s="32">
        <f t="shared" ref="E55:E58" si="22">IF(ISNUMBER(D55), (D55 - $B55) / $B55, "")</f>
        <v>3.945578231292525E-2</v>
      </c>
      <c r="F55" s="18">
        <f>IF(ISNUMBER(D55), $B64 * E55, "")</f>
        <v>5918.3673469387877</v>
      </c>
      <c r="G55" s="31">
        <v>80.099999999999994</v>
      </c>
      <c r="H55" s="32">
        <f t="shared" ref="H55:H58" si="23">IF(ISNUMBER(G55), (G55 - $B55) / $B55, "")</f>
        <v>8.9795918367346864E-2</v>
      </c>
      <c r="I55" s="101">
        <f>IF(ISNUMBER(G55), $B64 * H55, "")</f>
        <v>13469.387755102029</v>
      </c>
      <c r="J55" s="15">
        <v>85.7</v>
      </c>
      <c r="K55" s="32">
        <f t="shared" ref="K55:K58" si="24">IF(ISNUMBER(J55), (J55 - $B55) / $B55, "")</f>
        <v>0.16598639455782316</v>
      </c>
      <c r="L55" s="18">
        <f>IF(ISNUMBER(J55), $B64 * K55, "")</f>
        <v>24897.959183673473</v>
      </c>
      <c r="M55" s="31">
        <v>78.400000000000006</v>
      </c>
      <c r="N55" s="32">
        <f t="shared" ref="N55:N58" si="25">IF(ISNUMBER(M55), (M55 - $B55) / $B55, "")</f>
        <v>6.6666666666666749E-2</v>
      </c>
      <c r="O55" s="18">
        <f>IF(ISNUMBER(M55), $B64 * N55, "")</f>
        <v>10000.000000000013</v>
      </c>
      <c r="Q55" s="199"/>
      <c r="R55" s="200"/>
      <c r="S55" s="201"/>
    </row>
    <row r="56" spans="1:19" ht="17.25" customHeight="1" thickBot="1">
      <c r="A56" s="125" t="s">
        <v>200</v>
      </c>
      <c r="B56" s="126">
        <v>74.8</v>
      </c>
      <c r="C56" s="77">
        <v>-4.8346055999999998E-2</v>
      </c>
      <c r="D56" s="15">
        <v>77.599999999999994</v>
      </c>
      <c r="E56" s="32">
        <f t="shared" si="22"/>
        <v>3.7433155080213866E-2</v>
      </c>
      <c r="F56" s="18">
        <f>IF(ISNUMBER(D56), $B64 * E56, "")</f>
        <v>5614.9732620320801</v>
      </c>
      <c r="G56" s="31">
        <v>80.2</v>
      </c>
      <c r="H56" s="32">
        <f t="shared" si="23"/>
        <v>7.2192513368984038E-2</v>
      </c>
      <c r="I56" s="101">
        <f>IF(ISNUMBER(G56), $B64 * H56, "")</f>
        <v>10828.877005347606</v>
      </c>
      <c r="J56" s="15">
        <v>92.2</v>
      </c>
      <c r="K56" s="32">
        <f t="shared" si="24"/>
        <v>0.23262032085561507</v>
      </c>
      <c r="L56" s="18">
        <f>IF(ISNUMBER(J56), $B64 * K56, "")</f>
        <v>34893.048128342263</v>
      </c>
      <c r="M56" s="31">
        <v>82</v>
      </c>
      <c r="N56" s="32">
        <f t="shared" si="25"/>
        <v>9.6256684491978647E-2</v>
      </c>
      <c r="O56" s="18">
        <f>IF(ISNUMBER(M56), $B64 * N56, "")</f>
        <v>14438.502673796796</v>
      </c>
      <c r="Q56" s="192"/>
      <c r="R56" s="192"/>
      <c r="S56" s="192"/>
    </row>
    <row r="57" spans="1:19" ht="17.25" customHeight="1" thickBot="1">
      <c r="A57" s="125" t="s">
        <v>248</v>
      </c>
      <c r="B57" s="126">
        <v>81.900000000000006</v>
      </c>
      <c r="C57" s="77">
        <v>-4.8780487800000001E-2</v>
      </c>
      <c r="D57" s="15">
        <v>83.2</v>
      </c>
      <c r="E57" s="32">
        <f t="shared" si="22"/>
        <v>1.5873015873015837E-2</v>
      </c>
      <c r="F57" s="18">
        <f>IF(ISNUMBER(D57), $B64 * E57, "")</f>
        <v>2380.9523809523757</v>
      </c>
      <c r="G57" s="31">
        <v>89</v>
      </c>
      <c r="H57" s="32">
        <f t="shared" si="23"/>
        <v>8.6691086691086619E-2</v>
      </c>
      <c r="I57" s="101">
        <f>IF(ISNUMBER(G57), $B64 * H57, "")</f>
        <v>13003.663003662992</v>
      </c>
      <c r="J57" s="15">
        <v>89.4</v>
      </c>
      <c r="K57" s="32">
        <f t="shared" si="24"/>
        <v>9.1575091575091569E-2</v>
      </c>
      <c r="L57" s="18">
        <f>IF(ISNUMBER(J57), $B64 * K57, "")</f>
        <v>13736.263736263736</v>
      </c>
      <c r="M57" s="31">
        <v>87.6</v>
      </c>
      <c r="N57" s="32">
        <f t="shared" si="25"/>
        <v>6.9597069597069447E-2</v>
      </c>
      <c r="O57" s="18">
        <f>IF(ISNUMBER(M57), $B64 * N57, "")</f>
        <v>10439.560439560417</v>
      </c>
      <c r="Q57" s="202"/>
      <c r="R57" s="202"/>
      <c r="S57" s="202"/>
    </row>
    <row r="58" spans="1:19" ht="17.25" customHeight="1" thickBot="1">
      <c r="A58" s="127" t="s">
        <v>328</v>
      </c>
      <c r="B58" s="128">
        <v>0.28000000000000003</v>
      </c>
      <c r="C58" s="78">
        <v>-5.08474576E-2</v>
      </c>
      <c r="D58" s="20">
        <v>0.27800000000000002</v>
      </c>
      <c r="E58" s="21">
        <f t="shared" si="22"/>
        <v>-7.1428571428571487E-3</v>
      </c>
      <c r="F58" s="22">
        <f>IF(ISNUMBER(D58), $B64 * E58, "")</f>
        <v>-1071.4285714285722</v>
      </c>
      <c r="G58" s="30">
        <v>0.28199999999999997</v>
      </c>
      <c r="H58" s="21">
        <f t="shared" si="23"/>
        <v>7.1428571428569501E-3</v>
      </c>
      <c r="I58" s="105">
        <f>IF(ISNUMBER(G58), $B64 * H58, "")</f>
        <v>1071.4285714285425</v>
      </c>
      <c r="J58" s="20">
        <v>0.27800000000000002</v>
      </c>
      <c r="K58" s="21">
        <f t="shared" si="24"/>
        <v>-7.1428571428571487E-3</v>
      </c>
      <c r="L58" s="22">
        <f>IF(ISNUMBER(J58), $B64 * K58, "")</f>
        <v>-1071.4285714285722</v>
      </c>
      <c r="M58" s="30">
        <v>0.27600000000000002</v>
      </c>
      <c r="N58" s="21">
        <f t="shared" si="25"/>
        <v>-1.4285714285714297E-2</v>
      </c>
      <c r="O58" s="22">
        <f>IF(ISNUMBER(M58), $B64 * N58, "")</f>
        <v>-2142.8571428571445</v>
      </c>
      <c r="Q58" s="202"/>
      <c r="R58" s="202"/>
      <c r="S58" s="202"/>
    </row>
    <row r="59" spans="1:19" ht="17.25" customHeight="1" thickBot="1">
      <c r="A59" s="125" t="s">
        <v>186</v>
      </c>
      <c r="B59" s="129">
        <v>12.9</v>
      </c>
      <c r="C59" s="80">
        <v>-5.14705882E-2</v>
      </c>
      <c r="D59" s="106">
        <v>13.3</v>
      </c>
      <c r="E59" s="107">
        <f>IF(ISNUMBER(D59), (D59 - $B59) / $B59, "")</f>
        <v>3.1007751937984523E-2</v>
      </c>
      <c r="F59" s="108">
        <f>IF(ISNUMBER(D59), $B64 * E59, "")</f>
        <v>4651.1627906976782</v>
      </c>
      <c r="G59" s="109">
        <v>15.2</v>
      </c>
      <c r="H59" s="107">
        <f>IF(ISNUMBER(G59), (G59 - $B59) / $B59, "")</f>
        <v>0.17829457364341075</v>
      </c>
      <c r="I59" s="110">
        <f>IF(ISNUMBER(G59), $B64 * H59, "")</f>
        <v>26744.186046511611</v>
      </c>
      <c r="J59" s="106">
        <v>22.1</v>
      </c>
      <c r="K59" s="107">
        <f>IF(ISNUMBER(J59), (J59 - $B59) / $B59, "")</f>
        <v>0.71317829457364346</v>
      </c>
      <c r="L59" s="108">
        <f>IF(ISNUMBER(J59), $B64 * K59, "")</f>
        <v>106976.74418604652</v>
      </c>
      <c r="M59" s="109">
        <v>17.600000000000001</v>
      </c>
      <c r="N59" s="107">
        <f>IF(ISNUMBER(M59), (M59 - $B59) / $B59, "")</f>
        <v>0.36434108527131792</v>
      </c>
      <c r="O59" s="108">
        <f>IF(ISNUMBER(M59), $B64 * N59, "")</f>
        <v>54651.162790697686</v>
      </c>
      <c r="Q59" s="192"/>
      <c r="R59" s="192"/>
      <c r="S59" s="192"/>
    </row>
    <row r="60" spans="1:19" ht="17.25" customHeight="1" thickBot="1">
      <c r="A60" s="125" t="s">
        <v>202</v>
      </c>
      <c r="B60" s="126">
        <v>14.3</v>
      </c>
      <c r="C60" s="77">
        <v>-5.2980132499999999E-2</v>
      </c>
      <c r="D60" s="15">
        <v>14.5</v>
      </c>
      <c r="E60" s="32">
        <f t="shared" ref="E60:E63" si="26">IF(ISNUMBER(D60), (D60 - $B60) / $B60, "")</f>
        <v>1.3986013986013936E-2</v>
      </c>
      <c r="F60" s="18">
        <f>IF(ISNUMBER(D60), $B64 * E60, "")</f>
        <v>2097.9020979020902</v>
      </c>
      <c r="G60" s="31">
        <v>15.3</v>
      </c>
      <c r="H60" s="32">
        <f t="shared" ref="H60:H63" si="27">IF(ISNUMBER(G60), (G60 - $B60) / $B60, "")</f>
        <v>6.9930069930069921E-2</v>
      </c>
      <c r="I60" s="101">
        <f>IF(ISNUMBER(G60), $B64 * H60, "")</f>
        <v>10489.510489510489</v>
      </c>
      <c r="J60" s="15">
        <v>16.899999999999999</v>
      </c>
      <c r="K60" s="32">
        <f t="shared" ref="K60:K63" si="28">IF(ISNUMBER(J60), (J60 - $B60) / $B60, "")</f>
        <v>0.18181818181818166</v>
      </c>
      <c r="L60" s="18">
        <f>IF(ISNUMBER(J60), $B64 * K60, "")</f>
        <v>27272.72727272725</v>
      </c>
      <c r="M60" s="31">
        <v>15.3</v>
      </c>
      <c r="N60" s="32">
        <f t="shared" ref="N60:N63" si="29">IF(ISNUMBER(M60), (M60 - $B60) / $B60, "")</f>
        <v>6.9930069930069921E-2</v>
      </c>
      <c r="O60" s="18">
        <f>IF(ISNUMBER(M60), $B64 * N60, "")</f>
        <v>10489.510489510489</v>
      </c>
      <c r="Q60" s="192"/>
      <c r="R60" s="192"/>
      <c r="S60" s="192"/>
    </row>
    <row r="61" spans="1:19" ht="17.25" customHeight="1" thickBot="1">
      <c r="A61" s="125" t="s">
        <v>214</v>
      </c>
      <c r="B61" s="126">
        <v>10.5</v>
      </c>
      <c r="C61" s="77">
        <v>-5.4054054099999999E-2</v>
      </c>
      <c r="D61" s="15">
        <v>10.8</v>
      </c>
      <c r="E61" s="32">
        <f t="shared" si="26"/>
        <v>2.857142857142864E-2</v>
      </c>
      <c r="F61" s="18">
        <f>IF(ISNUMBER(D61), $B64 * E61, "")</f>
        <v>4285.7142857142962</v>
      </c>
      <c r="G61" s="31">
        <v>10.9</v>
      </c>
      <c r="H61" s="32">
        <f t="shared" si="27"/>
        <v>3.8095238095238126E-2</v>
      </c>
      <c r="I61" s="101">
        <f>IF(ISNUMBER(G61), $B64 * H61, "")</f>
        <v>5714.2857142857192</v>
      </c>
      <c r="J61" s="15">
        <v>11.9</v>
      </c>
      <c r="K61" s="32">
        <f t="shared" si="28"/>
        <v>0.13333333333333336</v>
      </c>
      <c r="L61" s="18">
        <f>IF(ISNUMBER(J61), $B64 * K61, "")</f>
        <v>20000.000000000004</v>
      </c>
      <c r="M61" s="31">
        <v>11.5</v>
      </c>
      <c r="N61" s="32">
        <f t="shared" si="29"/>
        <v>9.5238095238095233E-2</v>
      </c>
      <c r="O61" s="18">
        <f>IF(ISNUMBER(M61), $B64 * N61, "")</f>
        <v>14285.714285714284</v>
      </c>
      <c r="Q61" s="192"/>
      <c r="R61" s="192"/>
      <c r="S61" s="192"/>
    </row>
    <row r="62" spans="1:19" ht="17.25" customHeight="1">
      <c r="A62" s="125" t="s">
        <v>120</v>
      </c>
      <c r="B62" s="126">
        <v>35.1</v>
      </c>
      <c r="C62" s="77">
        <v>-5.6451612900000003E-2</v>
      </c>
      <c r="D62" s="15">
        <v>35.799999999999997</v>
      </c>
      <c r="E62" s="32">
        <f t="shared" si="26"/>
        <v>1.9943019943019821E-2</v>
      </c>
      <c r="F62" s="18">
        <f>IF(ISNUMBER(D62), $B64 * E62, "")</f>
        <v>2991.452991452973</v>
      </c>
      <c r="G62" s="31">
        <v>37.4</v>
      </c>
      <c r="H62" s="32">
        <f t="shared" si="27"/>
        <v>6.5527065527065442E-2</v>
      </c>
      <c r="I62" s="101">
        <f>IF(ISNUMBER(G62), $B64 * H62, "")</f>
        <v>9829.0598290598155</v>
      </c>
      <c r="J62" s="15">
        <v>39.6</v>
      </c>
      <c r="K62" s="32">
        <f t="shared" si="28"/>
        <v>0.12820512820512819</v>
      </c>
      <c r="L62" s="18">
        <f>IF(ISNUMBER(J62), $B64 * K62, "")</f>
        <v>19230.76923076923</v>
      </c>
      <c r="M62" s="31">
        <v>37.5</v>
      </c>
      <c r="N62" s="32">
        <f t="shared" si="29"/>
        <v>6.8376068376068327E-2</v>
      </c>
      <c r="O62" s="18">
        <f>IF(ISNUMBER(M62), $B64 * N62, "")</f>
        <v>10256.410256410249</v>
      </c>
      <c r="Q62" s="181"/>
      <c r="R62" s="182"/>
      <c r="S62" s="1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84"/>
      <c r="R63" s="185"/>
      <c r="S63" s="186"/>
    </row>
    <row r="64" spans="1:19" ht="17.25" customHeight="1" thickBot="1">
      <c r="A64" s="132" t="s">
        <v>268</v>
      </c>
      <c r="B64" s="245">
        <f>$B$37</f>
        <v>150000</v>
      </c>
      <c r="C64" s="246"/>
      <c r="D64" s="26" t="s">
        <v>269</v>
      </c>
      <c r="E64" s="27">
        <f>IF(COUNT(E44:E63), SUM(E44:E63) / COUNT(E44:E63), 0)</f>
        <v>2.3513177242353155E-2</v>
      </c>
      <c r="F64" s="28">
        <f>SUM(F44:F63)</f>
        <v>67012.555140706507</v>
      </c>
      <c r="G64" s="26" t="s">
        <v>269</v>
      </c>
      <c r="H64" s="27">
        <f>IF(COUNT(H44:H63), SUM(H44:H63) / COUNT(H44:H63), 0)</f>
        <v>9.0655837340417739E-2</v>
      </c>
      <c r="I64" s="28">
        <f>SUM(I44:I63)</f>
        <v>258369.13642019057</v>
      </c>
      <c r="J64" s="26" t="s">
        <v>269</v>
      </c>
      <c r="K64" s="27">
        <f>IF(COUNT(K44:K63), SUM(K44:K63) / COUNT(K44:K63), 0)</f>
        <v>0.24468790303385832</v>
      </c>
      <c r="L64" s="28">
        <f>SUM(L44:L63)</f>
        <v>697360.523646496</v>
      </c>
      <c r="M64" s="26" t="s">
        <v>269</v>
      </c>
      <c r="N64" s="27">
        <f>IF(COUNT(N44:N63), SUM(N44:N63) / COUNT(N44:N63), 0)</f>
        <v>0.17017400819119885</v>
      </c>
      <c r="O64" s="28">
        <f>SUM(O44:O63)</f>
        <v>484995.92334491666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73" t="s">
        <v>265</v>
      </c>
      <c r="B68" s="203" t="s">
        <v>49</v>
      </c>
      <c r="C68" s="205"/>
      <c r="D68" s="203" t="s">
        <v>58</v>
      </c>
      <c r="E68" s="204"/>
      <c r="F68" s="205"/>
      <c r="G68" s="206">
        <f>_xlfn.IFNA(VLOOKUP(B68, 현재가테이블!$B$2:$D$200, 2, FALSE), "-")</f>
        <v>62630000</v>
      </c>
      <c r="H68" s="207"/>
      <c r="I68" s="208"/>
      <c r="J68" s="203" t="s">
        <v>59</v>
      </c>
      <c r="K68" s="204"/>
      <c r="L68" s="205"/>
      <c r="M68" s="209">
        <f>_xlfn.IFNA(VLOOKUP(B68, 현재가테이블!$B$2:$D$200, 3, FALSE), "-")</f>
        <v>1.5632601400000001E-2</v>
      </c>
      <c r="N68" s="210"/>
      <c r="O68" s="211"/>
      <c r="Q68" s="202"/>
      <c r="R68" s="202"/>
      <c r="S68" s="202"/>
    </row>
    <row r="69" spans="1:19" ht="17.25" thickBot="1">
      <c r="A69" s="247" t="s">
        <v>55</v>
      </c>
      <c r="B69" s="243" t="str">
        <f>TEXT($G$1, "[$-ko-KR]yyyy-mm-dd(ddd) ") &amp; "오전 00:00"</f>
        <v>2021-10-05(화) 오전 00:00</v>
      </c>
      <c r="C69" s="244"/>
      <c r="D69" s="216" t="str">
        <f>TEXT($G$1, "[$-ko-KR]yyyy-mm-dd(ddd) ") &amp; "오후 14:00"</f>
        <v>2021-10-05(화) 오후 14:00</v>
      </c>
      <c r="E69" s="217"/>
      <c r="F69" s="218"/>
      <c r="G69" s="216" t="str">
        <f>TEXT($G$1, "[$-ko-KR]yyyy-mm-dd(ddd) ") &amp; "오후 19:00"</f>
        <v>2021-10-05(화) 오후 19:00</v>
      </c>
      <c r="H69" s="217"/>
      <c r="I69" s="218"/>
      <c r="J69" s="216" t="str">
        <f>TEXT($G$1, "[$-ko-KR]yyyy-mm-dd(ddd) ") &amp; "오후 21:00"</f>
        <v>2021-10-05(화) 오후 21:00</v>
      </c>
      <c r="K69" s="217"/>
      <c r="L69" s="218"/>
      <c r="M69" s="216" t="str">
        <f>TEXT($G$1+1, "[$-ko-KR]yyyy-mm-dd(ddd) ") &amp; "오전 00:00"</f>
        <v>2021-10-06(수) 오전 00:00</v>
      </c>
      <c r="N69" s="217"/>
      <c r="O69" s="218"/>
      <c r="Q69" s="202"/>
      <c r="R69" s="202"/>
      <c r="S69" s="202"/>
    </row>
    <row r="70" spans="1:19" ht="17.25" thickBot="1">
      <c r="A70" s="24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4" t="s">
        <v>58</v>
      </c>
      <c r="H70" s="175" t="s">
        <v>266</v>
      </c>
      <c r="I70" s="17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192"/>
      <c r="R70" s="192"/>
      <c r="S70" s="192"/>
    </row>
    <row r="71" spans="1:19" ht="17.25" thickBot="1">
      <c r="A71" s="123" t="s">
        <v>228</v>
      </c>
      <c r="B71" s="124">
        <v>363</v>
      </c>
      <c r="C71" s="76">
        <v>1.6806722699999999E-2</v>
      </c>
      <c r="D71" s="13">
        <v>360</v>
      </c>
      <c r="E71" s="14">
        <f>IF(ISNUMBER(D71), (D71 - $B71) / $B71, "")</f>
        <v>-8.2644628099173556E-3</v>
      </c>
      <c r="F71" s="16">
        <f>IF(ISNUMBER(D71), $B91 * E71, "")</f>
        <v>-1239.6694214876034</v>
      </c>
      <c r="G71" s="29">
        <v>367</v>
      </c>
      <c r="H71" s="14">
        <f>IF(ISNUMBER(G71), (G71 - $B71) / $B71, "")</f>
        <v>1.1019283746556474E-2</v>
      </c>
      <c r="I71" s="100">
        <f>IF(ISNUMBER(G71), $B91 * H71, "")</f>
        <v>1652.8925619834711</v>
      </c>
      <c r="J71" s="13">
        <v>362</v>
      </c>
      <c r="K71" s="14">
        <f>IF(ISNUMBER(J71), (J71 - $B71) / $B71, "")</f>
        <v>-2.7548209366391185E-3</v>
      </c>
      <c r="L71" s="16">
        <f>IF(ISNUMBER(J71), $B91 * K71, "")</f>
        <v>-413.22314049586777</v>
      </c>
      <c r="M71" s="29">
        <v>358</v>
      </c>
      <c r="N71" s="14">
        <f>IF(ISNUMBER(M71), (M71 - $B71) / $B71, "")</f>
        <v>-1.3774104683195593E-2</v>
      </c>
      <c r="O71" s="16">
        <f>IF(ISNUMBER(M71), $B91 * N71, "")</f>
        <v>-2066.1157024793388</v>
      </c>
      <c r="Q71" s="202"/>
      <c r="R71" s="202"/>
      <c r="S71" s="202"/>
    </row>
    <row r="72" spans="1:19" ht="17.25" thickBot="1">
      <c r="A72" s="125" t="s">
        <v>61</v>
      </c>
      <c r="B72" s="126">
        <v>943</v>
      </c>
      <c r="C72" s="77">
        <v>1.0718113600000001E-2</v>
      </c>
      <c r="D72" s="15">
        <v>916</v>
      </c>
      <c r="E72" s="32">
        <f t="shared" ref="E72:E75" si="30">IF(ISNUMBER(D72), (D72 - $B72) / $B72, "")</f>
        <v>-2.863202545068929E-2</v>
      </c>
      <c r="F72" s="18">
        <f>IF(ISNUMBER(D72), $B91 * E72, "")</f>
        <v>-4294.8038176033933</v>
      </c>
      <c r="G72" s="31">
        <v>935</v>
      </c>
      <c r="H72" s="32">
        <f t="shared" ref="H72:H75" si="31">IF(ISNUMBER(G72), (G72 - $B72) / $B72, "")</f>
        <v>-8.483563096500531E-3</v>
      </c>
      <c r="I72" s="101">
        <f>IF(ISNUMBER(G72), $B91 * H72, "")</f>
        <v>-1272.5344644750796</v>
      </c>
      <c r="J72" s="15">
        <v>920</v>
      </c>
      <c r="K72" s="32">
        <f t="shared" ref="K72:K75" si="32">IF(ISNUMBER(J72), (J72 - $B72) / $B72, "")</f>
        <v>-2.4390243902439025E-2</v>
      </c>
      <c r="L72" s="18">
        <f>IF(ISNUMBER(J72), $B91 * K72, "")</f>
        <v>-3658.5365853658536</v>
      </c>
      <c r="M72" s="31">
        <v>919</v>
      </c>
      <c r="N72" s="32">
        <f t="shared" ref="N72:N75" si="33">IF(ISNUMBER(M72), (M72 - $B72) / $B72, "")</f>
        <v>-2.5450689289501591E-2</v>
      </c>
      <c r="O72" s="18">
        <f>IF(ISNUMBER(M72), $B91 * N72, "")</f>
        <v>-3817.6033934252387</v>
      </c>
      <c r="Q72" s="202"/>
      <c r="R72" s="202"/>
      <c r="S72" s="202"/>
    </row>
    <row r="73" spans="1:19" ht="17.25" thickBot="1">
      <c r="A73" s="125" t="s">
        <v>190</v>
      </c>
      <c r="B73" s="126">
        <v>392</v>
      </c>
      <c r="C73" s="77">
        <v>2.5575448E-3</v>
      </c>
      <c r="D73" s="15">
        <v>412</v>
      </c>
      <c r="E73" s="32">
        <f t="shared" si="30"/>
        <v>5.1020408163265307E-2</v>
      </c>
      <c r="F73" s="18">
        <f>IF(ISNUMBER(D73), $B91 * E73, "")</f>
        <v>7653.0612244897957</v>
      </c>
      <c r="G73" s="31">
        <v>422</v>
      </c>
      <c r="H73" s="32">
        <f t="shared" si="31"/>
        <v>7.6530612244897961E-2</v>
      </c>
      <c r="I73" s="101">
        <f>IF(ISNUMBER(G73), $B91 * H73, "")</f>
        <v>11479.591836734695</v>
      </c>
      <c r="J73" s="15">
        <v>418</v>
      </c>
      <c r="K73" s="32">
        <f t="shared" si="32"/>
        <v>6.6326530612244902E-2</v>
      </c>
      <c r="L73" s="18">
        <f>IF(ISNUMBER(J73), $B91 * K73, "")</f>
        <v>9948.9795918367345</v>
      </c>
      <c r="M73" s="31">
        <v>423</v>
      </c>
      <c r="N73" s="32">
        <f t="shared" si="33"/>
        <v>7.9081632653061229E-2</v>
      </c>
      <c r="O73" s="18">
        <f>IF(ISNUMBER(M73), $B91 * N73, "")</f>
        <v>11862.244897959185</v>
      </c>
      <c r="Q73" s="192"/>
      <c r="R73" s="192"/>
      <c r="S73" s="192"/>
    </row>
    <row r="74" spans="1:19" ht="17.25" thickBot="1">
      <c r="A74" s="125" t="s">
        <v>264</v>
      </c>
      <c r="B74" s="126">
        <v>269</v>
      </c>
      <c r="C74" s="77">
        <v>-3.7037036999999998E-3</v>
      </c>
      <c r="D74" s="15">
        <v>290</v>
      </c>
      <c r="E74" s="32">
        <f t="shared" si="30"/>
        <v>7.8066914498141265E-2</v>
      </c>
      <c r="F74" s="18">
        <f>IF(ISNUMBER(D74), $B91 * E74, "")</f>
        <v>11710.03717472119</v>
      </c>
      <c r="G74" s="31">
        <v>288</v>
      </c>
      <c r="H74" s="32">
        <f t="shared" si="31"/>
        <v>7.0631970260223054E-2</v>
      </c>
      <c r="I74" s="101">
        <f>IF(ISNUMBER(G74), $B91 * H74, "")</f>
        <v>10594.795539033457</v>
      </c>
      <c r="J74" s="15">
        <v>286</v>
      </c>
      <c r="K74" s="32">
        <f t="shared" si="32"/>
        <v>6.3197026022304828E-2</v>
      </c>
      <c r="L74" s="18">
        <f>IF(ISNUMBER(J74), $B91 * K74, "")</f>
        <v>9479.5539033457244</v>
      </c>
      <c r="M74" s="31">
        <v>299</v>
      </c>
      <c r="N74" s="32">
        <f t="shared" si="33"/>
        <v>0.11152416356877323</v>
      </c>
      <c r="O74" s="18">
        <f>IF(ISNUMBER(M74), $B91 * N74, "")</f>
        <v>16728.624535315987</v>
      </c>
      <c r="Q74" s="192"/>
      <c r="R74" s="192"/>
      <c r="S74" s="192"/>
    </row>
    <row r="75" spans="1:19" ht="17.25" thickBot="1">
      <c r="A75" s="127" t="s">
        <v>162</v>
      </c>
      <c r="B75" s="128">
        <v>811</v>
      </c>
      <c r="C75" s="78">
        <v>-6.1274509999999999E-3</v>
      </c>
      <c r="D75" s="20">
        <v>812</v>
      </c>
      <c r="E75" s="21">
        <f t="shared" si="30"/>
        <v>1.2330456226880395E-3</v>
      </c>
      <c r="F75" s="22">
        <f>IF(ISNUMBER(D75), $B91 * E75, "")</f>
        <v>184.95684340320591</v>
      </c>
      <c r="G75" s="30">
        <v>821</v>
      </c>
      <c r="H75" s="21">
        <f t="shared" si="31"/>
        <v>1.2330456226880395E-2</v>
      </c>
      <c r="I75" s="105">
        <f>IF(ISNUMBER(G75), $B91 * H75, "")</f>
        <v>1849.5684340320593</v>
      </c>
      <c r="J75" s="20">
        <v>815</v>
      </c>
      <c r="K75" s="21">
        <f t="shared" si="32"/>
        <v>4.9321824907521579E-3</v>
      </c>
      <c r="L75" s="22">
        <f>IF(ISNUMBER(J75), $B91 * K75, "")</f>
        <v>739.82737361282364</v>
      </c>
      <c r="M75" s="30">
        <v>811</v>
      </c>
      <c r="N75" s="21">
        <f t="shared" si="33"/>
        <v>0</v>
      </c>
      <c r="O75" s="22">
        <f>IF(ISNUMBER(M75), $B91 * N75, "")</f>
        <v>0</v>
      </c>
      <c r="Q75" s="192"/>
      <c r="R75" s="192"/>
      <c r="S75" s="192"/>
    </row>
    <row r="76" spans="1:19" ht="17.25" thickBot="1">
      <c r="A76" s="125" t="s">
        <v>234</v>
      </c>
      <c r="B76" s="129">
        <v>652</v>
      </c>
      <c r="C76" s="80">
        <v>-1.2121212100000001E-2</v>
      </c>
      <c r="D76" s="106">
        <v>656</v>
      </c>
      <c r="E76" s="107">
        <f>IF(ISNUMBER(D76), (D76 - $B76) / $B76, "")</f>
        <v>6.1349693251533744E-3</v>
      </c>
      <c r="F76" s="108">
        <f>IF(ISNUMBER(D76), $B91 * E76, "")</f>
        <v>920.24539877300617</v>
      </c>
      <c r="G76" s="109">
        <v>671</v>
      </c>
      <c r="H76" s="107">
        <f>IF(ISNUMBER(G76), (G76 - $B76) / $B76, "")</f>
        <v>2.9141104294478526E-2</v>
      </c>
      <c r="I76" s="110">
        <f>IF(ISNUMBER(G76), $B91 * H76, "")</f>
        <v>4371.1656441717787</v>
      </c>
      <c r="J76" s="106">
        <v>672</v>
      </c>
      <c r="K76" s="107">
        <f>IF(ISNUMBER(J76), (J76 - $B76) / $B76, "")</f>
        <v>3.0674846625766871E-2</v>
      </c>
      <c r="L76" s="108">
        <f>IF(ISNUMBER(J76), $B91 * K76, "")</f>
        <v>4601.2269938650306</v>
      </c>
      <c r="M76" s="109">
        <v>682</v>
      </c>
      <c r="N76" s="107">
        <f>IF(ISNUMBER(M76), (M76 - $B76) / $B76, "")</f>
        <v>4.6012269938650305E-2</v>
      </c>
      <c r="O76" s="108">
        <f>IF(ISNUMBER(M76), $B91 * N76, "")</f>
        <v>6901.8404907975455</v>
      </c>
      <c r="Q76" s="192"/>
      <c r="R76" s="192"/>
      <c r="S76" s="192"/>
    </row>
    <row r="77" spans="1:19" ht="17.25" thickBot="1">
      <c r="A77" s="125" t="s">
        <v>172</v>
      </c>
      <c r="B77" s="126">
        <v>424</v>
      </c>
      <c r="C77" s="77">
        <v>-1.6241299300000001E-2</v>
      </c>
      <c r="D77" s="15">
        <v>423</v>
      </c>
      <c r="E77" s="32">
        <f t="shared" ref="E77:E80" si="34">IF(ISNUMBER(D77), (D77 - $B77) / $B77, "")</f>
        <v>-2.3584905660377358E-3</v>
      </c>
      <c r="F77" s="18">
        <f>IF(ISNUMBER(D77), $B91 * E77, "")</f>
        <v>-353.77358490566036</v>
      </c>
      <c r="G77" s="31">
        <v>432</v>
      </c>
      <c r="H77" s="32">
        <f t="shared" ref="H77:H80" si="35">IF(ISNUMBER(G77), (G77 - $B77) / $B77, "")</f>
        <v>1.8867924528301886E-2</v>
      </c>
      <c r="I77" s="101">
        <f>IF(ISNUMBER(G77), $B91 * H77, "")</f>
        <v>2830.1886792452829</v>
      </c>
      <c r="J77" s="15">
        <v>431</v>
      </c>
      <c r="K77" s="32">
        <f t="shared" ref="K77:K80" si="36">IF(ISNUMBER(J77), (J77 - $B77) / $B77, "")</f>
        <v>1.6509433962264151E-2</v>
      </c>
      <c r="L77" s="18">
        <f>IF(ISNUMBER(J77), $B91 * K77, "")</f>
        <v>2476.4150943396226</v>
      </c>
      <c r="M77" s="31">
        <v>430</v>
      </c>
      <c r="N77" s="32">
        <f t="shared" ref="N77:N80" si="37">IF(ISNUMBER(M77), (M77 - $B77) / $B77, "")</f>
        <v>1.4150943396226415E-2</v>
      </c>
      <c r="O77" s="18">
        <f>IF(ISNUMBER(M77), $B91 * N77, "")</f>
        <v>2122.6415094339623</v>
      </c>
      <c r="Q77" s="192"/>
      <c r="R77" s="192"/>
      <c r="S77" s="192"/>
    </row>
    <row r="78" spans="1:19" ht="17.25" thickBot="1">
      <c r="A78" s="125" t="s">
        <v>230</v>
      </c>
      <c r="B78" s="126">
        <v>814</v>
      </c>
      <c r="C78" s="77">
        <v>-1.92771084E-2</v>
      </c>
      <c r="D78" s="15">
        <v>809</v>
      </c>
      <c r="E78" s="32">
        <f t="shared" si="34"/>
        <v>-6.1425061425061421E-3</v>
      </c>
      <c r="F78" s="18">
        <f>IF(ISNUMBER(D78), $B91 * E78, "")</f>
        <v>-921.37592137592128</v>
      </c>
      <c r="G78" s="31">
        <v>823</v>
      </c>
      <c r="H78" s="32">
        <f t="shared" si="35"/>
        <v>1.1056511056511056E-2</v>
      </c>
      <c r="I78" s="101">
        <f>IF(ISNUMBER(G78), $B91 * H78, "")</f>
        <v>1658.4766584766585</v>
      </c>
      <c r="J78" s="15">
        <v>816</v>
      </c>
      <c r="K78" s="32">
        <f t="shared" si="36"/>
        <v>2.4570024570024569E-3</v>
      </c>
      <c r="L78" s="18">
        <f>IF(ISNUMBER(J78), $B91 * K78, "")</f>
        <v>368.55036855036855</v>
      </c>
      <c r="M78" s="31">
        <v>814</v>
      </c>
      <c r="N78" s="32">
        <f t="shared" si="37"/>
        <v>0</v>
      </c>
      <c r="O78" s="18">
        <f>IF(ISNUMBER(M78), $B91 * N78, "")</f>
        <v>0</v>
      </c>
      <c r="Q78" s="192"/>
      <c r="R78" s="192"/>
      <c r="S78" s="192"/>
    </row>
    <row r="79" spans="1:19" ht="17.25" thickBot="1">
      <c r="A79" s="125" t="s">
        <v>126</v>
      </c>
      <c r="B79" s="126">
        <v>131</v>
      </c>
      <c r="C79" s="77">
        <v>-2.2388059700000001E-2</v>
      </c>
      <c r="D79" s="15">
        <v>135</v>
      </c>
      <c r="E79" s="32">
        <f t="shared" si="34"/>
        <v>3.0534351145038167E-2</v>
      </c>
      <c r="F79" s="18">
        <f>IF(ISNUMBER(D79), $B91 * E79, "")</f>
        <v>4580.1526717557254</v>
      </c>
      <c r="G79" s="31">
        <v>138</v>
      </c>
      <c r="H79" s="32">
        <f t="shared" si="35"/>
        <v>5.3435114503816793E-2</v>
      </c>
      <c r="I79" s="101">
        <f>IF(ISNUMBER(G79), $B91 * H79, "")</f>
        <v>8015.2671755725187</v>
      </c>
      <c r="J79" s="15">
        <v>136</v>
      </c>
      <c r="K79" s="32">
        <f t="shared" si="36"/>
        <v>3.8167938931297711E-2</v>
      </c>
      <c r="L79" s="18">
        <f>IF(ISNUMBER(J79), $B91 * K79, "")</f>
        <v>5725.1908396946565</v>
      </c>
      <c r="M79" s="31">
        <v>134</v>
      </c>
      <c r="N79" s="32">
        <f t="shared" si="37"/>
        <v>2.2900763358778626E-2</v>
      </c>
      <c r="O79" s="18">
        <f>IF(ISNUMBER(M79), $B91 * N79, "")</f>
        <v>3435.1145038167938</v>
      </c>
      <c r="Q79" s="33"/>
      <c r="R79" s="33"/>
    </row>
    <row r="80" spans="1:19" ht="17.25" thickBot="1">
      <c r="A80" s="130" t="s">
        <v>54</v>
      </c>
      <c r="B80" s="131">
        <v>473</v>
      </c>
      <c r="C80" s="79">
        <v>-2.4742268000000001E-2</v>
      </c>
      <c r="D80" s="24">
        <v>495</v>
      </c>
      <c r="E80" s="25">
        <f t="shared" si="34"/>
        <v>4.6511627906976744E-2</v>
      </c>
      <c r="F80" s="104">
        <f>IF(ISNUMBER(D80), $B91 * E80, "")</f>
        <v>6976.7441860465115</v>
      </c>
      <c r="G80" s="102">
        <v>505</v>
      </c>
      <c r="H80" s="25">
        <f t="shared" si="35"/>
        <v>6.765327695560254E-2</v>
      </c>
      <c r="I80" s="103">
        <f>IF(ISNUMBER(G80), $B91 * H80, "")</f>
        <v>10147.99154334038</v>
      </c>
      <c r="J80" s="24">
        <v>488</v>
      </c>
      <c r="K80" s="25">
        <f t="shared" si="36"/>
        <v>3.1712473572938688E-2</v>
      </c>
      <c r="L80" s="104">
        <f>IF(ISNUMBER(J80), $B91 * K80, "")</f>
        <v>4756.8710359408033</v>
      </c>
      <c r="M80" s="102">
        <v>477</v>
      </c>
      <c r="N80" s="25">
        <f t="shared" si="37"/>
        <v>8.4566596194503175E-3</v>
      </c>
      <c r="O80" s="104">
        <f>IF(ISNUMBER(M80), $B91 * N80, "")</f>
        <v>1268.4989429175475</v>
      </c>
      <c r="Q80" s="193"/>
      <c r="R80" s="194"/>
      <c r="S80" s="195"/>
    </row>
    <row r="81" spans="1:19">
      <c r="A81" s="123" t="s">
        <v>130</v>
      </c>
      <c r="B81" s="124">
        <v>118</v>
      </c>
      <c r="C81" s="76">
        <v>-2.4793388400000001E-2</v>
      </c>
      <c r="D81" s="13">
        <v>121</v>
      </c>
      <c r="E81" s="14">
        <f>IF(ISNUMBER(D81), (D81 - $B81) / $B81, "")</f>
        <v>2.5423728813559324E-2</v>
      </c>
      <c r="F81" s="16">
        <f>IF(ISNUMBER(D81), $B91 * E81, "")</f>
        <v>3813.5593220338988</v>
      </c>
      <c r="G81" s="29">
        <v>126</v>
      </c>
      <c r="H81" s="14">
        <f>IF(ISNUMBER(G81), (G81 - $B81) / $B81, "")</f>
        <v>6.7796610169491525E-2</v>
      </c>
      <c r="I81" s="100">
        <f>IF(ISNUMBER(G81), $B91 * H81, "")</f>
        <v>10169.491525423729</v>
      </c>
      <c r="J81" s="13">
        <v>123</v>
      </c>
      <c r="K81" s="14">
        <f>IF(ISNUMBER(J81), (J81 - $B81) / $B81, "")</f>
        <v>4.2372881355932202E-2</v>
      </c>
      <c r="L81" s="16">
        <f>IF(ISNUMBER(J81), $B91 * K81, "")</f>
        <v>6355.9322033898306</v>
      </c>
      <c r="M81" s="29">
        <v>123</v>
      </c>
      <c r="N81" s="14">
        <f>IF(ISNUMBER(M81), (M81 - $B81) / $B81, "")</f>
        <v>4.2372881355932202E-2</v>
      </c>
      <c r="O81" s="16">
        <f>IF(ISNUMBER(M81), $B91 * N81, "")</f>
        <v>6355.9322033898306</v>
      </c>
      <c r="Q81" s="196"/>
      <c r="R81" s="197"/>
      <c r="S81" s="198"/>
    </row>
    <row r="82" spans="1:19" ht="17.25" thickBot="1">
      <c r="A82" s="125" t="s">
        <v>150</v>
      </c>
      <c r="B82" s="126">
        <v>112</v>
      </c>
      <c r="C82" s="77">
        <v>-2.6086956500000001E-2</v>
      </c>
      <c r="D82" s="15">
        <v>115</v>
      </c>
      <c r="E82" s="32">
        <f t="shared" ref="E82:E85" si="38">IF(ISNUMBER(D82), (D82 - $B82) / $B82, "")</f>
        <v>2.6785714285714284E-2</v>
      </c>
      <c r="F82" s="18">
        <f>IF(ISNUMBER(D82), $B91 * E82, "")</f>
        <v>4017.8571428571427</v>
      </c>
      <c r="G82" s="31">
        <v>116</v>
      </c>
      <c r="H82" s="32">
        <f t="shared" ref="H82:H85" si="39">IF(ISNUMBER(G82), (G82 - $B82) / $B82, "")</f>
        <v>3.5714285714285712E-2</v>
      </c>
      <c r="I82" s="101">
        <f>IF(ISNUMBER(G82), $B91 * H82, "")</f>
        <v>5357.1428571428569</v>
      </c>
      <c r="J82" s="15">
        <v>115</v>
      </c>
      <c r="K82" s="32">
        <f t="shared" ref="K82:K85" si="40">IF(ISNUMBER(J82), (J82 - $B82) / $B82, "")</f>
        <v>2.6785714285714284E-2</v>
      </c>
      <c r="L82" s="18">
        <f>IF(ISNUMBER(J82), $B91 * K82, "")</f>
        <v>4017.8571428571427</v>
      </c>
      <c r="M82" s="31">
        <v>115</v>
      </c>
      <c r="N82" s="32">
        <f t="shared" ref="N82:N85" si="41">IF(ISNUMBER(M82), (M82 - $B82) / $B82, "")</f>
        <v>2.6785714285714284E-2</v>
      </c>
      <c r="O82" s="18">
        <f>IF(ISNUMBER(M82), $B91 * N82, "")</f>
        <v>4017.8571428571427</v>
      </c>
      <c r="Q82" s="199"/>
      <c r="R82" s="200"/>
      <c r="S82" s="201"/>
    </row>
    <row r="83" spans="1:19" ht="17.25" thickBot="1">
      <c r="A83" s="125" t="s">
        <v>86</v>
      </c>
      <c r="B83" s="126">
        <v>339</v>
      </c>
      <c r="C83" s="77">
        <v>-2.86532951E-2</v>
      </c>
      <c r="D83" s="15">
        <v>344</v>
      </c>
      <c r="E83" s="32">
        <f t="shared" si="38"/>
        <v>1.4749262536873156E-2</v>
      </c>
      <c r="F83" s="18">
        <f>IF(ISNUMBER(D83), $B91 * E83, "")</f>
        <v>2212.3893805309735</v>
      </c>
      <c r="G83" s="31">
        <v>351</v>
      </c>
      <c r="H83" s="32">
        <f t="shared" si="39"/>
        <v>3.5398230088495575E-2</v>
      </c>
      <c r="I83" s="101">
        <f>IF(ISNUMBER(G83), $B91 * H83, "")</f>
        <v>5309.7345132743358</v>
      </c>
      <c r="J83" s="15">
        <v>354</v>
      </c>
      <c r="K83" s="32">
        <f t="shared" si="40"/>
        <v>4.4247787610619468E-2</v>
      </c>
      <c r="L83" s="18">
        <f>IF(ISNUMBER(J83), $B91 * K83, "")</f>
        <v>6637.1681415929206</v>
      </c>
      <c r="M83" s="31">
        <v>350</v>
      </c>
      <c r="N83" s="32">
        <f t="shared" si="41"/>
        <v>3.2448377581120944E-2</v>
      </c>
      <c r="O83" s="18">
        <f>IF(ISNUMBER(M83), $B91 * N83, "")</f>
        <v>4867.2566371681414</v>
      </c>
      <c r="Q83" s="192"/>
      <c r="R83" s="192"/>
      <c r="S83" s="192"/>
    </row>
    <row r="84" spans="1:19" ht="17.25" thickBot="1">
      <c r="A84" s="125" t="s">
        <v>122</v>
      </c>
      <c r="B84" s="126">
        <v>610</v>
      </c>
      <c r="C84" s="77">
        <v>-3.0206677299999998E-2</v>
      </c>
      <c r="D84" s="15">
        <v>606</v>
      </c>
      <c r="E84" s="32">
        <f t="shared" si="38"/>
        <v>-6.5573770491803279E-3</v>
      </c>
      <c r="F84" s="18">
        <f>IF(ISNUMBER(D84), $B91 * E84, "")</f>
        <v>-983.60655737704917</v>
      </c>
      <c r="G84" s="31">
        <v>614</v>
      </c>
      <c r="H84" s="32">
        <f t="shared" si="39"/>
        <v>6.5573770491803279E-3</v>
      </c>
      <c r="I84" s="101">
        <f>IF(ISNUMBER(G84), $B91 * H84, "")</f>
        <v>983.60655737704917</v>
      </c>
      <c r="J84" s="15">
        <v>606</v>
      </c>
      <c r="K84" s="32">
        <f t="shared" si="40"/>
        <v>-6.5573770491803279E-3</v>
      </c>
      <c r="L84" s="18">
        <f>IF(ISNUMBER(J84), $B91 * K84, "")</f>
        <v>-983.60655737704917</v>
      </c>
      <c r="M84" s="31">
        <v>607</v>
      </c>
      <c r="N84" s="32">
        <f t="shared" si="41"/>
        <v>-4.9180327868852463E-3</v>
      </c>
      <c r="O84" s="18">
        <f>IF(ISNUMBER(M84), $B91 * N84, "")</f>
        <v>-737.70491803278696</v>
      </c>
      <c r="Q84" s="202"/>
      <c r="R84" s="202"/>
      <c r="S84" s="202"/>
    </row>
    <row r="85" spans="1:19" ht="17.25" thickBot="1">
      <c r="A85" s="127" t="s">
        <v>198</v>
      </c>
      <c r="B85" s="128">
        <v>184</v>
      </c>
      <c r="C85" s="78">
        <v>-3.1578947400000001E-2</v>
      </c>
      <c r="D85" s="20">
        <v>187</v>
      </c>
      <c r="E85" s="21">
        <f t="shared" si="38"/>
        <v>1.6304347826086956E-2</v>
      </c>
      <c r="F85" s="22">
        <f>IF(ISNUMBER(D85), $B91 * E85, "")</f>
        <v>2445.6521739130435</v>
      </c>
      <c r="G85" s="30">
        <v>194</v>
      </c>
      <c r="H85" s="21">
        <f t="shared" si="39"/>
        <v>5.434782608695652E-2</v>
      </c>
      <c r="I85" s="105">
        <f>IF(ISNUMBER(G85), $B91 * H85, "")</f>
        <v>8152.173913043478</v>
      </c>
      <c r="J85" s="20">
        <v>210</v>
      </c>
      <c r="K85" s="21">
        <f t="shared" si="40"/>
        <v>0.14130434782608695</v>
      </c>
      <c r="L85" s="22">
        <f>IF(ISNUMBER(J85), $B91 * K85, "")</f>
        <v>21195.65217391304</v>
      </c>
      <c r="M85" s="30">
        <v>193</v>
      </c>
      <c r="N85" s="21">
        <f t="shared" si="41"/>
        <v>4.8913043478260872E-2</v>
      </c>
      <c r="O85" s="22">
        <f>IF(ISNUMBER(M85), $B91 * N85, "")</f>
        <v>7336.9565217391309</v>
      </c>
      <c r="Q85" s="202"/>
      <c r="R85" s="202"/>
      <c r="S85" s="202"/>
    </row>
    <row r="86" spans="1:19" ht="17.25" thickBot="1">
      <c r="A86" s="125" t="s">
        <v>240</v>
      </c>
      <c r="B86" s="129">
        <v>617</v>
      </c>
      <c r="C86" s="80">
        <v>-3.2915360499999997E-2</v>
      </c>
      <c r="D86" s="106">
        <v>627</v>
      </c>
      <c r="E86" s="107">
        <f>IF(ISNUMBER(D86), (D86 - $B86) / $B86, "")</f>
        <v>1.6207455429497569E-2</v>
      </c>
      <c r="F86" s="108">
        <f>IF(ISNUMBER(D86), $B91 * E86, "")</f>
        <v>2431.1183144246352</v>
      </c>
      <c r="G86" s="109">
        <v>637</v>
      </c>
      <c r="H86" s="107">
        <f>IF(ISNUMBER(G86), (G86 - $B86) / $B86, "")</f>
        <v>3.2414910858995137E-2</v>
      </c>
      <c r="I86" s="110">
        <f>IF(ISNUMBER(G86), $B91 * H86, "")</f>
        <v>4862.2366288492703</v>
      </c>
      <c r="J86" s="106">
        <v>635</v>
      </c>
      <c r="K86" s="107">
        <f>IF(ISNUMBER(J86), (J86 - $B86) / $B86, "")</f>
        <v>2.9173419773095625E-2</v>
      </c>
      <c r="L86" s="108">
        <f>IF(ISNUMBER(J86), $B91 * K86, "")</f>
        <v>4376.0129659643435</v>
      </c>
      <c r="M86" s="109">
        <v>640</v>
      </c>
      <c r="N86" s="107">
        <f>IF(ISNUMBER(M86), (M86 - $B86) / $B86, "")</f>
        <v>3.7277147487844407E-2</v>
      </c>
      <c r="O86" s="108">
        <f>IF(ISNUMBER(M86), $B91 * N86, "")</f>
        <v>5591.5721231766611</v>
      </c>
      <c r="Q86" s="192"/>
      <c r="R86" s="192"/>
      <c r="S86" s="192"/>
    </row>
    <row r="87" spans="1:19" ht="17.25" thickBot="1">
      <c r="A87" s="125" t="s">
        <v>116</v>
      </c>
      <c r="B87" s="126">
        <v>213</v>
      </c>
      <c r="C87" s="77">
        <v>-3.6199095000000001E-2</v>
      </c>
      <c r="D87" s="15">
        <v>218</v>
      </c>
      <c r="E87" s="32">
        <f t="shared" ref="E87:E90" si="42">IF(ISNUMBER(D87), (D87 - $B87) / $B87, "")</f>
        <v>2.3474178403755867E-2</v>
      </c>
      <c r="F87" s="18">
        <f>IF(ISNUMBER(D87), $B91 * E87, "")</f>
        <v>3521.1267605633802</v>
      </c>
      <c r="G87" s="31">
        <v>220</v>
      </c>
      <c r="H87" s="32">
        <f t="shared" ref="H87:H90" si="43">IF(ISNUMBER(G87), (G87 - $B87) / $B87, "")</f>
        <v>3.2863849765258218E-2</v>
      </c>
      <c r="I87" s="101">
        <f>IF(ISNUMBER(G87), $B91 * H87, "")</f>
        <v>4929.5774647887329</v>
      </c>
      <c r="J87" s="15">
        <v>218</v>
      </c>
      <c r="K87" s="32">
        <f t="shared" ref="K87:K90" si="44">IF(ISNUMBER(J87), (J87 - $B87) / $B87, "")</f>
        <v>2.3474178403755867E-2</v>
      </c>
      <c r="L87" s="18">
        <f>IF(ISNUMBER(J87), $B91 * K87, "")</f>
        <v>3521.1267605633802</v>
      </c>
      <c r="M87" s="31">
        <v>217</v>
      </c>
      <c r="N87" s="32">
        <f t="shared" ref="N87:N90" si="45">IF(ISNUMBER(M87), (M87 - $B87) / $B87, "")</f>
        <v>1.8779342723004695E-2</v>
      </c>
      <c r="O87" s="18">
        <f>IF(ISNUMBER(M87), $B91 * N87, "")</f>
        <v>2816.9014084507044</v>
      </c>
      <c r="Q87" s="192"/>
      <c r="R87" s="192"/>
      <c r="S87" s="192"/>
    </row>
    <row r="88" spans="1:19" ht="17.25" thickBot="1">
      <c r="A88" s="125" t="s">
        <v>128</v>
      </c>
      <c r="B88" s="126">
        <v>132</v>
      </c>
      <c r="C88" s="77">
        <v>-3.6496350400000002E-2</v>
      </c>
      <c r="D88" s="15">
        <v>135</v>
      </c>
      <c r="E88" s="32">
        <f t="shared" si="42"/>
        <v>2.2727272727272728E-2</v>
      </c>
      <c r="F88" s="18">
        <f>IF(ISNUMBER(D88), $B91 * E88, "")</f>
        <v>3409.090909090909</v>
      </c>
      <c r="G88" s="31">
        <v>137</v>
      </c>
      <c r="H88" s="32">
        <f t="shared" si="43"/>
        <v>3.787878787878788E-2</v>
      </c>
      <c r="I88" s="101">
        <f>IF(ISNUMBER(G88), $B91 * H88, "")</f>
        <v>5681.818181818182</v>
      </c>
      <c r="J88" s="15">
        <v>142</v>
      </c>
      <c r="K88" s="32">
        <f t="shared" si="44"/>
        <v>7.575757575757576E-2</v>
      </c>
      <c r="L88" s="18">
        <f>IF(ISNUMBER(J88), $B91 * K88, "")</f>
        <v>11363.636363636364</v>
      </c>
      <c r="M88" s="31">
        <v>140</v>
      </c>
      <c r="N88" s="32">
        <f t="shared" si="45"/>
        <v>6.0606060606060608E-2</v>
      </c>
      <c r="O88" s="18">
        <f>IF(ISNUMBER(M88), $B91 * N88, "")</f>
        <v>9090.9090909090919</v>
      </c>
      <c r="Q88" s="192"/>
      <c r="R88" s="192"/>
      <c r="S88" s="192"/>
    </row>
    <row r="89" spans="1:19">
      <c r="A89" s="125" t="s">
        <v>142</v>
      </c>
      <c r="B89" s="126">
        <v>101</v>
      </c>
      <c r="C89" s="77">
        <v>-3.8095238099999998E-2</v>
      </c>
      <c r="D89" s="15">
        <v>100</v>
      </c>
      <c r="E89" s="32">
        <f t="shared" si="42"/>
        <v>-9.9009900990099011E-3</v>
      </c>
      <c r="F89" s="18">
        <f>IF(ISNUMBER(D89), $B91 * E89, "")</f>
        <v>-1485.1485148514851</v>
      </c>
      <c r="G89" s="31">
        <v>103</v>
      </c>
      <c r="H89" s="32">
        <f t="shared" si="43"/>
        <v>1.9801980198019802E-2</v>
      </c>
      <c r="I89" s="101">
        <f>IF(ISNUMBER(G89), $B91 * H89, "")</f>
        <v>2970.2970297029701</v>
      </c>
      <c r="J89" s="15">
        <v>105</v>
      </c>
      <c r="K89" s="32">
        <f t="shared" si="44"/>
        <v>3.9603960396039604E-2</v>
      </c>
      <c r="L89" s="18">
        <f>IF(ISNUMBER(J89), $B91 * K89, "")</f>
        <v>5940.5940594059402</v>
      </c>
      <c r="M89" s="31">
        <v>105</v>
      </c>
      <c r="N89" s="32">
        <f t="shared" si="45"/>
        <v>3.9603960396039604E-2</v>
      </c>
      <c r="O89" s="18">
        <f>IF(ISNUMBER(M89), $B91 * N89, "")</f>
        <v>5940.5940594059402</v>
      </c>
      <c r="Q89" s="181"/>
      <c r="R89" s="182"/>
      <c r="S89" s="183"/>
    </row>
    <row r="90" spans="1:19" ht="17.25" thickBot="1">
      <c r="A90" s="130" t="s">
        <v>80</v>
      </c>
      <c r="B90" s="131">
        <v>850</v>
      </c>
      <c r="C90" s="79">
        <v>-3.8461538500000003E-2</v>
      </c>
      <c r="D90" s="24">
        <v>855</v>
      </c>
      <c r="E90" s="25">
        <f t="shared" si="42"/>
        <v>5.8823529411764705E-3</v>
      </c>
      <c r="F90" s="104">
        <f>IF(ISNUMBER(D90), $B91 * E90, "")</f>
        <v>882.35294117647061</v>
      </c>
      <c r="G90" s="102">
        <v>872</v>
      </c>
      <c r="H90" s="25">
        <f t="shared" si="43"/>
        <v>2.5882352941176471E-2</v>
      </c>
      <c r="I90" s="103">
        <f>IF(ISNUMBER(G90), $B91 * H90, "")</f>
        <v>3882.3529411764707</v>
      </c>
      <c r="J90" s="24">
        <v>864</v>
      </c>
      <c r="K90" s="25">
        <f t="shared" si="44"/>
        <v>1.6470588235294119E-2</v>
      </c>
      <c r="L90" s="104">
        <f>IF(ISNUMBER(J90), $B91 * K90, "")</f>
        <v>2470.588235294118</v>
      </c>
      <c r="M90" s="102">
        <v>865</v>
      </c>
      <c r="N90" s="25">
        <f t="shared" si="45"/>
        <v>1.7647058823529412E-2</v>
      </c>
      <c r="O90" s="104">
        <f>IF(ISNUMBER(M90), $B91 * N90, "")</f>
        <v>2647.0588235294117</v>
      </c>
      <c r="Q90" s="184"/>
      <c r="R90" s="185"/>
      <c r="S90" s="186"/>
    </row>
    <row r="91" spans="1:19" ht="17.25" thickBot="1">
      <c r="A91" s="132" t="s">
        <v>268</v>
      </c>
      <c r="B91" s="245">
        <f>$B$37</f>
        <v>150000</v>
      </c>
      <c r="C91" s="246"/>
      <c r="D91" s="26" t="s">
        <v>269</v>
      </c>
      <c r="E91" s="27">
        <f>IF(COUNT(E71:E90), SUM(E71:E90) / COUNT(E71:E90), 0)</f>
        <v>1.5159988875392924E-2</v>
      </c>
      <c r="F91" s="28">
        <f>SUM(F71:F90)</f>
        <v>45479.966626178764</v>
      </c>
      <c r="G91" s="26" t="s">
        <v>269</v>
      </c>
      <c r="H91" s="27">
        <f>IF(COUNT(H71:H90), SUM(H71:H90) / COUNT(H71:H90), 0)</f>
        <v>3.4541945073570765E-2</v>
      </c>
      <c r="I91" s="28">
        <f>SUM(I71:I90)</f>
        <v>103625.83522071227</v>
      </c>
      <c r="J91" s="26" t="s">
        <v>269</v>
      </c>
      <c r="K91" s="27">
        <f>IF(COUNT(K71:K90), SUM(K71:K90) / COUNT(K71:K90), 0)</f>
        <v>3.2973272321521363E-2</v>
      </c>
      <c r="L91" s="28">
        <f>SUM(L71:L90)</f>
        <v>98919.816964564074</v>
      </c>
      <c r="M91" s="26" t="s">
        <v>269</v>
      </c>
      <c r="N91" s="27">
        <f>IF(COUNT(N71:N90), SUM(N71:N90) / COUNT(N71:N90), 0)</f>
        <v>2.812085962564324E-2</v>
      </c>
      <c r="O91" s="28">
        <f>SUM(O71:O90)</f>
        <v>84362.578876929692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73" t="s">
        <v>265</v>
      </c>
      <c r="B95" s="203" t="s">
        <v>49</v>
      </c>
      <c r="C95" s="205"/>
      <c r="D95" s="203" t="s">
        <v>58</v>
      </c>
      <c r="E95" s="204"/>
      <c r="F95" s="205"/>
      <c r="G95" s="206">
        <f>_xlfn.IFNA(VLOOKUP(B95, 현재가테이블!$B$2:$D$200, 2, FALSE), "-")</f>
        <v>62630000</v>
      </c>
      <c r="H95" s="207"/>
      <c r="I95" s="208"/>
      <c r="J95" s="203" t="s">
        <v>59</v>
      </c>
      <c r="K95" s="204"/>
      <c r="L95" s="205"/>
      <c r="M95" s="209">
        <f>_xlfn.IFNA(VLOOKUP(B95, 현재가테이블!$B$2:$D$200, 3, FALSE), "-")</f>
        <v>1.5632601400000001E-2</v>
      </c>
      <c r="N95" s="210"/>
      <c r="O95" s="211"/>
      <c r="Q95" s="202"/>
      <c r="R95" s="202"/>
      <c r="S95" s="202"/>
    </row>
    <row r="96" spans="1:19" ht="17.25" thickBot="1">
      <c r="A96" s="247" t="s">
        <v>55</v>
      </c>
      <c r="B96" s="243" t="str">
        <f>TEXT($G$1, "[$-ko-KR]yyyy-mm-dd(ddd) ") &amp; "오전 00:00"</f>
        <v>2021-10-05(화) 오전 00:00</v>
      </c>
      <c r="C96" s="244"/>
      <c r="D96" s="216" t="str">
        <f>TEXT($G$1, "[$-ko-KR]yyyy-mm-dd(ddd) ") &amp; "오후 14:00"</f>
        <v>2021-10-05(화) 오후 14:00</v>
      </c>
      <c r="E96" s="217"/>
      <c r="F96" s="218"/>
      <c r="G96" s="216" t="str">
        <f>TEXT($G$1, "[$-ko-KR]yyyy-mm-dd(ddd) ") &amp; "오후 19:00"</f>
        <v>2021-10-05(화) 오후 19:00</v>
      </c>
      <c r="H96" s="217"/>
      <c r="I96" s="218"/>
      <c r="J96" s="216" t="str">
        <f>TEXT($G$1, "[$-ko-KR]yyyy-mm-dd(ddd) ") &amp; "오후 21:00"</f>
        <v>2021-10-05(화) 오후 21:00</v>
      </c>
      <c r="K96" s="217"/>
      <c r="L96" s="218"/>
      <c r="M96" s="216" t="str">
        <f>TEXT($G$1+1, "[$-ko-KR]yyyy-mm-dd(ddd) ") &amp; "오전 00:00"</f>
        <v>2021-10-06(수) 오전 00:00</v>
      </c>
      <c r="N96" s="217"/>
      <c r="O96" s="218"/>
      <c r="Q96" s="202"/>
      <c r="R96" s="202"/>
      <c r="S96" s="202"/>
    </row>
    <row r="97" spans="1:19" ht="17.25" thickBot="1">
      <c r="A97" s="24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4" t="s">
        <v>58</v>
      </c>
      <c r="H97" s="175" t="s">
        <v>266</v>
      </c>
      <c r="I97" s="17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192"/>
      <c r="R97" s="192"/>
      <c r="S97" s="192"/>
    </row>
    <row r="98" spans="1:19" ht="17.25" thickBot="1">
      <c r="A98" s="123" t="s">
        <v>204</v>
      </c>
      <c r="B98" s="124">
        <v>1125</v>
      </c>
      <c r="C98" s="76">
        <v>0.10837438420000001</v>
      </c>
      <c r="D98" s="13">
        <v>1060</v>
      </c>
      <c r="E98" s="14">
        <f>IF(ISNUMBER(D98), (D98 - $B98) / $B98, "")</f>
        <v>-5.7777777777777775E-2</v>
      </c>
      <c r="F98" s="16">
        <f>IF(ISNUMBER(D98), $B118 * E98, "")</f>
        <v>-8666.6666666666661</v>
      </c>
      <c r="G98" s="29">
        <v>1095</v>
      </c>
      <c r="H98" s="14">
        <f>IF(ISNUMBER(G98), (G98 - $B98) / $B98, "")</f>
        <v>-2.6666666666666668E-2</v>
      </c>
      <c r="I98" s="100">
        <f>IF(ISNUMBER(G98), $B118 * H98, "")</f>
        <v>-4000.0000000000005</v>
      </c>
      <c r="J98" s="13">
        <v>1035</v>
      </c>
      <c r="K98" s="14">
        <f>IF(ISNUMBER(J98), (J98 - $B98) / $B98, "")</f>
        <v>-0.08</v>
      </c>
      <c r="L98" s="16">
        <f>IF(ISNUMBER(J98), $B118 * K98, "")</f>
        <v>-12000</v>
      </c>
      <c r="M98" s="29">
        <v>1025</v>
      </c>
      <c r="N98" s="14">
        <f>IF(ISNUMBER(M98), (M98 - $B98) / $B98, "")</f>
        <v>-8.8888888888888892E-2</v>
      </c>
      <c r="O98" s="16">
        <f>IF(ISNUMBER(M98), $B118 * N98, "")</f>
        <v>-13333.333333333334</v>
      </c>
      <c r="Q98" s="202"/>
      <c r="R98" s="202"/>
      <c r="S98" s="202"/>
    </row>
    <row r="99" spans="1:19" ht="17.25" thickBot="1">
      <c r="A99" s="125" t="s">
        <v>222</v>
      </c>
      <c r="B99" s="126">
        <v>4660</v>
      </c>
      <c r="C99" s="77">
        <v>5.9090909099999998E-2</v>
      </c>
      <c r="D99" s="15">
        <v>4520</v>
      </c>
      <c r="E99" s="32">
        <f t="shared" ref="E99:E102" si="46">IF(ISNUMBER(D99), (D99 - $B99) / $B99, "")</f>
        <v>-3.0042918454935622E-2</v>
      </c>
      <c r="F99" s="18">
        <f>IF(ISNUMBER(D99), $B118 * E99, "")</f>
        <v>-4506.4377682403438</v>
      </c>
      <c r="G99" s="31">
        <v>4565</v>
      </c>
      <c r="H99" s="32">
        <f t="shared" ref="H99:H102" si="47">IF(ISNUMBER(G99), (G99 - $B99) / $B99, "")</f>
        <v>-2.03862660944206E-2</v>
      </c>
      <c r="I99" s="101">
        <f>IF(ISNUMBER(G99), $B118 * H99, "")</f>
        <v>-3057.9399141630902</v>
      </c>
      <c r="J99" s="15">
        <v>4785</v>
      </c>
      <c r="K99" s="32">
        <f t="shared" ref="K99:K102" si="48">IF(ISNUMBER(J99), (J99 - $B99) / $B99, "")</f>
        <v>2.6824034334763949E-2</v>
      </c>
      <c r="L99" s="18">
        <f>IF(ISNUMBER(J99), $B118 * K99, "")</f>
        <v>4023.6051502145924</v>
      </c>
      <c r="M99" s="31">
        <v>4500</v>
      </c>
      <c r="N99" s="32">
        <f t="shared" ref="N99:N102" si="49">IF(ISNUMBER(M99), (M99 - $B99) / $B99, "")</f>
        <v>-3.4334763948497854E-2</v>
      </c>
      <c r="O99" s="18">
        <f>IF(ISNUMBER(M99), $B118 * N99, "")</f>
        <v>-5150.2145922746777</v>
      </c>
      <c r="Q99" s="202"/>
      <c r="R99" s="202"/>
      <c r="S99" s="202"/>
    </row>
    <row r="100" spans="1:19" ht="17.25" thickBot="1">
      <c r="A100" s="125" t="s">
        <v>152</v>
      </c>
      <c r="B100" s="126">
        <v>174300</v>
      </c>
      <c r="C100" s="77">
        <v>4.2152466399999998E-2</v>
      </c>
      <c r="D100" s="15">
        <v>166150</v>
      </c>
      <c r="E100" s="32">
        <f t="shared" si="46"/>
        <v>-4.675846242111302E-2</v>
      </c>
      <c r="F100" s="18">
        <f>IF(ISNUMBER(D100), $B118 * E100, "")</f>
        <v>-7013.7693631669526</v>
      </c>
      <c r="G100" s="31">
        <v>167350</v>
      </c>
      <c r="H100" s="32">
        <f t="shared" si="47"/>
        <v>-3.9873780837636257E-2</v>
      </c>
      <c r="I100" s="101">
        <f>IF(ISNUMBER(G100), $B118 * H100, "")</f>
        <v>-5981.0671256454389</v>
      </c>
      <c r="J100" s="15">
        <v>163250</v>
      </c>
      <c r="K100" s="32">
        <f t="shared" si="48"/>
        <v>-6.3396442914515197E-2</v>
      </c>
      <c r="L100" s="18">
        <f>IF(ISNUMBER(J100), $B118 * K100, "")</f>
        <v>-9509.4664371772797</v>
      </c>
      <c r="M100" s="31">
        <v>156700</v>
      </c>
      <c r="N100" s="32">
        <f t="shared" si="49"/>
        <v>-0.10097532989099255</v>
      </c>
      <c r="O100" s="18">
        <f>IF(ISNUMBER(M100), $B118 * N100, "")</f>
        <v>-15146.299483648882</v>
      </c>
      <c r="Q100" s="192"/>
      <c r="R100" s="192"/>
      <c r="S100" s="192"/>
    </row>
    <row r="101" spans="1:19" ht="17.25" thickBot="1">
      <c r="A101" s="125" t="s">
        <v>196</v>
      </c>
      <c r="B101" s="126">
        <v>24430</v>
      </c>
      <c r="C101" s="77">
        <v>4.1791044800000003E-2</v>
      </c>
      <c r="D101" s="15">
        <v>24750</v>
      </c>
      <c r="E101" s="32">
        <f t="shared" si="46"/>
        <v>1.3098649201801064E-2</v>
      </c>
      <c r="F101" s="18">
        <f>IF(ISNUMBER(D101), $B118 * E101, "")</f>
        <v>1964.7973802701597</v>
      </c>
      <c r="G101" s="31">
        <v>25740</v>
      </c>
      <c r="H101" s="32">
        <f t="shared" si="47"/>
        <v>5.3622595169873104E-2</v>
      </c>
      <c r="I101" s="101">
        <f>IF(ISNUMBER(G101), $B118 * H101, "")</f>
        <v>8043.3892754809658</v>
      </c>
      <c r="J101" s="15">
        <v>24510</v>
      </c>
      <c r="K101" s="32">
        <f t="shared" si="48"/>
        <v>3.274662300450266E-3</v>
      </c>
      <c r="L101" s="18">
        <f>IF(ISNUMBER(J101), $B118 * K101, "")</f>
        <v>491.19934506753992</v>
      </c>
      <c r="M101" s="31">
        <v>24200</v>
      </c>
      <c r="N101" s="32">
        <f t="shared" si="49"/>
        <v>-9.4146541137945152E-3</v>
      </c>
      <c r="O101" s="18">
        <f>IF(ISNUMBER(M101), $B118 * N101, "")</f>
        <v>-1412.1981170691772</v>
      </c>
      <c r="Q101" s="192"/>
      <c r="R101" s="192"/>
      <c r="S101" s="192"/>
    </row>
    <row r="102" spans="1:19" ht="17.25" thickBot="1">
      <c r="A102" s="127" t="s">
        <v>72</v>
      </c>
      <c r="B102" s="128">
        <v>24.4</v>
      </c>
      <c r="C102" s="78">
        <v>2.9535865000000001E-2</v>
      </c>
      <c r="D102" s="20">
        <v>24.5</v>
      </c>
      <c r="E102" s="21">
        <f t="shared" si="46"/>
        <v>4.0983606557377632E-3</v>
      </c>
      <c r="F102" s="22">
        <f>IF(ISNUMBER(D102), $B118 * E102, "")</f>
        <v>614.75409836066444</v>
      </c>
      <c r="G102" s="30">
        <v>25.4</v>
      </c>
      <c r="H102" s="21">
        <f t="shared" si="47"/>
        <v>4.0983606557377053E-2</v>
      </c>
      <c r="I102" s="105">
        <f>IF(ISNUMBER(G102), $B118 * H102, "")</f>
        <v>6147.5409836065583</v>
      </c>
      <c r="J102" s="20">
        <v>26.6</v>
      </c>
      <c r="K102" s="21">
        <f t="shared" si="48"/>
        <v>9.0163934426229636E-2</v>
      </c>
      <c r="L102" s="22">
        <f>IF(ISNUMBER(J102), $B118 * K102, "")</f>
        <v>13524.590163934445</v>
      </c>
      <c r="M102" s="30">
        <v>25.5</v>
      </c>
      <c r="N102" s="21">
        <f t="shared" si="49"/>
        <v>4.5081967213114818E-2</v>
      </c>
      <c r="O102" s="22">
        <f>IF(ISNUMBER(M102), $B118 * N102, "")</f>
        <v>6762.2950819672224</v>
      </c>
      <c r="Q102" s="192"/>
      <c r="R102" s="192"/>
      <c r="S102" s="192"/>
    </row>
    <row r="103" spans="1:19" ht="17.25" thickBot="1">
      <c r="A103" s="125" t="s">
        <v>138</v>
      </c>
      <c r="B103" s="129">
        <v>20580</v>
      </c>
      <c r="C103" s="80">
        <v>2.0327218599999999E-2</v>
      </c>
      <c r="D103" s="106">
        <v>19790</v>
      </c>
      <c r="E103" s="107">
        <f>IF(ISNUMBER(D103), (D103 - $B103) / $B103, "")</f>
        <v>-3.8386783284742466E-2</v>
      </c>
      <c r="F103" s="108">
        <f>IF(ISNUMBER(D103), $B118 * E103, "")</f>
        <v>-5758.0174927113703</v>
      </c>
      <c r="G103" s="109">
        <v>19960</v>
      </c>
      <c r="H103" s="107">
        <f>IF(ISNUMBER(G103), (G103 - $B103) / $B103, "")</f>
        <v>-3.0126336248785229E-2</v>
      </c>
      <c r="I103" s="110">
        <f>IF(ISNUMBER(G103), $B118 * H103, "")</f>
        <v>-4518.9504373177842</v>
      </c>
      <c r="J103" s="106">
        <v>19090</v>
      </c>
      <c r="K103" s="107">
        <f>IF(ISNUMBER(J103), (J103 - $B103) / $B103, "")</f>
        <v>-7.240038872691934E-2</v>
      </c>
      <c r="L103" s="108">
        <f>IF(ISNUMBER(J103), $B118 * K103, "")</f>
        <v>-10860.0583090379</v>
      </c>
      <c r="M103" s="109">
        <v>19020</v>
      </c>
      <c r="N103" s="107">
        <f>IF(ISNUMBER(M103), (M103 - $B103) / $B103, "")</f>
        <v>-7.5801749271137031E-2</v>
      </c>
      <c r="O103" s="108">
        <f>IF(ISNUMBER(M103), $B118 * N103, "")</f>
        <v>-11370.262390670554</v>
      </c>
      <c r="Q103" s="192"/>
      <c r="R103" s="192"/>
      <c r="S103" s="192"/>
    </row>
    <row r="104" spans="1:19" ht="17.25" thickBot="1">
      <c r="A104" s="125" t="s">
        <v>166</v>
      </c>
      <c r="B104" s="126">
        <v>1665</v>
      </c>
      <c r="C104" s="77">
        <v>1.83486239E-2</v>
      </c>
      <c r="D104" s="15">
        <v>1675</v>
      </c>
      <c r="E104" s="32">
        <f t="shared" ref="E104:E107" si="50">IF(ISNUMBER(D104), (D104 - $B104) / $B104, "")</f>
        <v>6.006006006006006E-3</v>
      </c>
      <c r="F104" s="18">
        <f>IF(ISNUMBER(D104), $B118 * E104, "")</f>
        <v>900.90090090090087</v>
      </c>
      <c r="G104" s="31">
        <v>1750</v>
      </c>
      <c r="H104" s="32">
        <f t="shared" ref="H104:H107" si="51">IF(ISNUMBER(G104), (G104 - $B104) / $B104, "")</f>
        <v>5.1051051051051052E-2</v>
      </c>
      <c r="I104" s="101">
        <f>IF(ISNUMBER(G104), $B118 * H104, "")</f>
        <v>7657.6576576576581</v>
      </c>
      <c r="J104" s="15">
        <v>1695</v>
      </c>
      <c r="K104" s="32">
        <f t="shared" ref="K104:K107" si="52">IF(ISNUMBER(J104), (J104 - $B104) / $B104, "")</f>
        <v>1.8018018018018018E-2</v>
      </c>
      <c r="L104" s="18">
        <f>IF(ISNUMBER(J104), $B118 * K104, "")</f>
        <v>2702.7027027027025</v>
      </c>
      <c r="M104" s="31">
        <v>1665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192"/>
      <c r="R104" s="192"/>
      <c r="S104" s="192"/>
    </row>
    <row r="105" spans="1:19" ht="17.25" thickBot="1">
      <c r="A105" s="125" t="s">
        <v>228</v>
      </c>
      <c r="B105" s="126">
        <v>363</v>
      </c>
      <c r="C105" s="77">
        <v>1.6806722699999999E-2</v>
      </c>
      <c r="D105" s="15">
        <v>360</v>
      </c>
      <c r="E105" s="32">
        <f t="shared" si="50"/>
        <v>-8.2644628099173556E-3</v>
      </c>
      <c r="F105" s="18">
        <f>IF(ISNUMBER(D105), $B118 * E105, "")</f>
        <v>-1239.6694214876034</v>
      </c>
      <c r="G105" s="31">
        <v>367</v>
      </c>
      <c r="H105" s="32">
        <f t="shared" si="51"/>
        <v>1.1019283746556474E-2</v>
      </c>
      <c r="I105" s="101">
        <f>IF(ISNUMBER(G105), $B118 * H105, "")</f>
        <v>1652.8925619834711</v>
      </c>
      <c r="J105" s="15">
        <v>362</v>
      </c>
      <c r="K105" s="32">
        <f t="shared" si="52"/>
        <v>-2.7548209366391185E-3</v>
      </c>
      <c r="L105" s="18">
        <f>IF(ISNUMBER(J105), $B118 * K105, "")</f>
        <v>-413.22314049586777</v>
      </c>
      <c r="M105" s="31">
        <v>358</v>
      </c>
      <c r="N105" s="32">
        <f t="shared" si="53"/>
        <v>-1.3774104683195593E-2</v>
      </c>
      <c r="O105" s="18">
        <f>IF(ISNUMBER(M105), $B118 * N105, "")</f>
        <v>-2066.1157024793388</v>
      </c>
      <c r="Q105" s="192"/>
      <c r="R105" s="192"/>
      <c r="S105" s="192"/>
    </row>
    <row r="106" spans="1:19" ht="17.25" thickBot="1">
      <c r="A106" s="125" t="s">
        <v>154</v>
      </c>
      <c r="B106" s="126">
        <v>1920</v>
      </c>
      <c r="C106" s="77">
        <v>1.5873015899999999E-2</v>
      </c>
      <c r="D106" s="15">
        <v>1895</v>
      </c>
      <c r="E106" s="32">
        <f t="shared" si="50"/>
        <v>-1.3020833333333334E-2</v>
      </c>
      <c r="F106" s="18">
        <f>IF(ISNUMBER(D106), $B118 * E106, "")</f>
        <v>-1953.125</v>
      </c>
      <c r="G106" s="31">
        <v>1930</v>
      </c>
      <c r="H106" s="32">
        <f t="shared" si="51"/>
        <v>5.208333333333333E-3</v>
      </c>
      <c r="I106" s="101">
        <f>IF(ISNUMBER(G106), $B118 * H106, "")</f>
        <v>781.25</v>
      </c>
      <c r="J106" s="15">
        <v>1920</v>
      </c>
      <c r="K106" s="32">
        <f t="shared" si="52"/>
        <v>0</v>
      </c>
      <c r="L106" s="18">
        <f>IF(ISNUMBER(J106), $B118 * K106, "")</f>
        <v>0</v>
      </c>
      <c r="M106" s="31">
        <v>1910</v>
      </c>
      <c r="N106" s="32">
        <f t="shared" si="53"/>
        <v>-5.208333333333333E-3</v>
      </c>
      <c r="O106" s="18">
        <f>IF(ISNUMBER(M106), $B118 * N106, "")</f>
        <v>-781.25</v>
      </c>
      <c r="Q106" s="33"/>
      <c r="R106" s="33"/>
    </row>
    <row r="107" spans="1:19" ht="17.25" thickBot="1">
      <c r="A107" s="130" t="s">
        <v>188</v>
      </c>
      <c r="B107" s="131">
        <v>16.7</v>
      </c>
      <c r="C107" s="79">
        <v>1.2121212100000001E-2</v>
      </c>
      <c r="D107" s="24">
        <v>16.8</v>
      </c>
      <c r="E107" s="25">
        <f t="shared" si="50"/>
        <v>5.9880239520958937E-3</v>
      </c>
      <c r="F107" s="104">
        <f>IF(ISNUMBER(D107), $B118 * E107, "")</f>
        <v>898.20359281438402</v>
      </c>
      <c r="G107" s="102">
        <v>17.5</v>
      </c>
      <c r="H107" s="25">
        <f t="shared" si="51"/>
        <v>4.7904191616766512E-2</v>
      </c>
      <c r="I107" s="103">
        <f>IF(ISNUMBER(G107), $B118 * H107, "")</f>
        <v>7185.6287425149767</v>
      </c>
      <c r="J107" s="24">
        <v>18.3</v>
      </c>
      <c r="K107" s="25">
        <f t="shared" si="52"/>
        <v>9.5808383233533023E-2</v>
      </c>
      <c r="L107" s="104">
        <f>IF(ISNUMBER(J107), $B118 * K107, "")</f>
        <v>14371.257485029953</v>
      </c>
      <c r="M107" s="102">
        <v>17.5</v>
      </c>
      <c r="N107" s="25">
        <f t="shared" si="53"/>
        <v>4.7904191616766512E-2</v>
      </c>
      <c r="O107" s="104">
        <f>IF(ISNUMBER(M107), $B118 * N107, "")</f>
        <v>7185.6287425149767</v>
      </c>
      <c r="Q107" s="193"/>
      <c r="R107" s="194"/>
      <c r="S107" s="195"/>
    </row>
    <row r="108" spans="1:19">
      <c r="A108" s="123" t="s">
        <v>61</v>
      </c>
      <c r="B108" s="124">
        <v>943</v>
      </c>
      <c r="C108" s="76">
        <v>1.0718113600000001E-2</v>
      </c>
      <c r="D108" s="13">
        <v>916</v>
      </c>
      <c r="E108" s="14">
        <f>IF(ISNUMBER(D108), (D108 - $B108) / $B108, "")</f>
        <v>-2.863202545068929E-2</v>
      </c>
      <c r="F108" s="16">
        <f>IF(ISNUMBER(D108), $B118 * E108, "")</f>
        <v>-4294.8038176033933</v>
      </c>
      <c r="G108" s="29">
        <v>935</v>
      </c>
      <c r="H108" s="14">
        <f>IF(ISNUMBER(G108), (G108 - $B108) / $B108, "")</f>
        <v>-8.483563096500531E-3</v>
      </c>
      <c r="I108" s="100">
        <f>IF(ISNUMBER(G108), $B118 * H108, "")</f>
        <v>-1272.5344644750796</v>
      </c>
      <c r="J108" s="13">
        <v>920</v>
      </c>
      <c r="K108" s="14">
        <f>IF(ISNUMBER(J108), (J108 - $B108) / $B108, "")</f>
        <v>-2.4390243902439025E-2</v>
      </c>
      <c r="L108" s="16">
        <f>IF(ISNUMBER(J108), $B118 * K108, "")</f>
        <v>-3658.5365853658536</v>
      </c>
      <c r="M108" s="29">
        <v>919</v>
      </c>
      <c r="N108" s="14">
        <f>IF(ISNUMBER(M108), (M108 - $B108) / $B108, "")</f>
        <v>-2.5450689289501591E-2</v>
      </c>
      <c r="O108" s="16">
        <f>IF(ISNUMBER(M108), $B118 * N108, "")</f>
        <v>-3817.6033934252387</v>
      </c>
      <c r="Q108" s="196"/>
      <c r="R108" s="197"/>
      <c r="S108" s="198"/>
    </row>
    <row r="109" spans="1:19" ht="17.25" thickBot="1">
      <c r="A109" s="125" t="s">
        <v>190</v>
      </c>
      <c r="B109" s="126">
        <v>392</v>
      </c>
      <c r="C109" s="77">
        <v>2.5575448E-3</v>
      </c>
      <c r="D109" s="15">
        <v>412</v>
      </c>
      <c r="E109" s="32">
        <f t="shared" ref="E109:E112" si="54">IF(ISNUMBER(D109), (D109 - $B109) / $B109, "")</f>
        <v>5.1020408163265307E-2</v>
      </c>
      <c r="F109" s="18">
        <f>IF(ISNUMBER(D109), $B118 * E109, "")</f>
        <v>7653.0612244897957</v>
      </c>
      <c r="G109" s="31">
        <v>422</v>
      </c>
      <c r="H109" s="32">
        <f t="shared" ref="H109:H112" si="55">IF(ISNUMBER(G109), (G109 - $B109) / $B109, "")</f>
        <v>7.6530612244897961E-2</v>
      </c>
      <c r="I109" s="101">
        <f>IF(ISNUMBER(G109), $B118 * H109, "")</f>
        <v>11479.591836734695</v>
      </c>
      <c r="J109" s="15">
        <v>418</v>
      </c>
      <c r="K109" s="32">
        <f t="shared" ref="K109:K112" si="56">IF(ISNUMBER(J109), (J109 - $B109) / $B109, "")</f>
        <v>6.6326530612244902E-2</v>
      </c>
      <c r="L109" s="18">
        <f>IF(ISNUMBER(J109), $B118 * K109, "")</f>
        <v>9948.9795918367345</v>
      </c>
      <c r="M109" s="31">
        <v>423</v>
      </c>
      <c r="N109" s="32">
        <f t="shared" ref="N109:N112" si="57">IF(ISNUMBER(M109), (M109 - $B109) / $B109, "")</f>
        <v>7.9081632653061229E-2</v>
      </c>
      <c r="O109" s="18">
        <f>IF(ISNUMBER(M109), $B118 * N109, "")</f>
        <v>11862.244897959185</v>
      </c>
      <c r="Q109" s="199"/>
      <c r="R109" s="200"/>
      <c r="S109" s="201"/>
    </row>
    <row r="110" spans="1:19" ht="17.25" thickBot="1">
      <c r="A110" s="125" t="s">
        <v>170</v>
      </c>
      <c r="B110" s="126">
        <v>4000</v>
      </c>
      <c r="C110" s="77">
        <v>2.5062656999999999E-3</v>
      </c>
      <c r="D110" s="15">
        <v>4060</v>
      </c>
      <c r="E110" s="32">
        <f t="shared" si="54"/>
        <v>1.4999999999999999E-2</v>
      </c>
      <c r="F110" s="18">
        <f>IF(ISNUMBER(D110), $B118 * E110, "")</f>
        <v>2250</v>
      </c>
      <c r="G110" s="31">
        <v>4175</v>
      </c>
      <c r="H110" s="32">
        <f t="shared" si="55"/>
        <v>4.3749999999999997E-2</v>
      </c>
      <c r="I110" s="101">
        <f>IF(ISNUMBER(G110), $B118 * H110, "")</f>
        <v>6562.5</v>
      </c>
      <c r="J110" s="15">
        <v>4155</v>
      </c>
      <c r="K110" s="32">
        <f t="shared" si="56"/>
        <v>3.875E-2</v>
      </c>
      <c r="L110" s="18">
        <f>IF(ISNUMBER(J110), $B118 * K110, "")</f>
        <v>5812.5</v>
      </c>
      <c r="M110" s="31">
        <v>4070</v>
      </c>
      <c r="N110" s="32">
        <f t="shared" si="57"/>
        <v>1.7500000000000002E-2</v>
      </c>
      <c r="O110" s="18">
        <f>IF(ISNUMBER(M110), $B118 * N110, "")</f>
        <v>2625.0000000000005</v>
      </c>
      <c r="Q110" s="192"/>
      <c r="R110" s="192"/>
      <c r="S110" s="192"/>
    </row>
    <row r="111" spans="1:19" ht="17.25" thickBot="1">
      <c r="A111" s="125" t="s">
        <v>194</v>
      </c>
      <c r="B111" s="126">
        <v>3610</v>
      </c>
      <c r="C111" s="77">
        <v>0</v>
      </c>
      <c r="D111" s="15">
        <v>3675</v>
      </c>
      <c r="E111" s="32">
        <f t="shared" si="54"/>
        <v>1.8005540166204988E-2</v>
      </c>
      <c r="F111" s="18">
        <f>IF(ISNUMBER(D111), $B118 * E111, "")</f>
        <v>2700.8310249307483</v>
      </c>
      <c r="G111" s="31">
        <v>3845</v>
      </c>
      <c r="H111" s="32">
        <f t="shared" si="55"/>
        <v>6.5096952908587261E-2</v>
      </c>
      <c r="I111" s="101">
        <f>IF(ISNUMBER(G111), $B118 * H111, "")</f>
        <v>9764.5429362880895</v>
      </c>
      <c r="J111" s="15">
        <v>3765</v>
      </c>
      <c r="K111" s="32">
        <f t="shared" si="56"/>
        <v>4.2936288088642659E-2</v>
      </c>
      <c r="L111" s="18">
        <f>IF(ISNUMBER(J111), $B118 * K111, "")</f>
        <v>6440.4432132963984</v>
      </c>
      <c r="M111" s="31">
        <v>3725</v>
      </c>
      <c r="N111" s="32">
        <f t="shared" si="57"/>
        <v>3.1855955678670361E-2</v>
      </c>
      <c r="O111" s="18">
        <f>IF(ISNUMBER(M111), $B118 * N111, "")</f>
        <v>4778.3933518005542</v>
      </c>
      <c r="Q111" s="202"/>
      <c r="R111" s="202"/>
      <c r="S111" s="202"/>
    </row>
    <row r="112" spans="1:19" ht="17.25" thickBot="1">
      <c r="A112" s="127" t="s">
        <v>264</v>
      </c>
      <c r="B112" s="128">
        <v>269</v>
      </c>
      <c r="C112" s="78">
        <v>-3.7037036999999998E-3</v>
      </c>
      <c r="D112" s="20">
        <v>290</v>
      </c>
      <c r="E112" s="21">
        <f t="shared" si="54"/>
        <v>7.8066914498141265E-2</v>
      </c>
      <c r="F112" s="22">
        <f>IF(ISNUMBER(D112), $B118 * E112, "")</f>
        <v>11710.03717472119</v>
      </c>
      <c r="G112" s="30">
        <v>288</v>
      </c>
      <c r="H112" s="21">
        <f t="shared" si="55"/>
        <v>7.0631970260223054E-2</v>
      </c>
      <c r="I112" s="105">
        <f>IF(ISNUMBER(G112), $B118 * H112, "")</f>
        <v>10594.795539033457</v>
      </c>
      <c r="J112" s="20">
        <v>286</v>
      </c>
      <c r="K112" s="21">
        <f t="shared" si="56"/>
        <v>6.3197026022304828E-2</v>
      </c>
      <c r="L112" s="22">
        <f>IF(ISNUMBER(J112), $B118 * K112, "")</f>
        <v>9479.5539033457244</v>
      </c>
      <c r="M112" s="30">
        <v>299</v>
      </c>
      <c r="N112" s="21">
        <f t="shared" si="57"/>
        <v>0.11152416356877323</v>
      </c>
      <c r="O112" s="22">
        <f>IF(ISNUMBER(M112), $B118 * N112, "")</f>
        <v>16728.624535315987</v>
      </c>
      <c r="Q112" s="202"/>
      <c r="R112" s="202"/>
      <c r="S112" s="202"/>
    </row>
    <row r="113" spans="1:19" ht="17.25" thickBot="1">
      <c r="A113" s="125" t="s">
        <v>162</v>
      </c>
      <c r="B113" s="129">
        <v>811</v>
      </c>
      <c r="C113" s="80">
        <v>-6.1274509999999999E-3</v>
      </c>
      <c r="D113" s="106">
        <v>812</v>
      </c>
      <c r="E113" s="107">
        <f>IF(ISNUMBER(D113), (D113 - $B113) / $B113, "")</f>
        <v>1.2330456226880395E-3</v>
      </c>
      <c r="F113" s="108">
        <f>IF(ISNUMBER(D113), $B118 * E113, "")</f>
        <v>184.95684340320591</v>
      </c>
      <c r="G113" s="109">
        <v>821</v>
      </c>
      <c r="H113" s="107">
        <f>IF(ISNUMBER(G113), (G113 - $B113) / $B113, "")</f>
        <v>1.2330456226880395E-2</v>
      </c>
      <c r="I113" s="110">
        <f>IF(ISNUMBER(G113), $B118 * H113, "")</f>
        <v>1849.5684340320593</v>
      </c>
      <c r="J113" s="106">
        <v>815</v>
      </c>
      <c r="K113" s="107">
        <f>IF(ISNUMBER(J113), (J113 - $B113) / $B113, "")</f>
        <v>4.9321824907521579E-3</v>
      </c>
      <c r="L113" s="108">
        <f>IF(ISNUMBER(J113), $B118 * K113, "")</f>
        <v>739.82737361282364</v>
      </c>
      <c r="M113" s="109">
        <v>811</v>
      </c>
      <c r="N113" s="107">
        <f>IF(ISNUMBER(M113), (M113 - $B113) / $B113, "")</f>
        <v>0</v>
      </c>
      <c r="O113" s="108">
        <f>IF(ISNUMBER(M113), $B118 * N113, "")</f>
        <v>0</v>
      </c>
      <c r="Q113" s="192"/>
      <c r="R113" s="192"/>
      <c r="S113" s="192"/>
    </row>
    <row r="114" spans="1:19" ht="17.25" thickBot="1">
      <c r="A114" s="125" t="s">
        <v>158</v>
      </c>
      <c r="B114" s="126">
        <v>1465</v>
      </c>
      <c r="C114" s="77">
        <v>-6.7796610000000002E-3</v>
      </c>
      <c r="D114" s="15">
        <v>1485</v>
      </c>
      <c r="E114" s="32">
        <f t="shared" ref="E114:E117" si="58">IF(ISNUMBER(D114), (D114 - $B114) / $B114, "")</f>
        <v>1.3651877133105802E-2</v>
      </c>
      <c r="F114" s="18">
        <f>IF(ISNUMBER(D114), $B118 * E114, "")</f>
        <v>2047.7815699658704</v>
      </c>
      <c r="G114" s="31">
        <v>1520</v>
      </c>
      <c r="H114" s="32">
        <f t="shared" ref="H114:H117" si="59">IF(ISNUMBER(G114), (G114 - $B114) / $B114, "")</f>
        <v>3.7542662116040959E-2</v>
      </c>
      <c r="I114" s="101">
        <f>IF(ISNUMBER(G114), $B118 * H114, "")</f>
        <v>5631.3993174061443</v>
      </c>
      <c r="J114" s="15">
        <v>1535</v>
      </c>
      <c r="K114" s="32">
        <f t="shared" ref="K114:K117" si="60">IF(ISNUMBER(J114), (J114 - $B114) / $B114, "")</f>
        <v>4.778156996587031E-2</v>
      </c>
      <c r="L114" s="18">
        <f>IF(ISNUMBER(J114), $B118 * K114, "")</f>
        <v>7167.2354948805469</v>
      </c>
      <c r="M114" s="31">
        <v>1525</v>
      </c>
      <c r="N114" s="32">
        <f t="shared" ref="N114:N117" si="61">IF(ISNUMBER(M114), (M114 - $B114) / $B114, "")</f>
        <v>4.0955631399317405E-2</v>
      </c>
      <c r="O114" s="18">
        <f>IF(ISNUMBER(M114), $B118 * N114, "")</f>
        <v>6143.3447098976103</v>
      </c>
      <c r="Q114" s="192"/>
      <c r="R114" s="192"/>
      <c r="S114" s="192"/>
    </row>
    <row r="115" spans="1:19" ht="17.25" thickBot="1">
      <c r="A115" s="125" t="s">
        <v>168</v>
      </c>
      <c r="B115" s="126">
        <v>28710</v>
      </c>
      <c r="C115" s="77">
        <v>-7.2614107999999997E-3</v>
      </c>
      <c r="D115" s="15">
        <v>28800</v>
      </c>
      <c r="E115" s="32">
        <f t="shared" si="58"/>
        <v>3.134796238244514E-3</v>
      </c>
      <c r="F115" s="18">
        <f>IF(ISNUMBER(D115), $B118 * E115, "")</f>
        <v>470.2194357366771</v>
      </c>
      <c r="G115" s="31">
        <v>29140</v>
      </c>
      <c r="H115" s="32">
        <f t="shared" si="59"/>
        <v>1.4977359804946012E-2</v>
      </c>
      <c r="I115" s="101">
        <f>IF(ISNUMBER(G115), $B118 * H115, "")</f>
        <v>2246.6039707419018</v>
      </c>
      <c r="J115" s="15">
        <v>29660</v>
      </c>
      <c r="K115" s="32">
        <f t="shared" si="60"/>
        <v>3.308951584813654E-2</v>
      </c>
      <c r="L115" s="18">
        <f>IF(ISNUMBER(J115), $B118 * K115, "")</f>
        <v>4963.4273772204806</v>
      </c>
      <c r="M115" s="31">
        <v>29400</v>
      </c>
      <c r="N115" s="32">
        <f t="shared" si="61"/>
        <v>2.4033437826541274E-2</v>
      </c>
      <c r="O115" s="18">
        <f>IF(ISNUMBER(M115), $B118 * N115, "")</f>
        <v>3605.015673981191</v>
      </c>
      <c r="Q115" s="192"/>
      <c r="R115" s="192"/>
      <c r="S115" s="192"/>
    </row>
    <row r="116" spans="1:19">
      <c r="A116" s="125" t="s">
        <v>49</v>
      </c>
      <c r="B116" s="126">
        <v>57958000</v>
      </c>
      <c r="C116" s="77">
        <v>-1.03983472E-2</v>
      </c>
      <c r="D116" s="15">
        <v>59858000</v>
      </c>
      <c r="E116" s="32">
        <f t="shared" si="58"/>
        <v>3.278235963973912E-2</v>
      </c>
      <c r="F116" s="18">
        <f>IF(ISNUMBER(D116), $B118 * E116, "")</f>
        <v>4917.3539459608683</v>
      </c>
      <c r="G116" s="31">
        <v>60719000</v>
      </c>
      <c r="H116" s="32">
        <f t="shared" si="59"/>
        <v>4.7637944718589322E-2</v>
      </c>
      <c r="I116" s="101">
        <f>IF(ISNUMBER(G116), $B118 * H116, "")</f>
        <v>7145.6917077883982</v>
      </c>
      <c r="J116" s="15">
        <v>60042000</v>
      </c>
      <c r="K116" s="32">
        <f t="shared" si="60"/>
        <v>3.5957072362745437E-2</v>
      </c>
      <c r="L116" s="18">
        <f>IF(ISNUMBER(J116), $B118 * K116, "")</f>
        <v>5393.5608544118159</v>
      </c>
      <c r="M116" s="31">
        <v>60476000</v>
      </c>
      <c r="N116" s="32">
        <f t="shared" si="61"/>
        <v>4.3445253459401638E-2</v>
      </c>
      <c r="O116" s="18">
        <f>IF(ISNUMBER(M116), $B118 * N116, "")</f>
        <v>6516.7880189102461</v>
      </c>
      <c r="Q116" s="181"/>
      <c r="R116" s="182"/>
      <c r="S116" s="183"/>
    </row>
    <row r="117" spans="1:19" ht="17.25" thickBot="1">
      <c r="A117" s="130" t="s">
        <v>234</v>
      </c>
      <c r="B117" s="131">
        <v>652</v>
      </c>
      <c r="C117" s="79">
        <v>-1.2121212100000001E-2</v>
      </c>
      <c r="D117" s="24">
        <v>656</v>
      </c>
      <c r="E117" s="25">
        <f t="shared" si="58"/>
        <v>6.1349693251533744E-3</v>
      </c>
      <c r="F117" s="104">
        <f>IF(ISNUMBER(D117), $B118 * E117, "")</f>
        <v>920.24539877300617</v>
      </c>
      <c r="G117" s="102">
        <v>671</v>
      </c>
      <c r="H117" s="25">
        <f t="shared" si="59"/>
        <v>2.9141104294478526E-2</v>
      </c>
      <c r="I117" s="103">
        <f>IF(ISNUMBER(G117), $B118 * H117, "")</f>
        <v>4371.1656441717787</v>
      </c>
      <c r="J117" s="24">
        <v>672</v>
      </c>
      <c r="K117" s="25">
        <f t="shared" si="60"/>
        <v>3.0674846625766871E-2</v>
      </c>
      <c r="L117" s="104">
        <f>IF(ISNUMBER(J117), $B118 * K117, "")</f>
        <v>4601.2269938650306</v>
      </c>
      <c r="M117" s="102">
        <v>682</v>
      </c>
      <c r="N117" s="25">
        <f t="shared" si="61"/>
        <v>4.6012269938650305E-2</v>
      </c>
      <c r="O117" s="104">
        <f>IF(ISNUMBER(M117), $B118 * N117, "")</f>
        <v>6901.8404907975455</v>
      </c>
      <c r="Q117" s="184"/>
      <c r="R117" s="185"/>
      <c r="S117" s="186"/>
    </row>
    <row r="118" spans="1:19" ht="17.25" thickBot="1">
      <c r="A118" s="132" t="s">
        <v>268</v>
      </c>
      <c r="B118" s="245">
        <f>$B$37</f>
        <v>150000</v>
      </c>
      <c r="C118" s="246"/>
      <c r="D118" s="26" t="s">
        <v>269</v>
      </c>
      <c r="E118" s="27">
        <f>IF(COUNT(E98:E117), SUM(E98:E117) / COUNT(E98:E117), 0)</f>
        <v>1.2668843534837119E-3</v>
      </c>
      <c r="F118" s="28">
        <f>SUM(F98:F117)</f>
        <v>3800.6530604511427</v>
      </c>
      <c r="G118" s="26" t="s">
        <v>269</v>
      </c>
      <c r="H118" s="27">
        <f>IF(COUNT(H98:H117), SUM(H98:H117) / COUNT(H98:H117), 0)</f>
        <v>2.4094575555279586E-2</v>
      </c>
      <c r="I118" s="28">
        <f>SUM(I98:I117)</f>
        <v>72283.726665838753</v>
      </c>
      <c r="J118" s="26" t="s">
        <v>269</v>
      </c>
      <c r="K118" s="27">
        <f>IF(COUNT(K98:K117), SUM(K98:K117) / COUNT(K98:K117), 0)</f>
        <v>1.7739608392447294E-2</v>
      </c>
      <c r="L118" s="28">
        <f>SUM(L98:L117)</f>
        <v>53218.825177341889</v>
      </c>
      <c r="M118" s="26" t="s">
        <v>269</v>
      </c>
      <c r="N118" s="27">
        <f>IF(COUNT(N98:N117), SUM(N98:N117) / COUNT(N98:N117), 0)</f>
        <v>6.6772994967477708E-3</v>
      </c>
      <c r="O118" s="28">
        <f>SUM(O98:O117)</f>
        <v>20031.898490243319</v>
      </c>
      <c r="Q118" s="187"/>
      <c r="R118" s="188"/>
      <c r="S118" s="189"/>
    </row>
    <row r="120" spans="1:19" ht="17.25" thickBot="1"/>
    <row r="121" spans="1:19" ht="17.25" thickBot="1">
      <c r="A121" s="203" t="s">
        <v>256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73" t="s">
        <v>265</v>
      </c>
      <c r="B122" s="203" t="s">
        <v>49</v>
      </c>
      <c r="C122" s="205"/>
      <c r="D122" s="203" t="s">
        <v>58</v>
      </c>
      <c r="E122" s="204"/>
      <c r="F122" s="205"/>
      <c r="G122" s="206">
        <f>_xlfn.IFNA(VLOOKUP(B122, 현재가테이블!$B$2:$D$200, 2, FALSE), "-")</f>
        <v>62630000</v>
      </c>
      <c r="H122" s="207"/>
      <c r="I122" s="208"/>
      <c r="J122" s="203" t="s">
        <v>59</v>
      </c>
      <c r="K122" s="204"/>
      <c r="L122" s="205"/>
      <c r="M122" s="209">
        <f>_xlfn.IFNA(VLOOKUP(B122, 현재가테이블!$B$2:$D$200, 3, FALSE), "-")</f>
        <v>1.5632601400000001E-2</v>
      </c>
      <c r="N122" s="210"/>
      <c r="O122" s="211"/>
      <c r="Q122" s="202"/>
      <c r="R122" s="202"/>
      <c r="S122" s="202"/>
    </row>
    <row r="123" spans="1:19" ht="17.25" thickBot="1">
      <c r="A123" s="247" t="s">
        <v>55</v>
      </c>
      <c r="B123" s="243" t="str">
        <f>TEXT($G$1, "[$-ko-KR]yyyy-mm-dd(ddd) ") &amp; "오전 00:00"</f>
        <v>2021-10-05(화) 오전 00:00</v>
      </c>
      <c r="C123" s="244"/>
      <c r="D123" s="216" t="str">
        <f>TEXT($G$1, "[$-ko-KR]yyyy-mm-dd(ddd) ") &amp; "오후 14:00"</f>
        <v>2021-10-05(화) 오후 14:00</v>
      </c>
      <c r="E123" s="217"/>
      <c r="F123" s="218"/>
      <c r="G123" s="216" t="str">
        <f>TEXT($G$1, "[$-ko-KR]yyyy-mm-dd(ddd) ") &amp; "오후 19:00"</f>
        <v>2021-10-05(화) 오후 19:00</v>
      </c>
      <c r="H123" s="217"/>
      <c r="I123" s="218"/>
      <c r="J123" s="216" t="str">
        <f>TEXT($G$1, "[$-ko-KR]yyyy-mm-dd(ddd) ") &amp; "오후 21:00"</f>
        <v>2021-10-05(화) 오후 21:00</v>
      </c>
      <c r="K123" s="217"/>
      <c r="L123" s="218"/>
      <c r="M123" s="216" t="str">
        <f>TEXT($G$1+1, "[$-ko-KR]yyyy-mm-dd(ddd) ") &amp; "오전 00:00"</f>
        <v>2021-10-06(수) 오전 00:00</v>
      </c>
      <c r="N123" s="217"/>
      <c r="O123" s="218"/>
      <c r="Q123" s="202"/>
      <c r="R123" s="202"/>
      <c r="S123" s="202"/>
    </row>
    <row r="124" spans="1:19" ht="17.25" thickBot="1">
      <c r="A124" s="24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4" t="s">
        <v>58</v>
      </c>
      <c r="H124" s="175" t="s">
        <v>266</v>
      </c>
      <c r="I124" s="17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192"/>
      <c r="R124" s="192"/>
      <c r="S124" s="192"/>
    </row>
    <row r="125" spans="1:19" ht="17.25" thickBot="1">
      <c r="A125" s="123" t="s">
        <v>72</v>
      </c>
      <c r="B125" s="124">
        <v>24.4</v>
      </c>
      <c r="C125" s="76">
        <v>2.9535865000000001E-2</v>
      </c>
      <c r="D125" s="13">
        <v>24.5</v>
      </c>
      <c r="E125" s="14">
        <f>IF(ISNUMBER(D125), (D125 - $B125) / $B125, "")</f>
        <v>4.0983606557377632E-3</v>
      </c>
      <c r="F125" s="16">
        <f>IF(ISNUMBER(D125), $B145 * E125, "")</f>
        <v>614.75409836066444</v>
      </c>
      <c r="G125" s="29">
        <v>25.4</v>
      </c>
      <c r="H125" s="14">
        <f>IF(ISNUMBER(G125), (G125 - $B125) / $B125, "")</f>
        <v>4.0983606557377053E-2</v>
      </c>
      <c r="I125" s="100">
        <f>IF(ISNUMBER(G125), $B145 * H125, "")</f>
        <v>6147.5409836065583</v>
      </c>
      <c r="J125" s="13">
        <v>26.6</v>
      </c>
      <c r="K125" s="14">
        <f>IF(ISNUMBER(J125), (J125 - $B125) / $B125, "")</f>
        <v>9.0163934426229636E-2</v>
      </c>
      <c r="L125" s="16">
        <f>IF(ISNUMBER(J125), $B145 * K125, "")</f>
        <v>13524.590163934445</v>
      </c>
      <c r="M125" s="29">
        <v>25.5</v>
      </c>
      <c r="N125" s="14">
        <f>IF(ISNUMBER(M125), (M125 - $B125) / $B125, "")</f>
        <v>4.5081967213114818E-2</v>
      </c>
      <c r="O125" s="16">
        <f>IF(ISNUMBER(M125), $B145 * N125, "")</f>
        <v>6762.2950819672224</v>
      </c>
      <c r="Q125" s="202"/>
      <c r="R125" s="202"/>
      <c r="S125" s="202"/>
    </row>
    <row r="126" spans="1:19" ht="17.25" thickBot="1">
      <c r="A126" s="125" t="s">
        <v>188</v>
      </c>
      <c r="B126" s="126">
        <v>16.7</v>
      </c>
      <c r="C126" s="77">
        <v>1.2121212100000001E-2</v>
      </c>
      <c r="D126" s="15">
        <v>16.8</v>
      </c>
      <c r="E126" s="32">
        <f t="shared" ref="E126:E129" si="62">IF(ISNUMBER(D126), (D126 - $B126) / $B126, "")</f>
        <v>5.9880239520958937E-3</v>
      </c>
      <c r="F126" s="18">
        <f>IF(ISNUMBER(D126), $B145 * E126, "")</f>
        <v>898.20359281438402</v>
      </c>
      <c r="G126" s="31">
        <v>17.5</v>
      </c>
      <c r="H126" s="32">
        <f t="shared" ref="H126:H129" si="63">IF(ISNUMBER(G126), (G126 - $B126) / $B126, "")</f>
        <v>4.7904191616766512E-2</v>
      </c>
      <c r="I126" s="101">
        <f>IF(ISNUMBER(G126), $B145 * H126, "")</f>
        <v>7185.6287425149767</v>
      </c>
      <c r="J126" s="15">
        <v>18.3</v>
      </c>
      <c r="K126" s="32">
        <f t="shared" ref="K126:K129" si="64">IF(ISNUMBER(J126), (J126 - $B126) / $B126, "")</f>
        <v>9.5808383233533023E-2</v>
      </c>
      <c r="L126" s="18">
        <f>IF(ISNUMBER(J126), $B145 * K126, "")</f>
        <v>14371.257485029953</v>
      </c>
      <c r="M126" s="31">
        <v>17.5</v>
      </c>
      <c r="N126" s="32">
        <f t="shared" ref="N126:N129" si="65">IF(ISNUMBER(M126), (M126 - $B126) / $B126, "")</f>
        <v>4.7904191616766512E-2</v>
      </c>
      <c r="O126" s="18">
        <f>IF(ISNUMBER(M126), $B145 * N126, "")</f>
        <v>7185.6287425149767</v>
      </c>
      <c r="Q126" s="202"/>
      <c r="R126" s="202"/>
      <c r="S126" s="202"/>
    </row>
    <row r="127" spans="1:19" ht="17.25" thickBot="1">
      <c r="A127" s="125" t="s">
        <v>160</v>
      </c>
      <c r="B127" s="126">
        <v>99.5</v>
      </c>
      <c r="C127" s="77">
        <v>-1.4851485100000001E-2</v>
      </c>
      <c r="D127" s="15">
        <v>101</v>
      </c>
      <c r="E127" s="32">
        <f t="shared" si="62"/>
        <v>1.507537688442211E-2</v>
      </c>
      <c r="F127" s="18">
        <f>IF(ISNUMBER(D127), $B145 * E127, "")</f>
        <v>2261.3065326633164</v>
      </c>
      <c r="G127" s="31">
        <v>102</v>
      </c>
      <c r="H127" s="32">
        <f t="shared" si="63"/>
        <v>2.5125628140703519E-2</v>
      </c>
      <c r="I127" s="101">
        <f>IF(ISNUMBER(G127), $B145 * H127, "")</f>
        <v>3768.844221105528</v>
      </c>
      <c r="J127" s="15">
        <v>106</v>
      </c>
      <c r="K127" s="32">
        <f t="shared" si="64"/>
        <v>6.5326633165829151E-2</v>
      </c>
      <c r="L127" s="18">
        <f>IF(ISNUMBER(J127), $B145 * K127, "")</f>
        <v>9798.9949748743729</v>
      </c>
      <c r="M127" s="31">
        <v>104</v>
      </c>
      <c r="N127" s="32">
        <f t="shared" si="65"/>
        <v>4.5226130653266333E-2</v>
      </c>
      <c r="O127" s="18">
        <f>IF(ISNUMBER(M127), $B145 * N127, "")</f>
        <v>6783.9195979899496</v>
      </c>
      <c r="Q127" s="192"/>
      <c r="R127" s="192"/>
      <c r="S127" s="192"/>
    </row>
    <row r="128" spans="1:19" ht="17.25" thickBot="1">
      <c r="A128" s="125" t="s">
        <v>208</v>
      </c>
      <c r="B128" s="126">
        <v>13.2</v>
      </c>
      <c r="C128" s="77">
        <v>-2.2222222199999999E-2</v>
      </c>
      <c r="D128" s="15">
        <v>14</v>
      </c>
      <c r="E128" s="32">
        <f t="shared" si="62"/>
        <v>6.0606060606060663E-2</v>
      </c>
      <c r="F128" s="18">
        <f>IF(ISNUMBER(D128), $B145 * E128, "")</f>
        <v>9090.9090909090992</v>
      </c>
      <c r="G128" s="31">
        <v>15.4</v>
      </c>
      <c r="H128" s="32">
        <f t="shared" si="63"/>
        <v>0.16666666666666677</v>
      </c>
      <c r="I128" s="101">
        <f>IF(ISNUMBER(G128), $B145 * H128, "")</f>
        <v>25000.000000000015</v>
      </c>
      <c r="J128" s="15">
        <v>17</v>
      </c>
      <c r="K128" s="32">
        <f t="shared" si="64"/>
        <v>0.28787878787878796</v>
      </c>
      <c r="L128" s="18">
        <f>IF(ISNUMBER(J128), $B145 * K128, "")</f>
        <v>43181.818181818191</v>
      </c>
      <c r="M128" s="31">
        <v>15.7</v>
      </c>
      <c r="N128" s="32">
        <f t="shared" si="65"/>
        <v>0.18939393939393939</v>
      </c>
      <c r="O128" s="18">
        <f>IF(ISNUMBER(M128), $B145 * N128, "")</f>
        <v>28409.090909090908</v>
      </c>
      <c r="Q128" s="192"/>
      <c r="R128" s="192"/>
      <c r="S128" s="192"/>
    </row>
    <row r="129" spans="1:19" ht="17.25" thickBot="1">
      <c r="A129" s="127" t="s">
        <v>206</v>
      </c>
      <c r="B129" s="128">
        <v>12.5</v>
      </c>
      <c r="C129" s="78">
        <v>-3.8461538500000003E-2</v>
      </c>
      <c r="D129" s="20">
        <v>12.7</v>
      </c>
      <c r="E129" s="21">
        <f t="shared" si="62"/>
        <v>1.5999999999999945E-2</v>
      </c>
      <c r="F129" s="22">
        <f>IF(ISNUMBER(D129), $B145 * E129, "")</f>
        <v>2399.9999999999918</v>
      </c>
      <c r="G129" s="30">
        <v>13.3</v>
      </c>
      <c r="H129" s="21">
        <f t="shared" si="63"/>
        <v>6.4000000000000057E-2</v>
      </c>
      <c r="I129" s="105">
        <f>IF(ISNUMBER(G129), $B145 * H129, "")</f>
        <v>9600.0000000000091</v>
      </c>
      <c r="J129" s="20">
        <v>13.9</v>
      </c>
      <c r="K129" s="21">
        <f t="shared" si="64"/>
        <v>0.11200000000000003</v>
      </c>
      <c r="L129" s="22">
        <f>IF(ISNUMBER(J129), $B145 * K129, "")</f>
        <v>16800.000000000004</v>
      </c>
      <c r="M129" s="30">
        <v>13.4</v>
      </c>
      <c r="N129" s="21">
        <f t="shared" si="65"/>
        <v>7.2000000000000022E-2</v>
      </c>
      <c r="O129" s="22">
        <f>IF(ISNUMBER(M129), $B145 * N129, "")</f>
        <v>10800.000000000004</v>
      </c>
      <c r="Q129" s="192"/>
      <c r="R129" s="192"/>
      <c r="S129" s="192"/>
    </row>
    <row r="130" spans="1:19" ht="17.25" thickBot="1">
      <c r="A130" s="125" t="s">
        <v>176</v>
      </c>
      <c r="B130" s="129">
        <v>16.399999999999999</v>
      </c>
      <c r="C130" s="80">
        <v>-4.0935672499999999E-2</v>
      </c>
      <c r="D130" s="106">
        <v>16.7</v>
      </c>
      <c r="E130" s="107">
        <f>IF(ISNUMBER(D130), (D130 - $B130) / $B130, "")</f>
        <v>1.8292682926829312E-2</v>
      </c>
      <c r="F130" s="108">
        <f>IF(ISNUMBER(D130), $B145 * E130, "")</f>
        <v>2743.9024390243967</v>
      </c>
      <c r="G130" s="109">
        <v>17.600000000000001</v>
      </c>
      <c r="H130" s="107">
        <f>IF(ISNUMBER(G130), (G130 - $B130) / $B130, "")</f>
        <v>7.3170731707317249E-2</v>
      </c>
      <c r="I130" s="110">
        <f>IF(ISNUMBER(G130), $B145 * H130, "")</f>
        <v>10975.609756097587</v>
      </c>
      <c r="J130" s="106">
        <v>18.3</v>
      </c>
      <c r="K130" s="107">
        <f>IF(ISNUMBER(J130), (J130 - $B130) / $B130, "")</f>
        <v>0.11585365853658551</v>
      </c>
      <c r="L130" s="108">
        <f>IF(ISNUMBER(J130), $B145 * K130, "")</f>
        <v>17378.048780487825</v>
      </c>
      <c r="M130" s="109">
        <v>17.399999999999999</v>
      </c>
      <c r="N130" s="107">
        <f>IF(ISNUMBER(M130), (M130 - $B130) / $B130, "")</f>
        <v>6.0975609756097567E-2</v>
      </c>
      <c r="O130" s="108">
        <f>IF(ISNUMBER(M130), $B145 * N130, "")</f>
        <v>9146.3414634146357</v>
      </c>
      <c r="Q130" s="192"/>
      <c r="R130" s="192"/>
      <c r="S130" s="192"/>
    </row>
    <row r="131" spans="1:19" ht="17.25" thickBot="1">
      <c r="A131" s="125" t="s">
        <v>98</v>
      </c>
      <c r="B131" s="126">
        <v>4.13</v>
      </c>
      <c r="C131" s="77">
        <v>-4.1763341099999997E-2</v>
      </c>
      <c r="D131" s="15">
        <v>4.21</v>
      </c>
      <c r="E131" s="32">
        <f t="shared" ref="E131:E134" si="66">IF(ISNUMBER(D131), (D131 - $B131) / $B131, "")</f>
        <v>1.9370460048426168E-2</v>
      </c>
      <c r="F131" s="18">
        <f>IF(ISNUMBER(D131), $B145 * E131, "")</f>
        <v>2905.5690072639254</v>
      </c>
      <c r="G131" s="31">
        <v>4.3499999999999996</v>
      </c>
      <c r="H131" s="32">
        <f t="shared" ref="H131:H134" si="67">IF(ISNUMBER(G131), (G131 - $B131) / $B131, "")</f>
        <v>5.3268765133171851E-2</v>
      </c>
      <c r="I131" s="101">
        <f>IF(ISNUMBER(G131), $B145 * H131, "")</f>
        <v>7990.3147699757774</v>
      </c>
      <c r="J131" s="15">
        <v>4.29</v>
      </c>
      <c r="K131" s="32">
        <f t="shared" ref="K131:K134" si="68">IF(ISNUMBER(J131), (J131 - $B131) / $B131, "")</f>
        <v>3.8740920096852337E-2</v>
      </c>
      <c r="L131" s="18">
        <f>IF(ISNUMBER(J131), $B145 * K131, "")</f>
        <v>5811.1380145278508</v>
      </c>
      <c r="M131" s="31">
        <v>4.3</v>
      </c>
      <c r="N131" s="32">
        <f t="shared" ref="N131:N134" si="69">IF(ISNUMBER(M131), (M131 - $B131) / $B131, "")</f>
        <v>4.1162227602905554E-2</v>
      </c>
      <c r="O131" s="18">
        <f>IF(ISNUMBER(M131), $B145 * N131, "")</f>
        <v>6174.3341404358334</v>
      </c>
      <c r="Q131" s="192"/>
      <c r="R131" s="192"/>
      <c r="S131" s="192"/>
    </row>
    <row r="132" spans="1:19" ht="17.25" thickBot="1">
      <c r="A132" s="125" t="s">
        <v>148</v>
      </c>
      <c r="B132" s="126">
        <v>11.2</v>
      </c>
      <c r="C132" s="77">
        <v>-4.2735042700000003E-2</v>
      </c>
      <c r="D132" s="15">
        <v>11.6</v>
      </c>
      <c r="E132" s="32">
        <f t="shared" si="66"/>
        <v>3.5714285714285747E-2</v>
      </c>
      <c r="F132" s="18">
        <f>IF(ISNUMBER(D132), $B145 * E132, "")</f>
        <v>5357.1428571428623</v>
      </c>
      <c r="G132" s="31">
        <v>11.9</v>
      </c>
      <c r="H132" s="32">
        <f t="shared" si="67"/>
        <v>6.2500000000000097E-2</v>
      </c>
      <c r="I132" s="101">
        <f>IF(ISNUMBER(G132), $B145 * H132, "")</f>
        <v>9375.0000000000146</v>
      </c>
      <c r="J132" s="15">
        <v>13.2</v>
      </c>
      <c r="K132" s="32">
        <f t="shared" si="68"/>
        <v>0.17857142857142858</v>
      </c>
      <c r="L132" s="18">
        <f>IF(ISNUMBER(J132), $B145 * K132, "")</f>
        <v>26785.714285714286</v>
      </c>
      <c r="M132" s="31">
        <v>12</v>
      </c>
      <c r="N132" s="32">
        <f t="shared" si="69"/>
        <v>7.1428571428571494E-2</v>
      </c>
      <c r="O132" s="18">
        <f>IF(ISNUMBER(M132), $B145 * N132, "")</f>
        <v>10714.285714285725</v>
      </c>
      <c r="Q132" s="192"/>
      <c r="R132" s="192"/>
      <c r="S132" s="192"/>
    </row>
    <row r="133" spans="1:19" ht="17.25" thickBot="1">
      <c r="A133" s="125" t="s">
        <v>146</v>
      </c>
      <c r="B133" s="126">
        <v>19.2</v>
      </c>
      <c r="C133" s="77">
        <v>-4.4776119400000002E-2</v>
      </c>
      <c r="D133" s="15">
        <v>19.600000000000001</v>
      </c>
      <c r="E133" s="32">
        <f t="shared" si="66"/>
        <v>2.0833333333333447E-2</v>
      </c>
      <c r="F133" s="18">
        <f>IF(ISNUMBER(D133), $B145 * E133, "")</f>
        <v>3125.0000000000168</v>
      </c>
      <c r="G133" s="31">
        <v>20.2</v>
      </c>
      <c r="H133" s="32">
        <f t="shared" si="67"/>
        <v>5.2083333333333336E-2</v>
      </c>
      <c r="I133" s="101">
        <f>IF(ISNUMBER(G133), $B145 * H133, "")</f>
        <v>7812.5</v>
      </c>
      <c r="J133" s="15">
        <v>20.7</v>
      </c>
      <c r="K133" s="32">
        <f t="shared" si="68"/>
        <v>7.8125E-2</v>
      </c>
      <c r="L133" s="18">
        <f>IF(ISNUMBER(J133), $B145 * K133, "")</f>
        <v>11718.75</v>
      </c>
      <c r="M133" s="31">
        <v>21.1</v>
      </c>
      <c r="N133" s="32">
        <f t="shared" si="69"/>
        <v>9.8958333333333454E-2</v>
      </c>
      <c r="O133" s="18">
        <f>IF(ISNUMBER(M133), $B145 * N133, "")</f>
        <v>14843.750000000018</v>
      </c>
      <c r="Q133" s="33"/>
      <c r="R133" s="33"/>
    </row>
    <row r="134" spans="1:19" ht="17.25" thickBot="1">
      <c r="A134" s="130" t="s">
        <v>238</v>
      </c>
      <c r="B134" s="131">
        <v>67.2</v>
      </c>
      <c r="C134" s="79">
        <v>-4.6808510599999999E-2</v>
      </c>
      <c r="D134" s="24">
        <v>71.7</v>
      </c>
      <c r="E134" s="25">
        <f t="shared" si="66"/>
        <v>6.6964285714285712E-2</v>
      </c>
      <c r="F134" s="104">
        <f>IF(ISNUMBER(D134), $B145 * E134, "")</f>
        <v>10044.642857142857</v>
      </c>
      <c r="G134" s="102">
        <v>99.4</v>
      </c>
      <c r="H134" s="25">
        <f t="shared" si="67"/>
        <v>0.47916666666666669</v>
      </c>
      <c r="I134" s="103">
        <f>IF(ISNUMBER(G134), $B145 * H134, "")</f>
        <v>71875</v>
      </c>
      <c r="J134" s="24">
        <v>195</v>
      </c>
      <c r="K134" s="25">
        <f t="shared" si="68"/>
        <v>1.9017857142857142</v>
      </c>
      <c r="L134" s="104">
        <f>IF(ISNUMBER(J134), $B145 * K134, "")</f>
        <v>285267.8571428571</v>
      </c>
      <c r="M134" s="102">
        <v>183</v>
      </c>
      <c r="N134" s="25">
        <f t="shared" si="69"/>
        <v>1.7232142857142856</v>
      </c>
      <c r="O134" s="104">
        <f>IF(ISNUMBER(M134), $B145 * N134, "")</f>
        <v>258482.14285714284</v>
      </c>
      <c r="Q134" s="193"/>
      <c r="R134" s="194"/>
      <c r="S134" s="195"/>
    </row>
    <row r="135" spans="1:19">
      <c r="A135" s="123" t="s">
        <v>65</v>
      </c>
      <c r="B135" s="124">
        <v>64.099999999999994</v>
      </c>
      <c r="C135" s="76">
        <v>-4.7548291200000002E-2</v>
      </c>
      <c r="D135" s="13">
        <v>64.400000000000006</v>
      </c>
      <c r="E135" s="14">
        <f>IF(ISNUMBER(D135), (D135 - $B135) / $B135, "")</f>
        <v>4.6801872074884775E-3</v>
      </c>
      <c r="F135" s="16">
        <f>IF(ISNUMBER(D135), $B145 * E135, "")</f>
        <v>702.02808112327159</v>
      </c>
      <c r="G135" s="29">
        <v>67.3</v>
      </c>
      <c r="H135" s="14">
        <f>IF(ISNUMBER(G135), (G135 - $B135) / $B135, "")</f>
        <v>4.9921996879875245E-2</v>
      </c>
      <c r="I135" s="100">
        <f>IF(ISNUMBER(G135), $B145 * H135, "")</f>
        <v>7488.2995319812871</v>
      </c>
      <c r="J135" s="13">
        <v>67</v>
      </c>
      <c r="K135" s="14">
        <f>IF(ISNUMBER(J135), (J135 - $B135) / $B135, "")</f>
        <v>4.5241809672386987E-2</v>
      </c>
      <c r="L135" s="16">
        <f>IF(ISNUMBER(J135), $B145 * K135, "")</f>
        <v>6786.2714508580484</v>
      </c>
      <c r="M135" s="29">
        <v>65.5</v>
      </c>
      <c r="N135" s="14">
        <f>IF(ISNUMBER(M135), (M135 - $B135) / $B135, "")</f>
        <v>2.1840873634945489E-2</v>
      </c>
      <c r="O135" s="16">
        <f>IF(ISNUMBER(M135), $B145 * N135, "")</f>
        <v>3276.1310452418234</v>
      </c>
      <c r="Q135" s="196"/>
      <c r="R135" s="197"/>
      <c r="S135" s="198"/>
    </row>
    <row r="136" spans="1:19" ht="17.25" thickBot="1">
      <c r="A136" s="125" t="s">
        <v>232</v>
      </c>
      <c r="B136" s="126">
        <v>73.5</v>
      </c>
      <c r="C136" s="77">
        <v>-4.7927461099999999E-2</v>
      </c>
      <c r="D136" s="15">
        <v>76.400000000000006</v>
      </c>
      <c r="E136" s="32">
        <f t="shared" ref="E136:E139" si="70">IF(ISNUMBER(D136), (D136 - $B136) / $B136, "")</f>
        <v>3.945578231292525E-2</v>
      </c>
      <c r="F136" s="18">
        <f>IF(ISNUMBER(D136), $B145 * E136, "")</f>
        <v>5918.3673469387877</v>
      </c>
      <c r="G136" s="31">
        <v>80.099999999999994</v>
      </c>
      <c r="H136" s="32">
        <f t="shared" ref="H136:H139" si="71">IF(ISNUMBER(G136), (G136 - $B136) / $B136, "")</f>
        <v>8.9795918367346864E-2</v>
      </c>
      <c r="I136" s="101">
        <f>IF(ISNUMBER(G136), $B145 * H136, "")</f>
        <v>13469.387755102029</v>
      </c>
      <c r="J136" s="15">
        <v>85.7</v>
      </c>
      <c r="K136" s="32">
        <f t="shared" ref="K136:K139" si="72">IF(ISNUMBER(J136), (J136 - $B136) / $B136, "")</f>
        <v>0.16598639455782316</v>
      </c>
      <c r="L136" s="18">
        <f>IF(ISNUMBER(J136), $B145 * K136, "")</f>
        <v>24897.959183673473</v>
      </c>
      <c r="M136" s="31">
        <v>78.400000000000006</v>
      </c>
      <c r="N136" s="32">
        <f t="shared" ref="N136:N139" si="73">IF(ISNUMBER(M136), (M136 - $B136) / $B136, "")</f>
        <v>6.6666666666666749E-2</v>
      </c>
      <c r="O136" s="18">
        <f>IF(ISNUMBER(M136), $B145 * N136, "")</f>
        <v>10000.000000000013</v>
      </c>
      <c r="Q136" s="199"/>
      <c r="R136" s="200"/>
      <c r="S136" s="201"/>
    </row>
    <row r="137" spans="1:19" ht="17.25" thickBot="1">
      <c r="A137" s="125" t="s">
        <v>200</v>
      </c>
      <c r="B137" s="126">
        <v>74.8</v>
      </c>
      <c r="C137" s="77">
        <v>-4.8346055999999998E-2</v>
      </c>
      <c r="D137" s="15">
        <v>77.599999999999994</v>
      </c>
      <c r="E137" s="32">
        <f t="shared" si="70"/>
        <v>3.7433155080213866E-2</v>
      </c>
      <c r="F137" s="18">
        <f>IF(ISNUMBER(D137), $B145 * E137, "")</f>
        <v>5614.9732620320801</v>
      </c>
      <c r="G137" s="31">
        <v>80.2</v>
      </c>
      <c r="H137" s="32">
        <f t="shared" si="71"/>
        <v>7.2192513368984038E-2</v>
      </c>
      <c r="I137" s="101">
        <f>IF(ISNUMBER(G137), $B145 * H137, "")</f>
        <v>10828.877005347606</v>
      </c>
      <c r="J137" s="15">
        <v>92.2</v>
      </c>
      <c r="K137" s="32">
        <f t="shared" si="72"/>
        <v>0.23262032085561507</v>
      </c>
      <c r="L137" s="18">
        <f>IF(ISNUMBER(J137), $B145 * K137, "")</f>
        <v>34893.048128342263</v>
      </c>
      <c r="M137" s="31">
        <v>82</v>
      </c>
      <c r="N137" s="32">
        <f t="shared" si="73"/>
        <v>9.6256684491978647E-2</v>
      </c>
      <c r="O137" s="18">
        <f>IF(ISNUMBER(M137), $B145 * N137, "")</f>
        <v>14438.502673796796</v>
      </c>
      <c r="Q137" s="192"/>
      <c r="R137" s="192"/>
      <c r="S137" s="192"/>
    </row>
    <row r="138" spans="1:19" ht="17.25" thickBot="1">
      <c r="A138" s="125" t="s">
        <v>248</v>
      </c>
      <c r="B138" s="126">
        <v>81.900000000000006</v>
      </c>
      <c r="C138" s="77">
        <v>-4.8780487800000001E-2</v>
      </c>
      <c r="D138" s="15">
        <v>83.2</v>
      </c>
      <c r="E138" s="32">
        <f t="shared" si="70"/>
        <v>1.5873015873015837E-2</v>
      </c>
      <c r="F138" s="18">
        <f>IF(ISNUMBER(D138), $B145 * E138, "")</f>
        <v>2380.9523809523757</v>
      </c>
      <c r="G138" s="31">
        <v>89</v>
      </c>
      <c r="H138" s="32">
        <f t="shared" si="71"/>
        <v>8.6691086691086619E-2</v>
      </c>
      <c r="I138" s="101">
        <f>IF(ISNUMBER(G138), $B145 * H138, "")</f>
        <v>13003.663003662992</v>
      </c>
      <c r="J138" s="15">
        <v>89.4</v>
      </c>
      <c r="K138" s="32">
        <f t="shared" si="72"/>
        <v>9.1575091575091569E-2</v>
      </c>
      <c r="L138" s="18">
        <f>IF(ISNUMBER(J138), $B145 * K138, "")</f>
        <v>13736.263736263736</v>
      </c>
      <c r="M138" s="31">
        <v>87.6</v>
      </c>
      <c r="N138" s="32">
        <f t="shared" si="73"/>
        <v>6.9597069597069447E-2</v>
      </c>
      <c r="O138" s="18">
        <f>IF(ISNUMBER(M138), $B145 * N138, "")</f>
        <v>10439.560439560417</v>
      </c>
      <c r="Q138" s="202"/>
      <c r="R138" s="202"/>
      <c r="S138" s="202"/>
    </row>
    <row r="139" spans="1:19" ht="17.25" thickBot="1">
      <c r="A139" s="127" t="s">
        <v>328</v>
      </c>
      <c r="B139" s="128">
        <v>0.28000000000000003</v>
      </c>
      <c r="C139" s="78">
        <v>-5.08474576E-2</v>
      </c>
      <c r="D139" s="20">
        <v>0.27800000000000002</v>
      </c>
      <c r="E139" s="21">
        <f t="shared" si="70"/>
        <v>-7.1428571428571487E-3</v>
      </c>
      <c r="F139" s="22">
        <f>IF(ISNUMBER(D139), $B145 * E139, "")</f>
        <v>-1071.4285714285722</v>
      </c>
      <c r="G139" s="30">
        <v>0.28199999999999997</v>
      </c>
      <c r="H139" s="21">
        <f t="shared" si="71"/>
        <v>7.1428571428569501E-3</v>
      </c>
      <c r="I139" s="105">
        <f>IF(ISNUMBER(G139), $B145 * H139, "")</f>
        <v>1071.4285714285425</v>
      </c>
      <c r="J139" s="20">
        <v>0.27800000000000002</v>
      </c>
      <c r="K139" s="21">
        <f t="shared" si="72"/>
        <v>-7.1428571428571487E-3</v>
      </c>
      <c r="L139" s="22">
        <f>IF(ISNUMBER(J139), $B145 * K139, "")</f>
        <v>-1071.4285714285722</v>
      </c>
      <c r="M139" s="30">
        <v>0.27600000000000002</v>
      </c>
      <c r="N139" s="21">
        <f t="shared" si="73"/>
        <v>-1.4285714285714297E-2</v>
      </c>
      <c r="O139" s="22">
        <f>IF(ISNUMBER(M139), $B145 * N139, "")</f>
        <v>-2142.8571428571445</v>
      </c>
      <c r="Q139" s="202"/>
      <c r="R139" s="202"/>
      <c r="S139" s="202"/>
    </row>
    <row r="140" spans="1:19" ht="17.25" thickBot="1">
      <c r="A140" s="125" t="s">
        <v>186</v>
      </c>
      <c r="B140" s="129">
        <v>12.9</v>
      </c>
      <c r="C140" s="80">
        <v>-5.14705882E-2</v>
      </c>
      <c r="D140" s="106">
        <v>13.3</v>
      </c>
      <c r="E140" s="107">
        <f>IF(ISNUMBER(D140), (D140 - $B140) / $B140, "")</f>
        <v>3.1007751937984523E-2</v>
      </c>
      <c r="F140" s="108">
        <f>IF(ISNUMBER(D140), $B145 * E140, "")</f>
        <v>4651.1627906976782</v>
      </c>
      <c r="G140" s="109">
        <v>15.2</v>
      </c>
      <c r="H140" s="107">
        <f>IF(ISNUMBER(G140), (G140 - $B140) / $B140, "")</f>
        <v>0.17829457364341075</v>
      </c>
      <c r="I140" s="110">
        <f>IF(ISNUMBER(G140), $B145 * H140, "")</f>
        <v>26744.186046511611</v>
      </c>
      <c r="J140" s="106">
        <v>22.1</v>
      </c>
      <c r="K140" s="107">
        <f>IF(ISNUMBER(J140), (J140 - $B140) / $B140, "")</f>
        <v>0.71317829457364346</v>
      </c>
      <c r="L140" s="108">
        <f>IF(ISNUMBER(J140), $B145 * K140, "")</f>
        <v>106976.74418604652</v>
      </c>
      <c r="M140" s="109">
        <v>17.600000000000001</v>
      </c>
      <c r="N140" s="107">
        <f>IF(ISNUMBER(M140), (M140 - $B140) / $B140, "")</f>
        <v>0.36434108527131792</v>
      </c>
      <c r="O140" s="108">
        <f>IF(ISNUMBER(M140), $B145 * N140, "")</f>
        <v>54651.162790697686</v>
      </c>
      <c r="Q140" s="192"/>
      <c r="R140" s="192"/>
      <c r="S140" s="192"/>
    </row>
    <row r="141" spans="1:19" ht="17.25" thickBot="1">
      <c r="A141" s="125" t="s">
        <v>202</v>
      </c>
      <c r="B141" s="126">
        <v>14.3</v>
      </c>
      <c r="C141" s="77">
        <v>-5.2980132499999999E-2</v>
      </c>
      <c r="D141" s="15">
        <v>14.5</v>
      </c>
      <c r="E141" s="32">
        <f t="shared" ref="E141:E144" si="74">IF(ISNUMBER(D141), (D141 - $B141) / $B141, "")</f>
        <v>1.3986013986013936E-2</v>
      </c>
      <c r="F141" s="18">
        <f>IF(ISNUMBER(D141), $B145 * E141, "")</f>
        <v>2097.9020979020902</v>
      </c>
      <c r="G141" s="31">
        <v>15.3</v>
      </c>
      <c r="H141" s="32">
        <f t="shared" ref="H141:H144" si="75">IF(ISNUMBER(G141), (G141 - $B141) / $B141, "")</f>
        <v>6.9930069930069921E-2</v>
      </c>
      <c r="I141" s="101">
        <f>IF(ISNUMBER(G141), $B145 * H141, "")</f>
        <v>10489.510489510489</v>
      </c>
      <c r="J141" s="15">
        <v>16.899999999999999</v>
      </c>
      <c r="K141" s="32">
        <f t="shared" ref="K141:K144" si="76">IF(ISNUMBER(J141), (J141 - $B141) / $B141, "")</f>
        <v>0.18181818181818166</v>
      </c>
      <c r="L141" s="18">
        <f>IF(ISNUMBER(J141), $B145 * K141, "")</f>
        <v>27272.72727272725</v>
      </c>
      <c r="M141" s="31">
        <v>15.3</v>
      </c>
      <c r="N141" s="32">
        <f t="shared" ref="N141:N144" si="77">IF(ISNUMBER(M141), (M141 - $B141) / $B141, "")</f>
        <v>6.9930069930069921E-2</v>
      </c>
      <c r="O141" s="18">
        <f>IF(ISNUMBER(M141), $B145 * N141, "")</f>
        <v>10489.510489510489</v>
      </c>
      <c r="Q141" s="192"/>
      <c r="R141" s="192"/>
      <c r="S141" s="192"/>
    </row>
    <row r="142" spans="1:19" ht="17.25" thickBot="1">
      <c r="A142" s="125" t="s">
        <v>214</v>
      </c>
      <c r="B142" s="126">
        <v>10.5</v>
      </c>
      <c r="C142" s="77">
        <v>-5.4054054099999999E-2</v>
      </c>
      <c r="D142" s="15">
        <v>10.8</v>
      </c>
      <c r="E142" s="32">
        <f t="shared" si="74"/>
        <v>2.857142857142864E-2</v>
      </c>
      <c r="F142" s="18">
        <f>IF(ISNUMBER(D142), $B145 * E142, "")</f>
        <v>4285.7142857142962</v>
      </c>
      <c r="G142" s="31">
        <v>10.9</v>
      </c>
      <c r="H142" s="32">
        <f t="shared" si="75"/>
        <v>3.8095238095238126E-2</v>
      </c>
      <c r="I142" s="101">
        <f>IF(ISNUMBER(G142), $B145 * H142, "")</f>
        <v>5714.2857142857192</v>
      </c>
      <c r="J142" s="15">
        <v>11.9</v>
      </c>
      <c r="K142" s="32">
        <f t="shared" si="76"/>
        <v>0.13333333333333336</v>
      </c>
      <c r="L142" s="18">
        <f>IF(ISNUMBER(J142), $B145 * K142, "")</f>
        <v>20000.000000000004</v>
      </c>
      <c r="M142" s="31">
        <v>11.5</v>
      </c>
      <c r="N142" s="32">
        <f t="shared" si="77"/>
        <v>9.5238095238095233E-2</v>
      </c>
      <c r="O142" s="18">
        <f>IF(ISNUMBER(M142), $B145 * N142, "")</f>
        <v>14285.714285714284</v>
      </c>
      <c r="Q142" s="192"/>
      <c r="R142" s="192"/>
      <c r="S142" s="192"/>
    </row>
    <row r="143" spans="1:19">
      <c r="A143" s="125" t="s">
        <v>120</v>
      </c>
      <c r="B143" s="126">
        <v>35.1</v>
      </c>
      <c r="C143" s="77">
        <v>-5.6451612900000003E-2</v>
      </c>
      <c r="D143" s="15">
        <v>35.799999999999997</v>
      </c>
      <c r="E143" s="32">
        <f t="shared" si="74"/>
        <v>1.9943019943019821E-2</v>
      </c>
      <c r="F143" s="18">
        <f>IF(ISNUMBER(D143), $B145 * E143, "")</f>
        <v>2991.452991452973</v>
      </c>
      <c r="G143" s="31">
        <v>37.4</v>
      </c>
      <c r="H143" s="32">
        <f t="shared" si="75"/>
        <v>6.5527065527065442E-2</v>
      </c>
      <c r="I143" s="101">
        <f>IF(ISNUMBER(G143), $B145 * H143, "")</f>
        <v>9829.0598290598155</v>
      </c>
      <c r="J143" s="15">
        <v>39.6</v>
      </c>
      <c r="K143" s="32">
        <f t="shared" si="76"/>
        <v>0.12820512820512819</v>
      </c>
      <c r="L143" s="18">
        <f>IF(ISNUMBER(J143), $B145 * K143, "")</f>
        <v>19230.76923076923</v>
      </c>
      <c r="M143" s="31">
        <v>37.5</v>
      </c>
      <c r="N143" s="32">
        <f t="shared" si="77"/>
        <v>6.8376068376068327E-2</v>
      </c>
      <c r="O143" s="18">
        <f>IF(ISNUMBER(M143), $B145 * N143, "")</f>
        <v>10256.410256410249</v>
      </c>
      <c r="Q143" s="181"/>
      <c r="R143" s="182"/>
      <c r="S143" s="1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84"/>
      <c r="R144" s="185"/>
      <c r="S144" s="186"/>
    </row>
    <row r="145" spans="1:19" ht="17.25" thickBot="1">
      <c r="A145" s="132" t="s">
        <v>268</v>
      </c>
      <c r="B145" s="245">
        <f>$B$37</f>
        <v>150000</v>
      </c>
      <c r="C145" s="246"/>
      <c r="D145" s="26" t="s">
        <v>269</v>
      </c>
      <c r="E145" s="27">
        <f>IF(COUNT(E125:E144), SUM(E125:E144) / COUNT(E125:E144), 0)</f>
        <v>2.3513177242353155E-2</v>
      </c>
      <c r="F145" s="28">
        <f>SUM(F125:F144)</f>
        <v>67012.555140706507</v>
      </c>
      <c r="G145" s="26" t="s">
        <v>269</v>
      </c>
      <c r="H145" s="27">
        <f>IF(COUNT(H125:H144), SUM(H125:H144) / COUNT(H125:H144), 0)</f>
        <v>9.0655837340417739E-2</v>
      </c>
      <c r="I145" s="28">
        <f>SUM(I125:I144)</f>
        <v>258369.13642019057</v>
      </c>
      <c r="J145" s="26" t="s">
        <v>269</v>
      </c>
      <c r="K145" s="27">
        <f>IF(COUNT(K125:K144), SUM(K125:K144) / COUNT(K125:K144), 0)</f>
        <v>0.24468790303385832</v>
      </c>
      <c r="L145" s="28">
        <f>SUM(L125:L144)</f>
        <v>697360.523646496</v>
      </c>
      <c r="M145" s="26" t="s">
        <v>269</v>
      </c>
      <c r="N145" s="27">
        <f>IF(COUNT(N125:N144), SUM(N125:N144) / COUNT(N125:N144), 0)</f>
        <v>0.17017400819119885</v>
      </c>
      <c r="O145" s="28">
        <f>SUM(O125:O144)</f>
        <v>484995.92334491666</v>
      </c>
      <c r="Q145" s="187"/>
      <c r="R145" s="188"/>
      <c r="S145" s="189"/>
    </row>
    <row r="147" spans="1:19" ht="17.25" thickBot="1"/>
    <row r="148" spans="1:19" ht="17.25" thickBot="1">
      <c r="A148" s="203" t="s">
        <v>257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73" t="s">
        <v>265</v>
      </c>
      <c r="B149" s="203" t="s">
        <v>49</v>
      </c>
      <c r="C149" s="205"/>
      <c r="D149" s="203" t="s">
        <v>58</v>
      </c>
      <c r="E149" s="204"/>
      <c r="F149" s="205"/>
      <c r="G149" s="206">
        <f>_xlfn.IFNA(VLOOKUP(B149, 현재가테이블!$B$2:$D$200, 2, FALSE), "-")</f>
        <v>62630000</v>
      </c>
      <c r="H149" s="207"/>
      <c r="I149" s="208"/>
      <c r="J149" s="203" t="s">
        <v>59</v>
      </c>
      <c r="K149" s="204"/>
      <c r="L149" s="205"/>
      <c r="M149" s="209">
        <f>_xlfn.IFNA(VLOOKUP(B149, 현재가테이블!$B$2:$D$200, 3, FALSE), "-")</f>
        <v>1.5632601400000001E-2</v>
      </c>
      <c r="N149" s="210"/>
      <c r="O149" s="211"/>
      <c r="Q149" s="202"/>
      <c r="R149" s="202"/>
      <c r="S149" s="202"/>
    </row>
    <row r="150" spans="1:19" ht="17.25" thickBot="1">
      <c r="A150" s="247" t="s">
        <v>55</v>
      </c>
      <c r="B150" s="243" t="str">
        <f>TEXT($G$1, "[$-ko-KR]yyyy-mm-dd(ddd) ") &amp; "오전 00:00"</f>
        <v>2021-10-05(화) 오전 00:00</v>
      </c>
      <c r="C150" s="244"/>
      <c r="D150" s="216" t="str">
        <f>TEXT($G$1, "[$-ko-KR]yyyy-mm-dd(ddd) ") &amp; "오후 14:00"</f>
        <v>2021-10-05(화) 오후 14:00</v>
      </c>
      <c r="E150" s="217"/>
      <c r="F150" s="218"/>
      <c r="G150" s="216" t="str">
        <f>TEXT($G$1, "[$-ko-KR]yyyy-mm-dd(ddd) ") &amp; "오후 19:00"</f>
        <v>2021-10-05(화) 오후 19:00</v>
      </c>
      <c r="H150" s="217"/>
      <c r="I150" s="218"/>
      <c r="J150" s="216" t="str">
        <f>TEXT($G$1, "[$-ko-KR]yyyy-mm-dd(ddd) ") &amp; "오후 21:00"</f>
        <v>2021-10-05(화) 오후 21:00</v>
      </c>
      <c r="K150" s="217"/>
      <c r="L150" s="218"/>
      <c r="M150" s="216" t="str">
        <f>TEXT($G$1+1, "[$-ko-KR]yyyy-mm-dd(ddd) ") &amp; "오전 00:00"</f>
        <v>2021-10-06(수) 오전 00:00</v>
      </c>
      <c r="N150" s="217"/>
      <c r="O150" s="218"/>
      <c r="Q150" s="202"/>
      <c r="R150" s="202"/>
      <c r="S150" s="202"/>
    </row>
    <row r="151" spans="1:19" ht="17.25" thickBot="1">
      <c r="A151" s="24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4" t="s">
        <v>58</v>
      </c>
      <c r="H151" s="175" t="s">
        <v>266</v>
      </c>
      <c r="I151" s="17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192"/>
      <c r="R151" s="192"/>
      <c r="S151" s="192"/>
    </row>
    <row r="152" spans="1:19" ht="17.25" thickBot="1">
      <c r="A152" s="123" t="s">
        <v>198</v>
      </c>
      <c r="B152" s="124">
        <v>184</v>
      </c>
      <c r="C152" s="76">
        <v>-3.1578947400000001E-2</v>
      </c>
      <c r="D152" s="13">
        <v>187</v>
      </c>
      <c r="E152" s="14">
        <f>IF(ISNUMBER(D152), (D152 - $B152) / $B152, "")</f>
        <v>1.6304347826086956E-2</v>
      </c>
      <c r="F152" s="16">
        <f>IF(ISNUMBER(D152), $B172 * E152, "")</f>
        <v>2445.6521739130435</v>
      </c>
      <c r="G152" s="29">
        <v>194</v>
      </c>
      <c r="H152" s="14">
        <f>IF(ISNUMBER(G152), (G152 - $B152) / $B152, "")</f>
        <v>5.434782608695652E-2</v>
      </c>
      <c r="I152" s="100">
        <f>IF(ISNUMBER(G152), $B172 * H152, "")</f>
        <v>8152.173913043478</v>
      </c>
      <c r="J152" s="13">
        <v>210</v>
      </c>
      <c r="K152" s="14">
        <f>IF(ISNUMBER(J152), (J152 - $B152) / $B152, "")</f>
        <v>0.14130434782608695</v>
      </c>
      <c r="L152" s="16">
        <f>IF(ISNUMBER(J152), $B172 * K152, "")</f>
        <v>21195.65217391304</v>
      </c>
      <c r="M152" s="29">
        <v>193</v>
      </c>
      <c r="N152" s="14">
        <f>IF(ISNUMBER(M152), (M152 - $B152) / $B152, "")</f>
        <v>4.8913043478260872E-2</v>
      </c>
      <c r="O152" s="16">
        <f>IF(ISNUMBER(M152), $B172 * N152, "")</f>
        <v>7336.9565217391309</v>
      </c>
      <c r="Q152" s="202"/>
      <c r="R152" s="202"/>
      <c r="S152" s="202"/>
    </row>
    <row r="153" spans="1:19" ht="17.25" thickBot="1">
      <c r="A153" s="125" t="s">
        <v>240</v>
      </c>
      <c r="B153" s="126">
        <v>617</v>
      </c>
      <c r="C153" s="77">
        <v>-3.2915360499999997E-2</v>
      </c>
      <c r="D153" s="15">
        <v>627</v>
      </c>
      <c r="E153" s="32">
        <f t="shared" ref="E153:E156" si="78">IF(ISNUMBER(D153), (D153 - $B153) / $B153, "")</f>
        <v>1.6207455429497569E-2</v>
      </c>
      <c r="F153" s="18">
        <f>IF(ISNUMBER(D153), $B172 * E153, "")</f>
        <v>2431.1183144246352</v>
      </c>
      <c r="G153" s="31">
        <v>637</v>
      </c>
      <c r="H153" s="32">
        <f t="shared" ref="H153:H156" si="79">IF(ISNUMBER(G153), (G153 - $B153) / $B153, "")</f>
        <v>3.2414910858995137E-2</v>
      </c>
      <c r="I153" s="101">
        <f>IF(ISNUMBER(G153), $B172 * H153, "")</f>
        <v>4862.2366288492703</v>
      </c>
      <c r="J153" s="15">
        <v>635</v>
      </c>
      <c r="K153" s="32">
        <f t="shared" ref="K153:K156" si="80">IF(ISNUMBER(J153), (J153 - $B153) / $B153, "")</f>
        <v>2.9173419773095625E-2</v>
      </c>
      <c r="L153" s="18">
        <f>IF(ISNUMBER(J153), $B172 * K153, "")</f>
        <v>4376.0129659643435</v>
      </c>
      <c r="M153" s="31">
        <v>640</v>
      </c>
      <c r="N153" s="32">
        <f t="shared" ref="N153:N156" si="81">IF(ISNUMBER(M153), (M153 - $B153) / $B153, "")</f>
        <v>3.7277147487844407E-2</v>
      </c>
      <c r="O153" s="18">
        <f>IF(ISNUMBER(M153), $B172 * N153, "")</f>
        <v>5591.5721231766611</v>
      </c>
      <c r="Q153" s="202"/>
      <c r="R153" s="202"/>
      <c r="S153" s="202"/>
    </row>
    <row r="154" spans="1:19" ht="17.25" thickBot="1">
      <c r="A154" s="125" t="s">
        <v>116</v>
      </c>
      <c r="B154" s="126">
        <v>213</v>
      </c>
      <c r="C154" s="77">
        <v>-3.6199095000000001E-2</v>
      </c>
      <c r="D154" s="15">
        <v>218</v>
      </c>
      <c r="E154" s="32">
        <f t="shared" si="78"/>
        <v>2.3474178403755867E-2</v>
      </c>
      <c r="F154" s="18">
        <f>IF(ISNUMBER(D154), $B172 * E154, "")</f>
        <v>3521.1267605633802</v>
      </c>
      <c r="G154" s="31">
        <v>220</v>
      </c>
      <c r="H154" s="32">
        <f t="shared" si="79"/>
        <v>3.2863849765258218E-2</v>
      </c>
      <c r="I154" s="101">
        <f>IF(ISNUMBER(G154), $B172 * H154, "")</f>
        <v>4929.5774647887329</v>
      </c>
      <c r="J154" s="15">
        <v>218</v>
      </c>
      <c r="K154" s="32">
        <f t="shared" si="80"/>
        <v>2.3474178403755867E-2</v>
      </c>
      <c r="L154" s="18">
        <f>IF(ISNUMBER(J154), $B172 * K154, "")</f>
        <v>3521.1267605633802</v>
      </c>
      <c r="M154" s="31">
        <v>217</v>
      </c>
      <c r="N154" s="32">
        <f t="shared" si="81"/>
        <v>1.8779342723004695E-2</v>
      </c>
      <c r="O154" s="18">
        <f>IF(ISNUMBER(M154), $B172 * N154, "")</f>
        <v>2816.9014084507044</v>
      </c>
      <c r="Q154" s="192"/>
      <c r="R154" s="192"/>
      <c r="S154" s="192"/>
    </row>
    <row r="155" spans="1:19" ht="17.25" thickBot="1">
      <c r="A155" s="125" t="s">
        <v>128</v>
      </c>
      <c r="B155" s="126">
        <v>132</v>
      </c>
      <c r="C155" s="77">
        <v>-3.6496350400000002E-2</v>
      </c>
      <c r="D155" s="15">
        <v>135</v>
      </c>
      <c r="E155" s="32">
        <f t="shared" si="78"/>
        <v>2.2727272727272728E-2</v>
      </c>
      <c r="F155" s="18">
        <f>IF(ISNUMBER(D155), $B172 * E155, "")</f>
        <v>3409.090909090909</v>
      </c>
      <c r="G155" s="31">
        <v>137</v>
      </c>
      <c r="H155" s="32">
        <f t="shared" si="79"/>
        <v>3.787878787878788E-2</v>
      </c>
      <c r="I155" s="101">
        <f>IF(ISNUMBER(G155), $B172 * H155, "")</f>
        <v>5681.818181818182</v>
      </c>
      <c r="J155" s="15">
        <v>142</v>
      </c>
      <c r="K155" s="32">
        <f t="shared" si="80"/>
        <v>7.575757575757576E-2</v>
      </c>
      <c r="L155" s="18">
        <f>IF(ISNUMBER(J155), $B172 * K155, "")</f>
        <v>11363.636363636364</v>
      </c>
      <c r="M155" s="31">
        <v>140</v>
      </c>
      <c r="N155" s="32">
        <f t="shared" si="81"/>
        <v>6.0606060606060608E-2</v>
      </c>
      <c r="O155" s="18">
        <f>IF(ISNUMBER(M155), $B172 * N155, "")</f>
        <v>9090.9090909090919</v>
      </c>
      <c r="Q155" s="192"/>
      <c r="R155" s="192"/>
      <c r="S155" s="192"/>
    </row>
    <row r="156" spans="1:19" ht="17.25" thickBot="1">
      <c r="A156" s="127" t="s">
        <v>142</v>
      </c>
      <c r="B156" s="128">
        <v>101</v>
      </c>
      <c r="C156" s="78">
        <v>-3.8095238099999998E-2</v>
      </c>
      <c r="D156" s="20">
        <v>100</v>
      </c>
      <c r="E156" s="21">
        <f t="shared" si="78"/>
        <v>-9.9009900990099011E-3</v>
      </c>
      <c r="F156" s="22">
        <f>IF(ISNUMBER(D156), $B172 * E156, "")</f>
        <v>-1485.1485148514851</v>
      </c>
      <c r="G156" s="30">
        <v>103</v>
      </c>
      <c r="H156" s="21">
        <f t="shared" si="79"/>
        <v>1.9801980198019802E-2</v>
      </c>
      <c r="I156" s="105">
        <f>IF(ISNUMBER(G156), $B172 * H156, "")</f>
        <v>2970.2970297029701</v>
      </c>
      <c r="J156" s="20">
        <v>105</v>
      </c>
      <c r="K156" s="21">
        <f t="shared" si="80"/>
        <v>3.9603960396039604E-2</v>
      </c>
      <c r="L156" s="22">
        <f>IF(ISNUMBER(J156), $B172 * K156, "")</f>
        <v>5940.5940594059402</v>
      </c>
      <c r="M156" s="30">
        <v>105</v>
      </c>
      <c r="N156" s="21">
        <f t="shared" si="81"/>
        <v>3.9603960396039604E-2</v>
      </c>
      <c r="O156" s="22">
        <f>IF(ISNUMBER(M156), $B172 * N156, "")</f>
        <v>5940.5940594059402</v>
      </c>
      <c r="Q156" s="192"/>
      <c r="R156" s="192"/>
      <c r="S156" s="192"/>
    </row>
    <row r="157" spans="1:19" ht="17.25" thickBot="1">
      <c r="A157" s="125" t="s">
        <v>80</v>
      </c>
      <c r="B157" s="129">
        <v>850</v>
      </c>
      <c r="C157" s="80">
        <v>-3.8461538500000003E-2</v>
      </c>
      <c r="D157" s="106">
        <v>855</v>
      </c>
      <c r="E157" s="107">
        <f>IF(ISNUMBER(D157), (D157 - $B157) / $B157, "")</f>
        <v>5.8823529411764705E-3</v>
      </c>
      <c r="F157" s="108">
        <f>IF(ISNUMBER(D157), $B172 * E157, "")</f>
        <v>882.35294117647061</v>
      </c>
      <c r="G157" s="109">
        <v>872</v>
      </c>
      <c r="H157" s="107">
        <f>IF(ISNUMBER(G157), (G157 - $B157) / $B157, "")</f>
        <v>2.5882352941176471E-2</v>
      </c>
      <c r="I157" s="110">
        <f>IF(ISNUMBER(G157), $B172 * H157, "")</f>
        <v>3882.3529411764707</v>
      </c>
      <c r="J157" s="106">
        <v>864</v>
      </c>
      <c r="K157" s="107">
        <f>IF(ISNUMBER(J157), (J157 - $B157) / $B157, "")</f>
        <v>1.6470588235294119E-2</v>
      </c>
      <c r="L157" s="108">
        <f>IF(ISNUMBER(J157), $B172 * K157, "")</f>
        <v>2470.588235294118</v>
      </c>
      <c r="M157" s="109">
        <v>865</v>
      </c>
      <c r="N157" s="107">
        <f>IF(ISNUMBER(M157), (M157 - $B157) / $B157, "")</f>
        <v>1.7647058823529412E-2</v>
      </c>
      <c r="O157" s="108">
        <f>IF(ISNUMBER(M157), $B172 * N157, "")</f>
        <v>2647.0588235294117</v>
      </c>
      <c r="Q157" s="192"/>
      <c r="R157" s="192"/>
      <c r="S157" s="192"/>
    </row>
    <row r="158" spans="1:19" ht="17.25" thickBot="1">
      <c r="A158" s="125" t="s">
        <v>57</v>
      </c>
      <c r="B158" s="126">
        <v>189</v>
      </c>
      <c r="C158" s="77">
        <v>-4.0609137099999998E-2</v>
      </c>
      <c r="D158" s="15">
        <v>191</v>
      </c>
      <c r="E158" s="32">
        <f t="shared" ref="E158:E161" si="82">IF(ISNUMBER(D158), (D158 - $B158) / $B158, "")</f>
        <v>1.0582010582010581E-2</v>
      </c>
      <c r="F158" s="18">
        <f>IF(ISNUMBER(D158), $B172 * E158, "")</f>
        <v>1587.3015873015872</v>
      </c>
      <c r="G158" s="31">
        <v>195</v>
      </c>
      <c r="H158" s="32">
        <f t="shared" ref="H158:H161" si="83">IF(ISNUMBER(G158), (G158 - $B158) / $B158, "")</f>
        <v>3.1746031746031744E-2</v>
      </c>
      <c r="I158" s="101">
        <f>IF(ISNUMBER(G158), $B172 * H158, "")</f>
        <v>4761.9047619047615</v>
      </c>
      <c r="J158" s="15">
        <v>196</v>
      </c>
      <c r="K158" s="32">
        <f t="shared" ref="K158:K161" si="84">IF(ISNUMBER(J158), (J158 - $B158) / $B158, "")</f>
        <v>3.7037037037037035E-2</v>
      </c>
      <c r="L158" s="18">
        <f>IF(ISNUMBER(J158), $B172 * K158, "")</f>
        <v>5555.5555555555557</v>
      </c>
      <c r="M158" s="31">
        <v>201</v>
      </c>
      <c r="N158" s="32">
        <f t="shared" ref="N158:N161" si="85">IF(ISNUMBER(M158), (M158 - $B158) / $B158, "")</f>
        <v>6.3492063492063489E-2</v>
      </c>
      <c r="O158" s="18">
        <f>IF(ISNUMBER(M158), $B172 * N158, "")</f>
        <v>9523.8095238095229</v>
      </c>
      <c r="Q158" s="192"/>
      <c r="R158" s="192"/>
      <c r="S158" s="192"/>
    </row>
    <row r="159" spans="1:19" ht="17.25" thickBot="1">
      <c r="A159" s="125" t="s">
        <v>51</v>
      </c>
      <c r="B159" s="126">
        <v>366</v>
      </c>
      <c r="C159" s="77">
        <v>-4.1884816800000002E-2</v>
      </c>
      <c r="D159" s="15">
        <v>382</v>
      </c>
      <c r="E159" s="32">
        <f t="shared" si="82"/>
        <v>4.3715846994535519E-2</v>
      </c>
      <c r="F159" s="18">
        <f>IF(ISNUMBER(D159), $B172 * E159, "")</f>
        <v>6557.377049180328</v>
      </c>
      <c r="G159" s="31">
        <v>385</v>
      </c>
      <c r="H159" s="32">
        <f t="shared" si="83"/>
        <v>5.1912568306010931E-2</v>
      </c>
      <c r="I159" s="101">
        <f>IF(ISNUMBER(G159), $B172 * H159, "")</f>
        <v>7786.8852459016398</v>
      </c>
      <c r="J159" s="15">
        <v>380</v>
      </c>
      <c r="K159" s="32">
        <f t="shared" si="84"/>
        <v>3.825136612021858E-2</v>
      </c>
      <c r="L159" s="18">
        <f>IF(ISNUMBER(J159), $B172 * K159, "")</f>
        <v>5737.7049180327867</v>
      </c>
      <c r="M159" s="31">
        <v>376</v>
      </c>
      <c r="N159" s="32">
        <f t="shared" si="85"/>
        <v>2.7322404371584699E-2</v>
      </c>
      <c r="O159" s="18">
        <f>IF(ISNUMBER(M159), $B172 * N159, "")</f>
        <v>4098.3606557377052</v>
      </c>
      <c r="Q159" s="192"/>
      <c r="R159" s="192"/>
      <c r="S159" s="192"/>
    </row>
    <row r="160" spans="1:19" ht="17.25" thickBot="1">
      <c r="A160" s="125" t="s">
        <v>192</v>
      </c>
      <c r="B160" s="126">
        <v>111</v>
      </c>
      <c r="C160" s="77">
        <v>-4.31034483E-2</v>
      </c>
      <c r="D160" s="15">
        <v>112</v>
      </c>
      <c r="E160" s="32">
        <f t="shared" si="82"/>
        <v>9.0090090090090089E-3</v>
      </c>
      <c r="F160" s="18">
        <f>IF(ISNUMBER(D160), $B172 * E160, "")</f>
        <v>1351.3513513513512</v>
      </c>
      <c r="G160" s="31">
        <v>118</v>
      </c>
      <c r="H160" s="32">
        <f t="shared" si="83"/>
        <v>6.3063063063063057E-2</v>
      </c>
      <c r="I160" s="101">
        <f>IF(ISNUMBER(G160), $B172 * H160, "")</f>
        <v>9459.4594594594582</v>
      </c>
      <c r="J160" s="15">
        <v>123</v>
      </c>
      <c r="K160" s="32">
        <f t="shared" si="84"/>
        <v>0.10810810810810811</v>
      </c>
      <c r="L160" s="18">
        <f>IF(ISNUMBER(J160), $B172 * K160, "")</f>
        <v>16216.216216216217</v>
      </c>
      <c r="M160" s="31">
        <v>119</v>
      </c>
      <c r="N160" s="32">
        <f t="shared" si="85"/>
        <v>7.2072072072072071E-2</v>
      </c>
      <c r="O160" s="18">
        <f>IF(ISNUMBER(M160), $B172 * N160, "")</f>
        <v>10810.81081081081</v>
      </c>
      <c r="Q160" s="33"/>
      <c r="R160" s="33"/>
    </row>
    <row r="161" spans="1:19" ht="17.25" thickBot="1">
      <c r="A161" s="130" t="s">
        <v>250</v>
      </c>
      <c r="B161" s="131">
        <v>995</v>
      </c>
      <c r="C161" s="79">
        <v>-4.3269230800000003E-2</v>
      </c>
      <c r="D161" s="24">
        <v>1015</v>
      </c>
      <c r="E161" s="25">
        <f t="shared" si="82"/>
        <v>2.0100502512562814E-2</v>
      </c>
      <c r="F161" s="104">
        <f>IF(ISNUMBER(D161), $B172 * E161, "")</f>
        <v>3015.075376884422</v>
      </c>
      <c r="G161" s="102">
        <v>1040</v>
      </c>
      <c r="H161" s="25">
        <f t="shared" si="83"/>
        <v>4.5226130653266333E-2</v>
      </c>
      <c r="I161" s="103">
        <f>IF(ISNUMBER(G161), $B172 * H161, "")</f>
        <v>6783.9195979899496</v>
      </c>
      <c r="J161" s="24">
        <v>1080</v>
      </c>
      <c r="K161" s="25">
        <f t="shared" si="84"/>
        <v>8.5427135678391955E-2</v>
      </c>
      <c r="L161" s="104">
        <f>IF(ISNUMBER(J161), $B172 * K161, "")</f>
        <v>12814.070351758794</v>
      </c>
      <c r="M161" s="102">
        <v>1050</v>
      </c>
      <c r="N161" s="25">
        <f t="shared" si="85"/>
        <v>5.5276381909547742E-2</v>
      </c>
      <c r="O161" s="104">
        <f>IF(ISNUMBER(M161), $B172 * N161, "")</f>
        <v>8291.4572864321617</v>
      </c>
      <c r="Q161" s="193"/>
      <c r="R161" s="194"/>
      <c r="S161" s="195"/>
    </row>
    <row r="162" spans="1:19">
      <c r="A162" s="123" t="s">
        <v>226</v>
      </c>
      <c r="B162" s="124">
        <v>899</v>
      </c>
      <c r="C162" s="76">
        <v>-4.6659596999999997E-2</v>
      </c>
      <c r="D162" s="13">
        <v>903</v>
      </c>
      <c r="E162" s="14">
        <f>IF(ISNUMBER(D162), (D162 - $B162) / $B162, "")</f>
        <v>4.4493882091212458E-3</v>
      </c>
      <c r="F162" s="16">
        <f>IF(ISNUMBER(D162), $B172 * E162, "")</f>
        <v>667.40823136818688</v>
      </c>
      <c r="G162" s="29">
        <v>916</v>
      </c>
      <c r="H162" s="14">
        <f>IF(ISNUMBER(G162), (G162 - $B162) / $B162, "")</f>
        <v>1.8909899888765295E-2</v>
      </c>
      <c r="I162" s="100">
        <f>IF(ISNUMBER(G162), $B172 * H162, "")</f>
        <v>2836.4849833147941</v>
      </c>
      <c r="J162" s="13">
        <v>931</v>
      </c>
      <c r="K162" s="14">
        <f>IF(ISNUMBER(J162), (J162 - $B162) / $B162, "")</f>
        <v>3.5595105672969966E-2</v>
      </c>
      <c r="L162" s="16">
        <f>IF(ISNUMBER(J162), $B172 * K162, "")</f>
        <v>5339.265850945495</v>
      </c>
      <c r="M162" s="29">
        <v>921</v>
      </c>
      <c r="N162" s="14">
        <f>IF(ISNUMBER(M162), (M162 - $B162) / $B162, "")</f>
        <v>2.4471635150166853E-2</v>
      </c>
      <c r="O162" s="16">
        <f>IF(ISNUMBER(M162), $B172 * N162, "")</f>
        <v>3670.7452725250278</v>
      </c>
      <c r="Q162" s="196"/>
      <c r="R162" s="197"/>
      <c r="S162" s="198"/>
    </row>
    <row r="163" spans="1:19" ht="17.25" thickBot="1">
      <c r="A163" s="125" t="s">
        <v>220</v>
      </c>
      <c r="B163" s="126">
        <v>161</v>
      </c>
      <c r="C163" s="77">
        <v>-4.7337278099999998E-2</v>
      </c>
      <c r="D163" s="15">
        <v>163</v>
      </c>
      <c r="E163" s="32">
        <f t="shared" ref="E163:E166" si="86">IF(ISNUMBER(D163), (D163 - $B163) / $B163, "")</f>
        <v>1.2422360248447204E-2</v>
      </c>
      <c r="F163" s="18">
        <f>IF(ISNUMBER(D163), $B172 * E163, "")</f>
        <v>1863.3540372670807</v>
      </c>
      <c r="G163" s="31">
        <v>172</v>
      </c>
      <c r="H163" s="32">
        <f t="shared" ref="H163:H166" si="87">IF(ISNUMBER(G163), (G163 - $B163) / $B163, "")</f>
        <v>6.8322981366459631E-2</v>
      </c>
      <c r="I163" s="101">
        <f>IF(ISNUMBER(G163), $B172 * H163, "")</f>
        <v>10248.447204968945</v>
      </c>
      <c r="J163" s="15">
        <v>198</v>
      </c>
      <c r="K163" s="32">
        <f t="shared" ref="K163:K166" si="88">IF(ISNUMBER(J163), (J163 - $B163) / $B163, "")</f>
        <v>0.22981366459627328</v>
      </c>
      <c r="L163" s="18">
        <f>IF(ISNUMBER(J163), $B172 * K163, "")</f>
        <v>34472.049689440995</v>
      </c>
      <c r="M163" s="31">
        <v>176</v>
      </c>
      <c r="N163" s="32">
        <f t="shared" ref="N163:N166" si="89">IF(ISNUMBER(M163), (M163 - $B163) / $B163, "")</f>
        <v>9.3167701863354033E-2</v>
      </c>
      <c r="O163" s="18">
        <f>IF(ISNUMBER(M163), $B172 * N163, "")</f>
        <v>13975.155279503106</v>
      </c>
      <c r="Q163" s="199"/>
      <c r="R163" s="200"/>
      <c r="S163" s="201"/>
    </row>
    <row r="164" spans="1:19" ht="17.25" thickBot="1">
      <c r="A164" s="125" t="s">
        <v>136</v>
      </c>
      <c r="B164" s="126">
        <v>342</v>
      </c>
      <c r="C164" s="77">
        <v>-4.73537604E-2</v>
      </c>
      <c r="D164" s="15">
        <v>353</v>
      </c>
      <c r="E164" s="32">
        <f t="shared" si="86"/>
        <v>3.2163742690058478E-2</v>
      </c>
      <c r="F164" s="18">
        <f>IF(ISNUMBER(D164), $B172 * E164, "")</f>
        <v>4824.5614035087719</v>
      </c>
      <c r="G164" s="31">
        <v>359</v>
      </c>
      <c r="H164" s="32">
        <f t="shared" si="87"/>
        <v>4.9707602339181284E-2</v>
      </c>
      <c r="I164" s="101">
        <f>IF(ISNUMBER(G164), $B172 * H164, "")</f>
        <v>7456.1403508771928</v>
      </c>
      <c r="J164" s="15">
        <v>354</v>
      </c>
      <c r="K164" s="32">
        <f t="shared" si="88"/>
        <v>3.5087719298245612E-2</v>
      </c>
      <c r="L164" s="18">
        <f>IF(ISNUMBER(J164), $B172 * K164, "")</f>
        <v>5263.1578947368416</v>
      </c>
      <c r="M164" s="31">
        <v>359</v>
      </c>
      <c r="N164" s="32">
        <f t="shared" si="89"/>
        <v>4.9707602339181284E-2</v>
      </c>
      <c r="O164" s="18">
        <f>IF(ISNUMBER(M164), $B172 * N164, "")</f>
        <v>7456.1403508771928</v>
      </c>
      <c r="Q164" s="192"/>
      <c r="R164" s="192"/>
      <c r="S164" s="192"/>
    </row>
    <row r="165" spans="1:19" ht="17.25" thickBot="1">
      <c r="A165" s="125" t="s">
        <v>108</v>
      </c>
      <c r="B165" s="126">
        <v>157</v>
      </c>
      <c r="C165" s="77">
        <v>-4.8484848499999997E-2</v>
      </c>
      <c r="D165" s="15">
        <v>159</v>
      </c>
      <c r="E165" s="32">
        <f t="shared" si="86"/>
        <v>1.2738853503184714E-2</v>
      </c>
      <c r="F165" s="18">
        <f>IF(ISNUMBER(D165), $B172 * E165, "")</f>
        <v>1910.8280254777071</v>
      </c>
      <c r="G165" s="31">
        <v>164</v>
      </c>
      <c r="H165" s="32">
        <f t="shared" si="87"/>
        <v>4.4585987261146494E-2</v>
      </c>
      <c r="I165" s="101">
        <f>IF(ISNUMBER(G165), $B172 * H165, "")</f>
        <v>6687.8980891719739</v>
      </c>
      <c r="J165" s="15">
        <v>176</v>
      </c>
      <c r="K165" s="32">
        <f t="shared" si="88"/>
        <v>0.12101910828025478</v>
      </c>
      <c r="L165" s="18">
        <f>IF(ISNUMBER(J165), $B172 * K165, "")</f>
        <v>18152.866242038217</v>
      </c>
      <c r="M165" s="31">
        <v>168</v>
      </c>
      <c r="N165" s="32">
        <f t="shared" si="89"/>
        <v>7.0063694267515922E-2</v>
      </c>
      <c r="O165" s="18">
        <f>IF(ISNUMBER(M165), $B172 * N165, "")</f>
        <v>10509.554140127388</v>
      </c>
      <c r="Q165" s="202"/>
      <c r="R165" s="202"/>
      <c r="S165" s="202"/>
    </row>
    <row r="166" spans="1:19" ht="17.25" thickBot="1">
      <c r="A166" s="127" t="s">
        <v>164</v>
      </c>
      <c r="B166" s="128">
        <v>214</v>
      </c>
      <c r="C166" s="78">
        <v>-5.3097345099999999E-2</v>
      </c>
      <c r="D166" s="20">
        <v>219</v>
      </c>
      <c r="E166" s="21">
        <f t="shared" si="86"/>
        <v>2.336448598130841E-2</v>
      </c>
      <c r="F166" s="22">
        <f>IF(ISNUMBER(D166), $B172 * E166, "")</f>
        <v>3504.6728971962616</v>
      </c>
      <c r="G166" s="30">
        <v>220</v>
      </c>
      <c r="H166" s="21">
        <f t="shared" si="87"/>
        <v>2.8037383177570093E-2</v>
      </c>
      <c r="I166" s="105">
        <f>IF(ISNUMBER(G166), $B172 * H166, "")</f>
        <v>4205.6074766355141</v>
      </c>
      <c r="J166" s="20">
        <v>229</v>
      </c>
      <c r="K166" s="21">
        <f t="shared" si="88"/>
        <v>7.0093457943925228E-2</v>
      </c>
      <c r="L166" s="22">
        <f>IF(ISNUMBER(J166), $B172 * K166, "")</f>
        <v>10514.018691588784</v>
      </c>
      <c r="M166" s="30">
        <v>221</v>
      </c>
      <c r="N166" s="21">
        <f t="shared" si="89"/>
        <v>3.2710280373831772E-2</v>
      </c>
      <c r="O166" s="22">
        <f>IF(ISNUMBER(M166), $B172 * N166, "")</f>
        <v>4906.5420560747662</v>
      </c>
      <c r="Q166" s="202"/>
      <c r="R166" s="202"/>
      <c r="S166" s="202"/>
    </row>
    <row r="167" spans="1:19" ht="17.25" thickBot="1">
      <c r="A167" s="125" t="s">
        <v>252</v>
      </c>
      <c r="B167" s="129">
        <v>382</v>
      </c>
      <c r="C167" s="80">
        <v>-5.4455445499999998E-2</v>
      </c>
      <c r="D167" s="106">
        <v>380</v>
      </c>
      <c r="E167" s="107">
        <f>IF(ISNUMBER(D167), (D167 - $B167) / $B167, "")</f>
        <v>-5.235602094240838E-3</v>
      </c>
      <c r="F167" s="108">
        <f>IF(ISNUMBER(D167), $B172 * E167, "")</f>
        <v>-785.3403141361257</v>
      </c>
      <c r="G167" s="109">
        <v>391</v>
      </c>
      <c r="H167" s="107">
        <f>IF(ISNUMBER(G167), (G167 - $B167) / $B167, "")</f>
        <v>2.356020942408377E-2</v>
      </c>
      <c r="I167" s="110">
        <f>IF(ISNUMBER(G167), $B172 * H167, "")</f>
        <v>3534.0314136125653</v>
      </c>
      <c r="J167" s="106">
        <v>401</v>
      </c>
      <c r="K167" s="107">
        <f>IF(ISNUMBER(J167), (J167 - $B167) / $B167, "")</f>
        <v>4.9738219895287955E-2</v>
      </c>
      <c r="L167" s="108">
        <f>IF(ISNUMBER(J167), $B172 * K167, "")</f>
        <v>7460.7329842931931</v>
      </c>
      <c r="M167" s="109">
        <v>395</v>
      </c>
      <c r="N167" s="107">
        <f>IF(ISNUMBER(M167), (M167 - $B167) / $B167, "")</f>
        <v>3.4031413612565446E-2</v>
      </c>
      <c r="O167" s="108">
        <f>IF(ISNUMBER(M167), $B172 * N167, "")</f>
        <v>5104.7120418848172</v>
      </c>
      <c r="Q167" s="192"/>
      <c r="R167" s="192"/>
      <c r="S167" s="192"/>
    </row>
    <row r="168" spans="1:19" ht="17.25" thickBot="1">
      <c r="A168" s="125" t="s">
        <v>216</v>
      </c>
      <c r="B168" s="126">
        <v>133</v>
      </c>
      <c r="C168" s="77">
        <v>-5.6737588700000001E-2</v>
      </c>
      <c r="D168" s="15">
        <v>136</v>
      </c>
      <c r="E168" s="32">
        <f t="shared" ref="E168:E171" si="90">IF(ISNUMBER(D168), (D168 - $B168) / $B168, "")</f>
        <v>2.2556390977443608E-2</v>
      </c>
      <c r="F168" s="18">
        <f>IF(ISNUMBER(D168), $B172 * E168, "")</f>
        <v>3383.458646616541</v>
      </c>
      <c r="G168" s="31">
        <v>139</v>
      </c>
      <c r="H168" s="32">
        <f t="shared" ref="H168:H171" si="91">IF(ISNUMBER(G168), (G168 - $B168) / $B168, "")</f>
        <v>4.5112781954887216E-2</v>
      </c>
      <c r="I168" s="101">
        <f>IF(ISNUMBER(G168), $B172 * H168, "")</f>
        <v>6766.9172932330821</v>
      </c>
      <c r="J168" s="15">
        <v>149</v>
      </c>
      <c r="K168" s="32">
        <f t="shared" ref="K168:K171" si="92">IF(ISNUMBER(J168), (J168 - $B168) / $B168, "")</f>
        <v>0.12030075187969924</v>
      </c>
      <c r="L168" s="18">
        <f>IF(ISNUMBER(J168), $B172 * K168, "")</f>
        <v>18045.112781954886</v>
      </c>
      <c r="M168" s="31">
        <v>140</v>
      </c>
      <c r="N168" s="32">
        <f t="shared" ref="N168:N171" si="93">IF(ISNUMBER(M168), (M168 - $B168) / $B168, "")</f>
        <v>5.2631578947368418E-2</v>
      </c>
      <c r="O168" s="18">
        <f>IF(ISNUMBER(M168), $B172 * N168, "")</f>
        <v>7894.7368421052624</v>
      </c>
      <c r="Q168" s="192"/>
      <c r="R168" s="192"/>
      <c r="S168" s="192"/>
    </row>
    <row r="169" spans="1:19" ht="17.25" thickBot="1">
      <c r="A169" s="125" t="s">
        <v>236</v>
      </c>
      <c r="B169" s="126">
        <v>115</v>
      </c>
      <c r="C169" s="77">
        <v>-5.7377049200000002E-2</v>
      </c>
      <c r="D169" s="15">
        <v>119</v>
      </c>
      <c r="E169" s="32">
        <f t="shared" si="90"/>
        <v>3.4782608695652174E-2</v>
      </c>
      <c r="F169" s="18">
        <f>IF(ISNUMBER(D169), $B172 * E169, "")</f>
        <v>5217.391304347826</v>
      </c>
      <c r="G169" s="31">
        <v>123</v>
      </c>
      <c r="H169" s="32">
        <f t="shared" si="91"/>
        <v>6.9565217391304349E-2</v>
      </c>
      <c r="I169" s="101">
        <f>IF(ISNUMBER(G169), $B172 * H169, "")</f>
        <v>10434.782608695652</v>
      </c>
      <c r="J169" s="15">
        <v>128</v>
      </c>
      <c r="K169" s="32">
        <f t="shared" si="92"/>
        <v>0.11304347826086956</v>
      </c>
      <c r="L169" s="18">
        <f>IF(ISNUMBER(J169), $B172 * K169, "")</f>
        <v>16956.521739130436</v>
      </c>
      <c r="M169" s="31">
        <v>121</v>
      </c>
      <c r="N169" s="32">
        <f t="shared" si="93"/>
        <v>5.2173913043478258E-2</v>
      </c>
      <c r="O169" s="18">
        <f>IF(ISNUMBER(M169), $B172 * N169, "")</f>
        <v>7826.086956521739</v>
      </c>
      <c r="Q169" s="192"/>
      <c r="R169" s="192"/>
      <c r="S169" s="192"/>
    </row>
    <row r="170" spans="1:19">
      <c r="A170" s="125" t="s">
        <v>218</v>
      </c>
      <c r="B170" s="126">
        <v>226</v>
      </c>
      <c r="C170" s="77">
        <v>-5.8333333299999998E-2</v>
      </c>
      <c r="D170" s="15">
        <v>230</v>
      </c>
      <c r="E170" s="32">
        <f t="shared" si="90"/>
        <v>1.7699115044247787E-2</v>
      </c>
      <c r="F170" s="18">
        <f>IF(ISNUMBER(D170), $B172 * E170, "")</f>
        <v>2654.8672566371679</v>
      </c>
      <c r="G170" s="31">
        <v>236</v>
      </c>
      <c r="H170" s="32">
        <f t="shared" si="91"/>
        <v>4.4247787610619468E-2</v>
      </c>
      <c r="I170" s="101">
        <f>IF(ISNUMBER(G170), $B172 * H170, "")</f>
        <v>6637.1681415929206</v>
      </c>
      <c r="J170" s="15">
        <v>252</v>
      </c>
      <c r="K170" s="32">
        <f t="shared" si="92"/>
        <v>0.11504424778761062</v>
      </c>
      <c r="L170" s="18">
        <f>IF(ISNUMBER(J170), $B172 * K170, "")</f>
        <v>17256.637168141591</v>
      </c>
      <c r="M170" s="31">
        <v>241</v>
      </c>
      <c r="N170" s="32">
        <f t="shared" si="93"/>
        <v>6.637168141592921E-2</v>
      </c>
      <c r="O170" s="18">
        <f>IF(ISNUMBER(M170), $B172 * N170, "")</f>
        <v>9955.7522123893814</v>
      </c>
      <c r="Q170" s="181"/>
      <c r="R170" s="182"/>
      <c r="S170" s="183"/>
    </row>
    <row r="171" spans="1:19" ht="17.25" thickBot="1">
      <c r="A171" s="130" t="s">
        <v>112</v>
      </c>
      <c r="B171" s="131">
        <v>992</v>
      </c>
      <c r="C171" s="79">
        <v>-6.4150943399999993E-2</v>
      </c>
      <c r="D171" s="24">
        <v>976</v>
      </c>
      <c r="E171" s="25">
        <f t="shared" si="90"/>
        <v>-1.6129032258064516E-2</v>
      </c>
      <c r="F171" s="104">
        <f>IF(ISNUMBER(D171), $B172 * E171, "")</f>
        <v>-2419.3548387096776</v>
      </c>
      <c r="G171" s="102">
        <v>987</v>
      </c>
      <c r="H171" s="25">
        <f t="shared" si="91"/>
        <v>-5.0403225806451612E-3</v>
      </c>
      <c r="I171" s="103">
        <f>IF(ISNUMBER(G171), $B172 * H171, "")</f>
        <v>-756.04838709677415</v>
      </c>
      <c r="J171" s="24">
        <v>970</v>
      </c>
      <c r="K171" s="25">
        <f t="shared" si="92"/>
        <v>-2.2177419354838711E-2</v>
      </c>
      <c r="L171" s="104">
        <f>IF(ISNUMBER(J171), $B172 * K171, "")</f>
        <v>-3326.6129032258068</v>
      </c>
      <c r="M171" s="102">
        <v>955</v>
      </c>
      <c r="N171" s="25">
        <f t="shared" si="93"/>
        <v>-3.7298387096774195E-2</v>
      </c>
      <c r="O171" s="104">
        <f>IF(ISNUMBER(M171), $B172 * N171, "")</f>
        <v>-5594.7580645161297</v>
      </c>
      <c r="Q171" s="184"/>
      <c r="R171" s="185"/>
      <c r="S171" s="186"/>
    </row>
    <row r="172" spans="1:19" ht="17.25" thickBot="1">
      <c r="A172" s="132" t="s">
        <v>268</v>
      </c>
      <c r="B172" s="245">
        <f>$B$37</f>
        <v>150000</v>
      </c>
      <c r="C172" s="246"/>
      <c r="D172" s="26" t="s">
        <v>269</v>
      </c>
      <c r="E172" s="27">
        <f>IF(COUNT(E152:E171), SUM(E152:E171) / COUNT(E152:E171), 0)</f>
        <v>1.4845714866202796E-2</v>
      </c>
      <c r="F172" s="28">
        <f>SUM(F152:F171)</f>
        <v>44537.144598608371</v>
      </c>
      <c r="G172" s="26" t="s">
        <v>269</v>
      </c>
      <c r="H172" s="27">
        <f>IF(COUNT(H152:H171), SUM(H152:H171) / COUNT(H152:H171), 0)</f>
        <v>3.9107351466546932E-2</v>
      </c>
      <c r="I172" s="28">
        <f>SUM(I152:I171)</f>
        <v>117322.05439964079</v>
      </c>
      <c r="J172" s="26" t="s">
        <v>269</v>
      </c>
      <c r="K172" s="27">
        <f>IF(COUNT(K152:K171), SUM(K152:K171) / COUNT(K152:K171), 0)</f>
        <v>7.3108302579795059E-2</v>
      </c>
      <c r="L172" s="28">
        <f>SUM(L152:L171)</f>
        <v>219324.90773938515</v>
      </c>
      <c r="M172" s="26" t="s">
        <v>269</v>
      </c>
      <c r="N172" s="27">
        <f>IF(COUNT(N152:N171), SUM(N152:N171) / COUNT(N152:N171), 0)</f>
        <v>4.3951032463831224E-2</v>
      </c>
      <c r="O172" s="28">
        <f>SUM(O152:O171)</f>
        <v>131853.09739149373</v>
      </c>
      <c r="Q172" s="187"/>
      <c r="R172" s="188"/>
      <c r="S172" s="189"/>
    </row>
    <row r="174" spans="1:19" ht="17.25" thickBot="1"/>
    <row r="175" spans="1:19" ht="17.25" thickBot="1">
      <c r="A175" s="203" t="s">
        <v>253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73" t="s">
        <v>265</v>
      </c>
      <c r="B176" s="203" t="s">
        <v>49</v>
      </c>
      <c r="C176" s="205"/>
      <c r="D176" s="203" t="s">
        <v>58</v>
      </c>
      <c r="E176" s="204"/>
      <c r="F176" s="205"/>
      <c r="G176" s="206">
        <f>_xlfn.IFNA(VLOOKUP(B176, 현재가테이블!$B$2:$D$200, 2, FALSE), "-")</f>
        <v>62630000</v>
      </c>
      <c r="H176" s="207"/>
      <c r="I176" s="208"/>
      <c r="J176" s="203" t="s">
        <v>59</v>
      </c>
      <c r="K176" s="204"/>
      <c r="L176" s="205"/>
      <c r="M176" s="209">
        <f>_xlfn.IFNA(VLOOKUP(B176, 현재가테이블!$B$2:$D$200, 3, FALSE), "-")</f>
        <v>1.5632601400000001E-2</v>
      </c>
      <c r="N176" s="210"/>
      <c r="O176" s="211"/>
      <c r="Q176" s="202"/>
      <c r="R176" s="202"/>
      <c r="S176" s="202"/>
    </row>
    <row r="177" spans="1:19" ht="17.25" thickBot="1">
      <c r="A177" s="247" t="s">
        <v>55</v>
      </c>
      <c r="B177" s="243" t="str">
        <f>TEXT($G$1, "[$-ko-KR]yyyy-mm-dd(ddd) ") &amp; "오전 00:00"</f>
        <v>2021-10-05(화) 오전 00:00</v>
      </c>
      <c r="C177" s="244"/>
      <c r="D177" s="216" t="str">
        <f>TEXT($G$1, "[$-ko-KR]yyyy-mm-dd(ddd) ") &amp; "오후 14:00"</f>
        <v>2021-10-05(화) 오후 14:00</v>
      </c>
      <c r="E177" s="217"/>
      <c r="F177" s="218"/>
      <c r="G177" s="216" t="str">
        <f>TEXT($G$1, "[$-ko-KR]yyyy-mm-dd(ddd) ") &amp; "오후 19:00"</f>
        <v>2021-10-05(화) 오후 19:00</v>
      </c>
      <c r="H177" s="217"/>
      <c r="I177" s="218"/>
      <c r="J177" s="216" t="str">
        <f>TEXT($G$1, "[$-ko-KR]yyyy-mm-dd(ddd) ") &amp; "오후 21:00"</f>
        <v>2021-10-05(화) 오후 21:00</v>
      </c>
      <c r="K177" s="217"/>
      <c r="L177" s="218"/>
      <c r="M177" s="216" t="str">
        <f>TEXT($G$1+1, "[$-ko-KR]yyyy-mm-dd(ddd) ") &amp; "오전 00:00"</f>
        <v>2021-10-06(수) 오전 00:00</v>
      </c>
      <c r="N177" s="217"/>
      <c r="O177" s="218"/>
      <c r="Q177" s="202"/>
      <c r="R177" s="202"/>
      <c r="S177" s="202"/>
    </row>
    <row r="178" spans="1:19" ht="17.25" thickBot="1">
      <c r="A178" s="24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4" t="s">
        <v>58</v>
      </c>
      <c r="H178" s="175" t="s">
        <v>266</v>
      </c>
      <c r="I178" s="17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192"/>
      <c r="R178" s="192"/>
      <c r="S178" s="192"/>
    </row>
    <row r="179" spans="1:19" ht="17.25" thickBot="1">
      <c r="A179" s="123" t="s">
        <v>210</v>
      </c>
      <c r="B179" s="124">
        <v>1190</v>
      </c>
      <c r="C179" s="76">
        <v>-5.1792828700000001E-2</v>
      </c>
      <c r="D179" s="13">
        <v>1215</v>
      </c>
      <c r="E179" s="14">
        <f>IF(ISNUMBER(D179), (D179 - $B179) / $B179, "")</f>
        <v>2.100840336134454E-2</v>
      </c>
      <c r="F179" s="16">
        <f>IF(ISNUMBER(D179), $B199 * E179, "")</f>
        <v>3151.2605042016808</v>
      </c>
      <c r="G179" s="29">
        <v>1250</v>
      </c>
      <c r="H179" s="14">
        <f>IF(ISNUMBER(G179), (G179 - $B179) / $B179, "")</f>
        <v>5.0420168067226892E-2</v>
      </c>
      <c r="I179" s="100">
        <f>IF(ISNUMBER(G179), $B199 * H179, "")</f>
        <v>7563.0252100840335</v>
      </c>
      <c r="J179" s="13">
        <v>1305</v>
      </c>
      <c r="K179" s="14">
        <f>IF(ISNUMBER(J179), (J179 - $B179) / $B179, "")</f>
        <v>9.6638655462184878E-2</v>
      </c>
      <c r="L179" s="16">
        <f>IF(ISNUMBER(J179), $B199 * K179, "")</f>
        <v>14495.798319327732</v>
      </c>
      <c r="M179" s="29">
        <v>1255</v>
      </c>
      <c r="N179" s="14">
        <f>IF(ISNUMBER(M179), (M179 - $B179) / $B179, "")</f>
        <v>5.4621848739495799E-2</v>
      </c>
      <c r="O179" s="16">
        <f>IF(ISNUMBER(M179), $B199 * N179, "")</f>
        <v>8193.2773109243699</v>
      </c>
      <c r="Q179" s="202"/>
      <c r="R179" s="202"/>
      <c r="S179" s="202"/>
    </row>
    <row r="180" spans="1:19" ht="17.25" thickBot="1">
      <c r="A180" s="125" t="s">
        <v>76</v>
      </c>
      <c r="B180" s="126">
        <v>31760</v>
      </c>
      <c r="C180" s="77">
        <v>-5.1940298500000003E-2</v>
      </c>
      <c r="D180" s="15">
        <v>32010</v>
      </c>
      <c r="E180" s="32">
        <f t="shared" ref="E180:E183" si="94">IF(ISNUMBER(D180), (D180 - $B180) / $B180, "")</f>
        <v>7.8715365239294711E-3</v>
      </c>
      <c r="F180" s="18">
        <f>IF(ISNUMBER(D180), $B199 * E180, "")</f>
        <v>1180.7304785894207</v>
      </c>
      <c r="G180" s="31">
        <v>32720</v>
      </c>
      <c r="H180" s="32">
        <f t="shared" ref="H180:H183" si="95">IF(ISNUMBER(G180), (G180 - $B180) / $B180, "")</f>
        <v>3.0226700251889168E-2</v>
      </c>
      <c r="I180" s="101">
        <f>IF(ISNUMBER(G180), $B199 * H180, "")</f>
        <v>4534.005037783375</v>
      </c>
      <c r="J180" s="15">
        <v>32240</v>
      </c>
      <c r="K180" s="32">
        <f t="shared" ref="K180:K183" si="96">IF(ISNUMBER(J180), (J180 - $B180) / $B180, "")</f>
        <v>1.5113350125944584E-2</v>
      </c>
      <c r="L180" s="18">
        <f>IF(ISNUMBER(J180), $B199 * K180, "")</f>
        <v>2267.0025188916875</v>
      </c>
      <c r="M180" s="31">
        <v>32340</v>
      </c>
      <c r="N180" s="32">
        <f t="shared" ref="N180:N183" si="97">IF(ISNUMBER(M180), (M180 - $B180) / $B180, "")</f>
        <v>1.8261964735516372E-2</v>
      </c>
      <c r="O180" s="18">
        <f>IF(ISNUMBER(M180), $B199 * N180, "")</f>
        <v>2739.294710327456</v>
      </c>
      <c r="Q180" s="202"/>
      <c r="R180" s="202"/>
      <c r="S180" s="202"/>
    </row>
    <row r="181" spans="1:19" ht="17.25" thickBot="1">
      <c r="A181" s="125" t="s">
        <v>184</v>
      </c>
      <c r="B181" s="126">
        <v>8780</v>
      </c>
      <c r="C181" s="77">
        <v>-5.2347544500000003E-2</v>
      </c>
      <c r="D181" s="15">
        <v>10180</v>
      </c>
      <c r="E181" s="32">
        <f t="shared" si="94"/>
        <v>0.15945330296127563</v>
      </c>
      <c r="F181" s="18">
        <f>IF(ISNUMBER(D181), $B199 * E181, "")</f>
        <v>23917.995444191343</v>
      </c>
      <c r="G181" s="31">
        <v>9840</v>
      </c>
      <c r="H181" s="32">
        <f t="shared" si="95"/>
        <v>0.12072892938496584</v>
      </c>
      <c r="I181" s="101">
        <f>IF(ISNUMBER(G181), $B199 * H181, "")</f>
        <v>18109.339407744876</v>
      </c>
      <c r="J181" s="15">
        <v>10280</v>
      </c>
      <c r="K181" s="32">
        <f t="shared" si="96"/>
        <v>0.17084282460136674</v>
      </c>
      <c r="L181" s="18">
        <f>IF(ISNUMBER(J181), $B199 * K181, "")</f>
        <v>25626.423690205011</v>
      </c>
      <c r="M181" s="31">
        <v>9575</v>
      </c>
      <c r="N181" s="32">
        <f t="shared" si="97"/>
        <v>9.054669703872438E-2</v>
      </c>
      <c r="O181" s="18">
        <f>IF(ISNUMBER(M181), $B199 * N181, "")</f>
        <v>13582.004555808657</v>
      </c>
      <c r="Q181" s="192"/>
      <c r="R181" s="192"/>
      <c r="S181" s="192"/>
    </row>
    <row r="182" spans="1:19" ht="17.25" thickBot="1">
      <c r="A182" s="125" t="s">
        <v>202</v>
      </c>
      <c r="B182" s="126">
        <v>14.3</v>
      </c>
      <c r="C182" s="77">
        <v>-5.2980132499999999E-2</v>
      </c>
      <c r="D182" s="15">
        <v>14.5</v>
      </c>
      <c r="E182" s="32">
        <f t="shared" si="94"/>
        <v>1.3986013986013936E-2</v>
      </c>
      <c r="F182" s="18">
        <f>IF(ISNUMBER(D182), $B199 * E182, "")</f>
        <v>2097.9020979020902</v>
      </c>
      <c r="G182" s="31">
        <v>15.3</v>
      </c>
      <c r="H182" s="32">
        <f t="shared" si="95"/>
        <v>6.9930069930069921E-2</v>
      </c>
      <c r="I182" s="101">
        <f>IF(ISNUMBER(G182), $B199 * H182, "")</f>
        <v>10489.510489510489</v>
      </c>
      <c r="J182" s="15">
        <v>16.899999999999999</v>
      </c>
      <c r="K182" s="32">
        <f t="shared" si="96"/>
        <v>0.18181818181818166</v>
      </c>
      <c r="L182" s="18">
        <f>IF(ISNUMBER(J182), $B199 * K182, "")</f>
        <v>27272.72727272725</v>
      </c>
      <c r="M182" s="31">
        <v>15.3</v>
      </c>
      <c r="N182" s="32">
        <f t="shared" si="97"/>
        <v>6.9930069930069921E-2</v>
      </c>
      <c r="O182" s="18">
        <f>IF(ISNUMBER(M182), $B199 * N182, "")</f>
        <v>10489.510489510489</v>
      </c>
      <c r="Q182" s="192"/>
      <c r="R182" s="192"/>
      <c r="S182" s="192"/>
    </row>
    <row r="183" spans="1:19" ht="17.25" thickBot="1">
      <c r="A183" s="127" t="s">
        <v>104</v>
      </c>
      <c r="B183" s="128">
        <v>1160</v>
      </c>
      <c r="C183" s="78">
        <v>-5.3061224499999997E-2</v>
      </c>
      <c r="D183" s="20">
        <v>1175</v>
      </c>
      <c r="E183" s="21">
        <f t="shared" si="94"/>
        <v>1.2931034482758621E-2</v>
      </c>
      <c r="F183" s="22">
        <f>IF(ISNUMBER(D183), $B199 * E183, "")</f>
        <v>1939.655172413793</v>
      </c>
      <c r="G183" s="30">
        <v>1200</v>
      </c>
      <c r="H183" s="21">
        <f t="shared" si="95"/>
        <v>3.4482758620689655E-2</v>
      </c>
      <c r="I183" s="105">
        <f>IF(ISNUMBER(G183), $B199 * H183, "")</f>
        <v>5172.4137931034484</v>
      </c>
      <c r="J183" s="20">
        <v>1195</v>
      </c>
      <c r="K183" s="21">
        <f t="shared" si="96"/>
        <v>3.017241379310345E-2</v>
      </c>
      <c r="L183" s="22">
        <f>IF(ISNUMBER(J183), $B199 * K183, "")</f>
        <v>4525.8620689655172</v>
      </c>
      <c r="M183" s="30">
        <v>1195</v>
      </c>
      <c r="N183" s="21">
        <f t="shared" si="97"/>
        <v>3.017241379310345E-2</v>
      </c>
      <c r="O183" s="22">
        <f>IF(ISNUMBER(M183), $B199 * N183, "")</f>
        <v>4525.8620689655172</v>
      </c>
      <c r="Q183" s="192"/>
      <c r="R183" s="192"/>
      <c r="S183" s="192"/>
    </row>
    <row r="184" spans="1:19" ht="17.25" thickBot="1">
      <c r="A184" s="125" t="s">
        <v>164</v>
      </c>
      <c r="B184" s="129">
        <v>214</v>
      </c>
      <c r="C184" s="80">
        <v>-5.3097345099999999E-2</v>
      </c>
      <c r="D184" s="106">
        <v>219</v>
      </c>
      <c r="E184" s="107">
        <f>IF(ISNUMBER(D184), (D184 - $B184) / $B184, "")</f>
        <v>2.336448598130841E-2</v>
      </c>
      <c r="F184" s="108">
        <f>IF(ISNUMBER(D184), $B199 * E184, "")</f>
        <v>3504.6728971962616</v>
      </c>
      <c r="G184" s="109">
        <v>220</v>
      </c>
      <c r="H184" s="107">
        <f>IF(ISNUMBER(G184), (G184 - $B184) / $B184, "")</f>
        <v>2.8037383177570093E-2</v>
      </c>
      <c r="I184" s="110">
        <f>IF(ISNUMBER(G184), $B199 * H184, "")</f>
        <v>4205.6074766355141</v>
      </c>
      <c r="J184" s="106">
        <v>229</v>
      </c>
      <c r="K184" s="107">
        <f>IF(ISNUMBER(J184), (J184 - $B184) / $B184, "")</f>
        <v>7.0093457943925228E-2</v>
      </c>
      <c r="L184" s="108">
        <f>IF(ISNUMBER(J184), $B199 * K184, "")</f>
        <v>10514.018691588784</v>
      </c>
      <c r="M184" s="109">
        <v>221</v>
      </c>
      <c r="N184" s="107">
        <f>IF(ISNUMBER(M184), (M184 - $B184) / $B184, "")</f>
        <v>3.2710280373831772E-2</v>
      </c>
      <c r="O184" s="108">
        <f>IF(ISNUMBER(M184), $B199 * N184, "")</f>
        <v>4906.5420560747662</v>
      </c>
      <c r="Q184" s="192"/>
      <c r="R184" s="192"/>
      <c r="S184" s="192"/>
    </row>
    <row r="185" spans="1:19" ht="17.25" thickBot="1">
      <c r="A185" s="125" t="s">
        <v>67</v>
      </c>
      <c r="B185" s="126">
        <v>3895</v>
      </c>
      <c r="C185" s="77">
        <v>-5.34629405E-2</v>
      </c>
      <c r="D185" s="15">
        <v>4130</v>
      </c>
      <c r="E185" s="32">
        <f t="shared" ref="E185:E188" si="98">IF(ISNUMBER(D185), (D185 - $B185) / $B185, "")</f>
        <v>6.0333761232349167E-2</v>
      </c>
      <c r="F185" s="18">
        <f>IF(ISNUMBER(D185), $B199 * E185, "")</f>
        <v>9050.0641848523755</v>
      </c>
      <c r="G185" s="31">
        <v>4170</v>
      </c>
      <c r="H185" s="32">
        <f t="shared" ref="H185:H188" si="99">IF(ISNUMBER(G185), (G185 - $B185) / $B185, "")</f>
        <v>7.0603337612323486E-2</v>
      </c>
      <c r="I185" s="101">
        <f>IF(ISNUMBER(G185), $B199 * H185, "")</f>
        <v>10590.500641848523</v>
      </c>
      <c r="J185" s="15">
        <v>4385</v>
      </c>
      <c r="K185" s="32">
        <f t="shared" ref="K185:K188" si="100">IF(ISNUMBER(J185), (J185 - $B185) / $B185, "")</f>
        <v>0.1258023106546855</v>
      </c>
      <c r="L185" s="18">
        <f>IF(ISNUMBER(J185), $B199 * K185, "")</f>
        <v>18870.346598202825</v>
      </c>
      <c r="M185" s="31">
        <v>4140</v>
      </c>
      <c r="N185" s="32">
        <f t="shared" ref="N185:N188" si="101">IF(ISNUMBER(M185), (M185 - $B185) / $B185, "")</f>
        <v>6.290115532734275E-2</v>
      </c>
      <c r="O185" s="18">
        <f>IF(ISNUMBER(M185), $B199 * N185, "")</f>
        <v>9435.1732991014123</v>
      </c>
      <c r="Q185" s="192"/>
      <c r="R185" s="192"/>
      <c r="S185" s="192"/>
    </row>
    <row r="186" spans="1:19" ht="17.25" thickBot="1">
      <c r="A186" s="125" t="s">
        <v>214</v>
      </c>
      <c r="B186" s="126">
        <v>10.5</v>
      </c>
      <c r="C186" s="77">
        <v>-5.4054054099999999E-2</v>
      </c>
      <c r="D186" s="15">
        <v>10.8</v>
      </c>
      <c r="E186" s="32">
        <f t="shared" si="98"/>
        <v>2.857142857142864E-2</v>
      </c>
      <c r="F186" s="18">
        <f>IF(ISNUMBER(D186), $B199 * E186, "")</f>
        <v>4285.7142857142962</v>
      </c>
      <c r="G186" s="31">
        <v>10.9</v>
      </c>
      <c r="H186" s="32">
        <f t="shared" si="99"/>
        <v>3.8095238095238126E-2</v>
      </c>
      <c r="I186" s="101">
        <f>IF(ISNUMBER(G186), $B199 * H186, "")</f>
        <v>5714.2857142857192</v>
      </c>
      <c r="J186" s="15">
        <v>11.9</v>
      </c>
      <c r="K186" s="32">
        <f t="shared" si="100"/>
        <v>0.13333333333333336</v>
      </c>
      <c r="L186" s="18">
        <f>IF(ISNUMBER(J186), $B199 * K186, "")</f>
        <v>20000.000000000004</v>
      </c>
      <c r="M186" s="31">
        <v>11.5</v>
      </c>
      <c r="N186" s="32">
        <f t="shared" si="101"/>
        <v>9.5238095238095233E-2</v>
      </c>
      <c r="O186" s="18">
        <f>IF(ISNUMBER(M186), $B199 * N186, "")</f>
        <v>14285.714285714284</v>
      </c>
      <c r="Q186" s="192"/>
      <c r="R186" s="192"/>
      <c r="S186" s="192"/>
    </row>
    <row r="187" spans="1:19" ht="17.25" thickBot="1">
      <c r="A187" s="125" t="s">
        <v>242</v>
      </c>
      <c r="B187" s="126">
        <v>1835</v>
      </c>
      <c r="C187" s="77">
        <v>-5.4123711300000002E-2</v>
      </c>
      <c r="D187" s="15">
        <v>1855</v>
      </c>
      <c r="E187" s="32">
        <f t="shared" si="98"/>
        <v>1.0899182561307902E-2</v>
      </c>
      <c r="F187" s="18">
        <f>IF(ISNUMBER(D187), $B199 * E187, "")</f>
        <v>1634.8773841961852</v>
      </c>
      <c r="G187" s="31">
        <v>1885</v>
      </c>
      <c r="H187" s="32">
        <f t="shared" si="99"/>
        <v>2.7247956403269755E-2</v>
      </c>
      <c r="I187" s="101">
        <f>IF(ISNUMBER(G187), $B199 * H187, "")</f>
        <v>4087.1934604904632</v>
      </c>
      <c r="J187" s="15">
        <v>1920</v>
      </c>
      <c r="K187" s="32">
        <f t="shared" si="100"/>
        <v>4.632152588555858E-2</v>
      </c>
      <c r="L187" s="18">
        <f>IF(ISNUMBER(J187), $B199 * K187, "")</f>
        <v>6948.2288828337869</v>
      </c>
      <c r="M187" s="31">
        <v>1880</v>
      </c>
      <c r="N187" s="32">
        <f t="shared" si="101"/>
        <v>2.4523160762942781E-2</v>
      </c>
      <c r="O187" s="18">
        <f>IF(ISNUMBER(M187), $B199 * N187, "")</f>
        <v>3678.474114441417</v>
      </c>
      <c r="Q187" s="33"/>
      <c r="R187" s="33"/>
    </row>
    <row r="188" spans="1:19" ht="17.25" thickBot="1">
      <c r="A188" s="130" t="s">
        <v>224</v>
      </c>
      <c r="B188" s="131">
        <v>1740</v>
      </c>
      <c r="C188" s="79">
        <v>-5.4347826100000003E-2</v>
      </c>
      <c r="D188" s="24">
        <v>1745</v>
      </c>
      <c r="E188" s="25">
        <f t="shared" si="98"/>
        <v>2.8735632183908046E-3</v>
      </c>
      <c r="F188" s="104">
        <f>IF(ISNUMBER(D188), $B199 * E188, "")</f>
        <v>431.0344827586207</v>
      </c>
      <c r="G188" s="102">
        <v>1825</v>
      </c>
      <c r="H188" s="25">
        <f t="shared" si="99"/>
        <v>4.8850574712643681E-2</v>
      </c>
      <c r="I188" s="103">
        <f>IF(ISNUMBER(G188), $B199 * H188, "")</f>
        <v>7327.5862068965525</v>
      </c>
      <c r="J188" s="24">
        <v>1855</v>
      </c>
      <c r="K188" s="25">
        <f t="shared" si="100"/>
        <v>6.6091954022988508E-2</v>
      </c>
      <c r="L188" s="104">
        <f>IF(ISNUMBER(J188), $B199 * K188, "")</f>
        <v>9913.7931034482754</v>
      </c>
      <c r="M188" s="102">
        <v>1825</v>
      </c>
      <c r="N188" s="25">
        <f t="shared" si="101"/>
        <v>4.8850574712643681E-2</v>
      </c>
      <c r="O188" s="104">
        <f>IF(ISNUMBER(M188), $B199 * N188, "")</f>
        <v>7327.5862068965525</v>
      </c>
      <c r="Q188" s="193"/>
      <c r="R188" s="194"/>
      <c r="S188" s="195"/>
    </row>
    <row r="189" spans="1:19">
      <c r="A189" s="123" t="s">
        <v>252</v>
      </c>
      <c r="B189" s="124">
        <v>382</v>
      </c>
      <c r="C189" s="76">
        <v>-5.4455445499999998E-2</v>
      </c>
      <c r="D189" s="13">
        <v>380</v>
      </c>
      <c r="E189" s="14">
        <f>IF(ISNUMBER(D189), (D189 - $B189) / $B189, "")</f>
        <v>-5.235602094240838E-3</v>
      </c>
      <c r="F189" s="16">
        <f>IF(ISNUMBER(D189), $B199 * E189, "")</f>
        <v>-785.3403141361257</v>
      </c>
      <c r="G189" s="29">
        <v>391</v>
      </c>
      <c r="H189" s="14">
        <f>IF(ISNUMBER(G189), (G189 - $B189) / $B189, "")</f>
        <v>2.356020942408377E-2</v>
      </c>
      <c r="I189" s="100">
        <f>IF(ISNUMBER(G189), $B199 * H189, "")</f>
        <v>3534.0314136125653</v>
      </c>
      <c r="J189" s="13">
        <v>401</v>
      </c>
      <c r="K189" s="14">
        <f>IF(ISNUMBER(J189), (J189 - $B189) / $B189, "")</f>
        <v>4.9738219895287955E-2</v>
      </c>
      <c r="L189" s="16">
        <f>IF(ISNUMBER(J189), $B199 * K189, "")</f>
        <v>7460.7329842931931</v>
      </c>
      <c r="M189" s="29">
        <v>395</v>
      </c>
      <c r="N189" s="14">
        <f>IF(ISNUMBER(M189), (M189 - $B189) / $B189, "")</f>
        <v>3.4031413612565446E-2</v>
      </c>
      <c r="O189" s="16">
        <f>IF(ISNUMBER(M189), $B199 * N189, "")</f>
        <v>5104.7120418848172</v>
      </c>
      <c r="Q189" s="196"/>
      <c r="R189" s="197"/>
      <c r="S189" s="198"/>
    </row>
    <row r="190" spans="1:19" ht="17.25" thickBot="1">
      <c r="A190" s="125" t="s">
        <v>120</v>
      </c>
      <c r="B190" s="126">
        <v>35.1</v>
      </c>
      <c r="C190" s="77">
        <v>-5.6451612900000003E-2</v>
      </c>
      <c r="D190" s="15">
        <v>35.799999999999997</v>
      </c>
      <c r="E190" s="32">
        <f t="shared" ref="E190:E193" si="102">IF(ISNUMBER(D190), (D190 - $B190) / $B190, "")</f>
        <v>1.9943019943019821E-2</v>
      </c>
      <c r="F190" s="18">
        <f>IF(ISNUMBER(D190), $B199 * E190, "")</f>
        <v>2991.452991452973</v>
      </c>
      <c r="G190" s="31">
        <v>37.4</v>
      </c>
      <c r="H190" s="32">
        <f t="shared" ref="H190:H193" si="103">IF(ISNUMBER(G190), (G190 - $B190) / $B190, "")</f>
        <v>6.5527065527065442E-2</v>
      </c>
      <c r="I190" s="101">
        <f>IF(ISNUMBER(G190), $B199 * H190, "")</f>
        <v>9829.0598290598155</v>
      </c>
      <c r="J190" s="15">
        <v>39.6</v>
      </c>
      <c r="K190" s="32">
        <f t="shared" ref="K190:K193" si="104">IF(ISNUMBER(J190), (J190 - $B190) / $B190, "")</f>
        <v>0.12820512820512819</v>
      </c>
      <c r="L190" s="18">
        <f>IF(ISNUMBER(J190), $B199 * K190, "")</f>
        <v>19230.76923076923</v>
      </c>
      <c r="M190" s="31">
        <v>37.5</v>
      </c>
      <c r="N190" s="32">
        <f t="shared" ref="N190:N193" si="105">IF(ISNUMBER(M190), (M190 - $B190) / $B190, "")</f>
        <v>6.8376068376068327E-2</v>
      </c>
      <c r="O190" s="18">
        <f>IF(ISNUMBER(M190), $B199 * N190, "")</f>
        <v>10256.410256410249</v>
      </c>
      <c r="Q190" s="199"/>
      <c r="R190" s="200"/>
      <c r="S190" s="201"/>
    </row>
    <row r="191" spans="1:19" ht="17.25" thickBot="1">
      <c r="A191" s="125" t="s">
        <v>216</v>
      </c>
      <c r="B191" s="126">
        <v>133</v>
      </c>
      <c r="C191" s="77">
        <v>-5.6737588700000001E-2</v>
      </c>
      <c r="D191" s="15">
        <v>136</v>
      </c>
      <c r="E191" s="32">
        <f t="shared" si="102"/>
        <v>2.2556390977443608E-2</v>
      </c>
      <c r="F191" s="18">
        <f>IF(ISNUMBER(D191), $B199 * E191, "")</f>
        <v>3383.458646616541</v>
      </c>
      <c r="G191" s="31">
        <v>139</v>
      </c>
      <c r="H191" s="32">
        <f t="shared" si="103"/>
        <v>4.5112781954887216E-2</v>
      </c>
      <c r="I191" s="101">
        <f>IF(ISNUMBER(G191), $B199 * H191, "")</f>
        <v>6766.9172932330821</v>
      </c>
      <c r="J191" s="15">
        <v>149</v>
      </c>
      <c r="K191" s="32">
        <f t="shared" si="104"/>
        <v>0.12030075187969924</v>
      </c>
      <c r="L191" s="18">
        <f>IF(ISNUMBER(J191), $B199 * K191, "")</f>
        <v>18045.112781954886</v>
      </c>
      <c r="M191" s="31">
        <v>140</v>
      </c>
      <c r="N191" s="32">
        <f t="shared" si="105"/>
        <v>5.2631578947368418E-2</v>
      </c>
      <c r="O191" s="18">
        <f>IF(ISNUMBER(M191), $B199 * N191, "")</f>
        <v>7894.7368421052624</v>
      </c>
      <c r="Q191" s="192"/>
      <c r="R191" s="192"/>
      <c r="S191" s="192"/>
    </row>
    <row r="192" spans="1:19" ht="17.25" thickBot="1">
      <c r="A192" s="125" t="s">
        <v>236</v>
      </c>
      <c r="B192" s="126">
        <v>115</v>
      </c>
      <c r="C192" s="77">
        <v>-5.7377049200000002E-2</v>
      </c>
      <c r="D192" s="15">
        <v>119</v>
      </c>
      <c r="E192" s="32">
        <f t="shared" si="102"/>
        <v>3.4782608695652174E-2</v>
      </c>
      <c r="F192" s="18">
        <f>IF(ISNUMBER(D192), $B199 * E192, "")</f>
        <v>5217.391304347826</v>
      </c>
      <c r="G192" s="31">
        <v>123</v>
      </c>
      <c r="H192" s="32">
        <f t="shared" si="103"/>
        <v>6.9565217391304349E-2</v>
      </c>
      <c r="I192" s="101">
        <f>IF(ISNUMBER(G192), $B199 * H192, "")</f>
        <v>10434.782608695652</v>
      </c>
      <c r="J192" s="15">
        <v>128</v>
      </c>
      <c r="K192" s="32">
        <f t="shared" si="104"/>
        <v>0.11304347826086956</v>
      </c>
      <c r="L192" s="18">
        <f>IF(ISNUMBER(J192), $B199 * K192, "")</f>
        <v>16956.521739130436</v>
      </c>
      <c r="M192" s="31">
        <v>121</v>
      </c>
      <c r="N192" s="32">
        <f t="shared" si="105"/>
        <v>5.2173913043478258E-2</v>
      </c>
      <c r="O192" s="18">
        <f>IF(ISNUMBER(M192), $B199 * N192, "")</f>
        <v>7826.086956521739</v>
      </c>
      <c r="Q192" s="202"/>
      <c r="R192" s="202"/>
      <c r="S192" s="202"/>
    </row>
    <row r="193" spans="1:19" ht="17.25" thickBot="1">
      <c r="A193" s="127" t="s">
        <v>218</v>
      </c>
      <c r="B193" s="128">
        <v>226</v>
      </c>
      <c r="C193" s="78">
        <v>-5.8333333299999998E-2</v>
      </c>
      <c r="D193" s="20">
        <v>230</v>
      </c>
      <c r="E193" s="21">
        <f t="shared" si="102"/>
        <v>1.7699115044247787E-2</v>
      </c>
      <c r="F193" s="22">
        <f>IF(ISNUMBER(D193), $B199 * E193, "")</f>
        <v>2654.8672566371679</v>
      </c>
      <c r="G193" s="30">
        <v>236</v>
      </c>
      <c r="H193" s="21">
        <f t="shared" si="103"/>
        <v>4.4247787610619468E-2</v>
      </c>
      <c r="I193" s="105">
        <f>IF(ISNUMBER(G193), $B199 * H193, "")</f>
        <v>6637.1681415929206</v>
      </c>
      <c r="J193" s="20">
        <v>252</v>
      </c>
      <c r="K193" s="21">
        <f t="shared" si="104"/>
        <v>0.11504424778761062</v>
      </c>
      <c r="L193" s="22">
        <f>IF(ISNUMBER(J193), $B199 * K193, "")</f>
        <v>17256.637168141591</v>
      </c>
      <c r="M193" s="30">
        <v>241</v>
      </c>
      <c r="N193" s="21">
        <f t="shared" si="105"/>
        <v>6.637168141592921E-2</v>
      </c>
      <c r="O193" s="22">
        <f>IF(ISNUMBER(M193), $B199 * N193, "")</f>
        <v>9955.7522123893814</v>
      </c>
      <c r="Q193" s="202"/>
      <c r="R193" s="202"/>
      <c r="S193" s="202"/>
    </row>
    <row r="194" spans="1:19" ht="17.25" thickBot="1">
      <c r="A194" s="125" t="s">
        <v>69</v>
      </c>
      <c r="B194" s="129">
        <v>10280</v>
      </c>
      <c r="C194" s="80">
        <v>-5.8608058599999999E-2</v>
      </c>
      <c r="D194" s="106">
        <v>10290</v>
      </c>
      <c r="E194" s="107">
        <f>IF(ISNUMBER(D194), (D194 - $B194) / $B194, "")</f>
        <v>9.727626459143969E-4</v>
      </c>
      <c r="F194" s="108">
        <f>IF(ISNUMBER(D194), $B199 * E194, "")</f>
        <v>145.91439688715954</v>
      </c>
      <c r="G194" s="109">
        <v>10460</v>
      </c>
      <c r="H194" s="107">
        <f>IF(ISNUMBER(G194), (G194 - $B194) / $B194, "")</f>
        <v>1.7509727626459144E-2</v>
      </c>
      <c r="I194" s="110">
        <f>IF(ISNUMBER(G194), $B199 * H194, "")</f>
        <v>2626.4591439688716</v>
      </c>
      <c r="J194" s="106">
        <v>10130</v>
      </c>
      <c r="K194" s="107">
        <f>IF(ISNUMBER(J194), (J194 - $B194) / $B194, "")</f>
        <v>-1.4591439688715954E-2</v>
      </c>
      <c r="L194" s="108">
        <f>IF(ISNUMBER(J194), $B199 * K194, "")</f>
        <v>-2188.7159533073932</v>
      </c>
      <c r="M194" s="109">
        <v>10040</v>
      </c>
      <c r="N194" s="107">
        <f>IF(ISNUMBER(M194), (M194 - $B194) / $B194, "")</f>
        <v>-2.3346303501945526E-2</v>
      </c>
      <c r="O194" s="108">
        <f>IF(ISNUMBER(M194), $B199 * N194, "")</f>
        <v>-3501.9455252918287</v>
      </c>
      <c r="Q194" s="192"/>
      <c r="R194" s="192"/>
      <c r="S194" s="192"/>
    </row>
    <row r="195" spans="1:19" ht="17.25" thickBot="1">
      <c r="A195" s="125" t="s">
        <v>102</v>
      </c>
      <c r="B195" s="126">
        <v>1035</v>
      </c>
      <c r="C195" s="77">
        <v>-5.9090909099999998E-2</v>
      </c>
      <c r="D195" s="15">
        <v>1050</v>
      </c>
      <c r="E195" s="32">
        <f t="shared" ref="E195:E198" si="106">IF(ISNUMBER(D195), (D195 - $B195) / $B195, "")</f>
        <v>1.4492753623188406E-2</v>
      </c>
      <c r="F195" s="18">
        <f>IF(ISNUMBER(D195), $B199 * E195, "")</f>
        <v>2173.913043478261</v>
      </c>
      <c r="G195" s="31">
        <v>1090</v>
      </c>
      <c r="H195" s="32">
        <f t="shared" ref="H195:H198" si="107">IF(ISNUMBER(G195), (G195 - $B195) / $B195, "")</f>
        <v>5.3140096618357488E-2</v>
      </c>
      <c r="I195" s="101">
        <f>IF(ISNUMBER(G195), $B199 * H195, "")</f>
        <v>7971.014492753623</v>
      </c>
      <c r="J195" s="15">
        <v>1065</v>
      </c>
      <c r="K195" s="32">
        <f t="shared" ref="K195:K198" si="108">IF(ISNUMBER(J195), (J195 - $B195) / $B195, "")</f>
        <v>2.8985507246376812E-2</v>
      </c>
      <c r="L195" s="18">
        <f>IF(ISNUMBER(J195), $B199 * K195, "")</f>
        <v>4347.826086956522</v>
      </c>
      <c r="M195" s="31">
        <v>1065</v>
      </c>
      <c r="N195" s="32">
        <f t="shared" ref="N195:N198" si="109">IF(ISNUMBER(M195), (M195 - $B195) / $B195, "")</f>
        <v>2.8985507246376812E-2</v>
      </c>
      <c r="O195" s="18">
        <f>IF(ISNUMBER(M195), $B199 * N195, "")</f>
        <v>4347.826086956522</v>
      </c>
      <c r="Q195" s="192"/>
      <c r="R195" s="192"/>
      <c r="S195" s="192"/>
    </row>
    <row r="196" spans="1:19" ht="17.25" thickBot="1">
      <c r="A196" s="125" t="s">
        <v>182</v>
      </c>
      <c r="B196" s="126">
        <v>1480</v>
      </c>
      <c r="C196" s="77">
        <v>-6.03174603E-2</v>
      </c>
      <c r="D196" s="15">
        <v>1555</v>
      </c>
      <c r="E196" s="32">
        <f t="shared" si="106"/>
        <v>5.0675675675675678E-2</v>
      </c>
      <c r="F196" s="18">
        <f>IF(ISNUMBER(D196), $B199 * E196, "")</f>
        <v>7601.3513513513517</v>
      </c>
      <c r="G196" s="31">
        <v>1555</v>
      </c>
      <c r="H196" s="32">
        <f t="shared" si="107"/>
        <v>5.0675675675675678E-2</v>
      </c>
      <c r="I196" s="101">
        <f>IF(ISNUMBER(G196), $B199 * H196, "")</f>
        <v>7601.3513513513517</v>
      </c>
      <c r="J196" s="15">
        <v>1575</v>
      </c>
      <c r="K196" s="32">
        <f t="shared" si="108"/>
        <v>6.4189189189189186E-2</v>
      </c>
      <c r="L196" s="18">
        <f>IF(ISNUMBER(J196), $B199 * K196, "")</f>
        <v>9628.3783783783783</v>
      </c>
      <c r="M196" s="31">
        <v>1555</v>
      </c>
      <c r="N196" s="32">
        <f t="shared" si="109"/>
        <v>5.0675675675675678E-2</v>
      </c>
      <c r="O196" s="18">
        <f>IF(ISNUMBER(M196), $B199 * N196, "")</f>
        <v>7601.3513513513517</v>
      </c>
      <c r="Q196" s="192"/>
      <c r="R196" s="192"/>
      <c r="S196" s="192"/>
    </row>
    <row r="197" spans="1:19">
      <c r="A197" s="125" t="s">
        <v>114</v>
      </c>
      <c r="B197" s="126">
        <v>7465</v>
      </c>
      <c r="C197" s="77">
        <v>-6.0415355599999998E-2</v>
      </c>
      <c r="D197" s="15">
        <v>7515</v>
      </c>
      <c r="E197" s="32">
        <f t="shared" si="106"/>
        <v>6.6979236436704621E-3</v>
      </c>
      <c r="F197" s="18">
        <f>IF(ISNUMBER(D197), $B199 * E197, "")</f>
        <v>1004.6885465505693</v>
      </c>
      <c r="G197" s="31">
        <v>7680</v>
      </c>
      <c r="H197" s="32">
        <f t="shared" si="107"/>
        <v>2.8801071667782986E-2</v>
      </c>
      <c r="I197" s="101">
        <f>IF(ISNUMBER(G197), $B199 * H197, "")</f>
        <v>4320.160750167448</v>
      </c>
      <c r="J197" s="15">
        <v>7530</v>
      </c>
      <c r="K197" s="32">
        <f t="shared" si="108"/>
        <v>8.7073007367716015E-3</v>
      </c>
      <c r="L197" s="18">
        <f>IF(ISNUMBER(J197), $B199 * K197, "")</f>
        <v>1306.0951105157403</v>
      </c>
      <c r="M197" s="31">
        <v>7520</v>
      </c>
      <c r="N197" s="32">
        <f t="shared" si="109"/>
        <v>7.367716008037508E-3</v>
      </c>
      <c r="O197" s="18">
        <f>IF(ISNUMBER(M197), $B199 * N197, "")</f>
        <v>1105.1574012056262</v>
      </c>
      <c r="Q197" s="181"/>
      <c r="R197" s="182"/>
      <c r="S197" s="183"/>
    </row>
    <row r="198" spans="1:19" ht="17.25" thickBot="1">
      <c r="A198" s="130" t="s">
        <v>112</v>
      </c>
      <c r="B198" s="131">
        <v>992</v>
      </c>
      <c r="C198" s="79">
        <v>-6.4150943399999993E-2</v>
      </c>
      <c r="D198" s="24">
        <v>976</v>
      </c>
      <c r="E198" s="25">
        <f t="shared" si="106"/>
        <v>-1.6129032258064516E-2</v>
      </c>
      <c r="F198" s="104">
        <f>IF(ISNUMBER(D198), $B199 * E198, "")</f>
        <v>-2419.3548387096776</v>
      </c>
      <c r="G198" s="102">
        <v>987</v>
      </c>
      <c r="H198" s="25">
        <f t="shared" si="107"/>
        <v>-5.0403225806451612E-3</v>
      </c>
      <c r="I198" s="103">
        <f>IF(ISNUMBER(G198), $B199 * H198, "")</f>
        <v>-756.04838709677415</v>
      </c>
      <c r="J198" s="24">
        <v>970</v>
      </c>
      <c r="K198" s="25">
        <f t="shared" si="108"/>
        <v>-2.2177419354838711E-2</v>
      </c>
      <c r="L198" s="104">
        <f>IF(ISNUMBER(J198), $B199 * K198, "")</f>
        <v>-3326.6129032258068</v>
      </c>
      <c r="M198" s="102">
        <v>955</v>
      </c>
      <c r="N198" s="25">
        <f t="shared" si="109"/>
        <v>-3.7298387096774195E-2</v>
      </c>
      <c r="O198" s="104">
        <f>IF(ISNUMBER(M198), $B199 * N198, "")</f>
        <v>-5594.7580645161297</v>
      </c>
      <c r="Q198" s="184"/>
      <c r="R198" s="185"/>
      <c r="S198" s="186"/>
    </row>
    <row r="199" spans="1:19" ht="17.25" thickBot="1">
      <c r="A199" s="132" t="s">
        <v>268</v>
      </c>
      <c r="B199" s="245">
        <f>$B$37</f>
        <v>150000</v>
      </c>
      <c r="C199" s="246"/>
      <c r="D199" s="26" t="s">
        <v>269</v>
      </c>
      <c r="E199" s="27">
        <f>IF(COUNT(E179:E198), SUM(E179:E198) / COUNT(E179:E198), 0)</f>
        <v>2.4387416438830706E-2</v>
      </c>
      <c r="F199" s="28">
        <f>SUM(F179:F198)</f>
        <v>73162.249316492103</v>
      </c>
      <c r="G199" s="26" t="s">
        <v>269</v>
      </c>
      <c r="H199" s="27">
        <f>IF(COUNT(H179:H198), SUM(H179:H198) / COUNT(H179:H198), 0)</f>
        <v>4.5586121358573858E-2</v>
      </c>
      <c r="I199" s="28">
        <f>SUM(I179:I198)</f>
        <v>136758.36407572153</v>
      </c>
      <c r="J199" s="26" t="s">
        <v>269</v>
      </c>
      <c r="K199" s="27">
        <f>IF(COUNT(K179:K198), SUM(K179:K198) / COUNT(K179:K198), 0)</f>
        <v>7.6383648589932546E-2</v>
      </c>
      <c r="L199" s="28">
        <f>SUM(L179:L198)</f>
        <v>229150.94576979763</v>
      </c>
      <c r="M199" s="26" t="s">
        <v>269</v>
      </c>
      <c r="N199" s="27">
        <f>IF(COUNT(N179:N198), SUM(N179:N198) / COUNT(N179:N198), 0)</f>
        <v>4.1386256218927296E-2</v>
      </c>
      <c r="O199" s="28">
        <f>SUM(O179:O198)</f>
        <v>124158.76865678192</v>
      </c>
      <c r="Q199" s="187"/>
      <c r="R199" s="188"/>
      <c r="S199" s="1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F3589-0F46-4C26-88E9-5F5CB921F7BD}">
  <sheetPr codeName="Sheet12"/>
  <dimension ref="A1:S199"/>
  <sheetViews>
    <sheetView tabSelected="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44475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318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326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194,679 KRW (6.49%)</v>
      </c>
      <c r="H3" s="225"/>
      <c r="I3" s="226"/>
      <c r="J3" s="4" t="s">
        <v>7</v>
      </c>
      <c r="K3" s="228" t="s">
        <v>319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320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317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92,809 KRW (3.64%)</v>
      </c>
      <c r="H5" s="225"/>
      <c r="I5" s="226"/>
      <c r="J5" s="4" t="s">
        <v>15</v>
      </c>
      <c r="K5" s="228" t="s">
        <v>321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322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239,427 KRW (7.98%)</v>
      </c>
      <c r="H7" s="225"/>
      <c r="I7" s="226"/>
      <c r="J7" s="4" t="s">
        <v>21</v>
      </c>
      <c r="K7" s="228" t="s">
        <v>323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31" t="s">
        <v>253</v>
      </c>
      <c r="H8" s="232"/>
      <c r="I8" s="233"/>
      <c r="J8" s="4" t="s">
        <v>24</v>
      </c>
      <c r="K8" s="228"/>
      <c r="L8" s="229"/>
      <c r="M8" s="229"/>
      <c r="N8" s="229"/>
      <c r="O8" s="230"/>
      <c r="Q8" s="203" t="s">
        <v>27</v>
      </c>
      <c r="R8" s="205"/>
    </row>
    <row r="9" spans="1:19" ht="17.25" thickBot="1">
      <c r="A9" s="118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75,969 KRW (2.53%)</v>
      </c>
      <c r="H9" s="225"/>
      <c r="I9" s="226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 t="s">
        <v>324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21" t="s">
        <v>325</v>
      </c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 t="s">
        <v>316</v>
      </c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34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77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62630000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1.5632601400000001E-2</v>
      </c>
      <c r="N14" s="210"/>
      <c r="O14" s="211"/>
      <c r="Q14" s="202"/>
      <c r="R14" s="202"/>
      <c r="S14" s="202"/>
    </row>
    <row r="15" spans="1:19" ht="17.25" customHeight="1" thickBot="1">
      <c r="A15" s="240" t="s">
        <v>39</v>
      </c>
      <c r="B15" s="241" t="str">
        <f>TEXT($G$1, "[$-ko-KR]yyyy-mm-dd(ddd) ") &amp; "오전 00:00"</f>
        <v>2021-10-06(수) 오전 00:00</v>
      </c>
      <c r="C15" s="242"/>
      <c r="D15" s="216" t="str">
        <f>TEXT($G$1, "[$-ko-KR]yyyy-mm-dd(ddd) ") &amp; "오후 14:00"</f>
        <v>2021-10-06(수) 오후 14:00</v>
      </c>
      <c r="E15" s="217"/>
      <c r="F15" s="218"/>
      <c r="G15" s="216" t="str">
        <f>TEXT($G$1, "[$-ko-KR]yyyy-mm-dd(ddd) ") &amp; "오후 19:00"</f>
        <v>2021-10-06(수) 오후 19:00</v>
      </c>
      <c r="H15" s="217"/>
      <c r="I15" s="218"/>
      <c r="J15" s="216" t="str">
        <f>TEXT($G$1, "[$-ko-KR]yyyy-mm-dd(ddd) ") &amp; "오후 21:00"</f>
        <v>2021-10-06(수) 오후 21:00</v>
      </c>
      <c r="K15" s="217"/>
      <c r="L15" s="218"/>
      <c r="M15" s="216" t="str">
        <f>TEXT($G$1+1, "[$-ko-KR]yyyy-mm-dd(ddd) ") &amp; "오전 00:00"</f>
        <v>2021-10-07(목) 오전 00:00</v>
      </c>
      <c r="N15" s="217"/>
      <c r="O15" s="218"/>
      <c r="Q15" s="202"/>
      <c r="R15" s="202"/>
      <c r="S15" s="202"/>
    </row>
    <row r="16" spans="1:19" ht="17.25" customHeight="1" thickBot="1">
      <c r="A16" s="24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132" t="s">
        <v>42</v>
      </c>
      <c r="B37" s="245">
        <v>150000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77" t="s">
        <v>265</v>
      </c>
      <c r="B41" s="203" t="s">
        <v>49</v>
      </c>
      <c r="C41" s="205"/>
      <c r="D41" s="203" t="s">
        <v>58</v>
      </c>
      <c r="E41" s="204"/>
      <c r="F41" s="205"/>
      <c r="G41" s="206">
        <f>_xlfn.IFNA(VLOOKUP(B41, 현재가테이블!$B$2:$D$200, 2, FALSE), "-")</f>
        <v>62630000</v>
      </c>
      <c r="H41" s="207"/>
      <c r="I41" s="208"/>
      <c r="J41" s="203" t="s">
        <v>59</v>
      </c>
      <c r="K41" s="204"/>
      <c r="L41" s="205"/>
      <c r="M41" s="209">
        <f>_xlfn.IFNA(VLOOKUP(B41, 현재가테이블!$B$2:$D$200, 3, FALSE), "-")</f>
        <v>1.5632601400000001E-2</v>
      </c>
      <c r="N41" s="210"/>
      <c r="O41" s="211"/>
      <c r="Q41" s="202"/>
      <c r="R41" s="202"/>
      <c r="S41" s="202"/>
    </row>
    <row r="42" spans="1:19" ht="17.25" customHeight="1" thickBot="1">
      <c r="A42" s="247" t="s">
        <v>55</v>
      </c>
      <c r="B42" s="243" t="str">
        <f>TEXT($G$1, "[$-ko-KR]yyyy-mm-dd(ddd) ") &amp; "오전 00:00"</f>
        <v>2021-10-06(수) 오전 00:00</v>
      </c>
      <c r="C42" s="244"/>
      <c r="D42" s="216" t="str">
        <f>TEXT($G$1, "[$-ko-KR]yyyy-mm-dd(ddd) ") &amp; "오후 14:00"</f>
        <v>2021-10-06(수) 오후 14:00</v>
      </c>
      <c r="E42" s="217"/>
      <c r="F42" s="218"/>
      <c r="G42" s="216" t="str">
        <f>TEXT($G$1, "[$-ko-KR]yyyy-mm-dd(ddd) ") &amp; "오후 19:00"</f>
        <v>2021-10-06(수) 오후 19:00</v>
      </c>
      <c r="H42" s="217"/>
      <c r="I42" s="218"/>
      <c r="J42" s="216" t="str">
        <f>TEXT($G$1, "[$-ko-KR]yyyy-mm-dd(ddd) ") &amp; "오후 21:00"</f>
        <v>2021-10-06(수) 오후 21:00</v>
      </c>
      <c r="K42" s="217"/>
      <c r="L42" s="218"/>
      <c r="M42" s="216" t="str">
        <f>TEXT($G$1+1, "[$-ko-KR]yyyy-mm-dd(ddd) ") &amp; "오전 00:00"</f>
        <v>2021-10-07(목) 오전 00:00</v>
      </c>
      <c r="N42" s="217"/>
      <c r="O42" s="218"/>
      <c r="Q42" s="202"/>
      <c r="R42" s="202"/>
      <c r="S42" s="202"/>
    </row>
    <row r="43" spans="1:19" ht="17.25" customHeight="1" thickBot="1">
      <c r="A43" s="248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8" t="s">
        <v>58</v>
      </c>
      <c r="H43" s="179" t="s">
        <v>266</v>
      </c>
      <c r="I43" s="18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192"/>
      <c r="R43" s="192"/>
      <c r="S43" s="192"/>
    </row>
    <row r="44" spans="1:19" ht="17.25" customHeight="1" thickBot="1">
      <c r="A44" s="123" t="s">
        <v>186</v>
      </c>
      <c r="B44" s="124">
        <v>17.600000000000001</v>
      </c>
      <c r="C44" s="76">
        <v>0.34351145039999997</v>
      </c>
      <c r="D44" s="13">
        <v>15.5</v>
      </c>
      <c r="E44" s="14">
        <f>IF(ISNUMBER(D44), (D44 - $B44) / $B44, "")</f>
        <v>-0.11931818181818189</v>
      </c>
      <c r="F44" s="16">
        <f>IF(ISNUMBER(D44), $B64 * E44, "")</f>
        <v>-17897.727272727283</v>
      </c>
      <c r="G44" s="29">
        <v>18.100000000000001</v>
      </c>
      <c r="H44" s="14">
        <f>IF(ISNUMBER(G44), (G44 - $B44) / $B44, "")</f>
        <v>2.8409090909090908E-2</v>
      </c>
      <c r="I44" s="100">
        <f>IF(ISNUMBER(G44), $B64 * H44, "")</f>
        <v>4261.363636363636</v>
      </c>
      <c r="J44" s="13">
        <v>18.2</v>
      </c>
      <c r="K44" s="14">
        <f>IF(ISNUMBER(J44), (J44 - $B44) / $B44, "")</f>
        <v>3.409090909090897E-2</v>
      </c>
      <c r="L44" s="16">
        <f>IF(ISNUMBER(J44), $B64 * K44, "")</f>
        <v>5113.6363636363458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2"/>
      <c r="R44" s="202"/>
      <c r="S44" s="202"/>
    </row>
    <row r="45" spans="1:19" ht="17.25" customHeight="1" thickBot="1">
      <c r="A45" s="125" t="s">
        <v>208</v>
      </c>
      <c r="B45" s="126">
        <v>15.7</v>
      </c>
      <c r="C45" s="77">
        <v>0.17164179099999999</v>
      </c>
      <c r="D45" s="15">
        <v>14.1</v>
      </c>
      <c r="E45" s="32">
        <f t="shared" ref="E45:E48" si="14">IF(ISNUMBER(D45), (D45 - $B45) / $B45, "")</f>
        <v>-0.10191082802547768</v>
      </c>
      <c r="F45" s="18">
        <f>IF(ISNUMBER(D45), $B64 * E45, "")</f>
        <v>-15286.624203821653</v>
      </c>
      <c r="G45" s="31">
        <v>14.8</v>
      </c>
      <c r="H45" s="32">
        <f t="shared" ref="H45:H48" si="15">IF(ISNUMBER(G45), (G45 - $B45) / $B45, "")</f>
        <v>-5.7324840764331121E-2</v>
      </c>
      <c r="I45" s="101">
        <f>IF(ISNUMBER(G45), $B64 * H45, "")</f>
        <v>-8598.7261146496676</v>
      </c>
      <c r="J45" s="15">
        <v>14.9</v>
      </c>
      <c r="K45" s="32">
        <f t="shared" ref="K45:K48" si="16">IF(ISNUMBER(J45), (J45 - $B45) / $B45, "")</f>
        <v>-5.0955414012738787E-2</v>
      </c>
      <c r="L45" s="18">
        <f>IF(ISNUMBER(J45), $B64 * K45, "")</f>
        <v>-7643.3121019108185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2"/>
      <c r="R45" s="202"/>
      <c r="S45" s="202"/>
    </row>
    <row r="46" spans="1:19" ht="17.25" customHeight="1" thickBot="1">
      <c r="A46" s="125" t="s">
        <v>200</v>
      </c>
      <c r="B46" s="126">
        <v>82</v>
      </c>
      <c r="C46" s="77">
        <v>6.6319896000000003E-2</v>
      </c>
      <c r="D46" s="15">
        <v>82</v>
      </c>
      <c r="E46" s="32">
        <f t="shared" si="14"/>
        <v>0</v>
      </c>
      <c r="F46" s="18">
        <f>IF(ISNUMBER(D46), $B64 * E46, "")</f>
        <v>0</v>
      </c>
      <c r="G46" s="31">
        <v>83.8</v>
      </c>
      <c r="H46" s="32">
        <f t="shared" si="15"/>
        <v>2.1951219512195086E-2</v>
      </c>
      <c r="I46" s="101">
        <f>IF(ISNUMBER(G46), $B64 * H46, "")</f>
        <v>3292.6829268292627</v>
      </c>
      <c r="J46" s="15">
        <v>84.9</v>
      </c>
      <c r="K46" s="32">
        <f t="shared" si="16"/>
        <v>3.5365853658536651E-2</v>
      </c>
      <c r="L46" s="18">
        <f>IF(ISNUMBER(J46), $B64 * K46, "")</f>
        <v>5304.8780487804979</v>
      </c>
      <c r="M46" s="31"/>
      <c r="N46" s="32" t="str">
        <f t="shared" si="17"/>
        <v/>
      </c>
      <c r="O46" s="18" t="str">
        <f>IF(ISNUMBER(M46), $B64 * N46, "")</f>
        <v/>
      </c>
      <c r="Q46" s="192"/>
      <c r="R46" s="192"/>
      <c r="S46" s="192"/>
    </row>
    <row r="47" spans="1:19" ht="17.25" customHeight="1" thickBot="1">
      <c r="A47" s="125" t="s">
        <v>146</v>
      </c>
      <c r="B47" s="126">
        <v>21.1</v>
      </c>
      <c r="C47" s="77">
        <v>6.5656565700000002E-2</v>
      </c>
      <c r="D47" s="15">
        <v>23.4</v>
      </c>
      <c r="E47" s="32">
        <f t="shared" si="14"/>
        <v>0.10900473933649275</v>
      </c>
      <c r="F47" s="18">
        <f>IF(ISNUMBER(D47), $B64 * E47, "")</f>
        <v>16350.710900473912</v>
      </c>
      <c r="G47" s="31">
        <v>23.1</v>
      </c>
      <c r="H47" s="32">
        <f t="shared" si="15"/>
        <v>9.4786729857819899E-2</v>
      </c>
      <c r="I47" s="101">
        <f>IF(ISNUMBER(G47), $B64 * H47, "")</f>
        <v>14218.009478672984</v>
      </c>
      <c r="J47" s="15">
        <v>22.6</v>
      </c>
      <c r="K47" s="32">
        <f t="shared" si="16"/>
        <v>7.1090047393364927E-2</v>
      </c>
      <c r="L47" s="18">
        <f>IF(ISNUMBER(J47), $B64 * K47, "")</f>
        <v>10663.507109004739</v>
      </c>
      <c r="M47" s="31"/>
      <c r="N47" s="32" t="str">
        <f t="shared" si="17"/>
        <v/>
      </c>
      <c r="O47" s="18" t="str">
        <f>IF(ISNUMBER(M47), $B64 * N47, "")</f>
        <v/>
      </c>
      <c r="Q47" s="192"/>
      <c r="R47" s="192"/>
      <c r="S47" s="192"/>
    </row>
    <row r="48" spans="1:19" ht="17.25" customHeight="1" thickBot="1">
      <c r="A48" s="127" t="s">
        <v>214</v>
      </c>
      <c r="B48" s="128">
        <v>11.5</v>
      </c>
      <c r="C48" s="78">
        <v>6.4814814799999995E-2</v>
      </c>
      <c r="D48" s="20">
        <v>11.8</v>
      </c>
      <c r="E48" s="21">
        <f t="shared" si="14"/>
        <v>2.6086956521739191E-2</v>
      </c>
      <c r="F48" s="22">
        <f>IF(ISNUMBER(D48), $B64 * E48, "")</f>
        <v>3913.0434782608786</v>
      </c>
      <c r="G48" s="30">
        <v>11.8</v>
      </c>
      <c r="H48" s="21">
        <f t="shared" si="15"/>
        <v>2.6086956521739191E-2</v>
      </c>
      <c r="I48" s="105">
        <f>IF(ISNUMBER(G48), $B64 * H48, "")</f>
        <v>3913.0434782608786</v>
      </c>
      <c r="J48" s="20">
        <v>11.9</v>
      </c>
      <c r="K48" s="21">
        <f t="shared" si="16"/>
        <v>3.4782608695652202E-2</v>
      </c>
      <c r="L48" s="22">
        <f>IF(ISNUMBER(J48), $B64 * K48, "")</f>
        <v>5217.3913043478306</v>
      </c>
      <c r="M48" s="30"/>
      <c r="N48" s="21" t="str">
        <f t="shared" si="17"/>
        <v/>
      </c>
      <c r="O48" s="22" t="str">
        <f>IF(ISNUMBER(M48), $B64 * N48, "")</f>
        <v/>
      </c>
      <c r="Q48" s="192"/>
      <c r="R48" s="192"/>
      <c r="S48" s="192"/>
    </row>
    <row r="49" spans="1:19" ht="17.25" customHeight="1" thickBot="1">
      <c r="A49" s="125" t="s">
        <v>148</v>
      </c>
      <c r="B49" s="129">
        <v>12</v>
      </c>
      <c r="C49" s="80">
        <v>5.2631578900000003E-2</v>
      </c>
      <c r="D49" s="106">
        <v>12.8</v>
      </c>
      <c r="E49" s="107">
        <f>IF(ISNUMBER(D49), (D49 - $B49) / $B49, "")</f>
        <v>6.6666666666666721E-2</v>
      </c>
      <c r="F49" s="108">
        <f>IF(ISNUMBER(D49), $B64 * E49, "")</f>
        <v>10000.000000000009</v>
      </c>
      <c r="G49" s="109">
        <v>12.7</v>
      </c>
      <c r="H49" s="107">
        <f>IF(ISNUMBER(G49), (G49 - $B49) / $B49, "")</f>
        <v>5.8333333333333272E-2</v>
      </c>
      <c r="I49" s="110">
        <f>IF(ISNUMBER(G49), $B64 * H49, "")</f>
        <v>8749.9999999999909</v>
      </c>
      <c r="J49" s="106">
        <v>12.9</v>
      </c>
      <c r="K49" s="107">
        <f>IF(ISNUMBER(J49), (J49 - $B49) / $B49, "")</f>
        <v>7.5000000000000025E-2</v>
      </c>
      <c r="L49" s="108">
        <f>IF(ISNUMBER(J49), $B64 * K49, "")</f>
        <v>11250.000000000004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2"/>
      <c r="R49" s="192"/>
      <c r="S49" s="192"/>
    </row>
    <row r="50" spans="1:19" ht="17.25" customHeight="1" thickBot="1">
      <c r="A50" s="125" t="s">
        <v>206</v>
      </c>
      <c r="B50" s="126">
        <v>13.4</v>
      </c>
      <c r="C50" s="77">
        <v>4.6875E-2</v>
      </c>
      <c r="D50" s="15">
        <v>14.2</v>
      </c>
      <c r="E50" s="32">
        <f t="shared" ref="E50:E53" si="18">IF(ISNUMBER(D50), (D50 - $B50) / $B50, "")</f>
        <v>5.9701492537313348E-2</v>
      </c>
      <c r="F50" s="18">
        <f>IF(ISNUMBER(D50), $B64 * E50, "")</f>
        <v>8955.2238805970028</v>
      </c>
      <c r="G50" s="31">
        <v>13.8</v>
      </c>
      <c r="H50" s="32">
        <f t="shared" ref="H50:H53" si="19">IF(ISNUMBER(G50), (G50 - $B50) / $B50, "")</f>
        <v>2.9850746268656744E-2</v>
      </c>
      <c r="I50" s="101">
        <f>IF(ISNUMBER(G50), $B64 * H50, "")</f>
        <v>4477.6119402985114</v>
      </c>
      <c r="J50" s="15">
        <v>13.8</v>
      </c>
      <c r="K50" s="32">
        <f t="shared" ref="K50:K53" si="20">IF(ISNUMBER(J50), (J50 - $B50) / $B50, "")</f>
        <v>2.9850746268656744E-2</v>
      </c>
      <c r="L50" s="18">
        <f>IF(ISNUMBER(J50), $B64 * K50, "")</f>
        <v>4477.6119402985114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2"/>
      <c r="R50" s="192"/>
      <c r="S50" s="192"/>
    </row>
    <row r="51" spans="1:19" ht="17.25" customHeight="1" thickBot="1">
      <c r="A51" s="125" t="s">
        <v>232</v>
      </c>
      <c r="B51" s="126">
        <v>78.400000000000006</v>
      </c>
      <c r="C51" s="77">
        <v>4.2553191499999997E-2</v>
      </c>
      <c r="D51" s="15">
        <v>80.5</v>
      </c>
      <c r="E51" s="32">
        <f t="shared" si="18"/>
        <v>2.6785714285714211E-2</v>
      </c>
      <c r="F51" s="18">
        <f>IF(ISNUMBER(D51), $B64 * E51, "")</f>
        <v>4017.8571428571317</v>
      </c>
      <c r="G51" s="31">
        <v>80.8</v>
      </c>
      <c r="H51" s="32">
        <f t="shared" si="19"/>
        <v>3.0612244897959072E-2</v>
      </c>
      <c r="I51" s="101">
        <f>IF(ISNUMBER(G51), $B64 * H51, "")</f>
        <v>4591.8367346938612</v>
      </c>
      <c r="J51" s="15">
        <v>81.7</v>
      </c>
      <c r="K51" s="32">
        <f t="shared" si="20"/>
        <v>4.2091836734693841E-2</v>
      </c>
      <c r="L51" s="18">
        <f>IF(ISNUMBER(J51), $B64 * K51, "")</f>
        <v>6313.7755102040765</v>
      </c>
      <c r="M51" s="31"/>
      <c r="N51" s="32" t="str">
        <f t="shared" si="21"/>
        <v/>
      </c>
      <c r="O51" s="18" t="str">
        <f>IF(ISNUMBER(M51), $B64 * N51, "")</f>
        <v/>
      </c>
      <c r="Q51" s="192"/>
      <c r="R51" s="192"/>
      <c r="S51" s="192"/>
    </row>
    <row r="52" spans="1:19" ht="17.25" customHeight="1" thickBot="1">
      <c r="A52" s="125" t="s">
        <v>248</v>
      </c>
      <c r="B52" s="126">
        <v>87.6</v>
      </c>
      <c r="C52" s="77">
        <v>3.7914691899999999E-2</v>
      </c>
      <c r="D52" s="15">
        <v>89.6</v>
      </c>
      <c r="E52" s="32">
        <f t="shared" si="18"/>
        <v>2.2831050228310504E-2</v>
      </c>
      <c r="F52" s="18">
        <f>IF(ISNUMBER(D52), $B64 * E52, "")</f>
        <v>3424.6575342465758</v>
      </c>
      <c r="G52" s="31">
        <v>87.1</v>
      </c>
      <c r="H52" s="32">
        <f t="shared" si="19"/>
        <v>-5.7077625570776261E-3</v>
      </c>
      <c r="I52" s="101">
        <f>IF(ISNUMBER(G52), $B64 * H52, "")</f>
        <v>-856.16438356164394</v>
      </c>
      <c r="J52" s="15">
        <v>87.9</v>
      </c>
      <c r="K52" s="32">
        <f t="shared" si="20"/>
        <v>3.4246575342467053E-3</v>
      </c>
      <c r="L52" s="18">
        <f>IF(ISNUMBER(J52), $B64 * K52, "")</f>
        <v>513.69863013700581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176</v>
      </c>
      <c r="B53" s="131">
        <v>17.399999999999999</v>
      </c>
      <c r="C53" s="79">
        <v>3.5714285700000001E-2</v>
      </c>
      <c r="D53" s="24">
        <v>18.7</v>
      </c>
      <c r="E53" s="25">
        <f t="shared" si="18"/>
        <v>7.4712643678160967E-2</v>
      </c>
      <c r="F53" s="104">
        <f>IF(ISNUMBER(D53), $B64 * E53, "")</f>
        <v>11206.896551724145</v>
      </c>
      <c r="G53" s="102">
        <v>19.100000000000001</v>
      </c>
      <c r="H53" s="25">
        <f t="shared" si="19"/>
        <v>9.7701149425287528E-2</v>
      </c>
      <c r="I53" s="103">
        <f>IF(ISNUMBER(G53), $B64 * H53, "")</f>
        <v>14655.172413793129</v>
      </c>
      <c r="J53" s="24">
        <v>19</v>
      </c>
      <c r="K53" s="25">
        <f t="shared" si="20"/>
        <v>9.1954022988505843E-2</v>
      </c>
      <c r="L53" s="104">
        <f>IF(ISNUMBER(J53), $B64 * K53, "")</f>
        <v>13793.103448275877</v>
      </c>
      <c r="M53" s="102"/>
      <c r="N53" s="25" t="str">
        <f t="shared" si="21"/>
        <v/>
      </c>
      <c r="O53" s="104" t="str">
        <f>IF(ISNUMBER(M53), $B64 * N53, "")</f>
        <v/>
      </c>
      <c r="Q53" s="193"/>
      <c r="R53" s="194"/>
      <c r="S53" s="195"/>
    </row>
    <row r="54" spans="1:19" ht="17.25" customHeight="1">
      <c r="A54" s="123" t="s">
        <v>202</v>
      </c>
      <c r="B54" s="124">
        <v>15.3</v>
      </c>
      <c r="C54" s="76">
        <v>3.3783783800000002E-2</v>
      </c>
      <c r="D54" s="13">
        <v>16.7</v>
      </c>
      <c r="E54" s="14">
        <f>IF(ISNUMBER(D54), (D54 - $B54) / $B54, "")</f>
        <v>9.1503267973856106E-2</v>
      </c>
      <c r="F54" s="16">
        <f>IF(ISNUMBER(D54), $B64 * E54, "")</f>
        <v>13725.490196078415</v>
      </c>
      <c r="G54" s="29">
        <v>16.2</v>
      </c>
      <c r="H54" s="14">
        <f>IF(ISNUMBER(G54), (G54 - $B54) / $B54, "")</f>
        <v>5.8823529411764608E-2</v>
      </c>
      <c r="I54" s="100">
        <f>IF(ISNUMBER(G54), $B64 * H54, "")</f>
        <v>8823.5294117646918</v>
      </c>
      <c r="J54" s="13">
        <v>16.399999999999999</v>
      </c>
      <c r="K54" s="14">
        <f>IF(ISNUMBER(J54), (J54 - $B54) / $B54, "")</f>
        <v>7.1895424836601163E-2</v>
      </c>
      <c r="L54" s="16">
        <f>IF(ISNUMBER(J54), $B64 * K54, "")</f>
        <v>10784.313725490174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6"/>
      <c r="R54" s="197"/>
      <c r="S54" s="198"/>
    </row>
    <row r="55" spans="1:19" ht="17.25" customHeight="1" thickBot="1">
      <c r="A55" s="125" t="s">
        <v>120</v>
      </c>
      <c r="B55" s="126">
        <v>37.5</v>
      </c>
      <c r="C55" s="77">
        <v>3.0219780200000001E-2</v>
      </c>
      <c r="D55" s="15">
        <v>39.4</v>
      </c>
      <c r="E55" s="32">
        <f t="shared" ref="E55:E58" si="22">IF(ISNUMBER(D55), (D55 - $B55) / $B55, "")</f>
        <v>5.0666666666666631E-2</v>
      </c>
      <c r="F55" s="18">
        <f>IF(ISNUMBER(D55), $B64 * E55, "")</f>
        <v>7599.9999999999945</v>
      </c>
      <c r="G55" s="31">
        <v>40</v>
      </c>
      <c r="H55" s="32">
        <f t="shared" ref="H55:H58" si="23">IF(ISNUMBER(G55), (G55 - $B55) / $B55, "")</f>
        <v>6.6666666666666666E-2</v>
      </c>
      <c r="I55" s="101">
        <f>IF(ISNUMBER(G55), $B64 * H55, "")</f>
        <v>10000</v>
      </c>
      <c r="J55" s="15">
        <v>41</v>
      </c>
      <c r="K55" s="32">
        <f t="shared" ref="K55:K58" si="24">IF(ISNUMBER(J55), (J55 - $B55) / $B55, "")</f>
        <v>9.3333333333333338E-2</v>
      </c>
      <c r="L55" s="18">
        <f>IF(ISNUMBER(J55), $B64 * K55, "")</f>
        <v>14000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9"/>
      <c r="R55" s="200"/>
      <c r="S55" s="201"/>
    </row>
    <row r="56" spans="1:19" ht="17.25" customHeight="1" thickBot="1">
      <c r="A56" s="125" t="s">
        <v>98</v>
      </c>
      <c r="B56" s="126">
        <v>4.3</v>
      </c>
      <c r="C56" s="77">
        <v>1.8957346E-2</v>
      </c>
      <c r="D56" s="15">
        <v>4.38</v>
      </c>
      <c r="E56" s="32">
        <f t="shared" si="22"/>
        <v>1.8604651162790715E-2</v>
      </c>
      <c r="F56" s="18">
        <f>IF(ISNUMBER(D56), $B64 * E56, "")</f>
        <v>2790.6976744186072</v>
      </c>
      <c r="G56" s="31">
        <v>4.2699999999999996</v>
      </c>
      <c r="H56" s="32">
        <f t="shared" si="23"/>
        <v>-6.9767441860465696E-3</v>
      </c>
      <c r="I56" s="101">
        <f>IF(ISNUMBER(G56), $B64 * H56, "")</f>
        <v>-1046.5116279069855</v>
      </c>
      <c r="J56" s="15">
        <v>4.32</v>
      </c>
      <c r="K56" s="32">
        <f t="shared" si="24"/>
        <v>4.6511627906977819E-3</v>
      </c>
      <c r="L56" s="18">
        <f>IF(ISNUMBER(J56), $B64 * K56, "")</f>
        <v>697.67441860466727</v>
      </c>
      <c r="M56" s="31"/>
      <c r="N56" s="32" t="str">
        <f t="shared" si="25"/>
        <v/>
      </c>
      <c r="O56" s="18" t="str">
        <f>IF(ISNUMBER(M56), $B64 * N56, "")</f>
        <v/>
      </c>
      <c r="Q56" s="192"/>
      <c r="R56" s="192"/>
      <c r="S56" s="192"/>
    </row>
    <row r="57" spans="1:19" ht="17.25" customHeight="1" thickBot="1">
      <c r="A57" s="125" t="s">
        <v>188</v>
      </c>
      <c r="B57" s="126">
        <v>17.5</v>
      </c>
      <c r="C57" s="77">
        <v>1.74418605E-2</v>
      </c>
      <c r="D57" s="15">
        <v>18.7</v>
      </c>
      <c r="E57" s="32">
        <f t="shared" si="22"/>
        <v>6.8571428571428533E-2</v>
      </c>
      <c r="F57" s="18">
        <f>IF(ISNUMBER(D57), $B64 * E57, "")</f>
        <v>10285.714285714281</v>
      </c>
      <c r="G57" s="31">
        <v>18.7</v>
      </c>
      <c r="H57" s="32">
        <f t="shared" si="23"/>
        <v>6.8571428571428533E-2</v>
      </c>
      <c r="I57" s="101">
        <f>IF(ISNUMBER(G57), $B64 * H57, "")</f>
        <v>10285.714285714281</v>
      </c>
      <c r="J57" s="15">
        <v>18.7</v>
      </c>
      <c r="K57" s="32">
        <f t="shared" si="24"/>
        <v>6.8571428571428533E-2</v>
      </c>
      <c r="L57" s="18">
        <f>IF(ISNUMBER(J57), $B64 * K57, "")</f>
        <v>10285.714285714281</v>
      </c>
      <c r="M57" s="31"/>
      <c r="N57" s="32" t="str">
        <f t="shared" si="25"/>
        <v/>
      </c>
      <c r="O57" s="18" t="str">
        <f>IF(ISNUMBER(M57), $B64 * N57, "")</f>
        <v/>
      </c>
      <c r="Q57" s="202"/>
      <c r="R57" s="202"/>
      <c r="S57" s="202"/>
    </row>
    <row r="58" spans="1:19" ht="17.25" customHeight="1" thickBot="1">
      <c r="A58" s="127" t="s">
        <v>72</v>
      </c>
      <c r="B58" s="128">
        <v>25.5</v>
      </c>
      <c r="C58" s="78">
        <v>7.9051382999999996E-3</v>
      </c>
      <c r="D58" s="20">
        <v>27.4</v>
      </c>
      <c r="E58" s="21">
        <f t="shared" si="22"/>
        <v>7.4509803921568571E-2</v>
      </c>
      <c r="F58" s="22">
        <f>IF(ISNUMBER(D58), $B64 * E58, "")</f>
        <v>11176.470588235286</v>
      </c>
      <c r="G58" s="30">
        <v>26.5</v>
      </c>
      <c r="H58" s="21">
        <f t="shared" si="23"/>
        <v>3.9215686274509803E-2</v>
      </c>
      <c r="I58" s="105">
        <f>IF(ISNUMBER(G58), $B64 * H58, "")</f>
        <v>5882.3529411764703</v>
      </c>
      <c r="J58" s="20">
        <v>27.5</v>
      </c>
      <c r="K58" s="21">
        <f t="shared" si="24"/>
        <v>7.8431372549019607E-2</v>
      </c>
      <c r="L58" s="22">
        <f>IF(ISNUMBER(J58), $B64 * K58, "")</f>
        <v>11764.705882352941</v>
      </c>
      <c r="M58" s="30"/>
      <c r="N58" s="21" t="str">
        <f t="shared" si="25"/>
        <v/>
      </c>
      <c r="O58" s="22" t="str">
        <f>IF(ISNUMBER(M58), $B64 * N58, "")</f>
        <v/>
      </c>
      <c r="Q58" s="202"/>
      <c r="R58" s="202"/>
      <c r="S58" s="202"/>
    </row>
    <row r="59" spans="1:19" ht="17.25" customHeight="1" thickBot="1">
      <c r="A59" s="125" t="s">
        <v>65</v>
      </c>
      <c r="B59" s="129">
        <v>65.5</v>
      </c>
      <c r="C59" s="80">
        <v>3.0627871E-3</v>
      </c>
      <c r="D59" s="106">
        <v>65.7</v>
      </c>
      <c r="E59" s="107">
        <f>IF(ISNUMBER(D59), (D59 - $B59) / $B59, "")</f>
        <v>3.0534351145038601E-3</v>
      </c>
      <c r="F59" s="108">
        <f>IF(ISNUMBER(D59), $B64 * E59, "")</f>
        <v>458.01526717557903</v>
      </c>
      <c r="G59" s="109">
        <v>64.3</v>
      </c>
      <c r="H59" s="107">
        <f>IF(ISNUMBER(G59), (G59 - $B59) / $B59, "")</f>
        <v>-1.8320610687022943E-2</v>
      </c>
      <c r="I59" s="110">
        <f>IF(ISNUMBER(G59), $B64 * H59, "")</f>
        <v>-2748.0916030534413</v>
      </c>
      <c r="J59" s="106">
        <v>64.099999999999994</v>
      </c>
      <c r="K59" s="107">
        <f>IF(ISNUMBER(J59), (J59 - $B59) / $B59, "")</f>
        <v>-2.1374045801526805E-2</v>
      </c>
      <c r="L59" s="108">
        <f>IF(ISNUMBER(J59), $B64 * K59, "")</f>
        <v>-3206.1068702290208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2"/>
      <c r="R59" s="192"/>
      <c r="S59" s="192"/>
    </row>
    <row r="60" spans="1:19" ht="17.25" customHeight="1" thickBot="1">
      <c r="A60" s="125" t="s">
        <v>328</v>
      </c>
      <c r="B60" s="126">
        <v>0.27600000000000002</v>
      </c>
      <c r="C60" s="77">
        <v>-3.4965034999999998E-2</v>
      </c>
      <c r="D60" s="15">
        <v>0.27</v>
      </c>
      <c r="E60" s="32">
        <f t="shared" ref="E60:E63" si="26">IF(ISNUMBER(D60), (D60 - $B60) / $B60, "")</f>
        <v>-2.1739130434782625E-2</v>
      </c>
      <c r="F60" s="18">
        <f>IF(ISNUMBER(D60), $B64 * E60, "")</f>
        <v>-3260.8695652173938</v>
      </c>
      <c r="G60" s="31">
        <v>0.26500000000000001</v>
      </c>
      <c r="H60" s="32">
        <f t="shared" ref="H60:H63" si="27">IF(ISNUMBER(G60), (G60 - $B60) / $B60, "")</f>
        <v>-3.9855072463768147E-2</v>
      </c>
      <c r="I60" s="101">
        <f>IF(ISNUMBER(G60), $B64 * H60, "")</f>
        <v>-5978.2608695652225</v>
      </c>
      <c r="J60" s="15">
        <v>0.26400000000000001</v>
      </c>
      <c r="K60" s="32">
        <f t="shared" ref="K60:K63" si="28">IF(ISNUMBER(J60), (J60 - $B60) / $B60, "")</f>
        <v>-4.3478260869565251E-2</v>
      </c>
      <c r="L60" s="18">
        <f>IF(ISNUMBER(J60), $B64 * K60, "")</f>
        <v>-6521.7391304347875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2"/>
      <c r="R60" s="192"/>
      <c r="S60" s="19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2"/>
      <c r="R61" s="192"/>
      <c r="S61" s="19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1"/>
      <c r="R62" s="182"/>
      <c r="S62" s="1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4"/>
      <c r="R63" s="185"/>
      <c r="S63" s="186"/>
    </row>
    <row r="64" spans="1:19" ht="17.25" customHeight="1" thickBot="1">
      <c r="A64" s="132" t="s">
        <v>268</v>
      </c>
      <c r="B64" s="245">
        <f>$B$37</f>
        <v>150000</v>
      </c>
      <c r="C64" s="246"/>
      <c r="D64" s="26" t="s">
        <v>269</v>
      </c>
      <c r="E64" s="27">
        <f>IF(COUNT(E44:E63), SUM(E44:E63) / COUNT(E44:E63), 0)</f>
        <v>2.6454728022751169E-2</v>
      </c>
      <c r="F64" s="28">
        <f>SUM(F44:F63)</f>
        <v>67459.55645801549</v>
      </c>
      <c r="G64" s="26" t="s">
        <v>269</v>
      </c>
      <c r="H64" s="27">
        <f>IF(COUNT(H44:H63), SUM(H44:H63) / COUNT(H44:H63), 0)</f>
        <v>2.8989632411306171E-2</v>
      </c>
      <c r="I64" s="28">
        <f>SUM(I44:I63)</f>
        <v>73923.562648830746</v>
      </c>
      <c r="J64" s="26" t="s">
        <v>269</v>
      </c>
      <c r="K64" s="27">
        <f>IF(COUNT(K44:K63), SUM(K44:K63) / COUNT(K44:K63), 0)</f>
        <v>3.6395628456577379E-2</v>
      </c>
      <c r="L64" s="28">
        <f>SUM(L44:L63)</f>
        <v>92808.852564272311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77" t="s">
        <v>265</v>
      </c>
      <c r="B68" s="203" t="s">
        <v>49</v>
      </c>
      <c r="C68" s="205"/>
      <c r="D68" s="203" t="s">
        <v>58</v>
      </c>
      <c r="E68" s="204"/>
      <c r="F68" s="205"/>
      <c r="G68" s="206">
        <f>_xlfn.IFNA(VLOOKUP(B68, 현재가테이블!$B$2:$D$200, 2, FALSE), "-")</f>
        <v>62630000</v>
      </c>
      <c r="H68" s="207"/>
      <c r="I68" s="208"/>
      <c r="J68" s="203" t="s">
        <v>59</v>
      </c>
      <c r="K68" s="204"/>
      <c r="L68" s="205"/>
      <c r="M68" s="209">
        <f>_xlfn.IFNA(VLOOKUP(B68, 현재가테이블!$B$2:$D$200, 3, FALSE), "-")</f>
        <v>1.5632601400000001E-2</v>
      </c>
      <c r="N68" s="210"/>
      <c r="O68" s="211"/>
      <c r="Q68" s="202"/>
      <c r="R68" s="202"/>
      <c r="S68" s="202"/>
    </row>
    <row r="69" spans="1:19" ht="17.25" thickBot="1">
      <c r="A69" s="247" t="s">
        <v>55</v>
      </c>
      <c r="B69" s="243" t="str">
        <f>TEXT($G$1, "[$-ko-KR]yyyy-mm-dd(ddd) ") &amp; "오전 00:00"</f>
        <v>2021-10-06(수) 오전 00:00</v>
      </c>
      <c r="C69" s="244"/>
      <c r="D69" s="216" t="str">
        <f>TEXT($G$1, "[$-ko-KR]yyyy-mm-dd(ddd) ") &amp; "오후 14:00"</f>
        <v>2021-10-06(수) 오후 14:00</v>
      </c>
      <c r="E69" s="217"/>
      <c r="F69" s="218"/>
      <c r="G69" s="216" t="str">
        <f>TEXT($G$1, "[$-ko-KR]yyyy-mm-dd(ddd) ") &amp; "오후 19:00"</f>
        <v>2021-10-06(수) 오후 19:00</v>
      </c>
      <c r="H69" s="217"/>
      <c r="I69" s="218"/>
      <c r="J69" s="216" t="str">
        <f>TEXT($G$1, "[$-ko-KR]yyyy-mm-dd(ddd) ") &amp; "오후 21:00"</f>
        <v>2021-10-06(수) 오후 21:00</v>
      </c>
      <c r="K69" s="217"/>
      <c r="L69" s="218"/>
      <c r="M69" s="216" t="str">
        <f>TEXT($G$1+1, "[$-ko-KR]yyyy-mm-dd(ddd) ") &amp; "오전 00:00"</f>
        <v>2021-10-07(목) 오전 00:00</v>
      </c>
      <c r="N69" s="217"/>
      <c r="O69" s="218"/>
      <c r="Q69" s="202"/>
      <c r="R69" s="202"/>
      <c r="S69" s="202"/>
    </row>
    <row r="70" spans="1:19" ht="17.25" thickBot="1">
      <c r="A70" s="248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8" t="s">
        <v>58</v>
      </c>
      <c r="H70" s="179" t="s">
        <v>266</v>
      </c>
      <c r="I70" s="18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192"/>
      <c r="R70" s="192"/>
      <c r="S70" s="192"/>
    </row>
    <row r="71" spans="1:19" ht="17.25" thickBot="1">
      <c r="A71" s="123" t="s">
        <v>238</v>
      </c>
      <c r="B71" s="124">
        <v>183</v>
      </c>
      <c r="C71" s="76">
        <v>1.6754385965</v>
      </c>
      <c r="D71" s="13">
        <v>142</v>
      </c>
      <c r="E71" s="14">
        <f>IF(ISNUMBER(D71), (D71 - $B71) / $B71, "")</f>
        <v>-0.22404371584699453</v>
      </c>
      <c r="F71" s="16">
        <f>IF(ISNUMBER(D71), $B91 * E71, "")</f>
        <v>-33606.557377049183</v>
      </c>
      <c r="G71" s="29">
        <v>249</v>
      </c>
      <c r="H71" s="14">
        <f>IF(ISNUMBER(G71), (G71 - $B71) / $B71, "")</f>
        <v>0.36065573770491804</v>
      </c>
      <c r="I71" s="100">
        <f>IF(ISNUMBER(G71), $B91 * H71, "")</f>
        <v>54098.360655737706</v>
      </c>
      <c r="J71" s="13">
        <v>274</v>
      </c>
      <c r="K71" s="14">
        <f>IF(ISNUMBER(J71), (J71 - $B71) / $B71, "")</f>
        <v>0.49726775956284153</v>
      </c>
      <c r="L71" s="16">
        <f>IF(ISNUMBER(J71), $B91 * K71, "")</f>
        <v>74590.163934426222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2"/>
      <c r="R71" s="202"/>
      <c r="S71" s="202"/>
    </row>
    <row r="72" spans="1:19" ht="17.25" thickBot="1">
      <c r="A72" s="125" t="s">
        <v>220</v>
      </c>
      <c r="B72" s="126">
        <v>176</v>
      </c>
      <c r="C72" s="77">
        <v>6.02409639E-2</v>
      </c>
      <c r="D72" s="15">
        <v>184</v>
      </c>
      <c r="E72" s="32">
        <f t="shared" ref="E72:E75" si="30">IF(ISNUMBER(D72), (D72 - $B72) / $B72, "")</f>
        <v>4.5454545454545456E-2</v>
      </c>
      <c r="F72" s="18">
        <f>IF(ISNUMBER(D72), $B91 * E72, "")</f>
        <v>6818.181818181818</v>
      </c>
      <c r="G72" s="31">
        <v>185</v>
      </c>
      <c r="H72" s="32">
        <f t="shared" ref="H72:H75" si="31">IF(ISNUMBER(G72), (G72 - $B72) / $B72, "")</f>
        <v>5.113636363636364E-2</v>
      </c>
      <c r="I72" s="101">
        <f>IF(ISNUMBER(G72), $B91 * H72, "")</f>
        <v>7670.454545454546</v>
      </c>
      <c r="J72" s="15">
        <v>191</v>
      </c>
      <c r="K72" s="32">
        <f t="shared" ref="K72:K75" si="32">IF(ISNUMBER(J72), (J72 - $B72) / $B72, "")</f>
        <v>8.5227272727272721E-2</v>
      </c>
      <c r="L72" s="18">
        <f>IF(ISNUMBER(J72), $B91 * K72, "")</f>
        <v>12784.090909090908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2"/>
      <c r="R72" s="202"/>
      <c r="S72" s="202"/>
    </row>
    <row r="73" spans="1:19" ht="17.25" thickBot="1">
      <c r="A73" s="125" t="s">
        <v>192</v>
      </c>
      <c r="B73" s="126">
        <v>119</v>
      </c>
      <c r="C73" s="77">
        <v>4.3859649100000002E-2</v>
      </c>
      <c r="D73" s="15">
        <v>126</v>
      </c>
      <c r="E73" s="32">
        <f t="shared" si="30"/>
        <v>5.8823529411764705E-2</v>
      </c>
      <c r="F73" s="18">
        <f>IF(ISNUMBER(D73), $B91 * E73, "")</f>
        <v>8823.5294117647063</v>
      </c>
      <c r="G73" s="31">
        <v>125</v>
      </c>
      <c r="H73" s="32">
        <f t="shared" si="31"/>
        <v>5.0420168067226892E-2</v>
      </c>
      <c r="I73" s="101">
        <f>IF(ISNUMBER(G73), $B91 * H73, "")</f>
        <v>7563.0252100840335</v>
      </c>
      <c r="J73" s="15">
        <v>128</v>
      </c>
      <c r="K73" s="32">
        <f t="shared" si="32"/>
        <v>7.5630252100840331E-2</v>
      </c>
      <c r="L73" s="18">
        <f>IF(ISNUMBER(J73), $B91 * K73, "")</f>
        <v>11344.53781512605</v>
      </c>
      <c r="M73" s="31"/>
      <c r="N73" s="32" t="str">
        <f t="shared" si="33"/>
        <v/>
      </c>
      <c r="O73" s="18" t="str">
        <f>IF(ISNUMBER(M73), $B91 * N73, "")</f>
        <v/>
      </c>
      <c r="Q73" s="192"/>
      <c r="R73" s="192"/>
      <c r="S73" s="192"/>
    </row>
    <row r="74" spans="1:19" ht="17.25" thickBot="1">
      <c r="A74" s="125" t="s">
        <v>108</v>
      </c>
      <c r="B74" s="126">
        <v>168</v>
      </c>
      <c r="C74" s="77">
        <v>4.3478260900000003E-2</v>
      </c>
      <c r="D74" s="15">
        <v>181</v>
      </c>
      <c r="E74" s="32">
        <f t="shared" si="30"/>
        <v>7.7380952380952384E-2</v>
      </c>
      <c r="F74" s="18">
        <f>IF(ISNUMBER(D74), $B91 * E74, "")</f>
        <v>11607.142857142857</v>
      </c>
      <c r="G74" s="31">
        <v>175</v>
      </c>
      <c r="H74" s="32">
        <f t="shared" si="31"/>
        <v>4.1666666666666664E-2</v>
      </c>
      <c r="I74" s="101">
        <f>IF(ISNUMBER(G74), $B91 * H74, "")</f>
        <v>6250</v>
      </c>
      <c r="J74" s="15">
        <v>179</v>
      </c>
      <c r="K74" s="32">
        <f t="shared" si="32"/>
        <v>6.5476190476190479E-2</v>
      </c>
      <c r="L74" s="18">
        <f>IF(ISNUMBER(J74), $B91 * K74, "")</f>
        <v>9821.4285714285725</v>
      </c>
      <c r="M74" s="31"/>
      <c r="N74" s="32" t="str">
        <f t="shared" si="33"/>
        <v/>
      </c>
      <c r="O74" s="18" t="str">
        <f>IF(ISNUMBER(M74), $B91 * N74, "")</f>
        <v/>
      </c>
      <c r="Q74" s="192"/>
      <c r="R74" s="192"/>
      <c r="S74" s="192"/>
    </row>
    <row r="75" spans="1:19" ht="17.25" thickBot="1">
      <c r="A75" s="127" t="s">
        <v>57</v>
      </c>
      <c r="B75" s="128">
        <v>201</v>
      </c>
      <c r="C75" s="78">
        <v>3.6082474199999999E-2</v>
      </c>
      <c r="D75" s="20">
        <v>203</v>
      </c>
      <c r="E75" s="21">
        <f t="shared" si="30"/>
        <v>9.9502487562189053E-3</v>
      </c>
      <c r="F75" s="22">
        <f>IF(ISNUMBER(D75), $B91 * E75, "")</f>
        <v>1492.5373134328358</v>
      </c>
      <c r="G75" s="30">
        <v>199</v>
      </c>
      <c r="H75" s="21">
        <f t="shared" si="31"/>
        <v>-9.9502487562189053E-3</v>
      </c>
      <c r="I75" s="105">
        <f>IF(ISNUMBER(G75), $B91 * H75, "")</f>
        <v>-1492.5373134328358</v>
      </c>
      <c r="J75" s="20">
        <v>202</v>
      </c>
      <c r="K75" s="21">
        <f t="shared" si="32"/>
        <v>4.9751243781094526E-3</v>
      </c>
      <c r="L75" s="22">
        <f>IF(ISNUMBER(J75), $B91 * K75, "")</f>
        <v>746.26865671641792</v>
      </c>
      <c r="M75" s="30"/>
      <c r="N75" s="21" t="str">
        <f t="shared" si="33"/>
        <v/>
      </c>
      <c r="O75" s="22" t="str">
        <f>IF(ISNUMBER(M75), $B91 * N75, "")</f>
        <v/>
      </c>
      <c r="Q75" s="192"/>
      <c r="R75" s="192"/>
      <c r="S75" s="192"/>
    </row>
    <row r="76" spans="1:19" ht="17.25" thickBot="1">
      <c r="A76" s="125" t="s">
        <v>130</v>
      </c>
      <c r="B76" s="129">
        <v>123</v>
      </c>
      <c r="C76" s="80">
        <v>3.3613445399999997E-2</v>
      </c>
      <c r="D76" s="106">
        <v>120</v>
      </c>
      <c r="E76" s="107">
        <f>IF(ISNUMBER(D76), (D76 - $B76) / $B76, "")</f>
        <v>-2.4390243902439025E-2</v>
      </c>
      <c r="F76" s="108">
        <f>IF(ISNUMBER(D76), $B91 * E76, "")</f>
        <v>-3658.5365853658536</v>
      </c>
      <c r="G76" s="109">
        <v>116</v>
      </c>
      <c r="H76" s="107">
        <f>IF(ISNUMBER(G76), (G76 - $B76) / $B76, "")</f>
        <v>-5.6910569105691054E-2</v>
      </c>
      <c r="I76" s="110">
        <f>IF(ISNUMBER(G76), $B91 * H76, "")</f>
        <v>-8536.585365853658</v>
      </c>
      <c r="J76" s="106">
        <v>117</v>
      </c>
      <c r="K76" s="107">
        <f>IF(ISNUMBER(J76), (J76 - $B76) / $B76, "")</f>
        <v>-4.878048780487805E-2</v>
      </c>
      <c r="L76" s="108">
        <f>IF(ISNUMBER(J76), $B91 * K76, "")</f>
        <v>-7317.0731707317073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2"/>
      <c r="R76" s="192"/>
      <c r="S76" s="192"/>
    </row>
    <row r="77" spans="1:19" ht="17.25" thickBot="1">
      <c r="A77" s="125" t="s">
        <v>160</v>
      </c>
      <c r="B77" s="126">
        <v>104</v>
      </c>
      <c r="C77" s="77">
        <v>2.9702970299999999E-2</v>
      </c>
      <c r="D77" s="15">
        <v>106</v>
      </c>
      <c r="E77" s="32">
        <f t="shared" ref="E77:E80" si="34">IF(ISNUMBER(D77), (D77 - $B77) / $B77, "")</f>
        <v>1.9230769230769232E-2</v>
      </c>
      <c r="F77" s="18">
        <f>IF(ISNUMBER(D77), $B91 * E77, "")</f>
        <v>2884.6153846153848</v>
      </c>
      <c r="G77" s="31">
        <v>104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104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2"/>
      <c r="R77" s="192"/>
      <c r="S77" s="192"/>
    </row>
    <row r="78" spans="1:19" ht="17.25" thickBot="1">
      <c r="A78" s="125" t="s">
        <v>142</v>
      </c>
      <c r="B78" s="126">
        <v>105</v>
      </c>
      <c r="C78" s="77">
        <v>2.9411764699999999E-2</v>
      </c>
      <c r="D78" s="15">
        <v>109</v>
      </c>
      <c r="E78" s="32">
        <f t="shared" si="34"/>
        <v>3.8095238095238099E-2</v>
      </c>
      <c r="F78" s="18">
        <f>IF(ISNUMBER(D78), $B91 * E78, "")</f>
        <v>5714.2857142857147</v>
      </c>
      <c r="G78" s="31">
        <v>105</v>
      </c>
      <c r="H78" s="32">
        <f t="shared" si="35"/>
        <v>0</v>
      </c>
      <c r="I78" s="101">
        <f>IF(ISNUMBER(G78), $B91 * H78, "")</f>
        <v>0</v>
      </c>
      <c r="J78" s="15">
        <v>105</v>
      </c>
      <c r="K78" s="32">
        <f t="shared" si="36"/>
        <v>0</v>
      </c>
      <c r="L78" s="18">
        <f>IF(ISNUMBER(J78), $B91 * K78, "")</f>
        <v>0</v>
      </c>
      <c r="M78" s="31"/>
      <c r="N78" s="32" t="str">
        <f t="shared" si="37"/>
        <v/>
      </c>
      <c r="O78" s="18" t="str">
        <f>IF(ISNUMBER(M78), $B91 * N78, "")</f>
        <v/>
      </c>
      <c r="Q78" s="192"/>
      <c r="R78" s="192"/>
      <c r="S78" s="192"/>
    </row>
    <row r="79" spans="1:19" ht="17.25" thickBot="1">
      <c r="A79" s="125" t="s">
        <v>128</v>
      </c>
      <c r="B79" s="126">
        <v>140</v>
      </c>
      <c r="C79" s="77">
        <v>2.9411764699999999E-2</v>
      </c>
      <c r="D79" s="15">
        <v>148</v>
      </c>
      <c r="E79" s="32">
        <f t="shared" si="34"/>
        <v>5.7142857142857141E-2</v>
      </c>
      <c r="F79" s="18">
        <f>IF(ISNUMBER(D79), $B91 * E79, "")</f>
        <v>8571.4285714285706</v>
      </c>
      <c r="G79" s="31">
        <v>144</v>
      </c>
      <c r="H79" s="32">
        <f t="shared" si="35"/>
        <v>2.8571428571428571E-2</v>
      </c>
      <c r="I79" s="101">
        <f>IF(ISNUMBER(G79), $B91 * H79, "")</f>
        <v>4285.7142857142853</v>
      </c>
      <c r="J79" s="15">
        <v>146</v>
      </c>
      <c r="K79" s="32">
        <f t="shared" si="36"/>
        <v>4.2857142857142858E-2</v>
      </c>
      <c r="L79" s="18">
        <f>IF(ISNUMBER(J79), $B91 * K79, "")</f>
        <v>6428.5714285714284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218</v>
      </c>
      <c r="B80" s="131">
        <v>241</v>
      </c>
      <c r="C80" s="79">
        <v>2.5531914900000001E-2</v>
      </c>
      <c r="D80" s="24">
        <v>267</v>
      </c>
      <c r="E80" s="25">
        <f t="shared" si="34"/>
        <v>0.1078838174273859</v>
      </c>
      <c r="F80" s="104">
        <f>IF(ISNUMBER(D80), $B91 * E80, "")</f>
        <v>16182.572614107885</v>
      </c>
      <c r="G80" s="102">
        <v>259</v>
      </c>
      <c r="H80" s="25">
        <f t="shared" si="35"/>
        <v>7.4688796680497924E-2</v>
      </c>
      <c r="I80" s="103">
        <f>IF(ISNUMBER(G80), $B91 * H80, "")</f>
        <v>11203.319502074688</v>
      </c>
      <c r="J80" s="24">
        <v>266</v>
      </c>
      <c r="K80" s="25">
        <f t="shared" si="36"/>
        <v>0.1037344398340249</v>
      </c>
      <c r="L80" s="104">
        <f>IF(ISNUMBER(J80), $B91 * K80, "")</f>
        <v>15560.165975103735</v>
      </c>
      <c r="M80" s="102"/>
      <c r="N80" s="25" t="str">
        <f t="shared" si="37"/>
        <v/>
      </c>
      <c r="O80" s="104" t="str">
        <f>IF(ISNUMBER(M80), $B91 * N80, "")</f>
        <v/>
      </c>
      <c r="Q80" s="193"/>
      <c r="R80" s="194"/>
      <c r="S80" s="195"/>
    </row>
    <row r="81" spans="1:19">
      <c r="A81" s="123" t="s">
        <v>216</v>
      </c>
      <c r="B81" s="124">
        <v>140</v>
      </c>
      <c r="C81" s="76">
        <v>2.1897810199999999E-2</v>
      </c>
      <c r="D81" s="13">
        <v>150</v>
      </c>
      <c r="E81" s="14">
        <f>IF(ISNUMBER(D81), (D81 - $B81) / $B81, "")</f>
        <v>7.1428571428571425E-2</v>
      </c>
      <c r="F81" s="16">
        <f>IF(ISNUMBER(D81), $B91 * E81, "")</f>
        <v>10714.285714285714</v>
      </c>
      <c r="G81" s="29">
        <v>158</v>
      </c>
      <c r="H81" s="14">
        <f>IF(ISNUMBER(G81), (G81 - $B81) / $B81, "")</f>
        <v>0.12857142857142856</v>
      </c>
      <c r="I81" s="100">
        <f>IF(ISNUMBER(G81), $B91 * H81, "")</f>
        <v>19285.714285714283</v>
      </c>
      <c r="J81" s="13">
        <v>160</v>
      </c>
      <c r="K81" s="14">
        <f>IF(ISNUMBER(J81), (J81 - $B81) / $B81, "")</f>
        <v>0.14285714285714285</v>
      </c>
      <c r="L81" s="16">
        <f>IF(ISNUMBER(J81), $B91 * K81, "")</f>
        <v>21428.571428571428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6"/>
      <c r="R81" s="197"/>
      <c r="S81" s="198"/>
    </row>
    <row r="82" spans="1:19" ht="17.25" thickBot="1">
      <c r="A82" s="125" t="s">
        <v>198</v>
      </c>
      <c r="B82" s="126">
        <v>193</v>
      </c>
      <c r="C82" s="77">
        <v>2.1164021200000001E-2</v>
      </c>
      <c r="D82" s="15">
        <v>222</v>
      </c>
      <c r="E82" s="32">
        <f t="shared" ref="E82:E85" si="38">IF(ISNUMBER(D82), (D82 - $B82) / $B82, "")</f>
        <v>0.15025906735751296</v>
      </c>
      <c r="F82" s="18">
        <f>IF(ISNUMBER(D82), $B91 * E82, "")</f>
        <v>22538.860103626943</v>
      </c>
      <c r="G82" s="31">
        <v>215</v>
      </c>
      <c r="H82" s="32">
        <f t="shared" ref="H82:H85" si="39">IF(ISNUMBER(G82), (G82 - $B82) / $B82, "")</f>
        <v>0.11398963730569948</v>
      </c>
      <c r="I82" s="101">
        <f>IF(ISNUMBER(G82), $B91 * H82, "")</f>
        <v>17098.445595854922</v>
      </c>
      <c r="J82" s="15">
        <v>224</v>
      </c>
      <c r="K82" s="32">
        <f t="shared" ref="K82:K85" si="40">IF(ISNUMBER(J82), (J82 - $B82) / $B82, "")</f>
        <v>0.16062176165803108</v>
      </c>
      <c r="L82" s="18">
        <f>IF(ISNUMBER(J82), $B91 * K82, "")</f>
        <v>24093.264248704661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9"/>
      <c r="R82" s="200"/>
      <c r="S82" s="201"/>
    </row>
    <row r="83" spans="1:19" ht="17.25" thickBot="1">
      <c r="A83" s="125" t="s">
        <v>236</v>
      </c>
      <c r="B83" s="126">
        <v>121</v>
      </c>
      <c r="C83" s="77">
        <v>1.6806722699999999E-2</v>
      </c>
      <c r="D83" s="15">
        <v>136</v>
      </c>
      <c r="E83" s="32">
        <f t="shared" si="38"/>
        <v>0.12396694214876033</v>
      </c>
      <c r="F83" s="18">
        <f>IF(ISNUMBER(D83), $B91 * E83, "")</f>
        <v>18595.041322314049</v>
      </c>
      <c r="G83" s="31">
        <v>132</v>
      </c>
      <c r="H83" s="32">
        <f t="shared" si="39"/>
        <v>9.0909090909090912E-2</v>
      </c>
      <c r="I83" s="101">
        <f>IF(ISNUMBER(G83), $B91 * H83, "")</f>
        <v>13636.363636363636</v>
      </c>
      <c r="J83" s="15">
        <v>133</v>
      </c>
      <c r="K83" s="32">
        <f t="shared" si="40"/>
        <v>9.9173553719008267E-2</v>
      </c>
      <c r="L83" s="18">
        <f>IF(ISNUMBER(J83), $B91 * K83, "")</f>
        <v>14876.03305785124</v>
      </c>
      <c r="M83" s="31"/>
      <c r="N83" s="32" t="str">
        <f t="shared" si="41"/>
        <v/>
      </c>
      <c r="O83" s="18" t="str">
        <f>IF(ISNUMBER(M83), $B91 * N83, "")</f>
        <v/>
      </c>
      <c r="Q83" s="192"/>
      <c r="R83" s="192"/>
      <c r="S83" s="192"/>
    </row>
    <row r="84" spans="1:19" ht="17.25" thickBot="1">
      <c r="A84" s="125" t="s">
        <v>164</v>
      </c>
      <c r="B84" s="126">
        <v>221</v>
      </c>
      <c r="C84" s="77">
        <v>1.3761467899999999E-2</v>
      </c>
      <c r="D84" s="15">
        <v>244</v>
      </c>
      <c r="E84" s="32">
        <f t="shared" si="38"/>
        <v>0.10407239819004525</v>
      </c>
      <c r="F84" s="18">
        <f>IF(ISNUMBER(D84), $B91 * E84, "")</f>
        <v>15610.859728506788</v>
      </c>
      <c r="G84" s="31">
        <v>238</v>
      </c>
      <c r="H84" s="32">
        <f t="shared" si="39"/>
        <v>7.6923076923076927E-2</v>
      </c>
      <c r="I84" s="101">
        <f>IF(ISNUMBER(G84), $B91 * H84, "")</f>
        <v>11538.461538461539</v>
      </c>
      <c r="J84" s="15">
        <v>241</v>
      </c>
      <c r="K84" s="32">
        <f t="shared" si="40"/>
        <v>9.0497737556561084E-2</v>
      </c>
      <c r="L84" s="18">
        <f>IF(ISNUMBER(J84), $B91 * K84, "")</f>
        <v>13574.660633484162</v>
      </c>
      <c r="M84" s="31"/>
      <c r="N84" s="32" t="str">
        <f t="shared" si="41"/>
        <v/>
      </c>
      <c r="O84" s="18" t="str">
        <f>IF(ISNUMBER(M84), $B91 * N84, "")</f>
        <v/>
      </c>
      <c r="Q84" s="202"/>
      <c r="R84" s="202"/>
      <c r="S84" s="202"/>
    </row>
    <row r="85" spans="1:19" ht="17.25" thickBot="1">
      <c r="A85" s="127" t="s">
        <v>264</v>
      </c>
      <c r="B85" s="128">
        <v>299</v>
      </c>
      <c r="C85" s="78">
        <v>1.3559322E-2</v>
      </c>
      <c r="D85" s="20">
        <v>308</v>
      </c>
      <c r="E85" s="21">
        <f t="shared" si="38"/>
        <v>3.0100334448160536E-2</v>
      </c>
      <c r="F85" s="22">
        <f>IF(ISNUMBER(D85), $B91 * E85, "")</f>
        <v>4515.0501672240807</v>
      </c>
      <c r="G85" s="30">
        <v>300</v>
      </c>
      <c r="H85" s="21">
        <f t="shared" si="39"/>
        <v>3.3444816053511705E-3</v>
      </c>
      <c r="I85" s="105">
        <f>IF(ISNUMBER(G85), $B91 * H85, "")</f>
        <v>501.67224080267556</v>
      </c>
      <c r="J85" s="20">
        <v>301</v>
      </c>
      <c r="K85" s="21">
        <f t="shared" si="40"/>
        <v>6.688963210702341E-3</v>
      </c>
      <c r="L85" s="22">
        <f>IF(ISNUMBER(J85), $B91 * K85, "")</f>
        <v>1003.3444816053511</v>
      </c>
      <c r="M85" s="30"/>
      <c r="N85" s="21" t="str">
        <f t="shared" si="41"/>
        <v/>
      </c>
      <c r="O85" s="22" t="str">
        <f>IF(ISNUMBER(M85), $B91 * N85, "")</f>
        <v/>
      </c>
      <c r="Q85" s="202"/>
      <c r="R85" s="202"/>
      <c r="S85" s="202"/>
    </row>
    <row r="86" spans="1:19" ht="17.25" thickBot="1">
      <c r="A86" s="125" t="s">
        <v>86</v>
      </c>
      <c r="B86" s="129">
        <v>350</v>
      </c>
      <c r="C86" s="80">
        <v>1.15606936E-2</v>
      </c>
      <c r="D86" s="106">
        <v>365</v>
      </c>
      <c r="E86" s="107">
        <f>IF(ISNUMBER(D86), (D86 - $B86) / $B86, "")</f>
        <v>4.2857142857142858E-2</v>
      </c>
      <c r="F86" s="108">
        <f>IF(ISNUMBER(D86), $B91 * E86, "")</f>
        <v>6428.5714285714284</v>
      </c>
      <c r="G86" s="109">
        <v>349</v>
      </c>
      <c r="H86" s="107">
        <f>IF(ISNUMBER(G86), (G86 - $B86) / $B86, "")</f>
        <v>-2.8571428571428571E-3</v>
      </c>
      <c r="I86" s="110">
        <f>IF(ISNUMBER(G86), $B91 * H86, "")</f>
        <v>-428.57142857142856</v>
      </c>
      <c r="J86" s="106">
        <v>353</v>
      </c>
      <c r="K86" s="107">
        <f>IF(ISNUMBER(J86), (J86 - $B86) / $B86, "")</f>
        <v>8.5714285714285719E-3</v>
      </c>
      <c r="L86" s="108">
        <f>IF(ISNUMBER(J86), $B91 * K86, "")</f>
        <v>1285.7142857142858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2"/>
      <c r="R86" s="192"/>
      <c r="S86" s="192"/>
    </row>
    <row r="87" spans="1:19" ht="17.25" thickBot="1">
      <c r="A87" s="125" t="s">
        <v>234</v>
      </c>
      <c r="B87" s="126">
        <v>682</v>
      </c>
      <c r="C87" s="77">
        <v>8.8757395999999999E-3</v>
      </c>
      <c r="D87" s="15">
        <v>757</v>
      </c>
      <c r="E87" s="32">
        <f t="shared" ref="E87:E90" si="42">IF(ISNUMBER(D87), (D87 - $B87) / $B87, "")</f>
        <v>0.10997067448680352</v>
      </c>
      <c r="F87" s="18">
        <f>IF(ISNUMBER(D87), $B91 * E87, "")</f>
        <v>16495.601173020528</v>
      </c>
      <c r="G87" s="31">
        <v>728</v>
      </c>
      <c r="H87" s="32">
        <f t="shared" ref="H87:H90" si="43">IF(ISNUMBER(G87), (G87 - $B87) / $B87, "")</f>
        <v>6.7448680351906154E-2</v>
      </c>
      <c r="I87" s="101">
        <f>IF(ISNUMBER(G87), $B91 * H87, "")</f>
        <v>10117.302052785923</v>
      </c>
      <c r="J87" s="15">
        <v>898</v>
      </c>
      <c r="K87" s="32">
        <f t="shared" ref="K87:K90" si="44">IF(ISNUMBER(J87), (J87 - $B87) / $B87, "")</f>
        <v>0.31671554252199413</v>
      </c>
      <c r="L87" s="18">
        <f>IF(ISNUMBER(J87), $B91 * K87, "")</f>
        <v>47507.331378299117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2"/>
      <c r="R87" s="192"/>
      <c r="S87" s="192"/>
    </row>
    <row r="88" spans="1:19" ht="17.25" thickBot="1">
      <c r="A88" s="125" t="s">
        <v>150</v>
      </c>
      <c r="B88" s="126">
        <v>115</v>
      </c>
      <c r="C88" s="77">
        <v>8.7719297999999998E-3</v>
      </c>
      <c r="D88" s="15">
        <v>115</v>
      </c>
      <c r="E88" s="32">
        <f t="shared" si="42"/>
        <v>0</v>
      </c>
      <c r="F88" s="18">
        <f>IF(ISNUMBER(D88), $B91 * E88, "")</f>
        <v>0</v>
      </c>
      <c r="G88" s="31">
        <v>112</v>
      </c>
      <c r="H88" s="32">
        <f t="shared" si="43"/>
        <v>-2.6086956521739129E-2</v>
      </c>
      <c r="I88" s="101">
        <f>IF(ISNUMBER(G88), $B91 * H88, "")</f>
        <v>-3913.0434782608695</v>
      </c>
      <c r="J88" s="15">
        <v>113</v>
      </c>
      <c r="K88" s="32">
        <f t="shared" si="44"/>
        <v>-1.7391304347826087E-2</v>
      </c>
      <c r="L88" s="18">
        <f>IF(ISNUMBER(J88), $B91 * K88, "")</f>
        <v>-2608.695652173913</v>
      </c>
      <c r="M88" s="31"/>
      <c r="N88" s="32" t="str">
        <f t="shared" si="45"/>
        <v/>
      </c>
      <c r="O88" s="18" t="str">
        <f>IF(ISNUMBER(M88), $B91 * N88, "")</f>
        <v/>
      </c>
      <c r="Q88" s="192"/>
      <c r="R88" s="192"/>
      <c r="S88" s="192"/>
    </row>
    <row r="89" spans="1:19">
      <c r="A89" s="125" t="s">
        <v>80</v>
      </c>
      <c r="B89" s="126">
        <v>865</v>
      </c>
      <c r="C89" s="77">
        <v>1.1574074E-3</v>
      </c>
      <c r="D89" s="15">
        <v>879</v>
      </c>
      <c r="E89" s="32">
        <f t="shared" si="42"/>
        <v>1.6184971098265895E-2</v>
      </c>
      <c r="F89" s="18">
        <f>IF(ISNUMBER(D89), $B91 * E89, "")</f>
        <v>2427.7456647398844</v>
      </c>
      <c r="G89" s="31">
        <v>854</v>
      </c>
      <c r="H89" s="32">
        <f t="shared" si="43"/>
        <v>-1.2716763005780347E-2</v>
      </c>
      <c r="I89" s="101">
        <f>IF(ISNUMBER(G89), $B91 * H89, "")</f>
        <v>-1907.5144508670521</v>
      </c>
      <c r="J89" s="15">
        <v>858</v>
      </c>
      <c r="K89" s="32">
        <f t="shared" si="44"/>
        <v>-8.0924855491329474E-3</v>
      </c>
      <c r="L89" s="18">
        <f>IF(ISNUMBER(J89), $B91 * K89, "")</f>
        <v>-1213.8728323699422</v>
      </c>
      <c r="M89" s="31"/>
      <c r="N89" s="32" t="str">
        <f t="shared" si="45"/>
        <v/>
      </c>
      <c r="O89" s="18" t="str">
        <f>IF(ISNUMBER(M89), $B91 * N89, "")</f>
        <v/>
      </c>
      <c r="Q89" s="181"/>
      <c r="R89" s="182"/>
      <c r="S89" s="183"/>
    </row>
    <row r="90" spans="1:19" ht="17.25" thickBot="1">
      <c r="A90" s="130" t="s">
        <v>126</v>
      </c>
      <c r="B90" s="131">
        <v>134</v>
      </c>
      <c r="C90" s="79">
        <v>0</v>
      </c>
      <c r="D90" s="24">
        <v>133</v>
      </c>
      <c r="E90" s="25">
        <f t="shared" si="42"/>
        <v>-7.462686567164179E-3</v>
      </c>
      <c r="F90" s="104">
        <f>IF(ISNUMBER(D90), $B91 * E90, "")</f>
        <v>-1119.4029850746269</v>
      </c>
      <c r="G90" s="102">
        <v>129</v>
      </c>
      <c r="H90" s="25">
        <f t="shared" si="43"/>
        <v>-3.7313432835820892E-2</v>
      </c>
      <c r="I90" s="103">
        <f>IF(ISNUMBER(G90), $B91 * H90, "")</f>
        <v>-5597.0149253731342</v>
      </c>
      <c r="J90" s="24">
        <v>130</v>
      </c>
      <c r="K90" s="25">
        <f t="shared" si="44"/>
        <v>-2.9850746268656716E-2</v>
      </c>
      <c r="L90" s="104">
        <f>IF(ISNUMBER(J90), $B91 * K90, "")</f>
        <v>-4477.6119402985078</v>
      </c>
      <c r="M90" s="102"/>
      <c r="N90" s="25" t="str">
        <f t="shared" si="45"/>
        <v/>
      </c>
      <c r="O90" s="104" t="str">
        <f>IF(ISNUMBER(M90), $B91 * N90, "")</f>
        <v/>
      </c>
      <c r="Q90" s="184"/>
      <c r="R90" s="185"/>
      <c r="S90" s="186"/>
    </row>
    <row r="91" spans="1:19" ht="17.25" thickBot="1">
      <c r="A91" s="132" t="s">
        <v>268</v>
      </c>
      <c r="B91" s="245">
        <f>$B$37</f>
        <v>150000</v>
      </c>
      <c r="C91" s="246"/>
      <c r="D91" s="26" t="s">
        <v>269</v>
      </c>
      <c r="E91" s="27">
        <f>IF(COUNT(E71:E90), SUM(E71:E90) / COUNT(E71:E90), 0)</f>
        <v>4.0345270679919838E-2</v>
      </c>
      <c r="F91" s="28">
        <f>SUM(F71:F90)</f>
        <v>121035.81203975953</v>
      </c>
      <c r="G91" s="26" t="s">
        <v>269</v>
      </c>
      <c r="H91" s="27">
        <f>IF(COUNT(H71:H90), SUM(H71:H90) / COUNT(H71:H90), 0)</f>
        <v>4.7124522195563082E-2</v>
      </c>
      <c r="I91" s="28">
        <f>SUM(I71:I90)</f>
        <v>141373.56658668927</v>
      </c>
      <c r="J91" s="26" t="s">
        <v>269</v>
      </c>
      <c r="K91" s="27">
        <f>IF(COUNT(K71:K90), SUM(K71:K90) / COUNT(K71:K90), 0)</f>
        <v>7.9808964403039834E-2</v>
      </c>
      <c r="L91" s="28">
        <f>SUM(L71:L90)</f>
        <v>239426.89320911953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77" t="s">
        <v>265</v>
      </c>
      <c r="B95" s="203" t="s">
        <v>49</v>
      </c>
      <c r="C95" s="205"/>
      <c r="D95" s="203" t="s">
        <v>58</v>
      </c>
      <c r="E95" s="204"/>
      <c r="F95" s="205"/>
      <c r="G95" s="206">
        <f>_xlfn.IFNA(VLOOKUP(B95, 현재가테이블!$B$2:$D$200, 2, FALSE), "-")</f>
        <v>62630000</v>
      </c>
      <c r="H95" s="207"/>
      <c r="I95" s="208"/>
      <c r="J95" s="203" t="s">
        <v>59</v>
      </c>
      <c r="K95" s="204"/>
      <c r="L95" s="205"/>
      <c r="M95" s="209">
        <f>_xlfn.IFNA(VLOOKUP(B95, 현재가테이블!$B$2:$D$200, 3, FALSE), "-")</f>
        <v>1.5632601400000001E-2</v>
      </c>
      <c r="N95" s="210"/>
      <c r="O95" s="211"/>
      <c r="Q95" s="202"/>
      <c r="R95" s="202"/>
      <c r="S95" s="202"/>
    </row>
    <row r="96" spans="1:19" ht="17.25" thickBot="1">
      <c r="A96" s="247" t="s">
        <v>55</v>
      </c>
      <c r="B96" s="243" t="str">
        <f>TEXT($G$1, "[$-ko-KR]yyyy-mm-dd(ddd) ") &amp; "오전 00:00"</f>
        <v>2021-10-06(수) 오전 00:00</v>
      </c>
      <c r="C96" s="244"/>
      <c r="D96" s="216" t="str">
        <f>TEXT($G$1, "[$-ko-KR]yyyy-mm-dd(ddd) ") &amp; "오후 14:00"</f>
        <v>2021-10-06(수) 오후 14:00</v>
      </c>
      <c r="E96" s="217"/>
      <c r="F96" s="218"/>
      <c r="G96" s="216" t="str">
        <f>TEXT($G$1, "[$-ko-KR]yyyy-mm-dd(ddd) ") &amp; "오후 19:00"</f>
        <v>2021-10-06(수) 오후 19:00</v>
      </c>
      <c r="H96" s="217"/>
      <c r="I96" s="218"/>
      <c r="J96" s="216" t="str">
        <f>TEXT($G$1, "[$-ko-KR]yyyy-mm-dd(ddd) ") &amp; "오후 21:00"</f>
        <v>2021-10-06(수) 오후 21:00</v>
      </c>
      <c r="K96" s="217"/>
      <c r="L96" s="218"/>
      <c r="M96" s="216" t="str">
        <f>TEXT($G$1+1, "[$-ko-KR]yyyy-mm-dd(ddd) ") &amp; "오전 00:00"</f>
        <v>2021-10-07(목) 오전 00:00</v>
      </c>
      <c r="N96" s="217"/>
      <c r="O96" s="218"/>
      <c r="Q96" s="202"/>
      <c r="R96" s="202"/>
      <c r="S96" s="202"/>
    </row>
    <row r="97" spans="1:19" ht="17.25" thickBot="1">
      <c r="A97" s="248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8" t="s">
        <v>58</v>
      </c>
      <c r="H97" s="179" t="s">
        <v>266</v>
      </c>
      <c r="I97" s="18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192"/>
      <c r="R97" s="192"/>
      <c r="S97" s="192"/>
    </row>
    <row r="98" spans="1:19" ht="17.25" thickBot="1">
      <c r="A98" s="123" t="s">
        <v>238</v>
      </c>
      <c r="B98" s="124">
        <v>183</v>
      </c>
      <c r="C98" s="76">
        <v>1.6754385965</v>
      </c>
      <c r="D98" s="13">
        <v>142</v>
      </c>
      <c r="E98" s="14">
        <f>IF(ISNUMBER(D98), (D98 - $B98) / $B98, "")</f>
        <v>-0.22404371584699453</v>
      </c>
      <c r="F98" s="16">
        <f>IF(ISNUMBER(D98), $B118 * E98, "")</f>
        <v>-33606.557377049183</v>
      </c>
      <c r="G98" s="29">
        <v>249</v>
      </c>
      <c r="H98" s="14">
        <f>IF(ISNUMBER(G98), (G98 - $B98) / $B98, "")</f>
        <v>0.36065573770491804</v>
      </c>
      <c r="I98" s="100">
        <f>IF(ISNUMBER(G98), $B118 * H98, "")</f>
        <v>54098.360655737706</v>
      </c>
      <c r="J98" s="13">
        <v>274</v>
      </c>
      <c r="K98" s="14">
        <f>IF(ISNUMBER(J98), (J98 - $B98) / $B98, "")</f>
        <v>0.49726775956284153</v>
      </c>
      <c r="L98" s="16">
        <f>IF(ISNUMBER(J98), $B118 * K98, "")</f>
        <v>74590.163934426222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2"/>
      <c r="R98" s="202"/>
      <c r="S98" s="202"/>
    </row>
    <row r="99" spans="1:19" ht="17.25" thickBot="1">
      <c r="A99" s="125" t="s">
        <v>186</v>
      </c>
      <c r="B99" s="126">
        <v>17.600000000000001</v>
      </c>
      <c r="C99" s="77">
        <v>0.34351145039999997</v>
      </c>
      <c r="D99" s="15">
        <v>15.5</v>
      </c>
      <c r="E99" s="32">
        <f t="shared" ref="E99:E102" si="46">IF(ISNUMBER(D99), (D99 - $B99) / $B99, "")</f>
        <v>-0.11931818181818189</v>
      </c>
      <c r="F99" s="18">
        <f>IF(ISNUMBER(D99), $B118 * E99, "")</f>
        <v>-17897.727272727283</v>
      </c>
      <c r="G99" s="31">
        <v>18.100000000000001</v>
      </c>
      <c r="H99" s="32">
        <f t="shared" ref="H99:H102" si="47">IF(ISNUMBER(G99), (G99 - $B99) / $B99, "")</f>
        <v>2.8409090909090908E-2</v>
      </c>
      <c r="I99" s="101">
        <f>IF(ISNUMBER(G99), $B118 * H99, "")</f>
        <v>4261.363636363636</v>
      </c>
      <c r="J99" s="15">
        <v>18.2</v>
      </c>
      <c r="K99" s="32">
        <f t="shared" ref="K99:K102" si="48">IF(ISNUMBER(J99), (J99 - $B99) / $B99, "")</f>
        <v>3.409090909090897E-2</v>
      </c>
      <c r="L99" s="18">
        <f>IF(ISNUMBER(J99), $B118 * K99, "")</f>
        <v>5113.6363636363458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2"/>
      <c r="R99" s="202"/>
      <c r="S99" s="202"/>
    </row>
    <row r="100" spans="1:19" ht="17.25" thickBot="1">
      <c r="A100" s="125" t="s">
        <v>208</v>
      </c>
      <c r="B100" s="126">
        <v>15.7</v>
      </c>
      <c r="C100" s="77">
        <v>0.17164179099999999</v>
      </c>
      <c r="D100" s="15">
        <v>14.1</v>
      </c>
      <c r="E100" s="32">
        <f t="shared" si="46"/>
        <v>-0.10191082802547768</v>
      </c>
      <c r="F100" s="18">
        <f>IF(ISNUMBER(D100), $B118 * E100, "")</f>
        <v>-15286.624203821653</v>
      </c>
      <c r="G100" s="31">
        <v>14.8</v>
      </c>
      <c r="H100" s="32">
        <f t="shared" si="47"/>
        <v>-5.7324840764331121E-2</v>
      </c>
      <c r="I100" s="101">
        <f>IF(ISNUMBER(G100), $B118 * H100, "")</f>
        <v>-8598.7261146496676</v>
      </c>
      <c r="J100" s="15">
        <v>14.9</v>
      </c>
      <c r="K100" s="32">
        <f t="shared" si="48"/>
        <v>-5.0955414012738787E-2</v>
      </c>
      <c r="L100" s="18">
        <f>IF(ISNUMBER(J100), $B118 * K100, "")</f>
        <v>-7643.3121019108185</v>
      </c>
      <c r="M100" s="31"/>
      <c r="N100" s="32" t="str">
        <f t="shared" si="49"/>
        <v/>
      </c>
      <c r="O100" s="18" t="str">
        <f>IF(ISNUMBER(M100), $B118 * N100, "")</f>
        <v/>
      </c>
      <c r="Q100" s="192"/>
      <c r="R100" s="192"/>
      <c r="S100" s="192"/>
    </row>
    <row r="101" spans="1:19" ht="17.25" thickBot="1">
      <c r="A101" s="125" t="s">
        <v>200</v>
      </c>
      <c r="B101" s="126">
        <v>82</v>
      </c>
      <c r="C101" s="77">
        <v>6.6319896000000003E-2</v>
      </c>
      <c r="D101" s="15">
        <v>82</v>
      </c>
      <c r="E101" s="32">
        <f t="shared" si="46"/>
        <v>0</v>
      </c>
      <c r="F101" s="18">
        <f>IF(ISNUMBER(D101), $B118 * E101, "")</f>
        <v>0</v>
      </c>
      <c r="G101" s="31">
        <v>83.8</v>
      </c>
      <c r="H101" s="32">
        <f t="shared" si="47"/>
        <v>2.1951219512195086E-2</v>
      </c>
      <c r="I101" s="101">
        <f>IF(ISNUMBER(G101), $B118 * H101, "")</f>
        <v>3292.6829268292627</v>
      </c>
      <c r="J101" s="15">
        <v>84.9</v>
      </c>
      <c r="K101" s="32">
        <f t="shared" si="48"/>
        <v>3.5365853658536651E-2</v>
      </c>
      <c r="L101" s="18">
        <f>IF(ISNUMBER(J101), $B118 * K101, "")</f>
        <v>5304.8780487804979</v>
      </c>
      <c r="M101" s="31"/>
      <c r="N101" s="32" t="str">
        <f t="shared" si="49"/>
        <v/>
      </c>
      <c r="O101" s="18" t="str">
        <f>IF(ISNUMBER(M101), $B118 * N101, "")</f>
        <v/>
      </c>
      <c r="Q101" s="192"/>
      <c r="R101" s="192"/>
      <c r="S101" s="192"/>
    </row>
    <row r="102" spans="1:19" ht="17.25" thickBot="1">
      <c r="A102" s="127" t="s">
        <v>146</v>
      </c>
      <c r="B102" s="128">
        <v>21.1</v>
      </c>
      <c r="C102" s="78">
        <v>6.5656565700000002E-2</v>
      </c>
      <c r="D102" s="20">
        <v>23.4</v>
      </c>
      <c r="E102" s="21">
        <f t="shared" si="46"/>
        <v>0.10900473933649275</v>
      </c>
      <c r="F102" s="22">
        <f>IF(ISNUMBER(D102), $B118 * E102, "")</f>
        <v>16350.710900473912</v>
      </c>
      <c r="G102" s="30">
        <v>23.1</v>
      </c>
      <c r="H102" s="21">
        <f t="shared" si="47"/>
        <v>9.4786729857819899E-2</v>
      </c>
      <c r="I102" s="105">
        <f>IF(ISNUMBER(G102), $B118 * H102, "")</f>
        <v>14218.009478672984</v>
      </c>
      <c r="J102" s="20">
        <v>22.6</v>
      </c>
      <c r="K102" s="21">
        <f t="shared" si="48"/>
        <v>7.1090047393364927E-2</v>
      </c>
      <c r="L102" s="22">
        <f>IF(ISNUMBER(J102), $B118 * K102, "")</f>
        <v>10663.507109004739</v>
      </c>
      <c r="M102" s="30"/>
      <c r="N102" s="21" t="str">
        <f t="shared" si="49"/>
        <v/>
      </c>
      <c r="O102" s="22" t="str">
        <f>IF(ISNUMBER(M102), $B118 * N102, "")</f>
        <v/>
      </c>
      <c r="Q102" s="192"/>
      <c r="R102" s="192"/>
      <c r="S102" s="192"/>
    </row>
    <row r="103" spans="1:19" ht="17.25" thickBot="1">
      <c r="A103" s="125" t="s">
        <v>214</v>
      </c>
      <c r="B103" s="129">
        <v>11.5</v>
      </c>
      <c r="C103" s="80">
        <v>6.4814814799999995E-2</v>
      </c>
      <c r="D103" s="106">
        <v>11.8</v>
      </c>
      <c r="E103" s="107">
        <f>IF(ISNUMBER(D103), (D103 - $B103) / $B103, "")</f>
        <v>2.6086956521739191E-2</v>
      </c>
      <c r="F103" s="108">
        <f>IF(ISNUMBER(D103), $B118 * E103, "")</f>
        <v>3913.0434782608786</v>
      </c>
      <c r="G103" s="109">
        <v>11.8</v>
      </c>
      <c r="H103" s="107">
        <f>IF(ISNUMBER(G103), (G103 - $B103) / $B103, "")</f>
        <v>2.6086956521739191E-2</v>
      </c>
      <c r="I103" s="110">
        <f>IF(ISNUMBER(G103), $B118 * H103, "")</f>
        <v>3913.0434782608786</v>
      </c>
      <c r="J103" s="106">
        <v>11.9</v>
      </c>
      <c r="K103" s="107">
        <f>IF(ISNUMBER(J103), (J103 - $B103) / $B103, "")</f>
        <v>3.4782608695652202E-2</v>
      </c>
      <c r="L103" s="108">
        <f>IF(ISNUMBER(J103), $B118 * K103, "")</f>
        <v>5217.3913043478306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2"/>
      <c r="R103" s="192"/>
      <c r="S103" s="192"/>
    </row>
    <row r="104" spans="1:19" ht="17.25" thickBot="1">
      <c r="A104" s="125" t="s">
        <v>220</v>
      </c>
      <c r="B104" s="126">
        <v>176</v>
      </c>
      <c r="C104" s="77">
        <v>6.02409639E-2</v>
      </c>
      <c r="D104" s="15">
        <v>184</v>
      </c>
      <c r="E104" s="32">
        <f t="shared" ref="E104:E107" si="50">IF(ISNUMBER(D104), (D104 - $B104) / $B104, "")</f>
        <v>4.5454545454545456E-2</v>
      </c>
      <c r="F104" s="18">
        <f>IF(ISNUMBER(D104), $B118 * E104, "")</f>
        <v>6818.181818181818</v>
      </c>
      <c r="G104" s="31">
        <v>185</v>
      </c>
      <c r="H104" s="32">
        <f t="shared" ref="H104:H107" si="51">IF(ISNUMBER(G104), (G104 - $B104) / $B104, "")</f>
        <v>5.113636363636364E-2</v>
      </c>
      <c r="I104" s="101">
        <f>IF(ISNUMBER(G104), $B118 * H104, "")</f>
        <v>7670.454545454546</v>
      </c>
      <c r="J104" s="15">
        <v>191</v>
      </c>
      <c r="K104" s="32">
        <f t="shared" ref="K104:K107" si="52">IF(ISNUMBER(J104), (J104 - $B104) / $B104, "")</f>
        <v>8.5227272727272721E-2</v>
      </c>
      <c r="L104" s="18">
        <f>IF(ISNUMBER(J104), $B118 * K104, "")</f>
        <v>12784.090909090908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2"/>
      <c r="R104" s="192"/>
      <c r="S104" s="192"/>
    </row>
    <row r="105" spans="1:19" ht="17.25" thickBot="1">
      <c r="A105" s="125" t="s">
        <v>184</v>
      </c>
      <c r="B105" s="126">
        <v>9575</v>
      </c>
      <c r="C105" s="77">
        <v>5.97675706E-2</v>
      </c>
      <c r="D105" s="15">
        <v>9715</v>
      </c>
      <c r="E105" s="32">
        <f t="shared" si="50"/>
        <v>1.4621409921671017E-2</v>
      </c>
      <c r="F105" s="18">
        <f>IF(ISNUMBER(D105), $B118 * E105, "")</f>
        <v>2193.2114882506526</v>
      </c>
      <c r="G105" s="31">
        <v>10450</v>
      </c>
      <c r="H105" s="32">
        <f t="shared" si="51"/>
        <v>9.1383812010443863E-2</v>
      </c>
      <c r="I105" s="101">
        <f>IF(ISNUMBER(G105), $B118 * H105, "")</f>
        <v>13707.571801566579</v>
      </c>
      <c r="J105" s="15">
        <v>10570</v>
      </c>
      <c r="K105" s="32">
        <f t="shared" si="52"/>
        <v>0.10391644908616188</v>
      </c>
      <c r="L105" s="18">
        <f>IF(ISNUMBER(J105), $B118 * K105, "")</f>
        <v>15587.467362924282</v>
      </c>
      <c r="M105" s="31"/>
      <c r="N105" s="32" t="str">
        <f t="shared" si="53"/>
        <v/>
      </c>
      <c r="O105" s="18" t="str">
        <f>IF(ISNUMBER(M105), $B118 * N105, "")</f>
        <v/>
      </c>
      <c r="Q105" s="192"/>
      <c r="R105" s="192"/>
      <c r="S105" s="192"/>
    </row>
    <row r="106" spans="1:19" ht="17.25" thickBot="1">
      <c r="A106" s="125" t="s">
        <v>118</v>
      </c>
      <c r="B106" s="126">
        <v>4225</v>
      </c>
      <c r="C106" s="77">
        <v>5.3615960099999999E-2</v>
      </c>
      <c r="D106" s="15">
        <v>4285</v>
      </c>
      <c r="E106" s="32">
        <f t="shared" si="50"/>
        <v>1.4201183431952662E-2</v>
      </c>
      <c r="F106" s="18">
        <f>IF(ISNUMBER(D106), $B118 * E106, "")</f>
        <v>2130.1775147928993</v>
      </c>
      <c r="G106" s="31">
        <v>4300</v>
      </c>
      <c r="H106" s="32">
        <f t="shared" si="51"/>
        <v>1.7751479289940829E-2</v>
      </c>
      <c r="I106" s="101">
        <f>IF(ISNUMBER(G106), $B118 * H106, "")</f>
        <v>2662.7218934911243</v>
      </c>
      <c r="J106" s="15">
        <v>4380</v>
      </c>
      <c r="K106" s="32">
        <f t="shared" si="52"/>
        <v>3.6686390532544376E-2</v>
      </c>
      <c r="L106" s="18">
        <f>IF(ISNUMBER(J106), $B118 * K106, "")</f>
        <v>5502.9585798816561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148</v>
      </c>
      <c r="B107" s="131">
        <v>12</v>
      </c>
      <c r="C107" s="79">
        <v>5.2631578900000003E-2</v>
      </c>
      <c r="D107" s="24">
        <v>12.8</v>
      </c>
      <c r="E107" s="25">
        <f t="shared" si="50"/>
        <v>6.6666666666666721E-2</v>
      </c>
      <c r="F107" s="104">
        <f>IF(ISNUMBER(D107), $B118 * E107, "")</f>
        <v>10000.000000000009</v>
      </c>
      <c r="G107" s="102">
        <v>12.7</v>
      </c>
      <c r="H107" s="25">
        <f t="shared" si="51"/>
        <v>5.8333333333333272E-2</v>
      </c>
      <c r="I107" s="103">
        <f>IF(ISNUMBER(G107), $B118 * H107, "")</f>
        <v>8749.9999999999909</v>
      </c>
      <c r="J107" s="24">
        <v>12.9</v>
      </c>
      <c r="K107" s="25">
        <f t="shared" si="52"/>
        <v>7.5000000000000025E-2</v>
      </c>
      <c r="L107" s="104">
        <f>IF(ISNUMBER(J107), $B118 * K107, "")</f>
        <v>11250.000000000004</v>
      </c>
      <c r="M107" s="102"/>
      <c r="N107" s="25" t="str">
        <f t="shared" si="53"/>
        <v/>
      </c>
      <c r="O107" s="104" t="str">
        <f>IF(ISNUMBER(M107), $B118 * N107, "")</f>
        <v/>
      </c>
      <c r="Q107" s="193"/>
      <c r="R107" s="194"/>
      <c r="S107" s="195"/>
    </row>
    <row r="108" spans="1:19">
      <c r="A108" s="123" t="s">
        <v>206</v>
      </c>
      <c r="B108" s="124">
        <v>13.4</v>
      </c>
      <c r="C108" s="76">
        <v>4.6875E-2</v>
      </c>
      <c r="D108" s="13">
        <v>14.2</v>
      </c>
      <c r="E108" s="14">
        <f>IF(ISNUMBER(D108), (D108 - $B108) / $B108, "")</f>
        <v>5.9701492537313348E-2</v>
      </c>
      <c r="F108" s="16">
        <f>IF(ISNUMBER(D108), $B118 * E108, "")</f>
        <v>8955.2238805970028</v>
      </c>
      <c r="G108" s="29">
        <v>13.8</v>
      </c>
      <c r="H108" s="14">
        <f>IF(ISNUMBER(G108), (G108 - $B108) / $B108, "")</f>
        <v>2.9850746268656744E-2</v>
      </c>
      <c r="I108" s="100">
        <f>IF(ISNUMBER(G108), $B118 * H108, "")</f>
        <v>4477.6119402985114</v>
      </c>
      <c r="J108" s="13">
        <v>13.8</v>
      </c>
      <c r="K108" s="14">
        <f>IF(ISNUMBER(J108), (J108 - $B108) / $B108, "")</f>
        <v>2.9850746268656744E-2</v>
      </c>
      <c r="L108" s="16">
        <f>IF(ISNUMBER(J108), $B118 * K108, "")</f>
        <v>4477.6119402985114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6"/>
      <c r="R108" s="197"/>
      <c r="S108" s="198"/>
    </row>
    <row r="109" spans="1:19" ht="17.25" thickBot="1">
      <c r="A109" s="125" t="s">
        <v>192</v>
      </c>
      <c r="B109" s="126">
        <v>119</v>
      </c>
      <c r="C109" s="77">
        <v>4.3859649100000002E-2</v>
      </c>
      <c r="D109" s="15">
        <v>126</v>
      </c>
      <c r="E109" s="32">
        <f t="shared" ref="E109:E112" si="54">IF(ISNUMBER(D109), (D109 - $B109) / $B109, "")</f>
        <v>5.8823529411764705E-2</v>
      </c>
      <c r="F109" s="18">
        <f>IF(ISNUMBER(D109), $B118 * E109, "")</f>
        <v>8823.5294117647063</v>
      </c>
      <c r="G109" s="31">
        <v>125</v>
      </c>
      <c r="H109" s="32">
        <f t="shared" ref="H109:H112" si="55">IF(ISNUMBER(G109), (G109 - $B109) / $B109, "")</f>
        <v>5.0420168067226892E-2</v>
      </c>
      <c r="I109" s="101">
        <f>IF(ISNUMBER(G109), $B118 * H109, "")</f>
        <v>7563.0252100840335</v>
      </c>
      <c r="J109" s="15">
        <v>128</v>
      </c>
      <c r="K109" s="32">
        <f t="shared" ref="K109:K112" si="56">IF(ISNUMBER(J109), (J109 - $B109) / $B109, "")</f>
        <v>7.5630252100840331E-2</v>
      </c>
      <c r="L109" s="18">
        <f>IF(ISNUMBER(J109), $B118 * K109, "")</f>
        <v>11344.53781512605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9"/>
      <c r="R109" s="200"/>
      <c r="S109" s="201"/>
    </row>
    <row r="110" spans="1:19" ht="17.25" thickBot="1">
      <c r="A110" s="125" t="s">
        <v>108</v>
      </c>
      <c r="B110" s="126">
        <v>168</v>
      </c>
      <c r="C110" s="77">
        <v>4.3478260900000003E-2</v>
      </c>
      <c r="D110" s="15">
        <v>181</v>
      </c>
      <c r="E110" s="32">
        <f t="shared" si="54"/>
        <v>7.7380952380952384E-2</v>
      </c>
      <c r="F110" s="18">
        <f>IF(ISNUMBER(D110), $B118 * E110, "")</f>
        <v>11607.142857142857</v>
      </c>
      <c r="G110" s="31">
        <v>175</v>
      </c>
      <c r="H110" s="32">
        <f t="shared" si="55"/>
        <v>4.1666666666666664E-2</v>
      </c>
      <c r="I110" s="101">
        <f>IF(ISNUMBER(G110), $B118 * H110, "")</f>
        <v>6250</v>
      </c>
      <c r="J110" s="15">
        <v>179</v>
      </c>
      <c r="K110" s="32">
        <f t="shared" si="56"/>
        <v>6.5476190476190479E-2</v>
      </c>
      <c r="L110" s="18">
        <f>IF(ISNUMBER(J110), $B118 * K110, "")</f>
        <v>9821.4285714285725</v>
      </c>
      <c r="M110" s="31"/>
      <c r="N110" s="32" t="str">
        <f t="shared" si="57"/>
        <v/>
      </c>
      <c r="O110" s="18" t="str">
        <f>IF(ISNUMBER(M110), $B118 * N110, "")</f>
        <v/>
      </c>
      <c r="Q110" s="192"/>
      <c r="R110" s="192"/>
      <c r="S110" s="192"/>
    </row>
    <row r="111" spans="1:19" ht="17.25" thickBot="1">
      <c r="A111" s="125" t="s">
        <v>232</v>
      </c>
      <c r="B111" s="126">
        <v>78.400000000000006</v>
      </c>
      <c r="C111" s="77">
        <v>4.2553191499999997E-2</v>
      </c>
      <c r="D111" s="15">
        <v>80.5</v>
      </c>
      <c r="E111" s="32">
        <f t="shared" si="54"/>
        <v>2.6785714285714211E-2</v>
      </c>
      <c r="F111" s="18">
        <f>IF(ISNUMBER(D111), $B118 * E111, "")</f>
        <v>4017.8571428571317</v>
      </c>
      <c r="G111" s="31">
        <v>80.8</v>
      </c>
      <c r="H111" s="32">
        <f t="shared" si="55"/>
        <v>3.0612244897959072E-2</v>
      </c>
      <c r="I111" s="101">
        <f>IF(ISNUMBER(G111), $B118 * H111, "")</f>
        <v>4591.8367346938612</v>
      </c>
      <c r="J111" s="15">
        <v>81.7</v>
      </c>
      <c r="K111" s="32">
        <f t="shared" si="56"/>
        <v>4.2091836734693841E-2</v>
      </c>
      <c r="L111" s="18">
        <f>IF(ISNUMBER(J111), $B118 * K111, "")</f>
        <v>6313.7755102040765</v>
      </c>
      <c r="M111" s="31"/>
      <c r="N111" s="32" t="str">
        <f t="shared" si="57"/>
        <v/>
      </c>
      <c r="O111" s="18" t="str">
        <f>IF(ISNUMBER(M111), $B118 * N111, "")</f>
        <v/>
      </c>
      <c r="Q111" s="202"/>
      <c r="R111" s="202"/>
      <c r="S111" s="202"/>
    </row>
    <row r="112" spans="1:19" ht="17.25" thickBot="1">
      <c r="A112" s="127" t="s">
        <v>248</v>
      </c>
      <c r="B112" s="128">
        <v>87.6</v>
      </c>
      <c r="C112" s="78">
        <v>3.7914691899999999E-2</v>
      </c>
      <c r="D112" s="20">
        <v>89.6</v>
      </c>
      <c r="E112" s="21">
        <f t="shared" si="54"/>
        <v>2.2831050228310504E-2</v>
      </c>
      <c r="F112" s="22">
        <f>IF(ISNUMBER(D112), $B118 * E112, "")</f>
        <v>3424.6575342465758</v>
      </c>
      <c r="G112" s="30">
        <v>87.1</v>
      </c>
      <c r="H112" s="21">
        <f t="shared" si="55"/>
        <v>-5.7077625570776261E-3</v>
      </c>
      <c r="I112" s="105">
        <f>IF(ISNUMBER(G112), $B118 * H112, "")</f>
        <v>-856.16438356164394</v>
      </c>
      <c r="J112" s="20">
        <v>87.9</v>
      </c>
      <c r="K112" s="21">
        <f t="shared" si="56"/>
        <v>3.4246575342467053E-3</v>
      </c>
      <c r="L112" s="22">
        <f>IF(ISNUMBER(J112), $B118 * K112, "")</f>
        <v>513.69863013700581</v>
      </c>
      <c r="M112" s="30"/>
      <c r="N112" s="21" t="str">
        <f t="shared" si="57"/>
        <v/>
      </c>
      <c r="O112" s="22" t="str">
        <f>IF(ISNUMBER(M112), $B118 * N112, "")</f>
        <v/>
      </c>
      <c r="Q112" s="202"/>
      <c r="R112" s="202"/>
      <c r="S112" s="202"/>
    </row>
    <row r="113" spans="1:19" ht="17.25" thickBot="1">
      <c r="A113" s="125" t="s">
        <v>106</v>
      </c>
      <c r="B113" s="129">
        <v>2750</v>
      </c>
      <c r="C113" s="80">
        <v>3.7735849100000003E-2</v>
      </c>
      <c r="D113" s="106">
        <v>2625</v>
      </c>
      <c r="E113" s="107">
        <f>IF(ISNUMBER(D113), (D113 - $B113) / $B113, "")</f>
        <v>-4.5454545454545456E-2</v>
      </c>
      <c r="F113" s="108">
        <f>IF(ISNUMBER(D113), $B118 * E113, "")</f>
        <v>-6818.181818181818</v>
      </c>
      <c r="G113" s="109">
        <v>2600</v>
      </c>
      <c r="H113" s="107">
        <f>IF(ISNUMBER(G113), (G113 - $B113) / $B113, "")</f>
        <v>-5.4545454545454543E-2</v>
      </c>
      <c r="I113" s="110">
        <f>IF(ISNUMBER(G113), $B118 * H113, "")</f>
        <v>-8181.8181818181811</v>
      </c>
      <c r="J113" s="106">
        <v>2560</v>
      </c>
      <c r="K113" s="107">
        <f>IF(ISNUMBER(J113), (J113 - $B113) / $B113, "")</f>
        <v>-6.9090909090909092E-2</v>
      </c>
      <c r="L113" s="108">
        <f>IF(ISNUMBER(J113), $B118 * K113, "")</f>
        <v>-10363.636363636364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2"/>
      <c r="R113" s="192"/>
      <c r="S113" s="192"/>
    </row>
    <row r="114" spans="1:19" ht="17.25" thickBot="1">
      <c r="A114" s="125" t="s">
        <v>57</v>
      </c>
      <c r="B114" s="126">
        <v>201</v>
      </c>
      <c r="C114" s="77">
        <v>3.6082474199999999E-2</v>
      </c>
      <c r="D114" s="15">
        <v>203</v>
      </c>
      <c r="E114" s="32">
        <f t="shared" ref="E114:E117" si="58">IF(ISNUMBER(D114), (D114 - $B114) / $B114, "")</f>
        <v>9.9502487562189053E-3</v>
      </c>
      <c r="F114" s="18">
        <f>IF(ISNUMBER(D114), $B118 * E114, "")</f>
        <v>1492.5373134328358</v>
      </c>
      <c r="G114" s="31">
        <v>199</v>
      </c>
      <c r="H114" s="32">
        <f t="shared" ref="H114:H117" si="59">IF(ISNUMBER(G114), (G114 - $B114) / $B114, "")</f>
        <v>-9.9502487562189053E-3</v>
      </c>
      <c r="I114" s="101">
        <f>IF(ISNUMBER(G114), $B118 * H114, "")</f>
        <v>-1492.5373134328358</v>
      </c>
      <c r="J114" s="15">
        <v>202</v>
      </c>
      <c r="K114" s="32">
        <f t="shared" ref="K114:K117" si="60">IF(ISNUMBER(J114), (J114 - $B114) / $B114, "")</f>
        <v>4.9751243781094526E-3</v>
      </c>
      <c r="L114" s="18">
        <f>IF(ISNUMBER(J114), $B118 * K114, "")</f>
        <v>746.26865671641792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2"/>
      <c r="R114" s="192"/>
      <c r="S114" s="192"/>
    </row>
    <row r="115" spans="1:19" ht="17.25" thickBot="1">
      <c r="A115" s="125" t="s">
        <v>176</v>
      </c>
      <c r="B115" s="126">
        <v>17.399999999999999</v>
      </c>
      <c r="C115" s="77">
        <v>3.5714285700000001E-2</v>
      </c>
      <c r="D115" s="15">
        <v>18.7</v>
      </c>
      <c r="E115" s="32">
        <f t="shared" si="58"/>
        <v>7.4712643678160967E-2</v>
      </c>
      <c r="F115" s="18">
        <f>IF(ISNUMBER(D115), $B118 * E115, "")</f>
        <v>11206.896551724145</v>
      </c>
      <c r="G115" s="31">
        <v>19.100000000000001</v>
      </c>
      <c r="H115" s="32">
        <f t="shared" si="59"/>
        <v>9.7701149425287528E-2</v>
      </c>
      <c r="I115" s="101">
        <f>IF(ISNUMBER(G115), $B118 * H115, "")</f>
        <v>14655.172413793129</v>
      </c>
      <c r="J115" s="15">
        <v>19</v>
      </c>
      <c r="K115" s="32">
        <f t="shared" si="60"/>
        <v>9.1954022988505843E-2</v>
      </c>
      <c r="L115" s="18">
        <f>IF(ISNUMBER(J115), $B118 * K115, "")</f>
        <v>13793.103448275877</v>
      </c>
      <c r="M115" s="31"/>
      <c r="N115" s="32" t="str">
        <f t="shared" si="61"/>
        <v/>
      </c>
      <c r="O115" s="18" t="str">
        <f>IF(ISNUMBER(M115), $B118 * N115, "")</f>
        <v/>
      </c>
      <c r="Q115" s="192"/>
      <c r="R115" s="192"/>
      <c r="S115" s="192"/>
    </row>
    <row r="116" spans="1:19">
      <c r="A116" s="125" t="s">
        <v>202</v>
      </c>
      <c r="B116" s="126">
        <v>15.3</v>
      </c>
      <c r="C116" s="77">
        <v>3.3783783800000002E-2</v>
      </c>
      <c r="D116" s="15">
        <v>16.7</v>
      </c>
      <c r="E116" s="32">
        <f t="shared" si="58"/>
        <v>9.1503267973856106E-2</v>
      </c>
      <c r="F116" s="18">
        <f>IF(ISNUMBER(D116), $B118 * E116, "")</f>
        <v>13725.490196078415</v>
      </c>
      <c r="G116" s="31">
        <v>16.2</v>
      </c>
      <c r="H116" s="32">
        <f t="shared" si="59"/>
        <v>5.8823529411764608E-2</v>
      </c>
      <c r="I116" s="101">
        <f>IF(ISNUMBER(G116), $B118 * H116, "")</f>
        <v>8823.5294117646918</v>
      </c>
      <c r="J116" s="15">
        <v>16.399999999999999</v>
      </c>
      <c r="K116" s="32">
        <f t="shared" si="60"/>
        <v>7.1895424836601163E-2</v>
      </c>
      <c r="L116" s="18">
        <f>IF(ISNUMBER(J116), $B118 * K116, "")</f>
        <v>10784.313725490174</v>
      </c>
      <c r="M116" s="31"/>
      <c r="N116" s="32" t="str">
        <f t="shared" si="61"/>
        <v/>
      </c>
      <c r="O116" s="18" t="str">
        <f>IF(ISNUMBER(M116), $B118 * N116, "")</f>
        <v/>
      </c>
      <c r="Q116" s="181"/>
      <c r="R116" s="182"/>
      <c r="S116" s="183"/>
    </row>
    <row r="117" spans="1:19" ht="17.25" thickBot="1">
      <c r="A117" s="130" t="s">
        <v>67</v>
      </c>
      <c r="B117" s="131">
        <v>4140</v>
      </c>
      <c r="C117" s="79">
        <v>3.3707865199999999E-2</v>
      </c>
      <c r="D117" s="24">
        <v>4270</v>
      </c>
      <c r="E117" s="25">
        <f t="shared" si="58"/>
        <v>3.140096618357488E-2</v>
      </c>
      <c r="F117" s="104">
        <f>IF(ISNUMBER(D117), $B118 * E117, "")</f>
        <v>4710.144927536232</v>
      </c>
      <c r="G117" s="102">
        <v>4300</v>
      </c>
      <c r="H117" s="25">
        <f t="shared" si="59"/>
        <v>3.864734299516908E-2</v>
      </c>
      <c r="I117" s="103">
        <f>IF(ISNUMBER(G117), $B118 * H117, "")</f>
        <v>5797.101449275362</v>
      </c>
      <c r="J117" s="24">
        <v>4385</v>
      </c>
      <c r="K117" s="25">
        <f t="shared" si="60"/>
        <v>5.9178743961352656E-2</v>
      </c>
      <c r="L117" s="104">
        <f>IF(ISNUMBER(J117), $B118 * K117, "")</f>
        <v>8876.811594202898</v>
      </c>
      <c r="M117" s="102"/>
      <c r="N117" s="25" t="str">
        <f t="shared" si="61"/>
        <v/>
      </c>
      <c r="O117" s="104" t="str">
        <f>IF(ISNUMBER(M117), $B118 * N117, "")</f>
        <v/>
      </c>
      <c r="Q117" s="184"/>
      <c r="R117" s="185"/>
      <c r="S117" s="186"/>
    </row>
    <row r="118" spans="1:19" ht="17.25" thickBot="1">
      <c r="A118" s="132" t="s">
        <v>268</v>
      </c>
      <c r="B118" s="245">
        <f>$B$37</f>
        <v>150000</v>
      </c>
      <c r="C118" s="246"/>
      <c r="D118" s="26" t="s">
        <v>269</v>
      </c>
      <c r="E118" s="27">
        <f>IF(COUNT(E98:E117), SUM(E98:E117) / COUNT(E98:E117), 0)</f>
        <v>1.1919904781186711E-2</v>
      </c>
      <c r="F118" s="28">
        <f>SUM(F98:F117)</f>
        <v>35759.714343560117</v>
      </c>
      <c r="G118" s="26" t="s">
        <v>269</v>
      </c>
      <c r="H118" s="27">
        <f>IF(COUNT(H98:H117), SUM(H98:H117) / COUNT(H98:H117), 0)</f>
        <v>4.853441319427465E-2</v>
      </c>
      <c r="I118" s="28">
        <f>SUM(I98:I117)</f>
        <v>145603.23958282394</v>
      </c>
      <c r="J118" s="26" t="s">
        <v>269</v>
      </c>
      <c r="K118" s="27">
        <f>IF(COUNT(K98:K117), SUM(K98:K117) / COUNT(K98:K117), 0)</f>
        <v>6.4892898346141648E-2</v>
      </c>
      <c r="L118" s="28">
        <f>SUM(L98:L117)</f>
        <v>194678.69503842495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187"/>
      <c r="R118" s="188"/>
      <c r="S118" s="189"/>
    </row>
    <row r="120" spans="1:19" ht="17.25" thickBot="1"/>
    <row r="121" spans="1:19" ht="17.25" thickBot="1">
      <c r="A121" s="203" t="s">
        <v>256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77" t="s">
        <v>265</v>
      </c>
      <c r="B122" s="203" t="s">
        <v>49</v>
      </c>
      <c r="C122" s="205"/>
      <c r="D122" s="203" t="s">
        <v>58</v>
      </c>
      <c r="E122" s="204"/>
      <c r="F122" s="205"/>
      <c r="G122" s="206">
        <f>_xlfn.IFNA(VLOOKUP(B122, 현재가테이블!$B$2:$D$200, 2, FALSE), "-")</f>
        <v>62630000</v>
      </c>
      <c r="H122" s="207"/>
      <c r="I122" s="208"/>
      <c r="J122" s="203" t="s">
        <v>59</v>
      </c>
      <c r="K122" s="204"/>
      <c r="L122" s="205"/>
      <c r="M122" s="209">
        <f>_xlfn.IFNA(VLOOKUP(B122, 현재가테이블!$B$2:$D$200, 3, FALSE), "-")</f>
        <v>1.5632601400000001E-2</v>
      </c>
      <c r="N122" s="210"/>
      <c r="O122" s="211"/>
      <c r="Q122" s="202"/>
      <c r="R122" s="202"/>
      <c r="S122" s="202"/>
    </row>
    <row r="123" spans="1:19" ht="17.25" thickBot="1">
      <c r="A123" s="247" t="s">
        <v>55</v>
      </c>
      <c r="B123" s="243" t="str">
        <f>TEXT($G$1, "[$-ko-KR]yyyy-mm-dd(ddd) ") &amp; "오전 00:00"</f>
        <v>2021-10-06(수) 오전 00:00</v>
      </c>
      <c r="C123" s="244"/>
      <c r="D123" s="216" t="str">
        <f>TEXT($G$1, "[$-ko-KR]yyyy-mm-dd(ddd) ") &amp; "오후 14:00"</f>
        <v>2021-10-06(수) 오후 14:00</v>
      </c>
      <c r="E123" s="217"/>
      <c r="F123" s="218"/>
      <c r="G123" s="216" t="str">
        <f>TEXT($G$1, "[$-ko-KR]yyyy-mm-dd(ddd) ") &amp; "오후 19:00"</f>
        <v>2021-10-06(수) 오후 19:00</v>
      </c>
      <c r="H123" s="217"/>
      <c r="I123" s="218"/>
      <c r="J123" s="216" t="str">
        <f>TEXT($G$1, "[$-ko-KR]yyyy-mm-dd(ddd) ") &amp; "오후 21:00"</f>
        <v>2021-10-06(수) 오후 21:00</v>
      </c>
      <c r="K123" s="217"/>
      <c r="L123" s="218"/>
      <c r="M123" s="216" t="str">
        <f>TEXT($G$1+1, "[$-ko-KR]yyyy-mm-dd(ddd) ") &amp; "오전 00:00"</f>
        <v>2021-10-07(목) 오전 00:00</v>
      </c>
      <c r="N123" s="217"/>
      <c r="O123" s="218"/>
      <c r="Q123" s="202"/>
      <c r="R123" s="202"/>
      <c r="S123" s="202"/>
    </row>
    <row r="124" spans="1:19" ht="17.25" thickBot="1">
      <c r="A124" s="248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8" t="s">
        <v>58</v>
      </c>
      <c r="H124" s="179" t="s">
        <v>266</v>
      </c>
      <c r="I124" s="18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192"/>
      <c r="R124" s="192"/>
      <c r="S124" s="192"/>
    </row>
    <row r="125" spans="1:19" ht="17.25" thickBot="1">
      <c r="A125" s="123" t="s">
        <v>186</v>
      </c>
      <c r="B125" s="124">
        <v>17.600000000000001</v>
      </c>
      <c r="C125" s="76">
        <v>0.34351145039999997</v>
      </c>
      <c r="D125" s="13">
        <v>15.5</v>
      </c>
      <c r="E125" s="14">
        <f>IF(ISNUMBER(D125), (D125 - $B125) / $B125, "")</f>
        <v>-0.11931818181818189</v>
      </c>
      <c r="F125" s="16">
        <f>IF(ISNUMBER(D125), $B145 * E125, "")</f>
        <v>-17897.727272727283</v>
      </c>
      <c r="G125" s="29">
        <v>18.100000000000001</v>
      </c>
      <c r="H125" s="14">
        <f>IF(ISNUMBER(G125), (G125 - $B125) / $B125, "")</f>
        <v>2.8409090909090908E-2</v>
      </c>
      <c r="I125" s="100">
        <f>IF(ISNUMBER(G125), $B145 * H125, "")</f>
        <v>4261.363636363636</v>
      </c>
      <c r="J125" s="13">
        <v>18.2</v>
      </c>
      <c r="K125" s="14">
        <f>IF(ISNUMBER(J125), (J125 - $B125) / $B125, "")</f>
        <v>3.409090909090897E-2</v>
      </c>
      <c r="L125" s="16">
        <f>IF(ISNUMBER(J125), $B145 * K125, "")</f>
        <v>5113.6363636363458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2"/>
      <c r="R125" s="202"/>
      <c r="S125" s="202"/>
    </row>
    <row r="126" spans="1:19" ht="17.25" thickBot="1">
      <c r="A126" s="125" t="s">
        <v>208</v>
      </c>
      <c r="B126" s="126">
        <v>15.7</v>
      </c>
      <c r="C126" s="77">
        <v>0.17164179099999999</v>
      </c>
      <c r="D126" s="15">
        <v>14.1</v>
      </c>
      <c r="E126" s="32">
        <f t="shared" ref="E126:E129" si="62">IF(ISNUMBER(D126), (D126 - $B126) / $B126, "")</f>
        <v>-0.10191082802547768</v>
      </c>
      <c r="F126" s="18">
        <f>IF(ISNUMBER(D126), $B145 * E126, "")</f>
        <v>-15286.624203821653</v>
      </c>
      <c r="G126" s="31">
        <v>14.8</v>
      </c>
      <c r="H126" s="32">
        <f t="shared" ref="H126:H129" si="63">IF(ISNUMBER(G126), (G126 - $B126) / $B126, "")</f>
        <v>-5.7324840764331121E-2</v>
      </c>
      <c r="I126" s="101">
        <f>IF(ISNUMBER(G126), $B145 * H126, "")</f>
        <v>-8598.7261146496676</v>
      </c>
      <c r="J126" s="15">
        <v>14.9</v>
      </c>
      <c r="K126" s="32">
        <f t="shared" ref="K126:K129" si="64">IF(ISNUMBER(J126), (J126 - $B126) / $B126, "")</f>
        <v>-5.0955414012738787E-2</v>
      </c>
      <c r="L126" s="18">
        <f>IF(ISNUMBER(J126), $B145 * K126, "")</f>
        <v>-7643.3121019108185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2"/>
      <c r="R126" s="202"/>
      <c r="S126" s="202"/>
    </row>
    <row r="127" spans="1:19" ht="17.25" thickBot="1">
      <c r="A127" s="125" t="s">
        <v>200</v>
      </c>
      <c r="B127" s="126">
        <v>82</v>
      </c>
      <c r="C127" s="77">
        <v>6.6319896000000003E-2</v>
      </c>
      <c r="D127" s="15">
        <v>82</v>
      </c>
      <c r="E127" s="32">
        <f t="shared" si="62"/>
        <v>0</v>
      </c>
      <c r="F127" s="18">
        <f>IF(ISNUMBER(D127), $B145 * E127, "")</f>
        <v>0</v>
      </c>
      <c r="G127" s="31">
        <v>83.8</v>
      </c>
      <c r="H127" s="32">
        <f t="shared" si="63"/>
        <v>2.1951219512195086E-2</v>
      </c>
      <c r="I127" s="101">
        <f>IF(ISNUMBER(G127), $B145 * H127, "")</f>
        <v>3292.6829268292627</v>
      </c>
      <c r="J127" s="15">
        <v>84.9</v>
      </c>
      <c r="K127" s="32">
        <f t="shared" si="64"/>
        <v>3.5365853658536651E-2</v>
      </c>
      <c r="L127" s="18">
        <f>IF(ISNUMBER(J127), $B145 * K127, "")</f>
        <v>5304.8780487804979</v>
      </c>
      <c r="M127" s="31"/>
      <c r="N127" s="32" t="str">
        <f t="shared" si="65"/>
        <v/>
      </c>
      <c r="O127" s="18" t="str">
        <f>IF(ISNUMBER(M127), $B145 * N127, "")</f>
        <v/>
      </c>
      <c r="Q127" s="192"/>
      <c r="R127" s="192"/>
      <c r="S127" s="192"/>
    </row>
    <row r="128" spans="1:19" ht="17.25" thickBot="1">
      <c r="A128" s="125" t="s">
        <v>146</v>
      </c>
      <c r="B128" s="126">
        <v>21.1</v>
      </c>
      <c r="C128" s="77">
        <v>6.5656565700000002E-2</v>
      </c>
      <c r="D128" s="15">
        <v>23.4</v>
      </c>
      <c r="E128" s="32">
        <f t="shared" si="62"/>
        <v>0.10900473933649275</v>
      </c>
      <c r="F128" s="18">
        <f>IF(ISNUMBER(D128), $B145 * E128, "")</f>
        <v>16350.710900473912</v>
      </c>
      <c r="G128" s="31">
        <v>23.1</v>
      </c>
      <c r="H128" s="32">
        <f t="shared" si="63"/>
        <v>9.4786729857819899E-2</v>
      </c>
      <c r="I128" s="101">
        <f>IF(ISNUMBER(G128), $B145 * H128, "")</f>
        <v>14218.009478672984</v>
      </c>
      <c r="J128" s="15">
        <v>22.6</v>
      </c>
      <c r="K128" s="32">
        <f t="shared" si="64"/>
        <v>7.1090047393364927E-2</v>
      </c>
      <c r="L128" s="18">
        <f>IF(ISNUMBER(J128), $B145 * K128, "")</f>
        <v>10663.507109004739</v>
      </c>
      <c r="M128" s="31"/>
      <c r="N128" s="32" t="str">
        <f t="shared" si="65"/>
        <v/>
      </c>
      <c r="O128" s="18" t="str">
        <f>IF(ISNUMBER(M128), $B145 * N128, "")</f>
        <v/>
      </c>
      <c r="Q128" s="192"/>
      <c r="R128" s="192"/>
      <c r="S128" s="192"/>
    </row>
    <row r="129" spans="1:19" ht="17.25" thickBot="1">
      <c r="A129" s="127" t="s">
        <v>214</v>
      </c>
      <c r="B129" s="128">
        <v>11.5</v>
      </c>
      <c r="C129" s="78">
        <v>6.4814814799999995E-2</v>
      </c>
      <c r="D129" s="20">
        <v>11.8</v>
      </c>
      <c r="E129" s="21">
        <f t="shared" si="62"/>
        <v>2.6086956521739191E-2</v>
      </c>
      <c r="F129" s="22">
        <f>IF(ISNUMBER(D129), $B145 * E129, "")</f>
        <v>3913.0434782608786</v>
      </c>
      <c r="G129" s="30">
        <v>11.8</v>
      </c>
      <c r="H129" s="21">
        <f t="shared" si="63"/>
        <v>2.6086956521739191E-2</v>
      </c>
      <c r="I129" s="105">
        <f>IF(ISNUMBER(G129), $B145 * H129, "")</f>
        <v>3913.0434782608786</v>
      </c>
      <c r="J129" s="20">
        <v>11.9</v>
      </c>
      <c r="K129" s="21">
        <f t="shared" si="64"/>
        <v>3.4782608695652202E-2</v>
      </c>
      <c r="L129" s="22">
        <f>IF(ISNUMBER(J129), $B145 * K129, "")</f>
        <v>5217.3913043478306</v>
      </c>
      <c r="M129" s="30"/>
      <c r="N129" s="21" t="str">
        <f t="shared" si="65"/>
        <v/>
      </c>
      <c r="O129" s="22" t="str">
        <f>IF(ISNUMBER(M129), $B145 * N129, "")</f>
        <v/>
      </c>
      <c r="Q129" s="192"/>
      <c r="R129" s="192"/>
      <c r="S129" s="192"/>
    </row>
    <row r="130" spans="1:19" ht="17.25" thickBot="1">
      <c r="A130" s="125" t="s">
        <v>148</v>
      </c>
      <c r="B130" s="129">
        <v>12</v>
      </c>
      <c r="C130" s="80">
        <v>5.2631578900000003E-2</v>
      </c>
      <c r="D130" s="106">
        <v>12.8</v>
      </c>
      <c r="E130" s="107">
        <f>IF(ISNUMBER(D130), (D130 - $B130) / $B130, "")</f>
        <v>6.6666666666666721E-2</v>
      </c>
      <c r="F130" s="108">
        <f>IF(ISNUMBER(D130), $B145 * E130, "")</f>
        <v>10000.000000000009</v>
      </c>
      <c r="G130" s="109">
        <v>12.7</v>
      </c>
      <c r="H130" s="107">
        <f>IF(ISNUMBER(G130), (G130 - $B130) / $B130, "")</f>
        <v>5.8333333333333272E-2</v>
      </c>
      <c r="I130" s="110">
        <f>IF(ISNUMBER(G130), $B145 * H130, "")</f>
        <v>8749.9999999999909</v>
      </c>
      <c r="J130" s="106">
        <v>12.9</v>
      </c>
      <c r="K130" s="107">
        <f>IF(ISNUMBER(J130), (J130 - $B130) / $B130, "")</f>
        <v>7.5000000000000025E-2</v>
      </c>
      <c r="L130" s="108">
        <f>IF(ISNUMBER(J130), $B145 * K130, "")</f>
        <v>11250.000000000004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2"/>
      <c r="R130" s="192"/>
      <c r="S130" s="192"/>
    </row>
    <row r="131" spans="1:19" ht="17.25" thickBot="1">
      <c r="A131" s="125" t="s">
        <v>206</v>
      </c>
      <c r="B131" s="126">
        <v>13.4</v>
      </c>
      <c r="C131" s="77">
        <v>4.6875E-2</v>
      </c>
      <c r="D131" s="15">
        <v>14.2</v>
      </c>
      <c r="E131" s="32">
        <f t="shared" ref="E131:E134" si="66">IF(ISNUMBER(D131), (D131 - $B131) / $B131, "")</f>
        <v>5.9701492537313348E-2</v>
      </c>
      <c r="F131" s="18">
        <f>IF(ISNUMBER(D131), $B145 * E131, "")</f>
        <v>8955.2238805970028</v>
      </c>
      <c r="G131" s="31">
        <v>13.8</v>
      </c>
      <c r="H131" s="32">
        <f t="shared" ref="H131:H134" si="67">IF(ISNUMBER(G131), (G131 - $B131) / $B131, "")</f>
        <v>2.9850746268656744E-2</v>
      </c>
      <c r="I131" s="101">
        <f>IF(ISNUMBER(G131), $B145 * H131, "")</f>
        <v>4477.6119402985114</v>
      </c>
      <c r="J131" s="15">
        <v>13.8</v>
      </c>
      <c r="K131" s="32">
        <f t="shared" ref="K131:K134" si="68">IF(ISNUMBER(J131), (J131 - $B131) / $B131, "")</f>
        <v>2.9850746268656744E-2</v>
      </c>
      <c r="L131" s="18">
        <f>IF(ISNUMBER(J131), $B145 * K131, "")</f>
        <v>4477.6119402985114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2"/>
      <c r="R131" s="192"/>
      <c r="S131" s="192"/>
    </row>
    <row r="132" spans="1:19" ht="17.25" thickBot="1">
      <c r="A132" s="125" t="s">
        <v>232</v>
      </c>
      <c r="B132" s="126">
        <v>78.400000000000006</v>
      </c>
      <c r="C132" s="77">
        <v>4.2553191499999997E-2</v>
      </c>
      <c r="D132" s="15">
        <v>80.5</v>
      </c>
      <c r="E132" s="32">
        <f t="shared" si="66"/>
        <v>2.6785714285714211E-2</v>
      </c>
      <c r="F132" s="18">
        <f>IF(ISNUMBER(D132), $B145 * E132, "")</f>
        <v>4017.8571428571317</v>
      </c>
      <c r="G132" s="31">
        <v>80.8</v>
      </c>
      <c r="H132" s="32">
        <f t="shared" si="67"/>
        <v>3.0612244897959072E-2</v>
      </c>
      <c r="I132" s="101">
        <f>IF(ISNUMBER(G132), $B145 * H132, "")</f>
        <v>4591.8367346938612</v>
      </c>
      <c r="J132" s="15">
        <v>81.7</v>
      </c>
      <c r="K132" s="32">
        <f t="shared" si="68"/>
        <v>4.2091836734693841E-2</v>
      </c>
      <c r="L132" s="18">
        <f>IF(ISNUMBER(J132), $B145 * K132, "")</f>
        <v>6313.7755102040765</v>
      </c>
      <c r="M132" s="31"/>
      <c r="N132" s="32" t="str">
        <f t="shared" si="69"/>
        <v/>
      </c>
      <c r="O132" s="18" t="str">
        <f>IF(ISNUMBER(M132), $B145 * N132, "")</f>
        <v/>
      </c>
      <c r="Q132" s="192"/>
      <c r="R132" s="192"/>
      <c r="S132" s="192"/>
    </row>
    <row r="133" spans="1:19" ht="17.25" thickBot="1">
      <c r="A133" s="125" t="s">
        <v>248</v>
      </c>
      <c r="B133" s="126">
        <v>87.6</v>
      </c>
      <c r="C133" s="77">
        <v>3.7914691899999999E-2</v>
      </c>
      <c r="D133" s="15">
        <v>89.6</v>
      </c>
      <c r="E133" s="32">
        <f t="shared" si="66"/>
        <v>2.2831050228310504E-2</v>
      </c>
      <c r="F133" s="18">
        <f>IF(ISNUMBER(D133), $B145 * E133, "")</f>
        <v>3424.6575342465758</v>
      </c>
      <c r="G133" s="31">
        <v>87.1</v>
      </c>
      <c r="H133" s="32">
        <f t="shared" si="67"/>
        <v>-5.7077625570776261E-3</v>
      </c>
      <c r="I133" s="101">
        <f>IF(ISNUMBER(G133), $B145 * H133, "")</f>
        <v>-856.16438356164394</v>
      </c>
      <c r="J133" s="15">
        <v>87.9</v>
      </c>
      <c r="K133" s="32">
        <f t="shared" si="68"/>
        <v>3.4246575342467053E-3</v>
      </c>
      <c r="L133" s="18">
        <f>IF(ISNUMBER(J133), $B145 * K133, "")</f>
        <v>513.69863013700581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176</v>
      </c>
      <c r="B134" s="131">
        <v>17.399999999999999</v>
      </c>
      <c r="C134" s="79">
        <v>3.5714285700000001E-2</v>
      </c>
      <c r="D134" s="24">
        <v>18.7</v>
      </c>
      <c r="E134" s="25">
        <f t="shared" si="66"/>
        <v>7.4712643678160967E-2</v>
      </c>
      <c r="F134" s="104">
        <f>IF(ISNUMBER(D134), $B145 * E134, "")</f>
        <v>11206.896551724145</v>
      </c>
      <c r="G134" s="102">
        <v>19.100000000000001</v>
      </c>
      <c r="H134" s="25">
        <f t="shared" si="67"/>
        <v>9.7701149425287528E-2</v>
      </c>
      <c r="I134" s="103">
        <f>IF(ISNUMBER(G134), $B145 * H134, "")</f>
        <v>14655.172413793129</v>
      </c>
      <c r="J134" s="24">
        <v>19</v>
      </c>
      <c r="K134" s="25">
        <f t="shared" si="68"/>
        <v>9.1954022988505843E-2</v>
      </c>
      <c r="L134" s="104">
        <f>IF(ISNUMBER(J134), $B145 * K134, "")</f>
        <v>13793.103448275877</v>
      </c>
      <c r="M134" s="102"/>
      <c r="N134" s="25" t="str">
        <f t="shared" si="69"/>
        <v/>
      </c>
      <c r="O134" s="104" t="str">
        <f>IF(ISNUMBER(M134), $B145 * N134, "")</f>
        <v/>
      </c>
      <c r="Q134" s="193"/>
      <c r="R134" s="194"/>
      <c r="S134" s="195"/>
    </row>
    <row r="135" spans="1:19">
      <c r="A135" s="123" t="s">
        <v>202</v>
      </c>
      <c r="B135" s="124">
        <v>15.3</v>
      </c>
      <c r="C135" s="76">
        <v>3.3783783800000002E-2</v>
      </c>
      <c r="D135" s="13">
        <v>16.7</v>
      </c>
      <c r="E135" s="14">
        <f>IF(ISNUMBER(D135), (D135 - $B135) / $B135, "")</f>
        <v>9.1503267973856106E-2</v>
      </c>
      <c r="F135" s="16">
        <f>IF(ISNUMBER(D135), $B145 * E135, "")</f>
        <v>13725.490196078415</v>
      </c>
      <c r="G135" s="29">
        <v>16.2</v>
      </c>
      <c r="H135" s="14">
        <f>IF(ISNUMBER(G135), (G135 - $B135) / $B135, "")</f>
        <v>5.8823529411764608E-2</v>
      </c>
      <c r="I135" s="100">
        <f>IF(ISNUMBER(G135), $B145 * H135, "")</f>
        <v>8823.5294117646918</v>
      </c>
      <c r="J135" s="13">
        <v>16.399999999999999</v>
      </c>
      <c r="K135" s="14">
        <f>IF(ISNUMBER(J135), (J135 - $B135) / $B135, "")</f>
        <v>7.1895424836601163E-2</v>
      </c>
      <c r="L135" s="16">
        <f>IF(ISNUMBER(J135), $B145 * K135, "")</f>
        <v>10784.313725490174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6"/>
      <c r="R135" s="197"/>
      <c r="S135" s="198"/>
    </row>
    <row r="136" spans="1:19" ht="17.25" thickBot="1">
      <c r="A136" s="125" t="s">
        <v>120</v>
      </c>
      <c r="B136" s="126">
        <v>37.5</v>
      </c>
      <c r="C136" s="77">
        <v>3.0219780200000001E-2</v>
      </c>
      <c r="D136" s="15">
        <v>39.4</v>
      </c>
      <c r="E136" s="32">
        <f t="shared" ref="E136:E139" si="70">IF(ISNUMBER(D136), (D136 - $B136) / $B136, "")</f>
        <v>5.0666666666666631E-2</v>
      </c>
      <c r="F136" s="18">
        <f>IF(ISNUMBER(D136), $B145 * E136, "")</f>
        <v>7599.9999999999945</v>
      </c>
      <c r="G136" s="31">
        <v>40</v>
      </c>
      <c r="H136" s="32">
        <f t="shared" ref="H136:H139" si="71">IF(ISNUMBER(G136), (G136 - $B136) / $B136, "")</f>
        <v>6.6666666666666666E-2</v>
      </c>
      <c r="I136" s="101">
        <f>IF(ISNUMBER(G136), $B145 * H136, "")</f>
        <v>10000</v>
      </c>
      <c r="J136" s="15">
        <v>41</v>
      </c>
      <c r="K136" s="32">
        <f t="shared" ref="K136:K139" si="72">IF(ISNUMBER(J136), (J136 - $B136) / $B136, "")</f>
        <v>9.3333333333333338E-2</v>
      </c>
      <c r="L136" s="18">
        <f>IF(ISNUMBER(J136), $B145 * K136, "")</f>
        <v>14000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9"/>
      <c r="R136" s="200"/>
      <c r="S136" s="201"/>
    </row>
    <row r="137" spans="1:19" ht="17.25" thickBot="1">
      <c r="A137" s="125" t="s">
        <v>98</v>
      </c>
      <c r="B137" s="126">
        <v>4.3</v>
      </c>
      <c r="C137" s="77">
        <v>1.8957346E-2</v>
      </c>
      <c r="D137" s="15">
        <v>4.38</v>
      </c>
      <c r="E137" s="32">
        <f t="shared" si="70"/>
        <v>1.8604651162790715E-2</v>
      </c>
      <c r="F137" s="18">
        <f>IF(ISNUMBER(D137), $B145 * E137, "")</f>
        <v>2790.6976744186072</v>
      </c>
      <c r="G137" s="31">
        <v>4.2699999999999996</v>
      </c>
      <c r="H137" s="32">
        <f t="shared" si="71"/>
        <v>-6.9767441860465696E-3</v>
      </c>
      <c r="I137" s="101">
        <f>IF(ISNUMBER(G137), $B145 * H137, "")</f>
        <v>-1046.5116279069855</v>
      </c>
      <c r="J137" s="15">
        <v>4.32</v>
      </c>
      <c r="K137" s="32">
        <f t="shared" si="72"/>
        <v>4.6511627906977819E-3</v>
      </c>
      <c r="L137" s="18">
        <f>IF(ISNUMBER(J137), $B145 * K137, "")</f>
        <v>697.67441860466727</v>
      </c>
      <c r="M137" s="31"/>
      <c r="N137" s="32" t="str">
        <f t="shared" si="73"/>
        <v/>
      </c>
      <c r="O137" s="18" t="str">
        <f>IF(ISNUMBER(M137), $B145 * N137, "")</f>
        <v/>
      </c>
      <c r="Q137" s="192"/>
      <c r="R137" s="192"/>
      <c r="S137" s="192"/>
    </row>
    <row r="138" spans="1:19" ht="17.25" thickBot="1">
      <c r="A138" s="125" t="s">
        <v>188</v>
      </c>
      <c r="B138" s="126">
        <v>17.5</v>
      </c>
      <c r="C138" s="77">
        <v>1.74418605E-2</v>
      </c>
      <c r="D138" s="15">
        <v>18.7</v>
      </c>
      <c r="E138" s="32">
        <f t="shared" si="70"/>
        <v>6.8571428571428533E-2</v>
      </c>
      <c r="F138" s="18">
        <f>IF(ISNUMBER(D138), $B145 * E138, "")</f>
        <v>10285.714285714281</v>
      </c>
      <c r="G138" s="31">
        <v>18.7</v>
      </c>
      <c r="H138" s="32">
        <f t="shared" si="71"/>
        <v>6.8571428571428533E-2</v>
      </c>
      <c r="I138" s="101">
        <f>IF(ISNUMBER(G138), $B145 * H138, "")</f>
        <v>10285.714285714281</v>
      </c>
      <c r="J138" s="15">
        <v>18.7</v>
      </c>
      <c r="K138" s="32">
        <f t="shared" si="72"/>
        <v>6.8571428571428533E-2</v>
      </c>
      <c r="L138" s="18">
        <f>IF(ISNUMBER(J138), $B145 * K138, "")</f>
        <v>10285.714285714281</v>
      </c>
      <c r="M138" s="31"/>
      <c r="N138" s="32" t="str">
        <f t="shared" si="73"/>
        <v/>
      </c>
      <c r="O138" s="18" t="str">
        <f>IF(ISNUMBER(M138), $B145 * N138, "")</f>
        <v/>
      </c>
      <c r="Q138" s="202"/>
      <c r="R138" s="202"/>
      <c r="S138" s="202"/>
    </row>
    <row r="139" spans="1:19" ht="17.25" thickBot="1">
      <c r="A139" s="127" t="s">
        <v>72</v>
      </c>
      <c r="B139" s="128">
        <v>25.5</v>
      </c>
      <c r="C139" s="78">
        <v>7.9051382999999996E-3</v>
      </c>
      <c r="D139" s="20">
        <v>27.4</v>
      </c>
      <c r="E139" s="21">
        <f t="shared" si="70"/>
        <v>7.4509803921568571E-2</v>
      </c>
      <c r="F139" s="22">
        <f>IF(ISNUMBER(D139), $B145 * E139, "")</f>
        <v>11176.470588235286</v>
      </c>
      <c r="G139" s="30">
        <v>26.5</v>
      </c>
      <c r="H139" s="21">
        <f t="shared" si="71"/>
        <v>3.9215686274509803E-2</v>
      </c>
      <c r="I139" s="105">
        <f>IF(ISNUMBER(G139), $B145 * H139, "")</f>
        <v>5882.3529411764703</v>
      </c>
      <c r="J139" s="20">
        <v>27.5</v>
      </c>
      <c r="K139" s="21">
        <f t="shared" si="72"/>
        <v>7.8431372549019607E-2</v>
      </c>
      <c r="L139" s="22">
        <f>IF(ISNUMBER(J139), $B145 * K139, "")</f>
        <v>11764.705882352941</v>
      </c>
      <c r="M139" s="30"/>
      <c r="N139" s="21" t="str">
        <f t="shared" si="73"/>
        <v/>
      </c>
      <c r="O139" s="22" t="str">
        <f>IF(ISNUMBER(M139), $B145 * N139, "")</f>
        <v/>
      </c>
      <c r="Q139" s="202"/>
      <c r="R139" s="202"/>
      <c r="S139" s="202"/>
    </row>
    <row r="140" spans="1:19" ht="17.25" thickBot="1">
      <c r="A140" s="125" t="s">
        <v>65</v>
      </c>
      <c r="B140" s="129">
        <v>65.5</v>
      </c>
      <c r="C140" s="80">
        <v>3.0627871E-3</v>
      </c>
      <c r="D140" s="106">
        <v>65.7</v>
      </c>
      <c r="E140" s="107">
        <f>IF(ISNUMBER(D140), (D140 - $B140) / $B140, "")</f>
        <v>3.0534351145038601E-3</v>
      </c>
      <c r="F140" s="108">
        <f>IF(ISNUMBER(D140), $B145 * E140, "")</f>
        <v>458.01526717557903</v>
      </c>
      <c r="G140" s="109">
        <v>64.3</v>
      </c>
      <c r="H140" s="107">
        <f>IF(ISNUMBER(G140), (G140 - $B140) / $B140, "")</f>
        <v>-1.8320610687022943E-2</v>
      </c>
      <c r="I140" s="110">
        <f>IF(ISNUMBER(G140), $B145 * H140, "")</f>
        <v>-2748.0916030534413</v>
      </c>
      <c r="J140" s="106">
        <v>64.099999999999994</v>
      </c>
      <c r="K140" s="107">
        <f>IF(ISNUMBER(J140), (J140 - $B140) / $B140, "")</f>
        <v>-2.1374045801526805E-2</v>
      </c>
      <c r="L140" s="108">
        <f>IF(ISNUMBER(J140), $B145 * K140, "")</f>
        <v>-3206.1068702290208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2"/>
      <c r="R140" s="192"/>
      <c r="S140" s="192"/>
    </row>
    <row r="141" spans="1:19" ht="17.25" thickBot="1">
      <c r="A141" s="125" t="s">
        <v>328</v>
      </c>
      <c r="B141" s="126">
        <v>0.27600000000000002</v>
      </c>
      <c r="C141" s="77">
        <v>-3.4965034999999998E-2</v>
      </c>
      <c r="D141" s="15">
        <v>0.27</v>
      </c>
      <c r="E141" s="32">
        <f t="shared" ref="E141:E144" si="74">IF(ISNUMBER(D141), (D141 - $B141) / $B141, "")</f>
        <v>-2.1739130434782625E-2</v>
      </c>
      <c r="F141" s="18">
        <f>IF(ISNUMBER(D141), $B145 * E141, "")</f>
        <v>-3260.8695652173938</v>
      </c>
      <c r="G141" s="31">
        <v>0.26500000000000001</v>
      </c>
      <c r="H141" s="32">
        <f t="shared" ref="H141:H144" si="75">IF(ISNUMBER(G141), (G141 - $B141) / $B141, "")</f>
        <v>-3.9855072463768147E-2</v>
      </c>
      <c r="I141" s="101">
        <f>IF(ISNUMBER(G141), $B145 * H141, "")</f>
        <v>-5978.2608695652225</v>
      </c>
      <c r="J141" s="15">
        <v>0.26400000000000001</v>
      </c>
      <c r="K141" s="32">
        <f t="shared" ref="K141:K144" si="76">IF(ISNUMBER(J141), (J141 - $B141) / $B141, "")</f>
        <v>-4.3478260869565251E-2</v>
      </c>
      <c r="L141" s="18">
        <f>IF(ISNUMBER(J141), $B145 * K141, "")</f>
        <v>-6521.7391304347875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2"/>
      <c r="R141" s="192"/>
      <c r="S141" s="19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2"/>
      <c r="R142" s="192"/>
      <c r="S142" s="19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1"/>
      <c r="R143" s="182"/>
      <c r="S143" s="1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4"/>
      <c r="R144" s="185"/>
      <c r="S144" s="186"/>
    </row>
    <row r="145" spans="1:19" ht="17.25" thickBot="1">
      <c r="A145" s="132" t="s">
        <v>268</v>
      </c>
      <c r="B145" s="245">
        <f>$B$37</f>
        <v>150000</v>
      </c>
      <c r="C145" s="246"/>
      <c r="D145" s="26" t="s">
        <v>269</v>
      </c>
      <c r="E145" s="27">
        <f>IF(COUNT(E125:E144), SUM(E125:E144) / COUNT(E125:E144), 0)</f>
        <v>2.6454728022751169E-2</v>
      </c>
      <c r="F145" s="28">
        <f>SUM(F125:F144)</f>
        <v>67459.55645801549</v>
      </c>
      <c r="G145" s="26" t="s">
        <v>269</v>
      </c>
      <c r="H145" s="27">
        <f>IF(COUNT(H125:H144), SUM(H125:H144) / COUNT(H125:H144), 0)</f>
        <v>2.8989632411306171E-2</v>
      </c>
      <c r="I145" s="28">
        <f>SUM(I125:I144)</f>
        <v>73923.562648830746</v>
      </c>
      <c r="J145" s="26" t="s">
        <v>269</v>
      </c>
      <c r="K145" s="27">
        <f>IF(COUNT(K125:K144), SUM(K125:K144) / COUNT(K125:K144), 0)</f>
        <v>3.6395628456577379E-2</v>
      </c>
      <c r="L145" s="28">
        <f>SUM(L125:L144)</f>
        <v>92808.852564272311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187"/>
      <c r="R145" s="188"/>
      <c r="S145" s="189"/>
    </row>
    <row r="147" spans="1:19" ht="17.25" thickBot="1"/>
    <row r="148" spans="1:19" ht="17.25" thickBot="1">
      <c r="A148" s="203" t="s">
        <v>257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77" t="s">
        <v>265</v>
      </c>
      <c r="B149" s="203" t="s">
        <v>49</v>
      </c>
      <c r="C149" s="205"/>
      <c r="D149" s="203" t="s">
        <v>58</v>
      </c>
      <c r="E149" s="204"/>
      <c r="F149" s="205"/>
      <c r="G149" s="206">
        <f>_xlfn.IFNA(VLOOKUP(B149, 현재가테이블!$B$2:$D$200, 2, FALSE), "-")</f>
        <v>62630000</v>
      </c>
      <c r="H149" s="207"/>
      <c r="I149" s="208"/>
      <c r="J149" s="203" t="s">
        <v>59</v>
      </c>
      <c r="K149" s="204"/>
      <c r="L149" s="205"/>
      <c r="M149" s="209">
        <f>_xlfn.IFNA(VLOOKUP(B149, 현재가테이블!$B$2:$D$200, 3, FALSE), "-")</f>
        <v>1.5632601400000001E-2</v>
      </c>
      <c r="N149" s="210"/>
      <c r="O149" s="211"/>
      <c r="Q149" s="202"/>
      <c r="R149" s="202"/>
      <c r="S149" s="202"/>
    </row>
    <row r="150" spans="1:19" ht="17.25" thickBot="1">
      <c r="A150" s="247" t="s">
        <v>55</v>
      </c>
      <c r="B150" s="243" t="str">
        <f>TEXT($G$1, "[$-ko-KR]yyyy-mm-dd(ddd) ") &amp; "오전 00:00"</f>
        <v>2021-10-06(수) 오전 00:00</v>
      </c>
      <c r="C150" s="244"/>
      <c r="D150" s="216" t="str">
        <f>TEXT($G$1, "[$-ko-KR]yyyy-mm-dd(ddd) ") &amp; "오후 14:00"</f>
        <v>2021-10-06(수) 오후 14:00</v>
      </c>
      <c r="E150" s="217"/>
      <c r="F150" s="218"/>
      <c r="G150" s="216" t="str">
        <f>TEXT($G$1, "[$-ko-KR]yyyy-mm-dd(ddd) ") &amp; "오후 19:00"</f>
        <v>2021-10-06(수) 오후 19:00</v>
      </c>
      <c r="H150" s="217"/>
      <c r="I150" s="218"/>
      <c r="J150" s="216" t="str">
        <f>TEXT($G$1, "[$-ko-KR]yyyy-mm-dd(ddd) ") &amp; "오후 21:00"</f>
        <v>2021-10-06(수) 오후 21:00</v>
      </c>
      <c r="K150" s="217"/>
      <c r="L150" s="218"/>
      <c r="M150" s="216" t="str">
        <f>TEXT($G$1+1, "[$-ko-KR]yyyy-mm-dd(ddd) ") &amp; "오전 00:00"</f>
        <v>2021-10-07(목) 오전 00:00</v>
      </c>
      <c r="N150" s="217"/>
      <c r="O150" s="218"/>
      <c r="Q150" s="202"/>
      <c r="R150" s="202"/>
      <c r="S150" s="202"/>
    </row>
    <row r="151" spans="1:19" ht="17.25" thickBot="1">
      <c r="A151" s="248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8" t="s">
        <v>58</v>
      </c>
      <c r="H151" s="179" t="s">
        <v>266</v>
      </c>
      <c r="I151" s="18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192"/>
      <c r="R151" s="192"/>
      <c r="S151" s="192"/>
    </row>
    <row r="152" spans="1:19" ht="17.25" thickBot="1">
      <c r="A152" s="123" t="s">
        <v>86</v>
      </c>
      <c r="B152" s="124">
        <v>350</v>
      </c>
      <c r="C152" s="76">
        <v>1.15606936E-2</v>
      </c>
      <c r="D152" s="13">
        <v>365</v>
      </c>
      <c r="E152" s="14">
        <f>IF(ISNUMBER(D152), (D152 - $B152) / $B152, "")</f>
        <v>4.2857142857142858E-2</v>
      </c>
      <c r="F152" s="16">
        <f>IF(ISNUMBER(D152), $B172 * E152, "")</f>
        <v>6428.5714285714284</v>
      </c>
      <c r="G152" s="29">
        <v>349</v>
      </c>
      <c r="H152" s="14">
        <f>IF(ISNUMBER(G152), (G152 - $B152) / $B152, "")</f>
        <v>-2.8571428571428571E-3</v>
      </c>
      <c r="I152" s="100">
        <f>IF(ISNUMBER(G152), $B172 * H152, "")</f>
        <v>-428.57142857142856</v>
      </c>
      <c r="J152" s="13">
        <v>353</v>
      </c>
      <c r="K152" s="14">
        <f>IF(ISNUMBER(J152), (J152 - $B152) / $B152, "")</f>
        <v>8.5714285714285719E-3</v>
      </c>
      <c r="L152" s="16">
        <f>IF(ISNUMBER(J152), $B172 * K152, "")</f>
        <v>1285.7142857142858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2"/>
      <c r="R152" s="202"/>
      <c r="S152" s="202"/>
    </row>
    <row r="153" spans="1:19" ht="17.25" thickBot="1">
      <c r="A153" s="125" t="s">
        <v>234</v>
      </c>
      <c r="B153" s="126">
        <v>682</v>
      </c>
      <c r="C153" s="77">
        <v>8.8757395999999999E-3</v>
      </c>
      <c r="D153" s="15">
        <v>757</v>
      </c>
      <c r="E153" s="32">
        <f t="shared" ref="E153:E156" si="78">IF(ISNUMBER(D153), (D153 - $B153) / $B153, "")</f>
        <v>0.10997067448680352</v>
      </c>
      <c r="F153" s="18">
        <f>IF(ISNUMBER(D153), $B172 * E153, "")</f>
        <v>16495.601173020528</v>
      </c>
      <c r="G153" s="31">
        <v>728</v>
      </c>
      <c r="H153" s="32">
        <f t="shared" ref="H153:H156" si="79">IF(ISNUMBER(G153), (G153 - $B153) / $B153, "")</f>
        <v>6.7448680351906154E-2</v>
      </c>
      <c r="I153" s="101">
        <f>IF(ISNUMBER(G153), $B172 * H153, "")</f>
        <v>10117.302052785923</v>
      </c>
      <c r="J153" s="15">
        <v>898</v>
      </c>
      <c r="K153" s="32">
        <f t="shared" ref="K153:K156" si="80">IF(ISNUMBER(J153), (J153 - $B153) / $B153, "")</f>
        <v>0.31671554252199413</v>
      </c>
      <c r="L153" s="18">
        <f>IF(ISNUMBER(J153), $B172 * K153, "")</f>
        <v>47507.331378299117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2"/>
      <c r="R153" s="202"/>
      <c r="S153" s="202"/>
    </row>
    <row r="154" spans="1:19" ht="17.25" thickBot="1">
      <c r="A154" s="125" t="s">
        <v>150</v>
      </c>
      <c r="B154" s="126">
        <v>115</v>
      </c>
      <c r="C154" s="77">
        <v>8.7719297999999998E-3</v>
      </c>
      <c r="D154" s="15">
        <v>115</v>
      </c>
      <c r="E154" s="32">
        <f t="shared" si="78"/>
        <v>0</v>
      </c>
      <c r="F154" s="18">
        <f>IF(ISNUMBER(D154), $B172 * E154, "")</f>
        <v>0</v>
      </c>
      <c r="G154" s="31">
        <v>112</v>
      </c>
      <c r="H154" s="32">
        <f t="shared" si="79"/>
        <v>-2.6086956521739129E-2</v>
      </c>
      <c r="I154" s="101">
        <f>IF(ISNUMBER(G154), $B172 * H154, "")</f>
        <v>-3913.0434782608695</v>
      </c>
      <c r="J154" s="15">
        <v>113</v>
      </c>
      <c r="K154" s="32">
        <f t="shared" si="80"/>
        <v>-1.7391304347826087E-2</v>
      </c>
      <c r="L154" s="18">
        <f>IF(ISNUMBER(J154), $B172 * K154, "")</f>
        <v>-2608.695652173913</v>
      </c>
      <c r="M154" s="31"/>
      <c r="N154" s="32" t="str">
        <f t="shared" si="81"/>
        <v/>
      </c>
      <c r="O154" s="18" t="str">
        <f>IF(ISNUMBER(M154), $B172 * N154, "")</f>
        <v/>
      </c>
      <c r="Q154" s="192"/>
      <c r="R154" s="192"/>
      <c r="S154" s="192"/>
    </row>
    <row r="155" spans="1:19" ht="17.25" thickBot="1">
      <c r="A155" s="125" t="s">
        <v>80</v>
      </c>
      <c r="B155" s="126">
        <v>865</v>
      </c>
      <c r="C155" s="77">
        <v>1.1574074E-3</v>
      </c>
      <c r="D155" s="15">
        <v>879</v>
      </c>
      <c r="E155" s="32">
        <f t="shared" si="78"/>
        <v>1.6184971098265895E-2</v>
      </c>
      <c r="F155" s="18">
        <f>IF(ISNUMBER(D155), $B172 * E155, "")</f>
        <v>2427.7456647398844</v>
      </c>
      <c r="G155" s="31">
        <v>854</v>
      </c>
      <c r="H155" s="32">
        <f t="shared" si="79"/>
        <v>-1.2716763005780347E-2</v>
      </c>
      <c r="I155" s="101">
        <f>IF(ISNUMBER(G155), $B172 * H155, "")</f>
        <v>-1907.5144508670521</v>
      </c>
      <c r="J155" s="15">
        <v>858</v>
      </c>
      <c r="K155" s="32">
        <f t="shared" si="80"/>
        <v>-8.0924855491329474E-3</v>
      </c>
      <c r="L155" s="18">
        <f>IF(ISNUMBER(J155), $B172 * K155, "")</f>
        <v>-1213.8728323699422</v>
      </c>
      <c r="M155" s="31"/>
      <c r="N155" s="32" t="str">
        <f t="shared" si="81"/>
        <v/>
      </c>
      <c r="O155" s="18" t="str">
        <f>IF(ISNUMBER(M155), $B172 * N155, "")</f>
        <v/>
      </c>
      <c r="Q155" s="192"/>
      <c r="R155" s="192"/>
      <c r="S155" s="192"/>
    </row>
    <row r="156" spans="1:19" ht="17.25" thickBot="1">
      <c r="A156" s="127" t="s">
        <v>126</v>
      </c>
      <c r="B156" s="128">
        <v>134</v>
      </c>
      <c r="C156" s="78">
        <v>0</v>
      </c>
      <c r="D156" s="20">
        <v>133</v>
      </c>
      <c r="E156" s="21">
        <f t="shared" si="78"/>
        <v>-7.462686567164179E-3</v>
      </c>
      <c r="F156" s="22">
        <f>IF(ISNUMBER(D156), $B172 * E156, "")</f>
        <v>-1119.4029850746269</v>
      </c>
      <c r="G156" s="30">
        <v>129</v>
      </c>
      <c r="H156" s="21">
        <f t="shared" si="79"/>
        <v>-3.7313432835820892E-2</v>
      </c>
      <c r="I156" s="105">
        <f>IF(ISNUMBER(G156), $B172 * H156, "")</f>
        <v>-5597.0149253731342</v>
      </c>
      <c r="J156" s="20">
        <v>130</v>
      </c>
      <c r="K156" s="21">
        <f t="shared" si="80"/>
        <v>-2.9850746268656716E-2</v>
      </c>
      <c r="L156" s="22">
        <f>IF(ISNUMBER(J156), $B172 * K156, "")</f>
        <v>-4477.6119402985078</v>
      </c>
      <c r="M156" s="30"/>
      <c r="N156" s="21" t="str">
        <f t="shared" si="81"/>
        <v/>
      </c>
      <c r="O156" s="22" t="str">
        <f>IF(ISNUMBER(M156), $B172 * N156, "")</f>
        <v/>
      </c>
      <c r="Q156" s="192"/>
      <c r="R156" s="192"/>
      <c r="S156" s="192"/>
    </row>
    <row r="157" spans="1:19" ht="17.25" thickBot="1">
      <c r="A157" s="125" t="s">
        <v>240</v>
      </c>
      <c r="B157" s="129">
        <v>640</v>
      </c>
      <c r="C157" s="80">
        <v>-1.5600624E-3</v>
      </c>
      <c r="D157" s="106">
        <v>674</v>
      </c>
      <c r="E157" s="107">
        <f>IF(ISNUMBER(D157), (D157 - $B157) / $B157, "")</f>
        <v>5.3124999999999999E-2</v>
      </c>
      <c r="F157" s="108">
        <f>IF(ISNUMBER(D157), $B172 * E157, "")</f>
        <v>7968.75</v>
      </c>
      <c r="G157" s="109">
        <v>639</v>
      </c>
      <c r="H157" s="107">
        <f>IF(ISNUMBER(G157), (G157 - $B157) / $B157, "")</f>
        <v>-1.5625000000000001E-3</v>
      </c>
      <c r="I157" s="110">
        <f>IF(ISNUMBER(G157), $B172 * H157, "")</f>
        <v>-234.375</v>
      </c>
      <c r="J157" s="106">
        <v>644</v>
      </c>
      <c r="K157" s="107">
        <f>IF(ISNUMBER(J157), (J157 - $B157) / $B157, "")</f>
        <v>6.2500000000000003E-3</v>
      </c>
      <c r="L157" s="108">
        <f>IF(ISNUMBER(J157), $B172 * K157, "")</f>
        <v>937.5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2"/>
      <c r="R157" s="192"/>
      <c r="S157" s="192"/>
    </row>
    <row r="158" spans="1:19" ht="17.25" thickBot="1">
      <c r="A158" s="125" t="s">
        <v>136</v>
      </c>
      <c r="B158" s="126">
        <v>359</v>
      </c>
      <c r="C158" s="77">
        <v>-2.7777778000000002E-3</v>
      </c>
      <c r="D158" s="15">
        <v>365</v>
      </c>
      <c r="E158" s="32">
        <f t="shared" ref="E158:E161" si="82">IF(ISNUMBER(D158), (D158 - $B158) / $B158, "")</f>
        <v>1.6713091922005572E-2</v>
      </c>
      <c r="F158" s="18">
        <f>IF(ISNUMBER(D158), $B172 * E158, "")</f>
        <v>2506.9637883008359</v>
      </c>
      <c r="G158" s="31">
        <v>354</v>
      </c>
      <c r="H158" s="32">
        <f t="shared" ref="H158:H161" si="83">IF(ISNUMBER(G158), (G158 - $B158) / $B158, "")</f>
        <v>-1.3927576601671309E-2</v>
      </c>
      <c r="I158" s="101">
        <f>IF(ISNUMBER(G158), $B172 * H158, "")</f>
        <v>-2089.1364902506962</v>
      </c>
      <c r="J158" s="15">
        <v>354</v>
      </c>
      <c r="K158" s="32">
        <f t="shared" ref="K158:K161" si="84">IF(ISNUMBER(J158), (J158 - $B158) / $B158, "")</f>
        <v>-1.3927576601671309E-2</v>
      </c>
      <c r="L158" s="18">
        <f>IF(ISNUMBER(J158), $B172 * K158, "")</f>
        <v>-2089.1364902506962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2"/>
      <c r="R158" s="192"/>
      <c r="S158" s="192"/>
    </row>
    <row r="159" spans="1:19" ht="17.25" thickBot="1">
      <c r="A159" s="125" t="s">
        <v>116</v>
      </c>
      <c r="B159" s="126">
        <v>217</v>
      </c>
      <c r="C159" s="77">
        <v>-4.5871560000000002E-3</v>
      </c>
      <c r="D159" s="15">
        <v>218</v>
      </c>
      <c r="E159" s="32">
        <f t="shared" si="82"/>
        <v>4.608294930875576E-3</v>
      </c>
      <c r="F159" s="18">
        <f>IF(ISNUMBER(D159), $B172 * E159, "")</f>
        <v>691.24423963133643</v>
      </c>
      <c r="G159" s="31">
        <v>216</v>
      </c>
      <c r="H159" s="32">
        <f t="shared" si="83"/>
        <v>-4.608294930875576E-3</v>
      </c>
      <c r="I159" s="101">
        <f>IF(ISNUMBER(G159), $B172 * H159, "")</f>
        <v>-691.24423963133643</v>
      </c>
      <c r="J159" s="15">
        <v>217</v>
      </c>
      <c r="K159" s="32">
        <f t="shared" si="84"/>
        <v>0</v>
      </c>
      <c r="L159" s="18">
        <f>IF(ISNUMBER(J159), $B172 * K159, "")</f>
        <v>0</v>
      </c>
      <c r="M159" s="31"/>
      <c r="N159" s="32" t="str">
        <f t="shared" si="85"/>
        <v/>
      </c>
      <c r="O159" s="18" t="str">
        <f>IF(ISNUMBER(M159), $B172 * N159, "")</f>
        <v/>
      </c>
      <c r="Q159" s="192"/>
      <c r="R159" s="192"/>
      <c r="S159" s="192"/>
    </row>
    <row r="160" spans="1:19" ht="17.25" thickBot="1">
      <c r="A160" s="125" t="s">
        <v>51</v>
      </c>
      <c r="B160" s="126">
        <v>376</v>
      </c>
      <c r="C160" s="77">
        <v>-5.2910053000000002E-3</v>
      </c>
      <c r="D160" s="15">
        <v>384</v>
      </c>
      <c r="E160" s="32">
        <f t="shared" si="82"/>
        <v>2.1276595744680851E-2</v>
      </c>
      <c r="F160" s="18">
        <f>IF(ISNUMBER(D160), $B172 * E160, "")</f>
        <v>3191.4893617021276</v>
      </c>
      <c r="G160" s="31">
        <v>377</v>
      </c>
      <c r="H160" s="32">
        <f t="shared" si="83"/>
        <v>2.6595744680851063E-3</v>
      </c>
      <c r="I160" s="101">
        <f>IF(ISNUMBER(G160), $B172 * H160, "")</f>
        <v>398.93617021276594</v>
      </c>
      <c r="J160" s="15">
        <v>378</v>
      </c>
      <c r="K160" s="32">
        <f t="shared" si="84"/>
        <v>5.3191489361702126E-3</v>
      </c>
      <c r="L160" s="18">
        <f>IF(ISNUMBER(J160), $B172 * K160, "")</f>
        <v>797.87234042553189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252</v>
      </c>
      <c r="B161" s="131">
        <v>395</v>
      </c>
      <c r="C161" s="79">
        <v>-7.5376884E-3</v>
      </c>
      <c r="D161" s="24">
        <v>436</v>
      </c>
      <c r="E161" s="25">
        <f t="shared" si="82"/>
        <v>0.10379746835443038</v>
      </c>
      <c r="F161" s="104">
        <f>IF(ISNUMBER(D161), $B172 * E161, "")</f>
        <v>15569.620253164556</v>
      </c>
      <c r="G161" s="102">
        <v>423</v>
      </c>
      <c r="H161" s="25">
        <f t="shared" si="83"/>
        <v>7.0886075949367092E-2</v>
      </c>
      <c r="I161" s="103">
        <f>IF(ISNUMBER(G161), $B172 * H161, "")</f>
        <v>10632.911392405063</v>
      </c>
      <c r="J161" s="24">
        <v>441</v>
      </c>
      <c r="K161" s="25">
        <f t="shared" si="84"/>
        <v>0.11645569620253164</v>
      </c>
      <c r="L161" s="104">
        <f>IF(ISNUMBER(J161), $B172 * K161, "")</f>
        <v>17468.354430379746</v>
      </c>
      <c r="M161" s="102"/>
      <c r="N161" s="25" t="str">
        <f t="shared" si="85"/>
        <v/>
      </c>
      <c r="O161" s="104" t="str">
        <f>IF(ISNUMBER(M161), $B172 * N161, "")</f>
        <v/>
      </c>
      <c r="Q161" s="193"/>
      <c r="R161" s="194"/>
      <c r="S161" s="195"/>
    </row>
    <row r="162" spans="1:19">
      <c r="A162" s="123" t="s">
        <v>61</v>
      </c>
      <c r="B162" s="124">
        <v>919</v>
      </c>
      <c r="C162" s="76">
        <v>-2.12992545E-2</v>
      </c>
      <c r="D162" s="13">
        <v>921</v>
      </c>
      <c r="E162" s="14">
        <f>IF(ISNUMBER(D162), (D162 - $B162) / $B162, "")</f>
        <v>2.176278563656148E-3</v>
      </c>
      <c r="F162" s="16">
        <f>IF(ISNUMBER(D162), $B172 * E162, "")</f>
        <v>326.44178454842222</v>
      </c>
      <c r="G162" s="29">
        <v>899</v>
      </c>
      <c r="H162" s="14">
        <f>IF(ISNUMBER(G162), (G162 - $B162) / $B162, "")</f>
        <v>-2.176278563656148E-2</v>
      </c>
      <c r="I162" s="100">
        <f>IF(ISNUMBER(G162), $B172 * H162, "")</f>
        <v>-3264.4178454842222</v>
      </c>
      <c r="J162" s="13">
        <v>905</v>
      </c>
      <c r="K162" s="14">
        <f>IF(ISNUMBER(J162), (J162 - $B162) / $B162, "")</f>
        <v>-1.5233949945593036E-2</v>
      </c>
      <c r="L162" s="16">
        <f>IF(ISNUMBER(J162), $B172 * K162, "")</f>
        <v>-2285.0924918389555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6"/>
      <c r="R162" s="197"/>
      <c r="S162" s="198"/>
    </row>
    <row r="163" spans="1:19" ht="17.25" thickBot="1">
      <c r="A163" s="125" t="s">
        <v>226</v>
      </c>
      <c r="B163" s="126">
        <v>921</v>
      </c>
      <c r="C163" s="77">
        <v>-2.3329798499999999E-2</v>
      </c>
      <c r="D163" s="15">
        <v>1125</v>
      </c>
      <c r="E163" s="32">
        <f t="shared" ref="E163:E166" si="86">IF(ISNUMBER(D163), (D163 - $B163) / $B163, "")</f>
        <v>0.22149837133550487</v>
      </c>
      <c r="F163" s="18">
        <f>IF(ISNUMBER(D163), $B172 * E163, "")</f>
        <v>33224.755700325732</v>
      </c>
      <c r="G163" s="31">
        <v>1135</v>
      </c>
      <c r="H163" s="32">
        <f t="shared" ref="H163:H166" si="87">IF(ISNUMBER(G163), (G163 - $B163) / $B163, "")</f>
        <v>0.23235613463626492</v>
      </c>
      <c r="I163" s="101">
        <f>IF(ISNUMBER(G163), $B172 * H163, "")</f>
        <v>34853.420195439736</v>
      </c>
      <c r="J163" s="15">
        <v>1135</v>
      </c>
      <c r="K163" s="32">
        <f t="shared" ref="K163:K166" si="88">IF(ISNUMBER(J163), (J163 - $B163) / $B163, "")</f>
        <v>0.23235613463626492</v>
      </c>
      <c r="L163" s="18">
        <f>IF(ISNUMBER(J163), $B172 * K163, "")</f>
        <v>34853.420195439736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9"/>
      <c r="R163" s="200"/>
      <c r="S163" s="201"/>
    </row>
    <row r="164" spans="1:19" ht="17.25" thickBot="1">
      <c r="A164" s="125" t="s">
        <v>172</v>
      </c>
      <c r="B164" s="126">
        <v>430</v>
      </c>
      <c r="C164" s="77">
        <v>-2.7149321300000001E-2</v>
      </c>
      <c r="D164" s="15">
        <v>449</v>
      </c>
      <c r="E164" s="32">
        <f t="shared" si="86"/>
        <v>4.4186046511627906E-2</v>
      </c>
      <c r="F164" s="18">
        <f>IF(ISNUMBER(D164), $B172 * E164, "")</f>
        <v>6627.9069767441861</v>
      </c>
      <c r="G164" s="31">
        <v>437</v>
      </c>
      <c r="H164" s="32">
        <f t="shared" si="87"/>
        <v>1.627906976744186E-2</v>
      </c>
      <c r="I164" s="101">
        <f>IF(ISNUMBER(G164), $B172 * H164, "")</f>
        <v>2441.8604651162791</v>
      </c>
      <c r="J164" s="15">
        <v>448</v>
      </c>
      <c r="K164" s="32">
        <f t="shared" si="88"/>
        <v>4.1860465116279069E-2</v>
      </c>
      <c r="L164" s="18">
        <f>IF(ISNUMBER(J164), $B172 * K164, "")</f>
        <v>6279.0697674418607</v>
      </c>
      <c r="M164" s="31"/>
      <c r="N164" s="32" t="str">
        <f t="shared" si="89"/>
        <v/>
      </c>
      <c r="O164" s="18" t="str">
        <f>IF(ISNUMBER(M164), $B172 * N164, "")</f>
        <v/>
      </c>
      <c r="Q164" s="192"/>
      <c r="R164" s="192"/>
      <c r="S164" s="192"/>
    </row>
    <row r="165" spans="1:19" ht="17.25" thickBot="1">
      <c r="A165" s="125" t="s">
        <v>122</v>
      </c>
      <c r="B165" s="126">
        <v>607</v>
      </c>
      <c r="C165" s="77">
        <v>-2.8799999999999999E-2</v>
      </c>
      <c r="D165" s="15">
        <v>663</v>
      </c>
      <c r="E165" s="32">
        <f t="shared" si="86"/>
        <v>9.2257001647446463E-2</v>
      </c>
      <c r="F165" s="18">
        <f>IF(ISNUMBER(D165), $B172 * E165, "")</f>
        <v>13838.550247116969</v>
      </c>
      <c r="G165" s="31">
        <v>619</v>
      </c>
      <c r="H165" s="32">
        <f t="shared" si="87"/>
        <v>1.9769357495881382E-2</v>
      </c>
      <c r="I165" s="101">
        <f>IF(ISNUMBER(G165), $B172 * H165, "")</f>
        <v>2965.4036243822075</v>
      </c>
      <c r="J165" s="15">
        <v>635</v>
      </c>
      <c r="K165" s="32">
        <f t="shared" si="88"/>
        <v>4.6128500823723231E-2</v>
      </c>
      <c r="L165" s="18">
        <f>IF(ISNUMBER(J165), $B172 * K165, "")</f>
        <v>6919.2751235584847</v>
      </c>
      <c r="M165" s="31"/>
      <c r="N165" s="32" t="str">
        <f t="shared" si="89"/>
        <v/>
      </c>
      <c r="O165" s="18" t="str">
        <f>IF(ISNUMBER(M165), $B172 * N165, "")</f>
        <v/>
      </c>
      <c r="Q165" s="202"/>
      <c r="R165" s="202"/>
      <c r="S165" s="202"/>
    </row>
    <row r="166" spans="1:19" ht="17.25" thickBot="1">
      <c r="A166" s="127" t="s">
        <v>228</v>
      </c>
      <c r="B166" s="128">
        <v>358</v>
      </c>
      <c r="C166" s="78">
        <v>-2.98102981E-2</v>
      </c>
      <c r="D166" s="20">
        <v>377</v>
      </c>
      <c r="E166" s="21">
        <f t="shared" si="86"/>
        <v>5.3072625698324022E-2</v>
      </c>
      <c r="F166" s="22">
        <f>IF(ISNUMBER(D166), $B172 * E166, "")</f>
        <v>7960.8938547486032</v>
      </c>
      <c r="G166" s="30">
        <v>364</v>
      </c>
      <c r="H166" s="21">
        <f t="shared" si="87"/>
        <v>1.6759776536312849E-2</v>
      </c>
      <c r="I166" s="105">
        <f>IF(ISNUMBER(G166), $B172 * H166, "")</f>
        <v>2513.9664804469271</v>
      </c>
      <c r="J166" s="20">
        <v>366</v>
      </c>
      <c r="K166" s="21">
        <f t="shared" si="88"/>
        <v>2.23463687150838E-2</v>
      </c>
      <c r="L166" s="22">
        <f>IF(ISNUMBER(J166), $B172 * K166, "")</f>
        <v>3351.9553072625699</v>
      </c>
      <c r="M166" s="30"/>
      <c r="N166" s="21" t="str">
        <f t="shared" si="89"/>
        <v/>
      </c>
      <c r="O166" s="22" t="str">
        <f>IF(ISNUMBER(M166), $B172 * N166, "")</f>
        <v/>
      </c>
      <c r="Q166" s="202"/>
      <c r="R166" s="202"/>
      <c r="S166" s="202"/>
    </row>
    <row r="167" spans="1:19" ht="17.25" thickBot="1">
      <c r="A167" s="125" t="s">
        <v>190</v>
      </c>
      <c r="B167" s="129">
        <v>423</v>
      </c>
      <c r="C167" s="80">
        <v>-3.2036613300000003E-2</v>
      </c>
      <c r="D167" s="106">
        <v>474</v>
      </c>
      <c r="E167" s="107">
        <f>IF(ISNUMBER(D167), (D167 - $B167) / $B167, "")</f>
        <v>0.12056737588652482</v>
      </c>
      <c r="F167" s="108">
        <f>IF(ISNUMBER(D167), $B172 * E167, "")</f>
        <v>18085.106382978724</v>
      </c>
      <c r="G167" s="109">
        <v>452</v>
      </c>
      <c r="H167" s="107">
        <f>IF(ISNUMBER(G167), (G167 - $B167) / $B167, "")</f>
        <v>6.8557919621749411E-2</v>
      </c>
      <c r="I167" s="110">
        <f>IF(ISNUMBER(G167), $B172 * H167, "")</f>
        <v>10283.687943262412</v>
      </c>
      <c r="J167" s="106">
        <v>466</v>
      </c>
      <c r="K167" s="107">
        <f>IF(ISNUMBER(J167), (J167 - $B167) / $B167, "")</f>
        <v>0.10165484633569739</v>
      </c>
      <c r="L167" s="108">
        <f>IF(ISNUMBER(J167), $B172 * K167, "")</f>
        <v>15248.226950354609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2"/>
      <c r="R167" s="192"/>
      <c r="S167" s="192"/>
    </row>
    <row r="168" spans="1:19" ht="17.25" thickBot="1">
      <c r="A168" s="125" t="s">
        <v>54</v>
      </c>
      <c r="B168" s="126">
        <v>477</v>
      </c>
      <c r="C168" s="77">
        <v>-3.4412955500000002E-2</v>
      </c>
      <c r="D168" s="15">
        <v>466</v>
      </c>
      <c r="E168" s="32">
        <f t="shared" ref="E168:E171" si="90">IF(ISNUMBER(D168), (D168 - $B168) / $B168, "")</f>
        <v>-2.3060796645702306E-2</v>
      </c>
      <c r="F168" s="18">
        <f>IF(ISNUMBER(D168), $B172 * E168, "")</f>
        <v>-3459.1194968553459</v>
      </c>
      <c r="G168" s="31">
        <v>453</v>
      </c>
      <c r="H168" s="32">
        <f t="shared" ref="H168:H171" si="91">IF(ISNUMBER(G168), (G168 - $B168) / $B168, "")</f>
        <v>-5.0314465408805034E-2</v>
      </c>
      <c r="I168" s="101">
        <f>IF(ISNUMBER(G168), $B172 * H168, "")</f>
        <v>-7547.1698113207549</v>
      </c>
      <c r="J168" s="15">
        <v>454</v>
      </c>
      <c r="K168" s="32">
        <f t="shared" ref="K168:K171" si="92">IF(ISNUMBER(J168), (J168 - $B168) / $B168, "")</f>
        <v>-4.8218029350104823E-2</v>
      </c>
      <c r="L168" s="18">
        <f>IF(ISNUMBER(J168), $B172 * K168, "")</f>
        <v>-7232.7044025157238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2"/>
      <c r="R168" s="192"/>
      <c r="S168" s="192"/>
    </row>
    <row r="169" spans="1:19" ht="17.25" thickBot="1">
      <c r="A169" s="125" t="s">
        <v>230</v>
      </c>
      <c r="B169" s="126">
        <v>814</v>
      </c>
      <c r="C169" s="77">
        <v>-3.6686390499999999E-2</v>
      </c>
      <c r="D169" s="15">
        <v>1350</v>
      </c>
      <c r="E169" s="32">
        <f t="shared" si="90"/>
        <v>0.65847665847665848</v>
      </c>
      <c r="F169" s="18">
        <f>IF(ISNUMBER(D169), $B172 * E169, "")</f>
        <v>98771.498771498766</v>
      </c>
      <c r="G169" s="31">
        <v>1410</v>
      </c>
      <c r="H169" s="32">
        <f t="shared" si="91"/>
        <v>0.73218673218673214</v>
      </c>
      <c r="I169" s="101">
        <f>IF(ISNUMBER(G169), $B172 * H169, "")</f>
        <v>109828.00982800982</v>
      </c>
      <c r="J169" s="15">
        <v>1360</v>
      </c>
      <c r="K169" s="32">
        <f t="shared" si="92"/>
        <v>0.67076167076167081</v>
      </c>
      <c r="L169" s="18">
        <f>IF(ISNUMBER(J169), $B172 * K169, "")</f>
        <v>100614.25061425062</v>
      </c>
      <c r="M169" s="31"/>
      <c r="N169" s="32" t="str">
        <f t="shared" si="93"/>
        <v/>
      </c>
      <c r="O169" s="18" t="str">
        <f>IF(ISNUMBER(M169), $B172 * N169, "")</f>
        <v/>
      </c>
      <c r="Q169" s="192"/>
      <c r="R169" s="192"/>
      <c r="S169" s="192"/>
    </row>
    <row r="170" spans="1:19">
      <c r="A170" s="125" t="s">
        <v>162</v>
      </c>
      <c r="B170" s="126">
        <v>811</v>
      </c>
      <c r="C170" s="77">
        <v>-3.6817102099999999E-2</v>
      </c>
      <c r="D170" s="15">
        <v>846</v>
      </c>
      <c r="E170" s="32">
        <f t="shared" si="90"/>
        <v>4.3156596794081382E-2</v>
      </c>
      <c r="F170" s="18">
        <f>IF(ISNUMBER(D170), $B172 * E170, "")</f>
        <v>6473.4895191122077</v>
      </c>
      <c r="G170" s="31">
        <v>812</v>
      </c>
      <c r="H170" s="32">
        <f t="shared" si="91"/>
        <v>1.2330456226880395E-3</v>
      </c>
      <c r="I170" s="101">
        <f>IF(ISNUMBER(G170), $B172 * H170, "")</f>
        <v>184.95684340320591</v>
      </c>
      <c r="J170" s="15">
        <v>822</v>
      </c>
      <c r="K170" s="32">
        <f t="shared" si="92"/>
        <v>1.3563501849568433E-2</v>
      </c>
      <c r="L170" s="18">
        <f>IF(ISNUMBER(J170), $B172 * K170, "")</f>
        <v>2034.525277435265</v>
      </c>
      <c r="M170" s="31"/>
      <c r="N170" s="32" t="str">
        <f t="shared" si="93"/>
        <v/>
      </c>
      <c r="O170" s="18" t="str">
        <f>IF(ISNUMBER(M170), $B172 * N170, "")</f>
        <v/>
      </c>
      <c r="Q170" s="181"/>
      <c r="R170" s="182"/>
      <c r="S170" s="183"/>
    </row>
    <row r="171" spans="1:19" ht="17.25" thickBot="1">
      <c r="A171" s="130" t="s">
        <v>112</v>
      </c>
      <c r="B171" s="131">
        <v>955</v>
      </c>
      <c r="C171" s="79">
        <v>-5.4455445499999998E-2</v>
      </c>
      <c r="D171" s="24">
        <v>970</v>
      </c>
      <c r="E171" s="25">
        <f t="shared" si="90"/>
        <v>1.5706806282722512E-2</v>
      </c>
      <c r="F171" s="104">
        <f>IF(ISNUMBER(D171), $B172 * E171, "")</f>
        <v>2356.0209424083769</v>
      </c>
      <c r="G171" s="102">
        <v>926</v>
      </c>
      <c r="H171" s="25">
        <f t="shared" si="91"/>
        <v>-3.0366492146596858E-2</v>
      </c>
      <c r="I171" s="103">
        <f>IF(ISNUMBER(G171), $B172 * H171, "")</f>
        <v>-4554.9738219895289</v>
      </c>
      <c r="J171" s="24">
        <v>928</v>
      </c>
      <c r="K171" s="25">
        <f t="shared" si="92"/>
        <v>-2.8272251308900525E-2</v>
      </c>
      <c r="L171" s="104">
        <f>IF(ISNUMBER(J171), $B172 * K171, "")</f>
        <v>-4240.8376963350784</v>
      </c>
      <c r="M171" s="102"/>
      <c r="N171" s="25" t="str">
        <f t="shared" si="93"/>
        <v/>
      </c>
      <c r="O171" s="104" t="str">
        <f>IF(ISNUMBER(M171), $B172 * N171, "")</f>
        <v/>
      </c>
      <c r="Q171" s="184"/>
      <c r="R171" s="185"/>
      <c r="S171" s="186"/>
    </row>
    <row r="172" spans="1:19" ht="17.25" thickBot="1">
      <c r="A172" s="132" t="s">
        <v>268</v>
      </c>
      <c r="B172" s="245">
        <f>$B$37</f>
        <v>150000</v>
      </c>
      <c r="C172" s="246"/>
      <c r="D172" s="26" t="s">
        <v>269</v>
      </c>
      <c r="E172" s="27">
        <f>IF(COUNT(E152:E171), SUM(E152:E171) / COUNT(E152:E171), 0)</f>
        <v>7.9455375868894243E-2</v>
      </c>
      <c r="F172" s="28">
        <f>SUM(F152:F171)</f>
        <v>238366.12760668274</v>
      </c>
      <c r="G172" s="26" t="s">
        <v>269</v>
      </c>
      <c r="H172" s="27">
        <f>IF(COUNT(H152:H171), SUM(H152:H171) / COUNT(H152:H171), 0)</f>
        <v>5.1330997834571776E-2</v>
      </c>
      <c r="I172" s="28">
        <f>SUM(I152:I171)</f>
        <v>153992.99350371532</v>
      </c>
      <c r="J172" s="26" t="s">
        <v>269</v>
      </c>
      <c r="K172" s="27">
        <f>IF(COUNT(K152:K171), SUM(K152:K171) / COUNT(K152:K171), 0)</f>
        <v>7.104984805492634E-2</v>
      </c>
      <c r="L172" s="28">
        <f>SUM(L152:L171)</f>
        <v>213149.54416477901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187"/>
      <c r="R172" s="188"/>
      <c r="S172" s="189"/>
    </row>
    <row r="174" spans="1:19" ht="17.25" thickBot="1"/>
    <row r="175" spans="1:19" ht="17.25" thickBot="1">
      <c r="A175" s="203" t="s">
        <v>253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77" t="s">
        <v>265</v>
      </c>
      <c r="B176" s="203" t="s">
        <v>49</v>
      </c>
      <c r="C176" s="205"/>
      <c r="D176" s="203" t="s">
        <v>58</v>
      </c>
      <c r="E176" s="204"/>
      <c r="F176" s="205"/>
      <c r="G176" s="206">
        <f>_xlfn.IFNA(VLOOKUP(B176, 현재가테이블!$B$2:$D$200, 2, FALSE), "-")</f>
        <v>62630000</v>
      </c>
      <c r="H176" s="207"/>
      <c r="I176" s="208"/>
      <c r="J176" s="203" t="s">
        <v>59</v>
      </c>
      <c r="K176" s="204"/>
      <c r="L176" s="205"/>
      <c r="M176" s="209">
        <f>_xlfn.IFNA(VLOOKUP(B176, 현재가테이블!$B$2:$D$200, 3, FALSE), "-")</f>
        <v>1.5632601400000001E-2</v>
      </c>
      <c r="N176" s="210"/>
      <c r="O176" s="211"/>
      <c r="Q176" s="202"/>
      <c r="R176" s="202"/>
      <c r="S176" s="202"/>
    </row>
    <row r="177" spans="1:19" ht="17.25" thickBot="1">
      <c r="A177" s="247" t="s">
        <v>55</v>
      </c>
      <c r="B177" s="243" t="str">
        <f>TEXT($G$1, "[$-ko-KR]yyyy-mm-dd(ddd) ") &amp; "오전 00:00"</f>
        <v>2021-10-06(수) 오전 00:00</v>
      </c>
      <c r="C177" s="244"/>
      <c r="D177" s="216" t="str">
        <f>TEXT($G$1, "[$-ko-KR]yyyy-mm-dd(ddd) ") &amp; "오후 14:00"</f>
        <v>2021-10-06(수) 오후 14:00</v>
      </c>
      <c r="E177" s="217"/>
      <c r="F177" s="218"/>
      <c r="G177" s="216" t="str">
        <f>TEXT($G$1, "[$-ko-KR]yyyy-mm-dd(ddd) ") &amp; "오후 19:00"</f>
        <v>2021-10-06(수) 오후 19:00</v>
      </c>
      <c r="H177" s="217"/>
      <c r="I177" s="218"/>
      <c r="J177" s="216" t="str">
        <f>TEXT($G$1, "[$-ko-KR]yyyy-mm-dd(ddd) ") &amp; "오후 21:00"</f>
        <v>2021-10-06(수) 오후 21:00</v>
      </c>
      <c r="K177" s="217"/>
      <c r="L177" s="218"/>
      <c r="M177" s="216" t="str">
        <f>TEXT($G$1+1, "[$-ko-KR]yyyy-mm-dd(ddd) ") &amp; "오전 00:00"</f>
        <v>2021-10-07(목) 오전 00:00</v>
      </c>
      <c r="N177" s="217"/>
      <c r="O177" s="218"/>
      <c r="Q177" s="202"/>
      <c r="R177" s="202"/>
      <c r="S177" s="202"/>
    </row>
    <row r="178" spans="1:19" ht="17.25" thickBot="1">
      <c r="A178" s="248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8" t="s">
        <v>58</v>
      </c>
      <c r="H178" s="179" t="s">
        <v>266</v>
      </c>
      <c r="I178" s="18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192"/>
      <c r="R178" s="192"/>
      <c r="S178" s="192"/>
    </row>
    <row r="179" spans="1:19" ht="17.25" thickBot="1">
      <c r="A179" s="123" t="s">
        <v>172</v>
      </c>
      <c r="B179" s="124">
        <v>430</v>
      </c>
      <c r="C179" s="76">
        <v>-2.7149321300000001E-2</v>
      </c>
      <c r="D179" s="13">
        <v>449</v>
      </c>
      <c r="E179" s="14">
        <f>IF(ISNUMBER(D179), (D179 - $B179) / $B179, "")</f>
        <v>4.4186046511627906E-2</v>
      </c>
      <c r="F179" s="16">
        <f>IF(ISNUMBER(D179), $B199 * E179, "")</f>
        <v>6627.9069767441861</v>
      </c>
      <c r="G179" s="29">
        <v>437</v>
      </c>
      <c r="H179" s="14">
        <f>IF(ISNUMBER(G179), (G179 - $B179) / $B179, "")</f>
        <v>1.627906976744186E-2</v>
      </c>
      <c r="I179" s="100">
        <f>IF(ISNUMBER(G179), $B199 * H179, "")</f>
        <v>2441.8604651162791</v>
      </c>
      <c r="J179" s="13">
        <v>448</v>
      </c>
      <c r="K179" s="14">
        <f>IF(ISNUMBER(J179), (J179 - $B179) / $B179, "")</f>
        <v>4.1860465116279069E-2</v>
      </c>
      <c r="L179" s="16">
        <f>IF(ISNUMBER(J179), $B199 * K179, "")</f>
        <v>6279.0697674418607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2"/>
      <c r="R179" s="202"/>
      <c r="S179" s="202"/>
    </row>
    <row r="180" spans="1:19" ht="17.25" thickBot="1">
      <c r="A180" s="125" t="s">
        <v>122</v>
      </c>
      <c r="B180" s="126">
        <v>607</v>
      </c>
      <c r="C180" s="77">
        <v>-2.8799999999999999E-2</v>
      </c>
      <c r="D180" s="15">
        <v>663</v>
      </c>
      <c r="E180" s="32">
        <f t="shared" ref="E180:E183" si="94">IF(ISNUMBER(D180), (D180 - $B180) / $B180, "")</f>
        <v>9.2257001647446463E-2</v>
      </c>
      <c r="F180" s="18">
        <f>IF(ISNUMBER(D180), $B199 * E180, "")</f>
        <v>13838.550247116969</v>
      </c>
      <c r="G180" s="31">
        <v>619</v>
      </c>
      <c r="H180" s="32">
        <f t="shared" ref="H180:H183" si="95">IF(ISNUMBER(G180), (G180 - $B180) / $B180, "")</f>
        <v>1.9769357495881382E-2</v>
      </c>
      <c r="I180" s="101">
        <f>IF(ISNUMBER(G180), $B199 * H180, "")</f>
        <v>2965.4036243822075</v>
      </c>
      <c r="J180" s="15">
        <v>635</v>
      </c>
      <c r="K180" s="32">
        <f t="shared" ref="K180:K183" si="96">IF(ISNUMBER(J180), (J180 - $B180) / $B180, "")</f>
        <v>4.6128500823723231E-2</v>
      </c>
      <c r="L180" s="18">
        <f>IF(ISNUMBER(J180), $B199 * K180, "")</f>
        <v>6919.2751235584847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2"/>
      <c r="R180" s="202"/>
      <c r="S180" s="202"/>
    </row>
    <row r="181" spans="1:19" ht="17.25" thickBot="1">
      <c r="A181" s="125" t="s">
        <v>88</v>
      </c>
      <c r="B181" s="126">
        <v>237900</v>
      </c>
      <c r="C181" s="77">
        <v>-2.8979591799999999E-2</v>
      </c>
      <c r="D181" s="15">
        <v>235950</v>
      </c>
      <c r="E181" s="32">
        <f t="shared" si="94"/>
        <v>-8.1967213114754103E-3</v>
      </c>
      <c r="F181" s="18">
        <f>IF(ISNUMBER(D181), $B199 * E181, "")</f>
        <v>-1229.5081967213116</v>
      </c>
      <c r="G181" s="31">
        <v>233700</v>
      </c>
      <c r="H181" s="32">
        <f t="shared" si="95"/>
        <v>-1.7654476670870115E-2</v>
      </c>
      <c r="I181" s="101">
        <f>IF(ISNUMBER(G181), $B199 * H181, "")</f>
        <v>-2648.1715006305171</v>
      </c>
      <c r="J181" s="15">
        <v>231550</v>
      </c>
      <c r="K181" s="32">
        <f t="shared" si="96"/>
        <v>-2.6691887347625051E-2</v>
      </c>
      <c r="L181" s="18">
        <f>IF(ISNUMBER(J181), $B199 * K181, "")</f>
        <v>-4003.7831021437578</v>
      </c>
      <c r="M181" s="31"/>
      <c r="N181" s="32" t="str">
        <f t="shared" si="97"/>
        <v/>
      </c>
      <c r="O181" s="18" t="str">
        <f>IF(ISNUMBER(M181), $B199 * N181, "")</f>
        <v/>
      </c>
      <c r="Q181" s="192"/>
      <c r="R181" s="192"/>
      <c r="S181" s="192"/>
    </row>
    <row r="182" spans="1:19" ht="17.25" thickBot="1">
      <c r="A182" s="125" t="s">
        <v>228</v>
      </c>
      <c r="B182" s="126">
        <v>358</v>
      </c>
      <c r="C182" s="77">
        <v>-2.98102981E-2</v>
      </c>
      <c r="D182" s="15">
        <v>377</v>
      </c>
      <c r="E182" s="32">
        <f t="shared" si="94"/>
        <v>5.3072625698324022E-2</v>
      </c>
      <c r="F182" s="18">
        <f>IF(ISNUMBER(D182), $B199 * E182, "")</f>
        <v>7960.8938547486032</v>
      </c>
      <c r="G182" s="31">
        <v>364</v>
      </c>
      <c r="H182" s="32">
        <f t="shared" si="95"/>
        <v>1.6759776536312849E-2</v>
      </c>
      <c r="I182" s="101">
        <f>IF(ISNUMBER(G182), $B199 * H182, "")</f>
        <v>2513.9664804469271</v>
      </c>
      <c r="J182" s="15">
        <v>366</v>
      </c>
      <c r="K182" s="32">
        <f t="shared" si="96"/>
        <v>2.23463687150838E-2</v>
      </c>
      <c r="L182" s="18">
        <f>IF(ISNUMBER(J182), $B199 * K182, "")</f>
        <v>3351.9553072625699</v>
      </c>
      <c r="M182" s="31"/>
      <c r="N182" s="32" t="str">
        <f t="shared" si="97"/>
        <v/>
      </c>
      <c r="O182" s="18" t="str">
        <f>IF(ISNUMBER(M182), $B199 * N182, "")</f>
        <v/>
      </c>
      <c r="Q182" s="192"/>
      <c r="R182" s="192"/>
      <c r="S182" s="192"/>
    </row>
    <row r="183" spans="1:19" ht="17.25" thickBot="1">
      <c r="A183" s="127" t="s">
        <v>190</v>
      </c>
      <c r="B183" s="128">
        <v>423</v>
      </c>
      <c r="C183" s="78">
        <v>-3.2036613300000003E-2</v>
      </c>
      <c r="D183" s="20">
        <v>474</v>
      </c>
      <c r="E183" s="21">
        <f t="shared" si="94"/>
        <v>0.12056737588652482</v>
      </c>
      <c r="F183" s="22">
        <f>IF(ISNUMBER(D183), $B199 * E183, "")</f>
        <v>18085.106382978724</v>
      </c>
      <c r="G183" s="30">
        <v>452</v>
      </c>
      <c r="H183" s="21">
        <f t="shared" si="95"/>
        <v>6.8557919621749411E-2</v>
      </c>
      <c r="I183" s="105">
        <f>IF(ISNUMBER(G183), $B199 * H183, "")</f>
        <v>10283.687943262412</v>
      </c>
      <c r="J183" s="20">
        <v>466</v>
      </c>
      <c r="K183" s="21">
        <f t="shared" si="96"/>
        <v>0.10165484633569739</v>
      </c>
      <c r="L183" s="22">
        <f>IF(ISNUMBER(J183), $B199 * K183, "")</f>
        <v>15248.226950354609</v>
      </c>
      <c r="M183" s="30"/>
      <c r="N183" s="21" t="str">
        <f t="shared" si="97"/>
        <v/>
      </c>
      <c r="O183" s="22" t="str">
        <f>IF(ISNUMBER(M183), $B199 * N183, "")</f>
        <v/>
      </c>
      <c r="Q183" s="192"/>
      <c r="R183" s="192"/>
      <c r="S183" s="192"/>
    </row>
    <row r="184" spans="1:19" ht="17.25" thickBot="1">
      <c r="A184" s="125" t="s">
        <v>222</v>
      </c>
      <c r="B184" s="129">
        <v>4500</v>
      </c>
      <c r="C184" s="80">
        <v>-3.2258064500000003E-2</v>
      </c>
      <c r="D184" s="106">
        <v>4750</v>
      </c>
      <c r="E184" s="107">
        <f>IF(ISNUMBER(D184), (D184 - $B184) / $B184, "")</f>
        <v>5.5555555555555552E-2</v>
      </c>
      <c r="F184" s="108">
        <f>IF(ISNUMBER(D184), $B199 * E184, "")</f>
        <v>8333.3333333333321</v>
      </c>
      <c r="G184" s="109">
        <v>4485</v>
      </c>
      <c r="H184" s="107">
        <f>IF(ISNUMBER(G184), (G184 - $B184) / $B184, "")</f>
        <v>-3.3333333333333335E-3</v>
      </c>
      <c r="I184" s="110">
        <f>IF(ISNUMBER(G184), $B199 * H184, "")</f>
        <v>-500.00000000000006</v>
      </c>
      <c r="J184" s="106">
        <v>4515</v>
      </c>
      <c r="K184" s="107">
        <f>IF(ISNUMBER(J184), (J184 - $B184) / $B184, "")</f>
        <v>3.3333333333333335E-3</v>
      </c>
      <c r="L184" s="108">
        <f>IF(ISNUMBER(J184), $B199 * K184, "")</f>
        <v>500.00000000000006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2"/>
      <c r="R184" s="192"/>
      <c r="S184" s="192"/>
    </row>
    <row r="185" spans="1:19" ht="17.25" thickBot="1">
      <c r="A185" s="125" t="s">
        <v>54</v>
      </c>
      <c r="B185" s="126">
        <v>477</v>
      </c>
      <c r="C185" s="77">
        <v>-3.4412955500000002E-2</v>
      </c>
      <c r="D185" s="15">
        <v>466</v>
      </c>
      <c r="E185" s="32">
        <f t="shared" ref="E185:E188" si="98">IF(ISNUMBER(D185), (D185 - $B185) / $B185, "")</f>
        <v>-2.3060796645702306E-2</v>
      </c>
      <c r="F185" s="18">
        <f>IF(ISNUMBER(D185), $B199 * E185, "")</f>
        <v>-3459.1194968553459</v>
      </c>
      <c r="G185" s="31">
        <v>453</v>
      </c>
      <c r="H185" s="32">
        <f t="shared" ref="H185:H188" si="99">IF(ISNUMBER(G185), (G185 - $B185) / $B185, "")</f>
        <v>-5.0314465408805034E-2</v>
      </c>
      <c r="I185" s="101">
        <f>IF(ISNUMBER(G185), $B199 * H185, "")</f>
        <v>-7547.1698113207549</v>
      </c>
      <c r="J185" s="15">
        <v>454</v>
      </c>
      <c r="K185" s="32">
        <f t="shared" ref="K185:K188" si="100">IF(ISNUMBER(J185), (J185 - $B185) / $B185, "")</f>
        <v>-4.8218029350104823E-2</v>
      </c>
      <c r="L185" s="18">
        <f>IF(ISNUMBER(J185), $B199 * K185, "")</f>
        <v>-7232.7044025157238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2"/>
      <c r="R185" s="192"/>
      <c r="S185" s="192"/>
    </row>
    <row r="186" spans="1:19" ht="17.25" thickBot="1">
      <c r="A186" s="125" t="s">
        <v>328</v>
      </c>
      <c r="B186" s="126">
        <v>0.27600000000000002</v>
      </c>
      <c r="C186" s="77">
        <v>-3.4965034999999998E-2</v>
      </c>
      <c r="D186" s="15">
        <v>0.27</v>
      </c>
      <c r="E186" s="32">
        <f t="shared" si="98"/>
        <v>-2.1739130434782625E-2</v>
      </c>
      <c r="F186" s="18">
        <f>IF(ISNUMBER(D186), $B199 * E186, "")</f>
        <v>-3260.8695652173938</v>
      </c>
      <c r="G186" s="31">
        <v>0.26500000000000001</v>
      </c>
      <c r="H186" s="32">
        <f t="shared" si="99"/>
        <v>-3.9855072463768147E-2</v>
      </c>
      <c r="I186" s="101">
        <f>IF(ISNUMBER(G186), $B199 * H186, "")</f>
        <v>-5978.2608695652225</v>
      </c>
      <c r="J186" s="15">
        <v>0.26400000000000001</v>
      </c>
      <c r="K186" s="32">
        <f t="shared" si="100"/>
        <v>-4.3478260869565251E-2</v>
      </c>
      <c r="L186" s="18">
        <f>IF(ISNUMBER(J186), $B199 * K186, "")</f>
        <v>-6521.7391304347875</v>
      </c>
      <c r="M186" s="31"/>
      <c r="N186" s="32" t="str">
        <f t="shared" si="101"/>
        <v/>
      </c>
      <c r="O186" s="18" t="str">
        <f>IF(ISNUMBER(M186), $B199 * N186, "")</f>
        <v/>
      </c>
      <c r="Q186" s="192"/>
      <c r="R186" s="192"/>
      <c r="S186" s="192"/>
    </row>
    <row r="187" spans="1:19" ht="17.25" thickBot="1">
      <c r="A187" s="125" t="s">
        <v>230</v>
      </c>
      <c r="B187" s="126">
        <v>814</v>
      </c>
      <c r="C187" s="77">
        <v>-3.6686390499999999E-2</v>
      </c>
      <c r="D187" s="15">
        <v>1350</v>
      </c>
      <c r="E187" s="32">
        <f t="shared" si="98"/>
        <v>0.65847665847665848</v>
      </c>
      <c r="F187" s="18">
        <f>IF(ISNUMBER(D187), $B199 * E187, "")</f>
        <v>98771.498771498766</v>
      </c>
      <c r="G187" s="31">
        <v>1410</v>
      </c>
      <c r="H187" s="32">
        <f t="shared" si="99"/>
        <v>0.73218673218673214</v>
      </c>
      <c r="I187" s="101">
        <f>IF(ISNUMBER(G187), $B199 * H187, "")</f>
        <v>109828.00982800982</v>
      </c>
      <c r="J187" s="15">
        <v>1360</v>
      </c>
      <c r="K187" s="32">
        <f t="shared" si="100"/>
        <v>0.67076167076167081</v>
      </c>
      <c r="L187" s="18">
        <f>IF(ISNUMBER(J187), $B199 * K187, "")</f>
        <v>100614.25061425062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162</v>
      </c>
      <c r="B188" s="131">
        <v>811</v>
      </c>
      <c r="C188" s="79">
        <v>-3.6817102099999999E-2</v>
      </c>
      <c r="D188" s="24">
        <v>846</v>
      </c>
      <c r="E188" s="25">
        <f t="shared" si="98"/>
        <v>4.3156596794081382E-2</v>
      </c>
      <c r="F188" s="104">
        <f>IF(ISNUMBER(D188), $B199 * E188, "")</f>
        <v>6473.4895191122077</v>
      </c>
      <c r="G188" s="102">
        <v>812</v>
      </c>
      <c r="H188" s="25">
        <f t="shared" si="99"/>
        <v>1.2330456226880395E-3</v>
      </c>
      <c r="I188" s="103">
        <f>IF(ISNUMBER(G188), $B199 * H188, "")</f>
        <v>184.95684340320591</v>
      </c>
      <c r="J188" s="24">
        <v>822</v>
      </c>
      <c r="K188" s="25">
        <f t="shared" si="100"/>
        <v>1.3563501849568433E-2</v>
      </c>
      <c r="L188" s="104">
        <f>IF(ISNUMBER(J188), $B199 * K188, "")</f>
        <v>2034.525277435265</v>
      </c>
      <c r="M188" s="102"/>
      <c r="N188" s="25" t="str">
        <f t="shared" si="101"/>
        <v/>
      </c>
      <c r="O188" s="104" t="str">
        <f>IF(ISNUMBER(M188), $B199 * N188, "")</f>
        <v/>
      </c>
      <c r="Q188" s="193"/>
      <c r="R188" s="194"/>
      <c r="S188" s="195"/>
    </row>
    <row r="189" spans="1:19">
      <c r="A189" s="123" t="s">
        <v>212</v>
      </c>
      <c r="B189" s="124">
        <v>1005</v>
      </c>
      <c r="C189" s="76">
        <v>-3.8277512E-2</v>
      </c>
      <c r="D189" s="13">
        <v>1075</v>
      </c>
      <c r="E189" s="14">
        <f>IF(ISNUMBER(D189), (D189 - $B189) / $B189, "")</f>
        <v>6.965174129353234E-2</v>
      </c>
      <c r="F189" s="16">
        <f>IF(ISNUMBER(D189), $B199 * E189, "")</f>
        <v>10447.76119402985</v>
      </c>
      <c r="G189" s="29">
        <v>1030</v>
      </c>
      <c r="H189" s="14">
        <f>IF(ISNUMBER(G189), (G189 - $B189) / $B189, "")</f>
        <v>2.4875621890547265E-2</v>
      </c>
      <c r="I189" s="100">
        <f>IF(ISNUMBER(G189), $B199 * H189, "")</f>
        <v>3731.34328358209</v>
      </c>
      <c r="J189" s="13">
        <v>1025</v>
      </c>
      <c r="K189" s="14">
        <f>IF(ISNUMBER(J189), (J189 - $B189) / $B189, "")</f>
        <v>1.9900497512437811E-2</v>
      </c>
      <c r="L189" s="16">
        <f>IF(ISNUMBER(J189), $B199 * K189, "")</f>
        <v>2985.0746268656717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6"/>
      <c r="R189" s="197"/>
      <c r="S189" s="198"/>
    </row>
    <row r="190" spans="1:19" ht="17.25" thickBot="1">
      <c r="A190" s="125" t="s">
        <v>69</v>
      </c>
      <c r="B190" s="126">
        <v>10040</v>
      </c>
      <c r="C190" s="77">
        <v>-3.8314176200000001E-2</v>
      </c>
      <c r="D190" s="15">
        <v>9815</v>
      </c>
      <c r="E190" s="32">
        <f t="shared" ref="E190:E193" si="102">IF(ISNUMBER(D190), (D190 - $B190) / $B190, "")</f>
        <v>-2.2410358565737053E-2</v>
      </c>
      <c r="F190" s="18">
        <f>IF(ISNUMBER(D190), $B199 * E190, "")</f>
        <v>-3361.5537848605577</v>
      </c>
      <c r="G190" s="31">
        <v>9565</v>
      </c>
      <c r="H190" s="32">
        <f t="shared" ref="H190:H193" si="103">IF(ISNUMBER(G190), (G190 - $B190) / $B190, "")</f>
        <v>-4.7310756972111553E-2</v>
      </c>
      <c r="I190" s="101">
        <f>IF(ISNUMBER(G190), $B199 * H190, "")</f>
        <v>-7096.6135458167328</v>
      </c>
      <c r="J190" s="15">
        <v>9560</v>
      </c>
      <c r="K190" s="32">
        <f t="shared" ref="K190:K193" si="104">IF(ISNUMBER(J190), (J190 - $B190) / $B190, "")</f>
        <v>-4.7808764940239043E-2</v>
      </c>
      <c r="L190" s="18">
        <f>IF(ISNUMBER(J190), $B199 * K190, "")</f>
        <v>-7171.3147410358561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9"/>
      <c r="R190" s="200"/>
      <c r="S190" s="201"/>
    </row>
    <row r="191" spans="1:19" ht="17.25" thickBot="1">
      <c r="A191" s="125" t="s">
        <v>166</v>
      </c>
      <c r="B191" s="126">
        <v>1665</v>
      </c>
      <c r="C191" s="77">
        <v>-4.0345821300000001E-2</v>
      </c>
      <c r="D191" s="15">
        <v>1700</v>
      </c>
      <c r="E191" s="32">
        <f t="shared" si="102"/>
        <v>2.1021021021021023E-2</v>
      </c>
      <c r="F191" s="18">
        <f>IF(ISNUMBER(D191), $B199 * E191, "")</f>
        <v>3153.1531531531532</v>
      </c>
      <c r="G191" s="31">
        <v>1705</v>
      </c>
      <c r="H191" s="32">
        <f t="shared" si="103"/>
        <v>2.4024024024024024E-2</v>
      </c>
      <c r="I191" s="101">
        <f>IF(ISNUMBER(G191), $B199 * H191, "")</f>
        <v>3603.6036036036035</v>
      </c>
      <c r="J191" s="15">
        <v>1700</v>
      </c>
      <c r="K191" s="32">
        <f t="shared" si="104"/>
        <v>2.1021021021021023E-2</v>
      </c>
      <c r="L191" s="18">
        <f>IF(ISNUMBER(J191), $B199 * K191, "")</f>
        <v>3153.1531531531532</v>
      </c>
      <c r="M191" s="31"/>
      <c r="N191" s="32" t="str">
        <f t="shared" si="105"/>
        <v/>
      </c>
      <c r="O191" s="18" t="str">
        <f>IF(ISNUMBER(M191), $B199 * N191, "")</f>
        <v/>
      </c>
      <c r="Q191" s="192"/>
      <c r="R191" s="192"/>
      <c r="S191" s="192"/>
    </row>
    <row r="192" spans="1:19" ht="17.25" thickBot="1">
      <c r="A192" s="125" t="s">
        <v>152</v>
      </c>
      <c r="B192" s="126">
        <v>156700</v>
      </c>
      <c r="C192" s="77">
        <v>-4.8284239299999997E-2</v>
      </c>
      <c r="D192" s="15">
        <v>153750</v>
      </c>
      <c r="E192" s="32">
        <f t="shared" si="102"/>
        <v>-1.8825781748564134E-2</v>
      </c>
      <c r="F192" s="18">
        <f>IF(ISNUMBER(D192), $B199 * E192, "")</f>
        <v>-2823.8672622846202</v>
      </c>
      <c r="G192" s="31">
        <v>154150</v>
      </c>
      <c r="H192" s="32">
        <f t="shared" si="103"/>
        <v>-1.6273133375877474E-2</v>
      </c>
      <c r="I192" s="101">
        <f>IF(ISNUMBER(G192), $B199 * H192, "")</f>
        <v>-2440.9700063816213</v>
      </c>
      <c r="J192" s="15">
        <v>151400</v>
      </c>
      <c r="K192" s="32">
        <f t="shared" si="104"/>
        <v>-3.3822590938098279E-2</v>
      </c>
      <c r="L192" s="18">
        <f>IF(ISNUMBER(J192), $B199 * K192, "")</f>
        <v>-5073.388640714742</v>
      </c>
      <c r="M192" s="31"/>
      <c r="N192" s="32" t="str">
        <f t="shared" si="105"/>
        <v/>
      </c>
      <c r="O192" s="18" t="str">
        <f>IF(ISNUMBER(M192), $B199 * N192, "")</f>
        <v/>
      </c>
      <c r="Q192" s="202"/>
      <c r="R192" s="202"/>
      <c r="S192" s="202"/>
    </row>
    <row r="193" spans="1:19" ht="17.25" thickBot="1">
      <c r="A193" s="127" t="s">
        <v>196</v>
      </c>
      <c r="B193" s="128">
        <v>24200</v>
      </c>
      <c r="C193" s="78">
        <v>-5.0235478799999997E-2</v>
      </c>
      <c r="D193" s="20">
        <v>24040</v>
      </c>
      <c r="E193" s="21">
        <f t="shared" si="102"/>
        <v>-6.6115702479338841E-3</v>
      </c>
      <c r="F193" s="22">
        <f>IF(ISNUMBER(D193), $B199 * E193, "")</f>
        <v>-991.7355371900826</v>
      </c>
      <c r="G193" s="30">
        <v>23510</v>
      </c>
      <c r="H193" s="21">
        <f t="shared" si="103"/>
        <v>-2.8512396694214875E-2</v>
      </c>
      <c r="I193" s="105">
        <f>IF(ISNUMBER(G193), $B199 * H193, "")</f>
        <v>-4276.8595041322315</v>
      </c>
      <c r="J193" s="20">
        <v>23410</v>
      </c>
      <c r="K193" s="21">
        <f t="shared" si="104"/>
        <v>-3.2644628099173553E-2</v>
      </c>
      <c r="L193" s="22">
        <f>IF(ISNUMBER(J193), $B199 * K193, "")</f>
        <v>-4896.6942148760327</v>
      </c>
      <c r="M193" s="30"/>
      <c r="N193" s="21" t="str">
        <f t="shared" si="105"/>
        <v/>
      </c>
      <c r="O193" s="22" t="str">
        <f>IF(ISNUMBER(M193), $B199 * N193, "")</f>
        <v/>
      </c>
      <c r="Q193" s="202"/>
      <c r="R193" s="202"/>
      <c r="S193" s="202"/>
    </row>
    <row r="194" spans="1:19" ht="17.25" thickBot="1">
      <c r="A194" s="125" t="s">
        <v>112</v>
      </c>
      <c r="B194" s="129">
        <v>955</v>
      </c>
      <c r="C194" s="80">
        <v>-5.4455445499999998E-2</v>
      </c>
      <c r="D194" s="106">
        <v>970</v>
      </c>
      <c r="E194" s="107">
        <f>IF(ISNUMBER(D194), (D194 - $B194) / $B194, "")</f>
        <v>1.5706806282722512E-2</v>
      </c>
      <c r="F194" s="108">
        <f>IF(ISNUMBER(D194), $B199 * E194, "")</f>
        <v>2356.0209424083769</v>
      </c>
      <c r="G194" s="109">
        <v>926</v>
      </c>
      <c r="H194" s="107">
        <f>IF(ISNUMBER(G194), (G194 - $B194) / $B194, "")</f>
        <v>-3.0366492146596858E-2</v>
      </c>
      <c r="I194" s="110">
        <f>IF(ISNUMBER(G194), $B199 * H194, "")</f>
        <v>-4554.9738219895289</v>
      </c>
      <c r="J194" s="106">
        <v>928</v>
      </c>
      <c r="K194" s="107">
        <f>IF(ISNUMBER(J194), (J194 - $B194) / $B194, "")</f>
        <v>-2.8272251308900525E-2</v>
      </c>
      <c r="L194" s="108">
        <f>IF(ISNUMBER(J194), $B199 * K194, "")</f>
        <v>-4240.8376963350784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2"/>
      <c r="R194" s="192"/>
      <c r="S194" s="192"/>
    </row>
    <row r="195" spans="1:19" ht="17.25" thickBot="1">
      <c r="A195" s="125" t="s">
        <v>138</v>
      </c>
      <c r="B195" s="126">
        <v>19020</v>
      </c>
      <c r="C195" s="77">
        <v>-6.0740740699999997E-2</v>
      </c>
      <c r="D195" s="15">
        <v>17500</v>
      </c>
      <c r="E195" s="32">
        <f t="shared" ref="E195:E198" si="106">IF(ISNUMBER(D195), (D195 - $B195) / $B195, "")</f>
        <v>-7.9915878023133546E-2</v>
      </c>
      <c r="F195" s="18">
        <f>IF(ISNUMBER(D195), $B199 * E195, "")</f>
        <v>-11987.381703470031</v>
      </c>
      <c r="G195" s="31">
        <v>17350</v>
      </c>
      <c r="H195" s="32">
        <f t="shared" ref="H195:H198" si="107">IF(ISNUMBER(G195), (G195 - $B195) / $B195, "")</f>
        <v>-8.7802313354363823E-2</v>
      </c>
      <c r="I195" s="101">
        <f>IF(ISNUMBER(G195), $B199 * H195, "")</f>
        <v>-13170.347003154573</v>
      </c>
      <c r="J195" s="15">
        <v>17120</v>
      </c>
      <c r="K195" s="32">
        <f t="shared" ref="K195:K198" si="108">IF(ISNUMBER(J195), (J195 - $B195) / $B195, "")</f>
        <v>-9.9894847528916933E-2</v>
      </c>
      <c r="L195" s="18">
        <f>IF(ISNUMBER(J195), $B199 * K195, "")</f>
        <v>-14984.22712933754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2"/>
      <c r="R195" s="192"/>
      <c r="S195" s="192"/>
    </row>
    <row r="196" spans="1:19" ht="17.25" thickBot="1">
      <c r="A196" s="125" t="s">
        <v>178</v>
      </c>
      <c r="B196" s="126">
        <v>15690</v>
      </c>
      <c r="C196" s="77">
        <v>-6.1602870800000001E-2</v>
      </c>
      <c r="D196" s="15">
        <v>15600</v>
      </c>
      <c r="E196" s="32">
        <f t="shared" si="106"/>
        <v>-5.7361376673040155E-3</v>
      </c>
      <c r="F196" s="18">
        <f>IF(ISNUMBER(D196), $B199 * E196, "")</f>
        <v>-860.42065009560235</v>
      </c>
      <c r="G196" s="31">
        <v>15050</v>
      </c>
      <c r="H196" s="32">
        <f t="shared" si="107"/>
        <v>-4.0790312300828552E-2</v>
      </c>
      <c r="I196" s="101">
        <f>IF(ISNUMBER(G196), $B199 * H196, "")</f>
        <v>-6118.5468451242832</v>
      </c>
      <c r="J196" s="15">
        <v>15070</v>
      </c>
      <c r="K196" s="32">
        <f t="shared" si="108"/>
        <v>-3.9515615041427664E-2</v>
      </c>
      <c r="L196" s="18">
        <f>IF(ISNUMBER(J196), $B199 * K196, "")</f>
        <v>-5927.3422562141495</v>
      </c>
      <c r="M196" s="31"/>
      <c r="N196" s="32" t="str">
        <f t="shared" si="109"/>
        <v/>
      </c>
      <c r="O196" s="18" t="str">
        <f>IF(ISNUMBER(M196), $B199 * N196, "")</f>
        <v/>
      </c>
      <c r="Q196" s="192"/>
      <c r="R196" s="192"/>
      <c r="S196" s="192"/>
    </row>
    <row r="197" spans="1:19">
      <c r="A197" s="125" t="s">
        <v>96</v>
      </c>
      <c r="B197" s="126">
        <v>9505</v>
      </c>
      <c r="C197" s="77">
        <v>-6.5388397200000004E-2</v>
      </c>
      <c r="D197" s="15">
        <v>9165</v>
      </c>
      <c r="E197" s="32">
        <f t="shared" si="106"/>
        <v>-3.5770647027880062E-2</v>
      </c>
      <c r="F197" s="18">
        <f>IF(ISNUMBER(D197), $B199 * E197, "")</f>
        <v>-5365.5970541820097</v>
      </c>
      <c r="G197" s="31">
        <v>8920</v>
      </c>
      <c r="H197" s="32">
        <f t="shared" si="107"/>
        <v>-6.1546554445028934E-2</v>
      </c>
      <c r="I197" s="101">
        <f>IF(ISNUMBER(G197), $B199 * H197, "")</f>
        <v>-9231.9831667543403</v>
      </c>
      <c r="J197" s="15">
        <v>9045</v>
      </c>
      <c r="K197" s="32">
        <f t="shared" si="108"/>
        <v>-4.8395581273014202E-2</v>
      </c>
      <c r="L197" s="18">
        <f>IF(ISNUMBER(J197), $B199 * K197, "")</f>
        <v>-7259.3371909521302</v>
      </c>
      <c r="M197" s="31"/>
      <c r="N197" s="32" t="str">
        <f t="shared" si="109"/>
        <v/>
      </c>
      <c r="O197" s="18" t="str">
        <f>IF(ISNUMBER(M197), $B199 * N197, "")</f>
        <v/>
      </c>
      <c r="Q197" s="181"/>
      <c r="R197" s="182"/>
      <c r="S197" s="183"/>
    </row>
    <row r="198" spans="1:19" ht="17.25" thickBot="1">
      <c r="A198" s="130" t="s">
        <v>204</v>
      </c>
      <c r="B198" s="131">
        <v>1025</v>
      </c>
      <c r="C198" s="79">
        <v>-8.4821428599999998E-2</v>
      </c>
      <c r="D198" s="24">
        <v>1060</v>
      </c>
      <c r="E198" s="25">
        <f t="shared" si="106"/>
        <v>3.4146341463414637E-2</v>
      </c>
      <c r="F198" s="104">
        <f>IF(ISNUMBER(D198), $B199 * E198, "")</f>
        <v>5121.9512195121952</v>
      </c>
      <c r="G198" s="102">
        <v>1050</v>
      </c>
      <c r="H198" s="25">
        <f t="shared" si="107"/>
        <v>2.4390243902439025E-2</v>
      </c>
      <c r="I198" s="103">
        <f>IF(ISNUMBER(G198), $B199 * H198, "")</f>
        <v>3658.5365853658536</v>
      </c>
      <c r="J198" s="24">
        <v>1040</v>
      </c>
      <c r="K198" s="25">
        <f t="shared" si="108"/>
        <v>1.4634146341463415E-2</v>
      </c>
      <c r="L198" s="104">
        <f>IF(ISNUMBER(J198), $B199 * K198, "")</f>
        <v>2195.1219512195125</v>
      </c>
      <c r="M198" s="102"/>
      <c r="N198" s="25" t="str">
        <f t="shared" si="109"/>
        <v/>
      </c>
      <c r="O198" s="104" t="str">
        <f>IF(ISNUMBER(M198), $B199 * N198, "")</f>
        <v/>
      </c>
      <c r="Q198" s="184"/>
      <c r="R198" s="185"/>
      <c r="S198" s="186"/>
    </row>
    <row r="199" spans="1:19" ht="17.25" thickBot="1">
      <c r="A199" s="132" t="s">
        <v>268</v>
      </c>
      <c r="B199" s="245">
        <f>$B$37</f>
        <v>150000</v>
      </c>
      <c r="C199" s="246"/>
      <c r="D199" s="26" t="s">
        <v>269</v>
      </c>
      <c r="E199" s="27">
        <f>IF(COUNT(E179:E198), SUM(E179:E198) / COUNT(E179:E198), 0)</f>
        <v>4.9276537447919808E-2</v>
      </c>
      <c r="F199" s="28">
        <f>SUM(F179:F198)</f>
        <v>147829.61234375948</v>
      </c>
      <c r="G199" s="26" t="s">
        <v>269</v>
      </c>
      <c r="H199" s="27">
        <f>IF(COUNT(H179:H198), SUM(H179:H198) / COUNT(H179:H198), 0)</f>
        <v>2.5215824194100865E-2</v>
      </c>
      <c r="I199" s="28">
        <f>SUM(I179:I198)</f>
        <v>75647.472582302609</v>
      </c>
      <c r="J199" s="26" t="s">
        <v>269</v>
      </c>
      <c r="K199" s="27">
        <f>IF(COUNT(K179:K198), SUM(K179:K198) / COUNT(K179:K198), 0)</f>
        <v>2.5323094755660653E-2</v>
      </c>
      <c r="L199" s="28">
        <f>SUM(L179:L198)</f>
        <v>75969.284266981966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187"/>
      <c r="R199" s="188"/>
      <c r="S199" s="1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투자전략(조건부서식초기화)</vt:lpstr>
      <vt:lpstr>투자전략</vt:lpstr>
      <vt:lpstr>현재가테이블</vt:lpstr>
      <vt:lpstr>종목선정</vt:lpstr>
      <vt:lpstr>월말결산</vt:lpstr>
      <vt:lpstr>2021.10.01</vt:lpstr>
      <vt:lpstr>2021.10.02</vt:lpstr>
      <vt:lpstr>2021.10.03</vt:lpstr>
      <vt:lpstr>2021.10.04</vt:lpstr>
      <vt:lpstr>2021.10.05</vt:lpstr>
      <vt:lpstr>2021.10.06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2021-10-06T12:06:24Z</dcterms:modified>
</cp:coreProperties>
</file>