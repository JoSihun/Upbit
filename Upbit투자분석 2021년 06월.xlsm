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2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drawings/drawing3.xml" ContentType="application/vnd.openxmlformats-officedocument.drawing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drawings/drawing4.xml" ContentType="application/vnd.openxmlformats-officedocument.drawing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drawings/drawing5.xml" ContentType="application/vnd.openxmlformats-officedocument.drawing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drawings/drawing6.xml" ContentType="application/vnd.openxmlformats-officedocument.drawing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oSihun\Desktop\Github\Upbit\"/>
    </mc:Choice>
  </mc:AlternateContent>
  <xr:revisionPtr revIDLastSave="0" documentId="13_ncr:1_{699ABDC9-359F-4029-98EC-0F7A8AC8AAE0}" xr6:coauthVersionLast="47" xr6:coauthVersionMax="47" xr10:uidLastSave="{00000000-0000-0000-0000-000000000000}"/>
  <bookViews>
    <workbookView xWindow="28680" yWindow="-120" windowWidth="29040" windowHeight="15840" firstSheet="1" activeTab="5" xr2:uid="{6DFA4163-58A4-446A-8567-281C8DD649E3}"/>
  </bookViews>
  <sheets>
    <sheet name="투자전략(조건부서식초기화)" sheetId="23" state="hidden" r:id="rId1"/>
    <sheet name="투자전략" sheetId="6" r:id="rId2"/>
    <sheet name="현재가테이블" sheetId="3" r:id="rId3"/>
    <sheet name="종목선정" sheetId="5" r:id="rId4"/>
    <sheet name="월말결산" sheetId="9" r:id="rId5"/>
    <sheet name="2021.06.01" sheetId="24" r:id="rId6"/>
  </sheets>
  <definedNames>
    <definedName name="_xlnm._FilterDatabase" localSheetId="5" hidden="1">'2021.06.01'!#REF!</definedName>
    <definedName name="_xlnm._FilterDatabase" localSheetId="3" hidden="1">종목선정!$A$1:$D$117</definedName>
    <definedName name="_xlnm._FilterDatabase" localSheetId="1" hidden="1">투자전략!#REF!</definedName>
    <definedName name="_xlnm._FilterDatabase" localSheetId="0" hidden="1">'투자전략(조건부서식초기화)'!#REF!</definedName>
    <definedName name="_xlnm._FilterDatabase" localSheetId="2" hidden="1">현재가테이블!$A$1:$D$1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99" i="24" l="1"/>
  <c r="O198" i="24"/>
  <c r="N198" i="24"/>
  <c r="L198" i="24"/>
  <c r="K198" i="24"/>
  <c r="I198" i="24"/>
  <c r="H198" i="24"/>
  <c r="F198" i="24"/>
  <c r="E198" i="24"/>
  <c r="O197" i="24"/>
  <c r="N197" i="24"/>
  <c r="L197" i="24"/>
  <c r="K197" i="24"/>
  <c r="I197" i="24"/>
  <c r="H197" i="24"/>
  <c r="F197" i="24"/>
  <c r="E197" i="24"/>
  <c r="O196" i="24"/>
  <c r="N196" i="24"/>
  <c r="L196" i="24"/>
  <c r="K196" i="24"/>
  <c r="I196" i="24"/>
  <c r="H196" i="24"/>
  <c r="F196" i="24"/>
  <c r="E196" i="24"/>
  <c r="O195" i="24"/>
  <c r="N195" i="24"/>
  <c r="L195" i="24"/>
  <c r="K195" i="24"/>
  <c r="I195" i="24"/>
  <c r="H195" i="24"/>
  <c r="F195" i="24"/>
  <c r="E195" i="24"/>
  <c r="O194" i="24"/>
  <c r="N194" i="24"/>
  <c r="L194" i="24"/>
  <c r="K194" i="24"/>
  <c r="I194" i="24"/>
  <c r="H194" i="24"/>
  <c r="F194" i="24"/>
  <c r="E194" i="24"/>
  <c r="O193" i="24"/>
  <c r="N193" i="24"/>
  <c r="L193" i="24"/>
  <c r="K193" i="24"/>
  <c r="I193" i="24"/>
  <c r="H193" i="24"/>
  <c r="F193" i="24"/>
  <c r="E193" i="24"/>
  <c r="O192" i="24"/>
  <c r="N192" i="24"/>
  <c r="L192" i="24"/>
  <c r="K192" i="24"/>
  <c r="I192" i="24"/>
  <c r="H192" i="24"/>
  <c r="F192" i="24"/>
  <c r="E192" i="24"/>
  <c r="O191" i="24"/>
  <c r="N191" i="24"/>
  <c r="L191" i="24"/>
  <c r="K191" i="24"/>
  <c r="I191" i="24"/>
  <c r="H191" i="24"/>
  <c r="F191" i="24"/>
  <c r="E191" i="24"/>
  <c r="O190" i="24"/>
  <c r="N190" i="24"/>
  <c r="L190" i="24"/>
  <c r="K190" i="24"/>
  <c r="I190" i="24"/>
  <c r="H190" i="24"/>
  <c r="F190" i="24"/>
  <c r="E190" i="24"/>
  <c r="O189" i="24"/>
  <c r="N189" i="24"/>
  <c r="L189" i="24"/>
  <c r="K189" i="24"/>
  <c r="I189" i="24"/>
  <c r="H189" i="24"/>
  <c r="F189" i="24"/>
  <c r="E189" i="24"/>
  <c r="O188" i="24"/>
  <c r="N188" i="24"/>
  <c r="L188" i="24"/>
  <c r="K188" i="24"/>
  <c r="I188" i="24"/>
  <c r="H188" i="24"/>
  <c r="F188" i="24"/>
  <c r="E188" i="24"/>
  <c r="O187" i="24"/>
  <c r="N187" i="24"/>
  <c r="L187" i="24"/>
  <c r="K187" i="24"/>
  <c r="I187" i="24"/>
  <c r="H187" i="24"/>
  <c r="F187" i="24"/>
  <c r="E187" i="24"/>
  <c r="O186" i="24"/>
  <c r="N186" i="24"/>
  <c r="L186" i="24"/>
  <c r="K186" i="24"/>
  <c r="I186" i="24"/>
  <c r="H186" i="24"/>
  <c r="F186" i="24"/>
  <c r="E186" i="24"/>
  <c r="O185" i="24"/>
  <c r="N185" i="24"/>
  <c r="L185" i="24"/>
  <c r="K185" i="24"/>
  <c r="I185" i="24"/>
  <c r="H185" i="24"/>
  <c r="F185" i="24"/>
  <c r="E185" i="24"/>
  <c r="O184" i="24"/>
  <c r="N184" i="24"/>
  <c r="L184" i="24"/>
  <c r="K184" i="24"/>
  <c r="I184" i="24"/>
  <c r="H184" i="24"/>
  <c r="F184" i="24"/>
  <c r="E184" i="24"/>
  <c r="O183" i="24"/>
  <c r="N183" i="24"/>
  <c r="L183" i="24"/>
  <c r="K183" i="24"/>
  <c r="I183" i="24"/>
  <c r="H183" i="24"/>
  <c r="F183" i="24"/>
  <c r="E183" i="24"/>
  <c r="O182" i="24"/>
  <c r="N182" i="24"/>
  <c r="L182" i="24"/>
  <c r="K182" i="24"/>
  <c r="I182" i="24"/>
  <c r="H182" i="24"/>
  <c r="F182" i="24"/>
  <c r="E182" i="24"/>
  <c r="O181" i="24"/>
  <c r="N181" i="24"/>
  <c r="L181" i="24"/>
  <c r="K181" i="24"/>
  <c r="I181" i="24"/>
  <c r="H181" i="24"/>
  <c r="F181" i="24"/>
  <c r="E181" i="24"/>
  <c r="O180" i="24"/>
  <c r="N180" i="24"/>
  <c r="L180" i="24"/>
  <c r="K180" i="24"/>
  <c r="I180" i="24"/>
  <c r="H180" i="24"/>
  <c r="F180" i="24"/>
  <c r="E180" i="24"/>
  <c r="O179" i="24"/>
  <c r="O199" i="24" s="1"/>
  <c r="N179" i="24"/>
  <c r="N199" i="24" s="1"/>
  <c r="L179" i="24"/>
  <c r="L199" i="24" s="1"/>
  <c r="K179" i="24"/>
  <c r="K199" i="24" s="1"/>
  <c r="I179" i="24"/>
  <c r="I199" i="24" s="1"/>
  <c r="H179" i="24"/>
  <c r="H199" i="24" s="1"/>
  <c r="F179" i="24"/>
  <c r="F199" i="24" s="1"/>
  <c r="E179" i="24"/>
  <c r="E199" i="24" s="1"/>
  <c r="M177" i="24"/>
  <c r="J177" i="24"/>
  <c r="G177" i="24"/>
  <c r="D177" i="24"/>
  <c r="B177" i="24"/>
  <c r="M176" i="24"/>
  <c r="G176" i="24"/>
  <c r="B172" i="24"/>
  <c r="O171" i="24"/>
  <c r="N171" i="24"/>
  <c r="L171" i="24"/>
  <c r="K171" i="24"/>
  <c r="I171" i="24"/>
  <c r="H171" i="24"/>
  <c r="F171" i="24"/>
  <c r="E171" i="24"/>
  <c r="O170" i="24"/>
  <c r="N170" i="24"/>
  <c r="L170" i="24"/>
  <c r="K170" i="24"/>
  <c r="I170" i="24"/>
  <c r="H170" i="24"/>
  <c r="F170" i="24"/>
  <c r="E170" i="24"/>
  <c r="O169" i="24"/>
  <c r="N169" i="24"/>
  <c r="L169" i="24"/>
  <c r="K169" i="24"/>
  <c r="I169" i="24"/>
  <c r="H169" i="24"/>
  <c r="F169" i="24"/>
  <c r="E169" i="24"/>
  <c r="O168" i="24"/>
  <c r="N168" i="24"/>
  <c r="L168" i="24"/>
  <c r="K168" i="24"/>
  <c r="I168" i="24"/>
  <c r="H168" i="24"/>
  <c r="F168" i="24"/>
  <c r="E168" i="24"/>
  <c r="O167" i="24"/>
  <c r="N167" i="24"/>
  <c r="L167" i="24"/>
  <c r="K167" i="24"/>
  <c r="I167" i="24"/>
  <c r="H167" i="24"/>
  <c r="F167" i="24"/>
  <c r="E167" i="24"/>
  <c r="O166" i="24"/>
  <c r="N166" i="24"/>
  <c r="L166" i="24"/>
  <c r="K166" i="24"/>
  <c r="I166" i="24"/>
  <c r="H166" i="24"/>
  <c r="F166" i="24"/>
  <c r="E166" i="24"/>
  <c r="O165" i="24"/>
  <c r="N165" i="24"/>
  <c r="L165" i="24"/>
  <c r="K165" i="24"/>
  <c r="I165" i="24"/>
  <c r="H165" i="24"/>
  <c r="F165" i="24"/>
  <c r="E165" i="24"/>
  <c r="O164" i="24"/>
  <c r="N164" i="24"/>
  <c r="L164" i="24"/>
  <c r="K164" i="24"/>
  <c r="I164" i="24"/>
  <c r="H164" i="24"/>
  <c r="F164" i="24"/>
  <c r="E164" i="24"/>
  <c r="O163" i="24"/>
  <c r="N163" i="24"/>
  <c r="L163" i="24"/>
  <c r="K163" i="24"/>
  <c r="I163" i="24"/>
  <c r="H163" i="24"/>
  <c r="F163" i="24"/>
  <c r="E163" i="24"/>
  <c r="O162" i="24"/>
  <c r="N162" i="24"/>
  <c r="L162" i="24"/>
  <c r="K162" i="24"/>
  <c r="I162" i="24"/>
  <c r="H162" i="24"/>
  <c r="F162" i="24"/>
  <c r="E162" i="24"/>
  <c r="O161" i="24"/>
  <c r="N161" i="24"/>
  <c r="L161" i="24"/>
  <c r="K161" i="24"/>
  <c r="I161" i="24"/>
  <c r="H161" i="24"/>
  <c r="F161" i="24"/>
  <c r="E161" i="24"/>
  <c r="O160" i="24"/>
  <c r="N160" i="24"/>
  <c r="L160" i="24"/>
  <c r="K160" i="24"/>
  <c r="I160" i="24"/>
  <c r="H160" i="24"/>
  <c r="F160" i="24"/>
  <c r="E160" i="24"/>
  <c r="O159" i="24"/>
  <c r="N159" i="24"/>
  <c r="L159" i="24"/>
  <c r="K159" i="24"/>
  <c r="I159" i="24"/>
  <c r="H159" i="24"/>
  <c r="F159" i="24"/>
  <c r="E159" i="24"/>
  <c r="O158" i="24"/>
  <c r="N158" i="24"/>
  <c r="L158" i="24"/>
  <c r="K158" i="24"/>
  <c r="I158" i="24"/>
  <c r="H158" i="24"/>
  <c r="F158" i="24"/>
  <c r="E158" i="24"/>
  <c r="O157" i="24"/>
  <c r="N157" i="24"/>
  <c r="L157" i="24"/>
  <c r="K157" i="24"/>
  <c r="I157" i="24"/>
  <c r="H157" i="24"/>
  <c r="F157" i="24"/>
  <c r="E157" i="24"/>
  <c r="O156" i="24"/>
  <c r="N156" i="24"/>
  <c r="L156" i="24"/>
  <c r="K156" i="24"/>
  <c r="I156" i="24"/>
  <c r="H156" i="24"/>
  <c r="F156" i="24"/>
  <c r="E156" i="24"/>
  <c r="O155" i="24"/>
  <c r="N155" i="24"/>
  <c r="L155" i="24"/>
  <c r="K155" i="24"/>
  <c r="I155" i="24"/>
  <c r="H155" i="24"/>
  <c r="F155" i="24"/>
  <c r="E155" i="24"/>
  <c r="O154" i="24"/>
  <c r="N154" i="24"/>
  <c r="L154" i="24"/>
  <c r="K154" i="24"/>
  <c r="I154" i="24"/>
  <c r="H154" i="24"/>
  <c r="F154" i="24"/>
  <c r="E154" i="24"/>
  <c r="O153" i="24"/>
  <c r="N153" i="24"/>
  <c r="L153" i="24"/>
  <c r="K153" i="24"/>
  <c r="I153" i="24"/>
  <c r="H153" i="24"/>
  <c r="F153" i="24"/>
  <c r="E153" i="24"/>
  <c r="O152" i="24"/>
  <c r="O172" i="24" s="1"/>
  <c r="N152" i="24"/>
  <c r="N172" i="24" s="1"/>
  <c r="L152" i="24"/>
  <c r="L172" i="24" s="1"/>
  <c r="K152" i="24"/>
  <c r="K172" i="24" s="1"/>
  <c r="I152" i="24"/>
  <c r="I172" i="24" s="1"/>
  <c r="H152" i="24"/>
  <c r="H172" i="24" s="1"/>
  <c r="F152" i="24"/>
  <c r="F172" i="24" s="1"/>
  <c r="E152" i="24"/>
  <c r="E172" i="24" s="1"/>
  <c r="M150" i="24"/>
  <c r="J150" i="24"/>
  <c r="G150" i="24"/>
  <c r="D150" i="24"/>
  <c r="B150" i="24"/>
  <c r="M149" i="24"/>
  <c r="G149" i="24"/>
  <c r="B145" i="24"/>
  <c r="O144" i="24"/>
  <c r="N144" i="24"/>
  <c r="L144" i="24"/>
  <c r="K144" i="24"/>
  <c r="I144" i="24"/>
  <c r="H144" i="24"/>
  <c r="F144" i="24"/>
  <c r="E144" i="24"/>
  <c r="O143" i="24"/>
  <c r="N143" i="24"/>
  <c r="L143" i="24"/>
  <c r="K143" i="24"/>
  <c r="I143" i="24"/>
  <c r="H143" i="24"/>
  <c r="F143" i="24"/>
  <c r="E143" i="24"/>
  <c r="O142" i="24"/>
  <c r="N142" i="24"/>
  <c r="L142" i="24"/>
  <c r="K142" i="24"/>
  <c r="I142" i="24"/>
  <c r="H142" i="24"/>
  <c r="F142" i="24"/>
  <c r="E142" i="24"/>
  <c r="O141" i="24"/>
  <c r="N141" i="24"/>
  <c r="L141" i="24"/>
  <c r="K141" i="24"/>
  <c r="I141" i="24"/>
  <c r="H141" i="24"/>
  <c r="F141" i="24"/>
  <c r="E141" i="24"/>
  <c r="O140" i="24"/>
  <c r="N140" i="24"/>
  <c r="L140" i="24"/>
  <c r="K140" i="24"/>
  <c r="I140" i="24"/>
  <c r="H140" i="24"/>
  <c r="F140" i="24"/>
  <c r="E140" i="24"/>
  <c r="O139" i="24"/>
  <c r="N139" i="24"/>
  <c r="L139" i="24"/>
  <c r="K139" i="24"/>
  <c r="I139" i="24"/>
  <c r="H139" i="24"/>
  <c r="F139" i="24"/>
  <c r="E139" i="24"/>
  <c r="O138" i="24"/>
  <c r="N138" i="24"/>
  <c r="L138" i="24"/>
  <c r="K138" i="24"/>
  <c r="I138" i="24"/>
  <c r="H138" i="24"/>
  <c r="F138" i="24"/>
  <c r="E138" i="24"/>
  <c r="O137" i="24"/>
  <c r="N137" i="24"/>
  <c r="L137" i="24"/>
  <c r="K137" i="24"/>
  <c r="I137" i="24"/>
  <c r="H137" i="24"/>
  <c r="F137" i="24"/>
  <c r="E137" i="24"/>
  <c r="O136" i="24"/>
  <c r="N136" i="24"/>
  <c r="L136" i="24"/>
  <c r="K136" i="24"/>
  <c r="I136" i="24"/>
  <c r="H136" i="24"/>
  <c r="F136" i="24"/>
  <c r="E136" i="24"/>
  <c r="O135" i="24"/>
  <c r="N135" i="24"/>
  <c r="L135" i="24"/>
  <c r="K135" i="24"/>
  <c r="I135" i="24"/>
  <c r="H135" i="24"/>
  <c r="F135" i="24"/>
  <c r="E135" i="24"/>
  <c r="O134" i="24"/>
  <c r="N134" i="24"/>
  <c r="L134" i="24"/>
  <c r="K134" i="24"/>
  <c r="I134" i="24"/>
  <c r="H134" i="24"/>
  <c r="F134" i="24"/>
  <c r="E134" i="24"/>
  <c r="O133" i="24"/>
  <c r="N133" i="24"/>
  <c r="L133" i="24"/>
  <c r="K133" i="24"/>
  <c r="I133" i="24"/>
  <c r="H133" i="24"/>
  <c r="F133" i="24"/>
  <c r="E133" i="24"/>
  <c r="O132" i="24"/>
  <c r="N132" i="24"/>
  <c r="L132" i="24"/>
  <c r="K132" i="24"/>
  <c r="I132" i="24"/>
  <c r="H132" i="24"/>
  <c r="F132" i="24"/>
  <c r="E132" i="24"/>
  <c r="O131" i="24"/>
  <c r="N131" i="24"/>
  <c r="L131" i="24"/>
  <c r="K131" i="24"/>
  <c r="I131" i="24"/>
  <c r="H131" i="24"/>
  <c r="F131" i="24"/>
  <c r="E131" i="24"/>
  <c r="O130" i="24"/>
  <c r="N130" i="24"/>
  <c r="L130" i="24"/>
  <c r="K130" i="24"/>
  <c r="I130" i="24"/>
  <c r="H130" i="24"/>
  <c r="F130" i="24"/>
  <c r="E130" i="24"/>
  <c r="O129" i="24"/>
  <c r="N129" i="24"/>
  <c r="L129" i="24"/>
  <c r="K129" i="24"/>
  <c r="I129" i="24"/>
  <c r="H129" i="24"/>
  <c r="F129" i="24"/>
  <c r="E129" i="24"/>
  <c r="O128" i="24"/>
  <c r="N128" i="24"/>
  <c r="L128" i="24"/>
  <c r="K128" i="24"/>
  <c r="I128" i="24"/>
  <c r="H128" i="24"/>
  <c r="F128" i="24"/>
  <c r="E128" i="24"/>
  <c r="O127" i="24"/>
  <c r="N127" i="24"/>
  <c r="L127" i="24"/>
  <c r="K127" i="24"/>
  <c r="I127" i="24"/>
  <c r="H127" i="24"/>
  <c r="F127" i="24"/>
  <c r="E127" i="24"/>
  <c r="O126" i="24"/>
  <c r="N126" i="24"/>
  <c r="L126" i="24"/>
  <c r="K126" i="24"/>
  <c r="I126" i="24"/>
  <c r="H126" i="24"/>
  <c r="F126" i="24"/>
  <c r="E126" i="24"/>
  <c r="O125" i="24"/>
  <c r="O145" i="24" s="1"/>
  <c r="N125" i="24"/>
  <c r="N145" i="24" s="1"/>
  <c r="L125" i="24"/>
  <c r="L145" i="24" s="1"/>
  <c r="K125" i="24"/>
  <c r="K145" i="24" s="1"/>
  <c r="I125" i="24"/>
  <c r="I145" i="24" s="1"/>
  <c r="H125" i="24"/>
  <c r="H145" i="24" s="1"/>
  <c r="F125" i="24"/>
  <c r="F145" i="24" s="1"/>
  <c r="E125" i="24"/>
  <c r="E145" i="24" s="1"/>
  <c r="M123" i="24"/>
  <c r="J123" i="24"/>
  <c r="G123" i="24"/>
  <c r="D123" i="24"/>
  <c r="B123" i="24"/>
  <c r="M122" i="24"/>
  <c r="G122" i="24"/>
  <c r="B118" i="24"/>
  <c r="O117" i="24"/>
  <c r="N117" i="24"/>
  <c r="L117" i="24"/>
  <c r="K117" i="24"/>
  <c r="I117" i="24"/>
  <c r="H117" i="24"/>
  <c r="F117" i="24"/>
  <c r="E117" i="24"/>
  <c r="O116" i="24"/>
  <c r="N116" i="24"/>
  <c r="L116" i="24"/>
  <c r="K116" i="24"/>
  <c r="I116" i="24"/>
  <c r="H116" i="24"/>
  <c r="F116" i="24"/>
  <c r="E116" i="24"/>
  <c r="O115" i="24"/>
  <c r="N115" i="24"/>
  <c r="L115" i="24"/>
  <c r="K115" i="24"/>
  <c r="I115" i="24"/>
  <c r="H115" i="24"/>
  <c r="F115" i="24"/>
  <c r="E115" i="24"/>
  <c r="O114" i="24"/>
  <c r="N114" i="24"/>
  <c r="L114" i="24"/>
  <c r="K114" i="24"/>
  <c r="I114" i="24"/>
  <c r="H114" i="24"/>
  <c r="F114" i="24"/>
  <c r="E114" i="24"/>
  <c r="O113" i="24"/>
  <c r="N113" i="24"/>
  <c r="L113" i="24"/>
  <c r="K113" i="24"/>
  <c r="I113" i="24"/>
  <c r="H113" i="24"/>
  <c r="F113" i="24"/>
  <c r="E113" i="24"/>
  <c r="O112" i="24"/>
  <c r="N112" i="24"/>
  <c r="L112" i="24"/>
  <c r="K112" i="24"/>
  <c r="I112" i="24"/>
  <c r="H112" i="24"/>
  <c r="F112" i="24"/>
  <c r="E112" i="24"/>
  <c r="O111" i="24"/>
  <c r="N111" i="24"/>
  <c r="L111" i="24"/>
  <c r="K111" i="24"/>
  <c r="I111" i="24"/>
  <c r="H111" i="24"/>
  <c r="F111" i="24"/>
  <c r="E111" i="24"/>
  <c r="O110" i="24"/>
  <c r="N110" i="24"/>
  <c r="L110" i="24"/>
  <c r="K110" i="24"/>
  <c r="I110" i="24"/>
  <c r="H110" i="24"/>
  <c r="F110" i="24"/>
  <c r="E110" i="24"/>
  <c r="O109" i="24"/>
  <c r="N109" i="24"/>
  <c r="L109" i="24"/>
  <c r="K109" i="24"/>
  <c r="I109" i="24"/>
  <c r="H109" i="24"/>
  <c r="F109" i="24"/>
  <c r="E109" i="24"/>
  <c r="O108" i="24"/>
  <c r="N108" i="24"/>
  <c r="L108" i="24"/>
  <c r="K108" i="24"/>
  <c r="I108" i="24"/>
  <c r="H108" i="24"/>
  <c r="F108" i="24"/>
  <c r="E108" i="24"/>
  <c r="O107" i="24"/>
  <c r="N107" i="24"/>
  <c r="L107" i="24"/>
  <c r="K107" i="24"/>
  <c r="I107" i="24"/>
  <c r="H107" i="24"/>
  <c r="F107" i="24"/>
  <c r="E107" i="24"/>
  <c r="O106" i="24"/>
  <c r="N106" i="24"/>
  <c r="L106" i="24"/>
  <c r="K106" i="24"/>
  <c r="I106" i="24"/>
  <c r="H106" i="24"/>
  <c r="F106" i="24"/>
  <c r="E106" i="24"/>
  <c r="O105" i="24"/>
  <c r="N105" i="24"/>
  <c r="L105" i="24"/>
  <c r="K105" i="24"/>
  <c r="I105" i="24"/>
  <c r="H105" i="24"/>
  <c r="F105" i="24"/>
  <c r="E105" i="24"/>
  <c r="O104" i="24"/>
  <c r="N104" i="24"/>
  <c r="L104" i="24"/>
  <c r="K104" i="24"/>
  <c r="I104" i="24"/>
  <c r="H104" i="24"/>
  <c r="F104" i="24"/>
  <c r="E104" i="24"/>
  <c r="O103" i="24"/>
  <c r="N103" i="24"/>
  <c r="L103" i="24"/>
  <c r="K103" i="24"/>
  <c r="I103" i="24"/>
  <c r="H103" i="24"/>
  <c r="F103" i="24"/>
  <c r="E103" i="24"/>
  <c r="O102" i="24"/>
  <c r="N102" i="24"/>
  <c r="L102" i="24"/>
  <c r="K102" i="24"/>
  <c r="I102" i="24"/>
  <c r="H102" i="24"/>
  <c r="F102" i="24"/>
  <c r="E102" i="24"/>
  <c r="O101" i="24"/>
  <c r="N101" i="24"/>
  <c r="L101" i="24"/>
  <c r="K101" i="24"/>
  <c r="I101" i="24"/>
  <c r="H101" i="24"/>
  <c r="F101" i="24"/>
  <c r="E101" i="24"/>
  <c r="O100" i="24"/>
  <c r="N100" i="24"/>
  <c r="L100" i="24"/>
  <c r="K100" i="24"/>
  <c r="I100" i="24"/>
  <c r="H100" i="24"/>
  <c r="F100" i="24"/>
  <c r="E100" i="24"/>
  <c r="O99" i="24"/>
  <c r="N99" i="24"/>
  <c r="L99" i="24"/>
  <c r="K99" i="24"/>
  <c r="I99" i="24"/>
  <c r="H99" i="24"/>
  <c r="F99" i="24"/>
  <c r="E99" i="24"/>
  <c r="O98" i="24"/>
  <c r="O118" i="24" s="1"/>
  <c r="N98" i="24"/>
  <c r="N118" i="24" s="1"/>
  <c r="L98" i="24"/>
  <c r="L118" i="24" s="1"/>
  <c r="K98" i="24"/>
  <c r="K118" i="24" s="1"/>
  <c r="I98" i="24"/>
  <c r="I118" i="24" s="1"/>
  <c r="H98" i="24"/>
  <c r="H118" i="24" s="1"/>
  <c r="F98" i="24"/>
  <c r="F118" i="24" s="1"/>
  <c r="E98" i="24"/>
  <c r="E118" i="24" s="1"/>
  <c r="M96" i="24"/>
  <c r="J96" i="24"/>
  <c r="G96" i="24"/>
  <c r="D96" i="24"/>
  <c r="B96" i="24"/>
  <c r="M95" i="24"/>
  <c r="G95" i="24"/>
  <c r="E91" i="24"/>
  <c r="B91" i="24"/>
  <c r="O90" i="24"/>
  <c r="N90" i="24"/>
  <c r="L90" i="24"/>
  <c r="K90" i="24"/>
  <c r="I90" i="24"/>
  <c r="H90" i="24"/>
  <c r="F90" i="24"/>
  <c r="E90" i="24"/>
  <c r="O89" i="24"/>
  <c r="N89" i="24"/>
  <c r="L89" i="24"/>
  <c r="K89" i="24"/>
  <c r="I89" i="24"/>
  <c r="H89" i="24"/>
  <c r="F89" i="24"/>
  <c r="E89" i="24"/>
  <c r="O88" i="24"/>
  <c r="N88" i="24"/>
  <c r="L88" i="24"/>
  <c r="K88" i="24"/>
  <c r="I88" i="24"/>
  <c r="H88" i="24"/>
  <c r="F88" i="24"/>
  <c r="E88" i="24"/>
  <c r="O87" i="24"/>
  <c r="N87" i="24"/>
  <c r="L87" i="24"/>
  <c r="K87" i="24"/>
  <c r="I87" i="24"/>
  <c r="H87" i="24"/>
  <c r="F87" i="24"/>
  <c r="E87" i="24"/>
  <c r="O86" i="24"/>
  <c r="N86" i="24"/>
  <c r="L86" i="24"/>
  <c r="K86" i="24"/>
  <c r="I86" i="24"/>
  <c r="H86" i="24"/>
  <c r="F86" i="24"/>
  <c r="E86" i="24"/>
  <c r="O85" i="24"/>
  <c r="N85" i="24"/>
  <c r="L85" i="24"/>
  <c r="K85" i="24"/>
  <c r="I85" i="24"/>
  <c r="H85" i="24"/>
  <c r="F85" i="24"/>
  <c r="E85" i="24"/>
  <c r="O84" i="24"/>
  <c r="N84" i="24"/>
  <c r="L84" i="24"/>
  <c r="K84" i="24"/>
  <c r="I84" i="24"/>
  <c r="H84" i="24"/>
  <c r="F84" i="24"/>
  <c r="E84" i="24"/>
  <c r="O83" i="24"/>
  <c r="N83" i="24"/>
  <c r="L83" i="24"/>
  <c r="K83" i="24"/>
  <c r="I83" i="24"/>
  <c r="H83" i="24"/>
  <c r="F83" i="24"/>
  <c r="E83" i="24"/>
  <c r="O82" i="24"/>
  <c r="N82" i="24"/>
  <c r="L82" i="24"/>
  <c r="K82" i="24"/>
  <c r="I82" i="24"/>
  <c r="H82" i="24"/>
  <c r="F82" i="24"/>
  <c r="E82" i="24"/>
  <c r="O81" i="24"/>
  <c r="N81" i="24"/>
  <c r="L81" i="24"/>
  <c r="K81" i="24"/>
  <c r="I81" i="24"/>
  <c r="H81" i="24"/>
  <c r="F81" i="24"/>
  <c r="E81" i="24"/>
  <c r="O80" i="24"/>
  <c r="N80" i="24"/>
  <c r="L80" i="24"/>
  <c r="K80" i="24"/>
  <c r="I80" i="24"/>
  <c r="H80" i="24"/>
  <c r="F80" i="24"/>
  <c r="E80" i="24"/>
  <c r="O79" i="24"/>
  <c r="N79" i="24"/>
  <c r="L79" i="24"/>
  <c r="K79" i="24"/>
  <c r="I79" i="24"/>
  <c r="H79" i="24"/>
  <c r="F79" i="24"/>
  <c r="E79" i="24"/>
  <c r="O78" i="24"/>
  <c r="N78" i="24"/>
  <c r="L78" i="24"/>
  <c r="K78" i="24"/>
  <c r="I78" i="24"/>
  <c r="H78" i="24"/>
  <c r="F78" i="24"/>
  <c r="E78" i="24"/>
  <c r="O77" i="24"/>
  <c r="N77" i="24"/>
  <c r="L77" i="24"/>
  <c r="K77" i="24"/>
  <c r="I77" i="24"/>
  <c r="H77" i="24"/>
  <c r="F77" i="24"/>
  <c r="E77" i="24"/>
  <c r="O76" i="24"/>
  <c r="N76" i="24"/>
  <c r="L76" i="24"/>
  <c r="K76" i="24"/>
  <c r="I76" i="24"/>
  <c r="H76" i="24"/>
  <c r="F76" i="24"/>
  <c r="E76" i="24"/>
  <c r="O75" i="24"/>
  <c r="N75" i="24"/>
  <c r="L75" i="24"/>
  <c r="K75" i="24"/>
  <c r="I75" i="24"/>
  <c r="H75" i="24"/>
  <c r="F75" i="24"/>
  <c r="E75" i="24"/>
  <c r="O74" i="24"/>
  <c r="N74" i="24"/>
  <c r="L74" i="24"/>
  <c r="K74" i="24"/>
  <c r="I74" i="24"/>
  <c r="H74" i="24"/>
  <c r="F74" i="24"/>
  <c r="E74" i="24"/>
  <c r="O73" i="24"/>
  <c r="N73" i="24"/>
  <c r="L73" i="24"/>
  <c r="K73" i="24"/>
  <c r="I73" i="24"/>
  <c r="H73" i="24"/>
  <c r="F73" i="24"/>
  <c r="E73" i="24"/>
  <c r="O72" i="24"/>
  <c r="N72" i="24"/>
  <c r="L72" i="24"/>
  <c r="K72" i="24"/>
  <c r="I72" i="24"/>
  <c r="H72" i="24"/>
  <c r="F72" i="24"/>
  <c r="E72" i="24"/>
  <c r="O71" i="24"/>
  <c r="O91" i="24" s="1"/>
  <c r="N71" i="24"/>
  <c r="N91" i="24" s="1"/>
  <c r="L71" i="24"/>
  <c r="L91" i="24" s="1"/>
  <c r="K71" i="24"/>
  <c r="K91" i="24" s="1"/>
  <c r="I71" i="24"/>
  <c r="I91" i="24" s="1"/>
  <c r="H71" i="24"/>
  <c r="H91" i="24" s="1"/>
  <c r="F71" i="24"/>
  <c r="F91" i="24" s="1"/>
  <c r="E71" i="24"/>
  <c r="M69" i="24"/>
  <c r="J69" i="24"/>
  <c r="G69" i="24"/>
  <c r="D69" i="24"/>
  <c r="B69" i="24"/>
  <c r="M68" i="24"/>
  <c r="G68" i="24"/>
  <c r="B64" i="24"/>
  <c r="O63" i="24"/>
  <c r="N63" i="24"/>
  <c r="L63" i="24"/>
  <c r="K63" i="24"/>
  <c r="I63" i="24"/>
  <c r="H63" i="24"/>
  <c r="F63" i="24"/>
  <c r="E63" i="24"/>
  <c r="O62" i="24"/>
  <c r="N62" i="24"/>
  <c r="L62" i="24"/>
  <c r="K62" i="24"/>
  <c r="I62" i="24"/>
  <c r="H62" i="24"/>
  <c r="F62" i="24"/>
  <c r="E62" i="24"/>
  <c r="O61" i="24"/>
  <c r="N61" i="24"/>
  <c r="L61" i="24"/>
  <c r="K61" i="24"/>
  <c r="I61" i="24"/>
  <c r="H61" i="24"/>
  <c r="F61" i="24"/>
  <c r="E61" i="24"/>
  <c r="O60" i="24"/>
  <c r="N60" i="24"/>
  <c r="L60" i="24"/>
  <c r="K60" i="24"/>
  <c r="I60" i="24"/>
  <c r="H60" i="24"/>
  <c r="F60" i="24"/>
  <c r="E60" i="24"/>
  <c r="O59" i="24"/>
  <c r="N59" i="24"/>
  <c r="L59" i="24"/>
  <c r="K59" i="24"/>
  <c r="I59" i="24"/>
  <c r="H59" i="24"/>
  <c r="F59" i="24"/>
  <c r="E59" i="24"/>
  <c r="O58" i="24"/>
  <c r="N58" i="24"/>
  <c r="L58" i="24"/>
  <c r="K58" i="24"/>
  <c r="I58" i="24"/>
  <c r="H58" i="24"/>
  <c r="F58" i="24"/>
  <c r="E58" i="24"/>
  <c r="O57" i="24"/>
  <c r="N57" i="24"/>
  <c r="L57" i="24"/>
  <c r="K57" i="24"/>
  <c r="I57" i="24"/>
  <c r="H57" i="24"/>
  <c r="F57" i="24"/>
  <c r="E57" i="24"/>
  <c r="O56" i="24"/>
  <c r="N56" i="24"/>
  <c r="L56" i="24"/>
  <c r="K56" i="24"/>
  <c r="I56" i="24"/>
  <c r="H56" i="24"/>
  <c r="F56" i="24"/>
  <c r="E56" i="24"/>
  <c r="O55" i="24"/>
  <c r="N55" i="24"/>
  <c r="L55" i="24"/>
  <c r="K55" i="24"/>
  <c r="I55" i="24"/>
  <c r="H55" i="24"/>
  <c r="F55" i="24"/>
  <c r="E55" i="24"/>
  <c r="O54" i="24"/>
  <c r="N54" i="24"/>
  <c r="L54" i="24"/>
  <c r="K54" i="24"/>
  <c r="I54" i="24"/>
  <c r="H54" i="24"/>
  <c r="F54" i="24"/>
  <c r="E54" i="24"/>
  <c r="O53" i="24"/>
  <c r="N53" i="24"/>
  <c r="L53" i="24"/>
  <c r="K53" i="24"/>
  <c r="I53" i="24"/>
  <c r="H53" i="24"/>
  <c r="F53" i="24"/>
  <c r="E53" i="24"/>
  <c r="O52" i="24"/>
  <c r="N52" i="24"/>
  <c r="L52" i="24"/>
  <c r="K52" i="24"/>
  <c r="I52" i="24"/>
  <c r="H52" i="24"/>
  <c r="F52" i="24"/>
  <c r="E52" i="24"/>
  <c r="O51" i="24"/>
  <c r="N51" i="24"/>
  <c r="L51" i="24"/>
  <c r="K51" i="24"/>
  <c r="I51" i="24"/>
  <c r="H51" i="24"/>
  <c r="F51" i="24"/>
  <c r="E51" i="24"/>
  <c r="O50" i="24"/>
  <c r="N50" i="24"/>
  <c r="L50" i="24"/>
  <c r="K50" i="24"/>
  <c r="I50" i="24"/>
  <c r="H50" i="24"/>
  <c r="F50" i="24"/>
  <c r="E50" i="24"/>
  <c r="O49" i="24"/>
  <c r="N49" i="24"/>
  <c r="L49" i="24"/>
  <c r="K49" i="24"/>
  <c r="I49" i="24"/>
  <c r="H49" i="24"/>
  <c r="F49" i="24"/>
  <c r="E49" i="24"/>
  <c r="O48" i="24"/>
  <c r="N48" i="24"/>
  <c r="L48" i="24"/>
  <c r="K48" i="24"/>
  <c r="I48" i="24"/>
  <c r="H48" i="24"/>
  <c r="F48" i="24"/>
  <c r="E48" i="24"/>
  <c r="O47" i="24"/>
  <c r="N47" i="24"/>
  <c r="L47" i="24"/>
  <c r="K47" i="24"/>
  <c r="I47" i="24"/>
  <c r="H47" i="24"/>
  <c r="F47" i="24"/>
  <c r="E47" i="24"/>
  <c r="O46" i="24"/>
  <c r="N46" i="24"/>
  <c r="L46" i="24"/>
  <c r="K46" i="24"/>
  <c r="I46" i="24"/>
  <c r="H46" i="24"/>
  <c r="F46" i="24"/>
  <c r="E46" i="24"/>
  <c r="O45" i="24"/>
  <c r="N45" i="24"/>
  <c r="L45" i="24"/>
  <c r="K45" i="24"/>
  <c r="I45" i="24"/>
  <c r="H45" i="24"/>
  <c r="F45" i="24"/>
  <c r="E45" i="24"/>
  <c r="O44" i="24"/>
  <c r="O64" i="24" s="1"/>
  <c r="N44" i="24"/>
  <c r="N64" i="24" s="1"/>
  <c r="L44" i="24"/>
  <c r="L64" i="24" s="1"/>
  <c r="K44" i="24"/>
  <c r="K64" i="24" s="1"/>
  <c r="I44" i="24"/>
  <c r="I64" i="24" s="1"/>
  <c r="H44" i="24"/>
  <c r="H64" i="24" s="1"/>
  <c r="F44" i="24"/>
  <c r="F64" i="24" s="1"/>
  <c r="E44" i="24"/>
  <c r="E64" i="24" s="1"/>
  <c r="M42" i="24"/>
  <c r="J42" i="24"/>
  <c r="G42" i="24"/>
  <c r="D42" i="24"/>
  <c r="B42" i="24"/>
  <c r="M41" i="24"/>
  <c r="G41" i="24"/>
  <c r="O36" i="24"/>
  <c r="N36" i="24"/>
  <c r="M36" i="24"/>
  <c r="L36" i="24"/>
  <c r="K36" i="24"/>
  <c r="J36" i="24"/>
  <c r="I36" i="24"/>
  <c r="H36" i="24"/>
  <c r="G36" i="24"/>
  <c r="F36" i="24"/>
  <c r="E36" i="24"/>
  <c r="D36" i="24"/>
  <c r="C36" i="24"/>
  <c r="B36" i="24"/>
  <c r="O35" i="24"/>
  <c r="N35" i="24"/>
  <c r="M35" i="24"/>
  <c r="L35" i="24"/>
  <c r="K35" i="24"/>
  <c r="J35" i="24"/>
  <c r="I35" i="24"/>
  <c r="H35" i="24"/>
  <c r="G35" i="24"/>
  <c r="F35" i="24"/>
  <c r="E35" i="24"/>
  <c r="D35" i="24"/>
  <c r="C35" i="24"/>
  <c r="B35" i="24"/>
  <c r="O34" i="24"/>
  <c r="N34" i="24"/>
  <c r="M34" i="24"/>
  <c r="L34" i="24"/>
  <c r="K34" i="24"/>
  <c r="J34" i="24"/>
  <c r="I34" i="24"/>
  <c r="H34" i="24"/>
  <c r="G34" i="24"/>
  <c r="F34" i="24"/>
  <c r="E34" i="24"/>
  <c r="D34" i="24"/>
  <c r="C34" i="24"/>
  <c r="B34" i="24"/>
  <c r="O33" i="24"/>
  <c r="N33" i="24"/>
  <c r="M33" i="24"/>
  <c r="L33" i="24"/>
  <c r="K33" i="24"/>
  <c r="J33" i="24"/>
  <c r="I33" i="24"/>
  <c r="H33" i="24"/>
  <c r="G33" i="24"/>
  <c r="F33" i="24"/>
  <c r="E33" i="24"/>
  <c r="D33" i="24"/>
  <c r="C33" i="24"/>
  <c r="B33" i="24"/>
  <c r="O32" i="24"/>
  <c r="N32" i="24"/>
  <c r="M32" i="24"/>
  <c r="L32" i="24"/>
  <c r="K32" i="24"/>
  <c r="J32" i="24"/>
  <c r="I32" i="24"/>
  <c r="H32" i="24"/>
  <c r="G32" i="24"/>
  <c r="F32" i="24"/>
  <c r="E32" i="24"/>
  <c r="D32" i="24"/>
  <c r="C32" i="24"/>
  <c r="B32" i="24"/>
  <c r="O31" i="24"/>
  <c r="N31" i="24"/>
  <c r="M31" i="24"/>
  <c r="L31" i="24"/>
  <c r="K31" i="24"/>
  <c r="J31" i="24"/>
  <c r="I31" i="24"/>
  <c r="H31" i="24"/>
  <c r="G31" i="24"/>
  <c r="F31" i="24"/>
  <c r="E31" i="24"/>
  <c r="D31" i="24"/>
  <c r="C31" i="24"/>
  <c r="B31" i="24"/>
  <c r="O30" i="24"/>
  <c r="N30" i="24"/>
  <c r="M30" i="24"/>
  <c r="L30" i="24"/>
  <c r="K30" i="24"/>
  <c r="J30" i="24"/>
  <c r="I30" i="24"/>
  <c r="H30" i="24"/>
  <c r="G30" i="24"/>
  <c r="F30" i="24"/>
  <c r="E30" i="24"/>
  <c r="D30" i="24"/>
  <c r="C30" i="24"/>
  <c r="B30" i="24"/>
  <c r="O29" i="24"/>
  <c r="N29" i="24"/>
  <c r="M29" i="24"/>
  <c r="L29" i="24"/>
  <c r="K29" i="24"/>
  <c r="J29" i="24"/>
  <c r="I29" i="24"/>
  <c r="H29" i="24"/>
  <c r="G29" i="24"/>
  <c r="F29" i="24"/>
  <c r="E29" i="24"/>
  <c r="D29" i="24"/>
  <c r="C29" i="24"/>
  <c r="B29" i="24"/>
  <c r="O28" i="24"/>
  <c r="N28" i="24"/>
  <c r="M28" i="24"/>
  <c r="L28" i="24"/>
  <c r="K28" i="24"/>
  <c r="J28" i="24"/>
  <c r="I28" i="24"/>
  <c r="H28" i="24"/>
  <c r="G28" i="24"/>
  <c r="F28" i="24"/>
  <c r="E28" i="24"/>
  <c r="D28" i="24"/>
  <c r="C28" i="24"/>
  <c r="B28" i="24"/>
  <c r="O27" i="24"/>
  <c r="N27" i="24"/>
  <c r="M27" i="24"/>
  <c r="L27" i="24"/>
  <c r="K27" i="24"/>
  <c r="J27" i="24"/>
  <c r="I27" i="24"/>
  <c r="H27" i="24"/>
  <c r="G27" i="24"/>
  <c r="F27" i="24"/>
  <c r="E27" i="24"/>
  <c r="D27" i="24"/>
  <c r="C27" i="24"/>
  <c r="B27" i="24"/>
  <c r="O26" i="24"/>
  <c r="N26" i="24"/>
  <c r="M26" i="24"/>
  <c r="L26" i="24"/>
  <c r="K26" i="24"/>
  <c r="J26" i="24"/>
  <c r="I26" i="24"/>
  <c r="H26" i="24"/>
  <c r="G26" i="24"/>
  <c r="F26" i="24"/>
  <c r="E26" i="24"/>
  <c r="D26" i="24"/>
  <c r="C26" i="24"/>
  <c r="B26" i="24"/>
  <c r="O25" i="24"/>
  <c r="N25" i="24"/>
  <c r="M25" i="24"/>
  <c r="L25" i="24"/>
  <c r="K25" i="24"/>
  <c r="J25" i="24"/>
  <c r="I25" i="24"/>
  <c r="H25" i="24"/>
  <c r="G25" i="24"/>
  <c r="F25" i="24"/>
  <c r="E25" i="24"/>
  <c r="D25" i="24"/>
  <c r="C25" i="24"/>
  <c r="B25" i="24"/>
  <c r="O24" i="24"/>
  <c r="N24" i="24"/>
  <c r="M24" i="24"/>
  <c r="L24" i="24"/>
  <c r="K24" i="24"/>
  <c r="J24" i="24"/>
  <c r="I24" i="24"/>
  <c r="H24" i="24"/>
  <c r="G24" i="24"/>
  <c r="F24" i="24"/>
  <c r="E24" i="24"/>
  <c r="D24" i="24"/>
  <c r="C24" i="24"/>
  <c r="B24" i="24"/>
  <c r="O23" i="24"/>
  <c r="N23" i="24"/>
  <c r="M23" i="24"/>
  <c r="L23" i="24"/>
  <c r="K23" i="24"/>
  <c r="J23" i="24"/>
  <c r="I23" i="24"/>
  <c r="H23" i="24"/>
  <c r="G23" i="24"/>
  <c r="F23" i="24"/>
  <c r="E23" i="24"/>
  <c r="D23" i="24"/>
  <c r="C23" i="24"/>
  <c r="B23" i="24"/>
  <c r="O22" i="24"/>
  <c r="N22" i="24"/>
  <c r="M22" i="24"/>
  <c r="L22" i="24"/>
  <c r="K22" i="24"/>
  <c r="J22" i="24"/>
  <c r="I22" i="24"/>
  <c r="H22" i="24"/>
  <c r="G22" i="24"/>
  <c r="F22" i="24"/>
  <c r="E22" i="24"/>
  <c r="D22" i="24"/>
  <c r="C22" i="24"/>
  <c r="B22" i="24"/>
  <c r="O21" i="24"/>
  <c r="N21" i="24"/>
  <c r="M21" i="24"/>
  <c r="L21" i="24"/>
  <c r="K21" i="24"/>
  <c r="J21" i="24"/>
  <c r="I21" i="24"/>
  <c r="H21" i="24"/>
  <c r="G21" i="24"/>
  <c r="F21" i="24"/>
  <c r="E21" i="24"/>
  <c r="D21" i="24"/>
  <c r="C21" i="24"/>
  <c r="B21" i="24"/>
  <c r="O20" i="24"/>
  <c r="N20" i="24"/>
  <c r="M20" i="24"/>
  <c r="L20" i="24"/>
  <c r="K20" i="24"/>
  <c r="J20" i="24"/>
  <c r="I20" i="24"/>
  <c r="H20" i="24"/>
  <c r="G20" i="24"/>
  <c r="F20" i="24"/>
  <c r="E20" i="24"/>
  <c r="D20" i="24"/>
  <c r="C20" i="24"/>
  <c r="B20" i="24"/>
  <c r="O19" i="24"/>
  <c r="N19" i="24"/>
  <c r="M19" i="24"/>
  <c r="L19" i="24"/>
  <c r="K19" i="24"/>
  <c r="J19" i="24"/>
  <c r="I19" i="24"/>
  <c r="H19" i="24"/>
  <c r="G19" i="24"/>
  <c r="F19" i="24"/>
  <c r="E19" i="24"/>
  <c r="D19" i="24"/>
  <c r="C19" i="24"/>
  <c r="B19" i="24"/>
  <c r="O18" i="24"/>
  <c r="N18" i="24"/>
  <c r="M18" i="24"/>
  <c r="L18" i="24"/>
  <c r="K18" i="24"/>
  <c r="J18" i="24"/>
  <c r="I18" i="24"/>
  <c r="H18" i="24"/>
  <c r="G18" i="24"/>
  <c r="F18" i="24"/>
  <c r="E18" i="24"/>
  <c r="D18" i="24"/>
  <c r="C18" i="24"/>
  <c r="B18" i="24"/>
  <c r="O17" i="24"/>
  <c r="N17" i="24"/>
  <c r="M17" i="24"/>
  <c r="L17" i="24"/>
  <c r="K17" i="24"/>
  <c r="J17" i="24"/>
  <c r="I17" i="24"/>
  <c r="H17" i="24"/>
  <c r="G17" i="24"/>
  <c r="F17" i="24"/>
  <c r="E17" i="24"/>
  <c r="D17" i="24"/>
  <c r="C17" i="24"/>
  <c r="B17" i="24"/>
  <c r="M15" i="24"/>
  <c r="J15" i="24"/>
  <c r="G15" i="24"/>
  <c r="D15" i="24"/>
  <c r="B15" i="24"/>
  <c r="M14" i="24"/>
  <c r="G14" i="24"/>
  <c r="A19" i="9"/>
  <c r="A247" i="9"/>
  <c r="A209" i="9"/>
  <c r="A171" i="9"/>
  <c r="A133" i="9"/>
  <c r="A95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B101" i="9"/>
  <c r="B100" i="9"/>
  <c r="B99" i="9"/>
  <c r="B98" i="9"/>
  <c r="A57" i="9"/>
  <c r="B90" i="9"/>
  <c r="B89" i="9"/>
  <c r="B88" i="9"/>
  <c r="B87" i="9"/>
  <c r="B86" i="9"/>
  <c r="B85" i="9"/>
  <c r="B84" i="9"/>
  <c r="B83" i="9"/>
  <c r="B82" i="9"/>
  <c r="B81" i="9"/>
  <c r="B80" i="9"/>
  <c r="B79" i="9"/>
  <c r="B78" i="9"/>
  <c r="B77" i="9"/>
  <c r="B76" i="9"/>
  <c r="B75" i="9"/>
  <c r="B74" i="9"/>
  <c r="B73" i="9"/>
  <c r="B72" i="9"/>
  <c r="B71" i="9"/>
  <c r="B70" i="9"/>
  <c r="B69" i="9"/>
  <c r="B68" i="9"/>
  <c r="B67" i="9"/>
  <c r="B66" i="9"/>
  <c r="B65" i="9"/>
  <c r="B64" i="9"/>
  <c r="B63" i="9"/>
  <c r="B62" i="9"/>
  <c r="B61" i="9"/>
  <c r="B60" i="9"/>
  <c r="E37" i="24" l="1"/>
  <c r="G9" i="24"/>
  <c r="H37" i="24"/>
  <c r="L37" i="24"/>
  <c r="K37" i="24"/>
  <c r="O37" i="24"/>
  <c r="I37" i="24"/>
  <c r="F37" i="24"/>
  <c r="N37" i="24"/>
  <c r="G5" i="24"/>
  <c r="G7" i="24"/>
  <c r="G3" i="24"/>
  <c r="A1" i="9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30" i="9"/>
  <c r="B29" i="9"/>
  <c r="B28" i="9"/>
  <c r="B27" i="9"/>
  <c r="B26" i="9"/>
  <c r="B25" i="9"/>
  <c r="B24" i="9"/>
  <c r="B23" i="9"/>
  <c r="B22" i="9"/>
  <c r="N199" i="23"/>
  <c r="K199" i="23"/>
  <c r="H199" i="23"/>
  <c r="E199" i="23"/>
  <c r="B199" i="23"/>
  <c r="O198" i="23"/>
  <c r="N198" i="23"/>
  <c r="L198" i="23"/>
  <c r="K198" i="23"/>
  <c r="I198" i="23"/>
  <c r="H198" i="23"/>
  <c r="F198" i="23"/>
  <c r="E198" i="23"/>
  <c r="O197" i="23"/>
  <c r="N197" i="23"/>
  <c r="L197" i="23"/>
  <c r="K197" i="23"/>
  <c r="I197" i="23"/>
  <c r="H197" i="23"/>
  <c r="F197" i="23"/>
  <c r="E197" i="23"/>
  <c r="O196" i="23"/>
  <c r="N196" i="23"/>
  <c r="L196" i="23"/>
  <c r="K196" i="23"/>
  <c r="I196" i="23"/>
  <c r="H196" i="23"/>
  <c r="F196" i="23"/>
  <c r="E196" i="23"/>
  <c r="O195" i="23"/>
  <c r="N195" i="23"/>
  <c r="L195" i="23"/>
  <c r="K195" i="23"/>
  <c r="I195" i="23"/>
  <c r="H195" i="23"/>
  <c r="F195" i="23"/>
  <c r="E195" i="23"/>
  <c r="O194" i="23"/>
  <c r="N194" i="23"/>
  <c r="L194" i="23"/>
  <c r="K194" i="23"/>
  <c r="I194" i="23"/>
  <c r="H194" i="23"/>
  <c r="F194" i="23"/>
  <c r="E194" i="23"/>
  <c r="O193" i="23"/>
  <c r="N193" i="23"/>
  <c r="L193" i="23"/>
  <c r="K193" i="23"/>
  <c r="I193" i="23"/>
  <c r="H193" i="23"/>
  <c r="F193" i="23"/>
  <c r="E193" i="23"/>
  <c r="O192" i="23"/>
  <c r="N192" i="23"/>
  <c r="L192" i="23"/>
  <c r="K192" i="23"/>
  <c r="I192" i="23"/>
  <c r="H192" i="23"/>
  <c r="F192" i="23"/>
  <c r="E192" i="23"/>
  <c r="O191" i="23"/>
  <c r="N191" i="23"/>
  <c r="L191" i="23"/>
  <c r="K191" i="23"/>
  <c r="I191" i="23"/>
  <c r="H191" i="23"/>
  <c r="F191" i="23"/>
  <c r="E191" i="23"/>
  <c r="O190" i="23"/>
  <c r="N190" i="23"/>
  <c r="L190" i="23"/>
  <c r="K190" i="23"/>
  <c r="I190" i="23"/>
  <c r="H190" i="23"/>
  <c r="F190" i="23"/>
  <c r="E190" i="23"/>
  <c r="O189" i="23"/>
  <c r="N189" i="23"/>
  <c r="L189" i="23"/>
  <c r="K189" i="23"/>
  <c r="I189" i="23"/>
  <c r="H189" i="23"/>
  <c r="F189" i="23"/>
  <c r="E189" i="23"/>
  <c r="O188" i="23"/>
  <c r="N188" i="23"/>
  <c r="L188" i="23"/>
  <c r="K188" i="23"/>
  <c r="I188" i="23"/>
  <c r="H188" i="23"/>
  <c r="F188" i="23"/>
  <c r="E188" i="23"/>
  <c r="O187" i="23"/>
  <c r="N187" i="23"/>
  <c r="L187" i="23"/>
  <c r="K187" i="23"/>
  <c r="I187" i="23"/>
  <c r="H187" i="23"/>
  <c r="F187" i="23"/>
  <c r="E187" i="23"/>
  <c r="O186" i="23"/>
  <c r="N186" i="23"/>
  <c r="L186" i="23"/>
  <c r="K186" i="23"/>
  <c r="I186" i="23"/>
  <c r="H186" i="23"/>
  <c r="F186" i="23"/>
  <c r="E186" i="23"/>
  <c r="O185" i="23"/>
  <c r="N185" i="23"/>
  <c r="L185" i="23"/>
  <c r="K185" i="23"/>
  <c r="I185" i="23"/>
  <c r="H185" i="23"/>
  <c r="F185" i="23"/>
  <c r="E185" i="23"/>
  <c r="O184" i="23"/>
  <c r="N184" i="23"/>
  <c r="L184" i="23"/>
  <c r="K184" i="23"/>
  <c r="I184" i="23"/>
  <c r="H184" i="23"/>
  <c r="F184" i="23"/>
  <c r="E184" i="23"/>
  <c r="O183" i="23"/>
  <c r="N183" i="23"/>
  <c r="L183" i="23"/>
  <c r="K183" i="23"/>
  <c r="I183" i="23"/>
  <c r="H183" i="23"/>
  <c r="F183" i="23"/>
  <c r="E183" i="23"/>
  <c r="O182" i="23"/>
  <c r="N182" i="23"/>
  <c r="L182" i="23"/>
  <c r="K182" i="23"/>
  <c r="I182" i="23"/>
  <c r="H182" i="23"/>
  <c r="F182" i="23"/>
  <c r="E182" i="23"/>
  <c r="O181" i="23"/>
  <c r="N181" i="23"/>
  <c r="L181" i="23"/>
  <c r="K181" i="23"/>
  <c r="I181" i="23"/>
  <c r="H181" i="23"/>
  <c r="F181" i="23"/>
  <c r="E181" i="23"/>
  <c r="O180" i="23"/>
  <c r="N180" i="23"/>
  <c r="L180" i="23"/>
  <c r="K180" i="23"/>
  <c r="I180" i="23"/>
  <c r="H180" i="23"/>
  <c r="F180" i="23"/>
  <c r="E180" i="23"/>
  <c r="O179" i="23"/>
  <c r="O199" i="23" s="1"/>
  <c r="N179" i="23"/>
  <c r="L179" i="23"/>
  <c r="L199" i="23" s="1"/>
  <c r="K179" i="23"/>
  <c r="I179" i="23"/>
  <c r="I199" i="23" s="1"/>
  <c r="H179" i="23"/>
  <c r="F179" i="23"/>
  <c r="F199" i="23" s="1"/>
  <c r="E179" i="23"/>
  <c r="M177" i="23"/>
  <c r="J177" i="23"/>
  <c r="G177" i="23"/>
  <c r="D177" i="23"/>
  <c r="B177" i="23"/>
  <c r="M176" i="23"/>
  <c r="G176" i="23"/>
  <c r="K172" i="23"/>
  <c r="E172" i="23"/>
  <c r="B172" i="23"/>
  <c r="O171" i="23"/>
  <c r="N171" i="23"/>
  <c r="L171" i="23"/>
  <c r="K171" i="23"/>
  <c r="I171" i="23"/>
  <c r="H171" i="23"/>
  <c r="F171" i="23"/>
  <c r="E171" i="23"/>
  <c r="O170" i="23"/>
  <c r="N170" i="23"/>
  <c r="L170" i="23"/>
  <c r="K170" i="23"/>
  <c r="I170" i="23"/>
  <c r="H170" i="23"/>
  <c r="F170" i="23"/>
  <c r="E170" i="23"/>
  <c r="O169" i="23"/>
  <c r="N169" i="23"/>
  <c r="L169" i="23"/>
  <c r="K169" i="23"/>
  <c r="I169" i="23"/>
  <c r="H169" i="23"/>
  <c r="F169" i="23"/>
  <c r="E169" i="23"/>
  <c r="O168" i="23"/>
  <c r="N168" i="23"/>
  <c r="L168" i="23"/>
  <c r="K168" i="23"/>
  <c r="I168" i="23"/>
  <c r="H168" i="23"/>
  <c r="F168" i="23"/>
  <c r="E168" i="23"/>
  <c r="O167" i="23"/>
  <c r="N167" i="23"/>
  <c r="L167" i="23"/>
  <c r="K167" i="23"/>
  <c r="I167" i="23"/>
  <c r="H167" i="23"/>
  <c r="F167" i="23"/>
  <c r="E167" i="23"/>
  <c r="O166" i="23"/>
  <c r="N166" i="23"/>
  <c r="L166" i="23"/>
  <c r="K166" i="23"/>
  <c r="I166" i="23"/>
  <c r="H166" i="23"/>
  <c r="F166" i="23"/>
  <c r="E166" i="23"/>
  <c r="O165" i="23"/>
  <c r="N165" i="23"/>
  <c r="L165" i="23"/>
  <c r="K165" i="23"/>
  <c r="I165" i="23"/>
  <c r="H165" i="23"/>
  <c r="F165" i="23"/>
  <c r="E165" i="23"/>
  <c r="O164" i="23"/>
  <c r="N164" i="23"/>
  <c r="L164" i="23"/>
  <c r="K164" i="23"/>
  <c r="I164" i="23"/>
  <c r="H164" i="23"/>
  <c r="F164" i="23"/>
  <c r="E164" i="23"/>
  <c r="O163" i="23"/>
  <c r="N163" i="23"/>
  <c r="L163" i="23"/>
  <c r="K163" i="23"/>
  <c r="I163" i="23"/>
  <c r="H163" i="23"/>
  <c r="F163" i="23"/>
  <c r="E163" i="23"/>
  <c r="O162" i="23"/>
  <c r="N162" i="23"/>
  <c r="L162" i="23"/>
  <c r="K162" i="23"/>
  <c r="I162" i="23"/>
  <c r="H162" i="23"/>
  <c r="F162" i="23"/>
  <c r="E162" i="23"/>
  <c r="O161" i="23"/>
  <c r="N161" i="23"/>
  <c r="L161" i="23"/>
  <c r="K161" i="23"/>
  <c r="I161" i="23"/>
  <c r="H161" i="23"/>
  <c r="F161" i="23"/>
  <c r="E161" i="23"/>
  <c r="O160" i="23"/>
  <c r="N160" i="23"/>
  <c r="L160" i="23"/>
  <c r="K160" i="23"/>
  <c r="I160" i="23"/>
  <c r="H160" i="23"/>
  <c r="F160" i="23"/>
  <c r="E160" i="23"/>
  <c r="O159" i="23"/>
  <c r="N159" i="23"/>
  <c r="L159" i="23"/>
  <c r="K159" i="23"/>
  <c r="I159" i="23"/>
  <c r="H159" i="23"/>
  <c r="F159" i="23"/>
  <c r="E159" i="23"/>
  <c r="O158" i="23"/>
  <c r="N158" i="23"/>
  <c r="L158" i="23"/>
  <c r="K158" i="23"/>
  <c r="I158" i="23"/>
  <c r="H158" i="23"/>
  <c r="F158" i="23"/>
  <c r="E158" i="23"/>
  <c r="O157" i="23"/>
  <c r="N157" i="23"/>
  <c r="L157" i="23"/>
  <c r="K157" i="23"/>
  <c r="I157" i="23"/>
  <c r="H157" i="23"/>
  <c r="F157" i="23"/>
  <c r="E157" i="23"/>
  <c r="O156" i="23"/>
  <c r="N156" i="23"/>
  <c r="L156" i="23"/>
  <c r="K156" i="23"/>
  <c r="I156" i="23"/>
  <c r="H156" i="23"/>
  <c r="F156" i="23"/>
  <c r="E156" i="23"/>
  <c r="O155" i="23"/>
  <c r="N155" i="23"/>
  <c r="L155" i="23"/>
  <c r="K155" i="23"/>
  <c r="I155" i="23"/>
  <c r="H155" i="23"/>
  <c r="F155" i="23"/>
  <c r="E155" i="23"/>
  <c r="O154" i="23"/>
  <c r="N154" i="23"/>
  <c r="L154" i="23"/>
  <c r="K154" i="23"/>
  <c r="I154" i="23"/>
  <c r="H154" i="23"/>
  <c r="F154" i="23"/>
  <c r="E154" i="23"/>
  <c r="O153" i="23"/>
  <c r="N153" i="23"/>
  <c r="L153" i="23"/>
  <c r="K153" i="23"/>
  <c r="I153" i="23"/>
  <c r="H153" i="23"/>
  <c r="F153" i="23"/>
  <c r="E153" i="23"/>
  <c r="O152" i="23"/>
  <c r="O172" i="23" s="1"/>
  <c r="N152" i="23"/>
  <c r="N172" i="23" s="1"/>
  <c r="L152" i="23"/>
  <c r="L172" i="23" s="1"/>
  <c r="K152" i="23"/>
  <c r="I152" i="23"/>
  <c r="I172" i="23" s="1"/>
  <c r="H152" i="23"/>
  <c r="H172" i="23" s="1"/>
  <c r="F152" i="23"/>
  <c r="F172" i="23" s="1"/>
  <c r="E152" i="23"/>
  <c r="M150" i="23"/>
  <c r="J150" i="23"/>
  <c r="G150" i="23"/>
  <c r="D150" i="23"/>
  <c r="B150" i="23"/>
  <c r="M149" i="23"/>
  <c r="G149" i="23"/>
  <c r="N145" i="23"/>
  <c r="K145" i="23"/>
  <c r="H145" i="23"/>
  <c r="E145" i="23"/>
  <c r="B145" i="23"/>
  <c r="O144" i="23"/>
  <c r="N144" i="23"/>
  <c r="L144" i="23"/>
  <c r="K144" i="23"/>
  <c r="I144" i="23"/>
  <c r="H144" i="23"/>
  <c r="F144" i="23"/>
  <c r="E144" i="23"/>
  <c r="O143" i="23"/>
  <c r="N143" i="23"/>
  <c r="L143" i="23"/>
  <c r="K143" i="23"/>
  <c r="I143" i="23"/>
  <c r="H143" i="23"/>
  <c r="F143" i="23"/>
  <c r="E143" i="23"/>
  <c r="O142" i="23"/>
  <c r="N142" i="23"/>
  <c r="L142" i="23"/>
  <c r="K142" i="23"/>
  <c r="I142" i="23"/>
  <c r="H142" i="23"/>
  <c r="F142" i="23"/>
  <c r="E142" i="23"/>
  <c r="O141" i="23"/>
  <c r="N141" i="23"/>
  <c r="L141" i="23"/>
  <c r="K141" i="23"/>
  <c r="I141" i="23"/>
  <c r="H141" i="23"/>
  <c r="F141" i="23"/>
  <c r="E141" i="23"/>
  <c r="O140" i="23"/>
  <c r="N140" i="23"/>
  <c r="L140" i="23"/>
  <c r="K140" i="23"/>
  <c r="I140" i="23"/>
  <c r="H140" i="23"/>
  <c r="F140" i="23"/>
  <c r="E140" i="23"/>
  <c r="O139" i="23"/>
  <c r="N139" i="23"/>
  <c r="L139" i="23"/>
  <c r="K139" i="23"/>
  <c r="I139" i="23"/>
  <c r="H139" i="23"/>
  <c r="F139" i="23"/>
  <c r="E139" i="23"/>
  <c r="O138" i="23"/>
  <c r="N138" i="23"/>
  <c r="L138" i="23"/>
  <c r="K138" i="23"/>
  <c r="I138" i="23"/>
  <c r="H138" i="23"/>
  <c r="F138" i="23"/>
  <c r="E138" i="23"/>
  <c r="O137" i="23"/>
  <c r="N137" i="23"/>
  <c r="L137" i="23"/>
  <c r="K137" i="23"/>
  <c r="I137" i="23"/>
  <c r="H137" i="23"/>
  <c r="F137" i="23"/>
  <c r="E137" i="23"/>
  <c r="O136" i="23"/>
  <c r="N136" i="23"/>
  <c r="L136" i="23"/>
  <c r="K136" i="23"/>
  <c r="I136" i="23"/>
  <c r="H136" i="23"/>
  <c r="F136" i="23"/>
  <c r="E136" i="23"/>
  <c r="O135" i="23"/>
  <c r="N135" i="23"/>
  <c r="L135" i="23"/>
  <c r="K135" i="23"/>
  <c r="I135" i="23"/>
  <c r="H135" i="23"/>
  <c r="F135" i="23"/>
  <c r="E135" i="23"/>
  <c r="O134" i="23"/>
  <c r="N134" i="23"/>
  <c r="L134" i="23"/>
  <c r="K134" i="23"/>
  <c r="I134" i="23"/>
  <c r="H134" i="23"/>
  <c r="F134" i="23"/>
  <c r="E134" i="23"/>
  <c r="O133" i="23"/>
  <c r="N133" i="23"/>
  <c r="L133" i="23"/>
  <c r="K133" i="23"/>
  <c r="I133" i="23"/>
  <c r="H133" i="23"/>
  <c r="F133" i="23"/>
  <c r="E133" i="23"/>
  <c r="O132" i="23"/>
  <c r="N132" i="23"/>
  <c r="L132" i="23"/>
  <c r="K132" i="23"/>
  <c r="I132" i="23"/>
  <c r="H132" i="23"/>
  <c r="F132" i="23"/>
  <c r="E132" i="23"/>
  <c r="O131" i="23"/>
  <c r="N131" i="23"/>
  <c r="L131" i="23"/>
  <c r="K131" i="23"/>
  <c r="I131" i="23"/>
  <c r="H131" i="23"/>
  <c r="F131" i="23"/>
  <c r="E131" i="23"/>
  <c r="O130" i="23"/>
  <c r="N130" i="23"/>
  <c r="L130" i="23"/>
  <c r="K130" i="23"/>
  <c r="I130" i="23"/>
  <c r="H130" i="23"/>
  <c r="F130" i="23"/>
  <c r="E130" i="23"/>
  <c r="O129" i="23"/>
  <c r="N129" i="23"/>
  <c r="L129" i="23"/>
  <c r="K129" i="23"/>
  <c r="I129" i="23"/>
  <c r="H129" i="23"/>
  <c r="F129" i="23"/>
  <c r="E129" i="23"/>
  <c r="O128" i="23"/>
  <c r="N128" i="23"/>
  <c r="L128" i="23"/>
  <c r="K128" i="23"/>
  <c r="I128" i="23"/>
  <c r="H128" i="23"/>
  <c r="F128" i="23"/>
  <c r="E128" i="23"/>
  <c r="O127" i="23"/>
  <c r="N127" i="23"/>
  <c r="L127" i="23"/>
  <c r="K127" i="23"/>
  <c r="I127" i="23"/>
  <c r="H127" i="23"/>
  <c r="F127" i="23"/>
  <c r="E127" i="23"/>
  <c r="O126" i="23"/>
  <c r="N126" i="23"/>
  <c r="L126" i="23"/>
  <c r="K126" i="23"/>
  <c r="I126" i="23"/>
  <c r="H126" i="23"/>
  <c r="F126" i="23"/>
  <c r="E126" i="23"/>
  <c r="O125" i="23"/>
  <c r="O145" i="23" s="1"/>
  <c r="N125" i="23"/>
  <c r="L125" i="23"/>
  <c r="L145" i="23" s="1"/>
  <c r="K125" i="23"/>
  <c r="I125" i="23"/>
  <c r="I145" i="23" s="1"/>
  <c r="H125" i="23"/>
  <c r="F125" i="23"/>
  <c r="F145" i="23" s="1"/>
  <c r="E125" i="23"/>
  <c r="M123" i="23"/>
  <c r="J123" i="23"/>
  <c r="G123" i="23"/>
  <c r="D123" i="23"/>
  <c r="B123" i="23"/>
  <c r="M122" i="23"/>
  <c r="G122" i="23"/>
  <c r="N118" i="23"/>
  <c r="K118" i="23"/>
  <c r="H118" i="23"/>
  <c r="E118" i="23"/>
  <c r="B118" i="23"/>
  <c r="O117" i="23"/>
  <c r="N117" i="23"/>
  <c r="L117" i="23"/>
  <c r="K117" i="23"/>
  <c r="I117" i="23"/>
  <c r="H117" i="23"/>
  <c r="F117" i="23"/>
  <c r="E117" i="23"/>
  <c r="O116" i="23"/>
  <c r="N116" i="23"/>
  <c r="L116" i="23"/>
  <c r="K116" i="23"/>
  <c r="I116" i="23"/>
  <c r="H116" i="23"/>
  <c r="F116" i="23"/>
  <c r="E116" i="23"/>
  <c r="O115" i="23"/>
  <c r="N115" i="23"/>
  <c r="L115" i="23"/>
  <c r="K115" i="23"/>
  <c r="I115" i="23"/>
  <c r="H115" i="23"/>
  <c r="F115" i="23"/>
  <c r="E115" i="23"/>
  <c r="O114" i="23"/>
  <c r="N114" i="23"/>
  <c r="L114" i="23"/>
  <c r="K114" i="23"/>
  <c r="I114" i="23"/>
  <c r="H114" i="23"/>
  <c r="F114" i="23"/>
  <c r="E114" i="23"/>
  <c r="O113" i="23"/>
  <c r="N113" i="23"/>
  <c r="L113" i="23"/>
  <c r="K113" i="23"/>
  <c r="I113" i="23"/>
  <c r="H113" i="23"/>
  <c r="F113" i="23"/>
  <c r="E113" i="23"/>
  <c r="O112" i="23"/>
  <c r="N112" i="23"/>
  <c r="L112" i="23"/>
  <c r="K112" i="23"/>
  <c r="I112" i="23"/>
  <c r="H112" i="23"/>
  <c r="F112" i="23"/>
  <c r="E112" i="23"/>
  <c r="O111" i="23"/>
  <c r="N111" i="23"/>
  <c r="L111" i="23"/>
  <c r="K111" i="23"/>
  <c r="I111" i="23"/>
  <c r="H111" i="23"/>
  <c r="F111" i="23"/>
  <c r="E111" i="23"/>
  <c r="O110" i="23"/>
  <c r="N110" i="23"/>
  <c r="L110" i="23"/>
  <c r="K110" i="23"/>
  <c r="I110" i="23"/>
  <c r="H110" i="23"/>
  <c r="F110" i="23"/>
  <c r="E110" i="23"/>
  <c r="O109" i="23"/>
  <c r="N109" i="23"/>
  <c r="L109" i="23"/>
  <c r="K109" i="23"/>
  <c r="I109" i="23"/>
  <c r="H109" i="23"/>
  <c r="F109" i="23"/>
  <c r="E109" i="23"/>
  <c r="O108" i="23"/>
  <c r="N108" i="23"/>
  <c r="L108" i="23"/>
  <c r="K108" i="23"/>
  <c r="I108" i="23"/>
  <c r="H108" i="23"/>
  <c r="F108" i="23"/>
  <c r="E108" i="23"/>
  <c r="O107" i="23"/>
  <c r="N107" i="23"/>
  <c r="L107" i="23"/>
  <c r="K107" i="23"/>
  <c r="I107" i="23"/>
  <c r="H107" i="23"/>
  <c r="F107" i="23"/>
  <c r="E107" i="23"/>
  <c r="O106" i="23"/>
  <c r="N106" i="23"/>
  <c r="L106" i="23"/>
  <c r="K106" i="23"/>
  <c r="I106" i="23"/>
  <c r="H106" i="23"/>
  <c r="F106" i="23"/>
  <c r="E106" i="23"/>
  <c r="O105" i="23"/>
  <c r="N105" i="23"/>
  <c r="L105" i="23"/>
  <c r="K105" i="23"/>
  <c r="I105" i="23"/>
  <c r="H105" i="23"/>
  <c r="F105" i="23"/>
  <c r="E105" i="23"/>
  <c r="O104" i="23"/>
  <c r="N104" i="23"/>
  <c r="L104" i="23"/>
  <c r="K104" i="23"/>
  <c r="I104" i="23"/>
  <c r="H104" i="23"/>
  <c r="F104" i="23"/>
  <c r="E104" i="23"/>
  <c r="O103" i="23"/>
  <c r="N103" i="23"/>
  <c r="L103" i="23"/>
  <c r="K103" i="23"/>
  <c r="I103" i="23"/>
  <c r="H103" i="23"/>
  <c r="F103" i="23"/>
  <c r="E103" i="23"/>
  <c r="O102" i="23"/>
  <c r="N102" i="23"/>
  <c r="L102" i="23"/>
  <c r="K102" i="23"/>
  <c r="I102" i="23"/>
  <c r="H102" i="23"/>
  <c r="F102" i="23"/>
  <c r="E102" i="23"/>
  <c r="O101" i="23"/>
  <c r="N101" i="23"/>
  <c r="L101" i="23"/>
  <c r="K101" i="23"/>
  <c r="I101" i="23"/>
  <c r="H101" i="23"/>
  <c r="F101" i="23"/>
  <c r="E101" i="23"/>
  <c r="O100" i="23"/>
  <c r="N100" i="23"/>
  <c r="L100" i="23"/>
  <c r="K100" i="23"/>
  <c r="I100" i="23"/>
  <c r="H100" i="23"/>
  <c r="F100" i="23"/>
  <c r="E100" i="23"/>
  <c r="O99" i="23"/>
  <c r="N99" i="23"/>
  <c r="L99" i="23"/>
  <c r="K99" i="23"/>
  <c r="I99" i="23"/>
  <c r="H99" i="23"/>
  <c r="F99" i="23"/>
  <c r="E99" i="23"/>
  <c r="O98" i="23"/>
  <c r="O118" i="23" s="1"/>
  <c r="N98" i="23"/>
  <c r="L98" i="23"/>
  <c r="L118" i="23" s="1"/>
  <c r="K98" i="23"/>
  <c r="I98" i="23"/>
  <c r="I118" i="23" s="1"/>
  <c r="H98" i="23"/>
  <c r="F98" i="23"/>
  <c r="F118" i="23" s="1"/>
  <c r="E98" i="23"/>
  <c r="M96" i="23"/>
  <c r="J96" i="23"/>
  <c r="G96" i="23"/>
  <c r="D96" i="23"/>
  <c r="B96" i="23"/>
  <c r="M95" i="23"/>
  <c r="G95" i="23"/>
  <c r="N91" i="23"/>
  <c r="K91" i="23"/>
  <c r="H91" i="23"/>
  <c r="E91" i="23"/>
  <c r="B91" i="23"/>
  <c r="O90" i="23"/>
  <c r="N90" i="23"/>
  <c r="L90" i="23"/>
  <c r="K90" i="23"/>
  <c r="I90" i="23"/>
  <c r="H90" i="23"/>
  <c r="F90" i="23"/>
  <c r="E90" i="23"/>
  <c r="O89" i="23"/>
  <c r="N89" i="23"/>
  <c r="L89" i="23"/>
  <c r="K89" i="23"/>
  <c r="I89" i="23"/>
  <c r="H89" i="23"/>
  <c r="F89" i="23"/>
  <c r="E89" i="23"/>
  <c r="O88" i="23"/>
  <c r="N88" i="23"/>
  <c r="L88" i="23"/>
  <c r="K88" i="23"/>
  <c r="I88" i="23"/>
  <c r="H88" i="23"/>
  <c r="F88" i="23"/>
  <c r="E88" i="23"/>
  <c r="O87" i="23"/>
  <c r="N87" i="23"/>
  <c r="L87" i="23"/>
  <c r="K87" i="23"/>
  <c r="I87" i="23"/>
  <c r="H87" i="23"/>
  <c r="F87" i="23"/>
  <c r="E87" i="23"/>
  <c r="O86" i="23"/>
  <c r="N86" i="23"/>
  <c r="L86" i="23"/>
  <c r="K86" i="23"/>
  <c r="I86" i="23"/>
  <c r="H86" i="23"/>
  <c r="F86" i="23"/>
  <c r="E86" i="23"/>
  <c r="O85" i="23"/>
  <c r="N85" i="23"/>
  <c r="L85" i="23"/>
  <c r="K85" i="23"/>
  <c r="I85" i="23"/>
  <c r="H85" i="23"/>
  <c r="F85" i="23"/>
  <c r="E85" i="23"/>
  <c r="O84" i="23"/>
  <c r="N84" i="23"/>
  <c r="L84" i="23"/>
  <c r="K84" i="23"/>
  <c r="I84" i="23"/>
  <c r="H84" i="23"/>
  <c r="F84" i="23"/>
  <c r="E84" i="23"/>
  <c r="O83" i="23"/>
  <c r="N83" i="23"/>
  <c r="L83" i="23"/>
  <c r="K83" i="23"/>
  <c r="I83" i="23"/>
  <c r="H83" i="23"/>
  <c r="F83" i="23"/>
  <c r="E83" i="23"/>
  <c r="O82" i="23"/>
  <c r="N82" i="23"/>
  <c r="L82" i="23"/>
  <c r="K82" i="23"/>
  <c r="I82" i="23"/>
  <c r="H82" i="23"/>
  <c r="F82" i="23"/>
  <c r="E82" i="23"/>
  <c r="O81" i="23"/>
  <c r="N81" i="23"/>
  <c r="L81" i="23"/>
  <c r="K81" i="23"/>
  <c r="I81" i="23"/>
  <c r="H81" i="23"/>
  <c r="F81" i="23"/>
  <c r="E81" i="23"/>
  <c r="O80" i="23"/>
  <c r="N80" i="23"/>
  <c r="L80" i="23"/>
  <c r="K80" i="23"/>
  <c r="I80" i="23"/>
  <c r="H80" i="23"/>
  <c r="F80" i="23"/>
  <c r="E80" i="23"/>
  <c r="O79" i="23"/>
  <c r="N79" i="23"/>
  <c r="L79" i="23"/>
  <c r="K79" i="23"/>
  <c r="I79" i="23"/>
  <c r="H79" i="23"/>
  <c r="F79" i="23"/>
  <c r="E79" i="23"/>
  <c r="O78" i="23"/>
  <c r="N78" i="23"/>
  <c r="L78" i="23"/>
  <c r="K78" i="23"/>
  <c r="I78" i="23"/>
  <c r="H78" i="23"/>
  <c r="F78" i="23"/>
  <c r="E78" i="23"/>
  <c r="O77" i="23"/>
  <c r="N77" i="23"/>
  <c r="L77" i="23"/>
  <c r="K77" i="23"/>
  <c r="I77" i="23"/>
  <c r="H77" i="23"/>
  <c r="F77" i="23"/>
  <c r="E77" i="23"/>
  <c r="O76" i="23"/>
  <c r="N76" i="23"/>
  <c r="L76" i="23"/>
  <c r="K76" i="23"/>
  <c r="I76" i="23"/>
  <c r="H76" i="23"/>
  <c r="F76" i="23"/>
  <c r="E76" i="23"/>
  <c r="O75" i="23"/>
  <c r="N75" i="23"/>
  <c r="L75" i="23"/>
  <c r="K75" i="23"/>
  <c r="I75" i="23"/>
  <c r="H75" i="23"/>
  <c r="F75" i="23"/>
  <c r="E75" i="23"/>
  <c r="O74" i="23"/>
  <c r="N74" i="23"/>
  <c r="L74" i="23"/>
  <c r="K74" i="23"/>
  <c r="I74" i="23"/>
  <c r="H74" i="23"/>
  <c r="F74" i="23"/>
  <c r="E74" i="23"/>
  <c r="O73" i="23"/>
  <c r="N73" i="23"/>
  <c r="L73" i="23"/>
  <c r="K73" i="23"/>
  <c r="I73" i="23"/>
  <c r="H73" i="23"/>
  <c r="F73" i="23"/>
  <c r="E73" i="23"/>
  <c r="O72" i="23"/>
  <c r="N72" i="23"/>
  <c r="L72" i="23"/>
  <c r="K72" i="23"/>
  <c r="I72" i="23"/>
  <c r="H72" i="23"/>
  <c r="F72" i="23"/>
  <c r="E72" i="23"/>
  <c r="O71" i="23"/>
  <c r="O91" i="23" s="1"/>
  <c r="G7" i="23" s="1"/>
  <c r="N71" i="23"/>
  <c r="L71" i="23"/>
  <c r="L91" i="23" s="1"/>
  <c r="K71" i="23"/>
  <c r="I71" i="23"/>
  <c r="I91" i="23" s="1"/>
  <c r="H71" i="23"/>
  <c r="F71" i="23"/>
  <c r="F91" i="23" s="1"/>
  <c r="E71" i="23"/>
  <c r="M69" i="23"/>
  <c r="J69" i="23"/>
  <c r="G69" i="23"/>
  <c r="D69" i="23"/>
  <c r="B69" i="23"/>
  <c r="M68" i="23"/>
  <c r="G68" i="23"/>
  <c r="N64" i="23"/>
  <c r="K64" i="23"/>
  <c r="H64" i="23"/>
  <c r="E64" i="23"/>
  <c r="B64" i="23"/>
  <c r="O63" i="23"/>
  <c r="N63" i="23"/>
  <c r="L63" i="23"/>
  <c r="K63" i="23"/>
  <c r="I63" i="23"/>
  <c r="H63" i="23"/>
  <c r="F63" i="23"/>
  <c r="E63" i="23"/>
  <c r="O62" i="23"/>
  <c r="N62" i="23"/>
  <c r="L62" i="23"/>
  <c r="K62" i="23"/>
  <c r="I62" i="23"/>
  <c r="H62" i="23"/>
  <c r="F62" i="23"/>
  <c r="E62" i="23"/>
  <c r="O61" i="23"/>
  <c r="N61" i="23"/>
  <c r="L61" i="23"/>
  <c r="K61" i="23"/>
  <c r="I61" i="23"/>
  <c r="H61" i="23"/>
  <c r="F61" i="23"/>
  <c r="E61" i="23"/>
  <c r="O60" i="23"/>
  <c r="N60" i="23"/>
  <c r="L60" i="23"/>
  <c r="K60" i="23"/>
  <c r="I60" i="23"/>
  <c r="H60" i="23"/>
  <c r="F60" i="23"/>
  <c r="E60" i="23"/>
  <c r="O59" i="23"/>
  <c r="N59" i="23"/>
  <c r="L59" i="23"/>
  <c r="K59" i="23"/>
  <c r="I59" i="23"/>
  <c r="H59" i="23"/>
  <c r="F59" i="23"/>
  <c r="E59" i="23"/>
  <c r="O58" i="23"/>
  <c r="N58" i="23"/>
  <c r="L58" i="23"/>
  <c r="K58" i="23"/>
  <c r="I58" i="23"/>
  <c r="H58" i="23"/>
  <c r="F58" i="23"/>
  <c r="E58" i="23"/>
  <c r="O57" i="23"/>
  <c r="N57" i="23"/>
  <c r="L57" i="23"/>
  <c r="K57" i="23"/>
  <c r="I57" i="23"/>
  <c r="H57" i="23"/>
  <c r="F57" i="23"/>
  <c r="E57" i="23"/>
  <c r="O56" i="23"/>
  <c r="N56" i="23"/>
  <c r="L56" i="23"/>
  <c r="K56" i="23"/>
  <c r="I56" i="23"/>
  <c r="H56" i="23"/>
  <c r="F56" i="23"/>
  <c r="E56" i="23"/>
  <c r="O55" i="23"/>
  <c r="N55" i="23"/>
  <c r="L55" i="23"/>
  <c r="K55" i="23"/>
  <c r="I55" i="23"/>
  <c r="H55" i="23"/>
  <c r="F55" i="23"/>
  <c r="E55" i="23"/>
  <c r="O54" i="23"/>
  <c r="N54" i="23"/>
  <c r="L54" i="23"/>
  <c r="K54" i="23"/>
  <c r="I54" i="23"/>
  <c r="H54" i="23"/>
  <c r="F54" i="23"/>
  <c r="E54" i="23"/>
  <c r="O53" i="23"/>
  <c r="N53" i="23"/>
  <c r="L53" i="23"/>
  <c r="K53" i="23"/>
  <c r="I53" i="23"/>
  <c r="H53" i="23"/>
  <c r="F53" i="23"/>
  <c r="E53" i="23"/>
  <c r="O52" i="23"/>
  <c r="N52" i="23"/>
  <c r="L52" i="23"/>
  <c r="K52" i="23"/>
  <c r="I52" i="23"/>
  <c r="H52" i="23"/>
  <c r="F52" i="23"/>
  <c r="E52" i="23"/>
  <c r="O51" i="23"/>
  <c r="N51" i="23"/>
  <c r="L51" i="23"/>
  <c r="K51" i="23"/>
  <c r="I51" i="23"/>
  <c r="H51" i="23"/>
  <c r="F51" i="23"/>
  <c r="E51" i="23"/>
  <c r="O50" i="23"/>
  <c r="N50" i="23"/>
  <c r="L50" i="23"/>
  <c r="K50" i="23"/>
  <c r="I50" i="23"/>
  <c r="H50" i="23"/>
  <c r="F50" i="23"/>
  <c r="E50" i="23"/>
  <c r="O49" i="23"/>
  <c r="N49" i="23"/>
  <c r="L49" i="23"/>
  <c r="K49" i="23"/>
  <c r="I49" i="23"/>
  <c r="H49" i="23"/>
  <c r="F49" i="23"/>
  <c r="E49" i="23"/>
  <c r="O48" i="23"/>
  <c r="N48" i="23"/>
  <c r="L48" i="23"/>
  <c r="K48" i="23"/>
  <c r="I48" i="23"/>
  <c r="H48" i="23"/>
  <c r="F48" i="23"/>
  <c r="E48" i="23"/>
  <c r="O47" i="23"/>
  <c r="N47" i="23"/>
  <c r="L47" i="23"/>
  <c r="K47" i="23"/>
  <c r="I47" i="23"/>
  <c r="H47" i="23"/>
  <c r="F47" i="23"/>
  <c r="E47" i="23"/>
  <c r="O46" i="23"/>
  <c r="N46" i="23"/>
  <c r="L46" i="23"/>
  <c r="K46" i="23"/>
  <c r="I46" i="23"/>
  <c r="H46" i="23"/>
  <c r="F46" i="23"/>
  <c r="E46" i="23"/>
  <c r="O45" i="23"/>
  <c r="N45" i="23"/>
  <c r="L45" i="23"/>
  <c r="K45" i="23"/>
  <c r="I45" i="23"/>
  <c r="H45" i="23"/>
  <c r="F45" i="23"/>
  <c r="E45" i="23"/>
  <c r="O44" i="23"/>
  <c r="O64" i="23" s="1"/>
  <c r="N44" i="23"/>
  <c r="L44" i="23"/>
  <c r="L64" i="23" s="1"/>
  <c r="K44" i="23"/>
  <c r="I44" i="23"/>
  <c r="I64" i="23" s="1"/>
  <c r="H44" i="23"/>
  <c r="F44" i="23"/>
  <c r="F64" i="23" s="1"/>
  <c r="E44" i="23"/>
  <c r="M42" i="23"/>
  <c r="J42" i="23"/>
  <c r="G42" i="23"/>
  <c r="D42" i="23"/>
  <c r="B42" i="23"/>
  <c r="M41" i="23"/>
  <c r="G41" i="23"/>
  <c r="O36" i="23"/>
  <c r="N36" i="23"/>
  <c r="M36" i="23"/>
  <c r="L36" i="23"/>
  <c r="K36" i="23"/>
  <c r="J36" i="23"/>
  <c r="I36" i="23"/>
  <c r="H36" i="23"/>
  <c r="G36" i="23"/>
  <c r="F36" i="23"/>
  <c r="E36" i="23"/>
  <c r="D36" i="23"/>
  <c r="C36" i="23"/>
  <c r="B36" i="23"/>
  <c r="O35" i="23"/>
  <c r="N35" i="23"/>
  <c r="M35" i="23"/>
  <c r="L35" i="23"/>
  <c r="K35" i="23"/>
  <c r="J35" i="23"/>
  <c r="I35" i="23"/>
  <c r="H35" i="23"/>
  <c r="G35" i="23"/>
  <c r="F35" i="23"/>
  <c r="E35" i="23"/>
  <c r="D35" i="23"/>
  <c r="C35" i="23"/>
  <c r="B35" i="23"/>
  <c r="O34" i="23"/>
  <c r="N34" i="23"/>
  <c r="M34" i="23"/>
  <c r="L34" i="23"/>
  <c r="K34" i="23"/>
  <c r="J34" i="23"/>
  <c r="I34" i="23"/>
  <c r="H34" i="23"/>
  <c r="G34" i="23"/>
  <c r="F34" i="23"/>
  <c r="E34" i="23"/>
  <c r="D34" i="23"/>
  <c r="C34" i="23"/>
  <c r="B34" i="23"/>
  <c r="O33" i="23"/>
  <c r="N33" i="23"/>
  <c r="M33" i="23"/>
  <c r="L33" i="23"/>
  <c r="K33" i="23"/>
  <c r="J33" i="23"/>
  <c r="I33" i="23"/>
  <c r="H33" i="23"/>
  <c r="G33" i="23"/>
  <c r="F33" i="23"/>
  <c r="E33" i="23"/>
  <c r="D33" i="23"/>
  <c r="C33" i="23"/>
  <c r="B33" i="23"/>
  <c r="O32" i="23"/>
  <c r="N32" i="23"/>
  <c r="M32" i="23"/>
  <c r="L32" i="23"/>
  <c r="K32" i="23"/>
  <c r="J32" i="23"/>
  <c r="I32" i="23"/>
  <c r="H32" i="23"/>
  <c r="G32" i="23"/>
  <c r="F32" i="23"/>
  <c r="E32" i="23"/>
  <c r="D32" i="23"/>
  <c r="C32" i="23"/>
  <c r="B32" i="23"/>
  <c r="O31" i="23"/>
  <c r="N31" i="23"/>
  <c r="M31" i="23"/>
  <c r="L31" i="23"/>
  <c r="K31" i="23"/>
  <c r="J31" i="23"/>
  <c r="I31" i="23"/>
  <c r="H31" i="23"/>
  <c r="G31" i="23"/>
  <c r="F31" i="23"/>
  <c r="E31" i="23"/>
  <c r="D31" i="23"/>
  <c r="C31" i="23"/>
  <c r="B31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B30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B29" i="23"/>
  <c r="O28" i="23"/>
  <c r="N28" i="23"/>
  <c r="M28" i="23"/>
  <c r="L28" i="23"/>
  <c r="K28" i="23"/>
  <c r="J28" i="23"/>
  <c r="I28" i="23"/>
  <c r="H28" i="23"/>
  <c r="G28" i="23"/>
  <c r="F28" i="23"/>
  <c r="E28" i="23"/>
  <c r="D28" i="23"/>
  <c r="C28" i="23"/>
  <c r="B28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B27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B26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B25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B24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B23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B22" i="23"/>
  <c r="O21" i="23"/>
  <c r="N21" i="23"/>
  <c r="M21" i="23"/>
  <c r="L21" i="23"/>
  <c r="K21" i="23"/>
  <c r="J21" i="23"/>
  <c r="I21" i="23"/>
  <c r="H21" i="23"/>
  <c r="G21" i="23"/>
  <c r="F21" i="23"/>
  <c r="E21" i="23"/>
  <c r="D21" i="23"/>
  <c r="C21" i="23"/>
  <c r="B21" i="23"/>
  <c r="O20" i="23"/>
  <c r="N20" i="23"/>
  <c r="M20" i="23"/>
  <c r="L20" i="23"/>
  <c r="K20" i="23"/>
  <c r="J20" i="23"/>
  <c r="I20" i="23"/>
  <c r="H20" i="23"/>
  <c r="G20" i="23"/>
  <c r="F20" i="23"/>
  <c r="E20" i="23"/>
  <c r="D20" i="23"/>
  <c r="C20" i="23"/>
  <c r="B20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O18" i="23"/>
  <c r="N18" i="23"/>
  <c r="M18" i="23"/>
  <c r="L18" i="23"/>
  <c r="K18" i="23"/>
  <c r="J18" i="23"/>
  <c r="I18" i="23"/>
  <c r="H18" i="23"/>
  <c r="G18" i="23"/>
  <c r="F18" i="23"/>
  <c r="E18" i="23"/>
  <c r="D18" i="23"/>
  <c r="C18" i="23"/>
  <c r="B18" i="23"/>
  <c r="O17" i="23"/>
  <c r="N17" i="23"/>
  <c r="M17" i="23"/>
  <c r="L17" i="23"/>
  <c r="K17" i="23"/>
  <c r="J17" i="23"/>
  <c r="I17" i="23"/>
  <c r="H17" i="23"/>
  <c r="G17" i="23"/>
  <c r="F17" i="23"/>
  <c r="E17" i="23"/>
  <c r="D17" i="23"/>
  <c r="C17" i="23"/>
  <c r="B17" i="23"/>
  <c r="M15" i="23"/>
  <c r="J15" i="23"/>
  <c r="G15" i="23"/>
  <c r="D15" i="23"/>
  <c r="B15" i="23"/>
  <c r="M14" i="23"/>
  <c r="G14" i="23"/>
  <c r="N199" i="6"/>
  <c r="K199" i="6"/>
  <c r="H199" i="6"/>
  <c r="E199" i="6"/>
  <c r="B199" i="6"/>
  <c r="O198" i="6"/>
  <c r="N198" i="6"/>
  <c r="L198" i="6"/>
  <c r="K198" i="6"/>
  <c r="I198" i="6"/>
  <c r="H198" i="6"/>
  <c r="F198" i="6"/>
  <c r="E198" i="6"/>
  <c r="O197" i="6"/>
  <c r="N197" i="6"/>
  <c r="L197" i="6"/>
  <c r="K197" i="6"/>
  <c r="I197" i="6"/>
  <c r="H197" i="6"/>
  <c r="F197" i="6"/>
  <c r="E197" i="6"/>
  <c r="O196" i="6"/>
  <c r="N196" i="6"/>
  <c r="L196" i="6"/>
  <c r="K196" i="6"/>
  <c r="I196" i="6"/>
  <c r="H196" i="6"/>
  <c r="F196" i="6"/>
  <c r="E196" i="6"/>
  <c r="O195" i="6"/>
  <c r="N195" i="6"/>
  <c r="L195" i="6"/>
  <c r="K195" i="6"/>
  <c r="I195" i="6"/>
  <c r="H195" i="6"/>
  <c r="F195" i="6"/>
  <c r="E195" i="6"/>
  <c r="O194" i="6"/>
  <c r="N194" i="6"/>
  <c r="L194" i="6"/>
  <c r="K194" i="6"/>
  <c r="I194" i="6"/>
  <c r="H194" i="6"/>
  <c r="F194" i="6"/>
  <c r="E194" i="6"/>
  <c r="O193" i="6"/>
  <c r="N193" i="6"/>
  <c r="L193" i="6"/>
  <c r="K193" i="6"/>
  <c r="I193" i="6"/>
  <c r="H193" i="6"/>
  <c r="F193" i="6"/>
  <c r="E193" i="6"/>
  <c r="O192" i="6"/>
  <c r="N192" i="6"/>
  <c r="L192" i="6"/>
  <c r="K192" i="6"/>
  <c r="I192" i="6"/>
  <c r="H192" i="6"/>
  <c r="F192" i="6"/>
  <c r="E192" i="6"/>
  <c r="O191" i="6"/>
  <c r="N191" i="6"/>
  <c r="L191" i="6"/>
  <c r="K191" i="6"/>
  <c r="I191" i="6"/>
  <c r="H191" i="6"/>
  <c r="F191" i="6"/>
  <c r="E191" i="6"/>
  <c r="O190" i="6"/>
  <c r="N190" i="6"/>
  <c r="L190" i="6"/>
  <c r="K190" i="6"/>
  <c r="I190" i="6"/>
  <c r="H190" i="6"/>
  <c r="F190" i="6"/>
  <c r="E190" i="6"/>
  <c r="O189" i="6"/>
  <c r="N189" i="6"/>
  <c r="L189" i="6"/>
  <c r="K189" i="6"/>
  <c r="I189" i="6"/>
  <c r="H189" i="6"/>
  <c r="F189" i="6"/>
  <c r="E189" i="6"/>
  <c r="O188" i="6"/>
  <c r="N188" i="6"/>
  <c r="L188" i="6"/>
  <c r="K188" i="6"/>
  <c r="I188" i="6"/>
  <c r="H188" i="6"/>
  <c r="F188" i="6"/>
  <c r="E188" i="6"/>
  <c r="O187" i="6"/>
  <c r="N187" i="6"/>
  <c r="L187" i="6"/>
  <c r="K187" i="6"/>
  <c r="I187" i="6"/>
  <c r="H187" i="6"/>
  <c r="F187" i="6"/>
  <c r="E187" i="6"/>
  <c r="O186" i="6"/>
  <c r="N186" i="6"/>
  <c r="L186" i="6"/>
  <c r="K186" i="6"/>
  <c r="I186" i="6"/>
  <c r="H186" i="6"/>
  <c r="F186" i="6"/>
  <c r="E186" i="6"/>
  <c r="O185" i="6"/>
  <c r="N185" i="6"/>
  <c r="L185" i="6"/>
  <c r="K185" i="6"/>
  <c r="I185" i="6"/>
  <c r="H185" i="6"/>
  <c r="F185" i="6"/>
  <c r="E185" i="6"/>
  <c r="O184" i="6"/>
  <c r="N184" i="6"/>
  <c r="L184" i="6"/>
  <c r="K184" i="6"/>
  <c r="I184" i="6"/>
  <c r="H184" i="6"/>
  <c r="F184" i="6"/>
  <c r="E184" i="6"/>
  <c r="O183" i="6"/>
  <c r="N183" i="6"/>
  <c r="L183" i="6"/>
  <c r="K183" i="6"/>
  <c r="I183" i="6"/>
  <c r="H183" i="6"/>
  <c r="F183" i="6"/>
  <c r="E183" i="6"/>
  <c r="O182" i="6"/>
  <c r="N182" i="6"/>
  <c r="L182" i="6"/>
  <c r="K182" i="6"/>
  <c r="I182" i="6"/>
  <c r="H182" i="6"/>
  <c r="F182" i="6"/>
  <c r="E182" i="6"/>
  <c r="O181" i="6"/>
  <c r="N181" i="6"/>
  <c r="L181" i="6"/>
  <c r="K181" i="6"/>
  <c r="I181" i="6"/>
  <c r="H181" i="6"/>
  <c r="F181" i="6"/>
  <c r="E181" i="6"/>
  <c r="O180" i="6"/>
  <c r="N180" i="6"/>
  <c r="L180" i="6"/>
  <c r="K180" i="6"/>
  <c r="I180" i="6"/>
  <c r="H180" i="6"/>
  <c r="F180" i="6"/>
  <c r="E180" i="6"/>
  <c r="O179" i="6"/>
  <c r="O199" i="6" s="1"/>
  <c r="N179" i="6"/>
  <c r="L179" i="6"/>
  <c r="L199" i="6" s="1"/>
  <c r="K179" i="6"/>
  <c r="I179" i="6"/>
  <c r="I199" i="6" s="1"/>
  <c r="H179" i="6"/>
  <c r="F179" i="6"/>
  <c r="F199" i="6" s="1"/>
  <c r="E179" i="6"/>
  <c r="M177" i="6"/>
  <c r="J177" i="6"/>
  <c r="G177" i="6"/>
  <c r="D177" i="6"/>
  <c r="B177" i="6"/>
  <c r="M176" i="6"/>
  <c r="G176" i="6"/>
  <c r="K172" i="6"/>
  <c r="E172" i="6"/>
  <c r="B172" i="6"/>
  <c r="O171" i="6"/>
  <c r="N171" i="6"/>
  <c r="L171" i="6"/>
  <c r="K171" i="6"/>
  <c r="I171" i="6"/>
  <c r="H171" i="6"/>
  <c r="F171" i="6"/>
  <c r="E171" i="6"/>
  <c r="O170" i="6"/>
  <c r="N170" i="6"/>
  <c r="L170" i="6"/>
  <c r="K170" i="6"/>
  <c r="I170" i="6"/>
  <c r="H170" i="6"/>
  <c r="F170" i="6"/>
  <c r="E170" i="6"/>
  <c r="O169" i="6"/>
  <c r="N169" i="6"/>
  <c r="L169" i="6"/>
  <c r="K169" i="6"/>
  <c r="I169" i="6"/>
  <c r="H169" i="6"/>
  <c r="F169" i="6"/>
  <c r="E169" i="6"/>
  <c r="O168" i="6"/>
  <c r="N168" i="6"/>
  <c r="L168" i="6"/>
  <c r="K168" i="6"/>
  <c r="I168" i="6"/>
  <c r="H168" i="6"/>
  <c r="F168" i="6"/>
  <c r="E168" i="6"/>
  <c r="O167" i="6"/>
  <c r="N167" i="6"/>
  <c r="L167" i="6"/>
  <c r="K167" i="6"/>
  <c r="I167" i="6"/>
  <c r="H167" i="6"/>
  <c r="F167" i="6"/>
  <c r="E167" i="6"/>
  <c r="O166" i="6"/>
  <c r="N166" i="6"/>
  <c r="L166" i="6"/>
  <c r="K166" i="6"/>
  <c r="I166" i="6"/>
  <c r="H166" i="6"/>
  <c r="F166" i="6"/>
  <c r="E166" i="6"/>
  <c r="O165" i="6"/>
  <c r="N165" i="6"/>
  <c r="L165" i="6"/>
  <c r="K165" i="6"/>
  <c r="I165" i="6"/>
  <c r="H165" i="6"/>
  <c r="F165" i="6"/>
  <c r="E165" i="6"/>
  <c r="O164" i="6"/>
  <c r="N164" i="6"/>
  <c r="L164" i="6"/>
  <c r="K164" i="6"/>
  <c r="I164" i="6"/>
  <c r="H164" i="6"/>
  <c r="F164" i="6"/>
  <c r="E164" i="6"/>
  <c r="O163" i="6"/>
  <c r="N163" i="6"/>
  <c r="L163" i="6"/>
  <c r="K163" i="6"/>
  <c r="I163" i="6"/>
  <c r="H163" i="6"/>
  <c r="F163" i="6"/>
  <c r="E163" i="6"/>
  <c r="O162" i="6"/>
  <c r="N162" i="6"/>
  <c r="L162" i="6"/>
  <c r="K162" i="6"/>
  <c r="I162" i="6"/>
  <c r="H162" i="6"/>
  <c r="F162" i="6"/>
  <c r="E162" i="6"/>
  <c r="O161" i="6"/>
  <c r="N161" i="6"/>
  <c r="L161" i="6"/>
  <c r="K161" i="6"/>
  <c r="I161" i="6"/>
  <c r="H161" i="6"/>
  <c r="F161" i="6"/>
  <c r="E161" i="6"/>
  <c r="O160" i="6"/>
  <c r="N160" i="6"/>
  <c r="L160" i="6"/>
  <c r="K160" i="6"/>
  <c r="I160" i="6"/>
  <c r="H160" i="6"/>
  <c r="F160" i="6"/>
  <c r="E160" i="6"/>
  <c r="O159" i="6"/>
  <c r="N159" i="6"/>
  <c r="L159" i="6"/>
  <c r="K159" i="6"/>
  <c r="I159" i="6"/>
  <c r="H159" i="6"/>
  <c r="F159" i="6"/>
  <c r="E159" i="6"/>
  <c r="O158" i="6"/>
  <c r="N158" i="6"/>
  <c r="L158" i="6"/>
  <c r="K158" i="6"/>
  <c r="I158" i="6"/>
  <c r="H158" i="6"/>
  <c r="F158" i="6"/>
  <c r="E158" i="6"/>
  <c r="O157" i="6"/>
  <c r="N157" i="6"/>
  <c r="L157" i="6"/>
  <c r="K157" i="6"/>
  <c r="I157" i="6"/>
  <c r="H157" i="6"/>
  <c r="F157" i="6"/>
  <c r="E157" i="6"/>
  <c r="O156" i="6"/>
  <c r="N156" i="6"/>
  <c r="L156" i="6"/>
  <c r="K156" i="6"/>
  <c r="I156" i="6"/>
  <c r="H156" i="6"/>
  <c r="F156" i="6"/>
  <c r="E156" i="6"/>
  <c r="O155" i="6"/>
  <c r="N155" i="6"/>
  <c r="L155" i="6"/>
  <c r="K155" i="6"/>
  <c r="I155" i="6"/>
  <c r="H155" i="6"/>
  <c r="F155" i="6"/>
  <c r="E155" i="6"/>
  <c r="O154" i="6"/>
  <c r="N154" i="6"/>
  <c r="L154" i="6"/>
  <c r="K154" i="6"/>
  <c r="I154" i="6"/>
  <c r="H154" i="6"/>
  <c r="F154" i="6"/>
  <c r="E154" i="6"/>
  <c r="O153" i="6"/>
  <c r="N153" i="6"/>
  <c r="L153" i="6"/>
  <c r="K153" i="6"/>
  <c r="I153" i="6"/>
  <c r="H153" i="6"/>
  <c r="F153" i="6"/>
  <c r="E153" i="6"/>
  <c r="O152" i="6"/>
  <c r="O172" i="6" s="1"/>
  <c r="N152" i="6"/>
  <c r="N172" i="6" s="1"/>
  <c r="L152" i="6"/>
  <c r="L172" i="6" s="1"/>
  <c r="K152" i="6"/>
  <c r="I152" i="6"/>
  <c r="I172" i="6" s="1"/>
  <c r="H152" i="6"/>
  <c r="H172" i="6" s="1"/>
  <c r="F152" i="6"/>
  <c r="F172" i="6" s="1"/>
  <c r="E152" i="6"/>
  <c r="M150" i="6"/>
  <c r="J150" i="6"/>
  <c r="G150" i="6"/>
  <c r="D150" i="6"/>
  <c r="B150" i="6"/>
  <c r="M149" i="6"/>
  <c r="G149" i="6"/>
  <c r="K145" i="6"/>
  <c r="E145" i="6"/>
  <c r="B145" i="6"/>
  <c r="O144" i="6"/>
  <c r="N144" i="6"/>
  <c r="L144" i="6"/>
  <c r="K144" i="6"/>
  <c r="I144" i="6"/>
  <c r="H144" i="6"/>
  <c r="F144" i="6"/>
  <c r="E144" i="6"/>
  <c r="O143" i="6"/>
  <c r="N143" i="6"/>
  <c r="L143" i="6"/>
  <c r="K143" i="6"/>
  <c r="I143" i="6"/>
  <c r="H143" i="6"/>
  <c r="F143" i="6"/>
  <c r="E143" i="6"/>
  <c r="O142" i="6"/>
  <c r="N142" i="6"/>
  <c r="L142" i="6"/>
  <c r="K142" i="6"/>
  <c r="I142" i="6"/>
  <c r="H142" i="6"/>
  <c r="F142" i="6"/>
  <c r="E142" i="6"/>
  <c r="O141" i="6"/>
  <c r="N141" i="6"/>
  <c r="L141" i="6"/>
  <c r="K141" i="6"/>
  <c r="I141" i="6"/>
  <c r="H141" i="6"/>
  <c r="F141" i="6"/>
  <c r="E141" i="6"/>
  <c r="O140" i="6"/>
  <c r="N140" i="6"/>
  <c r="L140" i="6"/>
  <c r="K140" i="6"/>
  <c r="I140" i="6"/>
  <c r="H140" i="6"/>
  <c r="F140" i="6"/>
  <c r="E140" i="6"/>
  <c r="O139" i="6"/>
  <c r="N139" i="6"/>
  <c r="L139" i="6"/>
  <c r="K139" i="6"/>
  <c r="I139" i="6"/>
  <c r="H139" i="6"/>
  <c r="F139" i="6"/>
  <c r="E139" i="6"/>
  <c r="O138" i="6"/>
  <c r="N138" i="6"/>
  <c r="L138" i="6"/>
  <c r="K138" i="6"/>
  <c r="I138" i="6"/>
  <c r="H138" i="6"/>
  <c r="F138" i="6"/>
  <c r="E138" i="6"/>
  <c r="O137" i="6"/>
  <c r="N137" i="6"/>
  <c r="L137" i="6"/>
  <c r="K137" i="6"/>
  <c r="I137" i="6"/>
  <c r="H137" i="6"/>
  <c r="F137" i="6"/>
  <c r="E137" i="6"/>
  <c r="O136" i="6"/>
  <c r="N136" i="6"/>
  <c r="L136" i="6"/>
  <c r="K136" i="6"/>
  <c r="I136" i="6"/>
  <c r="H136" i="6"/>
  <c r="F136" i="6"/>
  <c r="E136" i="6"/>
  <c r="O135" i="6"/>
  <c r="N135" i="6"/>
  <c r="L135" i="6"/>
  <c r="K135" i="6"/>
  <c r="I135" i="6"/>
  <c r="H135" i="6"/>
  <c r="F135" i="6"/>
  <c r="E135" i="6"/>
  <c r="O134" i="6"/>
  <c r="N134" i="6"/>
  <c r="L134" i="6"/>
  <c r="K134" i="6"/>
  <c r="I134" i="6"/>
  <c r="H134" i="6"/>
  <c r="F134" i="6"/>
  <c r="E134" i="6"/>
  <c r="O133" i="6"/>
  <c r="N133" i="6"/>
  <c r="L133" i="6"/>
  <c r="K133" i="6"/>
  <c r="I133" i="6"/>
  <c r="H133" i="6"/>
  <c r="F133" i="6"/>
  <c r="E133" i="6"/>
  <c r="O132" i="6"/>
  <c r="N132" i="6"/>
  <c r="L132" i="6"/>
  <c r="K132" i="6"/>
  <c r="I132" i="6"/>
  <c r="H132" i="6"/>
  <c r="F132" i="6"/>
  <c r="E132" i="6"/>
  <c r="O131" i="6"/>
  <c r="N131" i="6"/>
  <c r="L131" i="6"/>
  <c r="K131" i="6"/>
  <c r="I131" i="6"/>
  <c r="H131" i="6"/>
  <c r="F131" i="6"/>
  <c r="E131" i="6"/>
  <c r="O130" i="6"/>
  <c r="N130" i="6"/>
  <c r="L130" i="6"/>
  <c r="K130" i="6"/>
  <c r="I130" i="6"/>
  <c r="H130" i="6"/>
  <c r="F130" i="6"/>
  <c r="E130" i="6"/>
  <c r="O129" i="6"/>
  <c r="N129" i="6"/>
  <c r="L129" i="6"/>
  <c r="K129" i="6"/>
  <c r="I129" i="6"/>
  <c r="H129" i="6"/>
  <c r="F129" i="6"/>
  <c r="E129" i="6"/>
  <c r="O128" i="6"/>
  <c r="N128" i="6"/>
  <c r="L128" i="6"/>
  <c r="K128" i="6"/>
  <c r="I128" i="6"/>
  <c r="H128" i="6"/>
  <c r="F128" i="6"/>
  <c r="E128" i="6"/>
  <c r="O127" i="6"/>
  <c r="N127" i="6"/>
  <c r="L127" i="6"/>
  <c r="K127" i="6"/>
  <c r="I127" i="6"/>
  <c r="H127" i="6"/>
  <c r="F127" i="6"/>
  <c r="E127" i="6"/>
  <c r="O126" i="6"/>
  <c r="N126" i="6"/>
  <c r="L126" i="6"/>
  <c r="K126" i="6"/>
  <c r="I126" i="6"/>
  <c r="H126" i="6"/>
  <c r="F126" i="6"/>
  <c r="E126" i="6"/>
  <c r="O125" i="6"/>
  <c r="N125" i="6"/>
  <c r="N145" i="6" s="1"/>
  <c r="L125" i="6"/>
  <c r="L145" i="6" s="1"/>
  <c r="K125" i="6"/>
  <c r="I125" i="6"/>
  <c r="I145" i="6" s="1"/>
  <c r="H125" i="6"/>
  <c r="H145" i="6" s="1"/>
  <c r="F125" i="6"/>
  <c r="F145" i="6" s="1"/>
  <c r="E125" i="6"/>
  <c r="M123" i="6"/>
  <c r="J123" i="6"/>
  <c r="G123" i="6"/>
  <c r="D123" i="6"/>
  <c r="B123" i="6"/>
  <c r="M122" i="6"/>
  <c r="G122" i="6"/>
  <c r="K118" i="6"/>
  <c r="E118" i="6"/>
  <c r="B118" i="6"/>
  <c r="O117" i="6"/>
  <c r="N117" i="6"/>
  <c r="L117" i="6"/>
  <c r="K117" i="6"/>
  <c r="I117" i="6"/>
  <c r="H117" i="6"/>
  <c r="F117" i="6"/>
  <c r="E117" i="6"/>
  <c r="O116" i="6"/>
  <c r="N116" i="6"/>
  <c r="L116" i="6"/>
  <c r="K116" i="6"/>
  <c r="I116" i="6"/>
  <c r="H116" i="6"/>
  <c r="F116" i="6"/>
  <c r="E116" i="6"/>
  <c r="O115" i="6"/>
  <c r="N115" i="6"/>
  <c r="L115" i="6"/>
  <c r="K115" i="6"/>
  <c r="I115" i="6"/>
  <c r="H115" i="6"/>
  <c r="F115" i="6"/>
  <c r="E115" i="6"/>
  <c r="O114" i="6"/>
  <c r="N114" i="6"/>
  <c r="L114" i="6"/>
  <c r="K114" i="6"/>
  <c r="I114" i="6"/>
  <c r="H114" i="6"/>
  <c r="F114" i="6"/>
  <c r="E114" i="6"/>
  <c r="O113" i="6"/>
  <c r="N113" i="6"/>
  <c r="L113" i="6"/>
  <c r="K113" i="6"/>
  <c r="I113" i="6"/>
  <c r="H113" i="6"/>
  <c r="F113" i="6"/>
  <c r="E113" i="6"/>
  <c r="O112" i="6"/>
  <c r="N112" i="6"/>
  <c r="L112" i="6"/>
  <c r="K112" i="6"/>
  <c r="I112" i="6"/>
  <c r="H112" i="6"/>
  <c r="F112" i="6"/>
  <c r="E112" i="6"/>
  <c r="O111" i="6"/>
  <c r="N111" i="6"/>
  <c r="L111" i="6"/>
  <c r="K111" i="6"/>
  <c r="I111" i="6"/>
  <c r="H111" i="6"/>
  <c r="F111" i="6"/>
  <c r="E111" i="6"/>
  <c r="O110" i="6"/>
  <c r="N110" i="6"/>
  <c r="L110" i="6"/>
  <c r="K110" i="6"/>
  <c r="I110" i="6"/>
  <c r="H110" i="6"/>
  <c r="F110" i="6"/>
  <c r="E110" i="6"/>
  <c r="O109" i="6"/>
  <c r="N109" i="6"/>
  <c r="L109" i="6"/>
  <c r="K109" i="6"/>
  <c r="I109" i="6"/>
  <c r="H109" i="6"/>
  <c r="F109" i="6"/>
  <c r="E109" i="6"/>
  <c r="O108" i="6"/>
  <c r="N108" i="6"/>
  <c r="L108" i="6"/>
  <c r="K108" i="6"/>
  <c r="I108" i="6"/>
  <c r="H108" i="6"/>
  <c r="F108" i="6"/>
  <c r="E108" i="6"/>
  <c r="O107" i="6"/>
  <c r="N107" i="6"/>
  <c r="L107" i="6"/>
  <c r="K107" i="6"/>
  <c r="I107" i="6"/>
  <c r="H107" i="6"/>
  <c r="F107" i="6"/>
  <c r="E107" i="6"/>
  <c r="O106" i="6"/>
  <c r="N106" i="6"/>
  <c r="L106" i="6"/>
  <c r="K106" i="6"/>
  <c r="I106" i="6"/>
  <c r="H106" i="6"/>
  <c r="F106" i="6"/>
  <c r="E106" i="6"/>
  <c r="O105" i="6"/>
  <c r="N105" i="6"/>
  <c r="L105" i="6"/>
  <c r="K105" i="6"/>
  <c r="I105" i="6"/>
  <c r="H105" i="6"/>
  <c r="F105" i="6"/>
  <c r="E105" i="6"/>
  <c r="O104" i="6"/>
  <c r="N104" i="6"/>
  <c r="L104" i="6"/>
  <c r="K104" i="6"/>
  <c r="I104" i="6"/>
  <c r="H104" i="6"/>
  <c r="F104" i="6"/>
  <c r="E104" i="6"/>
  <c r="O103" i="6"/>
  <c r="N103" i="6"/>
  <c r="L103" i="6"/>
  <c r="K103" i="6"/>
  <c r="I103" i="6"/>
  <c r="H103" i="6"/>
  <c r="F103" i="6"/>
  <c r="E103" i="6"/>
  <c r="O102" i="6"/>
  <c r="N102" i="6"/>
  <c r="L102" i="6"/>
  <c r="K102" i="6"/>
  <c r="I102" i="6"/>
  <c r="H102" i="6"/>
  <c r="F102" i="6"/>
  <c r="E102" i="6"/>
  <c r="O101" i="6"/>
  <c r="N101" i="6"/>
  <c r="L101" i="6"/>
  <c r="K101" i="6"/>
  <c r="I101" i="6"/>
  <c r="H101" i="6"/>
  <c r="F101" i="6"/>
  <c r="E101" i="6"/>
  <c r="O100" i="6"/>
  <c r="N100" i="6"/>
  <c r="L100" i="6"/>
  <c r="K100" i="6"/>
  <c r="I100" i="6"/>
  <c r="H100" i="6"/>
  <c r="F100" i="6"/>
  <c r="E100" i="6"/>
  <c r="O99" i="6"/>
  <c r="N99" i="6"/>
  <c r="L99" i="6"/>
  <c r="K99" i="6"/>
  <c r="I99" i="6"/>
  <c r="H99" i="6"/>
  <c r="F99" i="6"/>
  <c r="E99" i="6"/>
  <c r="O98" i="6"/>
  <c r="O118" i="6" s="1"/>
  <c r="N98" i="6"/>
  <c r="N118" i="6" s="1"/>
  <c r="L98" i="6"/>
  <c r="L118" i="6" s="1"/>
  <c r="K98" i="6"/>
  <c r="I98" i="6"/>
  <c r="I118" i="6" s="1"/>
  <c r="H98" i="6"/>
  <c r="H118" i="6" s="1"/>
  <c r="F98" i="6"/>
  <c r="F118" i="6" s="1"/>
  <c r="E98" i="6"/>
  <c r="M96" i="6"/>
  <c r="J96" i="6"/>
  <c r="G96" i="6"/>
  <c r="D96" i="6"/>
  <c r="B96" i="6"/>
  <c r="M95" i="6"/>
  <c r="G95" i="6"/>
  <c r="K91" i="6"/>
  <c r="E91" i="6"/>
  <c r="B91" i="6"/>
  <c r="O90" i="6"/>
  <c r="N90" i="6"/>
  <c r="L90" i="6"/>
  <c r="K90" i="6"/>
  <c r="I90" i="6"/>
  <c r="H90" i="6"/>
  <c r="F90" i="6"/>
  <c r="E90" i="6"/>
  <c r="O89" i="6"/>
  <c r="N89" i="6"/>
  <c r="L89" i="6"/>
  <c r="K89" i="6"/>
  <c r="I89" i="6"/>
  <c r="H89" i="6"/>
  <c r="F89" i="6"/>
  <c r="E89" i="6"/>
  <c r="O88" i="6"/>
  <c r="N88" i="6"/>
  <c r="L88" i="6"/>
  <c r="K88" i="6"/>
  <c r="I88" i="6"/>
  <c r="H88" i="6"/>
  <c r="F88" i="6"/>
  <c r="E88" i="6"/>
  <c r="O87" i="6"/>
  <c r="N87" i="6"/>
  <c r="L87" i="6"/>
  <c r="K87" i="6"/>
  <c r="I87" i="6"/>
  <c r="H87" i="6"/>
  <c r="F87" i="6"/>
  <c r="E87" i="6"/>
  <c r="O86" i="6"/>
  <c r="N86" i="6"/>
  <c r="L86" i="6"/>
  <c r="K86" i="6"/>
  <c r="I86" i="6"/>
  <c r="H86" i="6"/>
  <c r="F86" i="6"/>
  <c r="E86" i="6"/>
  <c r="O85" i="6"/>
  <c r="N85" i="6"/>
  <c r="L85" i="6"/>
  <c r="K85" i="6"/>
  <c r="I85" i="6"/>
  <c r="H85" i="6"/>
  <c r="F85" i="6"/>
  <c r="E85" i="6"/>
  <c r="O84" i="6"/>
  <c r="N84" i="6"/>
  <c r="L84" i="6"/>
  <c r="K84" i="6"/>
  <c r="I84" i="6"/>
  <c r="H84" i="6"/>
  <c r="F84" i="6"/>
  <c r="E84" i="6"/>
  <c r="O83" i="6"/>
  <c r="N83" i="6"/>
  <c r="L83" i="6"/>
  <c r="K83" i="6"/>
  <c r="I83" i="6"/>
  <c r="H83" i="6"/>
  <c r="F83" i="6"/>
  <c r="E83" i="6"/>
  <c r="O82" i="6"/>
  <c r="N82" i="6"/>
  <c r="L82" i="6"/>
  <c r="K82" i="6"/>
  <c r="I82" i="6"/>
  <c r="H82" i="6"/>
  <c r="F82" i="6"/>
  <c r="E82" i="6"/>
  <c r="O81" i="6"/>
  <c r="N81" i="6"/>
  <c r="L81" i="6"/>
  <c r="K81" i="6"/>
  <c r="I81" i="6"/>
  <c r="H81" i="6"/>
  <c r="F81" i="6"/>
  <c r="E81" i="6"/>
  <c r="O80" i="6"/>
  <c r="N80" i="6"/>
  <c r="L80" i="6"/>
  <c r="K80" i="6"/>
  <c r="I80" i="6"/>
  <c r="H80" i="6"/>
  <c r="F80" i="6"/>
  <c r="E80" i="6"/>
  <c r="O79" i="6"/>
  <c r="N79" i="6"/>
  <c r="L79" i="6"/>
  <c r="K79" i="6"/>
  <c r="I79" i="6"/>
  <c r="H79" i="6"/>
  <c r="F79" i="6"/>
  <c r="E79" i="6"/>
  <c r="O78" i="6"/>
  <c r="N78" i="6"/>
  <c r="L78" i="6"/>
  <c r="K78" i="6"/>
  <c r="I78" i="6"/>
  <c r="H78" i="6"/>
  <c r="F78" i="6"/>
  <c r="E78" i="6"/>
  <c r="O77" i="6"/>
  <c r="N77" i="6"/>
  <c r="L77" i="6"/>
  <c r="K77" i="6"/>
  <c r="I77" i="6"/>
  <c r="H77" i="6"/>
  <c r="F77" i="6"/>
  <c r="E77" i="6"/>
  <c r="O76" i="6"/>
  <c r="N76" i="6"/>
  <c r="L76" i="6"/>
  <c r="K76" i="6"/>
  <c r="I76" i="6"/>
  <c r="H76" i="6"/>
  <c r="F76" i="6"/>
  <c r="E76" i="6"/>
  <c r="O75" i="6"/>
  <c r="N75" i="6"/>
  <c r="L75" i="6"/>
  <c r="K75" i="6"/>
  <c r="I75" i="6"/>
  <c r="H75" i="6"/>
  <c r="F75" i="6"/>
  <c r="E75" i="6"/>
  <c r="O74" i="6"/>
  <c r="N74" i="6"/>
  <c r="L74" i="6"/>
  <c r="K74" i="6"/>
  <c r="I74" i="6"/>
  <c r="H74" i="6"/>
  <c r="F74" i="6"/>
  <c r="E74" i="6"/>
  <c r="O73" i="6"/>
  <c r="N73" i="6"/>
  <c r="L73" i="6"/>
  <c r="K73" i="6"/>
  <c r="I73" i="6"/>
  <c r="H73" i="6"/>
  <c r="F73" i="6"/>
  <c r="E73" i="6"/>
  <c r="O72" i="6"/>
  <c r="N72" i="6"/>
  <c r="L72" i="6"/>
  <c r="K72" i="6"/>
  <c r="I72" i="6"/>
  <c r="H72" i="6"/>
  <c r="F72" i="6"/>
  <c r="E72" i="6"/>
  <c r="O71" i="6"/>
  <c r="O91" i="6" s="1"/>
  <c r="N71" i="6"/>
  <c r="N91" i="6" s="1"/>
  <c r="L71" i="6"/>
  <c r="L91" i="6" s="1"/>
  <c r="K71" i="6"/>
  <c r="I71" i="6"/>
  <c r="H71" i="6"/>
  <c r="H91" i="6" s="1"/>
  <c r="F71" i="6"/>
  <c r="F91" i="6" s="1"/>
  <c r="E71" i="6"/>
  <c r="M69" i="6"/>
  <c r="J69" i="6"/>
  <c r="G69" i="6"/>
  <c r="D69" i="6"/>
  <c r="B69" i="6"/>
  <c r="M68" i="6"/>
  <c r="G68" i="6"/>
  <c r="G41" i="6"/>
  <c r="M41" i="6"/>
  <c r="B42" i="6"/>
  <c r="D42" i="6"/>
  <c r="G42" i="6"/>
  <c r="J42" i="6"/>
  <c r="M42" i="6"/>
  <c r="E44" i="6"/>
  <c r="E64" i="6" s="1"/>
  <c r="F44" i="6"/>
  <c r="H44" i="6"/>
  <c r="I44" i="6"/>
  <c r="K44" i="6"/>
  <c r="K64" i="6" s="1"/>
  <c r="L44" i="6"/>
  <c r="N44" i="6"/>
  <c r="O44" i="6"/>
  <c r="E45" i="6"/>
  <c r="F45" i="6"/>
  <c r="H45" i="6"/>
  <c r="I45" i="6"/>
  <c r="K45" i="6"/>
  <c r="L45" i="6"/>
  <c r="N45" i="6"/>
  <c r="O45" i="6"/>
  <c r="E46" i="6"/>
  <c r="F46" i="6"/>
  <c r="H46" i="6"/>
  <c r="I46" i="6"/>
  <c r="K46" i="6"/>
  <c r="L46" i="6"/>
  <c r="N46" i="6"/>
  <c r="O46" i="6"/>
  <c r="E47" i="6"/>
  <c r="F47" i="6"/>
  <c r="H47" i="6"/>
  <c r="I47" i="6"/>
  <c r="K47" i="6"/>
  <c r="L47" i="6"/>
  <c r="N47" i="6"/>
  <c r="O47" i="6"/>
  <c r="E48" i="6"/>
  <c r="F48" i="6"/>
  <c r="H48" i="6"/>
  <c r="I48" i="6"/>
  <c r="K48" i="6"/>
  <c r="L48" i="6"/>
  <c r="N48" i="6"/>
  <c r="O48" i="6"/>
  <c r="E49" i="6"/>
  <c r="F49" i="6"/>
  <c r="H49" i="6"/>
  <c r="I49" i="6"/>
  <c r="K49" i="6"/>
  <c r="L49" i="6"/>
  <c r="N49" i="6"/>
  <c r="O49" i="6"/>
  <c r="E50" i="6"/>
  <c r="F50" i="6"/>
  <c r="H50" i="6"/>
  <c r="I50" i="6"/>
  <c r="K50" i="6"/>
  <c r="L50" i="6"/>
  <c r="N50" i="6"/>
  <c r="O50" i="6"/>
  <c r="E51" i="6"/>
  <c r="F51" i="6"/>
  <c r="H51" i="6"/>
  <c r="I51" i="6"/>
  <c r="K51" i="6"/>
  <c r="L51" i="6"/>
  <c r="N51" i="6"/>
  <c r="O51" i="6"/>
  <c r="E52" i="6"/>
  <c r="F52" i="6"/>
  <c r="H52" i="6"/>
  <c r="I52" i="6"/>
  <c r="K52" i="6"/>
  <c r="L52" i="6"/>
  <c r="N52" i="6"/>
  <c r="O52" i="6"/>
  <c r="E53" i="6"/>
  <c r="F53" i="6"/>
  <c r="H53" i="6"/>
  <c r="I53" i="6"/>
  <c r="K53" i="6"/>
  <c r="L53" i="6"/>
  <c r="N53" i="6"/>
  <c r="O53" i="6"/>
  <c r="E54" i="6"/>
  <c r="F54" i="6"/>
  <c r="H54" i="6"/>
  <c r="I54" i="6"/>
  <c r="K54" i="6"/>
  <c r="L54" i="6"/>
  <c r="N54" i="6"/>
  <c r="O54" i="6"/>
  <c r="E55" i="6"/>
  <c r="F55" i="6"/>
  <c r="H55" i="6"/>
  <c r="I55" i="6"/>
  <c r="K55" i="6"/>
  <c r="L55" i="6"/>
  <c r="N55" i="6"/>
  <c r="O55" i="6"/>
  <c r="E56" i="6"/>
  <c r="F56" i="6"/>
  <c r="H56" i="6"/>
  <c r="I56" i="6"/>
  <c r="K56" i="6"/>
  <c r="L56" i="6"/>
  <c r="N56" i="6"/>
  <c r="O56" i="6"/>
  <c r="E57" i="6"/>
  <c r="F57" i="6"/>
  <c r="H57" i="6"/>
  <c r="I57" i="6"/>
  <c r="K57" i="6"/>
  <c r="L57" i="6"/>
  <c r="N57" i="6"/>
  <c r="O57" i="6"/>
  <c r="E58" i="6"/>
  <c r="F58" i="6"/>
  <c r="H58" i="6"/>
  <c r="I58" i="6"/>
  <c r="K58" i="6"/>
  <c r="L58" i="6"/>
  <c r="N58" i="6"/>
  <c r="O58" i="6"/>
  <c r="E59" i="6"/>
  <c r="F59" i="6"/>
  <c r="H59" i="6"/>
  <c r="I59" i="6"/>
  <c r="K59" i="6"/>
  <c r="L59" i="6"/>
  <c r="N59" i="6"/>
  <c r="O59" i="6"/>
  <c r="E60" i="6"/>
  <c r="F60" i="6"/>
  <c r="H60" i="6"/>
  <c r="I60" i="6"/>
  <c r="K60" i="6"/>
  <c r="L60" i="6"/>
  <c r="N60" i="6"/>
  <c r="O60" i="6"/>
  <c r="E61" i="6"/>
  <c r="F61" i="6"/>
  <c r="H61" i="6"/>
  <c r="I61" i="6"/>
  <c r="K61" i="6"/>
  <c r="L61" i="6"/>
  <c r="N61" i="6"/>
  <c r="O61" i="6"/>
  <c r="E62" i="6"/>
  <c r="F62" i="6"/>
  <c r="H62" i="6"/>
  <c r="I62" i="6"/>
  <c r="K62" i="6"/>
  <c r="L62" i="6"/>
  <c r="N62" i="6"/>
  <c r="O62" i="6"/>
  <c r="E63" i="6"/>
  <c r="F63" i="6"/>
  <c r="H63" i="6"/>
  <c r="I63" i="6"/>
  <c r="K63" i="6"/>
  <c r="L63" i="6"/>
  <c r="N63" i="6"/>
  <c r="O63" i="6"/>
  <c r="B64" i="6"/>
  <c r="H64" i="6"/>
  <c r="I64" i="6"/>
  <c r="N64" i="6"/>
  <c r="O64" i="6"/>
  <c r="B18" i="6"/>
  <c r="C18" i="6"/>
  <c r="D18" i="6"/>
  <c r="E18" i="6"/>
  <c r="F18" i="6"/>
  <c r="G18" i="6"/>
  <c r="H18" i="6"/>
  <c r="I18" i="6"/>
  <c r="J18" i="6"/>
  <c r="K18" i="6"/>
  <c r="L18" i="6"/>
  <c r="M18" i="6"/>
  <c r="N18" i="6"/>
  <c r="O18" i="6"/>
  <c r="B19" i="6"/>
  <c r="C19" i="6"/>
  <c r="D19" i="6"/>
  <c r="E19" i="6"/>
  <c r="F19" i="6"/>
  <c r="G19" i="6"/>
  <c r="H19" i="6"/>
  <c r="I19" i="6"/>
  <c r="J19" i="6"/>
  <c r="K19" i="6"/>
  <c r="L19" i="6"/>
  <c r="M19" i="6"/>
  <c r="N19" i="6"/>
  <c r="O19" i="6"/>
  <c r="B20" i="6"/>
  <c r="C20" i="6"/>
  <c r="D20" i="6"/>
  <c r="E20" i="6"/>
  <c r="F20" i="6"/>
  <c r="G20" i="6"/>
  <c r="H20" i="6"/>
  <c r="I20" i="6"/>
  <c r="J20" i="6"/>
  <c r="K20" i="6"/>
  <c r="L20" i="6"/>
  <c r="M20" i="6"/>
  <c r="N20" i="6"/>
  <c r="O20" i="6"/>
  <c r="B21" i="6"/>
  <c r="C21" i="6"/>
  <c r="D21" i="6"/>
  <c r="E21" i="6"/>
  <c r="F21" i="6"/>
  <c r="G21" i="6"/>
  <c r="H21" i="6"/>
  <c r="I21" i="6"/>
  <c r="J21" i="6"/>
  <c r="K21" i="6"/>
  <c r="L21" i="6"/>
  <c r="M21" i="6"/>
  <c r="N21" i="6"/>
  <c r="O21" i="6"/>
  <c r="B22" i="6"/>
  <c r="C22" i="6"/>
  <c r="D22" i="6"/>
  <c r="E22" i="6"/>
  <c r="F22" i="6"/>
  <c r="G22" i="6"/>
  <c r="H22" i="6"/>
  <c r="I22" i="6"/>
  <c r="J22" i="6"/>
  <c r="K22" i="6"/>
  <c r="L22" i="6"/>
  <c r="M22" i="6"/>
  <c r="N22" i="6"/>
  <c r="O22" i="6"/>
  <c r="B23" i="6"/>
  <c r="C23" i="6"/>
  <c r="D23" i="6"/>
  <c r="E23" i="6"/>
  <c r="F23" i="6"/>
  <c r="G23" i="6"/>
  <c r="H23" i="6"/>
  <c r="I23" i="6"/>
  <c r="J23" i="6"/>
  <c r="K23" i="6"/>
  <c r="L23" i="6"/>
  <c r="M23" i="6"/>
  <c r="N23" i="6"/>
  <c r="O23" i="6"/>
  <c r="B24" i="6"/>
  <c r="C24" i="6"/>
  <c r="D24" i="6"/>
  <c r="E24" i="6"/>
  <c r="F24" i="6"/>
  <c r="G24" i="6"/>
  <c r="H24" i="6"/>
  <c r="I24" i="6"/>
  <c r="J24" i="6"/>
  <c r="K24" i="6"/>
  <c r="L24" i="6"/>
  <c r="M24" i="6"/>
  <c r="N24" i="6"/>
  <c r="O24" i="6"/>
  <c r="B25" i="6"/>
  <c r="C25" i="6"/>
  <c r="D25" i="6"/>
  <c r="E25" i="6"/>
  <c r="F25" i="6"/>
  <c r="G25" i="6"/>
  <c r="H25" i="6"/>
  <c r="I25" i="6"/>
  <c r="J25" i="6"/>
  <c r="K25" i="6"/>
  <c r="L25" i="6"/>
  <c r="M25" i="6"/>
  <c r="N25" i="6"/>
  <c r="O25" i="6"/>
  <c r="B26" i="6"/>
  <c r="C26" i="6"/>
  <c r="D26" i="6"/>
  <c r="E26" i="6"/>
  <c r="F26" i="6"/>
  <c r="G26" i="6"/>
  <c r="H26" i="6"/>
  <c r="I26" i="6"/>
  <c r="J26" i="6"/>
  <c r="K26" i="6"/>
  <c r="L26" i="6"/>
  <c r="M26" i="6"/>
  <c r="N26" i="6"/>
  <c r="O26" i="6"/>
  <c r="B27" i="6"/>
  <c r="C27" i="6"/>
  <c r="D27" i="6"/>
  <c r="E27" i="6"/>
  <c r="F27" i="6"/>
  <c r="G27" i="6"/>
  <c r="H27" i="6"/>
  <c r="I27" i="6"/>
  <c r="J27" i="6"/>
  <c r="K27" i="6"/>
  <c r="L27" i="6"/>
  <c r="M27" i="6"/>
  <c r="N27" i="6"/>
  <c r="O27" i="6"/>
  <c r="B28" i="6"/>
  <c r="C28" i="6"/>
  <c r="D28" i="6"/>
  <c r="E28" i="6"/>
  <c r="F28" i="6"/>
  <c r="G28" i="6"/>
  <c r="H28" i="6"/>
  <c r="I28" i="6"/>
  <c r="J28" i="6"/>
  <c r="K28" i="6"/>
  <c r="L28" i="6"/>
  <c r="M28" i="6"/>
  <c r="N28" i="6"/>
  <c r="O28" i="6"/>
  <c r="B29" i="6"/>
  <c r="C29" i="6"/>
  <c r="D29" i="6"/>
  <c r="E29" i="6"/>
  <c r="F29" i="6"/>
  <c r="G29" i="6"/>
  <c r="H29" i="6"/>
  <c r="I29" i="6"/>
  <c r="J29" i="6"/>
  <c r="K29" i="6"/>
  <c r="L29" i="6"/>
  <c r="M29" i="6"/>
  <c r="N29" i="6"/>
  <c r="O29" i="6"/>
  <c r="B30" i="6"/>
  <c r="C30" i="6"/>
  <c r="D30" i="6"/>
  <c r="E30" i="6"/>
  <c r="F30" i="6"/>
  <c r="G30" i="6"/>
  <c r="H30" i="6"/>
  <c r="I30" i="6"/>
  <c r="J30" i="6"/>
  <c r="K30" i="6"/>
  <c r="L30" i="6"/>
  <c r="M30" i="6"/>
  <c r="N30" i="6"/>
  <c r="O30" i="6"/>
  <c r="B31" i="6"/>
  <c r="C31" i="6"/>
  <c r="D31" i="6"/>
  <c r="E31" i="6"/>
  <c r="F31" i="6"/>
  <c r="G31" i="6"/>
  <c r="H31" i="6"/>
  <c r="I31" i="6"/>
  <c r="J31" i="6"/>
  <c r="K31" i="6"/>
  <c r="L31" i="6"/>
  <c r="M31" i="6"/>
  <c r="N31" i="6"/>
  <c r="O31" i="6"/>
  <c r="B32" i="6"/>
  <c r="C32" i="6"/>
  <c r="D32" i="6"/>
  <c r="E32" i="6"/>
  <c r="F32" i="6"/>
  <c r="G32" i="6"/>
  <c r="H32" i="6"/>
  <c r="I32" i="6"/>
  <c r="J32" i="6"/>
  <c r="K32" i="6"/>
  <c r="L32" i="6"/>
  <c r="M32" i="6"/>
  <c r="N32" i="6"/>
  <c r="O32" i="6"/>
  <c r="B33" i="6"/>
  <c r="C33" i="6"/>
  <c r="D33" i="6"/>
  <c r="E33" i="6"/>
  <c r="F33" i="6"/>
  <c r="G33" i="6"/>
  <c r="H33" i="6"/>
  <c r="I33" i="6"/>
  <c r="J33" i="6"/>
  <c r="K33" i="6"/>
  <c r="L33" i="6"/>
  <c r="M33" i="6"/>
  <c r="N33" i="6"/>
  <c r="O33" i="6"/>
  <c r="B34" i="6"/>
  <c r="C34" i="6"/>
  <c r="D34" i="6"/>
  <c r="E34" i="6"/>
  <c r="F34" i="6"/>
  <c r="G34" i="6"/>
  <c r="H34" i="6"/>
  <c r="I34" i="6"/>
  <c r="J34" i="6"/>
  <c r="K34" i="6"/>
  <c r="L34" i="6"/>
  <c r="M34" i="6"/>
  <c r="N34" i="6"/>
  <c r="O34" i="6"/>
  <c r="B35" i="6"/>
  <c r="C35" i="6"/>
  <c r="D35" i="6"/>
  <c r="E35" i="6"/>
  <c r="F35" i="6"/>
  <c r="G35" i="6"/>
  <c r="H35" i="6"/>
  <c r="I35" i="6"/>
  <c r="J35" i="6"/>
  <c r="K35" i="6"/>
  <c r="L35" i="6"/>
  <c r="M35" i="6"/>
  <c r="N35" i="6"/>
  <c r="O35" i="6"/>
  <c r="B36" i="6"/>
  <c r="C36" i="6"/>
  <c r="D36" i="6"/>
  <c r="E36" i="6"/>
  <c r="F36" i="6"/>
  <c r="G36" i="6"/>
  <c r="H36" i="6"/>
  <c r="I36" i="6"/>
  <c r="J36" i="6"/>
  <c r="K36" i="6"/>
  <c r="L36" i="6"/>
  <c r="M36" i="6"/>
  <c r="N36" i="6"/>
  <c r="O36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M15" i="6"/>
  <c r="J15" i="6"/>
  <c r="G15" i="6"/>
  <c r="D15" i="6"/>
  <c r="B15" i="6"/>
  <c r="P54" i="5"/>
  <c r="L54" i="5"/>
  <c r="H54" i="5"/>
  <c r="P29" i="5"/>
  <c r="L29" i="5"/>
  <c r="H29" i="5"/>
  <c r="P4" i="5"/>
  <c r="L4" i="5"/>
  <c r="P54" i="3"/>
  <c r="L54" i="3"/>
  <c r="H54" i="3"/>
  <c r="P29" i="3"/>
  <c r="L29" i="3"/>
  <c r="H29" i="3"/>
  <c r="P4" i="3"/>
  <c r="L4" i="3"/>
  <c r="M14" i="6"/>
  <c r="G14" i="6"/>
  <c r="N50" i="5"/>
  <c r="N49" i="5"/>
  <c r="N48" i="5"/>
  <c r="N47" i="5"/>
  <c r="N46" i="5"/>
  <c r="N45" i="5"/>
  <c r="N44" i="5"/>
  <c r="N43" i="5"/>
  <c r="N42" i="5"/>
  <c r="N41" i="5"/>
  <c r="N40" i="5"/>
  <c r="N39" i="5"/>
  <c r="N38" i="5"/>
  <c r="N37" i="5"/>
  <c r="N36" i="5"/>
  <c r="N35" i="5"/>
  <c r="N34" i="5"/>
  <c r="N33" i="5"/>
  <c r="N32" i="5"/>
  <c r="N31" i="5"/>
  <c r="J56" i="5"/>
  <c r="J57" i="5"/>
  <c r="J58" i="5"/>
  <c r="J59" i="5"/>
  <c r="J60" i="5"/>
  <c r="J61" i="5"/>
  <c r="J62" i="5"/>
  <c r="J63" i="5"/>
  <c r="J64" i="5"/>
  <c r="J65" i="5"/>
  <c r="H66" i="5"/>
  <c r="I67" i="5"/>
  <c r="H68" i="5"/>
  <c r="I69" i="5"/>
  <c r="H70" i="5"/>
  <c r="I71" i="5"/>
  <c r="H72" i="5"/>
  <c r="I73" i="5"/>
  <c r="H74" i="5"/>
  <c r="I75" i="5"/>
  <c r="J3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Q25" i="5"/>
  <c r="Q24" i="5"/>
  <c r="H24" i="5"/>
  <c r="G24" i="5"/>
  <c r="Q23" i="5"/>
  <c r="P22" i="5"/>
  <c r="Q21" i="5"/>
  <c r="P20" i="5"/>
  <c r="Q19" i="5"/>
  <c r="P18" i="5"/>
  <c r="Q17" i="5"/>
  <c r="H17" i="5"/>
  <c r="G17" i="5"/>
  <c r="Q16" i="5"/>
  <c r="Q15" i="5"/>
  <c r="Q14" i="5"/>
  <c r="Q13" i="5"/>
  <c r="Q12" i="5"/>
  <c r="Q11" i="5"/>
  <c r="Q10" i="5"/>
  <c r="H10" i="5"/>
  <c r="G10" i="5"/>
  <c r="Q9" i="5"/>
  <c r="Q8" i="5"/>
  <c r="Q7" i="5"/>
  <c r="Q6" i="5"/>
  <c r="O25" i="3"/>
  <c r="P25" i="3" s="1"/>
  <c r="O24" i="3"/>
  <c r="P24" i="3" s="1"/>
  <c r="O23" i="3"/>
  <c r="Q23" i="3" s="1"/>
  <c r="O22" i="3"/>
  <c r="P22" i="3" s="1"/>
  <c r="O21" i="3"/>
  <c r="P21" i="3" s="1"/>
  <c r="O20" i="3"/>
  <c r="R20" i="3" s="1"/>
  <c r="O19" i="3"/>
  <c r="P19" i="3" s="1"/>
  <c r="O18" i="3"/>
  <c r="P18" i="3" s="1"/>
  <c r="O17" i="3"/>
  <c r="R17" i="3" s="1"/>
  <c r="O16" i="3"/>
  <c r="R16" i="3" s="1"/>
  <c r="O15" i="3"/>
  <c r="Q15" i="3" s="1"/>
  <c r="O14" i="3"/>
  <c r="Q14" i="3" s="1"/>
  <c r="O13" i="3"/>
  <c r="Q13" i="3" s="1"/>
  <c r="O12" i="3"/>
  <c r="P12" i="3" s="1"/>
  <c r="O11" i="3"/>
  <c r="Q11" i="3" s="1"/>
  <c r="O10" i="3"/>
  <c r="Q10" i="3" s="1"/>
  <c r="O9" i="3"/>
  <c r="Q9" i="3" s="1"/>
  <c r="O8" i="3"/>
  <c r="Q8" i="3" s="1"/>
  <c r="O7" i="3"/>
  <c r="Q7" i="3" s="1"/>
  <c r="O6" i="3"/>
  <c r="P6" i="3" s="1"/>
  <c r="H24" i="3"/>
  <c r="G24" i="3"/>
  <c r="H17" i="3"/>
  <c r="G17" i="3"/>
  <c r="H10" i="3"/>
  <c r="G10" i="3"/>
  <c r="G11" i="24" l="1"/>
  <c r="I91" i="6"/>
  <c r="O145" i="6"/>
  <c r="L64" i="6"/>
  <c r="F64" i="6"/>
  <c r="E37" i="6"/>
  <c r="I37" i="6"/>
  <c r="F37" i="6"/>
  <c r="N37" i="6"/>
  <c r="K37" i="6"/>
  <c r="O37" i="6"/>
  <c r="H37" i="6"/>
  <c r="L37" i="6"/>
  <c r="F37" i="23"/>
  <c r="N37" i="23"/>
  <c r="E37" i="23"/>
  <c r="K37" i="23"/>
  <c r="O37" i="23"/>
  <c r="I37" i="23"/>
  <c r="H37" i="23"/>
  <c r="L37" i="23"/>
  <c r="G3" i="23"/>
  <c r="G5" i="23"/>
  <c r="G9" i="23"/>
  <c r="Q20" i="3"/>
  <c r="Q16" i="3"/>
  <c r="Q25" i="3"/>
  <c r="R15" i="3"/>
  <c r="R19" i="3"/>
  <c r="Q17" i="3"/>
  <c r="R7" i="3"/>
  <c r="R23" i="3"/>
  <c r="P17" i="3"/>
  <c r="R11" i="3"/>
  <c r="P20" i="3"/>
  <c r="P16" i="3"/>
  <c r="R8" i="3"/>
  <c r="R12" i="3"/>
  <c r="R24" i="3"/>
  <c r="P8" i="3"/>
  <c r="Q24" i="3"/>
  <c r="R9" i="3"/>
  <c r="R13" i="3"/>
  <c r="R21" i="3"/>
  <c r="R25" i="3"/>
  <c r="R6" i="3"/>
  <c r="R10" i="3"/>
  <c r="R14" i="3"/>
  <c r="R18" i="3"/>
  <c r="R22" i="3"/>
  <c r="R11" i="5"/>
  <c r="R15" i="5"/>
  <c r="R19" i="5"/>
  <c r="R7" i="5"/>
  <c r="R23" i="5"/>
  <c r="J69" i="5"/>
  <c r="R8" i="5"/>
  <c r="R12" i="5"/>
  <c r="R16" i="5"/>
  <c r="R20" i="5"/>
  <c r="R24" i="5"/>
  <c r="J66" i="5"/>
  <c r="J70" i="5"/>
  <c r="J74" i="5"/>
  <c r="R9" i="5"/>
  <c r="R13" i="5"/>
  <c r="R17" i="5"/>
  <c r="R21" i="5"/>
  <c r="R25" i="5"/>
  <c r="J67" i="5"/>
  <c r="J71" i="5"/>
  <c r="J75" i="5"/>
  <c r="J73" i="5"/>
  <c r="R6" i="5"/>
  <c r="R10" i="5"/>
  <c r="R14" i="5"/>
  <c r="R18" i="5"/>
  <c r="R22" i="5"/>
  <c r="J68" i="5"/>
  <c r="J72" i="5"/>
  <c r="H69" i="5"/>
  <c r="H75" i="5"/>
  <c r="H67" i="5"/>
  <c r="H73" i="5"/>
  <c r="H71" i="5"/>
  <c r="Q22" i="5"/>
  <c r="I74" i="5"/>
  <c r="I72" i="5"/>
  <c r="I70" i="5"/>
  <c r="I68" i="5"/>
  <c r="I66" i="5"/>
  <c r="P17" i="5"/>
  <c r="P7" i="5"/>
  <c r="P9" i="5"/>
  <c r="P21" i="5"/>
  <c r="P10" i="5"/>
  <c r="P12" i="5"/>
  <c r="P14" i="5"/>
  <c r="P16" i="5"/>
  <c r="P23" i="5"/>
  <c r="P24" i="5"/>
  <c r="I35" i="5"/>
  <c r="H35" i="5"/>
  <c r="M40" i="5"/>
  <c r="L40" i="5"/>
  <c r="I56" i="5"/>
  <c r="H56" i="5"/>
  <c r="I39" i="5"/>
  <c r="H39" i="5"/>
  <c r="M44" i="5"/>
  <c r="L44" i="5"/>
  <c r="I60" i="5"/>
  <c r="H60" i="5"/>
  <c r="M32" i="5"/>
  <c r="L32" i="5"/>
  <c r="I43" i="5"/>
  <c r="H43" i="5"/>
  <c r="M48" i="5"/>
  <c r="L48" i="5"/>
  <c r="I64" i="5"/>
  <c r="H64" i="5"/>
  <c r="I31" i="5"/>
  <c r="H31" i="5"/>
  <c r="M36" i="5"/>
  <c r="L36" i="5"/>
  <c r="I47" i="5"/>
  <c r="H47" i="5"/>
  <c r="I32" i="5"/>
  <c r="H32" i="5"/>
  <c r="M33" i="5"/>
  <c r="L33" i="5"/>
  <c r="I36" i="5"/>
  <c r="H36" i="5"/>
  <c r="M37" i="5"/>
  <c r="L37" i="5"/>
  <c r="I40" i="5"/>
  <c r="H40" i="5"/>
  <c r="M41" i="5"/>
  <c r="L41" i="5"/>
  <c r="I44" i="5"/>
  <c r="H44" i="5"/>
  <c r="M45" i="5"/>
  <c r="L45" i="5"/>
  <c r="I48" i="5"/>
  <c r="H48" i="5"/>
  <c r="M49" i="5"/>
  <c r="L49" i="5"/>
  <c r="I57" i="5"/>
  <c r="H57" i="5"/>
  <c r="I61" i="5"/>
  <c r="H61" i="5"/>
  <c r="I65" i="5"/>
  <c r="H65" i="5"/>
  <c r="H33" i="5"/>
  <c r="I33" i="5"/>
  <c r="L34" i="5"/>
  <c r="M34" i="5"/>
  <c r="H37" i="5"/>
  <c r="I37" i="5"/>
  <c r="L38" i="5"/>
  <c r="M38" i="5"/>
  <c r="H41" i="5"/>
  <c r="I41" i="5"/>
  <c r="L42" i="5"/>
  <c r="M42" i="5"/>
  <c r="H45" i="5"/>
  <c r="I45" i="5"/>
  <c r="L46" i="5"/>
  <c r="M46" i="5"/>
  <c r="H49" i="5"/>
  <c r="I49" i="5"/>
  <c r="L50" i="5"/>
  <c r="M50" i="5"/>
  <c r="H58" i="5"/>
  <c r="I58" i="5"/>
  <c r="H62" i="5"/>
  <c r="I62" i="5"/>
  <c r="M31" i="5"/>
  <c r="L31" i="5"/>
  <c r="I34" i="5"/>
  <c r="H34" i="5"/>
  <c r="M35" i="5"/>
  <c r="L35" i="5"/>
  <c r="I38" i="5"/>
  <c r="H38" i="5"/>
  <c r="M39" i="5"/>
  <c r="L39" i="5"/>
  <c r="I42" i="5"/>
  <c r="H42" i="5"/>
  <c r="M43" i="5"/>
  <c r="L43" i="5"/>
  <c r="I46" i="5"/>
  <c r="H46" i="5"/>
  <c r="M47" i="5"/>
  <c r="L47" i="5"/>
  <c r="I50" i="5"/>
  <c r="H50" i="5"/>
  <c r="I59" i="5"/>
  <c r="H59" i="5"/>
  <c r="I63" i="5"/>
  <c r="H63" i="5"/>
  <c r="P6" i="5"/>
  <c r="P8" i="5"/>
  <c r="P11" i="5"/>
  <c r="P13" i="5"/>
  <c r="P15" i="5"/>
  <c r="Q18" i="5"/>
  <c r="P19" i="5"/>
  <c r="Q20" i="5"/>
  <c r="P25" i="5"/>
  <c r="Q19" i="3"/>
  <c r="Q18" i="3"/>
  <c r="Q22" i="3"/>
  <c r="P14" i="3"/>
  <c r="P15" i="3"/>
  <c r="P23" i="3"/>
  <c r="Q21" i="3"/>
  <c r="P13" i="3"/>
  <c r="Q12" i="3"/>
  <c r="P11" i="3"/>
  <c r="P10" i="3"/>
  <c r="P9" i="3"/>
  <c r="P7" i="3"/>
  <c r="Q6" i="3"/>
  <c r="G11" i="23" l="1"/>
  <c r="G3" i="6"/>
  <c r="G7" i="6"/>
  <c r="R75" i="5"/>
  <c r="R65" i="5"/>
  <c r="R72" i="5"/>
  <c r="R66" i="5"/>
  <c r="R62" i="5"/>
  <c r="R64" i="5"/>
  <c r="R61" i="5"/>
  <c r="R63" i="5"/>
  <c r="R68" i="5"/>
  <c r="R69" i="5"/>
  <c r="R60" i="5"/>
  <c r="R59" i="5"/>
  <c r="R74" i="5"/>
  <c r="R67" i="5"/>
  <c r="R70" i="5"/>
  <c r="R57" i="5"/>
  <c r="R56" i="5"/>
  <c r="R71" i="5"/>
  <c r="R58" i="5"/>
  <c r="R73" i="5"/>
  <c r="N67" i="5"/>
  <c r="N56" i="5"/>
  <c r="N65" i="5"/>
  <c r="N72" i="5"/>
  <c r="N61" i="5"/>
  <c r="N58" i="5"/>
  <c r="N59" i="5"/>
  <c r="N60" i="5"/>
  <c r="N66" i="5"/>
  <c r="N64" i="5"/>
  <c r="N57" i="5"/>
  <c r="N69" i="5"/>
  <c r="N75" i="5"/>
  <c r="N68" i="5"/>
  <c r="N62" i="5"/>
  <c r="N71" i="5"/>
  <c r="N70" i="5"/>
  <c r="N74" i="5"/>
  <c r="N63" i="5"/>
  <c r="N73" i="5"/>
  <c r="R34" i="5"/>
  <c r="R42" i="5"/>
  <c r="R38" i="5"/>
  <c r="R32" i="5"/>
  <c r="R35" i="5"/>
  <c r="R31" i="5"/>
  <c r="R33" i="5"/>
  <c r="R36" i="5"/>
  <c r="R46" i="5"/>
  <c r="R48" i="5"/>
  <c r="R41" i="5"/>
  <c r="R45" i="5"/>
  <c r="R44" i="5"/>
  <c r="R37" i="5"/>
  <c r="R39" i="5"/>
  <c r="R50" i="5"/>
  <c r="R40" i="5"/>
  <c r="R47" i="5"/>
  <c r="R43" i="5"/>
  <c r="R49" i="5"/>
  <c r="M71" i="5"/>
  <c r="L71" i="5"/>
  <c r="P61" i="5"/>
  <c r="Q61" i="5"/>
  <c r="P33" i="5"/>
  <c r="Q33" i="5"/>
  <c r="L70" i="5"/>
  <c r="M70" i="5"/>
  <c r="M57" i="5"/>
  <c r="L57" i="5"/>
  <c r="Q34" i="5"/>
  <c r="P34" i="5"/>
  <c r="P32" i="5"/>
  <c r="Q32" i="5"/>
  <c r="Q63" i="5"/>
  <c r="P63" i="5"/>
  <c r="P68" i="5"/>
  <c r="Q68" i="5"/>
  <c r="M67" i="5"/>
  <c r="L67" i="5"/>
  <c r="L74" i="5"/>
  <c r="M74" i="5"/>
  <c r="Q75" i="5"/>
  <c r="P75" i="5"/>
  <c r="M58" i="5"/>
  <c r="L58" i="5"/>
  <c r="Q39" i="5"/>
  <c r="P39" i="5"/>
  <c r="P69" i="5"/>
  <c r="Q69" i="5"/>
  <c r="P42" i="5"/>
  <c r="Q42" i="5"/>
  <c r="Q35" i="5"/>
  <c r="P35" i="5"/>
  <c r="P36" i="5"/>
  <c r="Q36" i="5"/>
  <c r="Q50" i="5"/>
  <c r="P50" i="5"/>
  <c r="Q44" i="5"/>
  <c r="P44" i="5"/>
  <c r="P31" i="5"/>
  <c r="Q31" i="5"/>
  <c r="P37" i="5"/>
  <c r="Q37" i="5"/>
  <c r="L62" i="5"/>
  <c r="M62" i="5"/>
  <c r="M59" i="5"/>
  <c r="L59" i="5"/>
  <c r="Q57" i="5"/>
  <c r="P57" i="5"/>
  <c r="Q65" i="5"/>
  <c r="P65" i="5"/>
  <c r="P46" i="5"/>
  <c r="Q46" i="5"/>
  <c r="P40" i="5"/>
  <c r="Q40" i="5"/>
  <c r="M60" i="5"/>
  <c r="L60" i="5"/>
  <c r="P72" i="5"/>
  <c r="Q72" i="5"/>
  <c r="P48" i="5"/>
  <c r="Q48" i="5"/>
  <c r="Q67" i="5"/>
  <c r="P67" i="5"/>
  <c r="L65" i="5"/>
  <c r="M65" i="5"/>
  <c r="P60" i="5"/>
  <c r="Q60" i="5"/>
  <c r="P59" i="5"/>
  <c r="Q59" i="5"/>
  <c r="Q56" i="5"/>
  <c r="P56" i="5"/>
  <c r="L56" i="5"/>
  <c r="M56" i="5"/>
  <c r="M69" i="5"/>
  <c r="L69" i="5"/>
  <c r="L72" i="5"/>
  <c r="M72" i="5"/>
  <c r="L66" i="5"/>
  <c r="M66" i="5"/>
  <c r="P47" i="5"/>
  <c r="Q47" i="5"/>
  <c r="L61" i="5"/>
  <c r="M61" i="5"/>
  <c r="Q41" i="5"/>
  <c r="P41" i="5"/>
  <c r="P71" i="5"/>
  <c r="Q71" i="5"/>
  <c r="Q66" i="5"/>
  <c r="P66" i="5"/>
  <c r="L63" i="5"/>
  <c r="M63" i="5"/>
  <c r="P58" i="5"/>
  <c r="Q58" i="5"/>
  <c r="M75" i="5"/>
  <c r="L75" i="5"/>
  <c r="P38" i="5"/>
  <c r="Q38" i="5"/>
  <c r="P45" i="5"/>
  <c r="Q45" i="5"/>
  <c r="L68" i="5"/>
  <c r="M68" i="5"/>
  <c r="Q64" i="5"/>
  <c r="P64" i="5"/>
  <c r="L64" i="5"/>
  <c r="M64" i="5"/>
  <c r="Q43" i="5"/>
  <c r="P43" i="5"/>
  <c r="P62" i="5"/>
  <c r="Q62" i="5"/>
  <c r="P70" i="5"/>
  <c r="Q70" i="5"/>
  <c r="P49" i="5"/>
  <c r="Q49" i="5"/>
  <c r="L73" i="5"/>
  <c r="M73" i="5"/>
  <c r="Q74" i="5"/>
  <c r="P74" i="5"/>
  <c r="Q73" i="5"/>
  <c r="P73" i="5"/>
  <c r="G9" i="6" l="1"/>
  <c r="G11" i="6"/>
  <c r="G5" i="6" l="1"/>
  <c r="K45" i="3"/>
  <c r="I256" i="9"/>
  <c r="H260" i="9"/>
  <c r="K63" i="3"/>
  <c r="L46" i="9"/>
  <c r="E25" i="9"/>
  <c r="H197" i="9"/>
  <c r="F25" i="9"/>
  <c r="N233" i="9"/>
  <c r="F268" i="9"/>
  <c r="L218" i="9"/>
  <c r="E234" i="9"/>
  <c r="O159" i="9"/>
  <c r="K23" i="5"/>
  <c r="O26" i="9"/>
  <c r="I261" i="9"/>
  <c r="O185" i="9"/>
  <c r="G47" i="3"/>
  <c r="F265" i="9"/>
  <c r="K216" i="9"/>
  <c r="I70" i="9"/>
  <c r="E83" i="9"/>
  <c r="K272" i="9"/>
  <c r="K45" i="9"/>
  <c r="L193" i="9"/>
  <c r="K83" i="9"/>
  <c r="E204" i="9"/>
  <c r="K26" i="9"/>
  <c r="I191" i="9"/>
  <c r="F52" i="9"/>
  <c r="H275" i="9"/>
  <c r="E39" i="9"/>
  <c r="L77" i="9"/>
  <c r="H163" i="9"/>
  <c r="N32" i="9"/>
  <c r="H200" i="9"/>
  <c r="O198" i="9"/>
  <c r="E103" i="9"/>
  <c r="N219" i="9"/>
  <c r="C66" i="9"/>
  <c r="I125" i="9"/>
  <c r="C32" i="9"/>
  <c r="O257" i="9"/>
  <c r="H204" i="9"/>
  <c r="K12" i="3"/>
  <c r="C189" i="9"/>
  <c r="O50" i="9"/>
  <c r="N195" i="9"/>
  <c r="K10" i="5"/>
  <c r="K8" i="5"/>
  <c r="E65" i="9"/>
  <c r="O214" i="9"/>
  <c r="I280" i="9"/>
  <c r="H80" i="9"/>
  <c r="H124" i="9"/>
  <c r="H109" i="9"/>
  <c r="E275" i="9"/>
  <c r="N270" i="9"/>
  <c r="G48" i="3"/>
  <c r="F86" i="9"/>
  <c r="K229" i="9"/>
  <c r="L153" i="9"/>
  <c r="K144" i="9"/>
  <c r="C77" i="9"/>
  <c r="L201" i="9"/>
  <c r="I100" i="9"/>
  <c r="E155" i="9"/>
  <c r="L124" i="9"/>
  <c r="O79" i="9"/>
  <c r="O151" i="9"/>
  <c r="C44" i="9"/>
  <c r="K178" i="9"/>
  <c r="O34" i="3"/>
  <c r="C192" i="9"/>
  <c r="L198" i="9"/>
  <c r="O113" i="9"/>
  <c r="H139" i="9"/>
  <c r="L103" i="9"/>
  <c r="F108" i="9"/>
  <c r="L228" i="9"/>
  <c r="N75" i="9"/>
  <c r="C140" i="9"/>
  <c r="N235" i="9"/>
  <c r="H142" i="9"/>
  <c r="K84" i="9"/>
  <c r="N186" i="9"/>
  <c r="H180" i="9"/>
  <c r="K162" i="9"/>
  <c r="F83" i="9"/>
  <c r="G49" i="3"/>
  <c r="I227" i="9"/>
  <c r="C76" i="9"/>
  <c r="I99" i="9"/>
  <c r="N150" i="9"/>
  <c r="O111" i="9"/>
  <c r="H87" i="9"/>
  <c r="N222" i="9"/>
  <c r="K143" i="9"/>
  <c r="C198" i="9"/>
  <c r="O196" i="9"/>
  <c r="C150" i="9"/>
  <c r="E260" i="9"/>
  <c r="I219" i="9"/>
  <c r="F51" i="9"/>
  <c r="O204" i="9"/>
  <c r="O119" i="9"/>
  <c r="C31" i="9"/>
  <c r="L38" i="9"/>
  <c r="O47" i="3"/>
  <c r="L143" i="9"/>
  <c r="L146" i="9"/>
  <c r="F28" i="9"/>
  <c r="G67" i="3"/>
  <c r="C139" i="9"/>
  <c r="F65" i="9"/>
  <c r="L42" i="9"/>
  <c r="F191" i="9"/>
  <c r="E238" i="9"/>
  <c r="H149" i="9"/>
  <c r="E148" i="9"/>
  <c r="C217" i="9"/>
  <c r="O51" i="9"/>
  <c r="L265" i="9"/>
  <c r="L161" i="9"/>
  <c r="E278" i="9"/>
  <c r="O35" i="3"/>
  <c r="E195" i="9"/>
  <c r="H41" i="9"/>
  <c r="H103" i="9"/>
  <c r="E233" i="9"/>
  <c r="C118" i="9"/>
  <c r="C143" i="9"/>
  <c r="H65" i="9"/>
  <c r="I178" i="9"/>
  <c r="L268" i="9"/>
  <c r="C176" i="9"/>
  <c r="O36" i="9"/>
  <c r="F227" i="9"/>
  <c r="F256" i="9"/>
  <c r="L120" i="9"/>
  <c r="K271" i="9"/>
  <c r="G74" i="3"/>
  <c r="O52" i="9"/>
  <c r="H156" i="9"/>
  <c r="C225" i="9"/>
  <c r="K108" i="9"/>
  <c r="I180" i="9"/>
  <c r="E215" i="9"/>
  <c r="H73" i="9"/>
  <c r="H222" i="9"/>
  <c r="E115" i="9"/>
  <c r="L24" i="9"/>
  <c r="F68" i="9"/>
  <c r="H74" i="9"/>
  <c r="E62" i="9"/>
  <c r="K274" i="9"/>
  <c r="K163" i="9"/>
  <c r="F275" i="9"/>
  <c r="L52" i="9"/>
  <c r="K24" i="9"/>
  <c r="I188" i="9"/>
  <c r="O42" i="3"/>
  <c r="K187" i="9"/>
  <c r="N277" i="9"/>
  <c r="H30" i="9"/>
  <c r="O164" i="9"/>
  <c r="E242" i="9"/>
  <c r="I87" i="9"/>
  <c r="E114" i="9"/>
  <c r="E189" i="9"/>
  <c r="N98" i="9"/>
  <c r="O72" i="3"/>
  <c r="F212" i="9"/>
  <c r="C27" i="9"/>
  <c r="L259" i="9"/>
  <c r="H185" i="9"/>
  <c r="K106" i="9"/>
  <c r="H78" i="9"/>
  <c r="K59" i="3"/>
  <c r="C80" i="9"/>
  <c r="F254" i="9"/>
  <c r="O88" i="9"/>
  <c r="C103" i="9"/>
  <c r="F113" i="9"/>
  <c r="F158" i="9"/>
  <c r="N101" i="9"/>
  <c r="O269" i="9"/>
  <c r="H75" i="9"/>
  <c r="E150" i="9"/>
  <c r="O174" i="9"/>
  <c r="F194" i="9"/>
  <c r="K15" i="3"/>
  <c r="K32" i="3"/>
  <c r="N197" i="9"/>
  <c r="E274" i="9"/>
  <c r="O44" i="3"/>
  <c r="C221" i="9"/>
  <c r="C84" i="9"/>
  <c r="K72" i="9"/>
  <c r="O82" i="9"/>
  <c r="N215" i="9"/>
  <c r="K117" i="9"/>
  <c r="H157" i="9"/>
  <c r="L50" i="9"/>
  <c r="E79" i="9"/>
  <c r="K19" i="5"/>
  <c r="F154" i="9"/>
  <c r="I240" i="9"/>
  <c r="O137" i="9"/>
  <c r="H119" i="9"/>
  <c r="H159" i="9"/>
  <c r="L255" i="9"/>
  <c r="F180" i="9"/>
  <c r="E70" i="9"/>
  <c r="G46" i="3"/>
  <c r="L106" i="9"/>
  <c r="K23" i="3"/>
  <c r="H216" i="9"/>
  <c r="K151" i="9"/>
  <c r="N271" i="9"/>
  <c r="H155" i="9"/>
  <c r="K118" i="9"/>
  <c r="O31" i="3"/>
  <c r="F178" i="9"/>
  <c r="C38" i="9"/>
  <c r="F280" i="9"/>
  <c r="H276" i="9"/>
  <c r="E141" i="9"/>
  <c r="I197" i="9"/>
  <c r="E162" i="9"/>
  <c r="O74" i="3"/>
  <c r="G43" i="3"/>
  <c r="L141" i="9"/>
  <c r="O201" i="9"/>
  <c r="K14" i="5"/>
  <c r="L30" i="9"/>
  <c r="K140" i="9"/>
  <c r="K242" i="9"/>
  <c r="E48" i="9"/>
  <c r="F165" i="9"/>
  <c r="O202" i="9"/>
  <c r="N223" i="9"/>
  <c r="E276" i="9"/>
  <c r="K260" i="9"/>
  <c r="F181" i="9"/>
  <c r="O76" i="9"/>
  <c r="C62" i="9"/>
  <c r="E191" i="9"/>
  <c r="K200" i="9"/>
  <c r="K251" i="9"/>
  <c r="C102" i="9"/>
  <c r="E84" i="9"/>
  <c r="N88" i="9"/>
  <c r="I115" i="9"/>
  <c r="N204" i="9"/>
  <c r="O161" i="9"/>
  <c r="N141" i="9"/>
  <c r="K234" i="9"/>
  <c r="H99" i="9"/>
  <c r="K66" i="9"/>
  <c r="L29" i="9"/>
  <c r="I225" i="9"/>
  <c r="F155" i="9"/>
  <c r="K145" i="9"/>
  <c r="E27" i="9"/>
  <c r="K100" i="9"/>
  <c r="H121" i="9"/>
  <c r="K17" i="5"/>
  <c r="K105" i="9"/>
  <c r="H182" i="9"/>
  <c r="I101" i="9"/>
  <c r="I82" i="9"/>
  <c r="H79" i="9"/>
  <c r="I47" i="9"/>
  <c r="L22" i="9"/>
  <c r="F111" i="9"/>
  <c r="L252" i="9"/>
  <c r="O279" i="9"/>
  <c r="F259" i="9"/>
  <c r="N236" i="9"/>
  <c r="H140" i="9"/>
  <c r="N115" i="9"/>
  <c r="C46" i="9"/>
  <c r="I194" i="9"/>
  <c r="O116" i="9"/>
  <c r="C69" i="9"/>
  <c r="H196" i="9"/>
  <c r="N109" i="9"/>
  <c r="O112" i="9"/>
  <c r="N117" i="9"/>
  <c r="I273" i="9"/>
  <c r="K64" i="3"/>
  <c r="H108" i="9"/>
  <c r="E175" i="9"/>
  <c r="H161" i="9"/>
  <c r="N39" i="9"/>
  <c r="F255" i="9"/>
  <c r="F164" i="9"/>
  <c r="I118" i="9"/>
  <c r="N160" i="9"/>
  <c r="E139" i="9"/>
  <c r="L101" i="9"/>
  <c r="F153" i="9"/>
  <c r="I241" i="9"/>
  <c r="O43" i="3"/>
  <c r="N22" i="9"/>
  <c r="I198" i="9"/>
  <c r="G33" i="3"/>
  <c r="O121" i="9"/>
  <c r="N108" i="9"/>
  <c r="O146" i="9"/>
  <c r="F190" i="9"/>
  <c r="H22" i="9"/>
  <c r="K221" i="9"/>
  <c r="H136" i="9"/>
  <c r="E85" i="9"/>
  <c r="H153" i="9"/>
  <c r="O49" i="3"/>
  <c r="I64" i="9"/>
  <c r="C241" i="9"/>
  <c r="F226" i="9"/>
  <c r="N199" i="9"/>
  <c r="I112" i="9"/>
  <c r="H230" i="9"/>
  <c r="F269" i="9"/>
  <c r="H272" i="9"/>
  <c r="L263" i="9"/>
  <c r="N148" i="9"/>
  <c r="O59" i="3"/>
  <c r="F69" i="9"/>
  <c r="G56" i="3"/>
  <c r="C240" i="9"/>
  <c r="O232" i="9"/>
  <c r="E128" i="9"/>
  <c r="H257" i="9"/>
  <c r="N229" i="9"/>
  <c r="H178" i="9"/>
  <c r="L160" i="9"/>
  <c r="C179" i="9"/>
  <c r="O234" i="9"/>
  <c r="O162" i="9"/>
  <c r="C111" i="9"/>
  <c r="E66" i="9"/>
  <c r="C119" i="9"/>
  <c r="L181" i="9"/>
  <c r="L125" i="9"/>
  <c r="N72" i="9"/>
  <c r="N165" i="9"/>
  <c r="O156" i="9"/>
  <c r="I266" i="9"/>
  <c r="E183" i="9"/>
  <c r="C178" i="9"/>
  <c r="C33" i="9"/>
  <c r="I226" i="9"/>
  <c r="H76" i="9"/>
  <c r="O84" i="9"/>
  <c r="K6" i="3"/>
  <c r="L253" i="9"/>
  <c r="F45" i="9"/>
  <c r="N64" i="9"/>
  <c r="H241" i="9"/>
  <c r="K13" i="5"/>
  <c r="H141" i="9"/>
  <c r="I61" i="9"/>
  <c r="C157" i="9"/>
  <c r="K186" i="9"/>
  <c r="H213" i="9"/>
  <c r="N156" i="9"/>
  <c r="E32" i="9"/>
  <c r="L220" i="9"/>
  <c r="K67" i="3"/>
  <c r="F50" i="9"/>
  <c r="O78" i="9"/>
  <c r="L70" i="9"/>
  <c r="E22" i="9"/>
  <c r="E82" i="9"/>
  <c r="K75" i="3"/>
  <c r="O203" i="9"/>
  <c r="L269" i="9"/>
  <c r="I238" i="9"/>
  <c r="O87" i="9"/>
  <c r="F40" i="9"/>
  <c r="L40" i="9"/>
  <c r="F30" i="9"/>
  <c r="I177" i="9"/>
  <c r="K22" i="9"/>
  <c r="E34" i="9"/>
  <c r="F143" i="9"/>
  <c r="H218" i="9"/>
  <c r="F122" i="9"/>
  <c r="L99" i="9"/>
  <c r="I185" i="9"/>
  <c r="K33" i="9"/>
  <c r="C22" i="9"/>
  <c r="F100" i="9"/>
  <c r="N161" i="9"/>
  <c r="F179" i="9"/>
  <c r="I51" i="9"/>
  <c r="I204" i="9"/>
  <c r="K231" i="9"/>
  <c r="N120" i="9"/>
  <c r="C177" i="9"/>
  <c r="H64" i="9"/>
  <c r="C260" i="9"/>
  <c r="I124" i="9"/>
  <c r="L61" i="9"/>
  <c r="K62" i="9"/>
  <c r="L98" i="9"/>
  <c r="I78" i="9"/>
  <c r="O267" i="9"/>
  <c r="H38" i="9"/>
  <c r="F117" i="9"/>
  <c r="K65" i="3"/>
  <c r="F267" i="9"/>
  <c r="F257" i="9"/>
  <c r="L204" i="9"/>
  <c r="O166" i="9"/>
  <c r="H137" i="9"/>
  <c r="L258" i="9"/>
  <c r="C159" i="9"/>
  <c r="C194" i="9"/>
  <c r="L165" i="9"/>
  <c r="F162" i="9"/>
  <c r="O71" i="3"/>
  <c r="I146" i="9"/>
  <c r="F223" i="9"/>
  <c r="N99" i="9"/>
  <c r="I224" i="9"/>
  <c r="O124" i="9"/>
  <c r="C152" i="9"/>
  <c r="N232" i="9"/>
  <c r="F182" i="9"/>
  <c r="H250" i="9"/>
  <c r="N114" i="9"/>
  <c r="L274" i="9"/>
  <c r="I85" i="9"/>
  <c r="O219" i="9"/>
  <c r="H33" i="9"/>
  <c r="O83" i="9"/>
  <c r="L215" i="9"/>
  <c r="K150" i="9"/>
  <c r="H175" i="9"/>
  <c r="O216" i="9"/>
  <c r="N67" i="9"/>
  <c r="K88" i="9"/>
  <c r="H77" i="9"/>
  <c r="L190" i="9"/>
  <c r="O30" i="9"/>
  <c r="E71" i="9"/>
  <c r="I189" i="9"/>
  <c r="C113" i="9"/>
  <c r="F46" i="9"/>
  <c r="E198" i="9"/>
  <c r="N260" i="9"/>
  <c r="K56" i="3"/>
  <c r="N227" i="9"/>
  <c r="G37" i="3"/>
  <c r="N106" i="9"/>
  <c r="O109" i="9"/>
  <c r="E222" i="9"/>
  <c r="K82" i="9"/>
  <c r="K73" i="9"/>
  <c r="N79" i="9"/>
  <c r="I215" i="9"/>
  <c r="K74" i="3"/>
  <c r="K222" i="9"/>
  <c r="O85" i="9"/>
  <c r="L152" i="9"/>
  <c r="F118" i="9"/>
  <c r="N139" i="9"/>
  <c r="F80" i="9"/>
  <c r="K64" i="9"/>
  <c r="F41" i="9"/>
  <c r="F75" i="9"/>
  <c r="K235" i="9"/>
  <c r="I44" i="9"/>
  <c r="F82" i="9"/>
  <c r="I229" i="9"/>
  <c r="L179" i="9"/>
  <c r="K136" i="9"/>
  <c r="F203" i="9"/>
  <c r="L199" i="9"/>
  <c r="F148" i="9"/>
  <c r="C75" i="9"/>
  <c r="N158" i="9"/>
  <c r="C187" i="9"/>
  <c r="F116" i="9"/>
  <c r="K270" i="9"/>
  <c r="I165" i="9"/>
  <c r="E41" i="9"/>
  <c r="C180" i="9"/>
  <c r="O25" i="9"/>
  <c r="H221" i="9"/>
  <c r="L166" i="9"/>
  <c r="F72" i="9"/>
  <c r="H268" i="9"/>
  <c r="O217" i="9"/>
  <c r="F29" i="9"/>
  <c r="F273" i="9"/>
  <c r="C104" i="9"/>
  <c r="L66" i="9"/>
  <c r="N44" i="9"/>
  <c r="G73" i="3"/>
  <c r="K181" i="9"/>
  <c r="O104" i="9"/>
  <c r="L117" i="9"/>
  <c r="C228" i="9"/>
  <c r="H186" i="9"/>
  <c r="O258" i="9"/>
  <c r="E280" i="9"/>
  <c r="O259" i="9"/>
  <c r="N110" i="9"/>
  <c r="G35" i="3"/>
  <c r="N152" i="9"/>
  <c r="E140" i="9"/>
  <c r="O32" i="3"/>
  <c r="F197" i="9"/>
  <c r="C186" i="9"/>
  <c r="H85" i="9"/>
  <c r="L229" i="9"/>
  <c r="K238" i="9"/>
  <c r="I270" i="9"/>
  <c r="H98" i="9"/>
  <c r="H31" i="9"/>
  <c r="F198" i="9"/>
  <c r="N69" i="9"/>
  <c r="C110" i="9"/>
  <c r="L275" i="9"/>
  <c r="O225" i="9"/>
  <c r="F166" i="9"/>
  <c r="K237" i="9"/>
  <c r="G70" i="3"/>
  <c r="K165" i="9"/>
  <c r="O231" i="9"/>
  <c r="F214" i="9"/>
  <c r="K177" i="9"/>
  <c r="F161" i="9"/>
  <c r="E101" i="9"/>
  <c r="F47" i="9"/>
  <c r="L276" i="9"/>
  <c r="N49" i="9"/>
  <c r="E174" i="9"/>
  <c r="E163" i="9"/>
  <c r="K102" i="9"/>
  <c r="L122" i="9"/>
  <c r="H34" i="9"/>
  <c r="C218" i="9"/>
  <c r="L224" i="9"/>
  <c r="F81" i="9"/>
  <c r="E23" i="9"/>
  <c r="L241" i="9"/>
  <c r="K61" i="9"/>
  <c r="K215" i="9"/>
  <c r="E200" i="9"/>
  <c r="N196" i="9"/>
  <c r="F156" i="9"/>
  <c r="H24" i="9"/>
  <c r="L254" i="9"/>
  <c r="K193" i="9"/>
  <c r="C122" i="9"/>
  <c r="H166" i="9"/>
  <c r="C154" i="9"/>
  <c r="L197" i="9"/>
  <c r="E119" i="9"/>
  <c r="K49" i="3"/>
  <c r="K9" i="3"/>
  <c r="K127" i="9"/>
  <c r="O140" i="9"/>
  <c r="K49" i="9"/>
  <c r="F215" i="9"/>
  <c r="E221" i="9"/>
  <c r="N242" i="9"/>
  <c r="F261" i="9"/>
  <c r="K123" i="9"/>
  <c r="K197" i="9"/>
  <c r="F183" i="9"/>
  <c r="K146" i="9"/>
  <c r="I111" i="9"/>
  <c r="O200" i="9"/>
  <c r="N272" i="9"/>
  <c r="O149" i="9"/>
  <c r="I128" i="9"/>
  <c r="K256" i="9"/>
  <c r="K185" i="9"/>
  <c r="O177" i="9"/>
  <c r="I74" i="9"/>
  <c r="H265" i="9"/>
  <c r="C36" i="9"/>
  <c r="K112" i="9"/>
  <c r="H280" i="9"/>
  <c r="I104" i="9"/>
  <c r="F200" i="9"/>
  <c r="I260" i="9"/>
  <c r="N68" i="9"/>
  <c r="H106" i="9"/>
  <c r="L277" i="9"/>
  <c r="E105" i="9"/>
  <c r="C73" i="9"/>
  <c r="I195" i="9"/>
  <c r="N24" i="9"/>
  <c r="K7" i="3"/>
  <c r="L256" i="9"/>
  <c r="F195" i="9"/>
  <c r="N237" i="9"/>
  <c r="O61" i="3"/>
  <c r="K16" i="5"/>
  <c r="E107" i="9"/>
  <c r="N73" i="9"/>
  <c r="E126" i="9"/>
  <c r="I72" i="9"/>
  <c r="E193" i="9"/>
  <c r="I186" i="9"/>
  <c r="C148" i="9"/>
  <c r="I230" i="9"/>
  <c r="F88" i="9"/>
  <c r="F279" i="9"/>
  <c r="F39" i="9"/>
  <c r="C114" i="9"/>
  <c r="I147" i="9"/>
  <c r="H177" i="9"/>
  <c r="O239" i="9"/>
  <c r="C162" i="9"/>
  <c r="N177" i="9"/>
  <c r="O237" i="9"/>
  <c r="H270" i="9"/>
  <c r="H165" i="9"/>
  <c r="H224" i="9"/>
  <c r="C277" i="9"/>
  <c r="I123" i="9"/>
  <c r="O103" i="9"/>
  <c r="H27" i="9"/>
  <c r="O36" i="3"/>
  <c r="K8" i="3"/>
  <c r="O276" i="9"/>
  <c r="L147" i="9"/>
  <c r="N86" i="9"/>
  <c r="N50" i="9"/>
  <c r="N163" i="9"/>
  <c r="C115" i="9"/>
  <c r="I220" i="9"/>
  <c r="N259" i="9"/>
  <c r="C259" i="9"/>
  <c r="L109" i="9"/>
  <c r="L187" i="9"/>
  <c r="C276" i="9"/>
  <c r="N84" i="9"/>
  <c r="C125" i="9"/>
  <c r="I166" i="9"/>
  <c r="C184" i="9"/>
  <c r="O163" i="9"/>
  <c r="F99" i="9"/>
  <c r="C121" i="9"/>
  <c r="L142" i="9"/>
  <c r="E265" i="9"/>
  <c r="O33" i="3"/>
  <c r="N262" i="9"/>
  <c r="H179" i="9"/>
  <c r="F106" i="9"/>
  <c r="F193" i="9"/>
  <c r="E252" i="9"/>
  <c r="I269" i="9"/>
  <c r="O268" i="9"/>
  <c r="K86" i="9"/>
  <c r="N212" i="9"/>
  <c r="F24" i="9"/>
  <c r="L139" i="9"/>
  <c r="K79" i="9"/>
  <c r="I250" i="9"/>
  <c r="L121" i="9"/>
  <c r="E24" i="9"/>
  <c r="H233" i="9"/>
  <c r="O186" i="9"/>
  <c r="K218" i="9"/>
  <c r="L88" i="9"/>
  <c r="O199" i="9"/>
  <c r="C227" i="9"/>
  <c r="H116" i="9"/>
  <c r="L264" i="9"/>
  <c r="L63" i="9"/>
  <c r="H26" i="9"/>
  <c r="L203" i="9"/>
  <c r="K184" i="9"/>
  <c r="H253" i="9"/>
  <c r="N234" i="9"/>
  <c r="N76" i="9"/>
  <c r="C43" i="9"/>
  <c r="I181" i="9"/>
  <c r="I22" i="9"/>
  <c r="N61" i="9"/>
  <c r="I84" i="9"/>
  <c r="E166" i="9"/>
  <c r="N144" i="9"/>
  <c r="H231" i="9"/>
  <c r="F64" i="9"/>
  <c r="N263" i="9"/>
  <c r="K141" i="9"/>
  <c r="I114" i="9"/>
  <c r="E159" i="9"/>
  <c r="E268" i="9"/>
  <c r="E137" i="9"/>
  <c r="F218" i="9"/>
  <c r="H251" i="9"/>
  <c r="O227" i="9"/>
  <c r="I39" i="9"/>
  <c r="F140" i="9"/>
  <c r="K225" i="9"/>
  <c r="H225" i="9"/>
  <c r="F146" i="9"/>
  <c r="E138" i="9"/>
  <c r="L68" i="9"/>
  <c r="O68" i="9"/>
  <c r="I31" i="9"/>
  <c r="F272" i="9"/>
  <c r="H118" i="9"/>
  <c r="N34" i="9"/>
  <c r="E212" i="9"/>
  <c r="H195" i="9"/>
  <c r="O41" i="9"/>
  <c r="E81" i="9"/>
  <c r="F136" i="9"/>
  <c r="F252" i="9"/>
  <c r="L28" i="9"/>
  <c r="N116" i="9"/>
  <c r="I25" i="9"/>
  <c r="L36" i="9"/>
  <c r="E36" i="9"/>
  <c r="E267" i="9"/>
  <c r="O39" i="3"/>
  <c r="H51" i="9"/>
  <c r="H104" i="9"/>
  <c r="N164" i="9"/>
  <c r="N185" i="9"/>
  <c r="N225" i="9"/>
  <c r="O22" i="9"/>
  <c r="K268" i="9"/>
  <c r="I43" i="9"/>
  <c r="O73" i="9"/>
  <c r="O57" i="3"/>
  <c r="N200" i="9"/>
  <c r="H61" i="9"/>
  <c r="E187" i="9"/>
  <c r="E259" i="9"/>
  <c r="C238" i="9"/>
  <c r="C26" i="9"/>
  <c r="O218" i="9"/>
  <c r="K33" i="3"/>
  <c r="H227" i="9"/>
  <c r="O24" i="9"/>
  <c r="F222" i="9"/>
  <c r="C160" i="9"/>
  <c r="K76" i="9"/>
  <c r="N198" i="9"/>
  <c r="H71" i="9"/>
  <c r="L82" i="9"/>
  <c r="N83" i="9"/>
  <c r="G41" i="3"/>
  <c r="C202" i="9"/>
  <c r="C101" i="9"/>
  <c r="N214" i="9"/>
  <c r="N122" i="9"/>
  <c r="L221" i="9"/>
  <c r="H112" i="9"/>
  <c r="F175" i="9"/>
  <c r="E250" i="9"/>
  <c r="C234" i="9"/>
  <c r="H146" i="9"/>
  <c r="I49" i="9"/>
  <c r="N258" i="9"/>
  <c r="F78" i="9"/>
  <c r="N51" i="9"/>
  <c r="N153" i="9"/>
  <c r="C67" i="9"/>
  <c r="C149" i="9"/>
  <c r="F177" i="9"/>
  <c r="F250" i="9"/>
  <c r="K199" i="9"/>
  <c r="F235" i="9"/>
  <c r="N121" i="9"/>
  <c r="L175" i="9"/>
  <c r="I222" i="9"/>
  <c r="C70" i="9"/>
  <c r="E201" i="9"/>
  <c r="O255" i="9"/>
  <c r="I143" i="9"/>
  <c r="I63" i="9"/>
  <c r="I231" i="9"/>
  <c r="L79" i="9"/>
  <c r="O139" i="9"/>
  <c r="I161" i="9"/>
  <c r="N278" i="9"/>
  <c r="K29" i="9"/>
  <c r="E147" i="9"/>
  <c r="F74" i="9"/>
  <c r="I183" i="9"/>
  <c r="K121" i="9"/>
  <c r="L81" i="9"/>
  <c r="O128" i="9"/>
  <c r="F102" i="9"/>
  <c r="O184" i="9"/>
  <c r="K226" i="9"/>
  <c r="L31" i="9"/>
  <c r="C123" i="9"/>
  <c r="F67" i="9"/>
  <c r="C52" i="9"/>
  <c r="K279" i="9"/>
  <c r="I237" i="9"/>
  <c r="O65" i="3"/>
  <c r="O188" i="9"/>
  <c r="K203" i="9"/>
  <c r="E30" i="9"/>
  <c r="O141" i="9"/>
  <c r="I105" i="9"/>
  <c r="I216" i="9"/>
  <c r="E112" i="9"/>
  <c r="K77" i="9"/>
  <c r="O38" i="9"/>
  <c r="K44" i="9"/>
  <c r="K68" i="3"/>
  <c r="F260" i="9"/>
  <c r="K43" i="3"/>
  <c r="O63" i="9"/>
  <c r="N119" i="9"/>
  <c r="E253" i="9"/>
  <c r="K156" i="9"/>
  <c r="E78" i="9"/>
  <c r="L128" i="9"/>
  <c r="C142" i="9"/>
  <c r="N89" i="9"/>
  <c r="O90" i="9"/>
  <c r="O165" i="9"/>
  <c r="E73" i="9"/>
  <c r="I157" i="9"/>
  <c r="N189" i="9"/>
  <c r="K80" i="9"/>
  <c r="F141" i="9"/>
  <c r="H25" i="9"/>
  <c r="L163" i="9"/>
  <c r="N63" i="9"/>
  <c r="N251" i="9"/>
  <c r="K35" i="9"/>
  <c r="K20" i="5"/>
  <c r="H269" i="9"/>
  <c r="K37" i="9"/>
  <c r="F128" i="9"/>
  <c r="H258" i="9"/>
  <c r="N85" i="9"/>
  <c r="K68" i="9"/>
  <c r="K189" i="9"/>
  <c r="K179" i="9"/>
  <c r="O251" i="9"/>
  <c r="I41" i="9"/>
  <c r="C79" i="9"/>
  <c r="K44" i="3"/>
  <c r="O101" i="9"/>
  <c r="O226" i="9"/>
  <c r="C253" i="9"/>
  <c r="H120" i="9"/>
  <c r="E180" i="9"/>
  <c r="E88" i="9"/>
  <c r="H278" i="9"/>
  <c r="H232" i="9"/>
  <c r="G31" i="3"/>
  <c r="K46" i="3"/>
  <c r="H267" i="9"/>
  <c r="O158" i="9"/>
  <c r="H66" i="9"/>
  <c r="O45" i="9"/>
  <c r="E43" i="9"/>
  <c r="K90" i="9"/>
  <c r="N47" i="9"/>
  <c r="K66" i="3"/>
  <c r="N273" i="9"/>
  <c r="L273" i="9"/>
  <c r="E113" i="9"/>
  <c r="C23" i="9"/>
  <c r="F139" i="9"/>
  <c r="E161" i="9"/>
  <c r="E199" i="9"/>
  <c r="E61" i="9"/>
  <c r="N118" i="9"/>
  <c r="E194" i="9"/>
  <c r="O72" i="9"/>
  <c r="N166" i="9"/>
  <c r="L136" i="9"/>
  <c r="H194" i="9"/>
  <c r="F242" i="9"/>
  <c r="C200" i="9"/>
  <c r="N35" i="9"/>
  <c r="E28" i="9"/>
  <c r="K61" i="3"/>
  <c r="K255" i="9"/>
  <c r="C254" i="9"/>
  <c r="N203" i="9"/>
  <c r="O65" i="9"/>
  <c r="H117" i="9"/>
  <c r="C278" i="9"/>
  <c r="F32" i="9"/>
  <c r="F107" i="9"/>
  <c r="O61" i="9"/>
  <c r="I40" i="9"/>
  <c r="I263" i="9"/>
  <c r="C267" i="9"/>
  <c r="N192" i="9"/>
  <c r="K46" i="9"/>
  <c r="H127" i="9"/>
  <c r="L108" i="9"/>
  <c r="H62" i="9"/>
  <c r="K155" i="9"/>
  <c r="K40" i="3"/>
  <c r="O70" i="9"/>
  <c r="O58" i="3"/>
  <c r="I67" i="9"/>
  <c r="F71" i="9"/>
  <c r="O242" i="9"/>
  <c r="F49" i="9"/>
  <c r="H42" i="9"/>
  <c r="N154" i="9"/>
  <c r="L112" i="9"/>
  <c r="C87" i="9"/>
  <c r="I202" i="9"/>
  <c r="C235" i="9"/>
  <c r="I141" i="9"/>
  <c r="C195" i="9"/>
  <c r="C265" i="9"/>
  <c r="L37" i="9"/>
  <c r="L105" i="9"/>
  <c r="I66" i="9"/>
  <c r="L110" i="9"/>
  <c r="H192" i="9"/>
  <c r="I259" i="9"/>
  <c r="L64" i="9"/>
  <c r="H162" i="9"/>
  <c r="K219" i="9"/>
  <c r="I251" i="9"/>
  <c r="K157" i="9"/>
  <c r="L45" i="9"/>
  <c r="I60" i="9"/>
  <c r="N184" i="9"/>
  <c r="E277" i="9"/>
  <c r="C60" i="9"/>
  <c r="H263" i="9"/>
  <c r="L200" i="9"/>
  <c r="E229" i="9"/>
  <c r="I192" i="9"/>
  <c r="L71" i="9"/>
  <c r="H158" i="9"/>
  <c r="F192" i="9"/>
  <c r="O42" i="9"/>
  <c r="H138" i="9"/>
  <c r="E237" i="9"/>
  <c r="C269" i="9"/>
  <c r="E152" i="9"/>
  <c r="C231" i="9"/>
  <c r="O35" i="9"/>
  <c r="I152" i="9"/>
  <c r="L119" i="9"/>
  <c r="C215" i="9"/>
  <c r="H107" i="9"/>
  <c r="C163" i="9"/>
  <c r="I71" i="9"/>
  <c r="F23" i="9"/>
  <c r="L65" i="9"/>
  <c r="E99" i="9"/>
  <c r="N275" i="9"/>
  <c r="L35" i="9"/>
  <c r="E26" i="9"/>
  <c r="N107" i="9"/>
  <c r="N176" i="9"/>
  <c r="L214" i="9"/>
  <c r="O74" i="9"/>
  <c r="F90" i="9"/>
  <c r="N136" i="9"/>
  <c r="O106" i="9"/>
  <c r="K74" i="9"/>
  <c r="N147" i="9"/>
  <c r="E178" i="9"/>
  <c r="K116" i="9"/>
  <c r="C29" i="9"/>
  <c r="L174" i="9"/>
  <c r="F84" i="9"/>
  <c r="C82" i="9"/>
  <c r="H122" i="9"/>
  <c r="C86" i="9"/>
  <c r="I255" i="9"/>
  <c r="H143" i="9"/>
  <c r="H111" i="9"/>
  <c r="C165" i="9"/>
  <c r="H198" i="9"/>
  <c r="L238" i="9"/>
  <c r="N137" i="9"/>
  <c r="L26" i="9"/>
  <c r="E124" i="9"/>
  <c r="I175" i="9"/>
  <c r="E185" i="9"/>
  <c r="F217" i="9"/>
  <c r="O260" i="9"/>
  <c r="K265" i="9"/>
  <c r="C203" i="9"/>
  <c r="H254" i="9"/>
  <c r="N46" i="9"/>
  <c r="E74" i="9"/>
  <c r="L73" i="9"/>
  <c r="K48" i="9"/>
  <c r="N224" i="9"/>
  <c r="I79" i="9"/>
  <c r="E182" i="9"/>
  <c r="L86" i="9"/>
  <c r="E49" i="9"/>
  <c r="O221" i="9"/>
  <c r="O89" i="9"/>
  <c r="C280" i="9"/>
  <c r="L23" i="9"/>
  <c r="I121" i="9"/>
  <c r="C35" i="9"/>
  <c r="E47" i="9"/>
  <c r="C47" i="9"/>
  <c r="L262" i="9"/>
  <c r="E116" i="9"/>
  <c r="K217" i="9"/>
  <c r="H83" i="9"/>
  <c r="C256" i="9"/>
  <c r="K183" i="9"/>
  <c r="L150" i="9"/>
  <c r="E203" i="9"/>
  <c r="C224" i="9"/>
  <c r="H113" i="9"/>
  <c r="H203" i="9"/>
  <c r="G63" i="3"/>
  <c r="F145" i="9"/>
  <c r="H37" i="9"/>
  <c r="H45" i="9"/>
  <c r="C214" i="9"/>
  <c r="C42" i="9"/>
  <c r="C204" i="9"/>
  <c r="N146" i="9"/>
  <c r="F228" i="9"/>
  <c r="K63" i="9"/>
  <c r="O195" i="9"/>
  <c r="H228" i="9"/>
  <c r="C34" i="9"/>
  <c r="C25" i="9"/>
  <c r="O40" i="9"/>
  <c r="K58" i="3"/>
  <c r="L148" i="9"/>
  <c r="K128" i="9"/>
  <c r="H49" i="9"/>
  <c r="H266" i="9"/>
  <c r="C273" i="9"/>
  <c r="O66" i="3"/>
  <c r="N29" i="9"/>
  <c r="N220" i="9"/>
  <c r="C166" i="9"/>
  <c r="L32" i="9"/>
  <c r="K161" i="9"/>
  <c r="E179" i="9"/>
  <c r="C112" i="9"/>
  <c r="E77" i="9"/>
  <c r="E216" i="9"/>
  <c r="E228" i="9"/>
  <c r="O49" i="9"/>
  <c r="N113" i="9"/>
  <c r="E217" i="9"/>
  <c r="C270" i="9"/>
  <c r="K230" i="9"/>
  <c r="E143" i="9"/>
  <c r="F112" i="9"/>
  <c r="L115" i="9"/>
  <c r="E110" i="9"/>
  <c r="I150" i="9"/>
  <c r="C258" i="9"/>
  <c r="N37" i="9"/>
  <c r="F87" i="9"/>
  <c r="C183" i="9"/>
  <c r="N193" i="9"/>
  <c r="O157" i="9"/>
  <c r="I184" i="9"/>
  <c r="K212" i="9"/>
  <c r="K277" i="9"/>
  <c r="I236" i="9"/>
  <c r="K60" i="9"/>
  <c r="N267" i="9"/>
  <c r="C146" i="9"/>
  <c r="O41" i="3"/>
  <c r="I144" i="9"/>
  <c r="E37" i="9"/>
  <c r="O181" i="9"/>
  <c r="F277" i="9"/>
  <c r="C274" i="9"/>
  <c r="E158" i="9"/>
  <c r="H201" i="9"/>
  <c r="K113" i="9"/>
  <c r="O71" i="9"/>
  <c r="E192" i="9"/>
  <c r="F85" i="9"/>
  <c r="E176" i="9"/>
  <c r="O143" i="9"/>
  <c r="F201" i="9"/>
  <c r="L62" i="9"/>
  <c r="L126" i="9"/>
  <c r="H242" i="9"/>
  <c r="N78" i="9"/>
  <c r="K139" i="9"/>
  <c r="H36" i="9"/>
  <c r="L127" i="9"/>
  <c r="L216" i="9"/>
  <c r="I242" i="9"/>
  <c r="I27" i="9"/>
  <c r="I103" i="9"/>
  <c r="O178" i="9"/>
  <c r="K6" i="5"/>
  <c r="E90" i="9"/>
  <c r="I271" i="9"/>
  <c r="L267" i="9"/>
  <c r="H238" i="9"/>
  <c r="F115" i="9"/>
  <c r="K239" i="9"/>
  <c r="F251" i="9"/>
  <c r="E38" i="9"/>
  <c r="I23" i="9"/>
  <c r="F124" i="9"/>
  <c r="I276" i="9"/>
  <c r="I203" i="9"/>
  <c r="N100" i="9"/>
  <c r="K192" i="9"/>
  <c r="N216" i="9"/>
  <c r="H259" i="9"/>
  <c r="H110" i="9"/>
  <c r="F123" i="9"/>
  <c r="E156" i="9"/>
  <c r="K19" i="3"/>
  <c r="O148" i="9"/>
  <c r="H214" i="9"/>
  <c r="F271" i="9"/>
  <c r="F233" i="9"/>
  <c r="O69" i="3"/>
  <c r="O105" i="9"/>
  <c r="K12" i="5"/>
  <c r="L157" i="9"/>
  <c r="L189" i="9"/>
  <c r="K174" i="9"/>
  <c r="E224" i="9"/>
  <c r="C74" i="9"/>
  <c r="H279" i="9"/>
  <c r="K31" i="3"/>
  <c r="I193" i="9"/>
  <c r="F33" i="9"/>
  <c r="O110" i="9"/>
  <c r="O277" i="9"/>
  <c r="K261" i="9"/>
  <c r="K67" i="9"/>
  <c r="F79" i="9"/>
  <c r="C37" i="9"/>
  <c r="N213" i="9"/>
  <c r="N280" i="9"/>
  <c r="K21" i="5"/>
  <c r="O38" i="3"/>
  <c r="L144" i="9"/>
  <c r="I113" i="9"/>
  <c r="N183" i="9"/>
  <c r="O40" i="3"/>
  <c r="F63" i="9"/>
  <c r="I217" i="9"/>
  <c r="I138" i="9"/>
  <c r="E146" i="9"/>
  <c r="F240" i="9"/>
  <c r="O235" i="9"/>
  <c r="K138" i="9"/>
  <c r="F101" i="9"/>
  <c r="F104" i="9"/>
  <c r="E255" i="9"/>
  <c r="N238" i="9"/>
  <c r="O241" i="9"/>
  <c r="C78" i="9"/>
  <c r="G59" i="3"/>
  <c r="K38" i="3"/>
  <c r="H223" i="9"/>
  <c r="C155" i="9"/>
  <c r="K31" i="9"/>
  <c r="H28" i="9"/>
  <c r="O142" i="9"/>
  <c r="L188" i="9"/>
  <c r="K70" i="9"/>
  <c r="C48" i="9"/>
  <c r="F186" i="9"/>
  <c r="N23" i="9"/>
  <c r="I278" i="9"/>
  <c r="C261" i="9"/>
  <c r="I213" i="9"/>
  <c r="N82" i="9"/>
  <c r="K11" i="5"/>
  <c r="O75" i="9"/>
  <c r="F60" i="9"/>
  <c r="L138" i="9"/>
  <c r="I223" i="9"/>
  <c r="H239" i="9"/>
  <c r="H271" i="9"/>
  <c r="K111" i="9"/>
  <c r="C272" i="9"/>
  <c r="N274" i="9"/>
  <c r="I277" i="9"/>
  <c r="I252" i="9"/>
  <c r="G68" i="3"/>
  <c r="E254" i="9"/>
  <c r="I45" i="9"/>
  <c r="F147" i="9"/>
  <c r="F38" i="9"/>
  <c r="H189" i="9"/>
  <c r="K36" i="9"/>
  <c r="C100" i="9"/>
  <c r="O138" i="9"/>
  <c r="E225" i="9"/>
  <c r="O29" i="9"/>
  <c r="N27" i="9"/>
  <c r="N112" i="9"/>
  <c r="O63" i="3"/>
  <c r="I160" i="9"/>
  <c r="K252" i="9"/>
  <c r="L123" i="9"/>
  <c r="N102" i="9"/>
  <c r="N65" i="9"/>
  <c r="E239" i="9"/>
  <c r="C257" i="9"/>
  <c r="N66" i="9"/>
  <c r="H187" i="9"/>
  <c r="I163" i="9"/>
  <c r="E127" i="9"/>
  <c r="E264" i="9"/>
  <c r="E227" i="9"/>
  <c r="I221" i="9"/>
  <c r="I75" i="9"/>
  <c r="E269" i="9"/>
  <c r="E258" i="9"/>
  <c r="H261" i="9"/>
  <c r="K65" i="9"/>
  <c r="K176" i="9"/>
  <c r="K152" i="9"/>
  <c r="I151" i="9"/>
  <c r="O155" i="9"/>
  <c r="I156" i="9"/>
  <c r="K264" i="9"/>
  <c r="H190" i="9"/>
  <c r="I107" i="9"/>
  <c r="C90" i="9"/>
  <c r="N142" i="9"/>
  <c r="E35" i="9"/>
  <c r="E151" i="9"/>
  <c r="E111" i="9"/>
  <c r="O274" i="9"/>
  <c r="K60" i="3"/>
  <c r="F219" i="9"/>
  <c r="F22" i="9"/>
  <c r="I80" i="9"/>
  <c r="K214" i="9"/>
  <c r="C271" i="9"/>
  <c r="C268" i="9"/>
  <c r="I68" i="9"/>
  <c r="F184" i="9"/>
  <c r="F103" i="9"/>
  <c r="G69" i="3"/>
  <c r="L140" i="9"/>
  <c r="K78" i="9"/>
  <c r="L272" i="9"/>
  <c r="C164" i="9"/>
  <c r="I42" i="9"/>
  <c r="O67" i="9"/>
  <c r="C236" i="9"/>
  <c r="H144" i="9"/>
  <c r="I262" i="9"/>
  <c r="F35" i="9"/>
  <c r="I179" i="9"/>
  <c r="O254" i="9"/>
  <c r="C251" i="9"/>
  <c r="L164" i="9"/>
  <c r="E106" i="9"/>
  <c r="E136" i="9"/>
  <c r="C201" i="9"/>
  <c r="C199" i="9"/>
  <c r="K36" i="3"/>
  <c r="E125" i="9"/>
  <c r="O43" i="9"/>
  <c r="K224" i="9"/>
  <c r="H237" i="9"/>
  <c r="C68" i="9"/>
  <c r="L85" i="9"/>
  <c r="E40" i="9"/>
  <c r="N194" i="9"/>
  <c r="K166" i="9"/>
  <c r="H174" i="9"/>
  <c r="L280" i="9"/>
  <c r="K50" i="9"/>
  <c r="O189" i="9"/>
  <c r="G62" i="3"/>
  <c r="K98" i="9"/>
  <c r="E266" i="9"/>
  <c r="I164" i="9"/>
  <c r="K263" i="9"/>
  <c r="N31" i="9"/>
  <c r="L279" i="9"/>
  <c r="C45" i="9"/>
  <c r="K89" i="9"/>
  <c r="F31" i="9"/>
  <c r="I190" i="9"/>
  <c r="E236" i="9"/>
  <c r="N261" i="9"/>
  <c r="I235" i="9"/>
  <c r="I127" i="9"/>
  <c r="N264" i="9"/>
  <c r="K62" i="3"/>
  <c r="O123" i="9"/>
  <c r="N77" i="9"/>
  <c r="E218" i="9"/>
  <c r="K9" i="5"/>
  <c r="H154" i="9"/>
  <c r="K149" i="9"/>
  <c r="I62" i="9"/>
  <c r="F188" i="9"/>
  <c r="O145" i="9"/>
  <c r="H236" i="9"/>
  <c r="I33" i="9"/>
  <c r="N218" i="9"/>
  <c r="L33" i="9"/>
  <c r="C105" i="9"/>
  <c r="E202" i="9"/>
  <c r="E52" i="9"/>
  <c r="N266" i="9"/>
  <c r="O160" i="9"/>
  <c r="K16" i="3"/>
  <c r="K17" i="3"/>
  <c r="K99" i="9"/>
  <c r="I98" i="9"/>
  <c r="L111" i="9"/>
  <c r="N202" i="9"/>
  <c r="K236" i="9"/>
  <c r="K24" i="5"/>
  <c r="N149" i="9"/>
  <c r="E68" i="9"/>
  <c r="K147" i="9"/>
  <c r="G50" i="3"/>
  <c r="O115" i="9"/>
  <c r="C61" i="9"/>
  <c r="I155" i="9"/>
  <c r="K34" i="3"/>
  <c r="E256" i="9"/>
  <c r="H40" i="9"/>
  <c r="N178" i="9"/>
  <c r="N38" i="9"/>
  <c r="O23" i="9"/>
  <c r="F185" i="9"/>
  <c r="I108" i="9"/>
  <c r="E214" i="9"/>
  <c r="L90" i="9"/>
  <c r="L155" i="9"/>
  <c r="C161" i="9"/>
  <c r="O191" i="9"/>
  <c r="E87" i="9"/>
  <c r="F48" i="9"/>
  <c r="O183" i="9"/>
  <c r="E223" i="9"/>
  <c r="K23" i="9"/>
  <c r="F66" i="9"/>
  <c r="F120" i="9"/>
  <c r="K110" i="9"/>
  <c r="L240" i="9"/>
  <c r="C50" i="9"/>
  <c r="O273" i="9"/>
  <c r="I65" i="9"/>
  <c r="C99" i="9"/>
  <c r="N145" i="9"/>
  <c r="E108" i="9"/>
  <c r="I187" i="9"/>
  <c r="C188" i="9"/>
  <c r="F204" i="9"/>
  <c r="O179" i="9"/>
  <c r="H47" i="9"/>
  <c r="L237" i="9"/>
  <c r="H176" i="9"/>
  <c r="F253" i="9"/>
  <c r="L159" i="9"/>
  <c r="L43" i="9"/>
  <c r="F77" i="9"/>
  <c r="C145" i="9"/>
  <c r="H102" i="9"/>
  <c r="N127" i="9"/>
  <c r="H148" i="9"/>
  <c r="F138" i="9"/>
  <c r="E102" i="9"/>
  <c r="F262" i="9"/>
  <c r="C117" i="9"/>
  <c r="C190" i="9"/>
  <c r="K41" i="9"/>
  <c r="H70" i="9"/>
  <c r="G44" i="3"/>
  <c r="C230" i="9"/>
  <c r="N124" i="9"/>
  <c r="N226" i="9"/>
  <c r="F263" i="9"/>
  <c r="K107" i="9"/>
  <c r="E271" i="9"/>
  <c r="K196" i="9"/>
  <c r="I174" i="9"/>
  <c r="I139" i="9"/>
  <c r="K278" i="9"/>
  <c r="K164" i="9"/>
  <c r="L87" i="9"/>
  <c r="L186" i="9"/>
  <c r="E190" i="9"/>
  <c r="K190" i="9"/>
  <c r="E64" i="9"/>
  <c r="N45" i="9"/>
  <c r="I77" i="9"/>
  <c r="F34" i="9"/>
  <c r="K276" i="9"/>
  <c r="E231" i="9"/>
  <c r="K71" i="3"/>
  <c r="N191" i="9"/>
  <c r="F220" i="9"/>
  <c r="I136" i="9"/>
  <c r="H235" i="9"/>
  <c r="L195" i="9"/>
  <c r="H90" i="9"/>
  <c r="I35" i="9"/>
  <c r="I274" i="9"/>
  <c r="K114" i="9"/>
  <c r="K11" i="3"/>
  <c r="H150" i="9"/>
  <c r="I102" i="9"/>
  <c r="L74" i="9"/>
  <c r="O265" i="9"/>
  <c r="O69" i="9"/>
  <c r="I119" i="9"/>
  <c r="K37" i="3"/>
  <c r="L232" i="9"/>
  <c r="O73" i="3"/>
  <c r="K125" i="9"/>
  <c r="O48" i="9"/>
  <c r="O182" i="9"/>
  <c r="C30" i="9"/>
  <c r="C275" i="9"/>
  <c r="K254" i="9"/>
  <c r="C156" i="9"/>
  <c r="E104" i="9"/>
  <c r="K52" i="9"/>
  <c r="L183" i="9"/>
  <c r="L89" i="9"/>
  <c r="K7" i="5"/>
  <c r="O175" i="9"/>
  <c r="L80" i="9"/>
  <c r="G72" i="3"/>
  <c r="K159" i="9"/>
  <c r="E67" i="9"/>
  <c r="I106" i="9"/>
  <c r="O126" i="9"/>
  <c r="I264" i="9"/>
  <c r="H39" i="9"/>
  <c r="C116" i="9"/>
  <c r="L236" i="9"/>
  <c r="I275" i="9"/>
  <c r="E157" i="9"/>
  <c r="K122" i="9"/>
  <c r="O266" i="9"/>
  <c r="K262" i="9"/>
  <c r="C279" i="9"/>
  <c r="N40" i="9"/>
  <c r="I201" i="9"/>
  <c r="N81" i="9"/>
  <c r="H184" i="9"/>
  <c r="O230" i="9"/>
  <c r="K47" i="9"/>
  <c r="L67" i="9"/>
  <c r="N162" i="9"/>
  <c r="K41" i="3"/>
  <c r="N279" i="9"/>
  <c r="C137" i="9"/>
  <c r="F144" i="9"/>
  <c r="H181" i="9"/>
  <c r="H220" i="9"/>
  <c r="F229" i="9"/>
  <c r="C153" i="9"/>
  <c r="N140" i="9"/>
  <c r="C185" i="9"/>
  <c r="E272" i="9"/>
  <c r="L223" i="9"/>
  <c r="L78" i="9"/>
  <c r="C120" i="9"/>
  <c r="H114" i="9"/>
  <c r="H151" i="9"/>
  <c r="C138" i="9"/>
  <c r="O215" i="9"/>
  <c r="C212" i="9"/>
  <c r="F199" i="9"/>
  <c r="O147" i="9"/>
  <c r="G32" i="3"/>
  <c r="E220" i="9"/>
  <c r="H123" i="9"/>
  <c r="N268" i="9"/>
  <c r="N252" i="9"/>
  <c r="L278" i="9"/>
  <c r="I279" i="9"/>
  <c r="K148" i="9"/>
  <c r="H229" i="9"/>
  <c r="F241" i="9"/>
  <c r="O272" i="9"/>
  <c r="K20" i="3"/>
  <c r="O47" i="9"/>
  <c r="L177" i="9"/>
  <c r="E46" i="9"/>
  <c r="L194" i="9"/>
  <c r="O37" i="3"/>
  <c r="L49" i="9"/>
  <c r="K47" i="3"/>
  <c r="H115" i="9"/>
  <c r="K27" i="9"/>
  <c r="K75" i="9"/>
  <c r="K202" i="9"/>
  <c r="F149" i="9"/>
  <c r="H164" i="9"/>
  <c r="N90" i="9"/>
  <c r="L250" i="9"/>
  <c r="F42" i="9"/>
  <c r="I234" i="9"/>
  <c r="H199" i="9"/>
  <c r="O56" i="3"/>
  <c r="C136" i="9"/>
  <c r="C144" i="9"/>
  <c r="N52" i="9"/>
  <c r="E181" i="9"/>
  <c r="K137" i="9"/>
  <c r="O238" i="9"/>
  <c r="K227" i="9"/>
  <c r="K126" i="9"/>
  <c r="L34" i="9"/>
  <c r="H67" i="9"/>
  <c r="K42" i="3"/>
  <c r="O271" i="9"/>
  <c r="O125" i="9"/>
  <c r="L116" i="9"/>
  <c r="H212" i="9"/>
  <c r="O222" i="9"/>
  <c r="F89" i="9"/>
  <c r="I137" i="9"/>
  <c r="K18" i="3"/>
  <c r="I212" i="9"/>
  <c r="N190" i="9"/>
  <c r="F137" i="9"/>
  <c r="O62" i="9"/>
  <c r="K50" i="3"/>
  <c r="H63" i="9"/>
  <c r="L39" i="9"/>
  <c r="H255" i="9"/>
  <c r="O187" i="9"/>
  <c r="E213" i="9"/>
  <c r="N265" i="9"/>
  <c r="E197" i="9"/>
  <c r="O75" i="3"/>
  <c r="K182" i="9"/>
  <c r="E80" i="9"/>
  <c r="I268" i="9"/>
  <c r="K25" i="5"/>
  <c r="F151" i="9"/>
  <c r="H202" i="9"/>
  <c r="F127" i="9"/>
  <c r="E153" i="9"/>
  <c r="L102" i="9"/>
  <c r="H50" i="9"/>
  <c r="O236" i="9"/>
  <c r="K269" i="9"/>
  <c r="K35" i="3"/>
  <c r="K191" i="9"/>
  <c r="I24" i="9"/>
  <c r="F234" i="9"/>
  <c r="N125" i="9"/>
  <c r="N276" i="9"/>
  <c r="E44" i="9"/>
  <c r="O193" i="9"/>
  <c r="L75" i="9"/>
  <c r="N256" i="9"/>
  <c r="O60" i="9"/>
  <c r="L145" i="9"/>
  <c r="L260" i="9"/>
  <c r="I46" i="9"/>
  <c r="L191" i="9"/>
  <c r="G57" i="3"/>
  <c r="H69" i="9"/>
  <c r="O46" i="3"/>
  <c r="G61" i="3"/>
  <c r="K280" i="9"/>
  <c r="I148" i="9"/>
  <c r="C24" i="9"/>
  <c r="H88" i="9"/>
  <c r="C250" i="9"/>
  <c r="K258" i="9"/>
  <c r="O64" i="3"/>
  <c r="F224" i="9"/>
  <c r="O253" i="9"/>
  <c r="N228" i="9"/>
  <c r="L251" i="9"/>
  <c r="K273" i="9"/>
  <c r="F126" i="9"/>
  <c r="N70" i="9"/>
  <c r="H145" i="9"/>
  <c r="E262" i="9"/>
  <c r="H72" i="9"/>
  <c r="I258" i="9"/>
  <c r="F176" i="9"/>
  <c r="H44" i="9"/>
  <c r="K10" i="3"/>
  <c r="N187" i="9"/>
  <c r="L242" i="9"/>
  <c r="N240" i="9"/>
  <c r="L154" i="9"/>
  <c r="E251" i="9"/>
  <c r="N250" i="9"/>
  <c r="K21" i="3"/>
  <c r="K30" i="9"/>
  <c r="L239" i="9"/>
  <c r="L212" i="9"/>
  <c r="C98" i="9"/>
  <c r="F274" i="9"/>
  <c r="I28" i="9"/>
  <c r="F163" i="9"/>
  <c r="I214" i="9"/>
  <c r="I38" i="9"/>
  <c r="L235" i="9"/>
  <c r="K154" i="9"/>
  <c r="N74" i="9"/>
  <c r="E31" i="9"/>
  <c r="K253" i="9"/>
  <c r="G75" i="3"/>
  <c r="F216" i="9"/>
  <c r="E196" i="9"/>
  <c r="F110" i="9"/>
  <c r="I122" i="9"/>
  <c r="E219" i="9"/>
  <c r="O44" i="9"/>
  <c r="O64" i="9"/>
  <c r="H188" i="9"/>
  <c r="I50" i="9"/>
  <c r="K267" i="9"/>
  <c r="H89" i="9"/>
  <c r="I182" i="9"/>
  <c r="O117" i="9"/>
  <c r="O180" i="9"/>
  <c r="O37" i="9"/>
  <c r="N60" i="9"/>
  <c r="I159" i="9"/>
  <c r="L44" i="9"/>
  <c r="C71" i="9"/>
  <c r="O68" i="3"/>
  <c r="E261" i="9"/>
  <c r="O224" i="9"/>
  <c r="G40" i="3"/>
  <c r="H35" i="9"/>
  <c r="I254" i="9"/>
  <c r="K39" i="3"/>
  <c r="L231" i="9"/>
  <c r="K195" i="9"/>
  <c r="C64" i="9"/>
  <c r="F26" i="9"/>
  <c r="E117" i="9"/>
  <c r="G58" i="3"/>
  <c r="O154" i="9"/>
  <c r="C223" i="9"/>
  <c r="H191" i="9"/>
  <c r="C174" i="9"/>
  <c r="C65" i="9"/>
  <c r="F278" i="9"/>
  <c r="K119" i="9"/>
  <c r="C175" i="9"/>
  <c r="N104" i="9"/>
  <c r="C40" i="9"/>
  <c r="N138" i="9"/>
  <c r="L51" i="9"/>
  <c r="H23" i="9"/>
  <c r="K188" i="9"/>
  <c r="C128" i="9"/>
  <c r="G38" i="3"/>
  <c r="K25" i="3"/>
  <c r="H86" i="9"/>
  <c r="O252" i="9"/>
  <c r="K13" i="3"/>
  <c r="E51" i="9"/>
  <c r="C232" i="9"/>
  <c r="N103" i="9"/>
  <c r="O278" i="9"/>
  <c r="N157" i="9"/>
  <c r="F231" i="9"/>
  <c r="H128" i="9"/>
  <c r="O60" i="3"/>
  <c r="L60" i="9"/>
  <c r="O261" i="9"/>
  <c r="H105" i="9"/>
  <c r="C28" i="9"/>
  <c r="N174" i="9"/>
  <c r="K233" i="9"/>
  <c r="C182" i="9"/>
  <c r="L151" i="9"/>
  <c r="N48" i="9"/>
  <c r="I83" i="9"/>
  <c r="N41" i="9"/>
  <c r="I154" i="9"/>
  <c r="G36" i="3"/>
  <c r="O122" i="9"/>
  <c r="K18" i="5"/>
  <c r="O120" i="9"/>
  <c r="N111" i="9"/>
  <c r="F119" i="9"/>
  <c r="O98" i="9"/>
  <c r="N33" i="9"/>
  <c r="N201" i="9"/>
  <c r="L41" i="9"/>
  <c r="E29" i="9"/>
  <c r="K48" i="3"/>
  <c r="K32" i="9"/>
  <c r="N105" i="9"/>
  <c r="F189" i="9"/>
  <c r="I32" i="9"/>
  <c r="O86" i="9"/>
  <c r="E89" i="9"/>
  <c r="C158" i="9"/>
  <c r="L226" i="9"/>
  <c r="I90" i="9"/>
  <c r="C219" i="9"/>
  <c r="F37" i="9"/>
  <c r="I176" i="9"/>
  <c r="I76" i="9"/>
  <c r="F213" i="9"/>
  <c r="G34" i="3"/>
  <c r="N128" i="9"/>
  <c r="K198" i="9"/>
  <c r="F270" i="9"/>
  <c r="C233" i="9"/>
  <c r="I34" i="9"/>
  <c r="E98" i="9"/>
  <c r="N62" i="9"/>
  <c r="I73" i="9"/>
  <c r="L234" i="9"/>
  <c r="N188" i="9"/>
  <c r="O114" i="9"/>
  <c r="C196" i="9"/>
  <c r="K158" i="9"/>
  <c r="H160" i="9"/>
  <c r="E184" i="9"/>
  <c r="K228" i="9"/>
  <c r="H240" i="9"/>
  <c r="F142" i="9"/>
  <c r="N239" i="9"/>
  <c r="N231" i="9"/>
  <c r="F62" i="9"/>
  <c r="O256" i="9"/>
  <c r="O212" i="9"/>
  <c r="F202" i="9"/>
  <c r="F174" i="9"/>
  <c r="K69" i="3"/>
  <c r="N155" i="9"/>
  <c r="L266" i="9"/>
  <c r="N80" i="9"/>
  <c r="N217" i="9"/>
  <c r="K250" i="9"/>
  <c r="O46" i="9"/>
  <c r="E86" i="9"/>
  <c r="G42" i="3"/>
  <c r="F238" i="9"/>
  <c r="H46" i="9"/>
  <c r="N25" i="9"/>
  <c r="K28" i="9"/>
  <c r="I26" i="9"/>
  <c r="C127" i="9"/>
  <c r="I36" i="9"/>
  <c r="L217" i="9"/>
  <c r="F221" i="9"/>
  <c r="E188" i="9"/>
  <c r="L104" i="9"/>
  <c r="H32" i="9"/>
  <c r="O39" i="9"/>
  <c r="E142" i="9"/>
  <c r="F239" i="9"/>
  <c r="G71" i="3"/>
  <c r="O176" i="9"/>
  <c r="I228" i="9"/>
  <c r="I110" i="9"/>
  <c r="C141" i="9"/>
  <c r="C263" i="9"/>
  <c r="I29" i="9"/>
  <c r="K101" i="9"/>
  <c r="C242" i="9"/>
  <c r="N159" i="9"/>
  <c r="O240" i="9"/>
  <c r="L178" i="9"/>
  <c r="L225" i="9"/>
  <c r="F196" i="9"/>
  <c r="F159" i="9"/>
  <c r="C151" i="9"/>
  <c r="K22" i="5"/>
  <c r="N255" i="9"/>
  <c r="L257" i="9"/>
  <c r="E240" i="9"/>
  <c r="I140" i="9"/>
  <c r="N179" i="9"/>
  <c r="L72" i="9"/>
  <c r="C220" i="9"/>
  <c r="L182" i="9"/>
  <c r="C108" i="9"/>
  <c r="C72" i="9"/>
  <c r="O144" i="9"/>
  <c r="K142" i="9"/>
  <c r="K120" i="9"/>
  <c r="L233" i="9"/>
  <c r="O107" i="9"/>
  <c r="K220" i="9"/>
  <c r="E230" i="9"/>
  <c r="L219" i="9"/>
  <c r="O223" i="9"/>
  <c r="E63" i="9"/>
  <c r="E241" i="9"/>
  <c r="O80" i="9"/>
  <c r="K259" i="9"/>
  <c r="O31" i="9"/>
  <c r="C126" i="9"/>
  <c r="K124" i="9"/>
  <c r="K15" i="5"/>
  <c r="K194" i="9"/>
  <c r="F73" i="9"/>
  <c r="C63" i="9"/>
  <c r="K57" i="3"/>
  <c r="O153" i="9"/>
  <c r="O270" i="9"/>
  <c r="I109" i="9"/>
  <c r="I88" i="9"/>
  <c r="L114" i="9"/>
  <c r="O152" i="9"/>
  <c r="H101" i="9"/>
  <c r="O192" i="9"/>
  <c r="L47" i="9"/>
  <c r="I30" i="9"/>
  <c r="N181" i="9"/>
  <c r="N28" i="9"/>
  <c r="H68" i="9"/>
  <c r="K38" i="9"/>
  <c r="E144" i="9"/>
  <c r="G60" i="3"/>
  <c r="K39" i="9"/>
  <c r="K109" i="9"/>
  <c r="L271" i="9"/>
  <c r="E186" i="9"/>
  <c r="E226" i="9"/>
  <c r="F61" i="9"/>
  <c r="O33" i="9"/>
  <c r="C222" i="9"/>
  <c r="K70" i="3"/>
  <c r="F150" i="9"/>
  <c r="K275" i="9"/>
  <c r="K24" i="3"/>
  <c r="H219" i="9"/>
  <c r="I116" i="9"/>
  <c r="H82" i="9"/>
  <c r="N257" i="9"/>
  <c r="C39" i="9"/>
  <c r="O48" i="3"/>
  <c r="O32" i="9"/>
  <c r="N71" i="9"/>
  <c r="F237" i="9"/>
  <c r="F187" i="9"/>
  <c r="L213" i="9"/>
  <c r="F109" i="9"/>
  <c r="K42" i="9"/>
  <c r="N241" i="9"/>
  <c r="I272" i="9"/>
  <c r="I196" i="9"/>
  <c r="F266" i="9"/>
  <c r="F258" i="9"/>
  <c r="C51" i="9"/>
  <c r="G66" i="3"/>
  <c r="L202" i="9"/>
  <c r="O213" i="9"/>
  <c r="K153" i="9"/>
  <c r="K69" i="9"/>
  <c r="E76" i="9"/>
  <c r="K43" i="9"/>
  <c r="N253" i="9"/>
  <c r="C109" i="9"/>
  <c r="H273" i="9"/>
  <c r="L176" i="9"/>
  <c r="L107" i="9"/>
  <c r="I37" i="9"/>
  <c r="E263" i="9"/>
  <c r="I89" i="9"/>
  <c r="I239" i="9"/>
  <c r="L261" i="9"/>
  <c r="F27" i="9"/>
  <c r="C216" i="9"/>
  <c r="L156" i="9"/>
  <c r="L100" i="9"/>
  <c r="C213" i="9"/>
  <c r="N87" i="9"/>
  <c r="H264" i="9"/>
  <c r="O262" i="9"/>
  <c r="L185" i="9"/>
  <c r="N254" i="9"/>
  <c r="O229" i="9"/>
  <c r="C229" i="9"/>
  <c r="C191" i="9"/>
  <c r="I81" i="9"/>
  <c r="F152" i="9"/>
  <c r="E122" i="9"/>
  <c r="E145" i="9"/>
  <c r="K257" i="9"/>
  <c r="H81" i="9"/>
  <c r="L84" i="9"/>
  <c r="H252" i="9"/>
  <c r="I267" i="9"/>
  <c r="O263" i="9"/>
  <c r="C197" i="9"/>
  <c r="K25" i="9"/>
  <c r="H100" i="9"/>
  <c r="C49" i="9"/>
  <c r="O81" i="9"/>
  <c r="K213" i="9"/>
  <c r="E160" i="9"/>
  <c r="C85" i="9"/>
  <c r="I126" i="9"/>
  <c r="K72" i="3"/>
  <c r="K87" i="9"/>
  <c r="O100" i="9"/>
  <c r="E45" i="9"/>
  <c r="K40" i="9"/>
  <c r="N26" i="9"/>
  <c r="O77" i="9"/>
  <c r="O136" i="9"/>
  <c r="O127" i="9"/>
  <c r="E273" i="9"/>
  <c r="C83" i="9"/>
  <c r="L69" i="9"/>
  <c r="F114" i="9"/>
  <c r="C255" i="9"/>
  <c r="N42" i="9"/>
  <c r="E72" i="9"/>
  <c r="C88" i="9"/>
  <c r="F230" i="9"/>
  <c r="E121" i="9"/>
  <c r="H277" i="9"/>
  <c r="I145" i="9"/>
  <c r="E60" i="9"/>
  <c r="F160" i="9"/>
  <c r="C266" i="9"/>
  <c r="C41" i="9"/>
  <c r="N221" i="9"/>
  <c r="L184" i="9"/>
  <c r="L137" i="9"/>
  <c r="I233" i="9"/>
  <c r="I253" i="9"/>
  <c r="K175" i="9"/>
  <c r="N36" i="9"/>
  <c r="K223" i="9"/>
  <c r="H52" i="9"/>
  <c r="H262" i="9"/>
  <c r="O28" i="9"/>
  <c r="E69" i="9"/>
  <c r="N180" i="9"/>
  <c r="C262" i="9"/>
  <c r="H43" i="9"/>
  <c r="F98" i="9"/>
  <c r="I265" i="9"/>
  <c r="K14" i="3"/>
  <c r="L113" i="9"/>
  <c r="E177" i="9"/>
  <c r="N123" i="9"/>
  <c r="E257" i="9"/>
  <c r="I257" i="9"/>
  <c r="F264" i="9"/>
  <c r="O190" i="9"/>
  <c r="L230" i="9"/>
  <c r="O233" i="9"/>
  <c r="E100" i="9"/>
  <c r="O108" i="9"/>
  <c r="C106" i="9"/>
  <c r="L180" i="9"/>
  <c r="I200" i="9"/>
  <c r="F232" i="9"/>
  <c r="K240" i="9"/>
  <c r="L48" i="9"/>
  <c r="O99" i="9"/>
  <c r="E75" i="9"/>
  <c r="K71" i="9"/>
  <c r="E33" i="9"/>
  <c r="O118" i="9"/>
  <c r="K201" i="9"/>
  <c r="F125" i="9"/>
  <c r="E149" i="9"/>
  <c r="O194" i="9"/>
  <c r="K34" i="9"/>
  <c r="F44" i="9"/>
  <c r="O102" i="9"/>
  <c r="I199" i="9"/>
  <c r="C239" i="9"/>
  <c r="H60" i="9"/>
  <c r="I48" i="9"/>
  <c r="E109" i="9"/>
  <c r="F36" i="9"/>
  <c r="G45" i="3"/>
  <c r="F70" i="9"/>
  <c r="K180" i="9"/>
  <c r="F157" i="9"/>
  <c r="L27" i="9"/>
  <c r="O66" i="9"/>
  <c r="F105" i="9"/>
  <c r="H125" i="9"/>
  <c r="K73" i="3"/>
  <c r="L76" i="9"/>
  <c r="N30" i="9"/>
  <c r="E154" i="9"/>
  <c r="E42" i="9"/>
  <c r="O197" i="9"/>
  <c r="I153" i="9"/>
  <c r="I142" i="9"/>
  <c r="K115" i="9"/>
  <c r="O150" i="9"/>
  <c r="I69" i="9"/>
  <c r="K51" i="9"/>
  <c r="C124" i="9"/>
  <c r="H217" i="9"/>
  <c r="H226" i="9"/>
  <c r="E123" i="9"/>
  <c r="E165" i="9"/>
  <c r="K81" i="9"/>
  <c r="N143" i="9"/>
  <c r="O70" i="3"/>
  <c r="E279" i="9"/>
  <c r="C89" i="9"/>
  <c r="L222" i="9"/>
  <c r="C81" i="9"/>
  <c r="N230" i="9"/>
  <c r="K241" i="9"/>
  <c r="N126" i="9"/>
  <c r="E164" i="9"/>
  <c r="C147" i="9"/>
  <c r="N43" i="9"/>
  <c r="H48" i="9"/>
  <c r="I162" i="9"/>
  <c r="L192" i="9"/>
  <c r="F76" i="9"/>
  <c r="O50" i="3"/>
  <c r="N269" i="9"/>
  <c r="H147" i="9"/>
  <c r="I232" i="9"/>
  <c r="F236" i="9"/>
  <c r="L227" i="9"/>
  <c r="E270" i="9"/>
  <c r="O228" i="9"/>
  <c r="I86" i="9"/>
  <c r="H193" i="9"/>
  <c r="F121" i="9"/>
  <c r="L149" i="9"/>
  <c r="G39" i="3"/>
  <c r="O45" i="3"/>
  <c r="N182" i="9"/>
  <c r="G64" i="3"/>
  <c r="N175" i="9"/>
  <c r="H152" i="9"/>
  <c r="H29" i="9"/>
  <c r="K160" i="9"/>
  <c r="C264" i="9"/>
  <c r="O62" i="3"/>
  <c r="H274" i="9"/>
  <c r="I158" i="9"/>
  <c r="L118" i="9"/>
  <c r="L25" i="9"/>
  <c r="O275" i="9"/>
  <c r="I218" i="9"/>
  <c r="O250" i="9"/>
  <c r="C181" i="9"/>
  <c r="L196" i="9"/>
  <c r="O34" i="9"/>
  <c r="H84" i="9"/>
  <c r="O27" i="9"/>
  <c r="H215" i="9"/>
  <c r="K103" i="9"/>
  <c r="H256" i="9"/>
  <c r="E120" i="9"/>
  <c r="O220" i="9"/>
  <c r="F276" i="9"/>
  <c r="C107" i="9"/>
  <c r="F225" i="9"/>
  <c r="K104" i="9"/>
  <c r="F43" i="9"/>
  <c r="I52" i="9"/>
  <c r="E235" i="9"/>
  <c r="C237" i="9"/>
  <c r="K232" i="9"/>
  <c r="O280" i="9"/>
  <c r="I120" i="9"/>
  <c r="K22" i="3"/>
  <c r="L162" i="9"/>
  <c r="K266" i="9"/>
  <c r="E50" i="9"/>
  <c r="H234" i="9"/>
  <c r="N151" i="9"/>
  <c r="H126" i="9"/>
  <c r="C193" i="9"/>
  <c r="L158" i="9"/>
  <c r="K85" i="9"/>
  <c r="L83" i="9"/>
  <c r="E118" i="9"/>
  <c r="C252" i="9"/>
  <c r="C226" i="9"/>
  <c r="O67" i="3"/>
  <c r="L270" i="9"/>
  <c r="I117" i="9"/>
  <c r="H183" i="9"/>
  <c r="O264" i="9"/>
  <c r="I149" i="9"/>
  <c r="G65" i="3"/>
  <c r="E232" i="9"/>
  <c r="K204" i="9"/>
  <c r="H65" i="3" l="1"/>
  <c r="J65" i="3"/>
  <c r="I65" i="3"/>
  <c r="R67" i="3"/>
  <c r="Q67" i="3"/>
  <c r="P67" i="3"/>
  <c r="D226" i="9"/>
  <c r="G226" i="9"/>
  <c r="J226" i="9"/>
  <c r="M226" i="9"/>
  <c r="D252" i="9"/>
  <c r="G252" i="9"/>
  <c r="J252" i="9"/>
  <c r="M252" i="9"/>
  <c r="D193" i="9"/>
  <c r="G193" i="9"/>
  <c r="J193" i="9"/>
  <c r="M193" i="9"/>
  <c r="M22" i="3"/>
  <c r="L22" i="3"/>
  <c r="N22" i="3"/>
  <c r="J237" i="9"/>
  <c r="G237" i="9"/>
  <c r="M237" i="9"/>
  <c r="D237" i="9"/>
  <c r="D107" i="9"/>
  <c r="M107" i="9"/>
  <c r="G107" i="9"/>
  <c r="J107" i="9"/>
  <c r="M181" i="9"/>
  <c r="D181" i="9"/>
  <c r="J181" i="9"/>
  <c r="G181" i="9"/>
  <c r="O282" i="9"/>
  <c r="N282" i="9" s="1"/>
  <c r="M14" i="9" s="1"/>
  <c r="P62" i="3"/>
  <c r="Q62" i="3"/>
  <c r="R62" i="3"/>
  <c r="D264" i="9"/>
  <c r="M264" i="9"/>
  <c r="G264" i="9"/>
  <c r="J264" i="9"/>
  <c r="I64" i="3"/>
  <c r="H64" i="3"/>
  <c r="J64" i="3"/>
  <c r="P45" i="3"/>
  <c r="R45" i="3"/>
  <c r="Q45" i="3"/>
  <c r="H39" i="3"/>
  <c r="J39" i="3"/>
  <c r="I39" i="3"/>
  <c r="Q50" i="3"/>
  <c r="P50" i="3"/>
  <c r="R50" i="3"/>
  <c r="M147" i="9"/>
  <c r="J147" i="9"/>
  <c r="D147" i="9"/>
  <c r="G147" i="9"/>
  <c r="G81" i="9"/>
  <c r="J81" i="9"/>
  <c r="D81" i="9"/>
  <c r="M81" i="9"/>
  <c r="D89" i="9"/>
  <c r="J89" i="9"/>
  <c r="G89" i="9"/>
  <c r="M89" i="9"/>
  <c r="P70" i="3"/>
  <c r="Q70" i="3"/>
  <c r="R70" i="3"/>
  <c r="D124" i="9"/>
  <c r="M124" i="9"/>
  <c r="J124" i="9"/>
  <c r="G124" i="9"/>
  <c r="M73" i="3"/>
  <c r="N73" i="3"/>
  <c r="L73" i="3"/>
  <c r="H45" i="3"/>
  <c r="I45" i="3"/>
  <c r="J45" i="3"/>
  <c r="D239" i="9"/>
  <c r="G239" i="9"/>
  <c r="M239" i="9"/>
  <c r="J239" i="9"/>
  <c r="G106" i="9"/>
  <c r="J106" i="9"/>
  <c r="D106" i="9"/>
  <c r="M106" i="9"/>
  <c r="L14" i="3"/>
  <c r="N14" i="3"/>
  <c r="M14" i="3"/>
  <c r="F130" i="9"/>
  <c r="E130" i="9" s="1"/>
  <c r="D6" i="9" s="1"/>
  <c r="J262" i="9"/>
  <c r="D262" i="9"/>
  <c r="G262" i="9"/>
  <c r="M262" i="9"/>
  <c r="J41" i="9"/>
  <c r="D41" i="9"/>
  <c r="M41" i="9"/>
  <c r="G41" i="9"/>
  <c r="D266" i="9"/>
  <c r="G266" i="9"/>
  <c r="M266" i="9"/>
  <c r="J266" i="9"/>
  <c r="J88" i="9"/>
  <c r="G88" i="9"/>
  <c r="M88" i="9"/>
  <c r="D88" i="9"/>
  <c r="J255" i="9"/>
  <c r="D255" i="9"/>
  <c r="G255" i="9"/>
  <c r="M255" i="9"/>
  <c r="M83" i="9"/>
  <c r="D83" i="9"/>
  <c r="J83" i="9"/>
  <c r="G83" i="9"/>
  <c r="O168" i="9"/>
  <c r="N168" i="9" s="1"/>
  <c r="M12" i="9" s="1"/>
  <c r="L72" i="3"/>
  <c r="N72" i="3"/>
  <c r="M72" i="3"/>
  <c r="G85" i="9"/>
  <c r="M85" i="9"/>
  <c r="D85" i="9"/>
  <c r="J85" i="9"/>
  <c r="G49" i="9"/>
  <c r="D49" i="9"/>
  <c r="M49" i="9"/>
  <c r="J49" i="9"/>
  <c r="M197" i="9"/>
  <c r="G197" i="9"/>
  <c r="J197" i="9"/>
  <c r="D197" i="9"/>
  <c r="G191" i="9"/>
  <c r="M191" i="9"/>
  <c r="J191" i="9"/>
  <c r="D191" i="9"/>
  <c r="M229" i="9"/>
  <c r="G229" i="9"/>
  <c r="J229" i="9"/>
  <c r="D229" i="9"/>
  <c r="G213" i="9"/>
  <c r="M213" i="9"/>
  <c r="D213" i="9"/>
  <c r="J213" i="9"/>
  <c r="J216" i="9"/>
  <c r="M216" i="9"/>
  <c r="G216" i="9"/>
  <c r="D216" i="9"/>
  <c r="D109" i="9"/>
  <c r="J109" i="9"/>
  <c r="M109" i="9"/>
  <c r="G109" i="9"/>
  <c r="I66" i="3"/>
  <c r="H66" i="3"/>
  <c r="J66" i="3"/>
  <c r="J51" i="9"/>
  <c r="G51" i="9"/>
  <c r="D51" i="9"/>
  <c r="M51" i="9"/>
  <c r="Q48" i="3"/>
  <c r="R48" i="3"/>
  <c r="P48" i="3"/>
  <c r="J39" i="9"/>
  <c r="G39" i="9"/>
  <c r="M39" i="9"/>
  <c r="D39" i="9"/>
  <c r="N24" i="3"/>
  <c r="M24" i="3"/>
  <c r="L24" i="3"/>
  <c r="L70" i="3"/>
  <c r="M70" i="3"/>
  <c r="N70" i="3"/>
  <c r="G222" i="9"/>
  <c r="D222" i="9"/>
  <c r="M222" i="9"/>
  <c r="J222" i="9"/>
  <c r="I60" i="3"/>
  <c r="J60" i="3"/>
  <c r="H60" i="3"/>
  <c r="N57" i="3"/>
  <c r="M57" i="3"/>
  <c r="L57" i="3"/>
  <c r="D63" i="9"/>
  <c r="M63" i="9"/>
  <c r="G63" i="9"/>
  <c r="J63" i="9"/>
  <c r="N15" i="5"/>
  <c r="M15" i="5"/>
  <c r="L15" i="5"/>
  <c r="M126" i="9"/>
  <c r="D126" i="9"/>
  <c r="J126" i="9"/>
  <c r="G126" i="9"/>
  <c r="M72" i="9"/>
  <c r="J72" i="9"/>
  <c r="D72" i="9"/>
  <c r="G72" i="9"/>
  <c r="M108" i="9"/>
  <c r="J108" i="9"/>
  <c r="D108" i="9"/>
  <c r="G108" i="9"/>
  <c r="J220" i="9"/>
  <c r="D220" i="9"/>
  <c r="M220" i="9"/>
  <c r="G220" i="9"/>
  <c r="L22" i="5"/>
  <c r="N22" i="5"/>
  <c r="M22" i="5"/>
  <c r="M151" i="9"/>
  <c r="J151" i="9"/>
  <c r="G151" i="9"/>
  <c r="D151" i="9"/>
  <c r="D242" i="9"/>
  <c r="J242" i="9"/>
  <c r="G242" i="9"/>
  <c r="M242" i="9"/>
  <c r="M263" i="9"/>
  <c r="G263" i="9"/>
  <c r="J263" i="9"/>
  <c r="D263" i="9"/>
  <c r="M141" i="9"/>
  <c r="J141" i="9"/>
  <c r="D141" i="9"/>
  <c r="G141" i="9"/>
  <c r="H71" i="3"/>
  <c r="I71" i="3"/>
  <c r="J71" i="3"/>
  <c r="G127" i="9"/>
  <c r="M127" i="9"/>
  <c r="J127" i="9"/>
  <c r="D127" i="9"/>
  <c r="I42" i="3"/>
  <c r="J42" i="3"/>
  <c r="H42" i="3"/>
  <c r="L69" i="3"/>
  <c r="N69" i="3"/>
  <c r="M69" i="3"/>
  <c r="F206" i="9"/>
  <c r="E206" i="9" s="1"/>
  <c r="D8" i="9" s="1"/>
  <c r="O244" i="9"/>
  <c r="N244" i="9" s="1"/>
  <c r="M10" i="9" s="1"/>
  <c r="M196" i="9"/>
  <c r="J196" i="9"/>
  <c r="G196" i="9"/>
  <c r="D196" i="9"/>
  <c r="M233" i="9"/>
  <c r="D233" i="9"/>
  <c r="G233" i="9"/>
  <c r="J233" i="9"/>
  <c r="J34" i="3"/>
  <c r="H34" i="3"/>
  <c r="I34" i="3"/>
  <c r="G219" i="9"/>
  <c r="J219" i="9"/>
  <c r="D219" i="9"/>
  <c r="M219" i="9"/>
  <c r="J158" i="9"/>
  <c r="D158" i="9"/>
  <c r="G158" i="9"/>
  <c r="M158" i="9"/>
  <c r="L48" i="3"/>
  <c r="N48" i="3"/>
  <c r="M48" i="3"/>
  <c r="O130" i="9"/>
  <c r="N130" i="9" s="1"/>
  <c r="M6" i="9" s="1"/>
  <c r="L18" i="5"/>
  <c r="M18" i="5"/>
  <c r="N18" i="5"/>
  <c r="J36" i="3"/>
  <c r="I36" i="3"/>
  <c r="H36" i="3"/>
  <c r="M182" i="9"/>
  <c r="J182" i="9"/>
  <c r="D182" i="9"/>
  <c r="G182" i="9"/>
  <c r="G28" i="9"/>
  <c r="M28" i="9"/>
  <c r="D28" i="9"/>
  <c r="J28" i="9"/>
  <c r="L92" i="9"/>
  <c r="K92" i="9" s="1"/>
  <c r="J4" i="9" s="1"/>
  <c r="Q60" i="3"/>
  <c r="P60" i="3"/>
  <c r="R60" i="3"/>
  <c r="M232" i="9"/>
  <c r="J232" i="9"/>
  <c r="D232" i="9"/>
  <c r="G232" i="9"/>
  <c r="N13" i="3"/>
  <c r="M13" i="3"/>
  <c r="L13" i="3"/>
  <c r="M25" i="3"/>
  <c r="N25" i="3"/>
  <c r="L25" i="3"/>
  <c r="J38" i="3"/>
  <c r="H38" i="3"/>
  <c r="I38" i="3"/>
  <c r="D128" i="9"/>
  <c r="J128" i="9"/>
  <c r="M128" i="9"/>
  <c r="G128" i="9"/>
  <c r="G40" i="9"/>
  <c r="M40" i="9"/>
  <c r="J40" i="9"/>
  <c r="D40" i="9"/>
  <c r="G175" i="9"/>
  <c r="M175" i="9"/>
  <c r="J175" i="9"/>
  <c r="D175" i="9"/>
  <c r="J65" i="9"/>
  <c r="M65" i="9"/>
  <c r="D65" i="9"/>
  <c r="G65" i="9"/>
  <c r="M174" i="9"/>
  <c r="C206" i="9"/>
  <c r="D174" i="9"/>
  <c r="G174" i="9"/>
  <c r="J174" i="9"/>
  <c r="M223" i="9"/>
  <c r="D223" i="9"/>
  <c r="J223" i="9"/>
  <c r="G223" i="9"/>
  <c r="H58" i="3"/>
  <c r="J58" i="3"/>
  <c r="I58" i="3"/>
  <c r="G64" i="9"/>
  <c r="M64" i="9"/>
  <c r="D64" i="9"/>
  <c r="J64" i="9"/>
  <c r="N39" i="3"/>
  <c r="L39" i="3"/>
  <c r="M39" i="3"/>
  <c r="J40" i="3"/>
  <c r="I40" i="3"/>
  <c r="H40" i="3"/>
  <c r="Q68" i="3"/>
  <c r="R68" i="3"/>
  <c r="P68" i="3"/>
  <c r="G71" i="9"/>
  <c r="J71" i="9"/>
  <c r="D71" i="9"/>
  <c r="M71" i="9"/>
  <c r="J75" i="3"/>
  <c r="H75" i="3"/>
  <c r="I75" i="3"/>
  <c r="J98" i="9"/>
  <c r="M98" i="9"/>
  <c r="G98" i="9"/>
  <c r="D98" i="9"/>
  <c r="C130" i="9"/>
  <c r="L244" i="9"/>
  <c r="K244" i="9" s="1"/>
  <c r="J10" i="9" s="1"/>
  <c r="L21" i="3"/>
  <c r="N21" i="3"/>
  <c r="M21" i="3"/>
  <c r="N10" i="3"/>
  <c r="L10" i="3"/>
  <c r="M10" i="3"/>
  <c r="P64" i="3"/>
  <c r="Q64" i="3"/>
  <c r="R64" i="3"/>
  <c r="C282" i="9"/>
  <c r="J250" i="9"/>
  <c r="M250" i="9"/>
  <c r="G250" i="9"/>
  <c r="D250" i="9"/>
  <c r="G24" i="9"/>
  <c r="J24" i="9"/>
  <c r="D24" i="9"/>
  <c r="M24" i="9"/>
  <c r="I61" i="3"/>
  <c r="H61" i="3"/>
  <c r="J61" i="3"/>
  <c r="P46" i="3"/>
  <c r="R46" i="3"/>
  <c r="Q46" i="3"/>
  <c r="H57" i="3"/>
  <c r="I57" i="3"/>
  <c r="J57" i="3"/>
  <c r="O92" i="9"/>
  <c r="N92" i="9" s="1"/>
  <c r="M4" i="9" s="1"/>
  <c r="N35" i="3"/>
  <c r="L35" i="3"/>
  <c r="M35" i="3"/>
  <c r="N25" i="5"/>
  <c r="L25" i="5"/>
  <c r="M25" i="5"/>
  <c r="Q75" i="3"/>
  <c r="P75" i="3"/>
  <c r="R75" i="3"/>
  <c r="N50" i="3"/>
  <c r="M50" i="3"/>
  <c r="L50" i="3"/>
  <c r="I244" i="9"/>
  <c r="H244" i="9" s="1"/>
  <c r="G10" i="9" s="1"/>
  <c r="N18" i="3"/>
  <c r="L18" i="3"/>
  <c r="M18" i="3"/>
  <c r="M42" i="3"/>
  <c r="L42" i="3"/>
  <c r="N42" i="3"/>
  <c r="J144" i="9"/>
  <c r="D144" i="9"/>
  <c r="G144" i="9"/>
  <c r="M144" i="9"/>
  <c r="M136" i="9"/>
  <c r="D136" i="9"/>
  <c r="G136" i="9"/>
  <c r="J136" i="9"/>
  <c r="C168" i="9"/>
  <c r="P56" i="3"/>
  <c r="R56" i="3"/>
  <c r="Q56" i="3"/>
  <c r="L282" i="9"/>
  <c r="K282" i="9" s="1"/>
  <c r="J14" i="9" s="1"/>
  <c r="N47" i="3"/>
  <c r="L47" i="3"/>
  <c r="M47" i="3"/>
  <c r="R37" i="3"/>
  <c r="Q37" i="3"/>
  <c r="P37" i="3"/>
  <c r="L20" i="3"/>
  <c r="M20" i="3"/>
  <c r="N20" i="3"/>
  <c r="J32" i="3"/>
  <c r="H32" i="3"/>
  <c r="I32" i="3"/>
  <c r="C244" i="9"/>
  <c r="J212" i="9"/>
  <c r="G212" i="9"/>
  <c r="D212" i="9"/>
  <c r="M212" i="9"/>
  <c r="G138" i="9"/>
  <c r="D138" i="9"/>
  <c r="M138" i="9"/>
  <c r="J138" i="9"/>
  <c r="G120" i="9"/>
  <c r="J120" i="9"/>
  <c r="D120" i="9"/>
  <c r="M120" i="9"/>
  <c r="D185" i="9"/>
  <c r="J185" i="9"/>
  <c r="M185" i="9"/>
  <c r="G185" i="9"/>
  <c r="G153" i="9"/>
  <c r="D153" i="9"/>
  <c r="J153" i="9"/>
  <c r="M153" i="9"/>
  <c r="M137" i="9"/>
  <c r="D137" i="9"/>
  <c r="G137" i="9"/>
  <c r="J137" i="9"/>
  <c r="L41" i="3"/>
  <c r="N41" i="3"/>
  <c r="M41" i="3"/>
  <c r="J279" i="9"/>
  <c r="M279" i="9"/>
  <c r="D279" i="9"/>
  <c r="G279" i="9"/>
  <c r="D116" i="9"/>
  <c r="J116" i="9"/>
  <c r="G116" i="9"/>
  <c r="M116" i="9"/>
  <c r="I72" i="3"/>
  <c r="J72" i="3"/>
  <c r="H72" i="3"/>
  <c r="L7" i="5"/>
  <c r="N7" i="5"/>
  <c r="M7" i="5"/>
  <c r="G156" i="9"/>
  <c r="J156" i="9"/>
  <c r="D156" i="9"/>
  <c r="M156" i="9"/>
  <c r="G275" i="9"/>
  <c r="M275" i="9"/>
  <c r="D275" i="9"/>
  <c r="J275" i="9"/>
  <c r="D30" i="9"/>
  <c r="G30" i="9"/>
  <c r="J30" i="9"/>
  <c r="M30" i="9"/>
  <c r="P73" i="3"/>
  <c r="R73" i="3"/>
  <c r="Q73" i="3"/>
  <c r="M37" i="3"/>
  <c r="L37" i="3"/>
  <c r="N37" i="3"/>
  <c r="M11" i="3"/>
  <c r="N11" i="3"/>
  <c r="L11" i="3"/>
  <c r="I168" i="9"/>
  <c r="H168" i="9" s="1"/>
  <c r="G12" i="9" s="1"/>
  <c r="L71" i="3"/>
  <c r="N71" i="3"/>
  <c r="M71" i="3"/>
  <c r="I206" i="9"/>
  <c r="H206" i="9" s="1"/>
  <c r="G8" i="9" s="1"/>
  <c r="G230" i="9"/>
  <c r="M230" i="9"/>
  <c r="J230" i="9"/>
  <c r="D230" i="9"/>
  <c r="J44" i="3"/>
  <c r="H44" i="3"/>
  <c r="I44" i="3"/>
  <c r="D190" i="9"/>
  <c r="J190" i="9"/>
  <c r="M190" i="9"/>
  <c r="G190" i="9"/>
  <c r="M117" i="9"/>
  <c r="G117" i="9"/>
  <c r="J117" i="9"/>
  <c r="D117" i="9"/>
  <c r="M145" i="9"/>
  <c r="G145" i="9"/>
  <c r="J145" i="9"/>
  <c r="D145" i="9"/>
  <c r="D188" i="9"/>
  <c r="M188" i="9"/>
  <c r="G188" i="9"/>
  <c r="J188" i="9"/>
  <c r="G99" i="9"/>
  <c r="D99" i="9"/>
  <c r="J99" i="9"/>
  <c r="M99" i="9"/>
  <c r="D50" i="9"/>
  <c r="M50" i="9"/>
  <c r="J50" i="9"/>
  <c r="G50" i="9"/>
  <c r="D161" i="9"/>
  <c r="G161" i="9"/>
  <c r="M161" i="9"/>
  <c r="J161" i="9"/>
  <c r="M34" i="3"/>
  <c r="N34" i="3"/>
  <c r="L34" i="3"/>
  <c r="J61" i="9"/>
  <c r="M61" i="9"/>
  <c r="G61" i="9"/>
  <c r="D61" i="9"/>
  <c r="H50" i="3"/>
  <c r="J50" i="3"/>
  <c r="I50" i="3"/>
  <c r="N24" i="5"/>
  <c r="L24" i="5"/>
  <c r="M24" i="5"/>
  <c r="I130" i="9"/>
  <c r="H130" i="9" s="1"/>
  <c r="G6" i="9" s="1"/>
  <c r="N17" i="3"/>
  <c r="M17" i="3"/>
  <c r="L17" i="3"/>
  <c r="L16" i="3"/>
  <c r="N16" i="3"/>
  <c r="M16" i="3"/>
  <c r="J105" i="9"/>
  <c r="G105" i="9"/>
  <c r="D105" i="9"/>
  <c r="M105" i="9"/>
  <c r="L9" i="5"/>
  <c r="M9" i="5"/>
  <c r="N9" i="5"/>
  <c r="N62" i="3"/>
  <c r="M62" i="3"/>
  <c r="L62" i="3"/>
  <c r="D45" i="9"/>
  <c r="J45" i="9"/>
  <c r="G45" i="9"/>
  <c r="M45" i="9"/>
  <c r="J62" i="3"/>
  <c r="H62" i="3"/>
  <c r="I62" i="3"/>
  <c r="D68" i="9"/>
  <c r="M68" i="9"/>
  <c r="G68" i="9"/>
  <c r="J68" i="9"/>
  <c r="L36" i="3"/>
  <c r="M36" i="3"/>
  <c r="N36" i="3"/>
  <c r="D199" i="9"/>
  <c r="G199" i="9"/>
  <c r="J199" i="9"/>
  <c r="M199" i="9"/>
  <c r="D201" i="9"/>
  <c r="G201" i="9"/>
  <c r="M201" i="9"/>
  <c r="J201" i="9"/>
  <c r="M251" i="9"/>
  <c r="D251" i="9"/>
  <c r="J251" i="9"/>
  <c r="G251" i="9"/>
  <c r="M236" i="9"/>
  <c r="G236" i="9"/>
  <c r="D236" i="9"/>
  <c r="J236" i="9"/>
  <c r="M164" i="9"/>
  <c r="G164" i="9"/>
  <c r="D164" i="9"/>
  <c r="J164" i="9"/>
  <c r="H69" i="3"/>
  <c r="J69" i="3"/>
  <c r="I69" i="3"/>
  <c r="G268" i="9"/>
  <c r="D268" i="9"/>
  <c r="M268" i="9"/>
  <c r="J268" i="9"/>
  <c r="D271" i="9"/>
  <c r="M271" i="9"/>
  <c r="J271" i="9"/>
  <c r="G271" i="9"/>
  <c r="F54" i="9"/>
  <c r="L60" i="3"/>
  <c r="N60" i="3"/>
  <c r="M60" i="3"/>
  <c r="G90" i="9"/>
  <c r="D90" i="9"/>
  <c r="M90" i="9"/>
  <c r="J90" i="9"/>
  <c r="J257" i="9"/>
  <c r="M257" i="9"/>
  <c r="G257" i="9"/>
  <c r="D257" i="9"/>
  <c r="R63" i="3"/>
  <c r="Q63" i="3"/>
  <c r="P63" i="3"/>
  <c r="D100" i="9"/>
  <c r="M100" i="9"/>
  <c r="J100" i="9"/>
  <c r="G100" i="9"/>
  <c r="I68" i="3"/>
  <c r="H68" i="3"/>
  <c r="J68" i="3"/>
  <c r="G272" i="9"/>
  <c r="J272" i="9"/>
  <c r="M272" i="9"/>
  <c r="D272" i="9"/>
  <c r="F92" i="9"/>
  <c r="E92" i="9" s="1"/>
  <c r="D4" i="9" s="1"/>
  <c r="N11" i="5"/>
  <c r="M11" i="5"/>
  <c r="L11" i="5"/>
  <c r="G261" i="9"/>
  <c r="D261" i="9"/>
  <c r="J261" i="9"/>
  <c r="M261" i="9"/>
  <c r="J48" i="9"/>
  <c r="M48" i="9"/>
  <c r="D48" i="9"/>
  <c r="G48" i="9"/>
  <c r="J155" i="9"/>
  <c r="M155" i="9"/>
  <c r="G155" i="9"/>
  <c r="D155" i="9"/>
  <c r="M38" i="3"/>
  <c r="L38" i="3"/>
  <c r="N38" i="3"/>
  <c r="H59" i="3"/>
  <c r="I59" i="3"/>
  <c r="J59" i="3"/>
  <c r="J78" i="9"/>
  <c r="G78" i="9"/>
  <c r="M78" i="9"/>
  <c r="D78" i="9"/>
  <c r="Q40" i="3"/>
  <c r="R40" i="3"/>
  <c r="P40" i="3"/>
  <c r="R38" i="3"/>
  <c r="Q38" i="3"/>
  <c r="P38" i="3"/>
  <c r="N21" i="5"/>
  <c r="M21" i="5"/>
  <c r="L21" i="5"/>
  <c r="M37" i="9"/>
  <c r="G37" i="9"/>
  <c r="J37" i="9"/>
  <c r="D37" i="9"/>
  <c r="M31" i="3"/>
  <c r="L31" i="3"/>
  <c r="N31" i="3"/>
  <c r="J74" i="9"/>
  <c r="G74" i="9"/>
  <c r="M74" i="9"/>
  <c r="D74" i="9"/>
  <c r="N12" i="5"/>
  <c r="L12" i="5"/>
  <c r="M12" i="5"/>
  <c r="R69" i="3"/>
  <c r="P69" i="3"/>
  <c r="Q69" i="3"/>
  <c r="M19" i="3"/>
  <c r="N19" i="3"/>
  <c r="L19" i="3"/>
  <c r="M6" i="5"/>
  <c r="N6" i="5"/>
  <c r="L6" i="5"/>
  <c r="J274" i="9"/>
  <c r="D274" i="9"/>
  <c r="G274" i="9"/>
  <c r="M274" i="9"/>
  <c r="R41" i="3"/>
  <c r="Q41" i="3"/>
  <c r="P41" i="3"/>
  <c r="G146" i="9"/>
  <c r="J146" i="9"/>
  <c r="D146" i="9"/>
  <c r="M146" i="9"/>
  <c r="D183" i="9"/>
  <c r="J183" i="9"/>
  <c r="G183" i="9"/>
  <c r="M183" i="9"/>
  <c r="D258" i="9"/>
  <c r="M258" i="9"/>
  <c r="J258" i="9"/>
  <c r="G258" i="9"/>
  <c r="G270" i="9"/>
  <c r="M270" i="9"/>
  <c r="D270" i="9"/>
  <c r="J270" i="9"/>
  <c r="D112" i="9"/>
  <c r="G112" i="9"/>
  <c r="M112" i="9"/>
  <c r="J112" i="9"/>
  <c r="G166" i="9"/>
  <c r="M166" i="9"/>
  <c r="J166" i="9"/>
  <c r="D166" i="9"/>
  <c r="Q66" i="3"/>
  <c r="R66" i="3"/>
  <c r="P66" i="3"/>
  <c r="D273" i="9"/>
  <c r="M273" i="9"/>
  <c r="G273" i="9"/>
  <c r="J273" i="9"/>
  <c r="N58" i="3"/>
  <c r="L58" i="3"/>
  <c r="M58" i="3"/>
  <c r="J25" i="9"/>
  <c r="M25" i="9"/>
  <c r="D25" i="9"/>
  <c r="G25" i="9"/>
  <c r="M34" i="9"/>
  <c r="D34" i="9"/>
  <c r="G34" i="9"/>
  <c r="J34" i="9"/>
  <c r="G204" i="9"/>
  <c r="D204" i="9"/>
  <c r="M204" i="9"/>
  <c r="J204" i="9"/>
  <c r="M42" i="9"/>
  <c r="G42" i="9"/>
  <c r="D42" i="9"/>
  <c r="J42" i="9"/>
  <c r="M214" i="9"/>
  <c r="G214" i="9"/>
  <c r="D214" i="9"/>
  <c r="J214" i="9"/>
  <c r="H63" i="3"/>
  <c r="I63" i="3"/>
  <c r="J63" i="3"/>
  <c r="D224" i="9"/>
  <c r="M224" i="9"/>
  <c r="J224" i="9"/>
  <c r="G224" i="9"/>
  <c r="J256" i="9"/>
  <c r="G256" i="9"/>
  <c r="D256" i="9"/>
  <c r="M256" i="9"/>
  <c r="G47" i="9"/>
  <c r="M47" i="9"/>
  <c r="J47" i="9"/>
  <c r="D47" i="9"/>
  <c r="D35" i="9"/>
  <c r="G35" i="9"/>
  <c r="J35" i="9"/>
  <c r="M35" i="9"/>
  <c r="G280" i="9"/>
  <c r="M280" i="9"/>
  <c r="D280" i="9"/>
  <c r="J280" i="9"/>
  <c r="J203" i="9"/>
  <c r="M203" i="9"/>
  <c r="D203" i="9"/>
  <c r="G203" i="9"/>
  <c r="J165" i="9"/>
  <c r="D165" i="9"/>
  <c r="G165" i="9"/>
  <c r="M165" i="9"/>
  <c r="D86" i="9"/>
  <c r="G86" i="9"/>
  <c r="J86" i="9"/>
  <c r="M86" i="9"/>
  <c r="G82" i="9"/>
  <c r="M82" i="9"/>
  <c r="D82" i="9"/>
  <c r="J82" i="9"/>
  <c r="L206" i="9"/>
  <c r="K206" i="9" s="1"/>
  <c r="J8" i="9" s="1"/>
  <c r="G29" i="9"/>
  <c r="M29" i="9"/>
  <c r="J29" i="9"/>
  <c r="D29" i="9"/>
  <c r="M163" i="9"/>
  <c r="J163" i="9"/>
  <c r="D163" i="9"/>
  <c r="G163" i="9"/>
  <c r="G215" i="9"/>
  <c r="J215" i="9"/>
  <c r="D215" i="9"/>
  <c r="M215" i="9"/>
  <c r="M231" i="9"/>
  <c r="D231" i="9"/>
  <c r="G231" i="9"/>
  <c r="J231" i="9"/>
  <c r="G269" i="9"/>
  <c r="M269" i="9"/>
  <c r="J269" i="9"/>
  <c r="D269" i="9"/>
  <c r="J60" i="9"/>
  <c r="G60" i="9"/>
  <c r="M60" i="9"/>
  <c r="D60" i="9"/>
  <c r="C92" i="9"/>
  <c r="I92" i="9"/>
  <c r="H92" i="9" s="1"/>
  <c r="G4" i="9" s="1"/>
  <c r="J265" i="9"/>
  <c r="M265" i="9"/>
  <c r="G265" i="9"/>
  <c r="D265" i="9"/>
  <c r="G195" i="9"/>
  <c r="J195" i="9"/>
  <c r="D195" i="9"/>
  <c r="M195" i="9"/>
  <c r="J235" i="9"/>
  <c r="G235" i="9"/>
  <c r="D235" i="9"/>
  <c r="M235" i="9"/>
  <c r="D87" i="9"/>
  <c r="M87" i="9"/>
  <c r="J87" i="9"/>
  <c r="G87" i="9"/>
  <c r="R58" i="3"/>
  <c r="P58" i="3"/>
  <c r="Q58" i="3"/>
  <c r="N40" i="3"/>
  <c r="M40" i="3"/>
  <c r="L40" i="3"/>
  <c r="D267" i="9"/>
  <c r="M267" i="9"/>
  <c r="G267" i="9"/>
  <c r="J267" i="9"/>
  <c r="M278" i="9"/>
  <c r="G278" i="9"/>
  <c r="D278" i="9"/>
  <c r="J278" i="9"/>
  <c r="G254" i="9"/>
  <c r="M254" i="9"/>
  <c r="D254" i="9"/>
  <c r="J254" i="9"/>
  <c r="M61" i="3"/>
  <c r="L61" i="3"/>
  <c r="N61" i="3"/>
  <c r="D200" i="9"/>
  <c r="J200" i="9"/>
  <c r="G200" i="9"/>
  <c r="M200" i="9"/>
  <c r="L168" i="9"/>
  <c r="K168" i="9" s="1"/>
  <c r="J12" i="9" s="1"/>
  <c r="J23" i="9"/>
  <c r="G23" i="9"/>
  <c r="M23" i="9"/>
  <c r="D23" i="9"/>
  <c r="N66" i="3"/>
  <c r="L66" i="3"/>
  <c r="M66" i="3"/>
  <c r="N46" i="3"/>
  <c r="L46" i="3"/>
  <c r="M46" i="3"/>
  <c r="J31" i="3"/>
  <c r="I31" i="3"/>
  <c r="H31" i="3"/>
  <c r="M253" i="9"/>
  <c r="J253" i="9"/>
  <c r="G253" i="9"/>
  <c r="D253" i="9"/>
  <c r="M44" i="3"/>
  <c r="L44" i="3"/>
  <c r="N44" i="3"/>
  <c r="D79" i="9"/>
  <c r="G79" i="9"/>
  <c r="M79" i="9"/>
  <c r="J79" i="9"/>
  <c r="L20" i="5"/>
  <c r="M20" i="5"/>
  <c r="N20" i="5"/>
  <c r="D142" i="9"/>
  <c r="M142" i="9"/>
  <c r="G142" i="9"/>
  <c r="J142" i="9"/>
  <c r="N43" i="3"/>
  <c r="L43" i="3"/>
  <c r="M43" i="3"/>
  <c r="M68" i="3"/>
  <c r="L68" i="3"/>
  <c r="N68" i="3"/>
  <c r="Q65" i="3"/>
  <c r="P65" i="3"/>
  <c r="R65" i="3"/>
  <c r="J52" i="9"/>
  <c r="D52" i="9"/>
  <c r="M52" i="9"/>
  <c r="G52" i="9"/>
  <c r="M123" i="9"/>
  <c r="D123" i="9"/>
  <c r="G123" i="9"/>
  <c r="J123" i="9"/>
  <c r="J70" i="9"/>
  <c r="D70" i="9"/>
  <c r="M70" i="9"/>
  <c r="G70" i="9"/>
  <c r="F282" i="9"/>
  <c r="E282" i="9" s="1"/>
  <c r="D14" i="9" s="1"/>
  <c r="D149" i="9"/>
  <c r="G149" i="9"/>
  <c r="J149" i="9"/>
  <c r="M149" i="9"/>
  <c r="G67" i="9"/>
  <c r="M67" i="9"/>
  <c r="J67" i="9"/>
  <c r="D67" i="9"/>
  <c r="D234" i="9"/>
  <c r="J234" i="9"/>
  <c r="M234" i="9"/>
  <c r="G234" i="9"/>
  <c r="D101" i="9"/>
  <c r="G101" i="9"/>
  <c r="M101" i="9"/>
  <c r="J101" i="9"/>
  <c r="D202" i="9"/>
  <c r="J202" i="9"/>
  <c r="G202" i="9"/>
  <c r="M202" i="9"/>
  <c r="I41" i="3"/>
  <c r="H41" i="3"/>
  <c r="J41" i="3"/>
  <c r="G160" i="9"/>
  <c r="D160" i="9"/>
  <c r="J160" i="9"/>
  <c r="M160" i="9"/>
  <c r="N33" i="3"/>
  <c r="M33" i="3"/>
  <c r="L33" i="3"/>
  <c r="M26" i="9"/>
  <c r="J26" i="9"/>
  <c r="G26" i="9"/>
  <c r="D26" i="9"/>
  <c r="M238" i="9"/>
  <c r="D238" i="9"/>
  <c r="J238" i="9"/>
  <c r="G238" i="9"/>
  <c r="Q57" i="3"/>
  <c r="P57" i="3"/>
  <c r="R57" i="3"/>
  <c r="O54" i="9"/>
  <c r="N54" i="9" s="1"/>
  <c r="M16" i="9" s="1"/>
  <c r="R39" i="3"/>
  <c r="Q39" i="3"/>
  <c r="P39" i="3"/>
  <c r="F168" i="9"/>
  <c r="E168" i="9" s="1"/>
  <c r="D12" i="9" s="1"/>
  <c r="I54" i="9"/>
  <c r="H54" i="9" s="1"/>
  <c r="G16" i="9" s="1"/>
  <c r="M43" i="9"/>
  <c r="G43" i="9"/>
  <c r="D43" i="9"/>
  <c r="J43" i="9"/>
  <c r="M227" i="9"/>
  <c r="G227" i="9"/>
  <c r="D227" i="9"/>
  <c r="J227" i="9"/>
  <c r="I282" i="9"/>
  <c r="H282" i="9" s="1"/>
  <c r="G14" i="9" s="1"/>
  <c r="P33" i="3"/>
  <c r="Q33" i="3"/>
  <c r="R33" i="3"/>
  <c r="J121" i="9"/>
  <c r="G121" i="9"/>
  <c r="M121" i="9"/>
  <c r="D121" i="9"/>
  <c r="D184" i="9"/>
  <c r="M184" i="9"/>
  <c r="J184" i="9"/>
  <c r="G184" i="9"/>
  <c r="G125" i="9"/>
  <c r="D125" i="9"/>
  <c r="J125" i="9"/>
  <c r="M125" i="9"/>
  <c r="G276" i="9"/>
  <c r="J276" i="9"/>
  <c r="D276" i="9"/>
  <c r="M276" i="9"/>
  <c r="M259" i="9"/>
  <c r="J259" i="9"/>
  <c r="D259" i="9"/>
  <c r="G259" i="9"/>
  <c r="M115" i="9"/>
  <c r="G115" i="9"/>
  <c r="J115" i="9"/>
  <c r="D115" i="9"/>
  <c r="N8" i="3"/>
  <c r="M8" i="3"/>
  <c r="L8" i="3"/>
  <c r="R36" i="3"/>
  <c r="P36" i="3"/>
  <c r="Q36" i="3"/>
  <c r="M277" i="9"/>
  <c r="D277" i="9"/>
  <c r="G277" i="9"/>
  <c r="J277" i="9"/>
  <c r="D162" i="9"/>
  <c r="M162" i="9"/>
  <c r="G162" i="9"/>
  <c r="J162" i="9"/>
  <c r="G114" i="9"/>
  <c r="M114" i="9"/>
  <c r="D114" i="9"/>
  <c r="J114" i="9"/>
  <c r="J148" i="9"/>
  <c r="M148" i="9"/>
  <c r="G148" i="9"/>
  <c r="D148" i="9"/>
  <c r="M16" i="5"/>
  <c r="N16" i="5"/>
  <c r="L16" i="5"/>
  <c r="P61" i="3"/>
  <c r="R61" i="3"/>
  <c r="Q61" i="3"/>
  <c r="M7" i="3"/>
  <c r="N7" i="3"/>
  <c r="L7" i="3"/>
  <c r="J73" i="9"/>
  <c r="G73" i="9"/>
  <c r="M73" i="9"/>
  <c r="D73" i="9"/>
  <c r="G36" i="9"/>
  <c r="D36" i="9"/>
  <c r="M36" i="9"/>
  <c r="J36" i="9"/>
  <c r="L9" i="3"/>
  <c r="N9" i="3"/>
  <c r="M9" i="3"/>
  <c r="L49" i="3"/>
  <c r="M49" i="3"/>
  <c r="N49" i="3"/>
  <c r="M154" i="9"/>
  <c r="J154" i="9"/>
  <c r="G154" i="9"/>
  <c r="D154" i="9"/>
  <c r="D122" i="9"/>
  <c r="M122" i="9"/>
  <c r="G122" i="9"/>
  <c r="J122" i="9"/>
  <c r="M218" i="9"/>
  <c r="J218" i="9"/>
  <c r="D218" i="9"/>
  <c r="G218" i="9"/>
  <c r="H70" i="3"/>
  <c r="J70" i="3"/>
  <c r="I70" i="3"/>
  <c r="D110" i="9"/>
  <c r="G110" i="9"/>
  <c r="M110" i="9"/>
  <c r="J110" i="9"/>
  <c r="J186" i="9"/>
  <c r="M186" i="9"/>
  <c r="G186" i="9"/>
  <c r="D186" i="9"/>
  <c r="P32" i="3"/>
  <c r="R32" i="3"/>
  <c r="Q32" i="3"/>
  <c r="J35" i="3"/>
  <c r="I35" i="3"/>
  <c r="H35" i="3"/>
  <c r="D228" i="9"/>
  <c r="G228" i="9"/>
  <c r="M228" i="9"/>
  <c r="J228" i="9"/>
  <c r="H73" i="3"/>
  <c r="I73" i="3"/>
  <c r="J73" i="3"/>
  <c r="M104" i="9"/>
  <c r="G104" i="9"/>
  <c r="J104" i="9"/>
  <c r="D104" i="9"/>
  <c r="D180" i="9"/>
  <c r="G180" i="9"/>
  <c r="M180" i="9"/>
  <c r="J180" i="9"/>
  <c r="G187" i="9"/>
  <c r="J187" i="9"/>
  <c r="M187" i="9"/>
  <c r="D187" i="9"/>
  <c r="D75" i="9"/>
  <c r="J75" i="9"/>
  <c r="M75" i="9"/>
  <c r="G75" i="9"/>
  <c r="N74" i="3"/>
  <c r="M74" i="3"/>
  <c r="L74" i="3"/>
  <c r="J37" i="3"/>
  <c r="H37" i="3"/>
  <c r="I37" i="3"/>
  <c r="N56" i="3"/>
  <c r="M56" i="3"/>
  <c r="L56" i="3"/>
  <c r="J113" i="9"/>
  <c r="G113" i="9"/>
  <c r="D113" i="9"/>
  <c r="M113" i="9"/>
  <c r="G152" i="9"/>
  <c r="J152" i="9"/>
  <c r="M152" i="9"/>
  <c r="D152" i="9"/>
  <c r="Q71" i="3"/>
  <c r="P71" i="3"/>
  <c r="R71" i="3"/>
  <c r="D194" i="9"/>
  <c r="M194" i="9"/>
  <c r="G194" i="9"/>
  <c r="J194" i="9"/>
  <c r="G159" i="9"/>
  <c r="J159" i="9"/>
  <c r="D159" i="9"/>
  <c r="M159" i="9"/>
  <c r="M65" i="3"/>
  <c r="N65" i="3"/>
  <c r="L65" i="3"/>
  <c r="L130" i="9"/>
  <c r="K130" i="9" s="1"/>
  <c r="J6" i="9" s="1"/>
  <c r="D260" i="9"/>
  <c r="M260" i="9"/>
  <c r="J260" i="9"/>
  <c r="G260" i="9"/>
  <c r="G177" i="9"/>
  <c r="D177" i="9"/>
  <c r="J177" i="9"/>
  <c r="M177" i="9"/>
  <c r="M22" i="9"/>
  <c r="C54" i="9"/>
  <c r="J22" i="9"/>
  <c r="G22" i="9"/>
  <c r="D22" i="9"/>
  <c r="L75" i="3"/>
  <c r="N75" i="3"/>
  <c r="M75" i="3"/>
  <c r="M67" i="3"/>
  <c r="N67" i="3"/>
  <c r="L67" i="3"/>
  <c r="J157" i="9"/>
  <c r="D157" i="9"/>
  <c r="M157" i="9"/>
  <c r="G157" i="9"/>
  <c r="N13" i="5"/>
  <c r="M13" i="5"/>
  <c r="L13" i="5"/>
  <c r="N6" i="3"/>
  <c r="M6" i="3"/>
  <c r="L6" i="3"/>
  <c r="G33" i="9"/>
  <c r="J33" i="9"/>
  <c r="D33" i="9"/>
  <c r="M33" i="9"/>
  <c r="D178" i="9"/>
  <c r="M178" i="9"/>
  <c r="G178" i="9"/>
  <c r="J178" i="9"/>
  <c r="M119" i="9"/>
  <c r="G119" i="9"/>
  <c r="J119" i="9"/>
  <c r="D119" i="9"/>
  <c r="M111" i="9"/>
  <c r="G111" i="9"/>
  <c r="D111" i="9"/>
  <c r="J111" i="9"/>
  <c r="D179" i="9"/>
  <c r="G179" i="9"/>
  <c r="M179" i="9"/>
  <c r="J179" i="9"/>
  <c r="M240" i="9"/>
  <c r="D240" i="9"/>
  <c r="G240" i="9"/>
  <c r="J240" i="9"/>
  <c r="I56" i="3"/>
  <c r="J56" i="3"/>
  <c r="H56" i="3"/>
  <c r="Q59" i="3"/>
  <c r="R59" i="3"/>
  <c r="P59" i="3"/>
  <c r="J241" i="9"/>
  <c r="G241" i="9"/>
  <c r="D241" i="9"/>
  <c r="M241" i="9"/>
  <c r="R49" i="3"/>
  <c r="P49" i="3"/>
  <c r="Q49" i="3"/>
  <c r="J33" i="3"/>
  <c r="I33" i="3"/>
  <c r="H33" i="3"/>
  <c r="Q43" i="3"/>
  <c r="R43" i="3"/>
  <c r="P43" i="3"/>
  <c r="M64" i="3"/>
  <c r="N64" i="3"/>
  <c r="L64" i="3"/>
  <c r="J69" i="9"/>
  <c r="D69" i="9"/>
  <c r="G69" i="9"/>
  <c r="M69" i="9"/>
  <c r="M46" i="9"/>
  <c r="G46" i="9"/>
  <c r="J46" i="9"/>
  <c r="D46" i="9"/>
  <c r="L54" i="9"/>
  <c r="K54" i="9" s="1"/>
  <c r="J16" i="9" s="1"/>
  <c r="M17" i="5"/>
  <c r="L17" i="5"/>
  <c r="N17" i="5"/>
  <c r="J102" i="9"/>
  <c r="G102" i="9"/>
  <c r="D102" i="9"/>
  <c r="M102" i="9"/>
  <c r="M62" i="9"/>
  <c r="G62" i="9"/>
  <c r="J62" i="9"/>
  <c r="D62" i="9"/>
  <c r="L14" i="5"/>
  <c r="N14" i="5"/>
  <c r="M14" i="5"/>
  <c r="J43" i="3"/>
  <c r="H43" i="3"/>
  <c r="I43" i="3"/>
  <c r="R74" i="3"/>
  <c r="P74" i="3"/>
  <c r="Q74" i="3"/>
  <c r="D38" i="9"/>
  <c r="M38" i="9"/>
  <c r="G38" i="9"/>
  <c r="J38" i="9"/>
  <c r="P31" i="3"/>
  <c r="Q31" i="3"/>
  <c r="R31" i="3"/>
  <c r="M23" i="3"/>
  <c r="N23" i="3"/>
  <c r="L23" i="3"/>
  <c r="I46" i="3"/>
  <c r="J46" i="3"/>
  <c r="H46" i="3"/>
  <c r="L19" i="5"/>
  <c r="N19" i="5"/>
  <c r="M19" i="5"/>
  <c r="M84" i="9"/>
  <c r="D84" i="9"/>
  <c r="J84" i="9"/>
  <c r="G84" i="9"/>
  <c r="G221" i="9"/>
  <c r="J221" i="9"/>
  <c r="D221" i="9"/>
  <c r="M221" i="9"/>
  <c r="R44" i="3"/>
  <c r="P44" i="3"/>
  <c r="Q44" i="3"/>
  <c r="L32" i="3"/>
  <c r="M32" i="3"/>
  <c r="N32" i="3"/>
  <c r="L15" i="3"/>
  <c r="M15" i="3"/>
  <c r="N15" i="3"/>
  <c r="O206" i="9"/>
  <c r="N206" i="9" s="1"/>
  <c r="M8" i="9" s="1"/>
  <c r="J103" i="9"/>
  <c r="M103" i="9"/>
  <c r="D103" i="9"/>
  <c r="G103" i="9"/>
  <c r="J80" i="9"/>
  <c r="G80" i="9"/>
  <c r="D80" i="9"/>
  <c r="M80" i="9"/>
  <c r="N59" i="3"/>
  <c r="L59" i="3"/>
  <c r="M59" i="3"/>
  <c r="J27" i="9"/>
  <c r="G27" i="9"/>
  <c r="M27" i="9"/>
  <c r="D27" i="9"/>
  <c r="F244" i="9"/>
  <c r="E244" i="9" s="1"/>
  <c r="D10" i="9" s="1"/>
  <c r="R72" i="3"/>
  <c r="Q72" i="3"/>
  <c r="P72" i="3"/>
  <c r="R42" i="3"/>
  <c r="P42" i="3"/>
  <c r="Q42" i="3"/>
  <c r="J225" i="9"/>
  <c r="D225" i="9"/>
  <c r="M225" i="9"/>
  <c r="G225" i="9"/>
  <c r="J74" i="3"/>
  <c r="I74" i="3"/>
  <c r="H74" i="3"/>
  <c r="J176" i="9"/>
  <c r="D176" i="9"/>
  <c r="G176" i="9"/>
  <c r="M176" i="9"/>
  <c r="D143" i="9"/>
  <c r="M143" i="9"/>
  <c r="J143" i="9"/>
  <c r="G143" i="9"/>
  <c r="D118" i="9"/>
  <c r="M118" i="9"/>
  <c r="J118" i="9"/>
  <c r="G118" i="9"/>
  <c r="P35" i="3"/>
  <c r="Q35" i="3"/>
  <c r="R35" i="3"/>
  <c r="D217" i="9"/>
  <c r="M217" i="9"/>
  <c r="J217" i="9"/>
  <c r="G217" i="9"/>
  <c r="G139" i="9"/>
  <c r="M139" i="9"/>
  <c r="J139" i="9"/>
  <c r="D139" i="9"/>
  <c r="I67" i="3"/>
  <c r="H67" i="3"/>
  <c r="J67" i="3"/>
  <c r="P47" i="3"/>
  <c r="Q47" i="3"/>
  <c r="R47" i="3"/>
  <c r="G31" i="9"/>
  <c r="M31" i="9"/>
  <c r="J31" i="9"/>
  <c r="D31" i="9"/>
  <c r="M150" i="9"/>
  <c r="G150" i="9"/>
  <c r="J150" i="9"/>
  <c r="D150" i="9"/>
  <c r="M198" i="9"/>
  <c r="G198" i="9"/>
  <c r="J198" i="9"/>
  <c r="D198" i="9"/>
  <c r="M76" i="9"/>
  <c r="D76" i="9"/>
  <c r="G76" i="9"/>
  <c r="J76" i="9"/>
  <c r="H49" i="3"/>
  <c r="I49" i="3"/>
  <c r="J49" i="3"/>
  <c r="J140" i="9"/>
  <c r="D140" i="9"/>
  <c r="G140" i="9"/>
  <c r="M140" i="9"/>
  <c r="G192" i="9"/>
  <c r="M192" i="9"/>
  <c r="J192" i="9"/>
  <c r="D192" i="9"/>
  <c r="R34" i="3"/>
  <c r="P34" i="3"/>
  <c r="Q34" i="3"/>
  <c r="J44" i="9"/>
  <c r="G44" i="9"/>
  <c r="M44" i="9"/>
  <c r="D44" i="9"/>
  <c r="J77" i="9"/>
  <c r="G77" i="9"/>
  <c r="D77" i="9"/>
  <c r="M77" i="9"/>
  <c r="H48" i="3"/>
  <c r="J48" i="3"/>
  <c r="I48" i="3"/>
  <c r="N8" i="5"/>
  <c r="L8" i="5"/>
  <c r="M8" i="5"/>
  <c r="M10" i="5"/>
  <c r="N10" i="5"/>
  <c r="L10" i="5"/>
  <c r="M189" i="9"/>
  <c r="D189" i="9"/>
  <c r="G189" i="9"/>
  <c r="J189" i="9"/>
  <c r="L12" i="3"/>
  <c r="M12" i="3"/>
  <c r="N12" i="3"/>
  <c r="D32" i="9"/>
  <c r="J32" i="9"/>
  <c r="G32" i="9"/>
  <c r="M32" i="9"/>
  <c r="G66" i="9"/>
  <c r="M66" i="9"/>
  <c r="D66" i="9"/>
  <c r="J66" i="9"/>
  <c r="H47" i="3"/>
  <c r="J47" i="3"/>
  <c r="I47" i="3"/>
  <c r="M23" i="5"/>
  <c r="L23" i="5"/>
  <c r="N23" i="5"/>
  <c r="M63" i="3"/>
  <c r="L63" i="3"/>
  <c r="N63" i="3"/>
  <c r="N45" i="3"/>
  <c r="M45" i="3"/>
  <c r="L45" i="3"/>
  <c r="G54" i="9" l="1"/>
  <c r="M130" i="9"/>
  <c r="J54" i="9"/>
  <c r="D92" i="9"/>
  <c r="B13" i="9"/>
  <c r="B10" i="9"/>
  <c r="E54" i="9"/>
  <c r="D16" i="9" s="1"/>
  <c r="B12" i="9" s="1"/>
  <c r="B9" i="9"/>
  <c r="B4" i="9"/>
  <c r="B11" i="9"/>
  <c r="B8" i="9"/>
  <c r="B14" i="9"/>
  <c r="B7" i="9"/>
  <c r="B15" i="9"/>
  <c r="B16" i="9"/>
  <c r="B5" i="9"/>
  <c r="B6" i="9"/>
  <c r="B3" i="9"/>
  <c r="G244" i="9"/>
  <c r="J168" i="9"/>
  <c r="J282" i="9"/>
  <c r="J130" i="9"/>
  <c r="J206" i="9"/>
  <c r="M206" i="9"/>
  <c r="J92" i="9"/>
  <c r="D244" i="9"/>
  <c r="M282" i="9"/>
  <c r="M92" i="9"/>
  <c r="J244" i="9"/>
  <c r="G168" i="9"/>
  <c r="D282" i="9"/>
  <c r="D130" i="9"/>
  <c r="G206" i="9"/>
  <c r="M168" i="9"/>
  <c r="D54" i="9"/>
  <c r="M54" i="9"/>
  <c r="G92" i="9"/>
  <c r="M244" i="9"/>
  <c r="D168" i="9"/>
  <c r="G282" i="9"/>
  <c r="G130" i="9"/>
  <c r="D206" i="9"/>
</calcChain>
</file>

<file path=xl/sharedStrings.xml><?xml version="1.0" encoding="utf-8"?>
<sst xmlns="http://schemas.openxmlformats.org/spreadsheetml/2006/main" count="1794" uniqueCount="366">
  <si>
    <t>투자규칙</t>
    <phoneticPr fontId="1" type="noConversion"/>
  </si>
  <si>
    <t>시장특징</t>
    <phoneticPr fontId="1" type="noConversion"/>
  </si>
  <si>
    <t>변동성이 큰 시간대</t>
    <phoneticPr fontId="1" type="noConversion"/>
  </si>
  <si>
    <t>#01</t>
    <phoneticPr fontId="1" type="noConversion"/>
  </si>
  <si>
    <t>1000원 미만의 동전/엽전 코인을 대상으로 한다.</t>
    <phoneticPr fontId="1" type="noConversion"/>
  </si>
  <si>
    <t>대체적으로 19:00~22:00 사이에 상승한다.(매도)</t>
    <phoneticPr fontId="1" type="noConversion"/>
  </si>
  <si>
    <t>1차 변동</t>
    <phoneticPr fontId="1" type="noConversion"/>
  </si>
  <si>
    <t>#02</t>
    <phoneticPr fontId="1" type="noConversion"/>
  </si>
  <si>
    <t>매수체결은 00:00에 진행한다.</t>
    <phoneticPr fontId="1" type="noConversion"/>
  </si>
  <si>
    <t>대체적으로 22:00~23:00 사이에 하락한다.(관망)</t>
    <phoneticPr fontId="1" type="noConversion"/>
  </si>
  <si>
    <t>2차 변동</t>
    <phoneticPr fontId="1" type="noConversion"/>
  </si>
  <si>
    <t>#03</t>
    <phoneticPr fontId="1" type="noConversion"/>
  </si>
  <si>
    <t>매도청산은 21:00에 진행한다.</t>
    <phoneticPr fontId="1" type="noConversion"/>
  </si>
  <si>
    <t>대체적으로 23:00~01:00 사이에 상승한다.(매수)</t>
    <phoneticPr fontId="1" type="noConversion"/>
  </si>
  <si>
    <t>3차 변동</t>
    <phoneticPr fontId="1" type="noConversion"/>
  </si>
  <si>
    <t>#04</t>
  </si>
  <si>
    <t>평균익절라인은 +10%~20%</t>
    <phoneticPr fontId="1" type="noConversion"/>
  </si>
  <si>
    <t>대체적으로 01:00~09:00 사이에 하락한다.(관망)</t>
    <phoneticPr fontId="1" type="noConversion"/>
  </si>
  <si>
    <t>#05</t>
  </si>
  <si>
    <t>평균손절라인은 -4%~10%</t>
    <phoneticPr fontId="1" type="noConversion"/>
  </si>
  <si>
    <t>대체적으로 09:00~11:00 사이에 상승한다.(관망)</t>
    <phoneticPr fontId="1" type="noConversion"/>
  </si>
  <si>
    <t>#06</t>
  </si>
  <si>
    <t>매도청산시간이 아니더라도 -4%를 넘으면 손절한다?</t>
    <phoneticPr fontId="1" type="noConversion"/>
  </si>
  <si>
    <t>대체적으로 11:00~19:00 사이에 점진적으로 상승한다.(관망)</t>
    <phoneticPr fontId="1" type="noConversion"/>
  </si>
  <si>
    <t>#07</t>
  </si>
  <si>
    <t>하락장에는 5%에 매도 걸어둔다?</t>
    <phoneticPr fontId="1" type="noConversion"/>
  </si>
  <si>
    <t>대체적으로 금요일 3차변동은 불장이다?</t>
    <phoneticPr fontId="1" type="noConversion"/>
  </si>
  <si>
    <t>코인종류</t>
    <phoneticPr fontId="1" type="noConversion"/>
  </si>
  <si>
    <t>#08</t>
  </si>
  <si>
    <t>엽전코인</t>
    <phoneticPr fontId="1" type="noConversion"/>
  </si>
  <si>
    <t>#09</t>
  </si>
  <si>
    <t>동전코인</t>
    <phoneticPr fontId="1" type="noConversion"/>
  </si>
  <si>
    <t>#10</t>
  </si>
  <si>
    <t>지폐코인</t>
    <phoneticPr fontId="1" type="noConversion"/>
  </si>
  <si>
    <t>실거래 종목</t>
    <phoneticPr fontId="1" type="noConversion"/>
  </si>
  <si>
    <t>코인명검색</t>
    <phoneticPr fontId="1" type="noConversion"/>
  </si>
  <si>
    <t>비트코인</t>
    <phoneticPr fontId="1" type="noConversion"/>
  </si>
  <si>
    <t>현재가</t>
    <phoneticPr fontId="1" type="noConversion"/>
  </si>
  <si>
    <t>전일대비</t>
    <phoneticPr fontId="1" type="noConversion"/>
  </si>
  <si>
    <t>코인명</t>
    <phoneticPr fontId="1" type="noConversion"/>
  </si>
  <si>
    <t>상승률</t>
    <phoneticPr fontId="1" type="noConversion"/>
  </si>
  <si>
    <t>평가손익</t>
    <phoneticPr fontId="1" type="noConversion"/>
  </si>
  <si>
    <t>매수금액</t>
    <phoneticPr fontId="1" type="noConversion"/>
  </si>
  <si>
    <t>합계</t>
    <phoneticPr fontId="1" type="noConversion"/>
  </si>
  <si>
    <t>[엽전코인] 전일대비 상승률 Top20</t>
    <phoneticPr fontId="1" type="noConversion"/>
  </si>
  <si>
    <t>[동전코인] 전일대비 상승률 Top20</t>
    <phoneticPr fontId="1" type="noConversion"/>
  </si>
  <si>
    <t>전일대비 상승률 Top20</t>
    <phoneticPr fontId="1" type="noConversion"/>
  </si>
  <si>
    <t>실거래종목</t>
    <phoneticPr fontId="1" type="noConversion"/>
  </si>
  <si>
    <t>KRW-BTC</t>
  </si>
  <si>
    <t>비트코인</t>
  </si>
  <si>
    <t>KRW-XLM</t>
  </si>
  <si>
    <t>스텔라루멘</t>
  </si>
  <si>
    <t>코인검색기1</t>
    <phoneticPr fontId="1" type="noConversion"/>
  </si>
  <si>
    <t>KRW-HBAR</t>
  </si>
  <si>
    <t>헤데라해시그래프</t>
  </si>
  <si>
    <t>코인명</t>
  </si>
  <si>
    <t>KRW-XEM</t>
  </si>
  <si>
    <t>넴</t>
  </si>
  <si>
    <t>현재가</t>
  </si>
  <si>
    <t>전일대비</t>
  </si>
  <si>
    <t>KRW-MANA</t>
  </si>
  <si>
    <t>디센트럴랜드</t>
  </si>
  <si>
    <t>KRW-NEO</t>
  </si>
  <si>
    <t>네오</t>
  </si>
  <si>
    <t>KRW-IOST</t>
  </si>
  <si>
    <t>아이오에스티</t>
  </si>
  <si>
    <t>KRW-CBK</t>
  </si>
  <si>
    <t>코박토큰</t>
  </si>
  <si>
    <t>KRW-SRM</t>
  </si>
  <si>
    <t>세럼</t>
  </si>
  <si>
    <t>코인검색기2</t>
    <phoneticPr fontId="1" type="noConversion"/>
  </si>
  <si>
    <t>KRW-QKC</t>
  </si>
  <si>
    <t>쿼크체인</t>
  </si>
  <si>
    <t>KRW-ATOM</t>
  </si>
  <si>
    <t>코스모스</t>
  </si>
  <si>
    <t>KRW-LINK</t>
  </si>
  <si>
    <t>체인링크</t>
  </si>
  <si>
    <t>KRW-BCH</t>
  </si>
  <si>
    <t>비트코인캐시</t>
  </si>
  <si>
    <t>KRW-BAT</t>
  </si>
  <si>
    <t>베이직어텐션토큰</t>
  </si>
  <si>
    <t>KRW-ADX</t>
  </si>
  <si>
    <t>애드엑스</t>
  </si>
  <si>
    <t>KRW-ADA</t>
  </si>
  <si>
    <t>에이다</t>
  </si>
  <si>
    <t>KRW-EOS</t>
  </si>
  <si>
    <t>이오스</t>
  </si>
  <si>
    <t>KRW-CHZ</t>
  </si>
  <si>
    <t>칠리즈</t>
  </si>
  <si>
    <t>KRW-BSV</t>
  </si>
  <si>
    <t>비트코인에스브이</t>
  </si>
  <si>
    <t>KRW-XRP</t>
  </si>
  <si>
    <t>리플</t>
  </si>
  <si>
    <t>KRW-BTG</t>
  </si>
  <si>
    <t>비트코인골드</t>
  </si>
  <si>
    <t>KRW-ETH</t>
  </si>
  <si>
    <t>이더리움</t>
  </si>
  <si>
    <t>KRW-XTZ</t>
  </si>
  <si>
    <t>테조스</t>
  </si>
  <si>
    <t>KRW-BTT</t>
  </si>
  <si>
    <t>비트토렌트</t>
  </si>
  <si>
    <t>KRW-ETC</t>
  </si>
  <si>
    <t>이더리움클래식</t>
  </si>
  <si>
    <t>KRW-ONT</t>
  </si>
  <si>
    <t>온톨로지</t>
  </si>
  <si>
    <t>KRW-ZRX</t>
  </si>
  <si>
    <t>제로엑스</t>
  </si>
  <si>
    <t>KRW-BCHA</t>
  </si>
  <si>
    <t>비트코인캐시에이비씨</t>
  </si>
  <si>
    <t>KRW-ICX</t>
  </si>
  <si>
    <t>아이콘</t>
  </si>
  <si>
    <t>KRW-DKA</t>
  </si>
  <si>
    <t>디카르고</t>
  </si>
  <si>
    <t>KRW-THETA</t>
  </si>
  <si>
    <t>쎄타토큰</t>
  </si>
  <si>
    <t>KRW-SAND</t>
  </si>
  <si>
    <t>샌드박스</t>
  </si>
  <si>
    <t>KRW-KAVA</t>
  </si>
  <si>
    <t>카바</t>
  </si>
  <si>
    <t>KRW-CRO</t>
  </si>
  <si>
    <t>크립토닷컴체인</t>
  </si>
  <si>
    <t>KRW-PXL</t>
  </si>
  <si>
    <t>픽셀</t>
  </si>
  <si>
    <t>KRW-AQT</t>
  </si>
  <si>
    <t>알파쿼크</t>
  </si>
  <si>
    <t>KRW-STMX</t>
  </si>
  <si>
    <t>스톰엑스</t>
  </si>
  <si>
    <t>KRW-CVC</t>
  </si>
  <si>
    <t>시빅</t>
  </si>
  <si>
    <t>KRW-LTC</t>
  </si>
  <si>
    <t>라이트코인</t>
  </si>
  <si>
    <t>KRW-VET</t>
  </si>
  <si>
    <t>비체인</t>
  </si>
  <si>
    <t>KRW-ORBS</t>
  </si>
  <si>
    <t>오브스</t>
  </si>
  <si>
    <t>KRW-ZIL</t>
  </si>
  <si>
    <t>질리카</t>
  </si>
  <si>
    <t>KRW-DOT</t>
  </si>
  <si>
    <t>폴카닷</t>
  </si>
  <si>
    <t>KRW-KNC</t>
  </si>
  <si>
    <t>카이버네트워크</t>
  </si>
  <si>
    <t>KRW-TFUEL</t>
  </si>
  <si>
    <t>쎄타퓨엘</t>
  </si>
  <si>
    <t>KRW-OMG</t>
  </si>
  <si>
    <t>오미세고</t>
  </si>
  <si>
    <t>KRW-GAS</t>
  </si>
  <si>
    <t>가스</t>
  </si>
  <si>
    <t>KRW-ANKR</t>
  </si>
  <si>
    <t>앵커</t>
  </si>
  <si>
    <t>KRW-SXP</t>
  </si>
  <si>
    <t>스와이프</t>
  </si>
  <si>
    <t>KRW-SC</t>
  </si>
  <si>
    <t>시아코인</t>
  </si>
  <si>
    <t>KRW-CRE</t>
  </si>
  <si>
    <t>캐리프로토콜</t>
  </si>
  <si>
    <t>KRW-TRX</t>
  </si>
  <si>
    <t>트론</t>
  </si>
  <si>
    <t>KRW-AXS</t>
  </si>
  <si>
    <t>엑시인피니티</t>
  </si>
  <si>
    <t>KRW-ENJ</t>
  </si>
  <si>
    <t>엔진코인</t>
  </si>
  <si>
    <t>KRW-PCI</t>
  </si>
  <si>
    <t>페이코인</t>
  </si>
  <si>
    <t>KRW-WAVES</t>
  </si>
  <si>
    <t>웨이브</t>
  </si>
  <si>
    <t>KRW-STORJ</t>
  </si>
  <si>
    <t>스토리지</t>
  </si>
  <si>
    <t>KRW-SNT</t>
  </si>
  <si>
    <t>스테이터스네트워크토큰</t>
  </si>
  <si>
    <t>KRW-ELF</t>
  </si>
  <si>
    <t>엘프</t>
  </si>
  <si>
    <t>KRW-TSHP</t>
  </si>
  <si>
    <t>트웰브쉽스</t>
  </si>
  <si>
    <t>KRW-BORA</t>
  </si>
  <si>
    <t>보라</t>
  </si>
  <si>
    <t>KRW-STX</t>
  </si>
  <si>
    <t>스택스</t>
  </si>
  <si>
    <t>KRW-REP</t>
  </si>
  <si>
    <t>어거</t>
  </si>
  <si>
    <t>KRW-MTL</t>
  </si>
  <si>
    <t>메탈</t>
  </si>
  <si>
    <t>KRW-POWR</t>
  </si>
  <si>
    <t>파워렛저</t>
  </si>
  <si>
    <t>KRW-IOTA</t>
  </si>
  <si>
    <t>아이오타</t>
  </si>
  <si>
    <t>KRW-IQ</t>
  </si>
  <si>
    <t>에브리피디아</t>
  </si>
  <si>
    <t>KRW-QTUM</t>
  </si>
  <si>
    <t>퀀텀</t>
  </si>
  <si>
    <t>KRW-STRK</t>
  </si>
  <si>
    <t>스트라이크</t>
  </si>
  <si>
    <t>KRW-ONG</t>
  </si>
  <si>
    <t>온톨로지가스</t>
  </si>
  <si>
    <t>KRW-TON</t>
  </si>
  <si>
    <t>톤</t>
  </si>
  <si>
    <t>KRW-TT</t>
  </si>
  <si>
    <t>썬더토큰</t>
  </si>
  <si>
    <t>KRW-MVL</t>
  </si>
  <si>
    <t>엠블</t>
  </si>
  <si>
    <t>KRW-AERGO</t>
  </si>
  <si>
    <t>아르고</t>
  </si>
  <si>
    <t>KRW-META</t>
  </si>
  <si>
    <t>메타디움</t>
  </si>
  <si>
    <t>KRW-DAWN</t>
  </si>
  <si>
    <t>던프로토콜</t>
  </si>
  <si>
    <t>KRW-FLOW</t>
  </si>
  <si>
    <t>플로우</t>
  </si>
  <si>
    <t>KRW-MARO</t>
  </si>
  <si>
    <t>마로</t>
  </si>
  <si>
    <t>KRW-FCT2</t>
  </si>
  <si>
    <t>피르마체인</t>
  </si>
  <si>
    <t>KRW-MED</t>
  </si>
  <si>
    <t>메디블록</t>
  </si>
  <si>
    <t>KRW-RFR</t>
  </si>
  <si>
    <t>리퍼리움</t>
  </si>
  <si>
    <t>KRW-POLY</t>
  </si>
  <si>
    <t>폴리매쓰</t>
  </si>
  <si>
    <t>KRW-OBSR</t>
  </si>
  <si>
    <t>옵저버</t>
  </si>
  <si>
    <t>KRW-MFT</t>
  </si>
  <si>
    <t>메인프레임</t>
  </si>
  <si>
    <t>KRW-AHT</t>
  </si>
  <si>
    <t>아하토큰</t>
  </si>
  <si>
    <t>KRW-MLK</t>
  </si>
  <si>
    <t>밀크</t>
  </si>
  <si>
    <t>KRW-PLA</t>
  </si>
  <si>
    <t>플레이댑</t>
  </si>
  <si>
    <t>KRW-MBL</t>
  </si>
  <si>
    <t>무비블록</t>
  </si>
  <si>
    <t>KRW-HUM</t>
  </si>
  <si>
    <t>휴먼스케이프</t>
  </si>
  <si>
    <t>KRW-UPP</t>
  </si>
  <si>
    <t>센티넬프로토콜</t>
  </si>
  <si>
    <t>KRW-DMT</t>
  </si>
  <si>
    <t>디마켓</t>
  </si>
  <si>
    <t>KRW-EDR</t>
  </si>
  <si>
    <t>엔도르</t>
  </si>
  <si>
    <t>KRW-SOLVE</t>
  </si>
  <si>
    <t>솔브케어</t>
  </si>
  <si>
    <t>KRW-MOC</t>
  </si>
  <si>
    <t>모스코인</t>
  </si>
  <si>
    <t>KRW-LSK</t>
  </si>
  <si>
    <t>리스크</t>
  </si>
  <si>
    <t>KRW-PUNDIX</t>
  </si>
  <si>
    <t>펀디엑스</t>
  </si>
  <si>
    <t>KRW-HUNT</t>
  </si>
  <si>
    <t>헌트</t>
  </si>
  <si>
    <t>KRW-KMD</t>
  </si>
  <si>
    <t>코모도</t>
  </si>
  <si>
    <t>KRW-LBC</t>
  </si>
  <si>
    <t>엘비알와이크레딧</t>
  </si>
  <si>
    <t>KRW-EMC2</t>
  </si>
  <si>
    <t>아인스타이늄</t>
  </si>
  <si>
    <t>KRW-QTCON</t>
  </si>
  <si>
    <t>퀴즈톡</t>
  </si>
  <si>
    <t>KRW-WAXP</t>
  </si>
  <si>
    <t>왁스</t>
  </si>
  <si>
    <t>KRW-HIVE</t>
  </si>
  <si>
    <t>하이브</t>
  </si>
  <si>
    <t>KRW-SSX</t>
  </si>
  <si>
    <t>썸씽</t>
  </si>
  <si>
    <t>KRW-STEEM</t>
  </si>
  <si>
    <t>스팀</t>
  </si>
  <si>
    <t>KRW-LOOM</t>
  </si>
  <si>
    <t>룸네트워크</t>
  </si>
  <si>
    <t>KRW-STPT</t>
  </si>
  <si>
    <t>에스티피</t>
  </si>
  <si>
    <t>KRW-LAMB</t>
  </si>
  <si>
    <t>람다</t>
  </si>
  <si>
    <t>KRW-GLM</t>
  </si>
  <si>
    <t>골렘</t>
  </si>
  <si>
    <t>KRW-ARK</t>
  </si>
  <si>
    <t>아크</t>
  </si>
  <si>
    <t>KRW-SBD</t>
  </si>
  <si>
    <t>스팀달러</t>
  </si>
  <si>
    <t>KRW-STRAX</t>
  </si>
  <si>
    <t>스트라티스</t>
  </si>
  <si>
    <t>KRW-JST</t>
  </si>
  <si>
    <t>저스트</t>
  </si>
  <si>
    <t>KRW-GRS</t>
  </si>
  <si>
    <t>그로스톨코인</t>
  </si>
  <si>
    <t>KRW-IGNIS</t>
  </si>
  <si>
    <t>이그니스</t>
  </si>
  <si>
    <t>KRW-ARDR</t>
  </si>
  <si>
    <t>아더</t>
  </si>
  <si>
    <t>전일대비 상승률 Bottom20</t>
    <phoneticPr fontId="1" type="noConversion"/>
  </si>
  <si>
    <t>코인검색기3</t>
    <phoneticPr fontId="1" type="noConversion"/>
  </si>
  <si>
    <t>코인코드</t>
    <phoneticPr fontId="1" type="noConversion"/>
  </si>
  <si>
    <t>[엽전코인] 전일대비 상승률 Bottom20</t>
    <phoneticPr fontId="1" type="noConversion"/>
  </si>
  <si>
    <t>[동전코인] 전일대비 상승률 Bottom20</t>
    <phoneticPr fontId="1" type="noConversion"/>
  </si>
  <si>
    <t>검색일자</t>
    <phoneticPr fontId="1" type="noConversion"/>
  </si>
  <si>
    <t>[새 종목 선정] 실시간 현재가 Top20</t>
    <phoneticPr fontId="1" type="noConversion"/>
  </si>
  <si>
    <t>실시간 현재가 Top20</t>
    <phoneticPr fontId="1" type="noConversion"/>
  </si>
  <si>
    <t>주말은 하락한다.</t>
    <phoneticPr fontId="1" type="noConversion"/>
  </si>
  <si>
    <t>거래량</t>
    <phoneticPr fontId="1" type="noConversion"/>
  </si>
  <si>
    <t>KRW-DOGE</t>
  </si>
  <si>
    <t>도지코인</t>
  </si>
  <si>
    <t>코인명검색</t>
  </si>
  <si>
    <t>상승률</t>
  </si>
  <si>
    <t>평가손익</t>
  </si>
  <si>
    <t>매수금액</t>
  </si>
  <si>
    <t>합계</t>
  </si>
  <si>
    <t>거래일자</t>
    <phoneticPr fontId="1" type="noConversion"/>
  </si>
  <si>
    <t>매도금액</t>
    <phoneticPr fontId="1" type="noConversion"/>
  </si>
  <si>
    <t>매도기준시간 = 오후 14:00</t>
    <phoneticPr fontId="1" type="noConversion"/>
  </si>
  <si>
    <t>매도기준시간 = 오후 19:00</t>
    <phoneticPr fontId="1" type="noConversion"/>
  </si>
  <si>
    <t>매도기준시간 = 오후 21:00</t>
    <phoneticPr fontId="1" type="noConversion"/>
  </si>
  <si>
    <t>매도기준시간 = 오전 00:00</t>
    <phoneticPr fontId="1" type="noConversion"/>
  </si>
  <si>
    <t>총매수액</t>
    <phoneticPr fontId="1" type="noConversion"/>
  </si>
  <si>
    <t>총매도액</t>
    <phoneticPr fontId="1" type="noConversion"/>
  </si>
  <si>
    <t>순수익률</t>
    <phoneticPr fontId="1" type="noConversion"/>
  </si>
  <si>
    <t>순평가손익</t>
    <phoneticPr fontId="1" type="noConversion"/>
  </si>
  <si>
    <t>구분</t>
    <phoneticPr fontId="1" type="noConversion"/>
  </si>
  <si>
    <t>거래종합</t>
    <phoneticPr fontId="1" type="noConversion"/>
  </si>
  <si>
    <t>INDEX</t>
    <phoneticPr fontId="1" type="noConversion"/>
  </si>
  <si>
    <t>매도기준시간 = 오후 14:00</t>
  </si>
  <si>
    <t>매도기준시간 = 오후 19:00</t>
  </si>
  <si>
    <t>매도기준시간 = 오후 21:00</t>
  </si>
  <si>
    <t>매도기준시간 = 오전 00:00</t>
  </si>
  <si>
    <t>수익률 상위 전략 랭킹</t>
    <phoneticPr fontId="1" type="noConversion"/>
  </si>
  <si>
    <t>[오후 14:00] 엽전코인 Top20</t>
    <phoneticPr fontId="1" type="noConversion"/>
  </si>
  <si>
    <t>[오후 14:00] 동전코인 Top20</t>
    <phoneticPr fontId="1" type="noConversion"/>
  </si>
  <si>
    <t>[오후 14:00] 엽전코인 Bottom20</t>
    <phoneticPr fontId="1" type="noConversion"/>
  </si>
  <si>
    <t>[오후 14:00] 동전코인 Bottom20</t>
    <phoneticPr fontId="1" type="noConversion"/>
  </si>
  <si>
    <t>[오후 14:00] 전일대비 상승률 Top20</t>
    <phoneticPr fontId="1" type="noConversion"/>
  </si>
  <si>
    <t>[오후 14:00] 전일대비 상승률 Bottom20</t>
    <phoneticPr fontId="1" type="noConversion"/>
  </si>
  <si>
    <t>[오후 14:00] 실거래종목</t>
    <phoneticPr fontId="1" type="noConversion"/>
  </si>
  <si>
    <t>[오후 19:00] 엽전코인 Top20</t>
    <phoneticPr fontId="1" type="noConversion"/>
  </si>
  <si>
    <t>[오후 19:00] 동전코인 Top20</t>
    <phoneticPr fontId="1" type="noConversion"/>
  </si>
  <si>
    <t>[오후 19:00] 엽전코인 Bottom20</t>
    <phoneticPr fontId="1" type="noConversion"/>
  </si>
  <si>
    <t>[오후 19:00] 동전코인 Bottom20</t>
    <phoneticPr fontId="1" type="noConversion"/>
  </si>
  <si>
    <t>[오후 19:00] 전일대비 상승률 Top20</t>
    <phoneticPr fontId="1" type="noConversion"/>
  </si>
  <si>
    <t>[오후 19:00] 전일대비 상승률 Bottom20</t>
    <phoneticPr fontId="1" type="noConversion"/>
  </si>
  <si>
    <t>[오후 19:00] 실거래종목</t>
    <phoneticPr fontId="1" type="noConversion"/>
  </si>
  <si>
    <t>[오후 21:00] 엽전코인 Top20</t>
    <phoneticPr fontId="1" type="noConversion"/>
  </si>
  <si>
    <t>[오후 21:00] 동전코인 Top20</t>
    <phoneticPr fontId="1" type="noConversion"/>
  </si>
  <si>
    <t>[오후 21:00] 엽전코인 Bottom20</t>
    <phoneticPr fontId="1" type="noConversion"/>
  </si>
  <si>
    <t>[오후 21:00] 동전코인 Bottom20</t>
    <phoneticPr fontId="1" type="noConversion"/>
  </si>
  <si>
    <t>[오후 21:00] 전일대비 상승률 Top20</t>
    <phoneticPr fontId="1" type="noConversion"/>
  </si>
  <si>
    <t>[오후 21:00] 전일대비 상승률 Bottom20</t>
    <phoneticPr fontId="1" type="noConversion"/>
  </si>
  <si>
    <t>[오후 21:00] 실거래종목</t>
    <phoneticPr fontId="1" type="noConversion"/>
  </si>
  <si>
    <t>[오전 00:00] 엽전코인 Top20</t>
    <phoneticPr fontId="1" type="noConversion"/>
  </si>
  <si>
    <t>[오전 00:00] 동전코인 Top20</t>
    <phoneticPr fontId="1" type="noConversion"/>
  </si>
  <si>
    <t>[오전 00:00] 엽전코인 Bottom20</t>
    <phoneticPr fontId="1" type="noConversion"/>
  </si>
  <si>
    <t>[오전 00:00] 동전코인 Bottom20</t>
    <phoneticPr fontId="1" type="noConversion"/>
  </si>
  <si>
    <t>[오전 00:00] 전일대비 상승률 Top20</t>
    <phoneticPr fontId="1" type="noConversion"/>
  </si>
  <si>
    <t>[오전 00:00] 전일대비 상승률 Bottom20</t>
    <phoneticPr fontId="1" type="noConversion"/>
  </si>
  <si>
    <t>[오전 00:00] 실거래종목</t>
    <phoneticPr fontId="1" type="noConversion"/>
  </si>
  <si>
    <t>대체적으로 주말은 하락한다(휴장권장)</t>
    <phoneticPr fontId="1" type="noConversion"/>
  </si>
  <si>
    <t>평균손절라인은 -3.33%</t>
    <phoneticPr fontId="1" type="noConversion"/>
  </si>
  <si>
    <t>대체적으로 09:00~11:00 사이에 상승한다(고점, 매도)</t>
    <phoneticPr fontId="1" type="noConversion"/>
  </si>
  <si>
    <t>대체적으로 11:00~14:00 사이에 하락한다(저점, 관망)</t>
    <phoneticPr fontId="1" type="noConversion"/>
  </si>
  <si>
    <t>대체적으로 14:00~19:00 사이에 상승한다(상승, 매수)</t>
    <phoneticPr fontId="1" type="noConversion"/>
  </si>
  <si>
    <t>대체적으로 19:00~21:00 사이에 상승한다(상승, 관망)</t>
    <phoneticPr fontId="1" type="noConversion"/>
  </si>
  <si>
    <t>대체적으로 21:00~00:00 사이에 알수없다(고점, 매도)</t>
    <phoneticPr fontId="1" type="noConversion"/>
  </si>
  <si>
    <t>대체적으로 00:00~09:00 사이에 상승한다(상승, 매수)</t>
    <phoneticPr fontId="1" type="noConversion"/>
  </si>
  <si>
    <t>대체적으로 평일은 상승한다(매수권장)</t>
    <phoneticPr fontId="1" type="noConversion"/>
  </si>
  <si>
    <t>상승장, 전일대비Top20인 코인을 대상으로 거래한다</t>
    <phoneticPr fontId="1" type="noConversion"/>
  </si>
  <si>
    <t>매도체결은 21:00에 진행한다.</t>
    <phoneticPr fontId="1" type="noConversion"/>
  </si>
  <si>
    <t>2021.06.01</t>
    <phoneticPr fontId="1" type="noConversion"/>
  </si>
  <si>
    <t>오브스</t>
    <phoneticPr fontId="1" type="noConversion"/>
  </si>
  <si>
    <t>크립토닷컴체인</t>
    <phoneticPr fontId="1" type="noConversion"/>
  </si>
  <si>
    <t>헌트</t>
    <phoneticPr fontId="1" type="noConversion"/>
  </si>
  <si>
    <t>디카르고</t>
    <phoneticPr fontId="1" type="noConversion"/>
  </si>
  <si>
    <t>메타디움</t>
    <phoneticPr fontId="1" type="noConversion"/>
  </si>
  <si>
    <t>메디블록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</si>
</sst>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76" formatCode="[$-412]yyyy&quot;년&quot;\ mm&quot;월&quot;\ dd&quot;일&quot;\ \(ddd\)"/>
    <numFmt numFmtId="177" formatCode="[$-412]AM/PM\ hh:mm;@"/>
    <numFmt numFmtId="178" formatCode="#,##0\ \K\R\W\~"/>
    <numFmt numFmtId="179" formatCode="#,##0.00_ \K\R\W"/>
    <numFmt numFmtId="180" formatCode="#,##0_ \K\R\W"/>
    <numFmt numFmtId="181" formatCode="[=0]&quot;&quot;;General"/>
    <numFmt numFmtId="182" formatCode="yyyy/mm/dd\(ddd\)\ [$-412]AM/PM\ hh:mm;@"/>
  </numFmts>
  <fonts count="9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11"/>
      <name val="맑은 고딕"/>
      <family val="3"/>
      <charset val="129"/>
      <scheme val="minor"/>
    </font>
    <font>
      <b/>
      <u/>
      <sz val="1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</fonts>
  <fills count="2">
    <fill>
      <patternFill patternType="none"/>
    </fill>
    <fill>
      <patternFill patternType="gray125"/>
    </fill>
  </fills>
  <borders count="36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46">
    <xf numFmtId="0" fontId="0" fillId="0" borderId="0" xfId="0">
      <alignment vertical="center"/>
    </xf>
    <xf numFmtId="0" fontId="0" fillId="0" borderId="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77" fontId="0" fillId="0" borderId="19" xfId="0" applyNumberFormat="1" applyBorder="1" applyAlignment="1">
      <alignment horizontal="center" vertical="center"/>
    </xf>
    <xf numFmtId="178" fontId="0" fillId="0" borderId="12" xfId="0" applyNumberFormat="1" applyBorder="1" applyAlignment="1">
      <alignment horizontal="right" vertical="center"/>
    </xf>
    <xf numFmtId="0" fontId="0" fillId="0" borderId="20" xfId="0" applyBorder="1" applyAlignment="1">
      <alignment horizontal="center" vertical="center"/>
    </xf>
    <xf numFmtId="178" fontId="0" fillId="0" borderId="19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5" fillId="0" borderId="25" xfId="0" applyFont="1" applyBorder="1">
      <alignment vertical="center"/>
    </xf>
    <xf numFmtId="179" fontId="0" fillId="0" borderId="8" xfId="0" applyNumberFormat="1" applyBorder="1" applyAlignment="1">
      <alignment horizontal="right" vertical="center"/>
    </xf>
    <xf numFmtId="10" fontId="0" fillId="0" borderId="9" xfId="0" applyNumberFormat="1" applyBorder="1" applyAlignment="1">
      <alignment horizontal="center" vertical="center"/>
    </xf>
    <xf numFmtId="179" fontId="0" fillId="0" borderId="11" xfId="0" applyNumberFormat="1" applyBorder="1" applyAlignment="1">
      <alignment horizontal="right" vertical="center"/>
    </xf>
    <xf numFmtId="180" fontId="0" fillId="0" borderId="10" xfId="0" applyNumberFormat="1" applyBorder="1" applyAlignment="1">
      <alignment horizontal="right" vertical="center"/>
    </xf>
    <xf numFmtId="0" fontId="5" fillId="0" borderId="24" xfId="0" applyFont="1" applyBorder="1">
      <alignment vertical="center"/>
    </xf>
    <xf numFmtId="180" fontId="0" fillId="0" borderId="12" xfId="0" applyNumberFormat="1" applyBorder="1" applyAlignment="1">
      <alignment horizontal="right" vertical="center"/>
    </xf>
    <xf numFmtId="0" fontId="5" fillId="0" borderId="26" xfId="0" applyFont="1" applyBorder="1">
      <alignment vertical="center"/>
    </xf>
    <xf numFmtId="179" fontId="0" fillId="0" borderId="27" xfId="0" applyNumberFormat="1" applyBorder="1" applyAlignment="1">
      <alignment horizontal="right" vertical="center"/>
    </xf>
    <xf numFmtId="10" fontId="0" fillId="0" borderId="28" xfId="0" applyNumberFormat="1" applyBorder="1" applyAlignment="1">
      <alignment horizontal="center" vertical="center"/>
    </xf>
    <xf numFmtId="180" fontId="0" fillId="0" borderId="29" xfId="0" applyNumberFormat="1" applyBorder="1" applyAlignment="1">
      <alignment horizontal="right" vertical="center"/>
    </xf>
    <xf numFmtId="0" fontId="5" fillId="0" borderId="30" xfId="0" applyFont="1" applyBorder="1">
      <alignment vertical="center"/>
    </xf>
    <xf numFmtId="179" fontId="0" fillId="0" borderId="17" xfId="0" applyNumberFormat="1" applyBorder="1" applyAlignment="1">
      <alignment horizontal="right" vertical="center"/>
    </xf>
    <xf numFmtId="10" fontId="0" fillId="0" borderId="18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0" fontId="0" fillId="0" borderId="2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right" vertical="center"/>
    </xf>
    <xf numFmtId="179" fontId="0" fillId="0" borderId="9" xfId="0" applyNumberFormat="1" applyBorder="1" applyAlignment="1">
      <alignment horizontal="right" vertical="center"/>
    </xf>
    <xf numFmtId="179" fontId="0" fillId="0" borderId="28" xfId="0" applyNumberFormat="1" applyBorder="1" applyAlignment="1">
      <alignment horizontal="right" vertical="center"/>
    </xf>
    <xf numFmtId="179" fontId="0" fillId="0" borderId="0" xfId="0" applyNumberFormat="1" applyBorder="1" applyAlignment="1">
      <alignment horizontal="right" vertical="center"/>
    </xf>
    <xf numFmtId="10" fontId="0" fillId="0" borderId="0" xfId="0" applyNumberFormat="1" applyBorder="1" applyAlignment="1">
      <alignment horizontal="center" vertical="center"/>
    </xf>
    <xf numFmtId="0" fontId="6" fillId="0" borderId="9" xfId="1" applyFont="1" applyBorder="1" applyAlignment="1">
      <alignment vertical="center"/>
    </xf>
    <xf numFmtId="10" fontId="0" fillId="0" borderId="0" xfId="0" applyNumberFormat="1">
      <alignment vertical="center"/>
    </xf>
    <xf numFmtId="0" fontId="0" fillId="0" borderId="0" xfId="0" applyAlignment="1"/>
    <xf numFmtId="0" fontId="3" fillId="0" borderId="18" xfId="0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right" vertical="center"/>
    </xf>
    <xf numFmtId="179" fontId="3" fillId="0" borderId="9" xfId="0" applyNumberFormat="1" applyFont="1" applyBorder="1" applyAlignment="1">
      <alignment horizontal="right" vertical="center"/>
    </xf>
    <xf numFmtId="179" fontId="3" fillId="0" borderId="0" xfId="0" applyNumberFormat="1" applyFont="1" applyBorder="1" applyAlignment="1">
      <alignment horizontal="right" vertical="center"/>
    </xf>
    <xf numFmtId="0" fontId="0" fillId="0" borderId="11" xfId="0" applyBorder="1">
      <alignment vertical="center"/>
    </xf>
    <xf numFmtId="0" fontId="0" fillId="0" borderId="12" xfId="0" applyBorder="1">
      <alignment vertical="center"/>
    </xf>
    <xf numFmtId="0" fontId="0" fillId="0" borderId="17" xfId="0" applyBorder="1">
      <alignment vertical="center"/>
    </xf>
    <xf numFmtId="0" fontId="0" fillId="0" borderId="19" xfId="0" applyBorder="1">
      <alignment vertical="center"/>
    </xf>
    <xf numFmtId="179" fontId="3" fillId="0" borderId="28" xfId="0" applyNumberFormat="1" applyFont="1" applyBorder="1" applyAlignment="1">
      <alignment horizontal="right" vertical="center"/>
    </xf>
    <xf numFmtId="179" fontId="3" fillId="0" borderId="33" xfId="0" applyNumberFormat="1" applyFont="1" applyBorder="1" applyAlignment="1">
      <alignment horizontal="right" vertical="center"/>
    </xf>
    <xf numFmtId="0" fontId="3" fillId="0" borderId="25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34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4" fontId="0" fillId="0" borderId="0" xfId="0" applyNumberFormat="1" applyAlignment="1"/>
    <xf numFmtId="181" fontId="3" fillId="0" borderId="25" xfId="0" applyNumberFormat="1" applyFont="1" applyBorder="1" applyAlignment="1">
      <alignment horizontal="center" vertical="center"/>
    </xf>
    <xf numFmtId="181" fontId="3" fillId="0" borderId="24" xfId="0" applyNumberFormat="1" applyFont="1" applyBorder="1" applyAlignment="1">
      <alignment horizontal="center" vertical="center"/>
    </xf>
    <xf numFmtId="181" fontId="3" fillId="0" borderId="30" xfId="0" applyNumberFormat="1" applyFont="1" applyBorder="1" applyAlignment="1">
      <alignment horizontal="center" vertical="center"/>
    </xf>
    <xf numFmtId="181" fontId="3" fillId="0" borderId="26" xfId="0" applyNumberFormat="1" applyFont="1" applyBorder="1" applyAlignment="1">
      <alignment horizontal="center" vertical="center"/>
    </xf>
    <xf numFmtId="181" fontId="3" fillId="0" borderId="25" xfId="0" applyNumberFormat="1" applyFont="1" applyBorder="1" applyAlignment="1">
      <alignment horizontal="center"/>
    </xf>
    <xf numFmtId="181" fontId="3" fillId="0" borderId="34" xfId="0" applyNumberFormat="1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0" xfId="0" applyFont="1" applyAlignment="1">
      <alignment horizontal="right" vertical="center"/>
    </xf>
    <xf numFmtId="10" fontId="3" fillId="0" borderId="9" xfId="0" applyNumberFormat="1" applyFont="1" applyBorder="1" applyAlignment="1">
      <alignment horizontal="center" vertical="center"/>
    </xf>
    <xf numFmtId="10" fontId="3" fillId="0" borderId="0" xfId="0" applyNumberFormat="1" applyFont="1" applyBorder="1" applyAlignment="1">
      <alignment horizontal="center" vertical="center"/>
    </xf>
    <xf numFmtId="10" fontId="3" fillId="0" borderId="28" xfId="0" applyNumberFormat="1" applyFont="1" applyBorder="1" applyAlignment="1">
      <alignment horizontal="center" vertical="center"/>
    </xf>
    <xf numFmtId="10" fontId="3" fillId="0" borderId="18" xfId="0" applyNumberFormat="1" applyFont="1" applyBorder="1" applyAlignment="1">
      <alignment horizontal="center" vertical="center"/>
    </xf>
    <xf numFmtId="10" fontId="3" fillId="0" borderId="33" xfId="0" applyNumberFormat="1" applyFont="1" applyBorder="1" applyAlignment="1">
      <alignment horizontal="center" vertical="center"/>
    </xf>
    <xf numFmtId="181" fontId="3" fillId="0" borderId="10" xfId="0" applyNumberFormat="1" applyFont="1" applyBorder="1" applyAlignment="1">
      <alignment horizontal="center" vertical="center"/>
    </xf>
    <xf numFmtId="181" fontId="3" fillId="0" borderId="12" xfId="0" applyNumberFormat="1" applyFont="1" applyBorder="1" applyAlignment="1">
      <alignment horizontal="center" vertical="center"/>
    </xf>
    <xf numFmtId="181" fontId="3" fillId="0" borderId="29" xfId="0" applyNumberFormat="1" applyFont="1" applyBorder="1" applyAlignment="1">
      <alignment horizontal="center" vertical="center"/>
    </xf>
    <xf numFmtId="181" fontId="3" fillId="0" borderId="19" xfId="0" applyNumberFormat="1" applyFont="1" applyBorder="1" applyAlignment="1">
      <alignment horizontal="center" vertical="center"/>
    </xf>
    <xf numFmtId="0" fontId="3" fillId="0" borderId="10" xfId="0" applyFont="1" applyBorder="1" applyAlignment="1">
      <alignment horizontal="right" vertical="center"/>
    </xf>
    <xf numFmtId="0" fontId="3" fillId="0" borderId="12" xfId="0" applyFont="1" applyBorder="1" applyAlignment="1">
      <alignment horizontal="right" vertical="center"/>
    </xf>
    <xf numFmtId="0" fontId="3" fillId="0" borderId="19" xfId="0" applyFont="1" applyBorder="1" applyAlignment="1">
      <alignment horizontal="right" vertical="center"/>
    </xf>
    <xf numFmtId="0" fontId="3" fillId="0" borderId="12" xfId="0" applyFont="1" applyBorder="1" applyAlignment="1">
      <alignment horizontal="center" vertical="center"/>
    </xf>
    <xf numFmtId="0" fontId="3" fillId="0" borderId="32" xfId="0" applyFont="1" applyBorder="1" applyAlignment="1">
      <alignment horizontal="center" vertical="center"/>
    </xf>
    <xf numFmtId="0" fontId="3" fillId="0" borderId="29" xfId="0" applyFont="1" applyBorder="1" applyAlignment="1">
      <alignment horizontal="right" vertical="center"/>
    </xf>
    <xf numFmtId="0" fontId="3" fillId="0" borderId="3" xfId="0" applyFont="1" applyFill="1" applyBorder="1" applyAlignment="1">
      <alignment horizontal="center" vertical="center"/>
    </xf>
    <xf numFmtId="10" fontId="0" fillId="0" borderId="0" xfId="0" applyNumberFormat="1" applyBorder="1">
      <alignment vertical="center"/>
    </xf>
    <xf numFmtId="0" fontId="0" fillId="0" borderId="12" xfId="0" applyBorder="1" applyAlignment="1"/>
    <xf numFmtId="10" fontId="0" fillId="0" borderId="18" xfId="0" applyNumberFormat="1" applyBorder="1">
      <alignment vertical="center"/>
    </xf>
    <xf numFmtId="179" fontId="0" fillId="0" borderId="0" xfId="0" applyNumberFormat="1" applyBorder="1">
      <alignment vertical="center"/>
    </xf>
    <xf numFmtId="0" fontId="0" fillId="0" borderId="0" xfId="0" applyBorder="1" applyAlignment="1">
      <alignment horizontal="center" vertical="center"/>
    </xf>
    <xf numFmtId="179" fontId="0" fillId="0" borderId="11" xfId="0" applyNumberFormat="1" applyBorder="1">
      <alignment vertical="center"/>
    </xf>
    <xf numFmtId="179" fontId="0" fillId="0" borderId="17" xfId="0" applyNumberFormat="1" applyBorder="1">
      <alignment vertical="center"/>
    </xf>
    <xf numFmtId="0" fontId="3" fillId="0" borderId="32" xfId="0" applyFont="1" applyBorder="1" applyAlignment="1">
      <alignment horizontal="right" vertical="center"/>
    </xf>
    <xf numFmtId="180" fontId="0" fillId="0" borderId="9" xfId="0" applyNumberFormat="1" applyBorder="1" applyAlignment="1">
      <alignment horizontal="right" vertical="center"/>
    </xf>
    <xf numFmtId="180" fontId="0" fillId="0" borderId="0" xfId="0" applyNumberFormat="1" applyBorder="1" applyAlignment="1">
      <alignment horizontal="right" vertical="center"/>
    </xf>
    <xf numFmtId="179" fontId="0" fillId="0" borderId="18" xfId="0" applyNumberFormat="1" applyBorder="1" applyAlignment="1">
      <alignment horizontal="right" vertical="center"/>
    </xf>
    <xf numFmtId="180" fontId="0" fillId="0" borderId="18" xfId="0" applyNumberFormat="1" applyBorder="1" applyAlignment="1">
      <alignment horizontal="right" vertical="center"/>
    </xf>
    <xf numFmtId="180" fontId="0" fillId="0" borderId="19" xfId="0" applyNumberFormat="1" applyBorder="1" applyAlignment="1">
      <alignment horizontal="right" vertical="center"/>
    </xf>
    <xf numFmtId="180" fontId="0" fillId="0" borderId="28" xfId="0" applyNumberFormat="1" applyBorder="1" applyAlignment="1">
      <alignment horizontal="right" vertical="center"/>
    </xf>
    <xf numFmtId="179" fontId="0" fillId="0" borderId="35" xfId="0" applyNumberFormat="1" applyBorder="1" applyAlignment="1">
      <alignment horizontal="right" vertical="center"/>
    </xf>
    <xf numFmtId="10" fontId="0" fillId="0" borderId="33" xfId="0" applyNumberFormat="1" applyBorder="1" applyAlignment="1">
      <alignment horizontal="center" vertical="center"/>
    </xf>
    <xf numFmtId="180" fontId="0" fillId="0" borderId="32" xfId="0" applyNumberFormat="1" applyBorder="1" applyAlignment="1">
      <alignment horizontal="right" vertical="center"/>
    </xf>
    <xf numFmtId="179" fontId="0" fillId="0" borderId="33" xfId="0" applyNumberFormat="1" applyBorder="1" applyAlignment="1">
      <alignment horizontal="right" vertical="center"/>
    </xf>
    <xf numFmtId="180" fontId="0" fillId="0" borderId="33" xfId="0" applyNumberForma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0" xfId="0" applyFont="1">
      <alignment vertical="center"/>
    </xf>
    <xf numFmtId="0" fontId="3" fillId="0" borderId="11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25" xfId="0" applyFont="1" applyBorder="1">
      <alignment vertical="center"/>
    </xf>
    <xf numFmtId="179" fontId="3" fillId="0" borderId="8" xfId="0" applyNumberFormat="1" applyFont="1" applyBorder="1" applyAlignment="1">
      <alignment horizontal="right" vertical="center"/>
    </xf>
    <xf numFmtId="0" fontId="7" fillId="0" borderId="24" xfId="0" applyFont="1" applyBorder="1">
      <alignment vertical="center"/>
    </xf>
    <xf numFmtId="179" fontId="3" fillId="0" borderId="11" xfId="0" applyNumberFormat="1" applyFont="1" applyBorder="1" applyAlignment="1">
      <alignment horizontal="right" vertical="center"/>
    </xf>
    <xf numFmtId="0" fontId="7" fillId="0" borderId="26" xfId="0" applyFont="1" applyBorder="1">
      <alignment vertical="center"/>
    </xf>
    <xf numFmtId="179" fontId="3" fillId="0" borderId="27" xfId="0" applyNumberFormat="1" applyFont="1" applyBorder="1" applyAlignment="1">
      <alignment horizontal="right" vertical="center"/>
    </xf>
    <xf numFmtId="179" fontId="3" fillId="0" borderId="35" xfId="0" applyNumberFormat="1" applyFont="1" applyBorder="1" applyAlignment="1">
      <alignment horizontal="right" vertical="center"/>
    </xf>
    <xf numFmtId="0" fontId="7" fillId="0" borderId="30" xfId="0" applyFont="1" applyBorder="1">
      <alignment vertical="center"/>
    </xf>
    <xf numFmtId="179" fontId="3" fillId="0" borderId="17" xfId="0" applyNumberFormat="1" applyFont="1" applyBorder="1" applyAlignment="1">
      <alignment horizontal="right" vertical="center"/>
    </xf>
    <xf numFmtId="0" fontId="3" fillId="0" borderId="31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180" fontId="3" fillId="0" borderId="25" xfId="0" applyNumberFormat="1" applyFont="1" applyBorder="1" applyAlignment="1">
      <alignment horizontal="right" vertical="center"/>
    </xf>
    <xf numFmtId="180" fontId="3" fillId="0" borderId="24" xfId="0" applyNumberFormat="1" applyFont="1" applyBorder="1" applyAlignment="1">
      <alignment horizontal="right" vertical="center"/>
    </xf>
    <xf numFmtId="180" fontId="3" fillId="0" borderId="30" xfId="0" applyNumberFormat="1" applyFont="1" applyBorder="1" applyAlignment="1">
      <alignment horizontal="right" vertical="center"/>
    </xf>
    <xf numFmtId="180" fontId="3" fillId="0" borderId="12" xfId="0" applyNumberFormat="1" applyFont="1" applyBorder="1" applyAlignment="1">
      <alignment horizontal="right" vertical="center"/>
    </xf>
    <xf numFmtId="180" fontId="3" fillId="0" borderId="19" xfId="0" applyNumberFormat="1" applyFont="1" applyBorder="1" applyAlignment="1">
      <alignment horizontal="right" vertical="center"/>
    </xf>
    <xf numFmtId="180" fontId="3" fillId="0" borderId="11" xfId="0" applyNumberFormat="1" applyFont="1" applyBorder="1" applyAlignment="1">
      <alignment horizontal="right" vertical="center"/>
    </xf>
    <xf numFmtId="180" fontId="3" fillId="0" borderId="17" xfId="0" applyNumberFormat="1" applyFont="1" applyBorder="1" applyAlignment="1">
      <alignment horizontal="right" vertical="center"/>
    </xf>
    <xf numFmtId="180" fontId="3" fillId="0" borderId="10" xfId="0" applyNumberFormat="1" applyFont="1" applyBorder="1" applyAlignment="1">
      <alignment horizontal="right" vertical="center"/>
    </xf>
    <xf numFmtId="180" fontId="3" fillId="0" borderId="8" xfId="0" applyNumberFormat="1" applyFont="1" applyBorder="1" applyAlignment="1">
      <alignment horizontal="right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6" fillId="0" borderId="8" xfId="1" applyFont="1" applyBorder="1" applyAlignment="1">
      <alignment horizontal="center" vertical="center" wrapText="1"/>
    </xf>
    <xf numFmtId="0" fontId="6" fillId="0" borderId="9" xfId="1" applyFont="1" applyBorder="1" applyAlignment="1">
      <alignment horizontal="center" vertical="center" wrapText="1"/>
    </xf>
    <xf numFmtId="0" fontId="6" fillId="0" borderId="10" xfId="1" applyFont="1" applyBorder="1" applyAlignment="1">
      <alignment horizontal="center" vertical="center" wrapText="1"/>
    </xf>
    <xf numFmtId="0" fontId="6" fillId="0" borderId="11" xfId="1" applyFont="1" applyBorder="1" applyAlignment="1">
      <alignment horizontal="center" vertical="center" wrapText="1"/>
    </xf>
    <xf numFmtId="0" fontId="6" fillId="0" borderId="0" xfId="1" applyFont="1" applyBorder="1" applyAlignment="1">
      <alignment horizontal="center" vertical="center" wrapText="1"/>
    </xf>
    <xf numFmtId="0" fontId="6" fillId="0" borderId="12" xfId="1" applyFont="1" applyBorder="1" applyAlignment="1">
      <alignment horizontal="center" vertical="center" wrapText="1"/>
    </xf>
    <xf numFmtId="0" fontId="6" fillId="0" borderId="17" xfId="1" applyFont="1" applyBorder="1" applyAlignment="1">
      <alignment horizontal="center" vertical="center" wrapText="1"/>
    </xf>
    <xf numFmtId="0" fontId="6" fillId="0" borderId="18" xfId="1" applyFont="1" applyBorder="1" applyAlignment="1">
      <alignment horizontal="center" vertical="center" wrapText="1"/>
    </xf>
    <xf numFmtId="0" fontId="6" fillId="0" borderId="19" xfId="1" applyFont="1" applyBorder="1" applyAlignment="1">
      <alignment horizontal="center" vertical="center" wrapText="1"/>
    </xf>
    <xf numFmtId="180" fontId="0" fillId="0" borderId="1" xfId="0" applyNumberFormat="1" applyBorder="1" applyAlignment="1">
      <alignment horizontal="center" vertical="center"/>
    </xf>
    <xf numFmtId="180" fontId="0" fillId="0" borderId="3" xfId="0" applyNumberFormat="1" applyBorder="1" applyAlignment="1">
      <alignment horizontal="center" vertical="center"/>
    </xf>
    <xf numFmtId="0" fontId="6" fillId="0" borderId="31" xfId="1" applyFont="1" applyBorder="1" applyAlignment="1">
      <alignment horizontal="center" vertical="center" wrapText="1"/>
    </xf>
    <xf numFmtId="0" fontId="6" fillId="0" borderId="8" xfId="1" applyFont="1" applyBorder="1" applyAlignment="1">
      <alignment horizontal="center" vertical="center"/>
    </xf>
    <xf numFmtId="0" fontId="6" fillId="0" borderId="9" xfId="1" applyFont="1" applyBorder="1" applyAlignment="1">
      <alignment horizontal="center" vertical="center"/>
    </xf>
    <xf numFmtId="0" fontId="6" fillId="0" borderId="10" xfId="1" applyFont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  <xf numFmtId="0" fontId="6" fillId="0" borderId="0" xfId="1" applyFont="1" applyBorder="1" applyAlignment="1">
      <alignment horizontal="center" vertical="center"/>
    </xf>
    <xf numFmtId="0" fontId="6" fillId="0" borderId="12" xfId="1" applyFont="1" applyBorder="1" applyAlignment="1">
      <alignment horizontal="center" vertical="center"/>
    </xf>
    <xf numFmtId="0" fontId="6" fillId="0" borderId="17" xfId="1" applyFont="1" applyBorder="1" applyAlignment="1">
      <alignment horizontal="center" vertical="center"/>
    </xf>
    <xf numFmtId="0" fontId="6" fillId="0" borderId="18" xfId="1" applyFont="1" applyBorder="1" applyAlignment="1">
      <alignment horizontal="center" vertical="center"/>
    </xf>
    <xf numFmtId="0" fontId="6" fillId="0" borderId="19" xfId="1" applyFont="1" applyBorder="1" applyAlignment="1">
      <alignment horizontal="center" vertical="center"/>
    </xf>
    <xf numFmtId="0" fontId="6" fillId="0" borderId="31" xfId="1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179" fontId="3" fillId="0" borderId="1" xfId="0" applyNumberFormat="1" applyFont="1" applyBorder="1" applyAlignment="1">
      <alignment horizontal="center" vertical="center"/>
    </xf>
    <xf numFmtId="179" fontId="3" fillId="0" borderId="2" xfId="0" applyNumberFormat="1" applyFont="1" applyBorder="1" applyAlignment="1">
      <alignment horizontal="center" vertical="center"/>
    </xf>
    <xf numFmtId="179" fontId="3" fillId="0" borderId="3" xfId="0" applyNumberFormat="1" applyFont="1" applyBorder="1" applyAlignment="1">
      <alignment horizontal="center" vertical="center"/>
    </xf>
    <xf numFmtId="10" fontId="3" fillId="0" borderId="1" xfId="0" applyNumberFormat="1" applyFont="1" applyBorder="1" applyAlignment="1">
      <alignment horizontal="center" vertical="center"/>
    </xf>
    <xf numFmtId="10" fontId="3" fillId="0" borderId="2" xfId="0" applyNumberFormat="1" applyFont="1" applyBorder="1" applyAlignment="1">
      <alignment horizontal="center" vertical="center"/>
    </xf>
    <xf numFmtId="10" fontId="3" fillId="0" borderId="3" xfId="0" applyNumberFormat="1" applyFont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20" fontId="0" fillId="0" borderId="1" xfId="0" applyNumberFormat="1" applyBorder="1" applyAlignment="1">
      <alignment horizontal="center" vertical="center"/>
    </xf>
    <xf numFmtId="20" fontId="0" fillId="0" borderId="3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20" fontId="0" fillId="0" borderId="17" xfId="0" applyNumberFormat="1" applyBorder="1" applyAlignment="1">
      <alignment horizontal="center" vertical="center"/>
    </xf>
    <xf numFmtId="20" fontId="0" fillId="0" borderId="18" xfId="0" applyNumberFormat="1" applyBorder="1" applyAlignment="1">
      <alignment horizontal="center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14" xfId="0" applyBorder="1" applyAlignment="1">
      <alignment horizontal="left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3" fillId="0" borderId="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0" fillId="0" borderId="7" xfId="0" applyBorder="1" applyAlignment="1">
      <alignment horizontal="left" vertical="center"/>
    </xf>
    <xf numFmtId="0" fontId="3" fillId="0" borderId="24" xfId="0" applyFont="1" applyBorder="1" applyAlignment="1">
      <alignment horizontal="center" vertical="center"/>
    </xf>
    <xf numFmtId="20" fontId="3" fillId="0" borderId="17" xfId="0" applyNumberFormat="1" applyFont="1" applyBorder="1" applyAlignment="1">
      <alignment horizontal="center" vertical="center"/>
    </xf>
    <xf numFmtId="20" fontId="3" fillId="0" borderId="18" xfId="0" applyNumberFormat="1" applyFont="1" applyBorder="1" applyAlignment="1">
      <alignment horizontal="center" vertical="center"/>
    </xf>
    <xf numFmtId="20" fontId="3" fillId="0" borderId="1" xfId="0" applyNumberFormat="1" applyFont="1" applyBorder="1" applyAlignment="1">
      <alignment horizontal="center" vertical="center"/>
    </xf>
    <xf numFmtId="20" fontId="3" fillId="0" borderId="3" xfId="0" applyNumberFormat="1" applyFont="1" applyBorder="1" applyAlignment="1">
      <alignment horizontal="center" vertical="center"/>
    </xf>
    <xf numFmtId="180" fontId="3" fillId="0" borderId="1" xfId="0" applyNumberFormat="1" applyFont="1" applyBorder="1" applyAlignment="1">
      <alignment horizontal="center" vertical="center"/>
    </xf>
    <xf numFmtId="180" fontId="3" fillId="0" borderId="3" xfId="0" applyNumberFormat="1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30" xfId="0" applyFont="1" applyBorder="1" applyAlignment="1">
      <alignment horizontal="center" vertical="center"/>
    </xf>
    <xf numFmtId="10" fontId="3" fillId="0" borderId="11" xfId="0" applyNumberFormat="1" applyFont="1" applyBorder="1" applyAlignment="1">
      <alignment horizontal="center" vertical="center"/>
    </xf>
    <xf numFmtId="10" fontId="3" fillId="0" borderId="17" xfId="0" applyNumberFormat="1" applyFont="1" applyBorder="1" applyAlignment="1">
      <alignment horizontal="center" vertical="center"/>
    </xf>
    <xf numFmtId="179" fontId="3" fillId="0" borderId="0" xfId="0" applyNumberFormat="1" applyFont="1" applyAlignment="1">
      <alignment horizontal="center" vertical="center"/>
    </xf>
    <xf numFmtId="179" fontId="3" fillId="0" borderId="12" xfId="0" applyNumberFormat="1" applyFont="1" applyBorder="1" applyAlignment="1">
      <alignment horizontal="center" vertical="center"/>
    </xf>
    <xf numFmtId="179" fontId="3" fillId="0" borderId="18" xfId="0" applyNumberFormat="1" applyFont="1" applyBorder="1" applyAlignment="1">
      <alignment horizontal="center" vertical="center"/>
    </xf>
    <xf numFmtId="179" fontId="3" fillId="0" borderId="19" xfId="0" applyNumberFormat="1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182" fontId="3" fillId="0" borderId="1" xfId="0" applyNumberFormat="1" applyFont="1" applyBorder="1" applyAlignment="1">
      <alignment horizontal="center" vertical="center"/>
    </xf>
    <xf numFmtId="182" fontId="3" fillId="0" borderId="2" xfId="0" applyNumberFormat="1" applyFont="1" applyBorder="1" applyAlignment="1">
      <alignment horizontal="center" vertical="center"/>
    </xf>
    <xf numFmtId="182" fontId="3" fillId="0" borderId="3" xfId="0" applyNumberFormat="1" applyFont="1" applyBorder="1" applyAlignment="1">
      <alignment horizontal="center" vertical="center"/>
    </xf>
    <xf numFmtId="14" fontId="3" fillId="0" borderId="25" xfId="0" applyNumberFormat="1" applyFont="1" applyBorder="1" applyAlignment="1">
      <alignment horizontal="center" vertical="center"/>
    </xf>
    <xf numFmtId="14" fontId="3" fillId="0" borderId="30" xfId="0" applyNumberFormat="1" applyFont="1" applyBorder="1" applyAlignment="1">
      <alignment horizontal="center" vertical="center"/>
    </xf>
    <xf numFmtId="0" fontId="8" fillId="0" borderId="25" xfId="0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7" fillId="0" borderId="25" xfId="0" applyFont="1" applyBorder="1">
      <alignment vertical="center"/>
    </xf>
    <xf numFmtId="0" fontId="7" fillId="0" borderId="24" xfId="0" applyFont="1" applyBorder="1">
      <alignment vertical="center"/>
    </xf>
    <xf numFmtId="0" fontId="7" fillId="0" borderId="26" xfId="0" applyFont="1" applyBorder="1">
      <alignment vertical="center"/>
    </xf>
  </cellXfs>
  <cellStyles count="2">
    <cellStyle name="표준" xfId="0" builtinId="0"/>
    <cellStyle name="하이퍼링크" xfId="1" builtinId="8"/>
  </cellStyles>
  <dxfs count="786"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</font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1"/>
      </font>
      <fill>
        <patternFill>
          <bgColor theme="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0070C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ctrlProps/ctrlProp433.xml><?xml version="1.0" encoding="utf-8"?>
<formControlPr xmlns="http://schemas.microsoft.com/office/spreadsheetml/2009/9/main" objectType="Button" lockText="1"/>
</file>

<file path=xl/ctrlProps/ctrlProp434.xml><?xml version="1.0" encoding="utf-8"?>
<formControlPr xmlns="http://schemas.microsoft.com/office/spreadsheetml/2009/9/main" objectType="Button" lockText="1"/>
</file>

<file path=xl/ctrlProps/ctrlProp435.xml><?xml version="1.0" encoding="utf-8"?>
<formControlPr xmlns="http://schemas.microsoft.com/office/spreadsheetml/2009/9/main" objectType="Button" lockText="1"/>
</file>

<file path=xl/ctrlProps/ctrlProp436.xml><?xml version="1.0" encoding="utf-8"?>
<formControlPr xmlns="http://schemas.microsoft.com/office/spreadsheetml/2009/9/main" objectType="Button" lockText="1"/>
</file>

<file path=xl/ctrlProps/ctrlProp437.xml><?xml version="1.0" encoding="utf-8"?>
<formControlPr xmlns="http://schemas.microsoft.com/office/spreadsheetml/2009/9/main" objectType="Button" lockText="1"/>
</file>

<file path=xl/ctrlProps/ctrlProp438.xml><?xml version="1.0" encoding="utf-8"?>
<formControlPr xmlns="http://schemas.microsoft.com/office/spreadsheetml/2009/9/main" objectType="Button" lockText="1"/>
</file>

<file path=xl/ctrlProps/ctrlProp439.xml><?xml version="1.0" encoding="utf-8"?>
<formControlPr xmlns="http://schemas.microsoft.com/office/spreadsheetml/2009/9/main" objectType="Button" lockText="1"/>
</file>

<file path=xl/ctrlProps/ctrlProp440.xml><?xml version="1.0" encoding="utf-8"?>
<formControlPr xmlns="http://schemas.microsoft.com/office/spreadsheetml/2009/9/main" objectType="Button" lockText="1"/>
</file>

<file path=xl/ctrlProps/ctrlProp441.xml><?xml version="1.0" encoding="utf-8"?>
<formControlPr xmlns="http://schemas.microsoft.com/office/spreadsheetml/2009/9/main" objectType="Button" lockText="1"/>
</file>

<file path=xl/ctrlProps/ctrlProp442.xml><?xml version="1.0" encoding="utf-8"?>
<formControlPr xmlns="http://schemas.microsoft.com/office/spreadsheetml/2009/9/main" objectType="Button" lockText="1"/>
</file>

<file path=xl/ctrlProps/ctrlProp443.xml><?xml version="1.0" encoding="utf-8"?>
<formControlPr xmlns="http://schemas.microsoft.com/office/spreadsheetml/2009/9/main" objectType="Button" lockText="1"/>
</file>

<file path=xl/ctrlProps/ctrlProp444.xml><?xml version="1.0" encoding="utf-8"?>
<formControlPr xmlns="http://schemas.microsoft.com/office/spreadsheetml/2009/9/main" objectType="Button" lockText="1"/>
</file>

<file path=xl/ctrlProps/ctrlProp445.xml><?xml version="1.0" encoding="utf-8"?>
<formControlPr xmlns="http://schemas.microsoft.com/office/spreadsheetml/2009/9/main" objectType="Button" lockText="1"/>
</file>

<file path=xl/ctrlProps/ctrlProp446.xml><?xml version="1.0" encoding="utf-8"?>
<formControlPr xmlns="http://schemas.microsoft.com/office/spreadsheetml/2009/9/main" objectType="Button" lockText="1"/>
</file>

<file path=xl/ctrlProps/ctrlProp447.xml><?xml version="1.0" encoding="utf-8"?>
<formControlPr xmlns="http://schemas.microsoft.com/office/spreadsheetml/2009/9/main" objectType="Button" lockText="1"/>
</file>

<file path=xl/ctrlProps/ctrlProp448.xml><?xml version="1.0" encoding="utf-8"?>
<formControlPr xmlns="http://schemas.microsoft.com/office/spreadsheetml/2009/9/main" objectType="Button" lockText="1"/>
</file>

<file path=xl/ctrlProps/ctrlProp449.xml><?xml version="1.0" encoding="utf-8"?>
<formControlPr xmlns="http://schemas.microsoft.com/office/spreadsheetml/2009/9/main" objectType="Button" lockText="1"/>
</file>

<file path=xl/ctrlProps/ctrlProp450.xml><?xml version="1.0" encoding="utf-8"?>
<formControlPr xmlns="http://schemas.microsoft.com/office/spreadsheetml/2009/9/main" objectType="Button" lockText="1"/>
</file>

<file path=xl/ctrlProps/ctrlProp451.xml><?xml version="1.0" encoding="utf-8"?>
<formControlPr xmlns="http://schemas.microsoft.com/office/spreadsheetml/2009/9/main" objectType="Button" lockText="1"/>
</file>

<file path=xl/ctrlProps/ctrlProp452.xml><?xml version="1.0" encoding="utf-8"?>
<formControlPr xmlns="http://schemas.microsoft.com/office/spreadsheetml/2009/9/main" objectType="Button" lockText="1"/>
</file>

<file path=xl/ctrlProps/ctrlProp453.xml><?xml version="1.0" encoding="utf-8"?>
<formControlPr xmlns="http://schemas.microsoft.com/office/spreadsheetml/2009/9/main" objectType="Button" lockText="1"/>
</file>

<file path=xl/ctrlProps/ctrlProp454.xml><?xml version="1.0" encoding="utf-8"?>
<formControlPr xmlns="http://schemas.microsoft.com/office/spreadsheetml/2009/9/main" objectType="Button" lockText="1"/>
</file>

<file path=xl/ctrlProps/ctrlProp455.xml><?xml version="1.0" encoding="utf-8"?>
<formControlPr xmlns="http://schemas.microsoft.com/office/spreadsheetml/2009/9/main" objectType="Button" lockText="1"/>
</file>

<file path=xl/ctrlProps/ctrlProp456.xml><?xml version="1.0" encoding="utf-8"?>
<formControlPr xmlns="http://schemas.microsoft.com/office/spreadsheetml/2009/9/main" objectType="Button" lockText="1"/>
</file>

<file path=xl/ctrlProps/ctrlProp457.xml><?xml version="1.0" encoding="utf-8"?>
<formControlPr xmlns="http://schemas.microsoft.com/office/spreadsheetml/2009/9/main" objectType="Button" lockText="1"/>
</file>

<file path=xl/ctrlProps/ctrlProp458.xml><?xml version="1.0" encoding="utf-8"?>
<formControlPr xmlns="http://schemas.microsoft.com/office/spreadsheetml/2009/9/main" objectType="Button" lockText="1"/>
</file>

<file path=xl/ctrlProps/ctrlProp459.xml><?xml version="1.0" encoding="utf-8"?>
<formControlPr xmlns="http://schemas.microsoft.com/office/spreadsheetml/2009/9/main" objectType="Button" lockText="1"/>
</file>

<file path=xl/ctrlProps/ctrlProp460.xml><?xml version="1.0" encoding="utf-8"?>
<formControlPr xmlns="http://schemas.microsoft.com/office/spreadsheetml/2009/9/main" objectType="Button" lockText="1"/>
</file>

<file path=xl/ctrlProps/ctrlProp461.xml><?xml version="1.0" encoding="utf-8"?>
<formControlPr xmlns="http://schemas.microsoft.com/office/spreadsheetml/2009/9/main" objectType="Button" lockText="1"/>
</file>

<file path=xl/ctrlProps/ctrlProp462.xml><?xml version="1.0" encoding="utf-8"?>
<formControlPr xmlns="http://schemas.microsoft.com/office/spreadsheetml/2009/9/main" objectType="Button" lockText="1"/>
</file>

<file path=xl/ctrlProps/ctrlProp463.xml><?xml version="1.0" encoding="utf-8"?>
<formControlPr xmlns="http://schemas.microsoft.com/office/spreadsheetml/2009/9/main" objectType="Button" lockText="1"/>
</file>

<file path=xl/ctrlProps/ctrlProp464.xml><?xml version="1.0" encoding="utf-8"?>
<formControlPr xmlns="http://schemas.microsoft.com/office/spreadsheetml/2009/9/main" objectType="Button" lockText="1"/>
</file>

<file path=xl/ctrlProps/ctrlProp465.xml><?xml version="1.0" encoding="utf-8"?>
<formControlPr xmlns="http://schemas.microsoft.com/office/spreadsheetml/2009/9/main" objectType="Button" lockText="1"/>
</file>

<file path=xl/ctrlProps/ctrlProp466.xml><?xml version="1.0" encoding="utf-8"?>
<formControlPr xmlns="http://schemas.microsoft.com/office/spreadsheetml/2009/9/main" objectType="Button" lockText="1"/>
</file>

<file path=xl/ctrlProps/ctrlProp467.xml><?xml version="1.0" encoding="utf-8"?>
<formControlPr xmlns="http://schemas.microsoft.com/office/spreadsheetml/2009/9/main" objectType="Button" lockText="1"/>
</file>

<file path=xl/ctrlProps/ctrlProp468.xml><?xml version="1.0" encoding="utf-8"?>
<formControlPr xmlns="http://schemas.microsoft.com/office/spreadsheetml/2009/9/main" objectType="Button" lockText="1"/>
</file>

<file path=xl/ctrlProps/ctrlProp469.xml><?xml version="1.0" encoding="utf-8"?>
<formControlPr xmlns="http://schemas.microsoft.com/office/spreadsheetml/2009/9/main" objectType="Button" lockText="1"/>
</file>

<file path=xl/ctrlProps/ctrlProp470.xml><?xml version="1.0" encoding="utf-8"?>
<formControlPr xmlns="http://schemas.microsoft.com/office/spreadsheetml/2009/9/main" objectType="Button" lockText="1"/>
</file>

<file path=xl/ctrlProps/ctrlProp471.xml><?xml version="1.0" encoding="utf-8"?>
<formControlPr xmlns="http://schemas.microsoft.com/office/spreadsheetml/2009/9/main" objectType="Button" lockText="1"/>
</file>

<file path=xl/ctrlProps/ctrlProp472.xml><?xml version="1.0" encoding="utf-8"?>
<formControlPr xmlns="http://schemas.microsoft.com/office/spreadsheetml/2009/9/main" objectType="Button" lockText="1"/>
</file>

<file path=xl/ctrlProps/ctrlProp473.xml><?xml version="1.0" encoding="utf-8"?>
<formControlPr xmlns="http://schemas.microsoft.com/office/spreadsheetml/2009/9/main" objectType="Button" lockText="1"/>
</file>

<file path=xl/ctrlProps/ctrlProp474.xml><?xml version="1.0" encoding="utf-8"?>
<formControlPr xmlns="http://schemas.microsoft.com/office/spreadsheetml/2009/9/main" objectType="Button" lockText="1"/>
</file>

<file path=xl/ctrlProps/ctrlProp475.xml><?xml version="1.0" encoding="utf-8"?>
<formControlPr xmlns="http://schemas.microsoft.com/office/spreadsheetml/2009/9/main" objectType="Button" lockText="1"/>
</file>

<file path=xl/ctrlProps/ctrlProp476.xml><?xml version="1.0" encoding="utf-8"?>
<formControlPr xmlns="http://schemas.microsoft.com/office/spreadsheetml/2009/9/main" objectType="Button" lockText="1"/>
</file>

<file path=xl/ctrlProps/ctrlProp477.xml><?xml version="1.0" encoding="utf-8"?>
<formControlPr xmlns="http://schemas.microsoft.com/office/spreadsheetml/2009/9/main" objectType="Button" lockText="1"/>
</file>

<file path=xl/ctrlProps/ctrlProp478.xml><?xml version="1.0" encoding="utf-8"?>
<formControlPr xmlns="http://schemas.microsoft.com/office/spreadsheetml/2009/9/main" objectType="Button" lockText="1"/>
</file>

<file path=xl/ctrlProps/ctrlProp479.xml><?xml version="1.0" encoding="utf-8"?>
<formControlPr xmlns="http://schemas.microsoft.com/office/spreadsheetml/2009/9/main" objectType="Button" lockText="1"/>
</file>

<file path=xl/ctrlProps/ctrlProp480.xml><?xml version="1.0" encoding="utf-8"?>
<formControlPr xmlns="http://schemas.microsoft.com/office/spreadsheetml/2009/9/main" objectType="Button" lockText="1"/>
</file>

<file path=xl/ctrlProps/ctrlProp481.xml><?xml version="1.0" encoding="utf-8"?>
<formControlPr xmlns="http://schemas.microsoft.com/office/spreadsheetml/2009/9/main" objectType="Button" lockText="1"/>
</file>

<file path=xl/ctrlProps/ctrlProp482.xml><?xml version="1.0" encoding="utf-8"?>
<formControlPr xmlns="http://schemas.microsoft.com/office/spreadsheetml/2009/9/main" objectType="Button" lockText="1"/>
</file>

<file path=xl/ctrlProps/ctrlProp483.xml><?xml version="1.0" encoding="utf-8"?>
<formControlPr xmlns="http://schemas.microsoft.com/office/spreadsheetml/2009/9/main" objectType="Button" lockText="1"/>
</file>

<file path=xl/ctrlProps/ctrlProp484.xml><?xml version="1.0" encoding="utf-8"?>
<formControlPr xmlns="http://schemas.microsoft.com/office/spreadsheetml/2009/9/main" objectType="Button" lockText="1"/>
</file>

<file path=xl/ctrlProps/ctrlProp485.xml><?xml version="1.0" encoding="utf-8"?>
<formControlPr xmlns="http://schemas.microsoft.com/office/spreadsheetml/2009/9/main" objectType="Button" lockText="1"/>
</file>

<file path=xl/ctrlProps/ctrlProp486.xml><?xml version="1.0" encoding="utf-8"?>
<formControlPr xmlns="http://schemas.microsoft.com/office/spreadsheetml/2009/9/main" objectType="Button" lockText="1"/>
</file>

<file path=xl/ctrlProps/ctrlProp487.xml><?xml version="1.0" encoding="utf-8"?>
<formControlPr xmlns="http://schemas.microsoft.com/office/spreadsheetml/2009/9/main" objectType="Button" lockText="1"/>
</file>

<file path=xl/ctrlProps/ctrlProp488.xml><?xml version="1.0" encoding="utf-8"?>
<formControlPr xmlns="http://schemas.microsoft.com/office/spreadsheetml/2009/9/main" objectType="Button" lockText="1"/>
</file>

<file path=xl/ctrlProps/ctrlProp489.xml><?xml version="1.0" encoding="utf-8"?>
<formControlPr xmlns="http://schemas.microsoft.com/office/spreadsheetml/2009/9/main" objectType="Button" lockText="1"/>
</file>

<file path=xl/ctrlProps/ctrlProp490.xml><?xml version="1.0" encoding="utf-8"?>
<formControlPr xmlns="http://schemas.microsoft.com/office/spreadsheetml/2009/9/main" objectType="Button" lockText="1"/>
</file>

<file path=xl/ctrlProps/ctrlProp491.xml><?xml version="1.0" encoding="utf-8"?>
<formControlPr xmlns="http://schemas.microsoft.com/office/spreadsheetml/2009/9/main" objectType="Button" lockText="1"/>
</file>

<file path=xl/ctrlProps/ctrlProp492.xml><?xml version="1.0" encoding="utf-8"?>
<formControlPr xmlns="http://schemas.microsoft.com/office/spreadsheetml/2009/9/main" objectType="Button" lockText="1"/>
</file>

<file path=xl/ctrlProps/ctrlProp493.xml><?xml version="1.0" encoding="utf-8"?>
<formControlPr xmlns="http://schemas.microsoft.com/office/spreadsheetml/2009/9/main" objectType="Button" lockText="1"/>
</file>

<file path=xl/ctrlProps/ctrlProp494.xml><?xml version="1.0" encoding="utf-8"?>
<formControlPr xmlns="http://schemas.microsoft.com/office/spreadsheetml/2009/9/main" objectType="Button" lockText="1"/>
</file>

<file path=xl/ctrlProps/ctrlProp495.xml><?xml version="1.0" encoding="utf-8"?>
<formControlPr xmlns="http://schemas.microsoft.com/office/spreadsheetml/2009/9/main" objectType="Button" lockText="1"/>
</file>

<file path=xl/ctrlProps/ctrlProp496.xml><?xml version="1.0" encoding="utf-8"?>
<formControlPr xmlns="http://schemas.microsoft.com/office/spreadsheetml/2009/9/main" objectType="Button" lockText="1"/>
</file>

<file path=xl/ctrlProps/ctrlProp497.xml><?xml version="1.0" encoding="utf-8"?>
<formControlPr xmlns="http://schemas.microsoft.com/office/spreadsheetml/2009/9/main" objectType="Button" lockText="1"/>
</file>

<file path=xl/ctrlProps/ctrlProp498.xml><?xml version="1.0" encoding="utf-8"?>
<formControlPr xmlns="http://schemas.microsoft.com/office/spreadsheetml/2009/9/main" objectType="Button" lockText="1"/>
</file>

<file path=xl/ctrlProps/ctrlProp499.xml><?xml version="1.0" encoding="utf-8"?>
<formControlPr xmlns="http://schemas.microsoft.com/office/spreadsheetml/2009/9/main" objectType="Button" lockText="1"/>
</file>

<file path=xl/ctrlProps/ctrlProp500.xml><?xml version="1.0" encoding="utf-8"?>
<formControlPr xmlns="http://schemas.microsoft.com/office/spreadsheetml/2009/9/main" objectType="Button" lockText="1"/>
</file>

<file path=xl/ctrlProps/ctrlProp501.xml><?xml version="1.0" encoding="utf-8"?>
<formControlPr xmlns="http://schemas.microsoft.com/office/spreadsheetml/2009/9/main" objectType="Button" lockText="1"/>
</file>

<file path=xl/ctrlProps/ctrlProp502.xml><?xml version="1.0" encoding="utf-8"?>
<formControlPr xmlns="http://schemas.microsoft.com/office/spreadsheetml/2009/9/main" objectType="Button" lockText="1"/>
</file>

<file path=xl/ctrlProps/ctrlProp503.xml><?xml version="1.0" encoding="utf-8"?>
<formControlPr xmlns="http://schemas.microsoft.com/office/spreadsheetml/2009/9/main" objectType="Button" lockText="1"/>
</file>

<file path=xl/ctrlProps/ctrlProp504.xml><?xml version="1.0" encoding="utf-8"?>
<formControlPr xmlns="http://schemas.microsoft.com/office/spreadsheetml/2009/9/main" objectType="Button" lockText="1"/>
</file>

<file path=xl/ctrlProps/ctrlProp505.xml><?xml version="1.0" encoding="utf-8"?>
<formControlPr xmlns="http://schemas.microsoft.com/office/spreadsheetml/2009/9/main" objectType="Button" lockText="1"/>
</file>

<file path=xl/ctrlProps/ctrlProp506.xml><?xml version="1.0" encoding="utf-8"?>
<formControlPr xmlns="http://schemas.microsoft.com/office/spreadsheetml/2009/9/main" objectType="Button" lockText="1"/>
</file>

<file path=xl/ctrlProps/ctrlProp507.xml><?xml version="1.0" encoding="utf-8"?>
<formControlPr xmlns="http://schemas.microsoft.com/office/spreadsheetml/2009/9/main" objectType="Button" lockText="1"/>
</file>

<file path=xl/ctrlProps/ctrlProp508.xml><?xml version="1.0" encoding="utf-8"?>
<formControlPr xmlns="http://schemas.microsoft.com/office/spreadsheetml/2009/9/main" objectType="Button" lockText="1"/>
</file>

<file path=xl/ctrlProps/ctrlProp509.xml><?xml version="1.0" encoding="utf-8"?>
<formControlPr xmlns="http://schemas.microsoft.com/office/spreadsheetml/2009/9/main" objectType="Button" lockText="1"/>
</file>

<file path=xl/ctrlProps/ctrlProp510.xml><?xml version="1.0" encoding="utf-8"?>
<formControlPr xmlns="http://schemas.microsoft.com/office/spreadsheetml/2009/9/main" objectType="Button" lockText="1"/>
</file>

<file path=xl/ctrlProps/ctrlProp511.xml><?xml version="1.0" encoding="utf-8"?>
<formControlPr xmlns="http://schemas.microsoft.com/office/spreadsheetml/2009/9/main" objectType="Button" lockText="1"/>
</file>

<file path=xl/ctrlProps/ctrlProp512.xml><?xml version="1.0" encoding="utf-8"?>
<formControlPr xmlns="http://schemas.microsoft.com/office/spreadsheetml/2009/9/main" objectType="Button" lockText="1"/>
</file>

<file path=xl/ctrlProps/ctrlProp513.xml><?xml version="1.0" encoding="utf-8"?>
<formControlPr xmlns="http://schemas.microsoft.com/office/spreadsheetml/2009/9/main" objectType="Button" lockText="1"/>
</file>

<file path=xl/ctrlProps/ctrlProp514.xml><?xml version="1.0" encoding="utf-8"?>
<formControlPr xmlns="http://schemas.microsoft.com/office/spreadsheetml/2009/9/main" objectType="Button" lockText="1"/>
</file>

<file path=xl/ctrlProps/ctrlProp515.xml><?xml version="1.0" encoding="utf-8"?>
<formControlPr xmlns="http://schemas.microsoft.com/office/spreadsheetml/2009/9/main" objectType="Button" lockText="1"/>
</file>

<file path=xl/ctrlProps/ctrlProp516.xml><?xml version="1.0" encoding="utf-8"?>
<formControlPr xmlns="http://schemas.microsoft.com/office/spreadsheetml/2009/9/main" objectType="Button" lockText="1"/>
</file>

<file path=xl/ctrlProps/ctrlProp517.xml><?xml version="1.0" encoding="utf-8"?>
<formControlPr xmlns="http://schemas.microsoft.com/office/spreadsheetml/2009/9/main" objectType="Button" lockText="1"/>
</file>

<file path=xl/ctrlProps/ctrlProp518.xml><?xml version="1.0" encoding="utf-8"?>
<formControlPr xmlns="http://schemas.microsoft.com/office/spreadsheetml/2009/9/main" objectType="Button" lockText="1"/>
</file>

<file path=xl/ctrlProps/ctrlProp519.xml><?xml version="1.0" encoding="utf-8"?>
<formControlPr xmlns="http://schemas.microsoft.com/office/spreadsheetml/2009/9/main" objectType="Button" lockText="1"/>
</file>

<file path=xl/ctrlProps/ctrlProp520.xml><?xml version="1.0" encoding="utf-8"?>
<formControlPr xmlns="http://schemas.microsoft.com/office/spreadsheetml/2009/9/main" objectType="Button" lockText="1"/>
</file>

<file path=xl/ctrlProps/ctrlProp521.xml><?xml version="1.0" encoding="utf-8"?>
<formControlPr xmlns="http://schemas.microsoft.com/office/spreadsheetml/2009/9/main" objectType="Button" lockText="1"/>
</file>

<file path=xl/ctrlProps/ctrlProp522.xml><?xml version="1.0" encoding="utf-8"?>
<formControlPr xmlns="http://schemas.microsoft.com/office/spreadsheetml/2009/9/main" objectType="Button" lockText="1"/>
</file>

<file path=xl/ctrlProps/ctrlProp523.xml><?xml version="1.0" encoding="utf-8"?>
<formControlPr xmlns="http://schemas.microsoft.com/office/spreadsheetml/2009/9/main" objectType="Button" lockText="1"/>
</file>

<file path=xl/ctrlProps/ctrlProp524.xml><?xml version="1.0" encoding="utf-8"?>
<formControlPr xmlns="http://schemas.microsoft.com/office/spreadsheetml/2009/9/main" objectType="Button" lockText="1"/>
</file>

<file path=xl/ctrlProps/ctrlProp52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24577" name="Button 1" hidden="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000-00000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24578" name="Button 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0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0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24580" name="Button 4" hidden="1">
              <a:extLst>
                <a:ext uri="{63B3BB69-23CF-44E3-9099-C40C66FF867C}">
                  <a14:compatExt spid="_x0000_s24580"/>
                </a:ext>
                <a:ext uri="{FF2B5EF4-FFF2-40B4-BE49-F238E27FC236}">
                  <a16:creationId xmlns:a16="http://schemas.microsoft.com/office/drawing/2014/main" id="{00000000-0008-0000-0000-00000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0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24582" name="Button 6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0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24583" name="Button 7" hidden="1">
              <a:extLst>
                <a:ext uri="{63B3BB69-23CF-44E3-9099-C40C66FF867C}">
                  <a14:compatExt spid="_x0000_s24583"/>
                </a:ext>
                <a:ext uri="{FF2B5EF4-FFF2-40B4-BE49-F238E27FC236}">
                  <a16:creationId xmlns:a16="http://schemas.microsoft.com/office/drawing/2014/main" id="{00000000-0008-0000-0000-00000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24584" name="Button 8" hidden="1">
              <a:extLst>
                <a:ext uri="{63B3BB69-23CF-44E3-9099-C40C66FF867C}">
                  <a14:compatExt spid="_x0000_s24584"/>
                </a:ext>
                <a:ext uri="{FF2B5EF4-FFF2-40B4-BE49-F238E27FC236}">
                  <a16:creationId xmlns:a16="http://schemas.microsoft.com/office/drawing/2014/main" id="{00000000-0008-0000-0000-00000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24585" name="Button 9" hidden="1">
              <a:extLst>
                <a:ext uri="{63B3BB69-23CF-44E3-9099-C40C66FF867C}">
                  <a14:compatExt spid="_x0000_s24585"/>
                </a:ext>
                <a:ext uri="{FF2B5EF4-FFF2-40B4-BE49-F238E27FC236}">
                  <a16:creationId xmlns:a16="http://schemas.microsoft.com/office/drawing/2014/main" id="{00000000-0008-0000-0000-00000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24586" name="Button 10" hidden="1">
              <a:extLst>
                <a:ext uri="{63B3BB69-23CF-44E3-9099-C40C66FF867C}">
                  <a14:compatExt spid="_x0000_s24586"/>
                </a:ext>
                <a:ext uri="{FF2B5EF4-FFF2-40B4-BE49-F238E27FC236}">
                  <a16:creationId xmlns:a16="http://schemas.microsoft.com/office/drawing/2014/main" id="{00000000-0008-0000-0000-00000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24587" name="Button 11" hidden="1">
              <a:extLst>
                <a:ext uri="{63B3BB69-23CF-44E3-9099-C40C66FF867C}">
                  <a14:compatExt spid="_x0000_s24587"/>
                </a:ext>
                <a:ext uri="{FF2B5EF4-FFF2-40B4-BE49-F238E27FC236}">
                  <a16:creationId xmlns:a16="http://schemas.microsoft.com/office/drawing/2014/main" id="{00000000-0008-0000-0000-00000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24588" name="Button 12" hidden="1">
              <a:extLst>
                <a:ext uri="{63B3BB69-23CF-44E3-9099-C40C66FF867C}">
                  <a14:compatExt spid="_x0000_s24588"/>
                </a:ext>
                <a:ext uri="{FF2B5EF4-FFF2-40B4-BE49-F238E27FC236}">
                  <a16:creationId xmlns:a16="http://schemas.microsoft.com/office/drawing/2014/main" id="{00000000-0008-0000-0000-00000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24589" name="Button 13" hidden="1">
              <a:extLst>
                <a:ext uri="{63B3BB69-23CF-44E3-9099-C40C66FF867C}">
                  <a14:compatExt spid="_x0000_s24589"/>
                </a:ext>
                <a:ext uri="{FF2B5EF4-FFF2-40B4-BE49-F238E27FC236}">
                  <a16:creationId xmlns:a16="http://schemas.microsoft.com/office/drawing/2014/main" id="{00000000-0008-0000-0000-00000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24590" name="Button 14" hidden="1">
              <a:extLst>
                <a:ext uri="{63B3BB69-23CF-44E3-9099-C40C66FF867C}">
                  <a14:compatExt spid="_x0000_s24590"/>
                </a:ext>
                <a:ext uri="{FF2B5EF4-FFF2-40B4-BE49-F238E27FC236}">
                  <a16:creationId xmlns:a16="http://schemas.microsoft.com/office/drawing/2014/main" id="{00000000-0008-0000-0000-00000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24591" name="Button 15" hidden="1">
              <a:extLst>
                <a:ext uri="{63B3BB69-23CF-44E3-9099-C40C66FF867C}">
                  <a14:compatExt spid="_x0000_s24591"/>
                </a:ext>
                <a:ext uri="{FF2B5EF4-FFF2-40B4-BE49-F238E27FC236}">
                  <a16:creationId xmlns:a16="http://schemas.microsoft.com/office/drawing/2014/main" id="{00000000-0008-0000-0000-00000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24592" name="Button 16" hidden="1">
              <a:extLst>
                <a:ext uri="{63B3BB69-23CF-44E3-9099-C40C66FF867C}">
                  <a14:compatExt spid="_x0000_s24592"/>
                </a:ext>
                <a:ext uri="{FF2B5EF4-FFF2-40B4-BE49-F238E27FC236}">
                  <a16:creationId xmlns:a16="http://schemas.microsoft.com/office/drawing/2014/main" id="{00000000-0008-0000-0000-00001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24593" name="Button 17" hidden="1">
              <a:extLst>
                <a:ext uri="{63B3BB69-23CF-44E3-9099-C40C66FF867C}">
                  <a14:compatExt spid="_x0000_s24593"/>
                </a:ext>
                <a:ext uri="{FF2B5EF4-FFF2-40B4-BE49-F238E27FC236}">
                  <a16:creationId xmlns:a16="http://schemas.microsoft.com/office/drawing/2014/main" id="{00000000-0008-0000-0000-00001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24594" name="Button 18" hidden="1">
              <a:extLst>
                <a:ext uri="{63B3BB69-23CF-44E3-9099-C40C66FF867C}">
                  <a14:compatExt spid="_x0000_s24594"/>
                </a:ext>
                <a:ext uri="{FF2B5EF4-FFF2-40B4-BE49-F238E27FC236}">
                  <a16:creationId xmlns:a16="http://schemas.microsoft.com/office/drawing/2014/main" id="{00000000-0008-0000-0000-00001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24595" name="Button 19" hidden="1">
              <a:extLst>
                <a:ext uri="{63B3BB69-23CF-44E3-9099-C40C66FF867C}">
                  <a14:compatExt spid="_x0000_s24595"/>
                </a:ext>
                <a:ext uri="{FF2B5EF4-FFF2-40B4-BE49-F238E27FC236}">
                  <a16:creationId xmlns:a16="http://schemas.microsoft.com/office/drawing/2014/main" id="{00000000-0008-0000-0000-00001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24596" name="Button 20" hidden="1">
              <a:extLst>
                <a:ext uri="{63B3BB69-23CF-44E3-9099-C40C66FF867C}">
                  <a14:compatExt spid="_x0000_s24596"/>
                </a:ext>
                <a:ext uri="{FF2B5EF4-FFF2-40B4-BE49-F238E27FC236}">
                  <a16:creationId xmlns:a16="http://schemas.microsoft.com/office/drawing/2014/main" id="{00000000-0008-0000-0000-00001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24597" name="Button 21" hidden="1">
              <a:extLst>
                <a:ext uri="{63B3BB69-23CF-44E3-9099-C40C66FF867C}">
                  <a14:compatExt spid="_x0000_s24597"/>
                </a:ext>
                <a:ext uri="{FF2B5EF4-FFF2-40B4-BE49-F238E27FC236}">
                  <a16:creationId xmlns:a16="http://schemas.microsoft.com/office/drawing/2014/main" id="{00000000-0008-0000-0000-00001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24598" name="Button 22" hidden="1">
              <a:extLst>
                <a:ext uri="{63B3BB69-23CF-44E3-9099-C40C66FF867C}">
                  <a14:compatExt spid="_x0000_s24598"/>
                </a:ext>
                <a:ext uri="{FF2B5EF4-FFF2-40B4-BE49-F238E27FC236}">
                  <a16:creationId xmlns:a16="http://schemas.microsoft.com/office/drawing/2014/main" id="{00000000-0008-0000-0000-00001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24599" name="Button 23" hidden="1">
              <a:extLst>
                <a:ext uri="{63B3BB69-23CF-44E3-9099-C40C66FF867C}">
                  <a14:compatExt spid="_x0000_s24599"/>
                </a:ext>
                <a:ext uri="{FF2B5EF4-FFF2-40B4-BE49-F238E27FC236}">
                  <a16:creationId xmlns:a16="http://schemas.microsoft.com/office/drawing/2014/main" id="{00000000-0008-0000-0000-00001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24600" name="Button 24" hidden="1">
              <a:extLst>
                <a:ext uri="{63B3BB69-23CF-44E3-9099-C40C66FF867C}">
                  <a14:compatExt spid="_x0000_s24600"/>
                </a:ext>
                <a:ext uri="{FF2B5EF4-FFF2-40B4-BE49-F238E27FC236}">
                  <a16:creationId xmlns:a16="http://schemas.microsoft.com/office/drawing/2014/main" id="{00000000-0008-0000-0000-00001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24601" name="Button 25" hidden="1">
              <a:extLst>
                <a:ext uri="{63B3BB69-23CF-44E3-9099-C40C66FF867C}">
                  <a14:compatExt spid="_x0000_s24601"/>
                </a:ext>
                <a:ext uri="{FF2B5EF4-FFF2-40B4-BE49-F238E27FC236}">
                  <a16:creationId xmlns:a16="http://schemas.microsoft.com/office/drawing/2014/main" id="{00000000-0008-0000-0000-00001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24602" name="Button 26" hidden="1">
              <a:extLst>
                <a:ext uri="{63B3BB69-23CF-44E3-9099-C40C66FF867C}">
                  <a14:compatExt spid="_x0000_s24602"/>
                </a:ext>
                <a:ext uri="{FF2B5EF4-FFF2-40B4-BE49-F238E27FC236}">
                  <a16:creationId xmlns:a16="http://schemas.microsoft.com/office/drawing/2014/main" id="{00000000-0008-0000-0000-00001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24603" name="Button 27" hidden="1">
              <a:extLst>
                <a:ext uri="{63B3BB69-23CF-44E3-9099-C40C66FF867C}">
                  <a14:compatExt spid="_x0000_s24603"/>
                </a:ext>
                <a:ext uri="{FF2B5EF4-FFF2-40B4-BE49-F238E27FC236}">
                  <a16:creationId xmlns:a16="http://schemas.microsoft.com/office/drawing/2014/main" id="{00000000-0008-0000-0000-00001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24604" name="Button 28" hidden="1">
              <a:extLst>
                <a:ext uri="{63B3BB69-23CF-44E3-9099-C40C66FF867C}">
                  <a14:compatExt spid="_x0000_s24604"/>
                </a:ext>
                <a:ext uri="{FF2B5EF4-FFF2-40B4-BE49-F238E27FC236}">
                  <a16:creationId xmlns:a16="http://schemas.microsoft.com/office/drawing/2014/main" id="{00000000-0008-0000-0000-00001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24605" name="Button 29" hidden="1">
              <a:extLst>
                <a:ext uri="{63B3BB69-23CF-44E3-9099-C40C66FF867C}">
                  <a14:compatExt spid="_x0000_s24605"/>
                </a:ext>
                <a:ext uri="{FF2B5EF4-FFF2-40B4-BE49-F238E27FC236}">
                  <a16:creationId xmlns:a16="http://schemas.microsoft.com/office/drawing/2014/main" id="{00000000-0008-0000-0000-00001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24606" name="Button 30" hidden="1">
              <a:extLst>
                <a:ext uri="{63B3BB69-23CF-44E3-9099-C40C66FF867C}">
                  <a14:compatExt spid="_x0000_s24606"/>
                </a:ext>
                <a:ext uri="{FF2B5EF4-FFF2-40B4-BE49-F238E27FC236}">
                  <a16:creationId xmlns:a16="http://schemas.microsoft.com/office/drawing/2014/main" id="{00000000-0008-0000-0000-00001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24607" name="Button 31" hidden="1">
              <a:extLst>
                <a:ext uri="{63B3BB69-23CF-44E3-9099-C40C66FF867C}">
                  <a14:compatExt spid="_x0000_s24607"/>
                </a:ext>
                <a:ext uri="{FF2B5EF4-FFF2-40B4-BE49-F238E27FC236}">
                  <a16:creationId xmlns:a16="http://schemas.microsoft.com/office/drawing/2014/main" id="{00000000-0008-0000-0000-00001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24608" name="Button 32" hidden="1">
              <a:extLst>
                <a:ext uri="{63B3BB69-23CF-44E3-9099-C40C66FF867C}">
                  <a14:compatExt spid="_x0000_s24608"/>
                </a:ext>
                <a:ext uri="{FF2B5EF4-FFF2-40B4-BE49-F238E27FC236}">
                  <a16:creationId xmlns:a16="http://schemas.microsoft.com/office/drawing/2014/main" id="{00000000-0008-0000-0000-00002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24609" name="Button 33" hidden="1">
              <a:extLst>
                <a:ext uri="{63B3BB69-23CF-44E3-9099-C40C66FF867C}">
                  <a14:compatExt spid="_x0000_s24609"/>
                </a:ext>
                <a:ext uri="{FF2B5EF4-FFF2-40B4-BE49-F238E27FC236}">
                  <a16:creationId xmlns:a16="http://schemas.microsoft.com/office/drawing/2014/main" id="{00000000-0008-0000-0000-00002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24610" name="Button 34" hidden="1">
              <a:extLst>
                <a:ext uri="{63B3BB69-23CF-44E3-9099-C40C66FF867C}">
                  <a14:compatExt spid="_x0000_s24610"/>
                </a:ext>
                <a:ext uri="{FF2B5EF4-FFF2-40B4-BE49-F238E27FC236}">
                  <a16:creationId xmlns:a16="http://schemas.microsoft.com/office/drawing/2014/main" id="{00000000-0008-0000-0000-00002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24611" name="Button 35" hidden="1">
              <a:extLst>
                <a:ext uri="{63B3BB69-23CF-44E3-9099-C40C66FF867C}">
                  <a14:compatExt spid="_x0000_s24611"/>
                </a:ext>
                <a:ext uri="{FF2B5EF4-FFF2-40B4-BE49-F238E27FC236}">
                  <a16:creationId xmlns:a16="http://schemas.microsoft.com/office/drawing/2014/main" id="{00000000-0008-0000-0000-00002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24612" name="Button 36" hidden="1">
              <a:extLst>
                <a:ext uri="{63B3BB69-23CF-44E3-9099-C40C66FF867C}">
                  <a14:compatExt spid="_x0000_s24612"/>
                </a:ext>
                <a:ext uri="{FF2B5EF4-FFF2-40B4-BE49-F238E27FC236}">
                  <a16:creationId xmlns:a16="http://schemas.microsoft.com/office/drawing/2014/main" id="{00000000-0008-0000-0000-00002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24613" name="Button 37" hidden="1">
              <a:extLst>
                <a:ext uri="{63B3BB69-23CF-44E3-9099-C40C66FF867C}">
                  <a14:compatExt spid="_x0000_s24613"/>
                </a:ext>
                <a:ext uri="{FF2B5EF4-FFF2-40B4-BE49-F238E27FC236}">
                  <a16:creationId xmlns:a16="http://schemas.microsoft.com/office/drawing/2014/main" id="{00000000-0008-0000-0000-00002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24614" name="Button 38" hidden="1">
              <a:extLst>
                <a:ext uri="{63B3BB69-23CF-44E3-9099-C40C66FF867C}">
                  <a14:compatExt spid="_x0000_s24614"/>
                </a:ext>
                <a:ext uri="{FF2B5EF4-FFF2-40B4-BE49-F238E27FC236}">
                  <a16:creationId xmlns:a16="http://schemas.microsoft.com/office/drawing/2014/main" id="{00000000-0008-0000-0000-00002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24615" name="Button 39" hidden="1">
              <a:extLst>
                <a:ext uri="{63B3BB69-23CF-44E3-9099-C40C66FF867C}">
                  <a14:compatExt spid="_x0000_s24615"/>
                </a:ext>
                <a:ext uri="{FF2B5EF4-FFF2-40B4-BE49-F238E27FC236}">
                  <a16:creationId xmlns:a16="http://schemas.microsoft.com/office/drawing/2014/main" id="{00000000-0008-0000-0000-00002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24616" name="Button 40" hidden="1">
              <a:extLst>
                <a:ext uri="{63B3BB69-23CF-44E3-9099-C40C66FF867C}">
                  <a14:compatExt spid="_x0000_s24616"/>
                </a:ext>
                <a:ext uri="{FF2B5EF4-FFF2-40B4-BE49-F238E27FC236}">
                  <a16:creationId xmlns:a16="http://schemas.microsoft.com/office/drawing/2014/main" id="{00000000-0008-0000-0000-00002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24617" name="Button 41" hidden="1">
              <a:extLst>
                <a:ext uri="{63B3BB69-23CF-44E3-9099-C40C66FF867C}">
                  <a14:compatExt spid="_x0000_s24617"/>
                </a:ext>
                <a:ext uri="{FF2B5EF4-FFF2-40B4-BE49-F238E27FC236}">
                  <a16:creationId xmlns:a16="http://schemas.microsoft.com/office/drawing/2014/main" id="{00000000-0008-0000-0000-00002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24618" name="Button 42" hidden="1">
              <a:extLst>
                <a:ext uri="{63B3BB69-23CF-44E3-9099-C40C66FF867C}">
                  <a14:compatExt spid="_x0000_s24618"/>
                </a:ext>
                <a:ext uri="{FF2B5EF4-FFF2-40B4-BE49-F238E27FC236}">
                  <a16:creationId xmlns:a16="http://schemas.microsoft.com/office/drawing/2014/main" id="{00000000-0008-0000-0000-00002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24619" name="Button 43" hidden="1">
              <a:extLst>
                <a:ext uri="{63B3BB69-23CF-44E3-9099-C40C66FF867C}">
                  <a14:compatExt spid="_x0000_s24619"/>
                </a:ext>
                <a:ext uri="{FF2B5EF4-FFF2-40B4-BE49-F238E27FC236}">
                  <a16:creationId xmlns:a16="http://schemas.microsoft.com/office/drawing/2014/main" id="{00000000-0008-0000-0000-00002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24620" name="Button 44" hidden="1">
              <a:extLst>
                <a:ext uri="{63B3BB69-23CF-44E3-9099-C40C66FF867C}">
                  <a14:compatExt spid="_x0000_s24620"/>
                </a:ext>
                <a:ext uri="{FF2B5EF4-FFF2-40B4-BE49-F238E27FC236}">
                  <a16:creationId xmlns:a16="http://schemas.microsoft.com/office/drawing/2014/main" id="{00000000-0008-0000-0000-00002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24621" name="Button 45" hidden="1">
              <a:extLst>
                <a:ext uri="{63B3BB69-23CF-44E3-9099-C40C66FF867C}">
                  <a14:compatExt spid="_x0000_s24621"/>
                </a:ext>
                <a:ext uri="{FF2B5EF4-FFF2-40B4-BE49-F238E27FC236}">
                  <a16:creationId xmlns:a16="http://schemas.microsoft.com/office/drawing/2014/main" id="{00000000-0008-0000-0000-00002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24622" name="Button 46" hidden="1">
              <a:extLst>
                <a:ext uri="{63B3BB69-23CF-44E3-9099-C40C66FF867C}">
                  <a14:compatExt spid="_x0000_s24622"/>
                </a:ext>
                <a:ext uri="{FF2B5EF4-FFF2-40B4-BE49-F238E27FC236}">
                  <a16:creationId xmlns:a16="http://schemas.microsoft.com/office/drawing/2014/main" id="{00000000-0008-0000-0000-00002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24623" name="Button 47" hidden="1">
              <a:extLst>
                <a:ext uri="{63B3BB69-23CF-44E3-9099-C40C66FF867C}">
                  <a14:compatExt spid="_x0000_s24623"/>
                </a:ext>
                <a:ext uri="{FF2B5EF4-FFF2-40B4-BE49-F238E27FC236}">
                  <a16:creationId xmlns:a16="http://schemas.microsoft.com/office/drawing/2014/main" id="{00000000-0008-0000-0000-00002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24624" name="Button 48" hidden="1">
              <a:extLst>
                <a:ext uri="{63B3BB69-23CF-44E3-9099-C40C66FF867C}">
                  <a14:compatExt spid="_x0000_s24624"/>
                </a:ext>
                <a:ext uri="{FF2B5EF4-FFF2-40B4-BE49-F238E27FC236}">
                  <a16:creationId xmlns:a16="http://schemas.microsoft.com/office/drawing/2014/main" id="{00000000-0008-0000-0000-00003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24625" name="Button 49" hidden="1">
              <a:extLst>
                <a:ext uri="{63B3BB69-23CF-44E3-9099-C40C66FF867C}">
                  <a14:compatExt spid="_x0000_s24625"/>
                </a:ext>
                <a:ext uri="{FF2B5EF4-FFF2-40B4-BE49-F238E27FC236}">
                  <a16:creationId xmlns:a16="http://schemas.microsoft.com/office/drawing/2014/main" id="{00000000-0008-0000-0000-00003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24626" name="Button 50" hidden="1">
              <a:extLst>
                <a:ext uri="{63B3BB69-23CF-44E3-9099-C40C66FF867C}">
                  <a14:compatExt spid="_x0000_s24626"/>
                </a:ext>
                <a:ext uri="{FF2B5EF4-FFF2-40B4-BE49-F238E27FC236}">
                  <a16:creationId xmlns:a16="http://schemas.microsoft.com/office/drawing/2014/main" id="{00000000-0008-0000-0000-00003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24627" name="Button 51" hidden="1">
              <a:extLst>
                <a:ext uri="{63B3BB69-23CF-44E3-9099-C40C66FF867C}">
                  <a14:compatExt spid="_x0000_s24627"/>
                </a:ext>
                <a:ext uri="{FF2B5EF4-FFF2-40B4-BE49-F238E27FC236}">
                  <a16:creationId xmlns:a16="http://schemas.microsoft.com/office/drawing/2014/main" id="{00000000-0008-0000-0000-00003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24628" name="Button 52" hidden="1">
              <a:extLst>
                <a:ext uri="{63B3BB69-23CF-44E3-9099-C40C66FF867C}">
                  <a14:compatExt spid="_x0000_s24628"/>
                </a:ext>
                <a:ext uri="{FF2B5EF4-FFF2-40B4-BE49-F238E27FC236}">
                  <a16:creationId xmlns:a16="http://schemas.microsoft.com/office/drawing/2014/main" id="{00000000-0008-0000-0000-00003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24629" name="Button 53" hidden="1">
              <a:extLst>
                <a:ext uri="{63B3BB69-23CF-44E3-9099-C40C66FF867C}">
                  <a14:compatExt spid="_x0000_s24629"/>
                </a:ext>
                <a:ext uri="{FF2B5EF4-FFF2-40B4-BE49-F238E27FC236}">
                  <a16:creationId xmlns:a16="http://schemas.microsoft.com/office/drawing/2014/main" id="{00000000-0008-0000-0000-00003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24630" name="Button 54" hidden="1">
              <a:extLst>
                <a:ext uri="{63B3BB69-23CF-44E3-9099-C40C66FF867C}">
                  <a14:compatExt spid="_x0000_s24630"/>
                </a:ext>
                <a:ext uri="{FF2B5EF4-FFF2-40B4-BE49-F238E27FC236}">
                  <a16:creationId xmlns:a16="http://schemas.microsoft.com/office/drawing/2014/main" id="{00000000-0008-0000-0000-00003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24631" name="Button 55" hidden="1">
              <a:extLst>
                <a:ext uri="{63B3BB69-23CF-44E3-9099-C40C66FF867C}">
                  <a14:compatExt spid="_x0000_s24631"/>
                </a:ext>
                <a:ext uri="{FF2B5EF4-FFF2-40B4-BE49-F238E27FC236}">
                  <a16:creationId xmlns:a16="http://schemas.microsoft.com/office/drawing/2014/main" id="{00000000-0008-0000-0000-00003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24632" name="Button 56" hidden="1">
              <a:extLst>
                <a:ext uri="{63B3BB69-23CF-44E3-9099-C40C66FF867C}">
                  <a14:compatExt spid="_x0000_s24632"/>
                </a:ext>
                <a:ext uri="{FF2B5EF4-FFF2-40B4-BE49-F238E27FC236}">
                  <a16:creationId xmlns:a16="http://schemas.microsoft.com/office/drawing/2014/main" id="{00000000-0008-0000-0000-00003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24633" name="Button 57" hidden="1">
              <a:extLst>
                <a:ext uri="{63B3BB69-23CF-44E3-9099-C40C66FF867C}">
                  <a14:compatExt spid="_x0000_s24633"/>
                </a:ext>
                <a:ext uri="{FF2B5EF4-FFF2-40B4-BE49-F238E27FC236}">
                  <a16:creationId xmlns:a16="http://schemas.microsoft.com/office/drawing/2014/main" id="{00000000-0008-0000-0000-00003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24634" name="Button 58" hidden="1">
              <a:extLst>
                <a:ext uri="{63B3BB69-23CF-44E3-9099-C40C66FF867C}">
                  <a14:compatExt spid="_x0000_s24634"/>
                </a:ext>
                <a:ext uri="{FF2B5EF4-FFF2-40B4-BE49-F238E27FC236}">
                  <a16:creationId xmlns:a16="http://schemas.microsoft.com/office/drawing/2014/main" id="{00000000-0008-0000-0000-00003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24635" name="Button 59" hidden="1">
              <a:extLst>
                <a:ext uri="{63B3BB69-23CF-44E3-9099-C40C66FF867C}">
                  <a14:compatExt spid="_x0000_s24635"/>
                </a:ext>
                <a:ext uri="{FF2B5EF4-FFF2-40B4-BE49-F238E27FC236}">
                  <a16:creationId xmlns:a16="http://schemas.microsoft.com/office/drawing/2014/main" id="{00000000-0008-0000-0000-00003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24636" name="Button 60" hidden="1">
              <a:extLst>
                <a:ext uri="{63B3BB69-23CF-44E3-9099-C40C66FF867C}">
                  <a14:compatExt spid="_x0000_s24636"/>
                </a:ext>
                <a:ext uri="{FF2B5EF4-FFF2-40B4-BE49-F238E27FC236}">
                  <a16:creationId xmlns:a16="http://schemas.microsoft.com/office/drawing/2014/main" id="{00000000-0008-0000-0000-00003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24637" name="Button 61" hidden="1">
              <a:extLst>
                <a:ext uri="{63B3BB69-23CF-44E3-9099-C40C66FF867C}">
                  <a14:compatExt spid="_x0000_s24637"/>
                </a:ext>
                <a:ext uri="{FF2B5EF4-FFF2-40B4-BE49-F238E27FC236}">
                  <a16:creationId xmlns:a16="http://schemas.microsoft.com/office/drawing/2014/main" id="{00000000-0008-0000-0000-00003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24638" name="Button 62" hidden="1">
              <a:extLst>
                <a:ext uri="{63B3BB69-23CF-44E3-9099-C40C66FF867C}">
                  <a14:compatExt spid="_x0000_s24638"/>
                </a:ext>
                <a:ext uri="{FF2B5EF4-FFF2-40B4-BE49-F238E27FC236}">
                  <a16:creationId xmlns:a16="http://schemas.microsoft.com/office/drawing/2014/main" id="{00000000-0008-0000-0000-00003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24639" name="Button 63" hidden="1">
              <a:extLst>
                <a:ext uri="{63B3BB69-23CF-44E3-9099-C40C66FF867C}">
                  <a14:compatExt spid="_x0000_s24639"/>
                </a:ext>
                <a:ext uri="{FF2B5EF4-FFF2-40B4-BE49-F238E27FC236}">
                  <a16:creationId xmlns:a16="http://schemas.microsoft.com/office/drawing/2014/main" id="{00000000-0008-0000-0000-00003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24640" name="Button 64" hidden="1">
              <a:extLst>
                <a:ext uri="{63B3BB69-23CF-44E3-9099-C40C66FF867C}">
                  <a14:compatExt spid="_x0000_s24640"/>
                </a:ext>
                <a:ext uri="{FF2B5EF4-FFF2-40B4-BE49-F238E27FC236}">
                  <a16:creationId xmlns:a16="http://schemas.microsoft.com/office/drawing/2014/main" id="{00000000-0008-0000-0000-00004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24641" name="Button 65" hidden="1">
              <a:extLst>
                <a:ext uri="{63B3BB69-23CF-44E3-9099-C40C66FF867C}">
                  <a14:compatExt spid="_x0000_s24641"/>
                </a:ext>
                <a:ext uri="{FF2B5EF4-FFF2-40B4-BE49-F238E27FC236}">
                  <a16:creationId xmlns:a16="http://schemas.microsoft.com/office/drawing/2014/main" id="{00000000-0008-0000-0000-00004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24642" name="Button 66" hidden="1">
              <a:extLst>
                <a:ext uri="{63B3BB69-23CF-44E3-9099-C40C66FF867C}">
                  <a14:compatExt spid="_x0000_s24642"/>
                </a:ext>
                <a:ext uri="{FF2B5EF4-FFF2-40B4-BE49-F238E27FC236}">
                  <a16:creationId xmlns:a16="http://schemas.microsoft.com/office/drawing/2014/main" id="{00000000-0008-0000-0000-00004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24643" name="Button 67" hidden="1">
              <a:extLst>
                <a:ext uri="{63B3BB69-23CF-44E3-9099-C40C66FF867C}">
                  <a14:compatExt spid="_x0000_s24643"/>
                </a:ext>
                <a:ext uri="{FF2B5EF4-FFF2-40B4-BE49-F238E27FC236}">
                  <a16:creationId xmlns:a16="http://schemas.microsoft.com/office/drawing/2014/main" id="{00000000-0008-0000-0000-00004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24644" name="Button 68" hidden="1">
              <a:extLst>
                <a:ext uri="{63B3BB69-23CF-44E3-9099-C40C66FF867C}">
                  <a14:compatExt spid="_x0000_s24644"/>
                </a:ext>
                <a:ext uri="{FF2B5EF4-FFF2-40B4-BE49-F238E27FC236}">
                  <a16:creationId xmlns:a16="http://schemas.microsoft.com/office/drawing/2014/main" id="{00000000-0008-0000-0000-00004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24645" name="Button 69" hidden="1">
              <a:extLst>
                <a:ext uri="{63B3BB69-23CF-44E3-9099-C40C66FF867C}">
                  <a14:compatExt spid="_x0000_s24645"/>
                </a:ext>
                <a:ext uri="{FF2B5EF4-FFF2-40B4-BE49-F238E27FC236}">
                  <a16:creationId xmlns:a16="http://schemas.microsoft.com/office/drawing/2014/main" id="{00000000-0008-0000-0000-00004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24646" name="Button 70" hidden="1">
              <a:extLst>
                <a:ext uri="{63B3BB69-23CF-44E3-9099-C40C66FF867C}">
                  <a14:compatExt spid="_x0000_s24646"/>
                </a:ext>
                <a:ext uri="{FF2B5EF4-FFF2-40B4-BE49-F238E27FC236}">
                  <a16:creationId xmlns:a16="http://schemas.microsoft.com/office/drawing/2014/main" id="{00000000-0008-0000-0000-00004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24647" name="Button 71" hidden="1">
              <a:extLst>
                <a:ext uri="{63B3BB69-23CF-44E3-9099-C40C66FF867C}">
                  <a14:compatExt spid="_x0000_s24647"/>
                </a:ext>
                <a:ext uri="{FF2B5EF4-FFF2-40B4-BE49-F238E27FC236}">
                  <a16:creationId xmlns:a16="http://schemas.microsoft.com/office/drawing/2014/main" id="{00000000-0008-0000-0000-00004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24648" name="Button 72" hidden="1">
              <a:extLst>
                <a:ext uri="{63B3BB69-23CF-44E3-9099-C40C66FF867C}">
                  <a14:compatExt spid="_x0000_s24648"/>
                </a:ext>
                <a:ext uri="{FF2B5EF4-FFF2-40B4-BE49-F238E27FC236}">
                  <a16:creationId xmlns:a16="http://schemas.microsoft.com/office/drawing/2014/main" id="{00000000-0008-0000-0000-00004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24649" name="Button 73" hidden="1">
              <a:extLst>
                <a:ext uri="{63B3BB69-23CF-44E3-9099-C40C66FF867C}">
                  <a14:compatExt spid="_x0000_s24649"/>
                </a:ext>
                <a:ext uri="{FF2B5EF4-FFF2-40B4-BE49-F238E27FC236}">
                  <a16:creationId xmlns:a16="http://schemas.microsoft.com/office/drawing/2014/main" id="{00000000-0008-0000-0000-00004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24650" name="Button 74" hidden="1">
              <a:extLst>
                <a:ext uri="{63B3BB69-23CF-44E3-9099-C40C66FF867C}">
                  <a14:compatExt spid="_x0000_s24650"/>
                </a:ext>
                <a:ext uri="{FF2B5EF4-FFF2-40B4-BE49-F238E27FC236}">
                  <a16:creationId xmlns:a16="http://schemas.microsoft.com/office/drawing/2014/main" id="{00000000-0008-0000-0000-00004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24651" name="Button 75" hidden="1">
              <a:extLst>
                <a:ext uri="{63B3BB69-23CF-44E3-9099-C40C66FF867C}">
                  <a14:compatExt spid="_x0000_s24651"/>
                </a:ext>
                <a:ext uri="{FF2B5EF4-FFF2-40B4-BE49-F238E27FC236}">
                  <a16:creationId xmlns:a16="http://schemas.microsoft.com/office/drawing/2014/main" id="{00000000-0008-0000-0000-00004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24652" name="Button 76" hidden="1">
              <a:extLst>
                <a:ext uri="{63B3BB69-23CF-44E3-9099-C40C66FF867C}">
                  <a14:compatExt spid="_x0000_s24652"/>
                </a:ext>
                <a:ext uri="{FF2B5EF4-FFF2-40B4-BE49-F238E27FC236}">
                  <a16:creationId xmlns:a16="http://schemas.microsoft.com/office/drawing/2014/main" id="{00000000-0008-0000-0000-00004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24653" name="Button 77" hidden="1">
              <a:extLst>
                <a:ext uri="{63B3BB69-23CF-44E3-9099-C40C66FF867C}">
                  <a14:compatExt spid="_x0000_s24653"/>
                </a:ext>
                <a:ext uri="{FF2B5EF4-FFF2-40B4-BE49-F238E27FC236}">
                  <a16:creationId xmlns:a16="http://schemas.microsoft.com/office/drawing/2014/main" id="{00000000-0008-0000-0000-00004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24654" name="Button 78" hidden="1">
              <a:extLst>
                <a:ext uri="{63B3BB69-23CF-44E3-9099-C40C66FF867C}">
                  <a14:compatExt spid="_x0000_s24654"/>
                </a:ext>
                <a:ext uri="{FF2B5EF4-FFF2-40B4-BE49-F238E27FC236}">
                  <a16:creationId xmlns:a16="http://schemas.microsoft.com/office/drawing/2014/main" id="{00000000-0008-0000-0000-00004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24655" name="Button 79" hidden="1">
              <a:extLst>
                <a:ext uri="{63B3BB69-23CF-44E3-9099-C40C66FF867C}">
                  <a14:compatExt spid="_x0000_s24655"/>
                </a:ext>
                <a:ext uri="{FF2B5EF4-FFF2-40B4-BE49-F238E27FC236}">
                  <a16:creationId xmlns:a16="http://schemas.microsoft.com/office/drawing/2014/main" id="{00000000-0008-0000-0000-00004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24656" name="Button 80" hidden="1">
              <a:extLst>
                <a:ext uri="{63B3BB69-23CF-44E3-9099-C40C66FF867C}">
                  <a14:compatExt spid="_x0000_s24656"/>
                </a:ext>
                <a:ext uri="{FF2B5EF4-FFF2-40B4-BE49-F238E27FC236}">
                  <a16:creationId xmlns:a16="http://schemas.microsoft.com/office/drawing/2014/main" id="{00000000-0008-0000-0000-00005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24657" name="Button 81" hidden="1">
              <a:extLst>
                <a:ext uri="{63B3BB69-23CF-44E3-9099-C40C66FF867C}">
                  <a14:compatExt spid="_x0000_s24657"/>
                </a:ext>
                <a:ext uri="{FF2B5EF4-FFF2-40B4-BE49-F238E27FC236}">
                  <a16:creationId xmlns:a16="http://schemas.microsoft.com/office/drawing/2014/main" id="{00000000-0008-0000-0000-00005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24658" name="Button 82" hidden="1">
              <a:extLst>
                <a:ext uri="{63B3BB69-23CF-44E3-9099-C40C66FF867C}">
                  <a14:compatExt spid="_x0000_s24658"/>
                </a:ext>
                <a:ext uri="{FF2B5EF4-FFF2-40B4-BE49-F238E27FC236}">
                  <a16:creationId xmlns:a16="http://schemas.microsoft.com/office/drawing/2014/main" id="{00000000-0008-0000-0000-00005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24659" name="Button 83" hidden="1">
              <a:extLst>
                <a:ext uri="{63B3BB69-23CF-44E3-9099-C40C66FF867C}">
                  <a14:compatExt spid="_x0000_s24659"/>
                </a:ext>
                <a:ext uri="{FF2B5EF4-FFF2-40B4-BE49-F238E27FC236}">
                  <a16:creationId xmlns:a16="http://schemas.microsoft.com/office/drawing/2014/main" id="{00000000-0008-0000-0000-00005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24660" name="Button 84" hidden="1">
              <a:extLst>
                <a:ext uri="{63B3BB69-23CF-44E3-9099-C40C66FF867C}">
                  <a14:compatExt spid="_x0000_s24660"/>
                </a:ext>
                <a:ext uri="{FF2B5EF4-FFF2-40B4-BE49-F238E27FC236}">
                  <a16:creationId xmlns:a16="http://schemas.microsoft.com/office/drawing/2014/main" id="{00000000-0008-0000-0000-00005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24661" name="Button 85" hidden="1">
              <a:extLst>
                <a:ext uri="{63B3BB69-23CF-44E3-9099-C40C66FF867C}">
                  <a14:compatExt spid="_x0000_s24661"/>
                </a:ext>
                <a:ext uri="{FF2B5EF4-FFF2-40B4-BE49-F238E27FC236}">
                  <a16:creationId xmlns:a16="http://schemas.microsoft.com/office/drawing/2014/main" id="{00000000-0008-0000-0000-00005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24662" name="Button 86" hidden="1">
              <a:extLst>
                <a:ext uri="{63B3BB69-23CF-44E3-9099-C40C66FF867C}">
                  <a14:compatExt spid="_x0000_s24662"/>
                </a:ext>
                <a:ext uri="{FF2B5EF4-FFF2-40B4-BE49-F238E27FC236}">
                  <a16:creationId xmlns:a16="http://schemas.microsoft.com/office/drawing/2014/main" id="{00000000-0008-0000-0000-00005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24663" name="Button 87" hidden="1">
              <a:extLst>
                <a:ext uri="{63B3BB69-23CF-44E3-9099-C40C66FF867C}">
                  <a14:compatExt spid="_x0000_s24663"/>
                </a:ext>
                <a:ext uri="{FF2B5EF4-FFF2-40B4-BE49-F238E27FC236}">
                  <a16:creationId xmlns:a16="http://schemas.microsoft.com/office/drawing/2014/main" id="{00000000-0008-0000-0000-00005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24664" name="Button 88" hidden="1">
              <a:extLst>
                <a:ext uri="{63B3BB69-23CF-44E3-9099-C40C66FF867C}">
                  <a14:compatExt spid="_x0000_s24664"/>
                </a:ext>
                <a:ext uri="{FF2B5EF4-FFF2-40B4-BE49-F238E27FC236}">
                  <a16:creationId xmlns:a16="http://schemas.microsoft.com/office/drawing/2014/main" id="{00000000-0008-0000-0000-00005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24665" name="Button 89" hidden="1">
              <a:extLst>
                <a:ext uri="{63B3BB69-23CF-44E3-9099-C40C66FF867C}">
                  <a14:compatExt spid="_x0000_s24665"/>
                </a:ext>
                <a:ext uri="{FF2B5EF4-FFF2-40B4-BE49-F238E27FC236}">
                  <a16:creationId xmlns:a16="http://schemas.microsoft.com/office/drawing/2014/main" id="{00000000-0008-0000-0000-00005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24666" name="Button 90" hidden="1">
              <a:extLst>
                <a:ext uri="{63B3BB69-23CF-44E3-9099-C40C66FF867C}">
                  <a14:compatExt spid="_x0000_s24666"/>
                </a:ext>
                <a:ext uri="{FF2B5EF4-FFF2-40B4-BE49-F238E27FC236}">
                  <a16:creationId xmlns:a16="http://schemas.microsoft.com/office/drawing/2014/main" id="{00000000-0008-0000-0000-00005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24667" name="Button 91" hidden="1">
              <a:extLst>
                <a:ext uri="{63B3BB69-23CF-44E3-9099-C40C66FF867C}">
                  <a14:compatExt spid="_x0000_s24667"/>
                </a:ext>
                <a:ext uri="{FF2B5EF4-FFF2-40B4-BE49-F238E27FC236}">
                  <a16:creationId xmlns:a16="http://schemas.microsoft.com/office/drawing/2014/main" id="{00000000-0008-0000-0000-00005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24668" name="Button 92" hidden="1">
              <a:extLst>
                <a:ext uri="{63B3BB69-23CF-44E3-9099-C40C66FF867C}">
                  <a14:compatExt spid="_x0000_s24668"/>
                </a:ext>
                <a:ext uri="{FF2B5EF4-FFF2-40B4-BE49-F238E27FC236}">
                  <a16:creationId xmlns:a16="http://schemas.microsoft.com/office/drawing/2014/main" id="{00000000-0008-0000-0000-00005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24669" name="Button 93" hidden="1">
              <a:extLst>
                <a:ext uri="{63B3BB69-23CF-44E3-9099-C40C66FF867C}">
                  <a14:compatExt spid="_x0000_s24669"/>
                </a:ext>
                <a:ext uri="{FF2B5EF4-FFF2-40B4-BE49-F238E27FC236}">
                  <a16:creationId xmlns:a16="http://schemas.microsoft.com/office/drawing/2014/main" id="{00000000-0008-0000-0000-00005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24670" name="Button 94" hidden="1">
              <a:extLst>
                <a:ext uri="{63B3BB69-23CF-44E3-9099-C40C66FF867C}">
                  <a14:compatExt spid="_x0000_s24670"/>
                </a:ext>
                <a:ext uri="{FF2B5EF4-FFF2-40B4-BE49-F238E27FC236}">
                  <a16:creationId xmlns:a16="http://schemas.microsoft.com/office/drawing/2014/main" id="{00000000-0008-0000-0000-00005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24671" name="Button 95" hidden="1">
              <a:extLst>
                <a:ext uri="{63B3BB69-23CF-44E3-9099-C40C66FF867C}">
                  <a14:compatExt spid="_x0000_s24671"/>
                </a:ext>
                <a:ext uri="{FF2B5EF4-FFF2-40B4-BE49-F238E27FC236}">
                  <a16:creationId xmlns:a16="http://schemas.microsoft.com/office/drawing/2014/main" id="{00000000-0008-0000-0000-00005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24672" name="Button 96" hidden="1">
              <a:extLst>
                <a:ext uri="{63B3BB69-23CF-44E3-9099-C40C66FF867C}">
                  <a14:compatExt spid="_x0000_s24672"/>
                </a:ext>
                <a:ext uri="{FF2B5EF4-FFF2-40B4-BE49-F238E27FC236}">
                  <a16:creationId xmlns:a16="http://schemas.microsoft.com/office/drawing/2014/main" id="{00000000-0008-0000-0000-00006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24673" name="Button 97" hidden="1">
              <a:extLst>
                <a:ext uri="{63B3BB69-23CF-44E3-9099-C40C66FF867C}">
                  <a14:compatExt spid="_x0000_s24673"/>
                </a:ext>
                <a:ext uri="{FF2B5EF4-FFF2-40B4-BE49-F238E27FC236}">
                  <a16:creationId xmlns:a16="http://schemas.microsoft.com/office/drawing/2014/main" id="{00000000-0008-0000-0000-00006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24674" name="Button 98" hidden="1">
              <a:extLst>
                <a:ext uri="{63B3BB69-23CF-44E3-9099-C40C66FF867C}">
                  <a14:compatExt spid="_x0000_s24674"/>
                </a:ext>
                <a:ext uri="{FF2B5EF4-FFF2-40B4-BE49-F238E27FC236}">
                  <a16:creationId xmlns:a16="http://schemas.microsoft.com/office/drawing/2014/main" id="{00000000-0008-0000-0000-00006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24675" name="Button 99" hidden="1">
              <a:extLst>
                <a:ext uri="{63B3BB69-23CF-44E3-9099-C40C66FF867C}">
                  <a14:compatExt spid="_x0000_s24675"/>
                </a:ext>
                <a:ext uri="{FF2B5EF4-FFF2-40B4-BE49-F238E27FC236}">
                  <a16:creationId xmlns:a16="http://schemas.microsoft.com/office/drawing/2014/main" id="{00000000-0008-0000-0000-00006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24676" name="Button 100" hidden="1">
              <a:extLst>
                <a:ext uri="{63B3BB69-23CF-44E3-9099-C40C66FF867C}">
                  <a14:compatExt spid="_x0000_s24676"/>
                </a:ext>
                <a:ext uri="{FF2B5EF4-FFF2-40B4-BE49-F238E27FC236}">
                  <a16:creationId xmlns:a16="http://schemas.microsoft.com/office/drawing/2014/main" id="{00000000-0008-0000-0000-00006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24677" name="Button 101" hidden="1">
              <a:extLst>
                <a:ext uri="{63B3BB69-23CF-44E3-9099-C40C66FF867C}">
                  <a14:compatExt spid="_x0000_s24677"/>
                </a:ext>
                <a:ext uri="{FF2B5EF4-FFF2-40B4-BE49-F238E27FC236}">
                  <a16:creationId xmlns:a16="http://schemas.microsoft.com/office/drawing/2014/main" id="{00000000-0008-0000-0000-00006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24678" name="Button 102" hidden="1">
              <a:extLst>
                <a:ext uri="{63B3BB69-23CF-44E3-9099-C40C66FF867C}">
                  <a14:compatExt spid="_x0000_s24678"/>
                </a:ext>
                <a:ext uri="{FF2B5EF4-FFF2-40B4-BE49-F238E27FC236}">
                  <a16:creationId xmlns:a16="http://schemas.microsoft.com/office/drawing/2014/main" id="{00000000-0008-0000-0000-00006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24679" name="Button 103" hidden="1">
              <a:extLst>
                <a:ext uri="{63B3BB69-23CF-44E3-9099-C40C66FF867C}">
                  <a14:compatExt spid="_x0000_s24679"/>
                </a:ext>
                <a:ext uri="{FF2B5EF4-FFF2-40B4-BE49-F238E27FC236}">
                  <a16:creationId xmlns:a16="http://schemas.microsoft.com/office/drawing/2014/main" id="{00000000-0008-0000-0000-00006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24680" name="Button 104" hidden="1">
              <a:extLst>
                <a:ext uri="{63B3BB69-23CF-44E3-9099-C40C66FF867C}">
                  <a14:compatExt spid="_x0000_s24680"/>
                </a:ext>
                <a:ext uri="{FF2B5EF4-FFF2-40B4-BE49-F238E27FC236}">
                  <a16:creationId xmlns:a16="http://schemas.microsoft.com/office/drawing/2014/main" id="{00000000-0008-0000-0000-00006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24681" name="Button 105" hidden="1">
              <a:extLst>
                <a:ext uri="{63B3BB69-23CF-44E3-9099-C40C66FF867C}">
                  <a14:compatExt spid="_x0000_s24681"/>
                </a:ext>
                <a:ext uri="{FF2B5EF4-FFF2-40B4-BE49-F238E27FC236}">
                  <a16:creationId xmlns:a16="http://schemas.microsoft.com/office/drawing/2014/main" id="{00000000-0008-0000-0000-00006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24682" name="Button 106" hidden="1">
              <a:extLst>
                <a:ext uri="{63B3BB69-23CF-44E3-9099-C40C66FF867C}">
                  <a14:compatExt spid="_x0000_s24682"/>
                </a:ext>
                <a:ext uri="{FF2B5EF4-FFF2-40B4-BE49-F238E27FC236}">
                  <a16:creationId xmlns:a16="http://schemas.microsoft.com/office/drawing/2014/main" id="{00000000-0008-0000-0000-00006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24683" name="Button 107" hidden="1">
              <a:extLst>
                <a:ext uri="{63B3BB69-23CF-44E3-9099-C40C66FF867C}">
                  <a14:compatExt spid="_x0000_s24683"/>
                </a:ext>
                <a:ext uri="{FF2B5EF4-FFF2-40B4-BE49-F238E27FC236}">
                  <a16:creationId xmlns:a16="http://schemas.microsoft.com/office/drawing/2014/main" id="{00000000-0008-0000-0000-00006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24684" name="Button 108" hidden="1">
              <a:extLst>
                <a:ext uri="{63B3BB69-23CF-44E3-9099-C40C66FF867C}">
                  <a14:compatExt spid="_x0000_s24684"/>
                </a:ext>
                <a:ext uri="{FF2B5EF4-FFF2-40B4-BE49-F238E27FC236}">
                  <a16:creationId xmlns:a16="http://schemas.microsoft.com/office/drawing/2014/main" id="{00000000-0008-0000-0000-00006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24685" name="Button 109" hidden="1">
              <a:extLst>
                <a:ext uri="{63B3BB69-23CF-44E3-9099-C40C66FF867C}">
                  <a14:compatExt spid="_x0000_s24685"/>
                </a:ext>
                <a:ext uri="{FF2B5EF4-FFF2-40B4-BE49-F238E27FC236}">
                  <a16:creationId xmlns:a16="http://schemas.microsoft.com/office/drawing/2014/main" id="{00000000-0008-0000-0000-00006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24686" name="Button 110" hidden="1">
              <a:extLst>
                <a:ext uri="{63B3BB69-23CF-44E3-9099-C40C66FF867C}">
                  <a14:compatExt spid="_x0000_s24686"/>
                </a:ext>
                <a:ext uri="{FF2B5EF4-FFF2-40B4-BE49-F238E27FC236}">
                  <a16:creationId xmlns:a16="http://schemas.microsoft.com/office/drawing/2014/main" id="{00000000-0008-0000-0000-00006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24687" name="Button 111" hidden="1">
              <a:extLst>
                <a:ext uri="{63B3BB69-23CF-44E3-9099-C40C66FF867C}">
                  <a14:compatExt spid="_x0000_s24687"/>
                </a:ext>
                <a:ext uri="{FF2B5EF4-FFF2-40B4-BE49-F238E27FC236}">
                  <a16:creationId xmlns:a16="http://schemas.microsoft.com/office/drawing/2014/main" id="{00000000-0008-0000-0000-00006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24688" name="Button 112" hidden="1">
              <a:extLst>
                <a:ext uri="{63B3BB69-23CF-44E3-9099-C40C66FF867C}">
                  <a14:compatExt spid="_x0000_s24688"/>
                </a:ext>
                <a:ext uri="{FF2B5EF4-FFF2-40B4-BE49-F238E27FC236}">
                  <a16:creationId xmlns:a16="http://schemas.microsoft.com/office/drawing/2014/main" id="{00000000-0008-0000-0000-00007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24689" name="Button 113" hidden="1">
              <a:extLst>
                <a:ext uri="{63B3BB69-23CF-44E3-9099-C40C66FF867C}">
                  <a14:compatExt spid="_x0000_s24689"/>
                </a:ext>
                <a:ext uri="{FF2B5EF4-FFF2-40B4-BE49-F238E27FC236}">
                  <a16:creationId xmlns:a16="http://schemas.microsoft.com/office/drawing/2014/main" id="{00000000-0008-0000-0000-00007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24690" name="Button 114" hidden="1">
              <a:extLst>
                <a:ext uri="{63B3BB69-23CF-44E3-9099-C40C66FF867C}">
                  <a14:compatExt spid="_x0000_s24690"/>
                </a:ext>
                <a:ext uri="{FF2B5EF4-FFF2-40B4-BE49-F238E27FC236}">
                  <a16:creationId xmlns:a16="http://schemas.microsoft.com/office/drawing/2014/main" id="{00000000-0008-0000-0000-00007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24691" name="Button 115" hidden="1">
              <a:extLst>
                <a:ext uri="{63B3BB69-23CF-44E3-9099-C40C66FF867C}">
                  <a14:compatExt spid="_x0000_s24691"/>
                </a:ext>
                <a:ext uri="{FF2B5EF4-FFF2-40B4-BE49-F238E27FC236}">
                  <a16:creationId xmlns:a16="http://schemas.microsoft.com/office/drawing/2014/main" id="{00000000-0008-0000-0000-00007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24692" name="Button 116" hidden="1">
              <a:extLst>
                <a:ext uri="{63B3BB69-23CF-44E3-9099-C40C66FF867C}">
                  <a14:compatExt spid="_x0000_s24692"/>
                </a:ext>
                <a:ext uri="{FF2B5EF4-FFF2-40B4-BE49-F238E27FC236}">
                  <a16:creationId xmlns:a16="http://schemas.microsoft.com/office/drawing/2014/main" id="{00000000-0008-0000-0000-00007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24693" name="Button 117" hidden="1">
              <a:extLst>
                <a:ext uri="{63B3BB69-23CF-44E3-9099-C40C66FF867C}">
                  <a14:compatExt spid="_x0000_s24693"/>
                </a:ext>
                <a:ext uri="{FF2B5EF4-FFF2-40B4-BE49-F238E27FC236}">
                  <a16:creationId xmlns:a16="http://schemas.microsoft.com/office/drawing/2014/main" id="{00000000-0008-0000-0000-00007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24694" name="Button 118" hidden="1">
              <a:extLst>
                <a:ext uri="{63B3BB69-23CF-44E3-9099-C40C66FF867C}">
                  <a14:compatExt spid="_x0000_s24694"/>
                </a:ext>
                <a:ext uri="{FF2B5EF4-FFF2-40B4-BE49-F238E27FC236}">
                  <a16:creationId xmlns:a16="http://schemas.microsoft.com/office/drawing/2014/main" id="{00000000-0008-0000-0000-00007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24695" name="Button 119" hidden="1">
              <a:extLst>
                <a:ext uri="{63B3BB69-23CF-44E3-9099-C40C66FF867C}">
                  <a14:compatExt spid="_x0000_s24695"/>
                </a:ext>
                <a:ext uri="{FF2B5EF4-FFF2-40B4-BE49-F238E27FC236}">
                  <a16:creationId xmlns:a16="http://schemas.microsoft.com/office/drawing/2014/main" id="{00000000-0008-0000-0000-00007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24696" name="Button 120" hidden="1">
              <a:extLst>
                <a:ext uri="{63B3BB69-23CF-44E3-9099-C40C66FF867C}">
                  <a14:compatExt spid="_x0000_s24696"/>
                </a:ext>
                <a:ext uri="{FF2B5EF4-FFF2-40B4-BE49-F238E27FC236}">
                  <a16:creationId xmlns:a16="http://schemas.microsoft.com/office/drawing/2014/main" id="{00000000-0008-0000-0000-00007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24697" name="Button 121" hidden="1">
              <a:extLst>
                <a:ext uri="{63B3BB69-23CF-44E3-9099-C40C66FF867C}">
                  <a14:compatExt spid="_x0000_s24697"/>
                </a:ext>
                <a:ext uri="{FF2B5EF4-FFF2-40B4-BE49-F238E27FC236}">
                  <a16:creationId xmlns:a16="http://schemas.microsoft.com/office/drawing/2014/main" id="{00000000-0008-0000-0000-00007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24698" name="Button 122" hidden="1">
              <a:extLst>
                <a:ext uri="{63B3BB69-23CF-44E3-9099-C40C66FF867C}">
                  <a14:compatExt spid="_x0000_s24698"/>
                </a:ext>
                <a:ext uri="{FF2B5EF4-FFF2-40B4-BE49-F238E27FC236}">
                  <a16:creationId xmlns:a16="http://schemas.microsoft.com/office/drawing/2014/main" id="{00000000-0008-0000-0000-00007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24699" name="Button 123" hidden="1">
              <a:extLst>
                <a:ext uri="{63B3BB69-23CF-44E3-9099-C40C66FF867C}">
                  <a14:compatExt spid="_x0000_s24699"/>
                </a:ext>
                <a:ext uri="{FF2B5EF4-FFF2-40B4-BE49-F238E27FC236}">
                  <a16:creationId xmlns:a16="http://schemas.microsoft.com/office/drawing/2014/main" id="{00000000-0008-0000-0000-00007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24700" name="Button 124" hidden="1">
              <a:extLst>
                <a:ext uri="{63B3BB69-23CF-44E3-9099-C40C66FF867C}">
                  <a14:compatExt spid="_x0000_s24700"/>
                </a:ext>
                <a:ext uri="{FF2B5EF4-FFF2-40B4-BE49-F238E27FC236}">
                  <a16:creationId xmlns:a16="http://schemas.microsoft.com/office/drawing/2014/main" id="{00000000-0008-0000-0000-00007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24701" name="Button 125" hidden="1">
              <a:extLst>
                <a:ext uri="{63B3BB69-23CF-44E3-9099-C40C66FF867C}">
                  <a14:compatExt spid="_x0000_s24701"/>
                </a:ext>
                <a:ext uri="{FF2B5EF4-FFF2-40B4-BE49-F238E27FC236}">
                  <a16:creationId xmlns:a16="http://schemas.microsoft.com/office/drawing/2014/main" id="{00000000-0008-0000-0000-00007D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24702" name="Button 126" hidden="1">
              <a:extLst>
                <a:ext uri="{63B3BB69-23CF-44E3-9099-C40C66FF867C}">
                  <a14:compatExt spid="_x0000_s24702"/>
                </a:ext>
                <a:ext uri="{FF2B5EF4-FFF2-40B4-BE49-F238E27FC236}">
                  <a16:creationId xmlns:a16="http://schemas.microsoft.com/office/drawing/2014/main" id="{00000000-0008-0000-0000-00007E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24703" name="Button 127" hidden="1">
              <a:extLst>
                <a:ext uri="{63B3BB69-23CF-44E3-9099-C40C66FF867C}">
                  <a14:compatExt spid="_x0000_s24703"/>
                </a:ext>
                <a:ext uri="{FF2B5EF4-FFF2-40B4-BE49-F238E27FC236}">
                  <a16:creationId xmlns:a16="http://schemas.microsoft.com/office/drawing/2014/main" id="{00000000-0008-0000-0000-00007F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24704" name="Button 128" hidden="1">
              <a:extLst>
                <a:ext uri="{63B3BB69-23CF-44E3-9099-C40C66FF867C}">
                  <a14:compatExt spid="_x0000_s24704"/>
                </a:ext>
                <a:ext uri="{FF2B5EF4-FFF2-40B4-BE49-F238E27FC236}">
                  <a16:creationId xmlns:a16="http://schemas.microsoft.com/office/drawing/2014/main" id="{00000000-0008-0000-0000-000080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24705" name="Button 129" hidden="1">
              <a:extLst>
                <a:ext uri="{63B3BB69-23CF-44E3-9099-C40C66FF867C}">
                  <a14:compatExt spid="_x0000_s24705"/>
                </a:ext>
                <a:ext uri="{FF2B5EF4-FFF2-40B4-BE49-F238E27FC236}">
                  <a16:creationId xmlns:a16="http://schemas.microsoft.com/office/drawing/2014/main" id="{00000000-0008-0000-0000-000081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24706" name="Button 130" hidden="1">
              <a:extLst>
                <a:ext uri="{63B3BB69-23CF-44E3-9099-C40C66FF867C}">
                  <a14:compatExt spid="_x0000_s24706"/>
                </a:ext>
                <a:ext uri="{FF2B5EF4-FFF2-40B4-BE49-F238E27FC236}">
                  <a16:creationId xmlns:a16="http://schemas.microsoft.com/office/drawing/2014/main" id="{00000000-0008-0000-0000-00008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24707" name="Button 131" hidden="1">
              <a:extLst>
                <a:ext uri="{63B3BB69-23CF-44E3-9099-C40C66FF867C}">
                  <a14:compatExt spid="_x0000_s24707"/>
                </a:ext>
                <a:ext uri="{FF2B5EF4-FFF2-40B4-BE49-F238E27FC236}">
                  <a16:creationId xmlns:a16="http://schemas.microsoft.com/office/drawing/2014/main" id="{00000000-0008-0000-0000-00008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24708" name="Button 132" hidden="1">
              <a:extLst>
                <a:ext uri="{63B3BB69-23CF-44E3-9099-C40C66FF867C}">
                  <a14:compatExt spid="_x0000_s24708"/>
                </a:ext>
                <a:ext uri="{FF2B5EF4-FFF2-40B4-BE49-F238E27FC236}">
                  <a16:creationId xmlns:a16="http://schemas.microsoft.com/office/drawing/2014/main" id="{00000000-0008-0000-0000-000084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24709" name="Button 133" hidden="1">
              <a:extLst>
                <a:ext uri="{63B3BB69-23CF-44E3-9099-C40C66FF867C}">
                  <a14:compatExt spid="_x0000_s24709"/>
                </a:ext>
                <a:ext uri="{FF2B5EF4-FFF2-40B4-BE49-F238E27FC236}">
                  <a16:creationId xmlns:a16="http://schemas.microsoft.com/office/drawing/2014/main" id="{00000000-0008-0000-0000-00008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24710" name="Button 134" hidden="1">
              <a:extLst>
                <a:ext uri="{63B3BB69-23CF-44E3-9099-C40C66FF867C}">
                  <a14:compatExt spid="_x0000_s24710"/>
                </a:ext>
                <a:ext uri="{FF2B5EF4-FFF2-40B4-BE49-F238E27FC236}">
                  <a16:creationId xmlns:a16="http://schemas.microsoft.com/office/drawing/2014/main" id="{00000000-0008-0000-0000-00008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24711" name="Button 135" hidden="1">
              <a:extLst>
                <a:ext uri="{63B3BB69-23CF-44E3-9099-C40C66FF867C}">
                  <a14:compatExt spid="_x0000_s24711"/>
                </a:ext>
                <a:ext uri="{FF2B5EF4-FFF2-40B4-BE49-F238E27FC236}">
                  <a16:creationId xmlns:a16="http://schemas.microsoft.com/office/drawing/2014/main" id="{00000000-0008-0000-0000-000087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24712" name="Button 136" hidden="1">
              <a:extLst>
                <a:ext uri="{63B3BB69-23CF-44E3-9099-C40C66FF867C}">
                  <a14:compatExt spid="_x0000_s24712"/>
                </a:ext>
                <a:ext uri="{FF2B5EF4-FFF2-40B4-BE49-F238E27FC236}">
                  <a16:creationId xmlns:a16="http://schemas.microsoft.com/office/drawing/2014/main" id="{00000000-0008-0000-0000-000088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24713" name="Button 137" hidden="1">
              <a:extLst>
                <a:ext uri="{63B3BB69-23CF-44E3-9099-C40C66FF867C}">
                  <a14:compatExt spid="_x0000_s24713"/>
                </a:ext>
                <a:ext uri="{FF2B5EF4-FFF2-40B4-BE49-F238E27FC236}">
                  <a16:creationId xmlns:a16="http://schemas.microsoft.com/office/drawing/2014/main" id="{00000000-0008-0000-0000-000089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월말정산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24714" name="Button 138" hidden="1">
              <a:extLst>
                <a:ext uri="{63B3BB69-23CF-44E3-9099-C40C66FF867C}">
                  <a14:compatExt spid="_x0000_s24714"/>
                </a:ext>
                <a:ext uri="{FF2B5EF4-FFF2-40B4-BE49-F238E27FC236}">
                  <a16:creationId xmlns:a16="http://schemas.microsoft.com/office/drawing/2014/main" id="{00000000-0008-0000-0000-00008A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24715" name="Button 139" hidden="1">
              <a:extLst>
                <a:ext uri="{63B3BB69-23CF-44E3-9099-C40C66FF867C}">
                  <a14:compatExt spid="_x0000_s24715"/>
                </a:ext>
                <a:ext uri="{FF2B5EF4-FFF2-40B4-BE49-F238E27FC236}">
                  <a16:creationId xmlns:a16="http://schemas.microsoft.com/office/drawing/2014/main" id="{00000000-0008-0000-0000-00008B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24716" name="Button 140" hidden="1">
              <a:extLst>
                <a:ext uri="{63B3BB69-23CF-44E3-9099-C40C66FF867C}">
                  <a14:compatExt spid="_x0000_s24716"/>
                </a:ext>
                <a:ext uri="{FF2B5EF4-FFF2-40B4-BE49-F238E27FC236}">
                  <a16:creationId xmlns:a16="http://schemas.microsoft.com/office/drawing/2014/main" id="{00000000-0008-0000-0000-00008C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1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77" name="Button 57" hidden="1">
              <a:extLst>
                <a:ext uri="{63B3BB69-23CF-44E3-9099-C40C66FF867C}">
                  <a14:compatExt spid="_x0000_s5177"/>
                </a:ext>
                <a:ext uri="{FF2B5EF4-FFF2-40B4-BE49-F238E27FC236}">
                  <a16:creationId xmlns:a16="http://schemas.microsoft.com/office/drawing/2014/main" id="{00000000-0008-0000-0100-00003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5183" name="Button 63" hidden="1">
              <a:extLst>
                <a:ext uri="{63B3BB69-23CF-44E3-9099-C40C66FF867C}">
                  <a14:compatExt spid="_x0000_s5183"/>
                </a:ext>
                <a:ext uri="{FF2B5EF4-FFF2-40B4-BE49-F238E27FC236}">
                  <a16:creationId xmlns:a16="http://schemas.microsoft.com/office/drawing/2014/main" id="{00000000-0008-0000-0100-00003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5180" name="Button 60" hidden="1">
              <a:extLst>
                <a:ext uri="{63B3BB69-23CF-44E3-9099-C40C66FF867C}">
                  <a14:compatExt spid="_x0000_s5180"/>
                </a:ext>
                <a:ext uri="{FF2B5EF4-FFF2-40B4-BE49-F238E27FC236}">
                  <a16:creationId xmlns:a16="http://schemas.microsoft.com/office/drawing/2014/main" id="{00000000-0008-0000-0100-00003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5178" name="Button 58" hidden="1">
              <a:extLst>
                <a:ext uri="{63B3BB69-23CF-44E3-9099-C40C66FF867C}">
                  <a14:compatExt spid="_x0000_s5178"/>
                </a:ext>
                <a:ext uri="{FF2B5EF4-FFF2-40B4-BE49-F238E27FC236}">
                  <a16:creationId xmlns:a16="http://schemas.microsoft.com/office/drawing/2014/main" id="{00000000-0008-0000-0100-00003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5179" name="Button 59" hidden="1">
              <a:extLst>
                <a:ext uri="{63B3BB69-23CF-44E3-9099-C40C66FF867C}">
                  <a14:compatExt spid="_x0000_s5179"/>
                </a:ext>
                <a:ext uri="{FF2B5EF4-FFF2-40B4-BE49-F238E27FC236}">
                  <a16:creationId xmlns:a16="http://schemas.microsoft.com/office/drawing/2014/main" id="{00000000-0008-0000-0100-00003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5181" name="Button 61" hidden="1">
              <a:extLst>
                <a:ext uri="{63B3BB69-23CF-44E3-9099-C40C66FF867C}">
                  <a14:compatExt spid="_x0000_s5181"/>
                </a:ext>
                <a:ext uri="{FF2B5EF4-FFF2-40B4-BE49-F238E27FC236}">
                  <a16:creationId xmlns:a16="http://schemas.microsoft.com/office/drawing/2014/main" id="{00000000-0008-0000-0100-00003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5237" name="Button 117" hidden="1">
              <a:extLst>
                <a:ext uri="{63B3BB69-23CF-44E3-9099-C40C66FF867C}">
                  <a14:compatExt spid="_x0000_s5237"/>
                </a:ext>
                <a:ext uri="{FF2B5EF4-FFF2-40B4-BE49-F238E27FC236}">
                  <a16:creationId xmlns:a16="http://schemas.microsoft.com/office/drawing/2014/main" id="{00000000-0008-0000-0100-00007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5238" name="Button 118" hidden="1">
              <a:extLst>
                <a:ext uri="{63B3BB69-23CF-44E3-9099-C40C66FF867C}">
                  <a14:compatExt spid="_x0000_s5238"/>
                </a:ext>
                <a:ext uri="{FF2B5EF4-FFF2-40B4-BE49-F238E27FC236}">
                  <a16:creationId xmlns:a16="http://schemas.microsoft.com/office/drawing/2014/main" id="{00000000-0008-0000-0100-00007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5239" name="Button 119" hidden="1">
              <a:extLst>
                <a:ext uri="{63B3BB69-23CF-44E3-9099-C40C66FF867C}">
                  <a14:compatExt spid="_x0000_s5239"/>
                </a:ext>
                <a:ext uri="{FF2B5EF4-FFF2-40B4-BE49-F238E27FC236}">
                  <a16:creationId xmlns:a16="http://schemas.microsoft.com/office/drawing/2014/main" id="{00000000-0008-0000-0100-00007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5182" name="Button 62" hidden="1">
              <a:extLst>
                <a:ext uri="{63B3BB69-23CF-44E3-9099-C40C66FF867C}">
                  <a14:compatExt spid="_x0000_s5182"/>
                </a:ext>
                <a:ext uri="{FF2B5EF4-FFF2-40B4-BE49-F238E27FC236}">
                  <a16:creationId xmlns:a16="http://schemas.microsoft.com/office/drawing/2014/main" id="{00000000-0008-0000-0100-00003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5240" name="Button 120" hidden="1">
              <a:extLst>
                <a:ext uri="{63B3BB69-23CF-44E3-9099-C40C66FF867C}">
                  <a14:compatExt spid="_x0000_s5240"/>
                </a:ext>
                <a:ext uri="{FF2B5EF4-FFF2-40B4-BE49-F238E27FC236}">
                  <a16:creationId xmlns:a16="http://schemas.microsoft.com/office/drawing/2014/main" id="{00000000-0008-0000-0100-00007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5184" name="Button 64" hidden="1">
              <a:extLst>
                <a:ext uri="{63B3BB69-23CF-44E3-9099-C40C66FF867C}">
                  <a14:compatExt spid="_x0000_s5184"/>
                </a:ext>
                <a:ext uri="{FF2B5EF4-FFF2-40B4-BE49-F238E27FC236}">
                  <a16:creationId xmlns:a16="http://schemas.microsoft.com/office/drawing/2014/main" id="{00000000-0008-0000-0100-00004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5313" name="Button 193" hidden="1">
              <a:extLst>
                <a:ext uri="{63B3BB69-23CF-44E3-9099-C40C66FF867C}">
                  <a14:compatExt spid="_x0000_s5313"/>
                </a:ext>
                <a:ext uri="{FF2B5EF4-FFF2-40B4-BE49-F238E27FC236}">
                  <a16:creationId xmlns:a16="http://schemas.microsoft.com/office/drawing/2014/main" id="{00000000-0008-0000-0100-0000C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5315" name="Button 195" hidden="1">
              <a:extLst>
                <a:ext uri="{63B3BB69-23CF-44E3-9099-C40C66FF867C}">
                  <a14:compatExt spid="_x0000_s5315"/>
                </a:ext>
                <a:ext uri="{FF2B5EF4-FFF2-40B4-BE49-F238E27FC236}">
                  <a16:creationId xmlns:a16="http://schemas.microsoft.com/office/drawing/2014/main" id="{00000000-0008-0000-0100-0000C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5316" name="Button 196" hidden="1">
              <a:extLst>
                <a:ext uri="{63B3BB69-23CF-44E3-9099-C40C66FF867C}">
                  <a14:compatExt spid="_x0000_s5316"/>
                </a:ext>
                <a:ext uri="{FF2B5EF4-FFF2-40B4-BE49-F238E27FC236}">
                  <a16:creationId xmlns:a16="http://schemas.microsoft.com/office/drawing/2014/main" id="{00000000-0008-0000-0100-0000C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5318" name="Button 198" hidden="1">
              <a:extLst>
                <a:ext uri="{63B3BB69-23CF-44E3-9099-C40C66FF867C}">
                  <a14:compatExt spid="_x0000_s5318"/>
                </a:ext>
                <a:ext uri="{FF2B5EF4-FFF2-40B4-BE49-F238E27FC236}">
                  <a16:creationId xmlns:a16="http://schemas.microsoft.com/office/drawing/2014/main" id="{00000000-0008-0000-0100-0000C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5319" name="Button 199" hidden="1">
              <a:extLst>
                <a:ext uri="{63B3BB69-23CF-44E3-9099-C40C66FF867C}">
                  <a14:compatExt spid="_x0000_s5319"/>
                </a:ext>
                <a:ext uri="{FF2B5EF4-FFF2-40B4-BE49-F238E27FC236}">
                  <a16:creationId xmlns:a16="http://schemas.microsoft.com/office/drawing/2014/main" id="{00000000-0008-0000-0100-0000C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5333" name="Button 213" hidden="1">
              <a:extLst>
                <a:ext uri="{63B3BB69-23CF-44E3-9099-C40C66FF867C}">
                  <a14:compatExt spid="_x0000_s5333"/>
                </a:ext>
                <a:ext uri="{FF2B5EF4-FFF2-40B4-BE49-F238E27FC236}">
                  <a16:creationId xmlns:a16="http://schemas.microsoft.com/office/drawing/2014/main" id="{00000000-0008-0000-0100-0000D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5335" name="Button 215" hidden="1">
              <a:extLst>
                <a:ext uri="{63B3BB69-23CF-44E3-9099-C40C66FF867C}">
                  <a14:compatExt spid="_x0000_s5335"/>
                </a:ext>
                <a:ext uri="{FF2B5EF4-FFF2-40B4-BE49-F238E27FC236}">
                  <a16:creationId xmlns:a16="http://schemas.microsoft.com/office/drawing/2014/main" id="{00000000-0008-0000-0100-0000D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5336" name="Button 216" hidden="1">
              <a:extLst>
                <a:ext uri="{63B3BB69-23CF-44E3-9099-C40C66FF867C}">
                  <a14:compatExt spid="_x0000_s5336"/>
                </a:ext>
                <a:ext uri="{FF2B5EF4-FFF2-40B4-BE49-F238E27FC236}">
                  <a16:creationId xmlns:a16="http://schemas.microsoft.com/office/drawing/2014/main" id="{00000000-0008-0000-0100-0000D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5338" name="Button 218" hidden="1">
              <a:extLst>
                <a:ext uri="{63B3BB69-23CF-44E3-9099-C40C66FF867C}">
                  <a14:compatExt spid="_x0000_s5338"/>
                </a:ext>
                <a:ext uri="{FF2B5EF4-FFF2-40B4-BE49-F238E27FC236}">
                  <a16:creationId xmlns:a16="http://schemas.microsoft.com/office/drawing/2014/main" id="{00000000-0008-0000-0100-0000D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5339" name="Button 219" hidden="1">
              <a:extLst>
                <a:ext uri="{63B3BB69-23CF-44E3-9099-C40C66FF867C}">
                  <a14:compatExt spid="_x0000_s5339"/>
                </a:ext>
                <a:ext uri="{FF2B5EF4-FFF2-40B4-BE49-F238E27FC236}">
                  <a16:creationId xmlns:a16="http://schemas.microsoft.com/office/drawing/2014/main" id="{00000000-0008-0000-0100-0000D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5353" name="Button 233" hidden="1">
              <a:extLst>
                <a:ext uri="{63B3BB69-23CF-44E3-9099-C40C66FF867C}">
                  <a14:compatExt spid="_x0000_s5353"/>
                </a:ext>
                <a:ext uri="{FF2B5EF4-FFF2-40B4-BE49-F238E27FC236}">
                  <a16:creationId xmlns:a16="http://schemas.microsoft.com/office/drawing/2014/main" id="{00000000-0008-0000-0100-0000E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5355" name="Button 235" hidden="1">
              <a:extLst>
                <a:ext uri="{63B3BB69-23CF-44E3-9099-C40C66FF867C}">
                  <a14:compatExt spid="_x0000_s5355"/>
                </a:ext>
                <a:ext uri="{FF2B5EF4-FFF2-40B4-BE49-F238E27FC236}">
                  <a16:creationId xmlns:a16="http://schemas.microsoft.com/office/drawing/2014/main" id="{00000000-0008-0000-0100-0000E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5356" name="Button 236" hidden="1">
              <a:extLst>
                <a:ext uri="{63B3BB69-23CF-44E3-9099-C40C66FF867C}">
                  <a14:compatExt spid="_x0000_s5356"/>
                </a:ext>
                <a:ext uri="{FF2B5EF4-FFF2-40B4-BE49-F238E27FC236}">
                  <a16:creationId xmlns:a16="http://schemas.microsoft.com/office/drawing/2014/main" id="{00000000-0008-0000-0100-0000E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5358" name="Button 238" hidden="1">
              <a:extLst>
                <a:ext uri="{63B3BB69-23CF-44E3-9099-C40C66FF867C}">
                  <a14:compatExt spid="_x0000_s5358"/>
                </a:ext>
                <a:ext uri="{FF2B5EF4-FFF2-40B4-BE49-F238E27FC236}">
                  <a16:creationId xmlns:a16="http://schemas.microsoft.com/office/drawing/2014/main" id="{00000000-0008-0000-0100-0000E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5359" name="Button 239" hidden="1">
              <a:extLst>
                <a:ext uri="{63B3BB69-23CF-44E3-9099-C40C66FF867C}">
                  <a14:compatExt spid="_x0000_s5359"/>
                </a:ext>
                <a:ext uri="{FF2B5EF4-FFF2-40B4-BE49-F238E27FC236}">
                  <a16:creationId xmlns:a16="http://schemas.microsoft.com/office/drawing/2014/main" id="{00000000-0008-0000-0100-0000E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5360" name="Button 240" hidden="1">
              <a:extLst>
                <a:ext uri="{63B3BB69-23CF-44E3-9099-C40C66FF867C}">
                  <a14:compatExt spid="_x0000_s5360"/>
                </a:ext>
                <a:ext uri="{FF2B5EF4-FFF2-40B4-BE49-F238E27FC236}">
                  <a16:creationId xmlns:a16="http://schemas.microsoft.com/office/drawing/2014/main" id="{00000000-0008-0000-0100-0000F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5373" name="Button 253" hidden="1">
              <a:extLst>
                <a:ext uri="{63B3BB69-23CF-44E3-9099-C40C66FF867C}">
                  <a14:compatExt spid="_x0000_s5373"/>
                </a:ext>
                <a:ext uri="{FF2B5EF4-FFF2-40B4-BE49-F238E27FC236}">
                  <a16:creationId xmlns:a16="http://schemas.microsoft.com/office/drawing/2014/main" id="{00000000-0008-0000-0100-0000F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5375" name="Button 255" hidden="1">
              <a:extLst>
                <a:ext uri="{63B3BB69-23CF-44E3-9099-C40C66FF867C}">
                  <a14:compatExt spid="_x0000_s5375"/>
                </a:ext>
                <a:ext uri="{FF2B5EF4-FFF2-40B4-BE49-F238E27FC236}">
                  <a16:creationId xmlns:a16="http://schemas.microsoft.com/office/drawing/2014/main" id="{00000000-0008-0000-0100-0000F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5376" name="Button 256" hidden="1">
              <a:extLst>
                <a:ext uri="{63B3BB69-23CF-44E3-9099-C40C66FF867C}">
                  <a14:compatExt spid="_x0000_s5376"/>
                </a:ext>
                <a:ext uri="{FF2B5EF4-FFF2-40B4-BE49-F238E27FC236}">
                  <a16:creationId xmlns:a16="http://schemas.microsoft.com/office/drawing/2014/main" id="{00000000-0008-0000-0100-00000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5378" name="Button 258" hidden="1">
              <a:extLst>
                <a:ext uri="{63B3BB69-23CF-44E3-9099-C40C66FF867C}">
                  <a14:compatExt spid="_x0000_s5378"/>
                </a:ext>
                <a:ext uri="{FF2B5EF4-FFF2-40B4-BE49-F238E27FC236}">
                  <a16:creationId xmlns:a16="http://schemas.microsoft.com/office/drawing/2014/main" id="{00000000-0008-0000-0100-00000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5379" name="Button 259" hidden="1">
              <a:extLst>
                <a:ext uri="{63B3BB69-23CF-44E3-9099-C40C66FF867C}">
                  <a14:compatExt spid="_x0000_s5379"/>
                </a:ext>
                <a:ext uri="{FF2B5EF4-FFF2-40B4-BE49-F238E27FC236}">
                  <a16:creationId xmlns:a16="http://schemas.microsoft.com/office/drawing/2014/main" id="{00000000-0008-0000-0100-00000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5393" name="Button 273" hidden="1">
              <a:extLst>
                <a:ext uri="{63B3BB69-23CF-44E3-9099-C40C66FF867C}">
                  <a14:compatExt spid="_x0000_s5393"/>
                </a:ext>
                <a:ext uri="{FF2B5EF4-FFF2-40B4-BE49-F238E27FC236}">
                  <a16:creationId xmlns:a16="http://schemas.microsoft.com/office/drawing/2014/main" id="{00000000-0008-0000-0100-00001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5395" name="Button 275" hidden="1">
              <a:extLst>
                <a:ext uri="{63B3BB69-23CF-44E3-9099-C40C66FF867C}">
                  <a14:compatExt spid="_x0000_s5395"/>
                </a:ext>
                <a:ext uri="{FF2B5EF4-FFF2-40B4-BE49-F238E27FC236}">
                  <a16:creationId xmlns:a16="http://schemas.microsoft.com/office/drawing/2014/main" id="{00000000-0008-0000-0100-00001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5396" name="Button 276" hidden="1">
              <a:extLst>
                <a:ext uri="{63B3BB69-23CF-44E3-9099-C40C66FF867C}">
                  <a14:compatExt spid="_x0000_s5396"/>
                </a:ext>
                <a:ext uri="{FF2B5EF4-FFF2-40B4-BE49-F238E27FC236}">
                  <a16:creationId xmlns:a16="http://schemas.microsoft.com/office/drawing/2014/main" id="{00000000-0008-0000-0100-00001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5398" name="Button 278" hidden="1">
              <a:extLst>
                <a:ext uri="{63B3BB69-23CF-44E3-9099-C40C66FF867C}">
                  <a14:compatExt spid="_x0000_s5398"/>
                </a:ext>
                <a:ext uri="{FF2B5EF4-FFF2-40B4-BE49-F238E27FC236}">
                  <a16:creationId xmlns:a16="http://schemas.microsoft.com/office/drawing/2014/main" id="{00000000-0008-0000-0100-00001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5399" name="Button 279" hidden="1">
              <a:extLst>
                <a:ext uri="{63B3BB69-23CF-44E3-9099-C40C66FF867C}">
                  <a14:compatExt spid="_x0000_s5399"/>
                </a:ext>
                <a:ext uri="{FF2B5EF4-FFF2-40B4-BE49-F238E27FC236}">
                  <a16:creationId xmlns:a16="http://schemas.microsoft.com/office/drawing/2014/main" id="{00000000-0008-0000-0100-00001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5413" name="Button 293" hidden="1">
              <a:extLst>
                <a:ext uri="{63B3BB69-23CF-44E3-9099-C40C66FF867C}">
                  <a14:compatExt spid="_x0000_s5413"/>
                </a:ext>
                <a:ext uri="{FF2B5EF4-FFF2-40B4-BE49-F238E27FC236}">
                  <a16:creationId xmlns:a16="http://schemas.microsoft.com/office/drawing/2014/main" id="{00000000-0008-0000-0100-00002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5415" name="Button 295" hidden="1">
              <a:extLst>
                <a:ext uri="{63B3BB69-23CF-44E3-9099-C40C66FF867C}">
                  <a14:compatExt spid="_x0000_s5415"/>
                </a:ext>
                <a:ext uri="{FF2B5EF4-FFF2-40B4-BE49-F238E27FC236}">
                  <a16:creationId xmlns:a16="http://schemas.microsoft.com/office/drawing/2014/main" id="{00000000-0008-0000-0100-00002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5416" name="Button 296" hidden="1">
              <a:extLst>
                <a:ext uri="{63B3BB69-23CF-44E3-9099-C40C66FF867C}">
                  <a14:compatExt spid="_x0000_s5416"/>
                </a:ext>
                <a:ext uri="{FF2B5EF4-FFF2-40B4-BE49-F238E27FC236}">
                  <a16:creationId xmlns:a16="http://schemas.microsoft.com/office/drawing/2014/main" id="{00000000-0008-0000-0100-00002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5418" name="Button 298" hidden="1">
              <a:extLst>
                <a:ext uri="{63B3BB69-23CF-44E3-9099-C40C66FF867C}">
                  <a14:compatExt spid="_x0000_s5418"/>
                </a:ext>
                <a:ext uri="{FF2B5EF4-FFF2-40B4-BE49-F238E27FC236}">
                  <a16:creationId xmlns:a16="http://schemas.microsoft.com/office/drawing/2014/main" id="{00000000-0008-0000-0100-00002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5419" name="Button 299" hidden="1">
              <a:extLst>
                <a:ext uri="{63B3BB69-23CF-44E3-9099-C40C66FF867C}">
                  <a14:compatExt spid="_x0000_s5419"/>
                </a:ext>
                <a:ext uri="{FF2B5EF4-FFF2-40B4-BE49-F238E27FC236}">
                  <a16:creationId xmlns:a16="http://schemas.microsoft.com/office/drawing/2014/main" id="{00000000-0008-0000-0100-00002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5320" name="Button 200" hidden="1">
              <a:extLst>
                <a:ext uri="{63B3BB69-23CF-44E3-9099-C40C66FF867C}">
                  <a14:compatExt spid="_x0000_s5320"/>
                </a:ext>
                <a:ext uri="{FF2B5EF4-FFF2-40B4-BE49-F238E27FC236}">
                  <a16:creationId xmlns:a16="http://schemas.microsoft.com/office/drawing/2014/main" id="{00000000-0008-0000-0100-0000C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5325" name="Button 205" hidden="1">
              <a:extLst>
                <a:ext uri="{63B3BB69-23CF-44E3-9099-C40C66FF867C}">
                  <a14:compatExt spid="_x0000_s5325"/>
                </a:ext>
                <a:ext uri="{FF2B5EF4-FFF2-40B4-BE49-F238E27FC236}">
                  <a16:creationId xmlns:a16="http://schemas.microsoft.com/office/drawing/2014/main" id="{00000000-0008-0000-0100-0000C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5327" name="Button 207" hidden="1">
              <a:extLst>
                <a:ext uri="{63B3BB69-23CF-44E3-9099-C40C66FF867C}">
                  <a14:compatExt spid="_x0000_s5327"/>
                </a:ext>
                <a:ext uri="{FF2B5EF4-FFF2-40B4-BE49-F238E27FC236}">
                  <a16:creationId xmlns:a16="http://schemas.microsoft.com/office/drawing/2014/main" id="{00000000-0008-0000-0100-0000C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5321" name="Button 201" hidden="1">
              <a:extLst>
                <a:ext uri="{63B3BB69-23CF-44E3-9099-C40C66FF867C}">
                  <a14:compatExt spid="_x0000_s5321"/>
                </a:ext>
                <a:ext uri="{FF2B5EF4-FFF2-40B4-BE49-F238E27FC236}">
                  <a16:creationId xmlns:a16="http://schemas.microsoft.com/office/drawing/2014/main" id="{00000000-0008-0000-0100-0000C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5322" name="Button 202" hidden="1">
              <a:extLst>
                <a:ext uri="{63B3BB69-23CF-44E3-9099-C40C66FF867C}">
                  <a14:compatExt spid="_x0000_s5322"/>
                </a:ext>
                <a:ext uri="{FF2B5EF4-FFF2-40B4-BE49-F238E27FC236}">
                  <a16:creationId xmlns:a16="http://schemas.microsoft.com/office/drawing/2014/main" id="{00000000-0008-0000-0100-0000C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5323" name="Button 203" hidden="1">
              <a:extLst>
                <a:ext uri="{63B3BB69-23CF-44E3-9099-C40C66FF867C}">
                  <a14:compatExt spid="_x0000_s5323"/>
                </a:ext>
                <a:ext uri="{FF2B5EF4-FFF2-40B4-BE49-F238E27FC236}">
                  <a16:creationId xmlns:a16="http://schemas.microsoft.com/office/drawing/2014/main" id="{00000000-0008-0000-0100-0000C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5328" name="Button 208" hidden="1">
              <a:extLst>
                <a:ext uri="{63B3BB69-23CF-44E3-9099-C40C66FF867C}">
                  <a14:compatExt spid="_x0000_s5328"/>
                </a:ext>
                <a:ext uri="{FF2B5EF4-FFF2-40B4-BE49-F238E27FC236}">
                  <a16:creationId xmlns:a16="http://schemas.microsoft.com/office/drawing/2014/main" id="{00000000-0008-0000-0100-0000D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5329" name="Button 209" hidden="1">
              <a:extLst>
                <a:ext uri="{63B3BB69-23CF-44E3-9099-C40C66FF867C}">
                  <a14:compatExt spid="_x0000_s5329"/>
                </a:ext>
                <a:ext uri="{FF2B5EF4-FFF2-40B4-BE49-F238E27FC236}">
                  <a16:creationId xmlns:a16="http://schemas.microsoft.com/office/drawing/2014/main" id="{00000000-0008-0000-0100-0000D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5330" name="Button 210" hidden="1">
              <a:extLst>
                <a:ext uri="{63B3BB69-23CF-44E3-9099-C40C66FF867C}">
                  <a14:compatExt spid="_x0000_s5330"/>
                </a:ext>
                <a:ext uri="{FF2B5EF4-FFF2-40B4-BE49-F238E27FC236}">
                  <a16:creationId xmlns:a16="http://schemas.microsoft.com/office/drawing/2014/main" id="{00000000-0008-0000-0100-0000D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5324" name="Button 204" hidden="1">
              <a:extLst>
                <a:ext uri="{63B3BB69-23CF-44E3-9099-C40C66FF867C}">
                  <a14:compatExt spid="_x0000_s5324"/>
                </a:ext>
                <a:ext uri="{FF2B5EF4-FFF2-40B4-BE49-F238E27FC236}">
                  <a16:creationId xmlns:a16="http://schemas.microsoft.com/office/drawing/2014/main" id="{00000000-0008-0000-0100-0000C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5331" name="Button 211" hidden="1">
              <a:extLst>
                <a:ext uri="{63B3BB69-23CF-44E3-9099-C40C66FF867C}">
                  <a14:compatExt spid="_x0000_s5331"/>
                </a:ext>
                <a:ext uri="{FF2B5EF4-FFF2-40B4-BE49-F238E27FC236}">
                  <a16:creationId xmlns:a16="http://schemas.microsoft.com/office/drawing/2014/main" id="{00000000-0008-0000-0100-0000D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5332" name="Button 212" hidden="1">
              <a:extLst>
                <a:ext uri="{63B3BB69-23CF-44E3-9099-C40C66FF867C}">
                  <a14:compatExt spid="_x0000_s5332"/>
                </a:ext>
                <a:ext uri="{FF2B5EF4-FFF2-40B4-BE49-F238E27FC236}">
                  <a16:creationId xmlns:a16="http://schemas.microsoft.com/office/drawing/2014/main" id="{00000000-0008-0000-0100-0000D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5314" name="Button 194" hidden="1">
              <a:extLst>
                <a:ext uri="{63B3BB69-23CF-44E3-9099-C40C66FF867C}">
                  <a14:compatExt spid="_x0000_s5314"/>
                </a:ext>
                <a:ext uri="{FF2B5EF4-FFF2-40B4-BE49-F238E27FC236}">
                  <a16:creationId xmlns:a16="http://schemas.microsoft.com/office/drawing/2014/main" id="{00000000-0008-0000-0100-0000C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5317" name="Button 197" hidden="1">
              <a:extLst>
                <a:ext uri="{63B3BB69-23CF-44E3-9099-C40C66FF867C}">
                  <a14:compatExt spid="_x0000_s5317"/>
                </a:ext>
                <a:ext uri="{FF2B5EF4-FFF2-40B4-BE49-F238E27FC236}">
                  <a16:creationId xmlns:a16="http://schemas.microsoft.com/office/drawing/2014/main" id="{00000000-0008-0000-0100-0000C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5326" name="Button 206" hidden="1">
              <a:extLst>
                <a:ext uri="{63B3BB69-23CF-44E3-9099-C40C66FF867C}">
                  <a14:compatExt spid="_x0000_s5326"/>
                </a:ext>
                <a:ext uri="{FF2B5EF4-FFF2-40B4-BE49-F238E27FC236}">
                  <a16:creationId xmlns:a16="http://schemas.microsoft.com/office/drawing/2014/main" id="{00000000-0008-0000-0100-0000C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5340" name="Button 220" hidden="1">
              <a:extLst>
                <a:ext uri="{63B3BB69-23CF-44E3-9099-C40C66FF867C}">
                  <a14:compatExt spid="_x0000_s5340"/>
                </a:ext>
                <a:ext uri="{FF2B5EF4-FFF2-40B4-BE49-F238E27FC236}">
                  <a16:creationId xmlns:a16="http://schemas.microsoft.com/office/drawing/2014/main" id="{00000000-0008-0000-0100-0000D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5345" name="Button 225" hidden="1">
              <a:extLst>
                <a:ext uri="{63B3BB69-23CF-44E3-9099-C40C66FF867C}">
                  <a14:compatExt spid="_x0000_s5345"/>
                </a:ext>
                <a:ext uri="{FF2B5EF4-FFF2-40B4-BE49-F238E27FC236}">
                  <a16:creationId xmlns:a16="http://schemas.microsoft.com/office/drawing/2014/main" id="{00000000-0008-0000-0100-0000E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5347" name="Button 227" hidden="1">
              <a:extLst>
                <a:ext uri="{63B3BB69-23CF-44E3-9099-C40C66FF867C}">
                  <a14:compatExt spid="_x0000_s5347"/>
                </a:ext>
                <a:ext uri="{FF2B5EF4-FFF2-40B4-BE49-F238E27FC236}">
                  <a16:creationId xmlns:a16="http://schemas.microsoft.com/office/drawing/2014/main" id="{00000000-0008-0000-0100-0000E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5341" name="Button 221" hidden="1">
              <a:extLst>
                <a:ext uri="{63B3BB69-23CF-44E3-9099-C40C66FF867C}">
                  <a14:compatExt spid="_x0000_s5341"/>
                </a:ext>
                <a:ext uri="{FF2B5EF4-FFF2-40B4-BE49-F238E27FC236}">
                  <a16:creationId xmlns:a16="http://schemas.microsoft.com/office/drawing/2014/main" id="{00000000-0008-0000-0100-0000D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5342" name="Button 222" hidden="1">
              <a:extLst>
                <a:ext uri="{63B3BB69-23CF-44E3-9099-C40C66FF867C}">
                  <a14:compatExt spid="_x0000_s5342"/>
                </a:ext>
                <a:ext uri="{FF2B5EF4-FFF2-40B4-BE49-F238E27FC236}">
                  <a16:creationId xmlns:a16="http://schemas.microsoft.com/office/drawing/2014/main" id="{00000000-0008-0000-0100-0000D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5343" name="Button 223" hidden="1">
              <a:extLst>
                <a:ext uri="{63B3BB69-23CF-44E3-9099-C40C66FF867C}">
                  <a14:compatExt spid="_x0000_s5343"/>
                </a:ext>
                <a:ext uri="{FF2B5EF4-FFF2-40B4-BE49-F238E27FC236}">
                  <a16:creationId xmlns:a16="http://schemas.microsoft.com/office/drawing/2014/main" id="{00000000-0008-0000-0100-0000D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5348" name="Button 228" hidden="1">
              <a:extLst>
                <a:ext uri="{63B3BB69-23CF-44E3-9099-C40C66FF867C}">
                  <a14:compatExt spid="_x0000_s5348"/>
                </a:ext>
                <a:ext uri="{FF2B5EF4-FFF2-40B4-BE49-F238E27FC236}">
                  <a16:creationId xmlns:a16="http://schemas.microsoft.com/office/drawing/2014/main" id="{00000000-0008-0000-0100-0000E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5349" name="Button 229" hidden="1">
              <a:extLst>
                <a:ext uri="{63B3BB69-23CF-44E3-9099-C40C66FF867C}">
                  <a14:compatExt spid="_x0000_s5349"/>
                </a:ext>
                <a:ext uri="{FF2B5EF4-FFF2-40B4-BE49-F238E27FC236}">
                  <a16:creationId xmlns:a16="http://schemas.microsoft.com/office/drawing/2014/main" id="{00000000-0008-0000-0100-0000E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5350" name="Button 230" hidden="1">
              <a:extLst>
                <a:ext uri="{63B3BB69-23CF-44E3-9099-C40C66FF867C}">
                  <a14:compatExt spid="_x0000_s5350"/>
                </a:ext>
                <a:ext uri="{FF2B5EF4-FFF2-40B4-BE49-F238E27FC236}">
                  <a16:creationId xmlns:a16="http://schemas.microsoft.com/office/drawing/2014/main" id="{00000000-0008-0000-0100-0000E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5344" name="Button 224" hidden="1">
              <a:extLst>
                <a:ext uri="{63B3BB69-23CF-44E3-9099-C40C66FF867C}">
                  <a14:compatExt spid="_x0000_s5344"/>
                </a:ext>
                <a:ext uri="{FF2B5EF4-FFF2-40B4-BE49-F238E27FC236}">
                  <a16:creationId xmlns:a16="http://schemas.microsoft.com/office/drawing/2014/main" id="{00000000-0008-0000-0100-0000E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5351" name="Button 231" hidden="1">
              <a:extLst>
                <a:ext uri="{63B3BB69-23CF-44E3-9099-C40C66FF867C}">
                  <a14:compatExt spid="_x0000_s5351"/>
                </a:ext>
                <a:ext uri="{FF2B5EF4-FFF2-40B4-BE49-F238E27FC236}">
                  <a16:creationId xmlns:a16="http://schemas.microsoft.com/office/drawing/2014/main" id="{00000000-0008-0000-0100-0000E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5352" name="Button 232" hidden="1">
              <a:extLst>
                <a:ext uri="{63B3BB69-23CF-44E3-9099-C40C66FF867C}">
                  <a14:compatExt spid="_x0000_s5352"/>
                </a:ext>
                <a:ext uri="{FF2B5EF4-FFF2-40B4-BE49-F238E27FC236}">
                  <a16:creationId xmlns:a16="http://schemas.microsoft.com/office/drawing/2014/main" id="{00000000-0008-0000-0100-0000E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5334" name="Button 214" hidden="1">
              <a:extLst>
                <a:ext uri="{63B3BB69-23CF-44E3-9099-C40C66FF867C}">
                  <a14:compatExt spid="_x0000_s5334"/>
                </a:ext>
                <a:ext uri="{FF2B5EF4-FFF2-40B4-BE49-F238E27FC236}">
                  <a16:creationId xmlns:a16="http://schemas.microsoft.com/office/drawing/2014/main" id="{00000000-0008-0000-0100-0000D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5337" name="Button 217" hidden="1">
              <a:extLst>
                <a:ext uri="{63B3BB69-23CF-44E3-9099-C40C66FF867C}">
                  <a14:compatExt spid="_x0000_s5337"/>
                </a:ext>
                <a:ext uri="{FF2B5EF4-FFF2-40B4-BE49-F238E27FC236}">
                  <a16:creationId xmlns:a16="http://schemas.microsoft.com/office/drawing/2014/main" id="{00000000-0008-0000-0100-0000D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5346" name="Button 226" hidden="1">
              <a:extLst>
                <a:ext uri="{63B3BB69-23CF-44E3-9099-C40C66FF867C}">
                  <a14:compatExt spid="_x0000_s5346"/>
                </a:ext>
                <a:ext uri="{FF2B5EF4-FFF2-40B4-BE49-F238E27FC236}">
                  <a16:creationId xmlns:a16="http://schemas.microsoft.com/office/drawing/2014/main" id="{00000000-0008-0000-0100-0000E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5365" name="Button 245" hidden="1">
              <a:extLst>
                <a:ext uri="{63B3BB69-23CF-44E3-9099-C40C66FF867C}">
                  <a14:compatExt spid="_x0000_s5365"/>
                </a:ext>
                <a:ext uri="{FF2B5EF4-FFF2-40B4-BE49-F238E27FC236}">
                  <a16:creationId xmlns:a16="http://schemas.microsoft.com/office/drawing/2014/main" id="{00000000-0008-0000-0100-0000F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5367" name="Button 247" hidden="1">
              <a:extLst>
                <a:ext uri="{63B3BB69-23CF-44E3-9099-C40C66FF867C}">
                  <a14:compatExt spid="_x0000_s5367"/>
                </a:ext>
                <a:ext uri="{FF2B5EF4-FFF2-40B4-BE49-F238E27FC236}">
                  <a16:creationId xmlns:a16="http://schemas.microsoft.com/office/drawing/2014/main" id="{00000000-0008-0000-0100-0000F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5361" name="Button 241" hidden="1">
              <a:extLst>
                <a:ext uri="{63B3BB69-23CF-44E3-9099-C40C66FF867C}">
                  <a14:compatExt spid="_x0000_s5361"/>
                </a:ext>
                <a:ext uri="{FF2B5EF4-FFF2-40B4-BE49-F238E27FC236}">
                  <a16:creationId xmlns:a16="http://schemas.microsoft.com/office/drawing/2014/main" id="{00000000-0008-0000-0100-0000F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5362" name="Button 242" hidden="1">
              <a:extLst>
                <a:ext uri="{63B3BB69-23CF-44E3-9099-C40C66FF867C}">
                  <a14:compatExt spid="_x0000_s5362"/>
                </a:ext>
                <a:ext uri="{FF2B5EF4-FFF2-40B4-BE49-F238E27FC236}">
                  <a16:creationId xmlns:a16="http://schemas.microsoft.com/office/drawing/2014/main" id="{00000000-0008-0000-0100-0000F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5363" name="Button 243" hidden="1">
              <a:extLst>
                <a:ext uri="{63B3BB69-23CF-44E3-9099-C40C66FF867C}">
                  <a14:compatExt spid="_x0000_s5363"/>
                </a:ext>
                <a:ext uri="{FF2B5EF4-FFF2-40B4-BE49-F238E27FC236}">
                  <a16:creationId xmlns:a16="http://schemas.microsoft.com/office/drawing/2014/main" id="{00000000-0008-0000-0100-0000F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5368" name="Button 248" hidden="1">
              <a:extLst>
                <a:ext uri="{63B3BB69-23CF-44E3-9099-C40C66FF867C}">
                  <a14:compatExt spid="_x0000_s5368"/>
                </a:ext>
                <a:ext uri="{FF2B5EF4-FFF2-40B4-BE49-F238E27FC236}">
                  <a16:creationId xmlns:a16="http://schemas.microsoft.com/office/drawing/2014/main" id="{00000000-0008-0000-0100-0000F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5369" name="Button 249" hidden="1">
              <a:extLst>
                <a:ext uri="{63B3BB69-23CF-44E3-9099-C40C66FF867C}">
                  <a14:compatExt spid="_x0000_s5369"/>
                </a:ext>
                <a:ext uri="{FF2B5EF4-FFF2-40B4-BE49-F238E27FC236}">
                  <a16:creationId xmlns:a16="http://schemas.microsoft.com/office/drawing/2014/main" id="{00000000-0008-0000-0100-0000F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5370" name="Button 250" hidden="1">
              <a:extLst>
                <a:ext uri="{63B3BB69-23CF-44E3-9099-C40C66FF867C}">
                  <a14:compatExt spid="_x0000_s5370"/>
                </a:ext>
                <a:ext uri="{FF2B5EF4-FFF2-40B4-BE49-F238E27FC236}">
                  <a16:creationId xmlns:a16="http://schemas.microsoft.com/office/drawing/2014/main" id="{00000000-0008-0000-0100-0000F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5364" name="Button 244" hidden="1">
              <a:extLst>
                <a:ext uri="{63B3BB69-23CF-44E3-9099-C40C66FF867C}">
                  <a14:compatExt spid="_x0000_s5364"/>
                </a:ext>
                <a:ext uri="{FF2B5EF4-FFF2-40B4-BE49-F238E27FC236}">
                  <a16:creationId xmlns:a16="http://schemas.microsoft.com/office/drawing/2014/main" id="{00000000-0008-0000-0100-0000F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5371" name="Button 251" hidden="1">
              <a:extLst>
                <a:ext uri="{63B3BB69-23CF-44E3-9099-C40C66FF867C}">
                  <a14:compatExt spid="_x0000_s5371"/>
                </a:ext>
                <a:ext uri="{FF2B5EF4-FFF2-40B4-BE49-F238E27FC236}">
                  <a16:creationId xmlns:a16="http://schemas.microsoft.com/office/drawing/2014/main" id="{00000000-0008-0000-0100-0000F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5372" name="Button 252" hidden="1">
              <a:extLst>
                <a:ext uri="{63B3BB69-23CF-44E3-9099-C40C66FF867C}">
                  <a14:compatExt spid="_x0000_s5372"/>
                </a:ext>
                <a:ext uri="{FF2B5EF4-FFF2-40B4-BE49-F238E27FC236}">
                  <a16:creationId xmlns:a16="http://schemas.microsoft.com/office/drawing/2014/main" id="{00000000-0008-0000-0100-0000F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5354" name="Button 234" hidden="1">
              <a:extLst>
                <a:ext uri="{63B3BB69-23CF-44E3-9099-C40C66FF867C}">
                  <a14:compatExt spid="_x0000_s5354"/>
                </a:ext>
                <a:ext uri="{FF2B5EF4-FFF2-40B4-BE49-F238E27FC236}">
                  <a16:creationId xmlns:a16="http://schemas.microsoft.com/office/drawing/2014/main" id="{00000000-0008-0000-0100-0000E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5357" name="Button 237" hidden="1">
              <a:extLst>
                <a:ext uri="{63B3BB69-23CF-44E3-9099-C40C66FF867C}">
                  <a14:compatExt spid="_x0000_s5357"/>
                </a:ext>
                <a:ext uri="{FF2B5EF4-FFF2-40B4-BE49-F238E27FC236}">
                  <a16:creationId xmlns:a16="http://schemas.microsoft.com/office/drawing/2014/main" id="{00000000-0008-0000-0100-0000E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5366" name="Button 246" hidden="1">
              <a:extLst>
                <a:ext uri="{63B3BB69-23CF-44E3-9099-C40C66FF867C}">
                  <a14:compatExt spid="_x0000_s5366"/>
                </a:ext>
                <a:ext uri="{FF2B5EF4-FFF2-40B4-BE49-F238E27FC236}">
                  <a16:creationId xmlns:a16="http://schemas.microsoft.com/office/drawing/2014/main" id="{00000000-0008-0000-0100-0000F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5380" name="Button 260" hidden="1">
              <a:extLst>
                <a:ext uri="{63B3BB69-23CF-44E3-9099-C40C66FF867C}">
                  <a14:compatExt spid="_x0000_s5380"/>
                </a:ext>
                <a:ext uri="{FF2B5EF4-FFF2-40B4-BE49-F238E27FC236}">
                  <a16:creationId xmlns:a16="http://schemas.microsoft.com/office/drawing/2014/main" id="{00000000-0008-0000-0100-00000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5385" name="Button 265" hidden="1">
              <a:extLst>
                <a:ext uri="{63B3BB69-23CF-44E3-9099-C40C66FF867C}">
                  <a14:compatExt spid="_x0000_s5385"/>
                </a:ext>
                <a:ext uri="{FF2B5EF4-FFF2-40B4-BE49-F238E27FC236}">
                  <a16:creationId xmlns:a16="http://schemas.microsoft.com/office/drawing/2014/main" id="{00000000-0008-0000-0100-00000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5387" name="Button 267" hidden="1">
              <a:extLst>
                <a:ext uri="{63B3BB69-23CF-44E3-9099-C40C66FF867C}">
                  <a14:compatExt spid="_x0000_s5387"/>
                </a:ext>
                <a:ext uri="{FF2B5EF4-FFF2-40B4-BE49-F238E27FC236}">
                  <a16:creationId xmlns:a16="http://schemas.microsoft.com/office/drawing/2014/main" id="{00000000-0008-0000-0100-00000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5381" name="Button 261" hidden="1">
              <a:extLst>
                <a:ext uri="{63B3BB69-23CF-44E3-9099-C40C66FF867C}">
                  <a14:compatExt spid="_x0000_s5381"/>
                </a:ext>
                <a:ext uri="{FF2B5EF4-FFF2-40B4-BE49-F238E27FC236}">
                  <a16:creationId xmlns:a16="http://schemas.microsoft.com/office/drawing/2014/main" id="{00000000-0008-0000-0100-00000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5382" name="Button 262" hidden="1">
              <a:extLst>
                <a:ext uri="{63B3BB69-23CF-44E3-9099-C40C66FF867C}">
                  <a14:compatExt spid="_x0000_s5382"/>
                </a:ext>
                <a:ext uri="{FF2B5EF4-FFF2-40B4-BE49-F238E27FC236}">
                  <a16:creationId xmlns:a16="http://schemas.microsoft.com/office/drawing/2014/main" id="{00000000-0008-0000-0100-00000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5383" name="Button 263" hidden="1">
              <a:extLst>
                <a:ext uri="{63B3BB69-23CF-44E3-9099-C40C66FF867C}">
                  <a14:compatExt spid="_x0000_s5383"/>
                </a:ext>
                <a:ext uri="{FF2B5EF4-FFF2-40B4-BE49-F238E27FC236}">
                  <a16:creationId xmlns:a16="http://schemas.microsoft.com/office/drawing/2014/main" id="{00000000-0008-0000-0100-00000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5388" name="Button 268" hidden="1">
              <a:extLst>
                <a:ext uri="{63B3BB69-23CF-44E3-9099-C40C66FF867C}">
                  <a14:compatExt spid="_x0000_s5388"/>
                </a:ext>
                <a:ext uri="{FF2B5EF4-FFF2-40B4-BE49-F238E27FC236}">
                  <a16:creationId xmlns:a16="http://schemas.microsoft.com/office/drawing/2014/main" id="{00000000-0008-0000-0100-00000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5389" name="Button 269" hidden="1">
              <a:extLst>
                <a:ext uri="{63B3BB69-23CF-44E3-9099-C40C66FF867C}">
                  <a14:compatExt spid="_x0000_s5389"/>
                </a:ext>
                <a:ext uri="{FF2B5EF4-FFF2-40B4-BE49-F238E27FC236}">
                  <a16:creationId xmlns:a16="http://schemas.microsoft.com/office/drawing/2014/main" id="{00000000-0008-0000-0100-00000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5390" name="Button 270" hidden="1">
              <a:extLst>
                <a:ext uri="{63B3BB69-23CF-44E3-9099-C40C66FF867C}">
                  <a14:compatExt spid="_x0000_s5390"/>
                </a:ext>
                <a:ext uri="{FF2B5EF4-FFF2-40B4-BE49-F238E27FC236}">
                  <a16:creationId xmlns:a16="http://schemas.microsoft.com/office/drawing/2014/main" id="{00000000-0008-0000-0100-00000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5384" name="Button 264" hidden="1">
              <a:extLst>
                <a:ext uri="{63B3BB69-23CF-44E3-9099-C40C66FF867C}">
                  <a14:compatExt spid="_x0000_s5384"/>
                </a:ext>
                <a:ext uri="{FF2B5EF4-FFF2-40B4-BE49-F238E27FC236}">
                  <a16:creationId xmlns:a16="http://schemas.microsoft.com/office/drawing/2014/main" id="{00000000-0008-0000-0100-00000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5391" name="Button 271" hidden="1">
              <a:extLst>
                <a:ext uri="{63B3BB69-23CF-44E3-9099-C40C66FF867C}">
                  <a14:compatExt spid="_x0000_s5391"/>
                </a:ext>
                <a:ext uri="{FF2B5EF4-FFF2-40B4-BE49-F238E27FC236}">
                  <a16:creationId xmlns:a16="http://schemas.microsoft.com/office/drawing/2014/main" id="{00000000-0008-0000-0100-00000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5392" name="Button 272" hidden="1">
              <a:extLst>
                <a:ext uri="{63B3BB69-23CF-44E3-9099-C40C66FF867C}">
                  <a14:compatExt spid="_x0000_s5392"/>
                </a:ext>
                <a:ext uri="{FF2B5EF4-FFF2-40B4-BE49-F238E27FC236}">
                  <a16:creationId xmlns:a16="http://schemas.microsoft.com/office/drawing/2014/main" id="{00000000-0008-0000-0100-00001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5374" name="Button 254" hidden="1">
              <a:extLst>
                <a:ext uri="{63B3BB69-23CF-44E3-9099-C40C66FF867C}">
                  <a14:compatExt spid="_x0000_s5374"/>
                </a:ext>
                <a:ext uri="{FF2B5EF4-FFF2-40B4-BE49-F238E27FC236}">
                  <a16:creationId xmlns:a16="http://schemas.microsoft.com/office/drawing/2014/main" id="{00000000-0008-0000-0100-0000F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5377" name="Button 257" hidden="1">
              <a:extLst>
                <a:ext uri="{63B3BB69-23CF-44E3-9099-C40C66FF867C}">
                  <a14:compatExt spid="_x0000_s5377"/>
                </a:ext>
                <a:ext uri="{FF2B5EF4-FFF2-40B4-BE49-F238E27FC236}">
                  <a16:creationId xmlns:a16="http://schemas.microsoft.com/office/drawing/2014/main" id="{00000000-0008-0000-0100-00000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5386" name="Button 266" hidden="1">
              <a:extLst>
                <a:ext uri="{63B3BB69-23CF-44E3-9099-C40C66FF867C}">
                  <a14:compatExt spid="_x0000_s5386"/>
                </a:ext>
                <a:ext uri="{FF2B5EF4-FFF2-40B4-BE49-F238E27FC236}">
                  <a16:creationId xmlns:a16="http://schemas.microsoft.com/office/drawing/2014/main" id="{00000000-0008-0000-0100-00000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5400" name="Button 280" hidden="1">
              <a:extLst>
                <a:ext uri="{63B3BB69-23CF-44E3-9099-C40C66FF867C}">
                  <a14:compatExt spid="_x0000_s5400"/>
                </a:ext>
                <a:ext uri="{FF2B5EF4-FFF2-40B4-BE49-F238E27FC236}">
                  <a16:creationId xmlns:a16="http://schemas.microsoft.com/office/drawing/2014/main" id="{00000000-0008-0000-0100-00001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5405" name="Button 285" hidden="1">
              <a:extLst>
                <a:ext uri="{63B3BB69-23CF-44E3-9099-C40C66FF867C}">
                  <a14:compatExt spid="_x0000_s5405"/>
                </a:ext>
                <a:ext uri="{FF2B5EF4-FFF2-40B4-BE49-F238E27FC236}">
                  <a16:creationId xmlns:a16="http://schemas.microsoft.com/office/drawing/2014/main" id="{00000000-0008-0000-0100-00001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5407" name="Button 287" hidden="1">
              <a:extLst>
                <a:ext uri="{63B3BB69-23CF-44E3-9099-C40C66FF867C}">
                  <a14:compatExt spid="_x0000_s5407"/>
                </a:ext>
                <a:ext uri="{FF2B5EF4-FFF2-40B4-BE49-F238E27FC236}">
                  <a16:creationId xmlns:a16="http://schemas.microsoft.com/office/drawing/2014/main" id="{00000000-0008-0000-0100-00001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5401" name="Button 281" hidden="1">
              <a:extLst>
                <a:ext uri="{63B3BB69-23CF-44E3-9099-C40C66FF867C}">
                  <a14:compatExt spid="_x0000_s5401"/>
                </a:ext>
                <a:ext uri="{FF2B5EF4-FFF2-40B4-BE49-F238E27FC236}">
                  <a16:creationId xmlns:a16="http://schemas.microsoft.com/office/drawing/2014/main" id="{00000000-0008-0000-0100-00001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5402" name="Button 282" hidden="1">
              <a:extLst>
                <a:ext uri="{63B3BB69-23CF-44E3-9099-C40C66FF867C}">
                  <a14:compatExt spid="_x0000_s5402"/>
                </a:ext>
                <a:ext uri="{FF2B5EF4-FFF2-40B4-BE49-F238E27FC236}">
                  <a16:creationId xmlns:a16="http://schemas.microsoft.com/office/drawing/2014/main" id="{00000000-0008-0000-0100-00001A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5403" name="Button 283" hidden="1">
              <a:extLst>
                <a:ext uri="{63B3BB69-23CF-44E3-9099-C40C66FF867C}">
                  <a14:compatExt spid="_x0000_s5403"/>
                </a:ext>
                <a:ext uri="{FF2B5EF4-FFF2-40B4-BE49-F238E27FC236}">
                  <a16:creationId xmlns:a16="http://schemas.microsoft.com/office/drawing/2014/main" id="{00000000-0008-0000-0100-00001B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5408" name="Button 288" hidden="1">
              <a:extLst>
                <a:ext uri="{63B3BB69-23CF-44E3-9099-C40C66FF867C}">
                  <a14:compatExt spid="_x0000_s5408"/>
                </a:ext>
                <a:ext uri="{FF2B5EF4-FFF2-40B4-BE49-F238E27FC236}">
                  <a16:creationId xmlns:a16="http://schemas.microsoft.com/office/drawing/2014/main" id="{00000000-0008-0000-0100-00002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5409" name="Button 289" hidden="1">
              <a:extLst>
                <a:ext uri="{63B3BB69-23CF-44E3-9099-C40C66FF867C}">
                  <a14:compatExt spid="_x0000_s5409"/>
                </a:ext>
                <a:ext uri="{FF2B5EF4-FFF2-40B4-BE49-F238E27FC236}">
                  <a16:creationId xmlns:a16="http://schemas.microsoft.com/office/drawing/2014/main" id="{00000000-0008-0000-0100-00002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5410" name="Button 290" hidden="1">
              <a:extLst>
                <a:ext uri="{63B3BB69-23CF-44E3-9099-C40C66FF867C}">
                  <a14:compatExt spid="_x0000_s5410"/>
                </a:ext>
                <a:ext uri="{FF2B5EF4-FFF2-40B4-BE49-F238E27FC236}">
                  <a16:creationId xmlns:a16="http://schemas.microsoft.com/office/drawing/2014/main" id="{00000000-0008-0000-0100-00002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5404" name="Button 284" hidden="1">
              <a:extLst>
                <a:ext uri="{63B3BB69-23CF-44E3-9099-C40C66FF867C}">
                  <a14:compatExt spid="_x0000_s5404"/>
                </a:ext>
                <a:ext uri="{FF2B5EF4-FFF2-40B4-BE49-F238E27FC236}">
                  <a16:creationId xmlns:a16="http://schemas.microsoft.com/office/drawing/2014/main" id="{00000000-0008-0000-0100-00001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5411" name="Button 291" hidden="1">
              <a:extLst>
                <a:ext uri="{63B3BB69-23CF-44E3-9099-C40C66FF867C}">
                  <a14:compatExt spid="_x0000_s5411"/>
                </a:ext>
                <a:ext uri="{FF2B5EF4-FFF2-40B4-BE49-F238E27FC236}">
                  <a16:creationId xmlns:a16="http://schemas.microsoft.com/office/drawing/2014/main" id="{00000000-0008-0000-0100-00002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5412" name="Button 292" hidden="1">
              <a:extLst>
                <a:ext uri="{63B3BB69-23CF-44E3-9099-C40C66FF867C}">
                  <a14:compatExt spid="_x0000_s5412"/>
                </a:ext>
                <a:ext uri="{FF2B5EF4-FFF2-40B4-BE49-F238E27FC236}">
                  <a16:creationId xmlns:a16="http://schemas.microsoft.com/office/drawing/2014/main" id="{00000000-0008-0000-0100-00002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5394" name="Button 274" hidden="1">
              <a:extLst>
                <a:ext uri="{63B3BB69-23CF-44E3-9099-C40C66FF867C}">
                  <a14:compatExt spid="_x0000_s5394"/>
                </a:ext>
                <a:ext uri="{FF2B5EF4-FFF2-40B4-BE49-F238E27FC236}">
                  <a16:creationId xmlns:a16="http://schemas.microsoft.com/office/drawing/2014/main" id="{00000000-0008-0000-0100-00001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5397" name="Button 277" hidden="1">
              <a:extLst>
                <a:ext uri="{63B3BB69-23CF-44E3-9099-C40C66FF867C}">
                  <a14:compatExt spid="_x0000_s5397"/>
                </a:ext>
                <a:ext uri="{FF2B5EF4-FFF2-40B4-BE49-F238E27FC236}">
                  <a16:creationId xmlns:a16="http://schemas.microsoft.com/office/drawing/2014/main" id="{00000000-0008-0000-0100-00001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5406" name="Button 286" hidden="1">
              <a:extLst>
                <a:ext uri="{63B3BB69-23CF-44E3-9099-C40C66FF867C}">
                  <a14:compatExt spid="_x0000_s5406"/>
                </a:ext>
                <a:ext uri="{FF2B5EF4-FFF2-40B4-BE49-F238E27FC236}">
                  <a16:creationId xmlns:a16="http://schemas.microsoft.com/office/drawing/2014/main" id="{00000000-0008-0000-0100-00001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5420" name="Button 300" hidden="1">
              <a:extLst>
                <a:ext uri="{63B3BB69-23CF-44E3-9099-C40C66FF867C}">
                  <a14:compatExt spid="_x0000_s5420"/>
                </a:ext>
                <a:ext uri="{FF2B5EF4-FFF2-40B4-BE49-F238E27FC236}">
                  <a16:creationId xmlns:a16="http://schemas.microsoft.com/office/drawing/2014/main" id="{00000000-0008-0000-0100-00002C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5425" name="Button 305" hidden="1">
              <a:extLst>
                <a:ext uri="{63B3BB69-23CF-44E3-9099-C40C66FF867C}">
                  <a14:compatExt spid="_x0000_s5425"/>
                </a:ext>
                <a:ext uri="{FF2B5EF4-FFF2-40B4-BE49-F238E27FC236}">
                  <a16:creationId xmlns:a16="http://schemas.microsoft.com/office/drawing/2014/main" id="{00000000-0008-0000-0100-000031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5427" name="Button 307" hidden="1">
              <a:extLst>
                <a:ext uri="{63B3BB69-23CF-44E3-9099-C40C66FF867C}">
                  <a14:compatExt spid="_x0000_s5427"/>
                </a:ext>
                <a:ext uri="{FF2B5EF4-FFF2-40B4-BE49-F238E27FC236}">
                  <a16:creationId xmlns:a16="http://schemas.microsoft.com/office/drawing/2014/main" id="{00000000-0008-0000-0100-000033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5421" name="Button 301" hidden="1">
              <a:extLst>
                <a:ext uri="{63B3BB69-23CF-44E3-9099-C40C66FF867C}">
                  <a14:compatExt spid="_x0000_s5421"/>
                </a:ext>
                <a:ext uri="{FF2B5EF4-FFF2-40B4-BE49-F238E27FC236}">
                  <a16:creationId xmlns:a16="http://schemas.microsoft.com/office/drawing/2014/main" id="{00000000-0008-0000-0100-00002D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5422" name="Button 302" hidden="1">
              <a:extLst>
                <a:ext uri="{63B3BB69-23CF-44E3-9099-C40C66FF867C}">
                  <a14:compatExt spid="_x0000_s5422"/>
                </a:ext>
                <a:ext uri="{FF2B5EF4-FFF2-40B4-BE49-F238E27FC236}">
                  <a16:creationId xmlns:a16="http://schemas.microsoft.com/office/drawing/2014/main" id="{00000000-0008-0000-0100-00002E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5423" name="Button 303" hidden="1">
              <a:extLst>
                <a:ext uri="{63B3BB69-23CF-44E3-9099-C40C66FF867C}">
                  <a14:compatExt spid="_x0000_s5423"/>
                </a:ext>
                <a:ext uri="{FF2B5EF4-FFF2-40B4-BE49-F238E27FC236}">
                  <a16:creationId xmlns:a16="http://schemas.microsoft.com/office/drawing/2014/main" id="{00000000-0008-0000-0100-00002F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5428" name="Button 308" hidden="1">
              <a:extLst>
                <a:ext uri="{63B3BB69-23CF-44E3-9099-C40C66FF867C}">
                  <a14:compatExt spid="_x0000_s5428"/>
                </a:ext>
                <a:ext uri="{FF2B5EF4-FFF2-40B4-BE49-F238E27FC236}">
                  <a16:creationId xmlns:a16="http://schemas.microsoft.com/office/drawing/2014/main" id="{00000000-0008-0000-0100-000034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5429" name="Button 309" hidden="1">
              <a:extLst>
                <a:ext uri="{63B3BB69-23CF-44E3-9099-C40C66FF867C}">
                  <a14:compatExt spid="_x0000_s5429"/>
                </a:ext>
                <a:ext uri="{FF2B5EF4-FFF2-40B4-BE49-F238E27FC236}">
                  <a16:creationId xmlns:a16="http://schemas.microsoft.com/office/drawing/2014/main" id="{00000000-0008-0000-0100-000035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5430" name="Button 310" hidden="1">
              <a:extLst>
                <a:ext uri="{63B3BB69-23CF-44E3-9099-C40C66FF867C}">
                  <a14:compatExt spid="_x0000_s5430"/>
                </a:ext>
                <a:ext uri="{FF2B5EF4-FFF2-40B4-BE49-F238E27FC236}">
                  <a16:creationId xmlns:a16="http://schemas.microsoft.com/office/drawing/2014/main" id="{00000000-0008-0000-0100-00003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5424" name="Button 304" hidden="1">
              <a:extLst>
                <a:ext uri="{63B3BB69-23CF-44E3-9099-C40C66FF867C}">
                  <a14:compatExt spid="_x0000_s5424"/>
                </a:ext>
                <a:ext uri="{FF2B5EF4-FFF2-40B4-BE49-F238E27FC236}">
                  <a16:creationId xmlns:a16="http://schemas.microsoft.com/office/drawing/2014/main" id="{00000000-0008-0000-0100-000030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5431" name="Button 311" hidden="1">
              <a:extLst>
                <a:ext uri="{63B3BB69-23CF-44E3-9099-C40C66FF867C}">
                  <a14:compatExt spid="_x0000_s5431"/>
                </a:ext>
                <a:ext uri="{FF2B5EF4-FFF2-40B4-BE49-F238E27FC236}">
                  <a16:creationId xmlns:a16="http://schemas.microsoft.com/office/drawing/2014/main" id="{00000000-0008-0000-0100-000037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5432" name="Button 312" hidden="1">
              <a:extLst>
                <a:ext uri="{63B3BB69-23CF-44E3-9099-C40C66FF867C}">
                  <a14:compatExt spid="_x0000_s5432"/>
                </a:ext>
                <a:ext uri="{FF2B5EF4-FFF2-40B4-BE49-F238E27FC236}">
                  <a16:creationId xmlns:a16="http://schemas.microsoft.com/office/drawing/2014/main" id="{00000000-0008-0000-0100-000038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5414" name="Button 294" hidden="1">
              <a:extLst>
                <a:ext uri="{63B3BB69-23CF-44E3-9099-C40C66FF867C}">
                  <a14:compatExt spid="_x0000_s5414"/>
                </a:ext>
                <a:ext uri="{FF2B5EF4-FFF2-40B4-BE49-F238E27FC236}">
                  <a16:creationId xmlns:a16="http://schemas.microsoft.com/office/drawing/2014/main" id="{00000000-0008-0000-0100-000026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5417" name="Button 297" hidden="1">
              <a:extLst>
                <a:ext uri="{63B3BB69-23CF-44E3-9099-C40C66FF867C}">
                  <a14:compatExt spid="_x0000_s5417"/>
                </a:ext>
                <a:ext uri="{FF2B5EF4-FFF2-40B4-BE49-F238E27FC236}">
                  <a16:creationId xmlns:a16="http://schemas.microsoft.com/office/drawing/2014/main" id="{00000000-0008-0000-0100-000029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5426" name="Button 306" hidden="1">
              <a:extLst>
                <a:ext uri="{63B3BB69-23CF-44E3-9099-C40C66FF867C}">
                  <a14:compatExt spid="_x0000_s5426"/>
                </a:ext>
                <a:ext uri="{FF2B5EF4-FFF2-40B4-BE49-F238E27FC236}">
                  <a16:creationId xmlns:a16="http://schemas.microsoft.com/office/drawing/2014/main" id="{00000000-0008-0000-0100-0000321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22</xdr:col>
          <xdr:colOff>0</xdr:colOff>
          <xdr:row>4</xdr:row>
          <xdr:rowOff>209550</xdr:rowOff>
        </xdr:to>
        <xdr:sp macro="" textlink="">
          <xdr:nvSpPr>
            <xdr:cNvPr id="8199" name="Button 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2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209550</xdr:rowOff>
        </xdr:from>
        <xdr:to>
          <xdr:col>22</xdr:col>
          <xdr:colOff>0</xdr:colOff>
          <xdr:row>7</xdr:row>
          <xdr:rowOff>209550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2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209550</xdr:rowOff>
        </xdr:from>
        <xdr:to>
          <xdr:col>22</xdr:col>
          <xdr:colOff>0</xdr:colOff>
          <xdr:row>10</xdr:row>
          <xdr:rowOff>209550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10</xdr:row>
          <xdr:rowOff>209550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8200" name="Button 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9525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</xdr:row>
          <xdr:rowOff>219075</xdr:rowOff>
        </xdr:from>
        <xdr:to>
          <xdr:col>22</xdr:col>
          <xdr:colOff>0</xdr:colOff>
          <xdr:row>4</xdr:row>
          <xdr:rowOff>219075</xdr:rowOff>
        </xdr:to>
        <xdr:sp macro="" textlink="">
          <xdr:nvSpPr>
            <xdr:cNvPr id="9221" name="Button 5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3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4</xdr:row>
          <xdr:rowOff>219075</xdr:rowOff>
        </xdr:from>
        <xdr:to>
          <xdr:col>22</xdr:col>
          <xdr:colOff>0</xdr:colOff>
          <xdr:row>8</xdr:row>
          <xdr:rowOff>0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7</xdr:row>
          <xdr:rowOff>219075</xdr:rowOff>
        </xdr:from>
        <xdr:to>
          <xdr:col>22</xdr:col>
          <xdr:colOff>0</xdr:colOff>
          <xdr:row>11</xdr:row>
          <xdr:rowOff>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3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11</xdr:row>
          <xdr:rowOff>0</xdr:rowOff>
        </xdr:from>
        <xdr:to>
          <xdr:col>22</xdr:col>
          <xdr:colOff>0</xdr:colOff>
          <xdr:row>14</xdr:row>
          <xdr:rowOff>0</xdr:rowOff>
        </xdr:to>
        <xdr:sp macro="" textlink="">
          <xdr:nvSpPr>
            <xdr:cNvPr id="9222" name="Button 6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3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14</xdr:row>
          <xdr:rowOff>0</xdr:rowOff>
        </xdr:from>
        <xdr:to>
          <xdr:col>22</xdr:col>
          <xdr:colOff>0</xdr:colOff>
          <xdr:row>17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3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23</xdr:row>
          <xdr:rowOff>0</xdr:rowOff>
        </xdr:from>
        <xdr:to>
          <xdr:col>18</xdr:col>
          <xdr:colOff>923925</xdr:colOff>
          <xdr:row>26</xdr:row>
          <xdr:rowOff>0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4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26</xdr:row>
          <xdr:rowOff>0</xdr:rowOff>
        </xdr:from>
        <xdr:to>
          <xdr:col>16</xdr:col>
          <xdr:colOff>923925</xdr:colOff>
          <xdr:row>29</xdr:row>
          <xdr:rowOff>0</xdr:rowOff>
        </xdr:to>
        <xdr:sp macro="" textlink="">
          <xdr:nvSpPr>
            <xdr:cNvPr id="35842" name="Button 2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4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26</xdr:row>
          <xdr:rowOff>0</xdr:rowOff>
        </xdr:from>
        <xdr:to>
          <xdr:col>17</xdr:col>
          <xdr:colOff>923925</xdr:colOff>
          <xdr:row>29</xdr:row>
          <xdr:rowOff>0</xdr:rowOff>
        </xdr:to>
        <xdr:sp macro="" textlink="">
          <xdr:nvSpPr>
            <xdr:cNvPr id="35843" name="Button 3" hidden="1">
              <a:extLst>
                <a:ext uri="{63B3BB69-23CF-44E3-9099-C40C66FF867C}">
                  <a14:compatExt spid="_x0000_s35843"/>
                </a:ext>
                <a:ext uri="{FF2B5EF4-FFF2-40B4-BE49-F238E27FC236}">
                  <a16:creationId xmlns:a16="http://schemas.microsoft.com/office/drawing/2014/main" id="{00000000-0008-0000-0400-00000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29</xdr:row>
          <xdr:rowOff>0</xdr:rowOff>
        </xdr:from>
        <xdr:to>
          <xdr:col>16</xdr:col>
          <xdr:colOff>923925</xdr:colOff>
          <xdr:row>32</xdr:row>
          <xdr:rowOff>0</xdr:rowOff>
        </xdr:to>
        <xdr:sp macro="" textlink="">
          <xdr:nvSpPr>
            <xdr:cNvPr id="35844" name="Button 4" hidden="1">
              <a:extLst>
                <a:ext uri="{63B3BB69-23CF-44E3-9099-C40C66FF867C}">
                  <a14:compatExt spid="_x0000_s35844"/>
                </a:ext>
                <a:ext uri="{FF2B5EF4-FFF2-40B4-BE49-F238E27FC236}">
                  <a16:creationId xmlns:a16="http://schemas.microsoft.com/office/drawing/2014/main" id="{00000000-0008-0000-0400-00000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923925</xdr:colOff>
          <xdr:row>29</xdr:row>
          <xdr:rowOff>0</xdr:rowOff>
        </xdr:from>
        <xdr:to>
          <xdr:col>17</xdr:col>
          <xdr:colOff>923925</xdr:colOff>
          <xdr:row>32</xdr:row>
          <xdr:rowOff>0</xdr:rowOff>
        </xdr:to>
        <xdr:sp macro="" textlink="">
          <xdr:nvSpPr>
            <xdr:cNvPr id="35845" name="Button 5" hidden="1">
              <a:extLst>
                <a:ext uri="{63B3BB69-23CF-44E3-9099-C40C66FF867C}">
                  <a14:compatExt spid="_x0000_s35845"/>
                </a:ext>
                <a:ext uri="{FF2B5EF4-FFF2-40B4-BE49-F238E27FC236}">
                  <a16:creationId xmlns:a16="http://schemas.microsoft.com/office/drawing/2014/main" id="{00000000-0008-0000-0400-00000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26</xdr:row>
          <xdr:rowOff>0</xdr:rowOff>
        </xdr:from>
        <xdr:to>
          <xdr:col>18</xdr:col>
          <xdr:colOff>923925</xdr:colOff>
          <xdr:row>29</xdr:row>
          <xdr:rowOff>0</xdr:rowOff>
        </xdr:to>
        <xdr:sp macro="" textlink="">
          <xdr:nvSpPr>
            <xdr:cNvPr id="35846" name="Button 6" hidden="1">
              <a:extLst>
                <a:ext uri="{63B3BB69-23CF-44E3-9099-C40C66FF867C}">
                  <a14:compatExt spid="_x0000_s35846"/>
                </a:ext>
                <a:ext uri="{FF2B5EF4-FFF2-40B4-BE49-F238E27FC236}">
                  <a16:creationId xmlns:a16="http://schemas.microsoft.com/office/drawing/2014/main" id="{00000000-0008-0000-0400-00000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923925</xdr:colOff>
          <xdr:row>29</xdr:row>
          <xdr:rowOff>0</xdr:rowOff>
        </xdr:from>
        <xdr:to>
          <xdr:col>18</xdr:col>
          <xdr:colOff>923925</xdr:colOff>
          <xdr:row>32</xdr:row>
          <xdr:rowOff>0</xdr:rowOff>
        </xdr:to>
        <xdr:sp macro="" textlink="">
          <xdr:nvSpPr>
            <xdr:cNvPr id="35847" name="Button 7" hidden="1">
              <a:extLst>
                <a:ext uri="{63B3BB69-23CF-44E3-9099-C40C66FF867C}">
                  <a14:compatExt spid="_x0000_s35847"/>
                </a:ext>
                <a:ext uri="{FF2B5EF4-FFF2-40B4-BE49-F238E27FC236}">
                  <a16:creationId xmlns:a16="http://schemas.microsoft.com/office/drawing/2014/main" id="{00000000-0008-0000-0400-00000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685800</xdr:colOff>
          <xdr:row>32</xdr:row>
          <xdr:rowOff>0</xdr:rowOff>
        </xdr:from>
        <xdr:to>
          <xdr:col>18</xdr:col>
          <xdr:colOff>923925</xdr:colOff>
          <xdr:row>35</xdr:row>
          <xdr:rowOff>0</xdr:rowOff>
        </xdr:to>
        <xdr:sp macro="" textlink="">
          <xdr:nvSpPr>
            <xdr:cNvPr id="35848" name="Button 8" hidden="1">
              <a:extLst>
                <a:ext uri="{63B3BB69-23CF-44E3-9099-C40C66FF867C}">
                  <a14:compatExt spid="_x0000_s35848"/>
                </a:ext>
                <a:ext uri="{FF2B5EF4-FFF2-40B4-BE49-F238E27FC236}">
                  <a16:creationId xmlns:a16="http://schemas.microsoft.com/office/drawing/2014/main" id="{00000000-0008-0000-0400-00000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37</xdr:row>
          <xdr:rowOff>0</xdr:rowOff>
        </xdr:from>
        <xdr:to>
          <xdr:col>19</xdr:col>
          <xdr:colOff>0</xdr:colOff>
          <xdr:row>40</xdr:row>
          <xdr:rowOff>0</xdr:rowOff>
        </xdr:to>
        <xdr:sp macro="" textlink="">
          <xdr:nvSpPr>
            <xdr:cNvPr id="35849" name="Button 9" hidden="1">
              <a:extLst>
                <a:ext uri="{63B3BB69-23CF-44E3-9099-C40C66FF867C}">
                  <a14:compatExt spid="_x0000_s35849"/>
                </a:ext>
                <a:ext uri="{FF2B5EF4-FFF2-40B4-BE49-F238E27FC236}">
                  <a16:creationId xmlns:a16="http://schemas.microsoft.com/office/drawing/2014/main" id="{00000000-0008-0000-0400-00000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40</xdr:row>
          <xdr:rowOff>0</xdr:rowOff>
        </xdr:from>
        <xdr:to>
          <xdr:col>19</xdr:col>
          <xdr:colOff>0</xdr:colOff>
          <xdr:row>43</xdr:row>
          <xdr:rowOff>0</xdr:rowOff>
        </xdr:to>
        <xdr:sp macro="" textlink="">
          <xdr:nvSpPr>
            <xdr:cNvPr id="35850" name="Button 10" hidden="1">
              <a:extLst>
                <a:ext uri="{63B3BB69-23CF-44E3-9099-C40C66FF867C}">
                  <a14:compatExt spid="_x0000_s35850"/>
                </a:ext>
                <a:ext uri="{FF2B5EF4-FFF2-40B4-BE49-F238E27FC236}">
                  <a16:creationId xmlns:a16="http://schemas.microsoft.com/office/drawing/2014/main" id="{00000000-0008-0000-0400-00000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43</xdr:row>
          <xdr:rowOff>0</xdr:rowOff>
        </xdr:from>
        <xdr:to>
          <xdr:col>19</xdr:col>
          <xdr:colOff>0</xdr:colOff>
          <xdr:row>46</xdr:row>
          <xdr:rowOff>0</xdr:rowOff>
        </xdr:to>
        <xdr:sp macro="" textlink="">
          <xdr:nvSpPr>
            <xdr:cNvPr id="35851" name="Button 11" hidden="1">
              <a:extLst>
                <a:ext uri="{63B3BB69-23CF-44E3-9099-C40C66FF867C}">
                  <a14:compatExt spid="_x0000_s35851"/>
                </a:ext>
                <a:ext uri="{FF2B5EF4-FFF2-40B4-BE49-F238E27FC236}">
                  <a16:creationId xmlns:a16="http://schemas.microsoft.com/office/drawing/2014/main" id="{00000000-0008-0000-0400-00000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46</xdr:row>
          <xdr:rowOff>0</xdr:rowOff>
        </xdr:from>
        <xdr:to>
          <xdr:col>19</xdr:col>
          <xdr:colOff>0</xdr:colOff>
          <xdr:row>49</xdr:row>
          <xdr:rowOff>0</xdr:rowOff>
        </xdr:to>
        <xdr:sp macro="" textlink="">
          <xdr:nvSpPr>
            <xdr:cNvPr id="35853" name="Button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4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49</xdr:row>
          <xdr:rowOff>0</xdr:rowOff>
        </xdr:from>
        <xdr:to>
          <xdr:col>19</xdr:col>
          <xdr:colOff>0</xdr:colOff>
          <xdr:row>52</xdr:row>
          <xdr:rowOff>0</xdr:rowOff>
        </xdr:to>
        <xdr:sp macro="" textlink="">
          <xdr:nvSpPr>
            <xdr:cNvPr id="35852" name="Button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4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0</xdr:row>
          <xdr:rowOff>0</xdr:rowOff>
        </xdr:from>
        <xdr:to>
          <xdr:col>19</xdr:col>
          <xdr:colOff>0</xdr:colOff>
          <xdr:row>4</xdr:row>
          <xdr:rowOff>0</xdr:rowOff>
        </xdr:to>
        <xdr:sp macro="" textlink="">
          <xdr:nvSpPr>
            <xdr:cNvPr id="35854" name="Button 14" hidden="1">
              <a:extLst>
                <a:ext uri="{63B3BB69-23CF-44E3-9099-C40C66FF867C}">
                  <a14:compatExt spid="_x0000_s35854"/>
                </a:ext>
                <a:ext uri="{FF2B5EF4-FFF2-40B4-BE49-F238E27FC236}">
                  <a16:creationId xmlns:a16="http://schemas.microsoft.com/office/drawing/2014/main" id="{00000000-0008-0000-0400-00000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</xdr:row>
          <xdr:rowOff>219075</xdr:rowOff>
        </xdr:from>
        <xdr:to>
          <xdr:col>19</xdr:col>
          <xdr:colOff>0</xdr:colOff>
          <xdr:row>6</xdr:row>
          <xdr:rowOff>209550</xdr:rowOff>
        </xdr:to>
        <xdr:sp macro="" textlink="">
          <xdr:nvSpPr>
            <xdr:cNvPr id="35855" name="Button 15" hidden="1">
              <a:extLst>
                <a:ext uri="{63B3BB69-23CF-44E3-9099-C40C66FF867C}">
                  <a14:compatExt spid="_x0000_s35855"/>
                </a:ext>
                <a:ext uri="{FF2B5EF4-FFF2-40B4-BE49-F238E27FC236}">
                  <a16:creationId xmlns:a16="http://schemas.microsoft.com/office/drawing/2014/main" id="{00000000-0008-0000-0400-00000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</xdr:row>
          <xdr:rowOff>0</xdr:rowOff>
        </xdr:from>
        <xdr:to>
          <xdr:col>19</xdr:col>
          <xdr:colOff>0</xdr:colOff>
          <xdr:row>10</xdr:row>
          <xdr:rowOff>0</xdr:rowOff>
        </xdr:to>
        <xdr:sp macro="" textlink="">
          <xdr:nvSpPr>
            <xdr:cNvPr id="35856" name="Button 16" hidden="1">
              <a:extLst>
                <a:ext uri="{63B3BB69-23CF-44E3-9099-C40C66FF867C}">
                  <a14:compatExt spid="_x0000_s35856"/>
                </a:ext>
                <a:ext uri="{FF2B5EF4-FFF2-40B4-BE49-F238E27FC236}">
                  <a16:creationId xmlns:a16="http://schemas.microsoft.com/office/drawing/2014/main" id="{00000000-0008-0000-0400-00001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</xdr:row>
          <xdr:rowOff>0</xdr:rowOff>
        </xdr:from>
        <xdr:to>
          <xdr:col>19</xdr:col>
          <xdr:colOff>0</xdr:colOff>
          <xdr:row>13</xdr:row>
          <xdr:rowOff>0</xdr:rowOff>
        </xdr:to>
        <xdr:sp macro="" textlink="">
          <xdr:nvSpPr>
            <xdr:cNvPr id="35858" name="Button 18" hidden="1">
              <a:extLst>
                <a:ext uri="{63B3BB69-23CF-44E3-9099-C40C66FF867C}">
                  <a14:compatExt spid="_x0000_s35858"/>
                </a:ext>
                <a:ext uri="{FF2B5EF4-FFF2-40B4-BE49-F238E27FC236}">
                  <a16:creationId xmlns:a16="http://schemas.microsoft.com/office/drawing/2014/main" id="{00000000-0008-0000-0400-00001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5919" name="Button 79" hidden="1">
              <a:extLst>
                <a:ext uri="{63B3BB69-23CF-44E3-9099-C40C66FF867C}">
                  <a14:compatExt spid="_x0000_s35919"/>
                </a:ext>
                <a:ext uri="{FF2B5EF4-FFF2-40B4-BE49-F238E27FC236}">
                  <a16:creationId xmlns:a16="http://schemas.microsoft.com/office/drawing/2014/main" id="{00000000-0008-0000-0400-00004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63</xdr:row>
          <xdr:rowOff>209550</xdr:rowOff>
        </xdr:from>
        <xdr:to>
          <xdr:col>17</xdr:col>
          <xdr:colOff>0</xdr:colOff>
          <xdr:row>66</xdr:row>
          <xdr:rowOff>209550</xdr:rowOff>
        </xdr:to>
        <xdr:sp macro="" textlink="">
          <xdr:nvSpPr>
            <xdr:cNvPr id="35920" name="Button 80" hidden="1">
              <a:extLst>
                <a:ext uri="{63B3BB69-23CF-44E3-9099-C40C66FF867C}">
                  <a14:compatExt spid="_x0000_s35920"/>
                </a:ext>
                <a:ext uri="{FF2B5EF4-FFF2-40B4-BE49-F238E27FC236}">
                  <a16:creationId xmlns:a16="http://schemas.microsoft.com/office/drawing/2014/main" id="{00000000-0008-0000-0400-00005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63</xdr:row>
          <xdr:rowOff>209550</xdr:rowOff>
        </xdr:from>
        <xdr:to>
          <xdr:col>18</xdr:col>
          <xdr:colOff>0</xdr:colOff>
          <xdr:row>66</xdr:row>
          <xdr:rowOff>209550</xdr:rowOff>
        </xdr:to>
        <xdr:sp macro="" textlink="">
          <xdr:nvSpPr>
            <xdr:cNvPr id="35921" name="Button 81" hidden="1">
              <a:extLst>
                <a:ext uri="{63B3BB69-23CF-44E3-9099-C40C66FF867C}">
                  <a14:compatExt spid="_x0000_s35921"/>
                </a:ext>
                <a:ext uri="{FF2B5EF4-FFF2-40B4-BE49-F238E27FC236}">
                  <a16:creationId xmlns:a16="http://schemas.microsoft.com/office/drawing/2014/main" id="{00000000-0008-0000-0400-00005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209550</xdr:rowOff>
        </xdr:from>
        <xdr:to>
          <xdr:col>17</xdr:col>
          <xdr:colOff>0</xdr:colOff>
          <xdr:row>69</xdr:row>
          <xdr:rowOff>209550</xdr:rowOff>
        </xdr:to>
        <xdr:sp macro="" textlink="">
          <xdr:nvSpPr>
            <xdr:cNvPr id="35922" name="Button 82" hidden="1">
              <a:extLst>
                <a:ext uri="{63B3BB69-23CF-44E3-9099-C40C66FF867C}">
                  <a14:compatExt spid="_x0000_s35922"/>
                </a:ext>
                <a:ext uri="{FF2B5EF4-FFF2-40B4-BE49-F238E27FC236}">
                  <a16:creationId xmlns:a16="http://schemas.microsoft.com/office/drawing/2014/main" id="{00000000-0008-0000-0400-00005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209550</xdr:rowOff>
        </xdr:from>
        <xdr:to>
          <xdr:col>18</xdr:col>
          <xdr:colOff>0</xdr:colOff>
          <xdr:row>69</xdr:row>
          <xdr:rowOff>209550</xdr:rowOff>
        </xdr:to>
        <xdr:sp macro="" textlink="">
          <xdr:nvSpPr>
            <xdr:cNvPr id="35923" name="Button 83" hidden="1">
              <a:extLst>
                <a:ext uri="{63B3BB69-23CF-44E3-9099-C40C66FF867C}">
                  <a14:compatExt spid="_x0000_s35923"/>
                </a:ext>
                <a:ext uri="{FF2B5EF4-FFF2-40B4-BE49-F238E27FC236}">
                  <a16:creationId xmlns:a16="http://schemas.microsoft.com/office/drawing/2014/main" id="{00000000-0008-0000-0400-00005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63</xdr:row>
          <xdr:rowOff>209550</xdr:rowOff>
        </xdr:from>
        <xdr:to>
          <xdr:col>19</xdr:col>
          <xdr:colOff>0</xdr:colOff>
          <xdr:row>66</xdr:row>
          <xdr:rowOff>209550</xdr:rowOff>
        </xdr:to>
        <xdr:sp macro="" textlink="">
          <xdr:nvSpPr>
            <xdr:cNvPr id="35924" name="Button 84" hidden="1">
              <a:extLst>
                <a:ext uri="{63B3BB69-23CF-44E3-9099-C40C66FF867C}">
                  <a14:compatExt spid="_x0000_s35924"/>
                </a:ext>
                <a:ext uri="{FF2B5EF4-FFF2-40B4-BE49-F238E27FC236}">
                  <a16:creationId xmlns:a16="http://schemas.microsoft.com/office/drawing/2014/main" id="{00000000-0008-0000-0400-00005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209550</xdr:rowOff>
        </xdr:from>
        <xdr:to>
          <xdr:col>19</xdr:col>
          <xdr:colOff>0</xdr:colOff>
          <xdr:row>69</xdr:row>
          <xdr:rowOff>209550</xdr:rowOff>
        </xdr:to>
        <xdr:sp macro="" textlink="">
          <xdr:nvSpPr>
            <xdr:cNvPr id="35925" name="Button 85" hidden="1">
              <a:extLst>
                <a:ext uri="{63B3BB69-23CF-44E3-9099-C40C66FF867C}">
                  <a14:compatExt spid="_x0000_s35925"/>
                </a:ext>
                <a:ext uri="{FF2B5EF4-FFF2-40B4-BE49-F238E27FC236}">
                  <a16:creationId xmlns:a16="http://schemas.microsoft.com/office/drawing/2014/main" id="{00000000-0008-0000-0400-00005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70</xdr:row>
          <xdr:rowOff>0</xdr:rowOff>
        </xdr:from>
        <xdr:to>
          <xdr:col>19</xdr:col>
          <xdr:colOff>0</xdr:colOff>
          <xdr:row>73</xdr:row>
          <xdr:rowOff>0</xdr:rowOff>
        </xdr:to>
        <xdr:sp macro="" textlink="">
          <xdr:nvSpPr>
            <xdr:cNvPr id="35926" name="Button 86" hidden="1">
              <a:extLst>
                <a:ext uri="{63B3BB69-23CF-44E3-9099-C40C66FF867C}">
                  <a14:compatExt spid="_x0000_s35926"/>
                </a:ext>
                <a:ext uri="{FF2B5EF4-FFF2-40B4-BE49-F238E27FC236}">
                  <a16:creationId xmlns:a16="http://schemas.microsoft.com/office/drawing/2014/main" id="{00000000-0008-0000-0400-00005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74</xdr:row>
          <xdr:rowOff>209550</xdr:rowOff>
        </xdr:from>
        <xdr:to>
          <xdr:col>19</xdr:col>
          <xdr:colOff>0</xdr:colOff>
          <xdr:row>77</xdr:row>
          <xdr:rowOff>209550</xdr:rowOff>
        </xdr:to>
        <xdr:sp macro="" textlink="">
          <xdr:nvSpPr>
            <xdr:cNvPr id="35927" name="Button 87" hidden="1">
              <a:extLst>
                <a:ext uri="{63B3BB69-23CF-44E3-9099-C40C66FF867C}">
                  <a14:compatExt spid="_x0000_s35927"/>
                </a:ext>
                <a:ext uri="{FF2B5EF4-FFF2-40B4-BE49-F238E27FC236}">
                  <a16:creationId xmlns:a16="http://schemas.microsoft.com/office/drawing/2014/main" id="{00000000-0008-0000-0400-00005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77</xdr:row>
          <xdr:rowOff>209550</xdr:rowOff>
        </xdr:from>
        <xdr:to>
          <xdr:col>19</xdr:col>
          <xdr:colOff>0</xdr:colOff>
          <xdr:row>80</xdr:row>
          <xdr:rowOff>209550</xdr:rowOff>
        </xdr:to>
        <xdr:sp macro="" textlink="">
          <xdr:nvSpPr>
            <xdr:cNvPr id="35928" name="Button 88" hidden="1">
              <a:extLst>
                <a:ext uri="{63B3BB69-23CF-44E3-9099-C40C66FF867C}">
                  <a14:compatExt spid="_x0000_s35928"/>
                </a:ext>
                <a:ext uri="{FF2B5EF4-FFF2-40B4-BE49-F238E27FC236}">
                  <a16:creationId xmlns:a16="http://schemas.microsoft.com/office/drawing/2014/main" id="{00000000-0008-0000-0400-00005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80</xdr:row>
          <xdr:rowOff>209550</xdr:rowOff>
        </xdr:from>
        <xdr:to>
          <xdr:col>19</xdr:col>
          <xdr:colOff>0</xdr:colOff>
          <xdr:row>83</xdr:row>
          <xdr:rowOff>209550</xdr:rowOff>
        </xdr:to>
        <xdr:sp macro="" textlink="">
          <xdr:nvSpPr>
            <xdr:cNvPr id="35929" name="Button 89" hidden="1">
              <a:extLst>
                <a:ext uri="{63B3BB69-23CF-44E3-9099-C40C66FF867C}">
                  <a14:compatExt spid="_x0000_s35929"/>
                </a:ext>
                <a:ext uri="{FF2B5EF4-FFF2-40B4-BE49-F238E27FC236}">
                  <a16:creationId xmlns:a16="http://schemas.microsoft.com/office/drawing/2014/main" id="{00000000-0008-0000-0400-00005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83</xdr:row>
          <xdr:rowOff>209550</xdr:rowOff>
        </xdr:from>
        <xdr:to>
          <xdr:col>19</xdr:col>
          <xdr:colOff>0</xdr:colOff>
          <xdr:row>86</xdr:row>
          <xdr:rowOff>209550</xdr:rowOff>
        </xdr:to>
        <xdr:sp macro="" textlink="">
          <xdr:nvSpPr>
            <xdr:cNvPr id="35930" name="Button 90" hidden="1">
              <a:extLst>
                <a:ext uri="{63B3BB69-23CF-44E3-9099-C40C66FF867C}">
                  <a14:compatExt spid="_x0000_s35930"/>
                </a:ext>
                <a:ext uri="{FF2B5EF4-FFF2-40B4-BE49-F238E27FC236}">
                  <a16:creationId xmlns:a16="http://schemas.microsoft.com/office/drawing/2014/main" id="{00000000-0008-0000-0400-00005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86</xdr:row>
          <xdr:rowOff>209550</xdr:rowOff>
        </xdr:from>
        <xdr:to>
          <xdr:col>19</xdr:col>
          <xdr:colOff>0</xdr:colOff>
          <xdr:row>89</xdr:row>
          <xdr:rowOff>209550</xdr:rowOff>
        </xdr:to>
        <xdr:sp macro="" textlink="">
          <xdr:nvSpPr>
            <xdr:cNvPr id="35931" name="Button 91" hidden="1">
              <a:extLst>
                <a:ext uri="{63B3BB69-23CF-44E3-9099-C40C66FF867C}">
                  <a14:compatExt spid="_x0000_s35931"/>
                </a:ext>
                <a:ext uri="{FF2B5EF4-FFF2-40B4-BE49-F238E27FC236}">
                  <a16:creationId xmlns:a16="http://schemas.microsoft.com/office/drawing/2014/main" id="{00000000-0008-0000-0400-00005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5932" name="Button 92" hidden="1">
              <a:extLst>
                <a:ext uri="{63B3BB69-23CF-44E3-9099-C40C66FF867C}">
                  <a14:compatExt spid="_x0000_s35932"/>
                </a:ext>
                <a:ext uri="{FF2B5EF4-FFF2-40B4-BE49-F238E27FC236}">
                  <a16:creationId xmlns:a16="http://schemas.microsoft.com/office/drawing/2014/main" id="{00000000-0008-0000-0400-00005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101</xdr:row>
          <xdr:rowOff>209550</xdr:rowOff>
        </xdr:from>
        <xdr:to>
          <xdr:col>17</xdr:col>
          <xdr:colOff>0</xdr:colOff>
          <xdr:row>104</xdr:row>
          <xdr:rowOff>209550</xdr:rowOff>
        </xdr:to>
        <xdr:sp macro="" textlink="">
          <xdr:nvSpPr>
            <xdr:cNvPr id="35933" name="Button 93" hidden="1">
              <a:extLst>
                <a:ext uri="{63B3BB69-23CF-44E3-9099-C40C66FF867C}">
                  <a14:compatExt spid="_x0000_s35933"/>
                </a:ext>
                <a:ext uri="{FF2B5EF4-FFF2-40B4-BE49-F238E27FC236}">
                  <a16:creationId xmlns:a16="http://schemas.microsoft.com/office/drawing/2014/main" id="{00000000-0008-0000-0400-00005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101</xdr:row>
          <xdr:rowOff>209550</xdr:rowOff>
        </xdr:from>
        <xdr:to>
          <xdr:col>18</xdr:col>
          <xdr:colOff>0</xdr:colOff>
          <xdr:row>104</xdr:row>
          <xdr:rowOff>209550</xdr:rowOff>
        </xdr:to>
        <xdr:sp macro="" textlink="">
          <xdr:nvSpPr>
            <xdr:cNvPr id="35934" name="Button 94" hidden="1">
              <a:extLst>
                <a:ext uri="{63B3BB69-23CF-44E3-9099-C40C66FF867C}">
                  <a14:compatExt spid="_x0000_s35934"/>
                </a:ext>
                <a:ext uri="{FF2B5EF4-FFF2-40B4-BE49-F238E27FC236}">
                  <a16:creationId xmlns:a16="http://schemas.microsoft.com/office/drawing/2014/main" id="{00000000-0008-0000-0400-00005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104</xdr:row>
          <xdr:rowOff>209550</xdr:rowOff>
        </xdr:from>
        <xdr:to>
          <xdr:col>17</xdr:col>
          <xdr:colOff>0</xdr:colOff>
          <xdr:row>107</xdr:row>
          <xdr:rowOff>209550</xdr:rowOff>
        </xdr:to>
        <xdr:sp macro="" textlink="">
          <xdr:nvSpPr>
            <xdr:cNvPr id="35935" name="Button 95" hidden="1">
              <a:extLst>
                <a:ext uri="{63B3BB69-23CF-44E3-9099-C40C66FF867C}">
                  <a14:compatExt spid="_x0000_s35935"/>
                </a:ext>
                <a:ext uri="{FF2B5EF4-FFF2-40B4-BE49-F238E27FC236}">
                  <a16:creationId xmlns:a16="http://schemas.microsoft.com/office/drawing/2014/main" id="{00000000-0008-0000-0400-00005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104</xdr:row>
          <xdr:rowOff>209550</xdr:rowOff>
        </xdr:from>
        <xdr:to>
          <xdr:col>18</xdr:col>
          <xdr:colOff>0</xdr:colOff>
          <xdr:row>107</xdr:row>
          <xdr:rowOff>209550</xdr:rowOff>
        </xdr:to>
        <xdr:sp macro="" textlink="">
          <xdr:nvSpPr>
            <xdr:cNvPr id="35936" name="Button 96" hidden="1">
              <a:extLst>
                <a:ext uri="{63B3BB69-23CF-44E3-9099-C40C66FF867C}">
                  <a14:compatExt spid="_x0000_s35936"/>
                </a:ext>
                <a:ext uri="{FF2B5EF4-FFF2-40B4-BE49-F238E27FC236}">
                  <a16:creationId xmlns:a16="http://schemas.microsoft.com/office/drawing/2014/main" id="{00000000-0008-0000-0400-00006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101</xdr:row>
          <xdr:rowOff>209550</xdr:rowOff>
        </xdr:from>
        <xdr:to>
          <xdr:col>19</xdr:col>
          <xdr:colOff>0</xdr:colOff>
          <xdr:row>104</xdr:row>
          <xdr:rowOff>209550</xdr:rowOff>
        </xdr:to>
        <xdr:sp macro="" textlink="">
          <xdr:nvSpPr>
            <xdr:cNvPr id="35937" name="Button 97" hidden="1">
              <a:extLst>
                <a:ext uri="{63B3BB69-23CF-44E3-9099-C40C66FF867C}">
                  <a14:compatExt spid="_x0000_s35937"/>
                </a:ext>
                <a:ext uri="{FF2B5EF4-FFF2-40B4-BE49-F238E27FC236}">
                  <a16:creationId xmlns:a16="http://schemas.microsoft.com/office/drawing/2014/main" id="{00000000-0008-0000-0400-00006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104</xdr:row>
          <xdr:rowOff>209550</xdr:rowOff>
        </xdr:from>
        <xdr:to>
          <xdr:col>19</xdr:col>
          <xdr:colOff>0</xdr:colOff>
          <xdr:row>107</xdr:row>
          <xdr:rowOff>209550</xdr:rowOff>
        </xdr:to>
        <xdr:sp macro="" textlink="">
          <xdr:nvSpPr>
            <xdr:cNvPr id="35938" name="Button 98" hidden="1">
              <a:extLst>
                <a:ext uri="{63B3BB69-23CF-44E3-9099-C40C66FF867C}">
                  <a14:compatExt spid="_x0000_s35938"/>
                </a:ext>
                <a:ext uri="{FF2B5EF4-FFF2-40B4-BE49-F238E27FC236}">
                  <a16:creationId xmlns:a16="http://schemas.microsoft.com/office/drawing/2014/main" id="{00000000-0008-0000-0400-00006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108</xdr:row>
          <xdr:rowOff>0</xdr:rowOff>
        </xdr:from>
        <xdr:to>
          <xdr:col>19</xdr:col>
          <xdr:colOff>0</xdr:colOff>
          <xdr:row>111</xdr:row>
          <xdr:rowOff>0</xdr:rowOff>
        </xdr:to>
        <xdr:sp macro="" textlink="">
          <xdr:nvSpPr>
            <xdr:cNvPr id="35939" name="Button 99" hidden="1">
              <a:extLst>
                <a:ext uri="{63B3BB69-23CF-44E3-9099-C40C66FF867C}">
                  <a14:compatExt spid="_x0000_s35939"/>
                </a:ext>
                <a:ext uri="{FF2B5EF4-FFF2-40B4-BE49-F238E27FC236}">
                  <a16:creationId xmlns:a16="http://schemas.microsoft.com/office/drawing/2014/main" id="{00000000-0008-0000-0400-00006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209550</xdr:rowOff>
        </xdr:from>
        <xdr:to>
          <xdr:col>19</xdr:col>
          <xdr:colOff>0</xdr:colOff>
          <xdr:row>115</xdr:row>
          <xdr:rowOff>209550</xdr:rowOff>
        </xdr:to>
        <xdr:sp macro="" textlink="">
          <xdr:nvSpPr>
            <xdr:cNvPr id="35940" name="Button 100" hidden="1">
              <a:extLst>
                <a:ext uri="{63B3BB69-23CF-44E3-9099-C40C66FF867C}">
                  <a14:compatExt spid="_x0000_s35940"/>
                </a:ext>
                <a:ext uri="{FF2B5EF4-FFF2-40B4-BE49-F238E27FC236}">
                  <a16:creationId xmlns:a16="http://schemas.microsoft.com/office/drawing/2014/main" id="{00000000-0008-0000-0400-00006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209550</xdr:rowOff>
        </xdr:from>
        <xdr:to>
          <xdr:col>19</xdr:col>
          <xdr:colOff>0</xdr:colOff>
          <xdr:row>118</xdr:row>
          <xdr:rowOff>209550</xdr:rowOff>
        </xdr:to>
        <xdr:sp macro="" textlink="">
          <xdr:nvSpPr>
            <xdr:cNvPr id="35941" name="Button 101" hidden="1">
              <a:extLst>
                <a:ext uri="{63B3BB69-23CF-44E3-9099-C40C66FF867C}">
                  <a14:compatExt spid="_x0000_s35941"/>
                </a:ext>
                <a:ext uri="{FF2B5EF4-FFF2-40B4-BE49-F238E27FC236}">
                  <a16:creationId xmlns:a16="http://schemas.microsoft.com/office/drawing/2014/main" id="{00000000-0008-0000-0400-00006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118</xdr:row>
          <xdr:rowOff>209550</xdr:rowOff>
        </xdr:from>
        <xdr:to>
          <xdr:col>19</xdr:col>
          <xdr:colOff>0</xdr:colOff>
          <xdr:row>121</xdr:row>
          <xdr:rowOff>209550</xdr:rowOff>
        </xdr:to>
        <xdr:sp macro="" textlink="">
          <xdr:nvSpPr>
            <xdr:cNvPr id="35942" name="Button 102" hidden="1">
              <a:extLst>
                <a:ext uri="{63B3BB69-23CF-44E3-9099-C40C66FF867C}">
                  <a14:compatExt spid="_x0000_s35942"/>
                </a:ext>
                <a:ext uri="{FF2B5EF4-FFF2-40B4-BE49-F238E27FC236}">
                  <a16:creationId xmlns:a16="http://schemas.microsoft.com/office/drawing/2014/main" id="{00000000-0008-0000-0400-00006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121</xdr:row>
          <xdr:rowOff>209550</xdr:rowOff>
        </xdr:from>
        <xdr:to>
          <xdr:col>19</xdr:col>
          <xdr:colOff>0</xdr:colOff>
          <xdr:row>124</xdr:row>
          <xdr:rowOff>209550</xdr:rowOff>
        </xdr:to>
        <xdr:sp macro="" textlink="">
          <xdr:nvSpPr>
            <xdr:cNvPr id="35943" name="Button 103" hidden="1">
              <a:extLst>
                <a:ext uri="{63B3BB69-23CF-44E3-9099-C40C66FF867C}">
                  <a14:compatExt spid="_x0000_s35943"/>
                </a:ext>
                <a:ext uri="{FF2B5EF4-FFF2-40B4-BE49-F238E27FC236}">
                  <a16:creationId xmlns:a16="http://schemas.microsoft.com/office/drawing/2014/main" id="{00000000-0008-0000-0400-00006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124</xdr:row>
          <xdr:rowOff>209550</xdr:rowOff>
        </xdr:from>
        <xdr:to>
          <xdr:col>19</xdr:col>
          <xdr:colOff>0</xdr:colOff>
          <xdr:row>127</xdr:row>
          <xdr:rowOff>209550</xdr:rowOff>
        </xdr:to>
        <xdr:sp macro="" textlink="">
          <xdr:nvSpPr>
            <xdr:cNvPr id="35944" name="Button 104" hidden="1">
              <a:extLst>
                <a:ext uri="{63B3BB69-23CF-44E3-9099-C40C66FF867C}">
                  <a14:compatExt spid="_x0000_s35944"/>
                </a:ext>
                <a:ext uri="{FF2B5EF4-FFF2-40B4-BE49-F238E27FC236}">
                  <a16:creationId xmlns:a16="http://schemas.microsoft.com/office/drawing/2014/main" id="{00000000-0008-0000-0400-00006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137</xdr:row>
          <xdr:rowOff>0</xdr:rowOff>
        </xdr:from>
        <xdr:to>
          <xdr:col>19</xdr:col>
          <xdr:colOff>0</xdr:colOff>
          <xdr:row>140</xdr:row>
          <xdr:rowOff>0</xdr:rowOff>
        </xdr:to>
        <xdr:sp macro="" textlink="">
          <xdr:nvSpPr>
            <xdr:cNvPr id="35945" name="Button 105" hidden="1">
              <a:extLst>
                <a:ext uri="{63B3BB69-23CF-44E3-9099-C40C66FF867C}">
                  <a14:compatExt spid="_x0000_s35945"/>
                </a:ext>
                <a:ext uri="{FF2B5EF4-FFF2-40B4-BE49-F238E27FC236}">
                  <a16:creationId xmlns:a16="http://schemas.microsoft.com/office/drawing/2014/main" id="{00000000-0008-0000-0400-00006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209550</xdr:rowOff>
        </xdr:from>
        <xdr:to>
          <xdr:col>17</xdr:col>
          <xdr:colOff>0</xdr:colOff>
          <xdr:row>142</xdr:row>
          <xdr:rowOff>209550</xdr:rowOff>
        </xdr:to>
        <xdr:sp macro="" textlink="">
          <xdr:nvSpPr>
            <xdr:cNvPr id="35946" name="Button 106" hidden="1">
              <a:extLst>
                <a:ext uri="{63B3BB69-23CF-44E3-9099-C40C66FF867C}">
                  <a14:compatExt spid="_x0000_s35946"/>
                </a:ext>
                <a:ext uri="{FF2B5EF4-FFF2-40B4-BE49-F238E27FC236}">
                  <a16:creationId xmlns:a16="http://schemas.microsoft.com/office/drawing/2014/main" id="{00000000-0008-0000-0400-00006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209550</xdr:rowOff>
        </xdr:from>
        <xdr:to>
          <xdr:col>18</xdr:col>
          <xdr:colOff>0</xdr:colOff>
          <xdr:row>142</xdr:row>
          <xdr:rowOff>209550</xdr:rowOff>
        </xdr:to>
        <xdr:sp macro="" textlink="">
          <xdr:nvSpPr>
            <xdr:cNvPr id="35947" name="Button 107" hidden="1">
              <a:extLst>
                <a:ext uri="{63B3BB69-23CF-44E3-9099-C40C66FF867C}">
                  <a14:compatExt spid="_x0000_s35947"/>
                </a:ext>
                <a:ext uri="{FF2B5EF4-FFF2-40B4-BE49-F238E27FC236}">
                  <a16:creationId xmlns:a16="http://schemas.microsoft.com/office/drawing/2014/main" id="{00000000-0008-0000-0400-00006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209550</xdr:rowOff>
        </xdr:from>
        <xdr:to>
          <xdr:col>17</xdr:col>
          <xdr:colOff>0</xdr:colOff>
          <xdr:row>145</xdr:row>
          <xdr:rowOff>209550</xdr:rowOff>
        </xdr:to>
        <xdr:sp macro="" textlink="">
          <xdr:nvSpPr>
            <xdr:cNvPr id="35948" name="Button 108" hidden="1">
              <a:extLst>
                <a:ext uri="{63B3BB69-23CF-44E3-9099-C40C66FF867C}">
                  <a14:compatExt spid="_x0000_s35948"/>
                </a:ext>
                <a:ext uri="{FF2B5EF4-FFF2-40B4-BE49-F238E27FC236}">
                  <a16:creationId xmlns:a16="http://schemas.microsoft.com/office/drawing/2014/main" id="{00000000-0008-0000-0400-00006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142</xdr:row>
          <xdr:rowOff>209550</xdr:rowOff>
        </xdr:from>
        <xdr:to>
          <xdr:col>18</xdr:col>
          <xdr:colOff>0</xdr:colOff>
          <xdr:row>145</xdr:row>
          <xdr:rowOff>209550</xdr:rowOff>
        </xdr:to>
        <xdr:sp macro="" textlink="">
          <xdr:nvSpPr>
            <xdr:cNvPr id="35949" name="Button 109" hidden="1">
              <a:extLst>
                <a:ext uri="{63B3BB69-23CF-44E3-9099-C40C66FF867C}">
                  <a14:compatExt spid="_x0000_s35949"/>
                </a:ext>
                <a:ext uri="{FF2B5EF4-FFF2-40B4-BE49-F238E27FC236}">
                  <a16:creationId xmlns:a16="http://schemas.microsoft.com/office/drawing/2014/main" id="{00000000-0008-0000-0400-00006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209550</xdr:rowOff>
        </xdr:from>
        <xdr:to>
          <xdr:col>19</xdr:col>
          <xdr:colOff>0</xdr:colOff>
          <xdr:row>142</xdr:row>
          <xdr:rowOff>209550</xdr:rowOff>
        </xdr:to>
        <xdr:sp macro="" textlink="">
          <xdr:nvSpPr>
            <xdr:cNvPr id="35950" name="Button 110" hidden="1">
              <a:extLst>
                <a:ext uri="{63B3BB69-23CF-44E3-9099-C40C66FF867C}">
                  <a14:compatExt spid="_x0000_s35950"/>
                </a:ext>
                <a:ext uri="{FF2B5EF4-FFF2-40B4-BE49-F238E27FC236}">
                  <a16:creationId xmlns:a16="http://schemas.microsoft.com/office/drawing/2014/main" id="{00000000-0008-0000-0400-00006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142</xdr:row>
          <xdr:rowOff>209550</xdr:rowOff>
        </xdr:from>
        <xdr:to>
          <xdr:col>19</xdr:col>
          <xdr:colOff>0</xdr:colOff>
          <xdr:row>145</xdr:row>
          <xdr:rowOff>209550</xdr:rowOff>
        </xdr:to>
        <xdr:sp macro="" textlink="">
          <xdr:nvSpPr>
            <xdr:cNvPr id="35951" name="Button 111" hidden="1">
              <a:extLst>
                <a:ext uri="{63B3BB69-23CF-44E3-9099-C40C66FF867C}">
                  <a14:compatExt spid="_x0000_s35951"/>
                </a:ext>
                <a:ext uri="{FF2B5EF4-FFF2-40B4-BE49-F238E27FC236}">
                  <a16:creationId xmlns:a16="http://schemas.microsoft.com/office/drawing/2014/main" id="{00000000-0008-0000-0400-00006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146</xdr:row>
          <xdr:rowOff>0</xdr:rowOff>
        </xdr:from>
        <xdr:to>
          <xdr:col>19</xdr:col>
          <xdr:colOff>0</xdr:colOff>
          <xdr:row>149</xdr:row>
          <xdr:rowOff>0</xdr:rowOff>
        </xdr:to>
        <xdr:sp macro="" textlink="">
          <xdr:nvSpPr>
            <xdr:cNvPr id="35952" name="Button 112" hidden="1">
              <a:extLst>
                <a:ext uri="{63B3BB69-23CF-44E3-9099-C40C66FF867C}">
                  <a14:compatExt spid="_x0000_s35952"/>
                </a:ext>
                <a:ext uri="{FF2B5EF4-FFF2-40B4-BE49-F238E27FC236}">
                  <a16:creationId xmlns:a16="http://schemas.microsoft.com/office/drawing/2014/main" id="{00000000-0008-0000-0400-00007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209550</xdr:rowOff>
        </xdr:from>
        <xdr:to>
          <xdr:col>19</xdr:col>
          <xdr:colOff>0</xdr:colOff>
          <xdr:row>153</xdr:row>
          <xdr:rowOff>209550</xdr:rowOff>
        </xdr:to>
        <xdr:sp macro="" textlink="">
          <xdr:nvSpPr>
            <xdr:cNvPr id="35953" name="Button 113" hidden="1">
              <a:extLst>
                <a:ext uri="{63B3BB69-23CF-44E3-9099-C40C66FF867C}">
                  <a14:compatExt spid="_x0000_s35953"/>
                </a:ext>
                <a:ext uri="{FF2B5EF4-FFF2-40B4-BE49-F238E27FC236}">
                  <a16:creationId xmlns:a16="http://schemas.microsoft.com/office/drawing/2014/main" id="{00000000-0008-0000-0400-00007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209550</xdr:rowOff>
        </xdr:from>
        <xdr:to>
          <xdr:col>19</xdr:col>
          <xdr:colOff>0</xdr:colOff>
          <xdr:row>156</xdr:row>
          <xdr:rowOff>209550</xdr:rowOff>
        </xdr:to>
        <xdr:sp macro="" textlink="">
          <xdr:nvSpPr>
            <xdr:cNvPr id="35954" name="Button 114" hidden="1">
              <a:extLst>
                <a:ext uri="{63B3BB69-23CF-44E3-9099-C40C66FF867C}">
                  <a14:compatExt spid="_x0000_s35954"/>
                </a:ext>
                <a:ext uri="{FF2B5EF4-FFF2-40B4-BE49-F238E27FC236}">
                  <a16:creationId xmlns:a16="http://schemas.microsoft.com/office/drawing/2014/main" id="{00000000-0008-0000-0400-00007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209550</xdr:rowOff>
        </xdr:from>
        <xdr:to>
          <xdr:col>19</xdr:col>
          <xdr:colOff>0</xdr:colOff>
          <xdr:row>159</xdr:row>
          <xdr:rowOff>209550</xdr:rowOff>
        </xdr:to>
        <xdr:sp macro="" textlink="">
          <xdr:nvSpPr>
            <xdr:cNvPr id="35955" name="Button 115" hidden="1">
              <a:extLst>
                <a:ext uri="{63B3BB69-23CF-44E3-9099-C40C66FF867C}">
                  <a14:compatExt spid="_x0000_s35955"/>
                </a:ext>
                <a:ext uri="{FF2B5EF4-FFF2-40B4-BE49-F238E27FC236}">
                  <a16:creationId xmlns:a16="http://schemas.microsoft.com/office/drawing/2014/main" id="{00000000-0008-0000-0400-00007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159</xdr:row>
          <xdr:rowOff>209550</xdr:rowOff>
        </xdr:from>
        <xdr:to>
          <xdr:col>19</xdr:col>
          <xdr:colOff>0</xdr:colOff>
          <xdr:row>162</xdr:row>
          <xdr:rowOff>209550</xdr:rowOff>
        </xdr:to>
        <xdr:sp macro="" textlink="">
          <xdr:nvSpPr>
            <xdr:cNvPr id="35956" name="Button 116" hidden="1">
              <a:extLst>
                <a:ext uri="{63B3BB69-23CF-44E3-9099-C40C66FF867C}">
                  <a14:compatExt spid="_x0000_s35956"/>
                </a:ext>
                <a:ext uri="{FF2B5EF4-FFF2-40B4-BE49-F238E27FC236}">
                  <a16:creationId xmlns:a16="http://schemas.microsoft.com/office/drawing/2014/main" id="{00000000-0008-0000-0400-00007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162</xdr:row>
          <xdr:rowOff>209550</xdr:rowOff>
        </xdr:from>
        <xdr:to>
          <xdr:col>19</xdr:col>
          <xdr:colOff>0</xdr:colOff>
          <xdr:row>165</xdr:row>
          <xdr:rowOff>209550</xdr:rowOff>
        </xdr:to>
        <xdr:sp macro="" textlink="">
          <xdr:nvSpPr>
            <xdr:cNvPr id="35957" name="Button 117" hidden="1">
              <a:extLst>
                <a:ext uri="{63B3BB69-23CF-44E3-9099-C40C66FF867C}">
                  <a14:compatExt spid="_x0000_s35957"/>
                </a:ext>
                <a:ext uri="{FF2B5EF4-FFF2-40B4-BE49-F238E27FC236}">
                  <a16:creationId xmlns:a16="http://schemas.microsoft.com/office/drawing/2014/main" id="{00000000-0008-0000-0400-00007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175</xdr:row>
          <xdr:rowOff>0</xdr:rowOff>
        </xdr:from>
        <xdr:to>
          <xdr:col>19</xdr:col>
          <xdr:colOff>0</xdr:colOff>
          <xdr:row>178</xdr:row>
          <xdr:rowOff>0</xdr:rowOff>
        </xdr:to>
        <xdr:sp macro="" textlink="">
          <xdr:nvSpPr>
            <xdr:cNvPr id="35958" name="Button 118" hidden="1">
              <a:extLst>
                <a:ext uri="{63B3BB69-23CF-44E3-9099-C40C66FF867C}">
                  <a14:compatExt spid="_x0000_s35958"/>
                </a:ext>
                <a:ext uri="{FF2B5EF4-FFF2-40B4-BE49-F238E27FC236}">
                  <a16:creationId xmlns:a16="http://schemas.microsoft.com/office/drawing/2014/main" id="{00000000-0008-0000-0400-00007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209550</xdr:rowOff>
        </xdr:from>
        <xdr:to>
          <xdr:col>17</xdr:col>
          <xdr:colOff>0</xdr:colOff>
          <xdr:row>180</xdr:row>
          <xdr:rowOff>209550</xdr:rowOff>
        </xdr:to>
        <xdr:sp macro="" textlink="">
          <xdr:nvSpPr>
            <xdr:cNvPr id="35959" name="Button 119" hidden="1">
              <a:extLst>
                <a:ext uri="{63B3BB69-23CF-44E3-9099-C40C66FF867C}">
                  <a14:compatExt spid="_x0000_s35959"/>
                </a:ext>
                <a:ext uri="{FF2B5EF4-FFF2-40B4-BE49-F238E27FC236}">
                  <a16:creationId xmlns:a16="http://schemas.microsoft.com/office/drawing/2014/main" id="{00000000-0008-0000-0400-00007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209550</xdr:rowOff>
        </xdr:from>
        <xdr:to>
          <xdr:col>18</xdr:col>
          <xdr:colOff>0</xdr:colOff>
          <xdr:row>180</xdr:row>
          <xdr:rowOff>209550</xdr:rowOff>
        </xdr:to>
        <xdr:sp macro="" textlink="">
          <xdr:nvSpPr>
            <xdr:cNvPr id="35960" name="Button 120" hidden="1">
              <a:extLst>
                <a:ext uri="{63B3BB69-23CF-44E3-9099-C40C66FF867C}">
                  <a14:compatExt spid="_x0000_s35960"/>
                </a:ext>
                <a:ext uri="{FF2B5EF4-FFF2-40B4-BE49-F238E27FC236}">
                  <a16:creationId xmlns:a16="http://schemas.microsoft.com/office/drawing/2014/main" id="{00000000-0008-0000-0400-00007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209550</xdr:rowOff>
        </xdr:from>
        <xdr:to>
          <xdr:col>17</xdr:col>
          <xdr:colOff>0</xdr:colOff>
          <xdr:row>183</xdr:row>
          <xdr:rowOff>209550</xdr:rowOff>
        </xdr:to>
        <xdr:sp macro="" textlink="">
          <xdr:nvSpPr>
            <xdr:cNvPr id="35961" name="Button 121" hidden="1">
              <a:extLst>
                <a:ext uri="{63B3BB69-23CF-44E3-9099-C40C66FF867C}">
                  <a14:compatExt spid="_x0000_s35961"/>
                </a:ext>
                <a:ext uri="{FF2B5EF4-FFF2-40B4-BE49-F238E27FC236}">
                  <a16:creationId xmlns:a16="http://schemas.microsoft.com/office/drawing/2014/main" id="{00000000-0008-0000-0400-00007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209550</xdr:rowOff>
        </xdr:from>
        <xdr:to>
          <xdr:col>18</xdr:col>
          <xdr:colOff>0</xdr:colOff>
          <xdr:row>183</xdr:row>
          <xdr:rowOff>209550</xdr:rowOff>
        </xdr:to>
        <xdr:sp macro="" textlink="">
          <xdr:nvSpPr>
            <xdr:cNvPr id="35962" name="Button 122" hidden="1">
              <a:extLst>
                <a:ext uri="{63B3BB69-23CF-44E3-9099-C40C66FF867C}">
                  <a14:compatExt spid="_x0000_s35962"/>
                </a:ext>
                <a:ext uri="{FF2B5EF4-FFF2-40B4-BE49-F238E27FC236}">
                  <a16:creationId xmlns:a16="http://schemas.microsoft.com/office/drawing/2014/main" id="{00000000-0008-0000-0400-00007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209550</xdr:rowOff>
        </xdr:from>
        <xdr:to>
          <xdr:col>19</xdr:col>
          <xdr:colOff>0</xdr:colOff>
          <xdr:row>180</xdr:row>
          <xdr:rowOff>209550</xdr:rowOff>
        </xdr:to>
        <xdr:sp macro="" textlink="">
          <xdr:nvSpPr>
            <xdr:cNvPr id="35963" name="Button 123" hidden="1">
              <a:extLst>
                <a:ext uri="{63B3BB69-23CF-44E3-9099-C40C66FF867C}">
                  <a14:compatExt spid="_x0000_s35963"/>
                </a:ext>
                <a:ext uri="{FF2B5EF4-FFF2-40B4-BE49-F238E27FC236}">
                  <a16:creationId xmlns:a16="http://schemas.microsoft.com/office/drawing/2014/main" id="{00000000-0008-0000-0400-00007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209550</xdr:rowOff>
        </xdr:from>
        <xdr:to>
          <xdr:col>19</xdr:col>
          <xdr:colOff>0</xdr:colOff>
          <xdr:row>183</xdr:row>
          <xdr:rowOff>209550</xdr:rowOff>
        </xdr:to>
        <xdr:sp macro="" textlink="">
          <xdr:nvSpPr>
            <xdr:cNvPr id="35964" name="Button 124" hidden="1">
              <a:extLst>
                <a:ext uri="{63B3BB69-23CF-44E3-9099-C40C66FF867C}">
                  <a14:compatExt spid="_x0000_s35964"/>
                </a:ext>
                <a:ext uri="{FF2B5EF4-FFF2-40B4-BE49-F238E27FC236}">
                  <a16:creationId xmlns:a16="http://schemas.microsoft.com/office/drawing/2014/main" id="{00000000-0008-0000-0400-00007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184</xdr:row>
          <xdr:rowOff>0</xdr:rowOff>
        </xdr:from>
        <xdr:to>
          <xdr:col>19</xdr:col>
          <xdr:colOff>0</xdr:colOff>
          <xdr:row>187</xdr:row>
          <xdr:rowOff>0</xdr:rowOff>
        </xdr:to>
        <xdr:sp macro="" textlink="">
          <xdr:nvSpPr>
            <xdr:cNvPr id="35965" name="Button 125" hidden="1">
              <a:extLst>
                <a:ext uri="{63B3BB69-23CF-44E3-9099-C40C66FF867C}">
                  <a14:compatExt spid="_x0000_s35965"/>
                </a:ext>
                <a:ext uri="{FF2B5EF4-FFF2-40B4-BE49-F238E27FC236}">
                  <a16:creationId xmlns:a16="http://schemas.microsoft.com/office/drawing/2014/main" id="{00000000-0008-0000-0400-00007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188</xdr:row>
          <xdr:rowOff>209550</xdr:rowOff>
        </xdr:from>
        <xdr:to>
          <xdr:col>19</xdr:col>
          <xdr:colOff>0</xdr:colOff>
          <xdr:row>191</xdr:row>
          <xdr:rowOff>209550</xdr:rowOff>
        </xdr:to>
        <xdr:sp macro="" textlink="">
          <xdr:nvSpPr>
            <xdr:cNvPr id="35966" name="Button 126" hidden="1">
              <a:extLst>
                <a:ext uri="{63B3BB69-23CF-44E3-9099-C40C66FF867C}">
                  <a14:compatExt spid="_x0000_s35966"/>
                </a:ext>
                <a:ext uri="{FF2B5EF4-FFF2-40B4-BE49-F238E27FC236}">
                  <a16:creationId xmlns:a16="http://schemas.microsoft.com/office/drawing/2014/main" id="{00000000-0008-0000-0400-00007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191</xdr:row>
          <xdr:rowOff>209550</xdr:rowOff>
        </xdr:from>
        <xdr:to>
          <xdr:col>19</xdr:col>
          <xdr:colOff>0</xdr:colOff>
          <xdr:row>194</xdr:row>
          <xdr:rowOff>209550</xdr:rowOff>
        </xdr:to>
        <xdr:sp macro="" textlink="">
          <xdr:nvSpPr>
            <xdr:cNvPr id="35967" name="Button 127" hidden="1">
              <a:extLst>
                <a:ext uri="{63B3BB69-23CF-44E3-9099-C40C66FF867C}">
                  <a14:compatExt spid="_x0000_s35967"/>
                </a:ext>
                <a:ext uri="{FF2B5EF4-FFF2-40B4-BE49-F238E27FC236}">
                  <a16:creationId xmlns:a16="http://schemas.microsoft.com/office/drawing/2014/main" id="{00000000-0008-0000-0400-00007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194</xdr:row>
          <xdr:rowOff>209550</xdr:rowOff>
        </xdr:from>
        <xdr:to>
          <xdr:col>19</xdr:col>
          <xdr:colOff>0</xdr:colOff>
          <xdr:row>197</xdr:row>
          <xdr:rowOff>209550</xdr:rowOff>
        </xdr:to>
        <xdr:sp macro="" textlink="">
          <xdr:nvSpPr>
            <xdr:cNvPr id="35968" name="Button 128" hidden="1">
              <a:extLst>
                <a:ext uri="{63B3BB69-23CF-44E3-9099-C40C66FF867C}">
                  <a14:compatExt spid="_x0000_s35968"/>
                </a:ext>
                <a:ext uri="{FF2B5EF4-FFF2-40B4-BE49-F238E27FC236}">
                  <a16:creationId xmlns:a16="http://schemas.microsoft.com/office/drawing/2014/main" id="{00000000-0008-0000-0400-00008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197</xdr:row>
          <xdr:rowOff>209550</xdr:rowOff>
        </xdr:from>
        <xdr:to>
          <xdr:col>19</xdr:col>
          <xdr:colOff>0</xdr:colOff>
          <xdr:row>200</xdr:row>
          <xdr:rowOff>209550</xdr:rowOff>
        </xdr:to>
        <xdr:sp macro="" textlink="">
          <xdr:nvSpPr>
            <xdr:cNvPr id="35969" name="Button 129" hidden="1">
              <a:extLst>
                <a:ext uri="{63B3BB69-23CF-44E3-9099-C40C66FF867C}">
                  <a14:compatExt spid="_x0000_s35969"/>
                </a:ext>
                <a:ext uri="{FF2B5EF4-FFF2-40B4-BE49-F238E27FC236}">
                  <a16:creationId xmlns:a16="http://schemas.microsoft.com/office/drawing/2014/main" id="{00000000-0008-0000-0400-00008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200</xdr:row>
          <xdr:rowOff>209550</xdr:rowOff>
        </xdr:from>
        <xdr:to>
          <xdr:col>19</xdr:col>
          <xdr:colOff>0</xdr:colOff>
          <xdr:row>203</xdr:row>
          <xdr:rowOff>209550</xdr:rowOff>
        </xdr:to>
        <xdr:sp macro="" textlink="">
          <xdr:nvSpPr>
            <xdr:cNvPr id="35970" name="Button 130" hidden="1">
              <a:extLst>
                <a:ext uri="{63B3BB69-23CF-44E3-9099-C40C66FF867C}">
                  <a14:compatExt spid="_x0000_s35970"/>
                </a:ext>
                <a:ext uri="{FF2B5EF4-FFF2-40B4-BE49-F238E27FC236}">
                  <a16:creationId xmlns:a16="http://schemas.microsoft.com/office/drawing/2014/main" id="{00000000-0008-0000-0400-00008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213</xdr:row>
          <xdr:rowOff>0</xdr:rowOff>
        </xdr:from>
        <xdr:to>
          <xdr:col>19</xdr:col>
          <xdr:colOff>0</xdr:colOff>
          <xdr:row>216</xdr:row>
          <xdr:rowOff>0</xdr:rowOff>
        </xdr:to>
        <xdr:sp macro="" textlink="">
          <xdr:nvSpPr>
            <xdr:cNvPr id="35971" name="Button 131" hidden="1">
              <a:extLst>
                <a:ext uri="{63B3BB69-23CF-44E3-9099-C40C66FF867C}">
                  <a14:compatExt spid="_x0000_s35971"/>
                </a:ext>
                <a:ext uri="{FF2B5EF4-FFF2-40B4-BE49-F238E27FC236}">
                  <a16:creationId xmlns:a16="http://schemas.microsoft.com/office/drawing/2014/main" id="{00000000-0008-0000-0400-00008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215</xdr:row>
          <xdr:rowOff>209550</xdr:rowOff>
        </xdr:from>
        <xdr:to>
          <xdr:col>17</xdr:col>
          <xdr:colOff>0</xdr:colOff>
          <xdr:row>218</xdr:row>
          <xdr:rowOff>209550</xdr:rowOff>
        </xdr:to>
        <xdr:sp macro="" textlink="">
          <xdr:nvSpPr>
            <xdr:cNvPr id="35972" name="Button 132" hidden="1">
              <a:extLst>
                <a:ext uri="{63B3BB69-23CF-44E3-9099-C40C66FF867C}">
                  <a14:compatExt spid="_x0000_s35972"/>
                </a:ext>
                <a:ext uri="{FF2B5EF4-FFF2-40B4-BE49-F238E27FC236}">
                  <a16:creationId xmlns:a16="http://schemas.microsoft.com/office/drawing/2014/main" id="{00000000-0008-0000-0400-00008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215</xdr:row>
          <xdr:rowOff>209550</xdr:rowOff>
        </xdr:from>
        <xdr:to>
          <xdr:col>18</xdr:col>
          <xdr:colOff>0</xdr:colOff>
          <xdr:row>218</xdr:row>
          <xdr:rowOff>209550</xdr:rowOff>
        </xdr:to>
        <xdr:sp macro="" textlink="">
          <xdr:nvSpPr>
            <xdr:cNvPr id="35973" name="Button 133" hidden="1">
              <a:extLst>
                <a:ext uri="{63B3BB69-23CF-44E3-9099-C40C66FF867C}">
                  <a14:compatExt spid="_x0000_s35973"/>
                </a:ext>
                <a:ext uri="{FF2B5EF4-FFF2-40B4-BE49-F238E27FC236}">
                  <a16:creationId xmlns:a16="http://schemas.microsoft.com/office/drawing/2014/main" id="{00000000-0008-0000-0400-00008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218</xdr:row>
          <xdr:rowOff>209550</xdr:rowOff>
        </xdr:from>
        <xdr:to>
          <xdr:col>17</xdr:col>
          <xdr:colOff>0</xdr:colOff>
          <xdr:row>221</xdr:row>
          <xdr:rowOff>209550</xdr:rowOff>
        </xdr:to>
        <xdr:sp macro="" textlink="">
          <xdr:nvSpPr>
            <xdr:cNvPr id="35974" name="Button 134" hidden="1">
              <a:extLst>
                <a:ext uri="{63B3BB69-23CF-44E3-9099-C40C66FF867C}">
                  <a14:compatExt spid="_x0000_s35974"/>
                </a:ext>
                <a:ext uri="{FF2B5EF4-FFF2-40B4-BE49-F238E27FC236}">
                  <a16:creationId xmlns:a16="http://schemas.microsoft.com/office/drawing/2014/main" id="{00000000-0008-0000-0400-00008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218</xdr:row>
          <xdr:rowOff>209550</xdr:rowOff>
        </xdr:from>
        <xdr:to>
          <xdr:col>18</xdr:col>
          <xdr:colOff>0</xdr:colOff>
          <xdr:row>221</xdr:row>
          <xdr:rowOff>209550</xdr:rowOff>
        </xdr:to>
        <xdr:sp macro="" textlink="">
          <xdr:nvSpPr>
            <xdr:cNvPr id="35975" name="Button 135" hidden="1">
              <a:extLst>
                <a:ext uri="{63B3BB69-23CF-44E3-9099-C40C66FF867C}">
                  <a14:compatExt spid="_x0000_s35975"/>
                </a:ext>
                <a:ext uri="{FF2B5EF4-FFF2-40B4-BE49-F238E27FC236}">
                  <a16:creationId xmlns:a16="http://schemas.microsoft.com/office/drawing/2014/main" id="{00000000-0008-0000-0400-00008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215</xdr:row>
          <xdr:rowOff>209550</xdr:rowOff>
        </xdr:from>
        <xdr:to>
          <xdr:col>19</xdr:col>
          <xdr:colOff>0</xdr:colOff>
          <xdr:row>218</xdr:row>
          <xdr:rowOff>209550</xdr:rowOff>
        </xdr:to>
        <xdr:sp macro="" textlink="">
          <xdr:nvSpPr>
            <xdr:cNvPr id="35976" name="Button 136" hidden="1">
              <a:extLst>
                <a:ext uri="{63B3BB69-23CF-44E3-9099-C40C66FF867C}">
                  <a14:compatExt spid="_x0000_s35976"/>
                </a:ext>
                <a:ext uri="{FF2B5EF4-FFF2-40B4-BE49-F238E27FC236}">
                  <a16:creationId xmlns:a16="http://schemas.microsoft.com/office/drawing/2014/main" id="{00000000-0008-0000-0400-00008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218</xdr:row>
          <xdr:rowOff>209550</xdr:rowOff>
        </xdr:from>
        <xdr:to>
          <xdr:col>19</xdr:col>
          <xdr:colOff>0</xdr:colOff>
          <xdr:row>221</xdr:row>
          <xdr:rowOff>209550</xdr:rowOff>
        </xdr:to>
        <xdr:sp macro="" textlink="">
          <xdr:nvSpPr>
            <xdr:cNvPr id="35977" name="Button 137" hidden="1">
              <a:extLst>
                <a:ext uri="{63B3BB69-23CF-44E3-9099-C40C66FF867C}">
                  <a14:compatExt spid="_x0000_s35977"/>
                </a:ext>
                <a:ext uri="{FF2B5EF4-FFF2-40B4-BE49-F238E27FC236}">
                  <a16:creationId xmlns:a16="http://schemas.microsoft.com/office/drawing/2014/main" id="{00000000-0008-0000-0400-00008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222</xdr:row>
          <xdr:rowOff>0</xdr:rowOff>
        </xdr:from>
        <xdr:to>
          <xdr:col>19</xdr:col>
          <xdr:colOff>0</xdr:colOff>
          <xdr:row>225</xdr:row>
          <xdr:rowOff>0</xdr:rowOff>
        </xdr:to>
        <xdr:sp macro="" textlink="">
          <xdr:nvSpPr>
            <xdr:cNvPr id="35978" name="Button 138" hidden="1">
              <a:extLst>
                <a:ext uri="{63B3BB69-23CF-44E3-9099-C40C66FF867C}">
                  <a14:compatExt spid="_x0000_s35978"/>
                </a:ext>
                <a:ext uri="{FF2B5EF4-FFF2-40B4-BE49-F238E27FC236}">
                  <a16:creationId xmlns:a16="http://schemas.microsoft.com/office/drawing/2014/main" id="{00000000-0008-0000-0400-00008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226</xdr:row>
          <xdr:rowOff>209550</xdr:rowOff>
        </xdr:from>
        <xdr:to>
          <xdr:col>19</xdr:col>
          <xdr:colOff>0</xdr:colOff>
          <xdr:row>229</xdr:row>
          <xdr:rowOff>209550</xdr:rowOff>
        </xdr:to>
        <xdr:sp macro="" textlink="">
          <xdr:nvSpPr>
            <xdr:cNvPr id="35979" name="Button 139" hidden="1">
              <a:extLst>
                <a:ext uri="{63B3BB69-23CF-44E3-9099-C40C66FF867C}">
                  <a14:compatExt spid="_x0000_s35979"/>
                </a:ext>
                <a:ext uri="{FF2B5EF4-FFF2-40B4-BE49-F238E27FC236}">
                  <a16:creationId xmlns:a16="http://schemas.microsoft.com/office/drawing/2014/main" id="{00000000-0008-0000-0400-00008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229</xdr:row>
          <xdr:rowOff>209550</xdr:rowOff>
        </xdr:from>
        <xdr:to>
          <xdr:col>19</xdr:col>
          <xdr:colOff>0</xdr:colOff>
          <xdr:row>232</xdr:row>
          <xdr:rowOff>209550</xdr:rowOff>
        </xdr:to>
        <xdr:sp macro="" textlink="">
          <xdr:nvSpPr>
            <xdr:cNvPr id="35980" name="Button 140" hidden="1">
              <a:extLst>
                <a:ext uri="{63B3BB69-23CF-44E3-9099-C40C66FF867C}">
                  <a14:compatExt spid="_x0000_s35980"/>
                </a:ext>
                <a:ext uri="{FF2B5EF4-FFF2-40B4-BE49-F238E27FC236}">
                  <a16:creationId xmlns:a16="http://schemas.microsoft.com/office/drawing/2014/main" id="{00000000-0008-0000-0400-00008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232</xdr:row>
          <xdr:rowOff>209550</xdr:rowOff>
        </xdr:from>
        <xdr:to>
          <xdr:col>19</xdr:col>
          <xdr:colOff>0</xdr:colOff>
          <xdr:row>235</xdr:row>
          <xdr:rowOff>209550</xdr:rowOff>
        </xdr:to>
        <xdr:sp macro="" textlink="">
          <xdr:nvSpPr>
            <xdr:cNvPr id="35981" name="Button 141" hidden="1">
              <a:extLst>
                <a:ext uri="{63B3BB69-23CF-44E3-9099-C40C66FF867C}">
                  <a14:compatExt spid="_x0000_s35981"/>
                </a:ext>
                <a:ext uri="{FF2B5EF4-FFF2-40B4-BE49-F238E27FC236}">
                  <a16:creationId xmlns:a16="http://schemas.microsoft.com/office/drawing/2014/main" id="{00000000-0008-0000-0400-00008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235</xdr:row>
          <xdr:rowOff>209550</xdr:rowOff>
        </xdr:from>
        <xdr:to>
          <xdr:col>19</xdr:col>
          <xdr:colOff>0</xdr:colOff>
          <xdr:row>238</xdr:row>
          <xdr:rowOff>209550</xdr:rowOff>
        </xdr:to>
        <xdr:sp macro="" textlink="">
          <xdr:nvSpPr>
            <xdr:cNvPr id="35982" name="Button 142" hidden="1">
              <a:extLst>
                <a:ext uri="{63B3BB69-23CF-44E3-9099-C40C66FF867C}">
                  <a14:compatExt spid="_x0000_s35982"/>
                </a:ext>
                <a:ext uri="{FF2B5EF4-FFF2-40B4-BE49-F238E27FC236}">
                  <a16:creationId xmlns:a16="http://schemas.microsoft.com/office/drawing/2014/main" id="{00000000-0008-0000-0400-00008E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238</xdr:row>
          <xdr:rowOff>209550</xdr:rowOff>
        </xdr:from>
        <xdr:to>
          <xdr:col>19</xdr:col>
          <xdr:colOff>0</xdr:colOff>
          <xdr:row>241</xdr:row>
          <xdr:rowOff>209550</xdr:rowOff>
        </xdr:to>
        <xdr:sp macro="" textlink="">
          <xdr:nvSpPr>
            <xdr:cNvPr id="35983" name="Button 143" hidden="1">
              <a:extLst>
                <a:ext uri="{63B3BB69-23CF-44E3-9099-C40C66FF867C}">
                  <a14:compatExt spid="_x0000_s35983"/>
                </a:ext>
                <a:ext uri="{FF2B5EF4-FFF2-40B4-BE49-F238E27FC236}">
                  <a16:creationId xmlns:a16="http://schemas.microsoft.com/office/drawing/2014/main" id="{00000000-0008-0000-0400-00008F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251</xdr:row>
          <xdr:rowOff>0</xdr:rowOff>
        </xdr:from>
        <xdr:to>
          <xdr:col>19</xdr:col>
          <xdr:colOff>0</xdr:colOff>
          <xdr:row>254</xdr:row>
          <xdr:rowOff>0</xdr:rowOff>
        </xdr:to>
        <xdr:sp macro="" textlink="">
          <xdr:nvSpPr>
            <xdr:cNvPr id="35984" name="Button 144" hidden="1">
              <a:extLst>
                <a:ext uri="{63B3BB69-23CF-44E3-9099-C40C66FF867C}">
                  <a14:compatExt spid="_x0000_s35984"/>
                </a:ext>
                <a:ext uri="{FF2B5EF4-FFF2-40B4-BE49-F238E27FC236}">
                  <a16:creationId xmlns:a16="http://schemas.microsoft.com/office/drawing/2014/main" id="{00000000-0008-0000-0400-000090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253</xdr:row>
          <xdr:rowOff>209550</xdr:rowOff>
        </xdr:from>
        <xdr:to>
          <xdr:col>17</xdr:col>
          <xdr:colOff>0</xdr:colOff>
          <xdr:row>256</xdr:row>
          <xdr:rowOff>209550</xdr:rowOff>
        </xdr:to>
        <xdr:sp macro="" textlink="">
          <xdr:nvSpPr>
            <xdr:cNvPr id="35985" name="Button 145" hidden="1">
              <a:extLst>
                <a:ext uri="{63B3BB69-23CF-44E3-9099-C40C66FF867C}">
                  <a14:compatExt spid="_x0000_s35985"/>
                </a:ext>
                <a:ext uri="{FF2B5EF4-FFF2-40B4-BE49-F238E27FC236}">
                  <a16:creationId xmlns:a16="http://schemas.microsoft.com/office/drawing/2014/main" id="{00000000-0008-0000-0400-00009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253</xdr:row>
          <xdr:rowOff>209550</xdr:rowOff>
        </xdr:from>
        <xdr:to>
          <xdr:col>18</xdr:col>
          <xdr:colOff>0</xdr:colOff>
          <xdr:row>256</xdr:row>
          <xdr:rowOff>209550</xdr:rowOff>
        </xdr:to>
        <xdr:sp macro="" textlink="">
          <xdr:nvSpPr>
            <xdr:cNvPr id="35986" name="Button 146" hidden="1">
              <a:extLst>
                <a:ext uri="{63B3BB69-23CF-44E3-9099-C40C66FF867C}">
                  <a14:compatExt spid="_x0000_s35986"/>
                </a:ext>
                <a:ext uri="{FF2B5EF4-FFF2-40B4-BE49-F238E27FC236}">
                  <a16:creationId xmlns:a16="http://schemas.microsoft.com/office/drawing/2014/main" id="{00000000-0008-0000-0400-00009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256</xdr:row>
          <xdr:rowOff>209550</xdr:rowOff>
        </xdr:from>
        <xdr:to>
          <xdr:col>17</xdr:col>
          <xdr:colOff>0</xdr:colOff>
          <xdr:row>259</xdr:row>
          <xdr:rowOff>209550</xdr:rowOff>
        </xdr:to>
        <xdr:sp macro="" textlink="">
          <xdr:nvSpPr>
            <xdr:cNvPr id="35987" name="Button 147" hidden="1">
              <a:extLst>
                <a:ext uri="{63B3BB69-23CF-44E3-9099-C40C66FF867C}">
                  <a14:compatExt spid="_x0000_s35987"/>
                </a:ext>
                <a:ext uri="{FF2B5EF4-FFF2-40B4-BE49-F238E27FC236}">
                  <a16:creationId xmlns:a16="http://schemas.microsoft.com/office/drawing/2014/main" id="{00000000-0008-0000-0400-000093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256</xdr:row>
          <xdr:rowOff>209550</xdr:rowOff>
        </xdr:from>
        <xdr:to>
          <xdr:col>18</xdr:col>
          <xdr:colOff>0</xdr:colOff>
          <xdr:row>259</xdr:row>
          <xdr:rowOff>209550</xdr:rowOff>
        </xdr:to>
        <xdr:sp macro="" textlink="">
          <xdr:nvSpPr>
            <xdr:cNvPr id="35988" name="Button 148" hidden="1">
              <a:extLst>
                <a:ext uri="{63B3BB69-23CF-44E3-9099-C40C66FF867C}">
                  <a14:compatExt spid="_x0000_s35988"/>
                </a:ext>
                <a:ext uri="{FF2B5EF4-FFF2-40B4-BE49-F238E27FC236}">
                  <a16:creationId xmlns:a16="http://schemas.microsoft.com/office/drawing/2014/main" id="{00000000-0008-0000-0400-000094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253</xdr:row>
          <xdr:rowOff>209550</xdr:rowOff>
        </xdr:from>
        <xdr:to>
          <xdr:col>19</xdr:col>
          <xdr:colOff>0</xdr:colOff>
          <xdr:row>256</xdr:row>
          <xdr:rowOff>209550</xdr:rowOff>
        </xdr:to>
        <xdr:sp macro="" textlink="">
          <xdr:nvSpPr>
            <xdr:cNvPr id="35989" name="Button 149" hidden="1">
              <a:extLst>
                <a:ext uri="{63B3BB69-23CF-44E3-9099-C40C66FF867C}">
                  <a14:compatExt spid="_x0000_s35989"/>
                </a:ext>
                <a:ext uri="{FF2B5EF4-FFF2-40B4-BE49-F238E27FC236}">
                  <a16:creationId xmlns:a16="http://schemas.microsoft.com/office/drawing/2014/main" id="{00000000-0008-0000-0400-000095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256</xdr:row>
          <xdr:rowOff>209550</xdr:rowOff>
        </xdr:from>
        <xdr:to>
          <xdr:col>19</xdr:col>
          <xdr:colOff>0</xdr:colOff>
          <xdr:row>259</xdr:row>
          <xdr:rowOff>209550</xdr:rowOff>
        </xdr:to>
        <xdr:sp macro="" textlink="">
          <xdr:nvSpPr>
            <xdr:cNvPr id="35990" name="Button 150" hidden="1">
              <a:extLst>
                <a:ext uri="{63B3BB69-23CF-44E3-9099-C40C66FF867C}">
                  <a14:compatExt spid="_x0000_s35990"/>
                </a:ext>
                <a:ext uri="{FF2B5EF4-FFF2-40B4-BE49-F238E27FC236}">
                  <a16:creationId xmlns:a16="http://schemas.microsoft.com/office/drawing/2014/main" id="{00000000-0008-0000-0400-000096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260</xdr:row>
          <xdr:rowOff>0</xdr:rowOff>
        </xdr:from>
        <xdr:to>
          <xdr:col>19</xdr:col>
          <xdr:colOff>0</xdr:colOff>
          <xdr:row>263</xdr:row>
          <xdr:rowOff>0</xdr:rowOff>
        </xdr:to>
        <xdr:sp macro="" textlink="">
          <xdr:nvSpPr>
            <xdr:cNvPr id="35991" name="Button 151" hidden="1">
              <a:extLst>
                <a:ext uri="{63B3BB69-23CF-44E3-9099-C40C66FF867C}">
                  <a14:compatExt spid="_x0000_s35991"/>
                </a:ext>
                <a:ext uri="{FF2B5EF4-FFF2-40B4-BE49-F238E27FC236}">
                  <a16:creationId xmlns:a16="http://schemas.microsoft.com/office/drawing/2014/main" id="{00000000-0008-0000-0400-000097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264</xdr:row>
          <xdr:rowOff>209550</xdr:rowOff>
        </xdr:from>
        <xdr:to>
          <xdr:col>19</xdr:col>
          <xdr:colOff>0</xdr:colOff>
          <xdr:row>267</xdr:row>
          <xdr:rowOff>209550</xdr:rowOff>
        </xdr:to>
        <xdr:sp macro="" textlink="">
          <xdr:nvSpPr>
            <xdr:cNvPr id="35992" name="Button 152" hidden="1">
              <a:extLst>
                <a:ext uri="{63B3BB69-23CF-44E3-9099-C40C66FF867C}">
                  <a14:compatExt spid="_x0000_s35992"/>
                </a:ext>
                <a:ext uri="{FF2B5EF4-FFF2-40B4-BE49-F238E27FC236}">
                  <a16:creationId xmlns:a16="http://schemas.microsoft.com/office/drawing/2014/main" id="{00000000-0008-0000-0400-000098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267</xdr:row>
          <xdr:rowOff>209550</xdr:rowOff>
        </xdr:from>
        <xdr:to>
          <xdr:col>19</xdr:col>
          <xdr:colOff>0</xdr:colOff>
          <xdr:row>270</xdr:row>
          <xdr:rowOff>209550</xdr:rowOff>
        </xdr:to>
        <xdr:sp macro="" textlink="">
          <xdr:nvSpPr>
            <xdr:cNvPr id="35993" name="Button 153" hidden="1">
              <a:extLst>
                <a:ext uri="{63B3BB69-23CF-44E3-9099-C40C66FF867C}">
                  <a14:compatExt spid="_x0000_s35993"/>
                </a:ext>
                <a:ext uri="{FF2B5EF4-FFF2-40B4-BE49-F238E27FC236}">
                  <a16:creationId xmlns:a16="http://schemas.microsoft.com/office/drawing/2014/main" id="{00000000-0008-0000-0400-000099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270</xdr:row>
          <xdr:rowOff>209550</xdr:rowOff>
        </xdr:from>
        <xdr:to>
          <xdr:col>19</xdr:col>
          <xdr:colOff>0</xdr:colOff>
          <xdr:row>273</xdr:row>
          <xdr:rowOff>209550</xdr:rowOff>
        </xdr:to>
        <xdr:sp macro="" textlink="">
          <xdr:nvSpPr>
            <xdr:cNvPr id="35994" name="Button 154" hidden="1">
              <a:extLst>
                <a:ext uri="{63B3BB69-23CF-44E3-9099-C40C66FF867C}">
                  <a14:compatExt spid="_x0000_s35994"/>
                </a:ext>
                <a:ext uri="{FF2B5EF4-FFF2-40B4-BE49-F238E27FC236}">
                  <a16:creationId xmlns:a16="http://schemas.microsoft.com/office/drawing/2014/main" id="{00000000-0008-0000-0400-00009A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273</xdr:row>
          <xdr:rowOff>209550</xdr:rowOff>
        </xdr:from>
        <xdr:to>
          <xdr:col>19</xdr:col>
          <xdr:colOff>0</xdr:colOff>
          <xdr:row>276</xdr:row>
          <xdr:rowOff>209550</xdr:rowOff>
        </xdr:to>
        <xdr:sp macro="" textlink="">
          <xdr:nvSpPr>
            <xdr:cNvPr id="35995" name="Button 155" hidden="1">
              <a:extLst>
                <a:ext uri="{63B3BB69-23CF-44E3-9099-C40C66FF867C}">
                  <a14:compatExt spid="_x0000_s35995"/>
                </a:ext>
                <a:ext uri="{FF2B5EF4-FFF2-40B4-BE49-F238E27FC236}">
                  <a16:creationId xmlns:a16="http://schemas.microsoft.com/office/drawing/2014/main" id="{00000000-0008-0000-0400-00009B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276</xdr:row>
          <xdr:rowOff>209550</xdr:rowOff>
        </xdr:from>
        <xdr:to>
          <xdr:col>19</xdr:col>
          <xdr:colOff>0</xdr:colOff>
          <xdr:row>279</xdr:row>
          <xdr:rowOff>209550</xdr:rowOff>
        </xdr:to>
        <xdr:sp macro="" textlink="">
          <xdr:nvSpPr>
            <xdr:cNvPr id="35996" name="Button 156" hidden="1">
              <a:extLst>
                <a:ext uri="{63B3BB69-23CF-44E3-9099-C40C66FF867C}">
                  <a14:compatExt spid="_x0000_s35996"/>
                </a:ext>
                <a:ext uri="{FF2B5EF4-FFF2-40B4-BE49-F238E27FC236}">
                  <a16:creationId xmlns:a16="http://schemas.microsoft.com/office/drawing/2014/main" id="{00000000-0008-0000-0400-00009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오늘날짜로 돌아가기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25</xdr:row>
          <xdr:rowOff>0</xdr:rowOff>
        </xdr:from>
        <xdr:to>
          <xdr:col>19</xdr:col>
          <xdr:colOff>0</xdr:colOff>
          <xdr:row>28</xdr:row>
          <xdr:rowOff>0</xdr:rowOff>
        </xdr:to>
        <xdr:sp macro="" textlink="">
          <xdr:nvSpPr>
            <xdr:cNvPr id="36865" name="Button 1" hidden="1">
              <a:extLst>
                <a:ext uri="{63B3BB69-23CF-44E3-9099-C40C66FF867C}">
                  <a14:compatExt spid="_x0000_s36865"/>
                </a:ext>
                <a:ext uri="{FF2B5EF4-FFF2-40B4-BE49-F238E27FC236}">
                  <a16:creationId xmlns:a16="http://schemas.microsoft.com/office/drawing/2014/main" id="{7986130E-3E1B-4B21-AC28-501DBF0871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28</xdr:row>
          <xdr:rowOff>0</xdr:rowOff>
        </xdr:from>
        <xdr:to>
          <xdr:col>17</xdr:col>
          <xdr:colOff>0</xdr:colOff>
          <xdr:row>31</xdr:row>
          <xdr:rowOff>0</xdr:rowOff>
        </xdr:to>
        <xdr:sp macro="" textlink="">
          <xdr:nvSpPr>
            <xdr:cNvPr id="36866" name="Button 2" hidden="1">
              <a:extLst>
                <a:ext uri="{63B3BB69-23CF-44E3-9099-C40C66FF867C}">
                  <a14:compatExt spid="_x0000_s36866"/>
                </a:ext>
                <a:ext uri="{FF2B5EF4-FFF2-40B4-BE49-F238E27FC236}">
                  <a16:creationId xmlns:a16="http://schemas.microsoft.com/office/drawing/2014/main" id="{0C0C7F9E-C0E4-4882-9B81-A3E4A63BCE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28</xdr:row>
          <xdr:rowOff>0</xdr:rowOff>
        </xdr:from>
        <xdr:to>
          <xdr:col>18</xdr:col>
          <xdr:colOff>0</xdr:colOff>
          <xdr:row>31</xdr:row>
          <xdr:rowOff>0</xdr:rowOff>
        </xdr:to>
        <xdr:sp macro="" textlink="">
          <xdr:nvSpPr>
            <xdr:cNvPr id="36867" name="Button 3" hidden="1">
              <a:extLst>
                <a:ext uri="{63B3BB69-23CF-44E3-9099-C40C66FF867C}">
                  <a14:compatExt spid="_x0000_s36867"/>
                </a:ext>
                <a:ext uri="{FF2B5EF4-FFF2-40B4-BE49-F238E27FC236}">
                  <a16:creationId xmlns:a16="http://schemas.microsoft.com/office/drawing/2014/main" id="{6E5A77EF-CD53-4BAD-9FC9-B82D269F3E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31</xdr:row>
          <xdr:rowOff>0</xdr:rowOff>
        </xdr:from>
        <xdr:to>
          <xdr:col>17</xdr:col>
          <xdr:colOff>0</xdr:colOff>
          <xdr:row>34</xdr:row>
          <xdr:rowOff>0</xdr:rowOff>
        </xdr:to>
        <xdr:sp macro="" textlink="">
          <xdr:nvSpPr>
            <xdr:cNvPr id="36868" name="Button 4" hidden="1">
              <a:extLst>
                <a:ext uri="{63B3BB69-23CF-44E3-9099-C40C66FF867C}">
                  <a14:compatExt spid="_x0000_s36868"/>
                </a:ext>
                <a:ext uri="{FF2B5EF4-FFF2-40B4-BE49-F238E27FC236}">
                  <a16:creationId xmlns:a16="http://schemas.microsoft.com/office/drawing/2014/main" id="{4ED2B78A-ACFB-4254-83F9-05C7287BE7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31</xdr:row>
          <xdr:rowOff>0</xdr:rowOff>
        </xdr:from>
        <xdr:to>
          <xdr:col>18</xdr:col>
          <xdr:colOff>0</xdr:colOff>
          <xdr:row>34</xdr:row>
          <xdr:rowOff>0</xdr:rowOff>
        </xdr:to>
        <xdr:sp macro="" textlink="">
          <xdr:nvSpPr>
            <xdr:cNvPr id="36869" name="Button 5" hidden="1">
              <a:extLst>
                <a:ext uri="{63B3BB69-23CF-44E3-9099-C40C66FF867C}">
                  <a14:compatExt spid="_x0000_s36869"/>
                </a:ext>
                <a:ext uri="{FF2B5EF4-FFF2-40B4-BE49-F238E27FC236}">
                  <a16:creationId xmlns:a16="http://schemas.microsoft.com/office/drawing/2014/main" id="{376F4465-D011-403C-A5B8-ED3D8F7B4F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28</xdr:row>
          <xdr:rowOff>0</xdr:rowOff>
        </xdr:from>
        <xdr:to>
          <xdr:col>19</xdr:col>
          <xdr:colOff>0</xdr:colOff>
          <xdr:row>31</xdr:row>
          <xdr:rowOff>0</xdr:rowOff>
        </xdr:to>
        <xdr:sp macro="" textlink="">
          <xdr:nvSpPr>
            <xdr:cNvPr id="36870" name="Button 6" hidden="1">
              <a:extLst>
                <a:ext uri="{63B3BB69-23CF-44E3-9099-C40C66FF867C}">
                  <a14:compatExt spid="_x0000_s36870"/>
                </a:ext>
                <a:ext uri="{FF2B5EF4-FFF2-40B4-BE49-F238E27FC236}">
                  <a16:creationId xmlns:a16="http://schemas.microsoft.com/office/drawing/2014/main" id="{DF743CA3-AB3E-410A-979F-7F68B4CE0A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31</xdr:row>
          <xdr:rowOff>0</xdr:rowOff>
        </xdr:from>
        <xdr:to>
          <xdr:col>19</xdr:col>
          <xdr:colOff>0</xdr:colOff>
          <xdr:row>34</xdr:row>
          <xdr:rowOff>0</xdr:rowOff>
        </xdr:to>
        <xdr:sp macro="" textlink="">
          <xdr:nvSpPr>
            <xdr:cNvPr id="36871" name="Button 7" hidden="1">
              <a:extLst>
                <a:ext uri="{63B3BB69-23CF-44E3-9099-C40C66FF867C}">
                  <a14:compatExt spid="_x0000_s36871"/>
                </a:ext>
                <a:ext uri="{FF2B5EF4-FFF2-40B4-BE49-F238E27FC236}">
                  <a16:creationId xmlns:a16="http://schemas.microsoft.com/office/drawing/2014/main" id="{916877E3-25BC-429B-8A33-3F83AF24A5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34</xdr:row>
          <xdr:rowOff>0</xdr:rowOff>
        </xdr:from>
        <xdr:to>
          <xdr:col>19</xdr:col>
          <xdr:colOff>0</xdr:colOff>
          <xdr:row>37</xdr:row>
          <xdr:rowOff>0</xdr:rowOff>
        </xdr:to>
        <xdr:sp macro="" textlink="">
          <xdr:nvSpPr>
            <xdr:cNvPr id="36872" name="Button 8" hidden="1">
              <a:extLst>
                <a:ext uri="{63B3BB69-23CF-44E3-9099-C40C66FF867C}">
                  <a14:compatExt spid="_x0000_s36872"/>
                </a:ext>
                <a:ext uri="{FF2B5EF4-FFF2-40B4-BE49-F238E27FC236}">
                  <a16:creationId xmlns:a16="http://schemas.microsoft.com/office/drawing/2014/main" id="{436B076B-CB8F-40FE-816D-F5868D3D024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36873" name="Button 9" hidden="1">
              <a:extLst>
                <a:ext uri="{63B3BB69-23CF-44E3-9099-C40C66FF867C}">
                  <a14:compatExt spid="_x0000_s36873"/>
                </a:ext>
                <a:ext uri="{FF2B5EF4-FFF2-40B4-BE49-F238E27FC236}">
                  <a16:creationId xmlns:a16="http://schemas.microsoft.com/office/drawing/2014/main" id="{21DF8961-5290-4943-8B1B-007F43FEF8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</xdr:row>
          <xdr:rowOff>0</xdr:rowOff>
        </xdr:from>
        <xdr:to>
          <xdr:col>18</xdr:col>
          <xdr:colOff>0</xdr:colOff>
          <xdr:row>15</xdr:row>
          <xdr:rowOff>0</xdr:rowOff>
        </xdr:to>
        <xdr:sp macro="" textlink="">
          <xdr:nvSpPr>
            <xdr:cNvPr id="36874" name="Button 10" hidden="1">
              <a:extLst>
                <a:ext uri="{63B3BB69-23CF-44E3-9099-C40C66FF867C}">
                  <a14:compatExt spid="_x0000_s36874"/>
                </a:ext>
                <a:ext uri="{FF2B5EF4-FFF2-40B4-BE49-F238E27FC236}">
                  <a16:creationId xmlns:a16="http://schemas.microsoft.com/office/drawing/2014/main" id="{CC2093B6-644E-4844-AE34-806918A6A7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</xdr:row>
          <xdr:rowOff>0</xdr:rowOff>
        </xdr:from>
        <xdr:to>
          <xdr:col>19</xdr:col>
          <xdr:colOff>0</xdr:colOff>
          <xdr:row>15</xdr:row>
          <xdr:rowOff>0</xdr:rowOff>
        </xdr:to>
        <xdr:sp macro="" textlink="">
          <xdr:nvSpPr>
            <xdr:cNvPr id="36875" name="Button 11" hidden="1">
              <a:extLst>
                <a:ext uri="{63B3BB69-23CF-44E3-9099-C40C66FF867C}">
                  <a14:compatExt spid="_x0000_s36875"/>
                </a:ext>
                <a:ext uri="{FF2B5EF4-FFF2-40B4-BE49-F238E27FC236}">
                  <a16:creationId xmlns:a16="http://schemas.microsoft.com/office/drawing/2014/main" id="{71FED49D-2E25-4FB8-89EF-C9895B1AA72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</xdr:row>
          <xdr:rowOff>0</xdr:rowOff>
        </xdr:from>
        <xdr:to>
          <xdr:col>17</xdr:col>
          <xdr:colOff>0</xdr:colOff>
          <xdr:row>18</xdr:row>
          <xdr:rowOff>0</xdr:rowOff>
        </xdr:to>
        <xdr:sp macro="" textlink="">
          <xdr:nvSpPr>
            <xdr:cNvPr id="36876" name="Button 12" hidden="1">
              <a:extLst>
                <a:ext uri="{63B3BB69-23CF-44E3-9099-C40C66FF867C}">
                  <a14:compatExt spid="_x0000_s36876"/>
                </a:ext>
                <a:ext uri="{FF2B5EF4-FFF2-40B4-BE49-F238E27FC236}">
                  <a16:creationId xmlns:a16="http://schemas.microsoft.com/office/drawing/2014/main" id="{E33A2F0C-042A-471D-A50B-51510335352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</xdr:row>
          <xdr:rowOff>0</xdr:rowOff>
        </xdr:from>
        <xdr:to>
          <xdr:col>18</xdr:col>
          <xdr:colOff>0</xdr:colOff>
          <xdr:row>18</xdr:row>
          <xdr:rowOff>0</xdr:rowOff>
        </xdr:to>
        <xdr:sp macro="" textlink="">
          <xdr:nvSpPr>
            <xdr:cNvPr id="36877" name="Button 13" hidden="1">
              <a:extLst>
                <a:ext uri="{63B3BB69-23CF-44E3-9099-C40C66FF867C}">
                  <a14:compatExt spid="_x0000_s36877"/>
                </a:ext>
                <a:ext uri="{FF2B5EF4-FFF2-40B4-BE49-F238E27FC236}">
                  <a16:creationId xmlns:a16="http://schemas.microsoft.com/office/drawing/2014/main" id="{A4DCD9B5-7AA5-4013-9041-634C1F11A3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19</xdr:col>
          <xdr:colOff>0</xdr:colOff>
          <xdr:row>18</xdr:row>
          <xdr:rowOff>0</xdr:rowOff>
        </xdr:to>
        <xdr:sp macro="" textlink="">
          <xdr:nvSpPr>
            <xdr:cNvPr id="36878" name="Button 14" hidden="1">
              <a:extLst>
                <a:ext uri="{63B3BB69-23CF-44E3-9099-C40C66FF867C}">
                  <a14:compatExt spid="_x0000_s36878"/>
                </a:ext>
                <a:ext uri="{FF2B5EF4-FFF2-40B4-BE49-F238E27FC236}">
                  <a16:creationId xmlns:a16="http://schemas.microsoft.com/office/drawing/2014/main" id="{94628F5B-6013-4FE7-BE1F-9644C59760F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</xdr:row>
          <xdr:rowOff>0</xdr:rowOff>
        </xdr:from>
        <xdr:to>
          <xdr:col>17</xdr:col>
          <xdr:colOff>0</xdr:colOff>
          <xdr:row>21</xdr:row>
          <xdr:rowOff>0</xdr:rowOff>
        </xdr:to>
        <xdr:sp macro="" textlink="">
          <xdr:nvSpPr>
            <xdr:cNvPr id="36879" name="Button 15" hidden="1">
              <a:extLst>
                <a:ext uri="{63B3BB69-23CF-44E3-9099-C40C66FF867C}">
                  <a14:compatExt spid="_x0000_s36879"/>
                </a:ext>
                <a:ext uri="{FF2B5EF4-FFF2-40B4-BE49-F238E27FC236}">
                  <a16:creationId xmlns:a16="http://schemas.microsoft.com/office/drawing/2014/main" id="{C0AB7B28-B476-4FDE-B64C-8C346402CB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</xdr:row>
          <xdr:rowOff>0</xdr:rowOff>
        </xdr:from>
        <xdr:to>
          <xdr:col>18</xdr:col>
          <xdr:colOff>0</xdr:colOff>
          <xdr:row>21</xdr:row>
          <xdr:rowOff>0</xdr:rowOff>
        </xdr:to>
        <xdr:sp macro="" textlink="">
          <xdr:nvSpPr>
            <xdr:cNvPr id="36880" name="Button 16" hidden="1">
              <a:extLst>
                <a:ext uri="{63B3BB69-23CF-44E3-9099-C40C66FF867C}">
                  <a14:compatExt spid="_x0000_s36880"/>
                </a:ext>
                <a:ext uri="{FF2B5EF4-FFF2-40B4-BE49-F238E27FC236}">
                  <a16:creationId xmlns:a16="http://schemas.microsoft.com/office/drawing/2014/main" id="{63869418-645E-4B26-AFAA-96E3ED476BC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</xdr:row>
          <xdr:rowOff>0</xdr:rowOff>
        </xdr:from>
        <xdr:to>
          <xdr:col>19</xdr:col>
          <xdr:colOff>0</xdr:colOff>
          <xdr:row>21</xdr:row>
          <xdr:rowOff>0</xdr:rowOff>
        </xdr:to>
        <xdr:sp macro="" textlink="">
          <xdr:nvSpPr>
            <xdr:cNvPr id="36881" name="Button 17" hidden="1">
              <a:extLst>
                <a:ext uri="{63B3BB69-23CF-44E3-9099-C40C66FF867C}">
                  <a14:compatExt spid="_x0000_s36881"/>
                </a:ext>
                <a:ext uri="{FF2B5EF4-FFF2-40B4-BE49-F238E27FC236}">
                  <a16:creationId xmlns:a16="http://schemas.microsoft.com/office/drawing/2014/main" id="{82D31D32-418C-42F1-B028-BD02DF676E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21</xdr:row>
          <xdr:rowOff>0</xdr:rowOff>
        </xdr:from>
        <xdr:to>
          <xdr:col>17</xdr:col>
          <xdr:colOff>0</xdr:colOff>
          <xdr:row>24</xdr:row>
          <xdr:rowOff>0</xdr:rowOff>
        </xdr:to>
        <xdr:sp macro="" textlink="">
          <xdr:nvSpPr>
            <xdr:cNvPr id="36882" name="Button 18" hidden="1">
              <a:extLst>
                <a:ext uri="{63B3BB69-23CF-44E3-9099-C40C66FF867C}">
                  <a14:compatExt spid="_x0000_s36882"/>
                </a:ext>
                <a:ext uri="{FF2B5EF4-FFF2-40B4-BE49-F238E27FC236}">
                  <a16:creationId xmlns:a16="http://schemas.microsoft.com/office/drawing/2014/main" id="{ED618D2F-A495-453B-8F76-B15723CDD55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21</xdr:row>
          <xdr:rowOff>0</xdr:rowOff>
        </xdr:from>
        <xdr:to>
          <xdr:col>18</xdr:col>
          <xdr:colOff>0</xdr:colOff>
          <xdr:row>24</xdr:row>
          <xdr:rowOff>0</xdr:rowOff>
        </xdr:to>
        <xdr:sp macro="" textlink="">
          <xdr:nvSpPr>
            <xdr:cNvPr id="36883" name="Button 19" hidden="1">
              <a:extLst>
                <a:ext uri="{63B3BB69-23CF-44E3-9099-C40C66FF867C}">
                  <a14:compatExt spid="_x0000_s36883"/>
                </a:ext>
                <a:ext uri="{FF2B5EF4-FFF2-40B4-BE49-F238E27FC236}">
                  <a16:creationId xmlns:a16="http://schemas.microsoft.com/office/drawing/2014/main" id="{2ECA4F59-81E0-4A6F-85C6-733B2AD2011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21</xdr:row>
          <xdr:rowOff>0</xdr:rowOff>
        </xdr:from>
        <xdr:to>
          <xdr:col>19</xdr:col>
          <xdr:colOff>0</xdr:colOff>
          <xdr:row>24</xdr:row>
          <xdr:rowOff>0</xdr:rowOff>
        </xdr:to>
        <xdr:sp macro="" textlink="">
          <xdr:nvSpPr>
            <xdr:cNvPr id="36884" name="Button 20" hidden="1">
              <a:extLst>
                <a:ext uri="{63B3BB69-23CF-44E3-9099-C40C66FF867C}">
                  <a14:compatExt spid="_x0000_s36884"/>
                </a:ext>
                <a:ext uri="{FF2B5EF4-FFF2-40B4-BE49-F238E27FC236}">
                  <a16:creationId xmlns:a16="http://schemas.microsoft.com/office/drawing/2014/main" id="{40D42A0B-F554-49FA-9526-39413FE5B0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52</xdr:row>
          <xdr:rowOff>0</xdr:rowOff>
        </xdr:from>
        <xdr:to>
          <xdr:col>19</xdr:col>
          <xdr:colOff>0</xdr:colOff>
          <xdr:row>55</xdr:row>
          <xdr:rowOff>0</xdr:rowOff>
        </xdr:to>
        <xdr:sp macro="" textlink="">
          <xdr:nvSpPr>
            <xdr:cNvPr id="36885" name="Button 21" hidden="1">
              <a:extLst>
                <a:ext uri="{63B3BB69-23CF-44E3-9099-C40C66FF867C}">
                  <a14:compatExt spid="_x0000_s36885"/>
                </a:ext>
                <a:ext uri="{FF2B5EF4-FFF2-40B4-BE49-F238E27FC236}">
                  <a16:creationId xmlns:a16="http://schemas.microsoft.com/office/drawing/2014/main" id="{79EC11B3-3F2D-4CE7-9BC8-748BF3DB517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55</xdr:row>
          <xdr:rowOff>0</xdr:rowOff>
        </xdr:from>
        <xdr:to>
          <xdr:col>17</xdr:col>
          <xdr:colOff>0</xdr:colOff>
          <xdr:row>58</xdr:row>
          <xdr:rowOff>0</xdr:rowOff>
        </xdr:to>
        <xdr:sp macro="" textlink="">
          <xdr:nvSpPr>
            <xdr:cNvPr id="36886" name="Button 22" hidden="1">
              <a:extLst>
                <a:ext uri="{63B3BB69-23CF-44E3-9099-C40C66FF867C}">
                  <a14:compatExt spid="_x0000_s36886"/>
                </a:ext>
                <a:ext uri="{FF2B5EF4-FFF2-40B4-BE49-F238E27FC236}">
                  <a16:creationId xmlns:a16="http://schemas.microsoft.com/office/drawing/2014/main" id="{50B10F30-C867-4119-BE40-BF49E8178A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55</xdr:row>
          <xdr:rowOff>0</xdr:rowOff>
        </xdr:from>
        <xdr:to>
          <xdr:col>18</xdr:col>
          <xdr:colOff>0</xdr:colOff>
          <xdr:row>58</xdr:row>
          <xdr:rowOff>0</xdr:rowOff>
        </xdr:to>
        <xdr:sp macro="" textlink="">
          <xdr:nvSpPr>
            <xdr:cNvPr id="36887" name="Button 23" hidden="1">
              <a:extLst>
                <a:ext uri="{63B3BB69-23CF-44E3-9099-C40C66FF867C}">
                  <a14:compatExt spid="_x0000_s36887"/>
                </a:ext>
                <a:ext uri="{FF2B5EF4-FFF2-40B4-BE49-F238E27FC236}">
                  <a16:creationId xmlns:a16="http://schemas.microsoft.com/office/drawing/2014/main" id="{59BCB614-D80C-406B-87E5-DFE008BDE3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58</xdr:row>
          <xdr:rowOff>0</xdr:rowOff>
        </xdr:from>
        <xdr:to>
          <xdr:col>17</xdr:col>
          <xdr:colOff>0</xdr:colOff>
          <xdr:row>61</xdr:row>
          <xdr:rowOff>0</xdr:rowOff>
        </xdr:to>
        <xdr:sp macro="" textlink="">
          <xdr:nvSpPr>
            <xdr:cNvPr id="36888" name="Button 24" hidden="1">
              <a:extLst>
                <a:ext uri="{63B3BB69-23CF-44E3-9099-C40C66FF867C}">
                  <a14:compatExt spid="_x0000_s36888"/>
                </a:ext>
                <a:ext uri="{FF2B5EF4-FFF2-40B4-BE49-F238E27FC236}">
                  <a16:creationId xmlns:a16="http://schemas.microsoft.com/office/drawing/2014/main" id="{D025CF58-EE33-48C6-A549-5D62D69BD0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58</xdr:row>
          <xdr:rowOff>0</xdr:rowOff>
        </xdr:from>
        <xdr:to>
          <xdr:col>18</xdr:col>
          <xdr:colOff>0</xdr:colOff>
          <xdr:row>61</xdr:row>
          <xdr:rowOff>0</xdr:rowOff>
        </xdr:to>
        <xdr:sp macro="" textlink="">
          <xdr:nvSpPr>
            <xdr:cNvPr id="36889" name="Button 25" hidden="1">
              <a:extLst>
                <a:ext uri="{63B3BB69-23CF-44E3-9099-C40C66FF867C}">
                  <a14:compatExt spid="_x0000_s36889"/>
                </a:ext>
                <a:ext uri="{FF2B5EF4-FFF2-40B4-BE49-F238E27FC236}">
                  <a16:creationId xmlns:a16="http://schemas.microsoft.com/office/drawing/2014/main" id="{5126E268-E9E5-4612-88C3-9972101429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79</xdr:row>
          <xdr:rowOff>0</xdr:rowOff>
        </xdr:from>
        <xdr:to>
          <xdr:col>19</xdr:col>
          <xdr:colOff>0</xdr:colOff>
          <xdr:row>82</xdr:row>
          <xdr:rowOff>9525</xdr:rowOff>
        </xdr:to>
        <xdr:sp macro="" textlink="">
          <xdr:nvSpPr>
            <xdr:cNvPr id="36890" name="Button 26" hidden="1">
              <a:extLst>
                <a:ext uri="{63B3BB69-23CF-44E3-9099-C40C66FF867C}">
                  <a14:compatExt spid="_x0000_s36890"/>
                </a:ext>
                <a:ext uri="{FF2B5EF4-FFF2-40B4-BE49-F238E27FC236}">
                  <a16:creationId xmlns:a16="http://schemas.microsoft.com/office/drawing/2014/main" id="{3F44E13B-CD4D-4023-AE45-BA8D3259618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82</xdr:row>
          <xdr:rowOff>9525</xdr:rowOff>
        </xdr:from>
        <xdr:to>
          <xdr:col>17</xdr:col>
          <xdr:colOff>0</xdr:colOff>
          <xdr:row>85</xdr:row>
          <xdr:rowOff>9525</xdr:rowOff>
        </xdr:to>
        <xdr:sp macro="" textlink="">
          <xdr:nvSpPr>
            <xdr:cNvPr id="36891" name="Button 27" hidden="1">
              <a:extLst>
                <a:ext uri="{63B3BB69-23CF-44E3-9099-C40C66FF867C}">
                  <a14:compatExt spid="_x0000_s36891"/>
                </a:ext>
                <a:ext uri="{FF2B5EF4-FFF2-40B4-BE49-F238E27FC236}">
                  <a16:creationId xmlns:a16="http://schemas.microsoft.com/office/drawing/2014/main" id="{98A79127-0DF9-467F-8419-07A82FFB2E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82</xdr:row>
          <xdr:rowOff>9525</xdr:rowOff>
        </xdr:from>
        <xdr:to>
          <xdr:col>18</xdr:col>
          <xdr:colOff>0</xdr:colOff>
          <xdr:row>85</xdr:row>
          <xdr:rowOff>9525</xdr:rowOff>
        </xdr:to>
        <xdr:sp macro="" textlink="">
          <xdr:nvSpPr>
            <xdr:cNvPr id="36892" name="Button 28" hidden="1">
              <a:extLst>
                <a:ext uri="{63B3BB69-23CF-44E3-9099-C40C66FF867C}">
                  <a14:compatExt spid="_x0000_s36892"/>
                </a:ext>
                <a:ext uri="{FF2B5EF4-FFF2-40B4-BE49-F238E27FC236}">
                  <a16:creationId xmlns:a16="http://schemas.microsoft.com/office/drawing/2014/main" id="{D3F096D8-63E8-4AD0-8C40-4D21814DA0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85</xdr:row>
          <xdr:rowOff>9525</xdr:rowOff>
        </xdr:from>
        <xdr:to>
          <xdr:col>17</xdr:col>
          <xdr:colOff>0</xdr:colOff>
          <xdr:row>88</xdr:row>
          <xdr:rowOff>9525</xdr:rowOff>
        </xdr:to>
        <xdr:sp macro="" textlink="">
          <xdr:nvSpPr>
            <xdr:cNvPr id="36893" name="Button 29" hidden="1">
              <a:extLst>
                <a:ext uri="{63B3BB69-23CF-44E3-9099-C40C66FF867C}">
                  <a14:compatExt spid="_x0000_s36893"/>
                </a:ext>
                <a:ext uri="{FF2B5EF4-FFF2-40B4-BE49-F238E27FC236}">
                  <a16:creationId xmlns:a16="http://schemas.microsoft.com/office/drawing/2014/main" id="{4F81FBE4-917F-488E-83C3-614C8D0E29C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85</xdr:row>
          <xdr:rowOff>9525</xdr:rowOff>
        </xdr:from>
        <xdr:to>
          <xdr:col>18</xdr:col>
          <xdr:colOff>0</xdr:colOff>
          <xdr:row>88</xdr:row>
          <xdr:rowOff>9525</xdr:rowOff>
        </xdr:to>
        <xdr:sp macro="" textlink="">
          <xdr:nvSpPr>
            <xdr:cNvPr id="36894" name="Button 30" hidden="1">
              <a:extLst>
                <a:ext uri="{63B3BB69-23CF-44E3-9099-C40C66FF867C}">
                  <a14:compatExt spid="_x0000_s36894"/>
                </a:ext>
                <a:ext uri="{FF2B5EF4-FFF2-40B4-BE49-F238E27FC236}">
                  <a16:creationId xmlns:a16="http://schemas.microsoft.com/office/drawing/2014/main" id="{46FEE647-4257-428D-A459-CF6C30E7F3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106</xdr:row>
          <xdr:rowOff>0</xdr:rowOff>
        </xdr:from>
        <xdr:to>
          <xdr:col>19</xdr:col>
          <xdr:colOff>0</xdr:colOff>
          <xdr:row>109</xdr:row>
          <xdr:rowOff>9525</xdr:rowOff>
        </xdr:to>
        <xdr:sp macro="" textlink="">
          <xdr:nvSpPr>
            <xdr:cNvPr id="36895" name="Button 31" hidden="1">
              <a:extLst>
                <a:ext uri="{63B3BB69-23CF-44E3-9099-C40C66FF867C}">
                  <a14:compatExt spid="_x0000_s36895"/>
                </a:ext>
                <a:ext uri="{FF2B5EF4-FFF2-40B4-BE49-F238E27FC236}">
                  <a16:creationId xmlns:a16="http://schemas.microsoft.com/office/drawing/2014/main" id="{6EE7B4D4-3E7C-41F9-BBA2-F306E5474A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109</xdr:row>
          <xdr:rowOff>9525</xdr:rowOff>
        </xdr:from>
        <xdr:to>
          <xdr:col>17</xdr:col>
          <xdr:colOff>0</xdr:colOff>
          <xdr:row>112</xdr:row>
          <xdr:rowOff>9525</xdr:rowOff>
        </xdr:to>
        <xdr:sp macro="" textlink="">
          <xdr:nvSpPr>
            <xdr:cNvPr id="36896" name="Button 32" hidden="1">
              <a:extLst>
                <a:ext uri="{63B3BB69-23CF-44E3-9099-C40C66FF867C}">
                  <a14:compatExt spid="_x0000_s36896"/>
                </a:ext>
                <a:ext uri="{FF2B5EF4-FFF2-40B4-BE49-F238E27FC236}">
                  <a16:creationId xmlns:a16="http://schemas.microsoft.com/office/drawing/2014/main" id="{F1AB907E-5C5A-4B5D-AD7D-A0CE7B3728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109</xdr:row>
          <xdr:rowOff>9525</xdr:rowOff>
        </xdr:from>
        <xdr:to>
          <xdr:col>18</xdr:col>
          <xdr:colOff>0</xdr:colOff>
          <xdr:row>112</xdr:row>
          <xdr:rowOff>9525</xdr:rowOff>
        </xdr:to>
        <xdr:sp macro="" textlink="">
          <xdr:nvSpPr>
            <xdr:cNvPr id="36897" name="Button 33" hidden="1">
              <a:extLst>
                <a:ext uri="{63B3BB69-23CF-44E3-9099-C40C66FF867C}">
                  <a14:compatExt spid="_x0000_s36897"/>
                </a:ext>
                <a:ext uri="{FF2B5EF4-FFF2-40B4-BE49-F238E27FC236}">
                  <a16:creationId xmlns:a16="http://schemas.microsoft.com/office/drawing/2014/main" id="{FA9B9561-B77B-40ED-ACA8-C9C17BD852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112</xdr:row>
          <xdr:rowOff>9525</xdr:rowOff>
        </xdr:from>
        <xdr:to>
          <xdr:col>17</xdr:col>
          <xdr:colOff>0</xdr:colOff>
          <xdr:row>115</xdr:row>
          <xdr:rowOff>9525</xdr:rowOff>
        </xdr:to>
        <xdr:sp macro="" textlink="">
          <xdr:nvSpPr>
            <xdr:cNvPr id="36898" name="Button 34" hidden="1">
              <a:extLst>
                <a:ext uri="{63B3BB69-23CF-44E3-9099-C40C66FF867C}">
                  <a14:compatExt spid="_x0000_s36898"/>
                </a:ext>
                <a:ext uri="{FF2B5EF4-FFF2-40B4-BE49-F238E27FC236}">
                  <a16:creationId xmlns:a16="http://schemas.microsoft.com/office/drawing/2014/main" id="{1ADD038C-C262-43D9-87A6-0EC09941ED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112</xdr:row>
          <xdr:rowOff>9525</xdr:rowOff>
        </xdr:from>
        <xdr:to>
          <xdr:col>18</xdr:col>
          <xdr:colOff>0</xdr:colOff>
          <xdr:row>115</xdr:row>
          <xdr:rowOff>9525</xdr:rowOff>
        </xdr:to>
        <xdr:sp macro="" textlink="">
          <xdr:nvSpPr>
            <xdr:cNvPr id="36899" name="Button 35" hidden="1">
              <a:extLst>
                <a:ext uri="{63B3BB69-23CF-44E3-9099-C40C66FF867C}">
                  <a14:compatExt spid="_x0000_s36899"/>
                </a:ext>
                <a:ext uri="{FF2B5EF4-FFF2-40B4-BE49-F238E27FC236}">
                  <a16:creationId xmlns:a16="http://schemas.microsoft.com/office/drawing/2014/main" id="{B3C1CCBB-0327-466E-AD1A-C54B60D2C9A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93</xdr:row>
          <xdr:rowOff>0</xdr:rowOff>
        </xdr:from>
        <xdr:to>
          <xdr:col>17</xdr:col>
          <xdr:colOff>0</xdr:colOff>
          <xdr:row>96</xdr:row>
          <xdr:rowOff>0</xdr:rowOff>
        </xdr:to>
        <xdr:sp macro="" textlink="">
          <xdr:nvSpPr>
            <xdr:cNvPr id="36900" name="Button 36" hidden="1">
              <a:extLst>
                <a:ext uri="{63B3BB69-23CF-44E3-9099-C40C66FF867C}">
                  <a14:compatExt spid="_x0000_s36900"/>
                </a:ext>
                <a:ext uri="{FF2B5EF4-FFF2-40B4-BE49-F238E27FC236}">
                  <a16:creationId xmlns:a16="http://schemas.microsoft.com/office/drawing/2014/main" id="{82036F27-7BA5-4510-9CAB-91CDED9C1C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133</xdr:row>
          <xdr:rowOff>0</xdr:rowOff>
        </xdr:from>
        <xdr:to>
          <xdr:col>19</xdr:col>
          <xdr:colOff>0</xdr:colOff>
          <xdr:row>136</xdr:row>
          <xdr:rowOff>9525</xdr:rowOff>
        </xdr:to>
        <xdr:sp macro="" textlink="">
          <xdr:nvSpPr>
            <xdr:cNvPr id="36901" name="Button 37" hidden="1">
              <a:extLst>
                <a:ext uri="{63B3BB69-23CF-44E3-9099-C40C66FF867C}">
                  <a14:compatExt spid="_x0000_s36901"/>
                </a:ext>
                <a:ext uri="{FF2B5EF4-FFF2-40B4-BE49-F238E27FC236}">
                  <a16:creationId xmlns:a16="http://schemas.microsoft.com/office/drawing/2014/main" id="{30254ACF-4D88-4A7C-9296-7DAFD2FCBA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136</xdr:row>
          <xdr:rowOff>9525</xdr:rowOff>
        </xdr:from>
        <xdr:to>
          <xdr:col>17</xdr:col>
          <xdr:colOff>0</xdr:colOff>
          <xdr:row>139</xdr:row>
          <xdr:rowOff>9525</xdr:rowOff>
        </xdr:to>
        <xdr:sp macro="" textlink="">
          <xdr:nvSpPr>
            <xdr:cNvPr id="36902" name="Button 38" hidden="1">
              <a:extLst>
                <a:ext uri="{63B3BB69-23CF-44E3-9099-C40C66FF867C}">
                  <a14:compatExt spid="_x0000_s36902"/>
                </a:ext>
                <a:ext uri="{FF2B5EF4-FFF2-40B4-BE49-F238E27FC236}">
                  <a16:creationId xmlns:a16="http://schemas.microsoft.com/office/drawing/2014/main" id="{EAD22653-4164-4886-8ABC-B4EC293A89C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136</xdr:row>
          <xdr:rowOff>9525</xdr:rowOff>
        </xdr:from>
        <xdr:to>
          <xdr:col>18</xdr:col>
          <xdr:colOff>0</xdr:colOff>
          <xdr:row>139</xdr:row>
          <xdr:rowOff>9525</xdr:rowOff>
        </xdr:to>
        <xdr:sp macro="" textlink="">
          <xdr:nvSpPr>
            <xdr:cNvPr id="36903" name="Button 39" hidden="1">
              <a:extLst>
                <a:ext uri="{63B3BB69-23CF-44E3-9099-C40C66FF867C}">
                  <a14:compatExt spid="_x0000_s36903"/>
                </a:ext>
                <a:ext uri="{FF2B5EF4-FFF2-40B4-BE49-F238E27FC236}">
                  <a16:creationId xmlns:a16="http://schemas.microsoft.com/office/drawing/2014/main" id="{08B28C0F-D565-4E9E-8BF3-B326E1A153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139</xdr:row>
          <xdr:rowOff>9525</xdr:rowOff>
        </xdr:from>
        <xdr:to>
          <xdr:col>17</xdr:col>
          <xdr:colOff>0</xdr:colOff>
          <xdr:row>142</xdr:row>
          <xdr:rowOff>9525</xdr:rowOff>
        </xdr:to>
        <xdr:sp macro="" textlink="">
          <xdr:nvSpPr>
            <xdr:cNvPr id="36904" name="Button 40" hidden="1">
              <a:extLst>
                <a:ext uri="{63B3BB69-23CF-44E3-9099-C40C66FF867C}">
                  <a14:compatExt spid="_x0000_s36904"/>
                </a:ext>
                <a:ext uri="{FF2B5EF4-FFF2-40B4-BE49-F238E27FC236}">
                  <a16:creationId xmlns:a16="http://schemas.microsoft.com/office/drawing/2014/main" id="{AFF9A33F-2BA8-4D84-8C16-8F37972B24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139</xdr:row>
          <xdr:rowOff>9525</xdr:rowOff>
        </xdr:from>
        <xdr:to>
          <xdr:col>18</xdr:col>
          <xdr:colOff>0</xdr:colOff>
          <xdr:row>142</xdr:row>
          <xdr:rowOff>9525</xdr:rowOff>
        </xdr:to>
        <xdr:sp macro="" textlink="">
          <xdr:nvSpPr>
            <xdr:cNvPr id="36905" name="Button 41" hidden="1">
              <a:extLst>
                <a:ext uri="{63B3BB69-23CF-44E3-9099-C40C66FF867C}">
                  <a14:compatExt spid="_x0000_s36905"/>
                </a:ext>
                <a:ext uri="{FF2B5EF4-FFF2-40B4-BE49-F238E27FC236}">
                  <a16:creationId xmlns:a16="http://schemas.microsoft.com/office/drawing/2014/main" id="{6C38D905-CBE2-44B9-83A5-36BCB2CA33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160</xdr:row>
          <xdr:rowOff>0</xdr:rowOff>
        </xdr:from>
        <xdr:to>
          <xdr:col>19</xdr:col>
          <xdr:colOff>0</xdr:colOff>
          <xdr:row>163</xdr:row>
          <xdr:rowOff>9525</xdr:rowOff>
        </xdr:to>
        <xdr:sp macro="" textlink="">
          <xdr:nvSpPr>
            <xdr:cNvPr id="36906" name="Button 42" hidden="1">
              <a:extLst>
                <a:ext uri="{63B3BB69-23CF-44E3-9099-C40C66FF867C}">
                  <a14:compatExt spid="_x0000_s36906"/>
                </a:ext>
                <a:ext uri="{FF2B5EF4-FFF2-40B4-BE49-F238E27FC236}">
                  <a16:creationId xmlns:a16="http://schemas.microsoft.com/office/drawing/2014/main" id="{5E7EDF3E-225C-4DF2-95CE-2A1B46F9C9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163</xdr:row>
          <xdr:rowOff>9525</xdr:rowOff>
        </xdr:from>
        <xdr:to>
          <xdr:col>17</xdr:col>
          <xdr:colOff>0</xdr:colOff>
          <xdr:row>166</xdr:row>
          <xdr:rowOff>9525</xdr:rowOff>
        </xdr:to>
        <xdr:sp macro="" textlink="">
          <xdr:nvSpPr>
            <xdr:cNvPr id="36907" name="Button 43" hidden="1">
              <a:extLst>
                <a:ext uri="{63B3BB69-23CF-44E3-9099-C40C66FF867C}">
                  <a14:compatExt spid="_x0000_s36907"/>
                </a:ext>
                <a:ext uri="{FF2B5EF4-FFF2-40B4-BE49-F238E27FC236}">
                  <a16:creationId xmlns:a16="http://schemas.microsoft.com/office/drawing/2014/main" id="{0CF480E6-D94A-47CA-B360-FE582BD37BB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163</xdr:row>
          <xdr:rowOff>9525</xdr:rowOff>
        </xdr:from>
        <xdr:to>
          <xdr:col>18</xdr:col>
          <xdr:colOff>0</xdr:colOff>
          <xdr:row>166</xdr:row>
          <xdr:rowOff>9525</xdr:rowOff>
        </xdr:to>
        <xdr:sp macro="" textlink="">
          <xdr:nvSpPr>
            <xdr:cNvPr id="36908" name="Button 44" hidden="1">
              <a:extLst>
                <a:ext uri="{63B3BB69-23CF-44E3-9099-C40C66FF867C}">
                  <a14:compatExt spid="_x0000_s36908"/>
                </a:ext>
                <a:ext uri="{FF2B5EF4-FFF2-40B4-BE49-F238E27FC236}">
                  <a16:creationId xmlns:a16="http://schemas.microsoft.com/office/drawing/2014/main" id="{0FAE46C5-3AB6-4EA6-8521-ABB106DD8B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166</xdr:row>
          <xdr:rowOff>9525</xdr:rowOff>
        </xdr:from>
        <xdr:to>
          <xdr:col>17</xdr:col>
          <xdr:colOff>0</xdr:colOff>
          <xdr:row>169</xdr:row>
          <xdr:rowOff>9525</xdr:rowOff>
        </xdr:to>
        <xdr:sp macro="" textlink="">
          <xdr:nvSpPr>
            <xdr:cNvPr id="36909" name="Button 45" hidden="1">
              <a:extLst>
                <a:ext uri="{63B3BB69-23CF-44E3-9099-C40C66FF867C}">
                  <a14:compatExt spid="_x0000_s36909"/>
                </a:ext>
                <a:ext uri="{FF2B5EF4-FFF2-40B4-BE49-F238E27FC236}">
                  <a16:creationId xmlns:a16="http://schemas.microsoft.com/office/drawing/2014/main" id="{D0EBD9AB-5A9B-40BB-8B0A-A561133647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166</xdr:row>
          <xdr:rowOff>9525</xdr:rowOff>
        </xdr:from>
        <xdr:to>
          <xdr:col>18</xdr:col>
          <xdr:colOff>0</xdr:colOff>
          <xdr:row>169</xdr:row>
          <xdr:rowOff>9525</xdr:rowOff>
        </xdr:to>
        <xdr:sp macro="" textlink="">
          <xdr:nvSpPr>
            <xdr:cNvPr id="36910" name="Button 46" hidden="1">
              <a:extLst>
                <a:ext uri="{63B3BB69-23CF-44E3-9099-C40C66FF867C}">
                  <a14:compatExt spid="_x0000_s36910"/>
                </a:ext>
                <a:ext uri="{FF2B5EF4-FFF2-40B4-BE49-F238E27FC236}">
                  <a16:creationId xmlns:a16="http://schemas.microsoft.com/office/drawing/2014/main" id="{2A2E4720-80E2-4863-8627-70AF73C5D8B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187</xdr:row>
          <xdr:rowOff>0</xdr:rowOff>
        </xdr:from>
        <xdr:to>
          <xdr:col>19</xdr:col>
          <xdr:colOff>0</xdr:colOff>
          <xdr:row>190</xdr:row>
          <xdr:rowOff>9525</xdr:rowOff>
        </xdr:to>
        <xdr:sp macro="" textlink="">
          <xdr:nvSpPr>
            <xdr:cNvPr id="36911" name="Button 47" hidden="1">
              <a:extLst>
                <a:ext uri="{63B3BB69-23CF-44E3-9099-C40C66FF867C}">
                  <a14:compatExt spid="_x0000_s36911"/>
                </a:ext>
                <a:ext uri="{FF2B5EF4-FFF2-40B4-BE49-F238E27FC236}">
                  <a16:creationId xmlns:a16="http://schemas.microsoft.com/office/drawing/2014/main" id="{2B67E16B-32D6-4B5B-9F55-1DAEA4D0E0C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실거래종목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190</xdr:row>
          <xdr:rowOff>9525</xdr:rowOff>
        </xdr:from>
        <xdr:to>
          <xdr:col>17</xdr:col>
          <xdr:colOff>0</xdr:colOff>
          <xdr:row>193</xdr:row>
          <xdr:rowOff>9525</xdr:rowOff>
        </xdr:to>
        <xdr:sp macro="" textlink="">
          <xdr:nvSpPr>
            <xdr:cNvPr id="36912" name="Button 48" hidden="1">
              <a:extLst>
                <a:ext uri="{63B3BB69-23CF-44E3-9099-C40C66FF867C}">
                  <a14:compatExt spid="_x0000_s36912"/>
                </a:ext>
                <a:ext uri="{FF2B5EF4-FFF2-40B4-BE49-F238E27FC236}">
                  <a16:creationId xmlns:a16="http://schemas.microsoft.com/office/drawing/2014/main" id="{3A4E5D37-DAF8-44B3-8911-DED8329A81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190</xdr:row>
          <xdr:rowOff>9525</xdr:rowOff>
        </xdr:from>
        <xdr:to>
          <xdr:col>18</xdr:col>
          <xdr:colOff>0</xdr:colOff>
          <xdr:row>193</xdr:row>
          <xdr:rowOff>9525</xdr:rowOff>
        </xdr:to>
        <xdr:sp macro="" textlink="">
          <xdr:nvSpPr>
            <xdr:cNvPr id="36913" name="Button 49" hidden="1">
              <a:extLst>
                <a:ext uri="{63B3BB69-23CF-44E3-9099-C40C66FF867C}">
                  <a14:compatExt spid="_x0000_s36913"/>
                </a:ext>
                <a:ext uri="{FF2B5EF4-FFF2-40B4-BE49-F238E27FC236}">
                  <a16:creationId xmlns:a16="http://schemas.microsoft.com/office/drawing/2014/main" id="{904D3388-A6DF-4F95-BCC0-D345FAB19F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193</xdr:row>
          <xdr:rowOff>9525</xdr:rowOff>
        </xdr:from>
        <xdr:to>
          <xdr:col>17</xdr:col>
          <xdr:colOff>0</xdr:colOff>
          <xdr:row>196</xdr:row>
          <xdr:rowOff>9525</xdr:rowOff>
        </xdr:to>
        <xdr:sp macro="" textlink="">
          <xdr:nvSpPr>
            <xdr:cNvPr id="36914" name="Button 50" hidden="1">
              <a:extLst>
                <a:ext uri="{63B3BB69-23CF-44E3-9099-C40C66FF867C}">
                  <a14:compatExt spid="_x0000_s36914"/>
                </a:ext>
                <a:ext uri="{FF2B5EF4-FFF2-40B4-BE49-F238E27FC236}">
                  <a16:creationId xmlns:a16="http://schemas.microsoft.com/office/drawing/2014/main" id="{9B7CA2D5-647C-44F8-9AE8-62602A9B5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엽전코인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193</xdr:row>
          <xdr:rowOff>9525</xdr:rowOff>
        </xdr:from>
        <xdr:to>
          <xdr:col>18</xdr:col>
          <xdr:colOff>0</xdr:colOff>
          <xdr:row>196</xdr:row>
          <xdr:rowOff>9525</xdr:rowOff>
        </xdr:to>
        <xdr:sp macro="" textlink="">
          <xdr:nvSpPr>
            <xdr:cNvPr id="36915" name="Button 51" hidden="1">
              <a:extLst>
                <a:ext uri="{63B3BB69-23CF-44E3-9099-C40C66FF867C}">
                  <a14:compatExt spid="_x0000_s36915"/>
                </a:ext>
                <a:ext uri="{FF2B5EF4-FFF2-40B4-BE49-F238E27FC236}">
                  <a16:creationId xmlns:a16="http://schemas.microsoft.com/office/drawing/2014/main" id="{EB381138-2213-4415-878C-DBE885B3734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동전코인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39</xdr:row>
          <xdr:rowOff>0</xdr:rowOff>
        </xdr:from>
        <xdr:to>
          <xdr:col>17</xdr:col>
          <xdr:colOff>0</xdr:colOff>
          <xdr:row>42</xdr:row>
          <xdr:rowOff>0</xdr:rowOff>
        </xdr:to>
        <xdr:sp macro="" textlink="">
          <xdr:nvSpPr>
            <xdr:cNvPr id="36916" name="Button 52" hidden="1">
              <a:extLst>
                <a:ext uri="{63B3BB69-23CF-44E3-9099-C40C66FF867C}">
                  <a14:compatExt spid="_x0000_s36916"/>
                </a:ext>
                <a:ext uri="{FF2B5EF4-FFF2-40B4-BE49-F238E27FC236}">
                  <a16:creationId xmlns:a16="http://schemas.microsoft.com/office/drawing/2014/main" id="{12C4A203-A52E-4E98-BBA4-2E93814A3D2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39</xdr:row>
          <xdr:rowOff>0</xdr:rowOff>
        </xdr:from>
        <xdr:to>
          <xdr:col>18</xdr:col>
          <xdr:colOff>0</xdr:colOff>
          <xdr:row>42</xdr:row>
          <xdr:rowOff>0</xdr:rowOff>
        </xdr:to>
        <xdr:sp macro="" textlink="">
          <xdr:nvSpPr>
            <xdr:cNvPr id="36917" name="Button 53" hidden="1">
              <a:extLst>
                <a:ext uri="{63B3BB69-23CF-44E3-9099-C40C66FF867C}">
                  <a14:compatExt spid="_x0000_s36917"/>
                </a:ext>
                <a:ext uri="{FF2B5EF4-FFF2-40B4-BE49-F238E27FC236}">
                  <a16:creationId xmlns:a16="http://schemas.microsoft.com/office/drawing/2014/main" id="{ABE324B2-A02F-4B99-9EDA-947082B870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39</xdr:row>
          <xdr:rowOff>0</xdr:rowOff>
        </xdr:from>
        <xdr:to>
          <xdr:col>19</xdr:col>
          <xdr:colOff>0</xdr:colOff>
          <xdr:row>42</xdr:row>
          <xdr:rowOff>0</xdr:rowOff>
        </xdr:to>
        <xdr:sp macro="" textlink="">
          <xdr:nvSpPr>
            <xdr:cNvPr id="36918" name="Button 54" hidden="1">
              <a:extLst>
                <a:ext uri="{63B3BB69-23CF-44E3-9099-C40C66FF867C}">
                  <a14:compatExt spid="_x0000_s36918"/>
                </a:ext>
                <a:ext uri="{FF2B5EF4-FFF2-40B4-BE49-F238E27FC236}">
                  <a16:creationId xmlns:a16="http://schemas.microsoft.com/office/drawing/2014/main" id="{87599027-0987-4E30-8296-F202D43813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42</xdr:row>
          <xdr:rowOff>0</xdr:rowOff>
        </xdr:from>
        <xdr:to>
          <xdr:col>17</xdr:col>
          <xdr:colOff>0</xdr:colOff>
          <xdr:row>45</xdr:row>
          <xdr:rowOff>0</xdr:rowOff>
        </xdr:to>
        <xdr:sp macro="" textlink="">
          <xdr:nvSpPr>
            <xdr:cNvPr id="36919" name="Button 55" hidden="1">
              <a:extLst>
                <a:ext uri="{63B3BB69-23CF-44E3-9099-C40C66FF867C}">
                  <a14:compatExt spid="_x0000_s36919"/>
                </a:ext>
                <a:ext uri="{FF2B5EF4-FFF2-40B4-BE49-F238E27FC236}">
                  <a16:creationId xmlns:a16="http://schemas.microsoft.com/office/drawing/2014/main" id="{9F006A9A-227D-4CEB-BA67-465DE0842D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42</xdr:row>
          <xdr:rowOff>0</xdr:rowOff>
        </xdr:from>
        <xdr:to>
          <xdr:col>18</xdr:col>
          <xdr:colOff>0</xdr:colOff>
          <xdr:row>45</xdr:row>
          <xdr:rowOff>0</xdr:rowOff>
        </xdr:to>
        <xdr:sp macro="" textlink="">
          <xdr:nvSpPr>
            <xdr:cNvPr id="36920" name="Button 56" hidden="1">
              <a:extLst>
                <a:ext uri="{63B3BB69-23CF-44E3-9099-C40C66FF867C}">
                  <a14:compatExt spid="_x0000_s36920"/>
                </a:ext>
                <a:ext uri="{FF2B5EF4-FFF2-40B4-BE49-F238E27FC236}">
                  <a16:creationId xmlns:a16="http://schemas.microsoft.com/office/drawing/2014/main" id="{5C3C0223-4A8E-4833-9251-D16AFDAA23E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42</xdr:row>
          <xdr:rowOff>0</xdr:rowOff>
        </xdr:from>
        <xdr:to>
          <xdr:col>19</xdr:col>
          <xdr:colOff>0</xdr:colOff>
          <xdr:row>45</xdr:row>
          <xdr:rowOff>0</xdr:rowOff>
        </xdr:to>
        <xdr:sp macro="" textlink="">
          <xdr:nvSpPr>
            <xdr:cNvPr id="36921" name="Button 57" hidden="1">
              <a:extLst>
                <a:ext uri="{63B3BB69-23CF-44E3-9099-C40C66FF867C}">
                  <a14:compatExt spid="_x0000_s36921"/>
                </a:ext>
                <a:ext uri="{FF2B5EF4-FFF2-40B4-BE49-F238E27FC236}">
                  <a16:creationId xmlns:a16="http://schemas.microsoft.com/office/drawing/2014/main" id="{BCD8F74F-FC5A-4FE3-A3D5-8B026DA6877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45</xdr:row>
          <xdr:rowOff>0</xdr:rowOff>
        </xdr:from>
        <xdr:to>
          <xdr:col>17</xdr:col>
          <xdr:colOff>0</xdr:colOff>
          <xdr:row>48</xdr:row>
          <xdr:rowOff>0</xdr:rowOff>
        </xdr:to>
        <xdr:sp macro="" textlink="">
          <xdr:nvSpPr>
            <xdr:cNvPr id="36922" name="Button 58" hidden="1">
              <a:extLst>
                <a:ext uri="{63B3BB69-23CF-44E3-9099-C40C66FF867C}">
                  <a14:compatExt spid="_x0000_s36922"/>
                </a:ext>
                <a:ext uri="{FF2B5EF4-FFF2-40B4-BE49-F238E27FC236}">
                  <a16:creationId xmlns:a16="http://schemas.microsoft.com/office/drawing/2014/main" id="{2A99F077-A5C8-4738-9790-B1EC6FC83F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45</xdr:row>
          <xdr:rowOff>0</xdr:rowOff>
        </xdr:from>
        <xdr:to>
          <xdr:col>18</xdr:col>
          <xdr:colOff>0</xdr:colOff>
          <xdr:row>48</xdr:row>
          <xdr:rowOff>0</xdr:rowOff>
        </xdr:to>
        <xdr:sp macro="" textlink="">
          <xdr:nvSpPr>
            <xdr:cNvPr id="36923" name="Button 59" hidden="1">
              <a:extLst>
                <a:ext uri="{63B3BB69-23CF-44E3-9099-C40C66FF867C}">
                  <a14:compatExt spid="_x0000_s36923"/>
                </a:ext>
                <a:ext uri="{FF2B5EF4-FFF2-40B4-BE49-F238E27FC236}">
                  <a16:creationId xmlns:a16="http://schemas.microsoft.com/office/drawing/2014/main" id="{C3146E10-4291-4B59-A49E-009EE8C920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45</xdr:row>
          <xdr:rowOff>0</xdr:rowOff>
        </xdr:from>
        <xdr:to>
          <xdr:col>19</xdr:col>
          <xdr:colOff>0</xdr:colOff>
          <xdr:row>48</xdr:row>
          <xdr:rowOff>0</xdr:rowOff>
        </xdr:to>
        <xdr:sp macro="" textlink="">
          <xdr:nvSpPr>
            <xdr:cNvPr id="36924" name="Button 60" hidden="1">
              <a:extLst>
                <a:ext uri="{63B3BB69-23CF-44E3-9099-C40C66FF867C}">
                  <a14:compatExt spid="_x0000_s36924"/>
                </a:ext>
                <a:ext uri="{FF2B5EF4-FFF2-40B4-BE49-F238E27FC236}">
                  <a16:creationId xmlns:a16="http://schemas.microsoft.com/office/drawing/2014/main" id="{01E2EE86-4BC0-4140-84C1-BE5A40ED8B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48</xdr:row>
          <xdr:rowOff>0</xdr:rowOff>
        </xdr:from>
        <xdr:to>
          <xdr:col>17</xdr:col>
          <xdr:colOff>0</xdr:colOff>
          <xdr:row>51</xdr:row>
          <xdr:rowOff>0</xdr:rowOff>
        </xdr:to>
        <xdr:sp macro="" textlink="">
          <xdr:nvSpPr>
            <xdr:cNvPr id="36925" name="Button 61" hidden="1">
              <a:extLst>
                <a:ext uri="{63B3BB69-23CF-44E3-9099-C40C66FF867C}">
                  <a14:compatExt spid="_x0000_s36925"/>
                </a:ext>
                <a:ext uri="{FF2B5EF4-FFF2-40B4-BE49-F238E27FC236}">
                  <a16:creationId xmlns:a16="http://schemas.microsoft.com/office/drawing/2014/main" id="{02A8F391-991F-4491-B892-EC06B0D105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48</xdr:row>
          <xdr:rowOff>0</xdr:rowOff>
        </xdr:from>
        <xdr:to>
          <xdr:col>18</xdr:col>
          <xdr:colOff>0</xdr:colOff>
          <xdr:row>51</xdr:row>
          <xdr:rowOff>0</xdr:rowOff>
        </xdr:to>
        <xdr:sp macro="" textlink="">
          <xdr:nvSpPr>
            <xdr:cNvPr id="36926" name="Button 62" hidden="1">
              <a:extLst>
                <a:ext uri="{63B3BB69-23CF-44E3-9099-C40C66FF867C}">
                  <a14:compatExt spid="_x0000_s36926"/>
                </a:ext>
                <a:ext uri="{FF2B5EF4-FFF2-40B4-BE49-F238E27FC236}">
                  <a16:creationId xmlns:a16="http://schemas.microsoft.com/office/drawing/2014/main" id="{160D7D61-4F0C-4647-85A9-4FB5EF8232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48</xdr:row>
          <xdr:rowOff>0</xdr:rowOff>
        </xdr:from>
        <xdr:to>
          <xdr:col>19</xdr:col>
          <xdr:colOff>0</xdr:colOff>
          <xdr:row>51</xdr:row>
          <xdr:rowOff>0</xdr:rowOff>
        </xdr:to>
        <xdr:sp macro="" textlink="">
          <xdr:nvSpPr>
            <xdr:cNvPr id="36927" name="Button 63" hidden="1">
              <a:extLst>
                <a:ext uri="{63B3BB69-23CF-44E3-9099-C40C66FF867C}">
                  <a14:compatExt spid="_x0000_s36927"/>
                </a:ext>
                <a:ext uri="{FF2B5EF4-FFF2-40B4-BE49-F238E27FC236}">
                  <a16:creationId xmlns:a16="http://schemas.microsoft.com/office/drawing/2014/main" id="{2645A2A5-BFC9-4E34-9F37-84800203A9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55</xdr:row>
          <xdr:rowOff>0</xdr:rowOff>
        </xdr:from>
        <xdr:to>
          <xdr:col>19</xdr:col>
          <xdr:colOff>0</xdr:colOff>
          <xdr:row>58</xdr:row>
          <xdr:rowOff>0</xdr:rowOff>
        </xdr:to>
        <xdr:sp macro="" textlink="">
          <xdr:nvSpPr>
            <xdr:cNvPr id="36928" name="Button 64" hidden="1">
              <a:extLst>
                <a:ext uri="{63B3BB69-23CF-44E3-9099-C40C66FF867C}">
                  <a14:compatExt spid="_x0000_s36928"/>
                </a:ext>
                <a:ext uri="{FF2B5EF4-FFF2-40B4-BE49-F238E27FC236}">
                  <a16:creationId xmlns:a16="http://schemas.microsoft.com/office/drawing/2014/main" id="{39FFE0CA-36B5-4CEA-B5FD-47972F2E93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58</xdr:row>
          <xdr:rowOff>0</xdr:rowOff>
        </xdr:from>
        <xdr:to>
          <xdr:col>19</xdr:col>
          <xdr:colOff>0</xdr:colOff>
          <xdr:row>61</xdr:row>
          <xdr:rowOff>0</xdr:rowOff>
        </xdr:to>
        <xdr:sp macro="" textlink="">
          <xdr:nvSpPr>
            <xdr:cNvPr id="36929" name="Button 65" hidden="1">
              <a:extLst>
                <a:ext uri="{63B3BB69-23CF-44E3-9099-C40C66FF867C}">
                  <a14:compatExt spid="_x0000_s36929"/>
                </a:ext>
                <a:ext uri="{FF2B5EF4-FFF2-40B4-BE49-F238E27FC236}">
                  <a16:creationId xmlns:a16="http://schemas.microsoft.com/office/drawing/2014/main" id="{6A1E377B-6B77-4BB1-A07D-AE2ACEE411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61</xdr:row>
          <xdr:rowOff>0</xdr:rowOff>
        </xdr:from>
        <xdr:to>
          <xdr:col>19</xdr:col>
          <xdr:colOff>0</xdr:colOff>
          <xdr:row>64</xdr:row>
          <xdr:rowOff>0</xdr:rowOff>
        </xdr:to>
        <xdr:sp macro="" textlink="">
          <xdr:nvSpPr>
            <xdr:cNvPr id="36930" name="Button 66" hidden="1">
              <a:extLst>
                <a:ext uri="{63B3BB69-23CF-44E3-9099-C40C66FF867C}">
                  <a14:compatExt spid="_x0000_s36930"/>
                </a:ext>
                <a:ext uri="{FF2B5EF4-FFF2-40B4-BE49-F238E27FC236}">
                  <a16:creationId xmlns:a16="http://schemas.microsoft.com/office/drawing/2014/main" id="{7C63DA89-D7F1-4055-BCDD-67F3E931556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66</xdr:row>
          <xdr:rowOff>0</xdr:rowOff>
        </xdr:from>
        <xdr:to>
          <xdr:col>17</xdr:col>
          <xdr:colOff>0</xdr:colOff>
          <xdr:row>69</xdr:row>
          <xdr:rowOff>0</xdr:rowOff>
        </xdr:to>
        <xdr:sp macro="" textlink="">
          <xdr:nvSpPr>
            <xdr:cNvPr id="36931" name="Button 67" hidden="1">
              <a:extLst>
                <a:ext uri="{63B3BB69-23CF-44E3-9099-C40C66FF867C}">
                  <a14:compatExt spid="_x0000_s36931"/>
                </a:ext>
                <a:ext uri="{FF2B5EF4-FFF2-40B4-BE49-F238E27FC236}">
                  <a16:creationId xmlns:a16="http://schemas.microsoft.com/office/drawing/2014/main" id="{FBDE56A9-90C5-4C40-98EA-34A586A9A2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66</xdr:row>
          <xdr:rowOff>0</xdr:rowOff>
        </xdr:from>
        <xdr:to>
          <xdr:col>18</xdr:col>
          <xdr:colOff>0</xdr:colOff>
          <xdr:row>69</xdr:row>
          <xdr:rowOff>0</xdr:rowOff>
        </xdr:to>
        <xdr:sp macro="" textlink="">
          <xdr:nvSpPr>
            <xdr:cNvPr id="36932" name="Button 68" hidden="1">
              <a:extLst>
                <a:ext uri="{63B3BB69-23CF-44E3-9099-C40C66FF867C}">
                  <a14:compatExt spid="_x0000_s36932"/>
                </a:ext>
                <a:ext uri="{FF2B5EF4-FFF2-40B4-BE49-F238E27FC236}">
                  <a16:creationId xmlns:a16="http://schemas.microsoft.com/office/drawing/2014/main" id="{B1FEA47C-2897-4C5E-9AC0-1E21257DBC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66</xdr:row>
          <xdr:rowOff>0</xdr:rowOff>
        </xdr:from>
        <xdr:to>
          <xdr:col>19</xdr:col>
          <xdr:colOff>0</xdr:colOff>
          <xdr:row>69</xdr:row>
          <xdr:rowOff>0</xdr:rowOff>
        </xdr:to>
        <xdr:sp macro="" textlink="">
          <xdr:nvSpPr>
            <xdr:cNvPr id="36933" name="Button 69" hidden="1">
              <a:extLst>
                <a:ext uri="{63B3BB69-23CF-44E3-9099-C40C66FF867C}">
                  <a14:compatExt spid="_x0000_s36933"/>
                </a:ext>
                <a:ext uri="{FF2B5EF4-FFF2-40B4-BE49-F238E27FC236}">
                  <a16:creationId xmlns:a16="http://schemas.microsoft.com/office/drawing/2014/main" id="{693D4CAA-71C9-4D52-97F6-6728D9F032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69</xdr:row>
          <xdr:rowOff>0</xdr:rowOff>
        </xdr:from>
        <xdr:to>
          <xdr:col>17</xdr:col>
          <xdr:colOff>0</xdr:colOff>
          <xdr:row>72</xdr:row>
          <xdr:rowOff>0</xdr:rowOff>
        </xdr:to>
        <xdr:sp macro="" textlink="">
          <xdr:nvSpPr>
            <xdr:cNvPr id="36934" name="Button 70" hidden="1">
              <a:extLst>
                <a:ext uri="{63B3BB69-23CF-44E3-9099-C40C66FF867C}">
                  <a14:compatExt spid="_x0000_s36934"/>
                </a:ext>
                <a:ext uri="{FF2B5EF4-FFF2-40B4-BE49-F238E27FC236}">
                  <a16:creationId xmlns:a16="http://schemas.microsoft.com/office/drawing/2014/main" id="{10C9D784-7F30-4057-AD31-F10794256F2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69</xdr:row>
          <xdr:rowOff>0</xdr:rowOff>
        </xdr:from>
        <xdr:to>
          <xdr:col>18</xdr:col>
          <xdr:colOff>0</xdr:colOff>
          <xdr:row>72</xdr:row>
          <xdr:rowOff>0</xdr:rowOff>
        </xdr:to>
        <xdr:sp macro="" textlink="">
          <xdr:nvSpPr>
            <xdr:cNvPr id="36935" name="Button 71" hidden="1">
              <a:extLst>
                <a:ext uri="{63B3BB69-23CF-44E3-9099-C40C66FF867C}">
                  <a14:compatExt spid="_x0000_s36935"/>
                </a:ext>
                <a:ext uri="{FF2B5EF4-FFF2-40B4-BE49-F238E27FC236}">
                  <a16:creationId xmlns:a16="http://schemas.microsoft.com/office/drawing/2014/main" id="{FD2E8D11-ACAC-4755-960F-103C005226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69</xdr:row>
          <xdr:rowOff>0</xdr:rowOff>
        </xdr:from>
        <xdr:to>
          <xdr:col>19</xdr:col>
          <xdr:colOff>0</xdr:colOff>
          <xdr:row>72</xdr:row>
          <xdr:rowOff>0</xdr:rowOff>
        </xdr:to>
        <xdr:sp macro="" textlink="">
          <xdr:nvSpPr>
            <xdr:cNvPr id="36936" name="Button 72" hidden="1">
              <a:extLst>
                <a:ext uri="{63B3BB69-23CF-44E3-9099-C40C66FF867C}">
                  <a14:compatExt spid="_x0000_s36936"/>
                </a:ext>
                <a:ext uri="{FF2B5EF4-FFF2-40B4-BE49-F238E27FC236}">
                  <a16:creationId xmlns:a16="http://schemas.microsoft.com/office/drawing/2014/main" id="{2C7A23D7-BBD2-457D-817F-3ECF525883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72</xdr:row>
          <xdr:rowOff>0</xdr:rowOff>
        </xdr:from>
        <xdr:to>
          <xdr:col>17</xdr:col>
          <xdr:colOff>0</xdr:colOff>
          <xdr:row>75</xdr:row>
          <xdr:rowOff>0</xdr:rowOff>
        </xdr:to>
        <xdr:sp macro="" textlink="">
          <xdr:nvSpPr>
            <xdr:cNvPr id="36937" name="Button 73" hidden="1">
              <a:extLst>
                <a:ext uri="{63B3BB69-23CF-44E3-9099-C40C66FF867C}">
                  <a14:compatExt spid="_x0000_s36937"/>
                </a:ext>
                <a:ext uri="{FF2B5EF4-FFF2-40B4-BE49-F238E27FC236}">
                  <a16:creationId xmlns:a16="http://schemas.microsoft.com/office/drawing/2014/main" id="{A773FCA8-7633-49F8-955B-4E3824DBBB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72</xdr:row>
          <xdr:rowOff>0</xdr:rowOff>
        </xdr:from>
        <xdr:to>
          <xdr:col>18</xdr:col>
          <xdr:colOff>0</xdr:colOff>
          <xdr:row>75</xdr:row>
          <xdr:rowOff>0</xdr:rowOff>
        </xdr:to>
        <xdr:sp macro="" textlink="">
          <xdr:nvSpPr>
            <xdr:cNvPr id="36938" name="Button 74" hidden="1">
              <a:extLst>
                <a:ext uri="{63B3BB69-23CF-44E3-9099-C40C66FF867C}">
                  <a14:compatExt spid="_x0000_s36938"/>
                </a:ext>
                <a:ext uri="{FF2B5EF4-FFF2-40B4-BE49-F238E27FC236}">
                  <a16:creationId xmlns:a16="http://schemas.microsoft.com/office/drawing/2014/main" id="{1D55F4EB-B241-45E7-9AE1-184FC73028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72</xdr:row>
          <xdr:rowOff>0</xdr:rowOff>
        </xdr:from>
        <xdr:to>
          <xdr:col>19</xdr:col>
          <xdr:colOff>0</xdr:colOff>
          <xdr:row>75</xdr:row>
          <xdr:rowOff>0</xdr:rowOff>
        </xdr:to>
        <xdr:sp macro="" textlink="">
          <xdr:nvSpPr>
            <xdr:cNvPr id="36939" name="Button 75" hidden="1">
              <a:extLst>
                <a:ext uri="{63B3BB69-23CF-44E3-9099-C40C66FF867C}">
                  <a14:compatExt spid="_x0000_s36939"/>
                </a:ext>
                <a:ext uri="{FF2B5EF4-FFF2-40B4-BE49-F238E27FC236}">
                  <a16:creationId xmlns:a16="http://schemas.microsoft.com/office/drawing/2014/main" id="{E7E6FEF7-489A-4C39-B2CF-EE86C0021F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75</xdr:row>
          <xdr:rowOff>0</xdr:rowOff>
        </xdr:from>
        <xdr:to>
          <xdr:col>17</xdr:col>
          <xdr:colOff>0</xdr:colOff>
          <xdr:row>78</xdr:row>
          <xdr:rowOff>0</xdr:rowOff>
        </xdr:to>
        <xdr:sp macro="" textlink="">
          <xdr:nvSpPr>
            <xdr:cNvPr id="36940" name="Button 76" hidden="1">
              <a:extLst>
                <a:ext uri="{63B3BB69-23CF-44E3-9099-C40C66FF867C}">
                  <a14:compatExt spid="_x0000_s36940"/>
                </a:ext>
                <a:ext uri="{FF2B5EF4-FFF2-40B4-BE49-F238E27FC236}">
                  <a16:creationId xmlns:a16="http://schemas.microsoft.com/office/drawing/2014/main" id="{D0011D08-6D1F-4F84-B73D-E9844CF1300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75</xdr:row>
          <xdr:rowOff>0</xdr:rowOff>
        </xdr:from>
        <xdr:to>
          <xdr:col>18</xdr:col>
          <xdr:colOff>0</xdr:colOff>
          <xdr:row>78</xdr:row>
          <xdr:rowOff>0</xdr:rowOff>
        </xdr:to>
        <xdr:sp macro="" textlink="">
          <xdr:nvSpPr>
            <xdr:cNvPr id="36941" name="Button 77" hidden="1">
              <a:extLst>
                <a:ext uri="{63B3BB69-23CF-44E3-9099-C40C66FF867C}">
                  <a14:compatExt spid="_x0000_s36941"/>
                </a:ext>
                <a:ext uri="{FF2B5EF4-FFF2-40B4-BE49-F238E27FC236}">
                  <a16:creationId xmlns:a16="http://schemas.microsoft.com/office/drawing/2014/main" id="{D6BCCFE1-45A9-4591-BAB6-3FCE7FF16FB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75</xdr:row>
          <xdr:rowOff>0</xdr:rowOff>
        </xdr:from>
        <xdr:to>
          <xdr:col>19</xdr:col>
          <xdr:colOff>0</xdr:colOff>
          <xdr:row>78</xdr:row>
          <xdr:rowOff>0</xdr:rowOff>
        </xdr:to>
        <xdr:sp macro="" textlink="">
          <xdr:nvSpPr>
            <xdr:cNvPr id="36942" name="Button 78" hidden="1">
              <a:extLst>
                <a:ext uri="{63B3BB69-23CF-44E3-9099-C40C66FF867C}">
                  <a14:compatExt spid="_x0000_s36942"/>
                </a:ext>
                <a:ext uri="{FF2B5EF4-FFF2-40B4-BE49-F238E27FC236}">
                  <a16:creationId xmlns:a16="http://schemas.microsoft.com/office/drawing/2014/main" id="{FFF11235-E658-4E45-B547-2089B3AAA5F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82</xdr:row>
          <xdr:rowOff>9525</xdr:rowOff>
        </xdr:from>
        <xdr:to>
          <xdr:col>19</xdr:col>
          <xdr:colOff>0</xdr:colOff>
          <xdr:row>85</xdr:row>
          <xdr:rowOff>9525</xdr:rowOff>
        </xdr:to>
        <xdr:sp macro="" textlink="">
          <xdr:nvSpPr>
            <xdr:cNvPr id="36943" name="Button 79" hidden="1">
              <a:extLst>
                <a:ext uri="{63B3BB69-23CF-44E3-9099-C40C66FF867C}">
                  <a14:compatExt spid="_x0000_s36943"/>
                </a:ext>
                <a:ext uri="{FF2B5EF4-FFF2-40B4-BE49-F238E27FC236}">
                  <a16:creationId xmlns:a16="http://schemas.microsoft.com/office/drawing/2014/main" id="{E978667C-4550-4CAC-8B74-3ACE6BA9780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85</xdr:row>
          <xdr:rowOff>9525</xdr:rowOff>
        </xdr:from>
        <xdr:to>
          <xdr:col>19</xdr:col>
          <xdr:colOff>0</xdr:colOff>
          <xdr:row>88</xdr:row>
          <xdr:rowOff>9525</xdr:rowOff>
        </xdr:to>
        <xdr:sp macro="" textlink="">
          <xdr:nvSpPr>
            <xdr:cNvPr id="36944" name="Button 80" hidden="1">
              <a:extLst>
                <a:ext uri="{63B3BB69-23CF-44E3-9099-C40C66FF867C}">
                  <a14:compatExt spid="_x0000_s36944"/>
                </a:ext>
                <a:ext uri="{FF2B5EF4-FFF2-40B4-BE49-F238E27FC236}">
                  <a16:creationId xmlns:a16="http://schemas.microsoft.com/office/drawing/2014/main" id="{7A5C1D02-0BD6-4DD5-B925-3ABD28D88F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88</xdr:row>
          <xdr:rowOff>9525</xdr:rowOff>
        </xdr:from>
        <xdr:to>
          <xdr:col>19</xdr:col>
          <xdr:colOff>0</xdr:colOff>
          <xdr:row>91</xdr:row>
          <xdr:rowOff>19050</xdr:rowOff>
        </xdr:to>
        <xdr:sp macro="" textlink="">
          <xdr:nvSpPr>
            <xdr:cNvPr id="36945" name="Button 81" hidden="1">
              <a:extLst>
                <a:ext uri="{63B3BB69-23CF-44E3-9099-C40C66FF867C}">
                  <a14:compatExt spid="_x0000_s36945"/>
                </a:ext>
                <a:ext uri="{FF2B5EF4-FFF2-40B4-BE49-F238E27FC236}">
                  <a16:creationId xmlns:a16="http://schemas.microsoft.com/office/drawing/2014/main" id="{442263EA-C45E-488D-BA12-EE6C2B8EF1C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93</xdr:row>
          <xdr:rowOff>0</xdr:rowOff>
        </xdr:from>
        <xdr:to>
          <xdr:col>18</xdr:col>
          <xdr:colOff>0</xdr:colOff>
          <xdr:row>96</xdr:row>
          <xdr:rowOff>0</xdr:rowOff>
        </xdr:to>
        <xdr:sp macro="" textlink="">
          <xdr:nvSpPr>
            <xdr:cNvPr id="36946" name="Button 82" hidden="1">
              <a:extLst>
                <a:ext uri="{63B3BB69-23CF-44E3-9099-C40C66FF867C}">
                  <a14:compatExt spid="_x0000_s36946"/>
                </a:ext>
                <a:ext uri="{FF2B5EF4-FFF2-40B4-BE49-F238E27FC236}">
                  <a16:creationId xmlns:a16="http://schemas.microsoft.com/office/drawing/2014/main" id="{5C3BBFD7-D9FA-4B36-A474-FFE694C848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93</xdr:row>
          <xdr:rowOff>0</xdr:rowOff>
        </xdr:from>
        <xdr:to>
          <xdr:col>19</xdr:col>
          <xdr:colOff>0</xdr:colOff>
          <xdr:row>96</xdr:row>
          <xdr:rowOff>0</xdr:rowOff>
        </xdr:to>
        <xdr:sp macro="" textlink="">
          <xdr:nvSpPr>
            <xdr:cNvPr id="36947" name="Button 83" hidden="1">
              <a:extLst>
                <a:ext uri="{63B3BB69-23CF-44E3-9099-C40C66FF867C}">
                  <a14:compatExt spid="_x0000_s36947"/>
                </a:ext>
                <a:ext uri="{FF2B5EF4-FFF2-40B4-BE49-F238E27FC236}">
                  <a16:creationId xmlns:a16="http://schemas.microsoft.com/office/drawing/2014/main" id="{A29A3002-CAE1-4D95-AB02-FD546E754CC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96</xdr:row>
          <xdr:rowOff>0</xdr:rowOff>
        </xdr:from>
        <xdr:to>
          <xdr:col>17</xdr:col>
          <xdr:colOff>0</xdr:colOff>
          <xdr:row>99</xdr:row>
          <xdr:rowOff>0</xdr:rowOff>
        </xdr:to>
        <xdr:sp macro="" textlink="">
          <xdr:nvSpPr>
            <xdr:cNvPr id="36948" name="Button 84" hidden="1">
              <a:extLst>
                <a:ext uri="{63B3BB69-23CF-44E3-9099-C40C66FF867C}">
                  <a14:compatExt spid="_x0000_s36948"/>
                </a:ext>
                <a:ext uri="{FF2B5EF4-FFF2-40B4-BE49-F238E27FC236}">
                  <a16:creationId xmlns:a16="http://schemas.microsoft.com/office/drawing/2014/main" id="{22053210-12A2-459B-AA4A-88EAB8BFC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96</xdr:row>
          <xdr:rowOff>0</xdr:rowOff>
        </xdr:from>
        <xdr:to>
          <xdr:col>18</xdr:col>
          <xdr:colOff>0</xdr:colOff>
          <xdr:row>99</xdr:row>
          <xdr:rowOff>0</xdr:rowOff>
        </xdr:to>
        <xdr:sp macro="" textlink="">
          <xdr:nvSpPr>
            <xdr:cNvPr id="36949" name="Button 85" hidden="1">
              <a:extLst>
                <a:ext uri="{63B3BB69-23CF-44E3-9099-C40C66FF867C}">
                  <a14:compatExt spid="_x0000_s36949"/>
                </a:ext>
                <a:ext uri="{FF2B5EF4-FFF2-40B4-BE49-F238E27FC236}">
                  <a16:creationId xmlns:a16="http://schemas.microsoft.com/office/drawing/2014/main" id="{592FD5D1-4CD7-4646-9318-AFF99D5DA3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96</xdr:row>
          <xdr:rowOff>0</xdr:rowOff>
        </xdr:from>
        <xdr:to>
          <xdr:col>19</xdr:col>
          <xdr:colOff>0</xdr:colOff>
          <xdr:row>99</xdr:row>
          <xdr:rowOff>0</xdr:rowOff>
        </xdr:to>
        <xdr:sp macro="" textlink="">
          <xdr:nvSpPr>
            <xdr:cNvPr id="36950" name="Button 86" hidden="1">
              <a:extLst>
                <a:ext uri="{63B3BB69-23CF-44E3-9099-C40C66FF867C}">
                  <a14:compatExt spid="_x0000_s36950"/>
                </a:ext>
                <a:ext uri="{FF2B5EF4-FFF2-40B4-BE49-F238E27FC236}">
                  <a16:creationId xmlns:a16="http://schemas.microsoft.com/office/drawing/2014/main" id="{9FE2110D-4C0A-4F5E-A268-2B7628E39F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99</xdr:row>
          <xdr:rowOff>0</xdr:rowOff>
        </xdr:from>
        <xdr:to>
          <xdr:col>17</xdr:col>
          <xdr:colOff>0</xdr:colOff>
          <xdr:row>102</xdr:row>
          <xdr:rowOff>0</xdr:rowOff>
        </xdr:to>
        <xdr:sp macro="" textlink="">
          <xdr:nvSpPr>
            <xdr:cNvPr id="36951" name="Button 87" hidden="1">
              <a:extLst>
                <a:ext uri="{63B3BB69-23CF-44E3-9099-C40C66FF867C}">
                  <a14:compatExt spid="_x0000_s36951"/>
                </a:ext>
                <a:ext uri="{FF2B5EF4-FFF2-40B4-BE49-F238E27FC236}">
                  <a16:creationId xmlns:a16="http://schemas.microsoft.com/office/drawing/2014/main" id="{F61F921A-0E74-4A57-AF43-5926CC129D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99</xdr:row>
          <xdr:rowOff>0</xdr:rowOff>
        </xdr:from>
        <xdr:to>
          <xdr:col>18</xdr:col>
          <xdr:colOff>0</xdr:colOff>
          <xdr:row>102</xdr:row>
          <xdr:rowOff>0</xdr:rowOff>
        </xdr:to>
        <xdr:sp macro="" textlink="">
          <xdr:nvSpPr>
            <xdr:cNvPr id="36952" name="Button 88" hidden="1">
              <a:extLst>
                <a:ext uri="{63B3BB69-23CF-44E3-9099-C40C66FF867C}">
                  <a14:compatExt spid="_x0000_s36952"/>
                </a:ext>
                <a:ext uri="{FF2B5EF4-FFF2-40B4-BE49-F238E27FC236}">
                  <a16:creationId xmlns:a16="http://schemas.microsoft.com/office/drawing/2014/main" id="{161BE9E5-B6BA-418F-BEF1-F9834C07F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99</xdr:row>
          <xdr:rowOff>0</xdr:rowOff>
        </xdr:from>
        <xdr:to>
          <xdr:col>19</xdr:col>
          <xdr:colOff>0</xdr:colOff>
          <xdr:row>102</xdr:row>
          <xdr:rowOff>0</xdr:rowOff>
        </xdr:to>
        <xdr:sp macro="" textlink="">
          <xdr:nvSpPr>
            <xdr:cNvPr id="36953" name="Button 89" hidden="1">
              <a:extLst>
                <a:ext uri="{63B3BB69-23CF-44E3-9099-C40C66FF867C}">
                  <a14:compatExt spid="_x0000_s36953"/>
                </a:ext>
                <a:ext uri="{FF2B5EF4-FFF2-40B4-BE49-F238E27FC236}">
                  <a16:creationId xmlns:a16="http://schemas.microsoft.com/office/drawing/2014/main" id="{F69D6B06-B212-4BD0-B2CB-1DEA1C79CF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102</xdr:row>
          <xdr:rowOff>0</xdr:rowOff>
        </xdr:from>
        <xdr:to>
          <xdr:col>17</xdr:col>
          <xdr:colOff>0</xdr:colOff>
          <xdr:row>105</xdr:row>
          <xdr:rowOff>0</xdr:rowOff>
        </xdr:to>
        <xdr:sp macro="" textlink="">
          <xdr:nvSpPr>
            <xdr:cNvPr id="36954" name="Button 90" hidden="1">
              <a:extLst>
                <a:ext uri="{63B3BB69-23CF-44E3-9099-C40C66FF867C}">
                  <a14:compatExt spid="_x0000_s36954"/>
                </a:ext>
                <a:ext uri="{FF2B5EF4-FFF2-40B4-BE49-F238E27FC236}">
                  <a16:creationId xmlns:a16="http://schemas.microsoft.com/office/drawing/2014/main" id="{1CB3E040-C247-4D49-8B1D-3D66A3580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102</xdr:row>
          <xdr:rowOff>0</xdr:rowOff>
        </xdr:from>
        <xdr:to>
          <xdr:col>18</xdr:col>
          <xdr:colOff>0</xdr:colOff>
          <xdr:row>105</xdr:row>
          <xdr:rowOff>0</xdr:rowOff>
        </xdr:to>
        <xdr:sp macro="" textlink="">
          <xdr:nvSpPr>
            <xdr:cNvPr id="36955" name="Button 91" hidden="1">
              <a:extLst>
                <a:ext uri="{63B3BB69-23CF-44E3-9099-C40C66FF867C}">
                  <a14:compatExt spid="_x0000_s36955"/>
                </a:ext>
                <a:ext uri="{FF2B5EF4-FFF2-40B4-BE49-F238E27FC236}">
                  <a16:creationId xmlns:a16="http://schemas.microsoft.com/office/drawing/2014/main" id="{8318ADF0-20DE-4223-8092-1F20A17995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102</xdr:row>
          <xdr:rowOff>0</xdr:rowOff>
        </xdr:from>
        <xdr:to>
          <xdr:col>19</xdr:col>
          <xdr:colOff>0</xdr:colOff>
          <xdr:row>105</xdr:row>
          <xdr:rowOff>0</xdr:rowOff>
        </xdr:to>
        <xdr:sp macro="" textlink="">
          <xdr:nvSpPr>
            <xdr:cNvPr id="36956" name="Button 92" hidden="1">
              <a:extLst>
                <a:ext uri="{63B3BB69-23CF-44E3-9099-C40C66FF867C}">
                  <a14:compatExt spid="_x0000_s36956"/>
                </a:ext>
                <a:ext uri="{FF2B5EF4-FFF2-40B4-BE49-F238E27FC236}">
                  <a16:creationId xmlns:a16="http://schemas.microsoft.com/office/drawing/2014/main" id="{0F24C34A-09FA-4B0F-8722-1E40465726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109</xdr:row>
          <xdr:rowOff>9525</xdr:rowOff>
        </xdr:from>
        <xdr:to>
          <xdr:col>19</xdr:col>
          <xdr:colOff>0</xdr:colOff>
          <xdr:row>112</xdr:row>
          <xdr:rowOff>9525</xdr:rowOff>
        </xdr:to>
        <xdr:sp macro="" textlink="">
          <xdr:nvSpPr>
            <xdr:cNvPr id="36957" name="Button 93" hidden="1">
              <a:extLst>
                <a:ext uri="{63B3BB69-23CF-44E3-9099-C40C66FF867C}">
                  <a14:compatExt spid="_x0000_s36957"/>
                </a:ext>
                <a:ext uri="{FF2B5EF4-FFF2-40B4-BE49-F238E27FC236}">
                  <a16:creationId xmlns:a16="http://schemas.microsoft.com/office/drawing/2014/main" id="{C9B675A1-E677-4535-A067-51F7729525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112</xdr:row>
          <xdr:rowOff>9525</xdr:rowOff>
        </xdr:from>
        <xdr:to>
          <xdr:col>19</xdr:col>
          <xdr:colOff>0</xdr:colOff>
          <xdr:row>115</xdr:row>
          <xdr:rowOff>9525</xdr:rowOff>
        </xdr:to>
        <xdr:sp macro="" textlink="">
          <xdr:nvSpPr>
            <xdr:cNvPr id="36958" name="Button 94" hidden="1">
              <a:extLst>
                <a:ext uri="{63B3BB69-23CF-44E3-9099-C40C66FF867C}">
                  <a14:compatExt spid="_x0000_s36958"/>
                </a:ext>
                <a:ext uri="{FF2B5EF4-FFF2-40B4-BE49-F238E27FC236}">
                  <a16:creationId xmlns:a16="http://schemas.microsoft.com/office/drawing/2014/main" id="{56BACDE7-C7E5-4F3C-8916-7A6A644BD41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115</xdr:row>
          <xdr:rowOff>9525</xdr:rowOff>
        </xdr:from>
        <xdr:to>
          <xdr:col>19</xdr:col>
          <xdr:colOff>0</xdr:colOff>
          <xdr:row>118</xdr:row>
          <xdr:rowOff>19050</xdr:rowOff>
        </xdr:to>
        <xdr:sp macro="" textlink="">
          <xdr:nvSpPr>
            <xdr:cNvPr id="36959" name="Button 95" hidden="1">
              <a:extLst>
                <a:ext uri="{63B3BB69-23CF-44E3-9099-C40C66FF867C}">
                  <a14:compatExt spid="_x0000_s36959"/>
                </a:ext>
                <a:ext uri="{FF2B5EF4-FFF2-40B4-BE49-F238E27FC236}">
                  <a16:creationId xmlns:a16="http://schemas.microsoft.com/office/drawing/2014/main" id="{A954B472-9253-4D22-A84D-54AECFF0FA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120</xdr:row>
          <xdr:rowOff>0</xdr:rowOff>
        </xdr:from>
        <xdr:to>
          <xdr:col>17</xdr:col>
          <xdr:colOff>0</xdr:colOff>
          <xdr:row>123</xdr:row>
          <xdr:rowOff>0</xdr:rowOff>
        </xdr:to>
        <xdr:sp macro="" textlink="">
          <xdr:nvSpPr>
            <xdr:cNvPr id="36960" name="Button 96" hidden="1">
              <a:extLst>
                <a:ext uri="{63B3BB69-23CF-44E3-9099-C40C66FF867C}">
                  <a14:compatExt spid="_x0000_s36960"/>
                </a:ext>
                <a:ext uri="{FF2B5EF4-FFF2-40B4-BE49-F238E27FC236}">
                  <a16:creationId xmlns:a16="http://schemas.microsoft.com/office/drawing/2014/main" id="{DB49A7E3-1BAE-413D-85AF-5F96AE9064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120</xdr:row>
          <xdr:rowOff>0</xdr:rowOff>
        </xdr:from>
        <xdr:to>
          <xdr:col>18</xdr:col>
          <xdr:colOff>0</xdr:colOff>
          <xdr:row>123</xdr:row>
          <xdr:rowOff>0</xdr:rowOff>
        </xdr:to>
        <xdr:sp macro="" textlink="">
          <xdr:nvSpPr>
            <xdr:cNvPr id="36961" name="Button 97" hidden="1">
              <a:extLst>
                <a:ext uri="{63B3BB69-23CF-44E3-9099-C40C66FF867C}">
                  <a14:compatExt spid="_x0000_s36961"/>
                </a:ext>
                <a:ext uri="{FF2B5EF4-FFF2-40B4-BE49-F238E27FC236}">
                  <a16:creationId xmlns:a16="http://schemas.microsoft.com/office/drawing/2014/main" id="{7E2248F1-D66B-4FB6-ACC0-B49BE02DFC8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120</xdr:row>
          <xdr:rowOff>0</xdr:rowOff>
        </xdr:from>
        <xdr:to>
          <xdr:col>19</xdr:col>
          <xdr:colOff>0</xdr:colOff>
          <xdr:row>123</xdr:row>
          <xdr:rowOff>0</xdr:rowOff>
        </xdr:to>
        <xdr:sp macro="" textlink="">
          <xdr:nvSpPr>
            <xdr:cNvPr id="36962" name="Button 98" hidden="1">
              <a:extLst>
                <a:ext uri="{63B3BB69-23CF-44E3-9099-C40C66FF867C}">
                  <a14:compatExt spid="_x0000_s36962"/>
                </a:ext>
                <a:ext uri="{FF2B5EF4-FFF2-40B4-BE49-F238E27FC236}">
                  <a16:creationId xmlns:a16="http://schemas.microsoft.com/office/drawing/2014/main" id="{A69F6568-C6DA-4763-A88C-813E260517D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123</xdr:row>
          <xdr:rowOff>0</xdr:rowOff>
        </xdr:from>
        <xdr:to>
          <xdr:col>17</xdr:col>
          <xdr:colOff>0</xdr:colOff>
          <xdr:row>126</xdr:row>
          <xdr:rowOff>0</xdr:rowOff>
        </xdr:to>
        <xdr:sp macro="" textlink="">
          <xdr:nvSpPr>
            <xdr:cNvPr id="36963" name="Button 99" hidden="1">
              <a:extLst>
                <a:ext uri="{63B3BB69-23CF-44E3-9099-C40C66FF867C}">
                  <a14:compatExt spid="_x0000_s36963"/>
                </a:ext>
                <a:ext uri="{FF2B5EF4-FFF2-40B4-BE49-F238E27FC236}">
                  <a16:creationId xmlns:a16="http://schemas.microsoft.com/office/drawing/2014/main" id="{D1F7571A-E1DD-41BB-B4FB-3DAC697E54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123</xdr:row>
          <xdr:rowOff>0</xdr:rowOff>
        </xdr:from>
        <xdr:to>
          <xdr:col>18</xdr:col>
          <xdr:colOff>0</xdr:colOff>
          <xdr:row>126</xdr:row>
          <xdr:rowOff>0</xdr:rowOff>
        </xdr:to>
        <xdr:sp macro="" textlink="">
          <xdr:nvSpPr>
            <xdr:cNvPr id="36964" name="Button 100" hidden="1">
              <a:extLst>
                <a:ext uri="{63B3BB69-23CF-44E3-9099-C40C66FF867C}">
                  <a14:compatExt spid="_x0000_s36964"/>
                </a:ext>
                <a:ext uri="{FF2B5EF4-FFF2-40B4-BE49-F238E27FC236}">
                  <a16:creationId xmlns:a16="http://schemas.microsoft.com/office/drawing/2014/main" id="{24C5DA05-4EB7-444A-A566-176E6BDF54E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123</xdr:row>
          <xdr:rowOff>0</xdr:rowOff>
        </xdr:from>
        <xdr:to>
          <xdr:col>19</xdr:col>
          <xdr:colOff>0</xdr:colOff>
          <xdr:row>126</xdr:row>
          <xdr:rowOff>0</xdr:rowOff>
        </xdr:to>
        <xdr:sp macro="" textlink="">
          <xdr:nvSpPr>
            <xdr:cNvPr id="36965" name="Button 101" hidden="1">
              <a:extLst>
                <a:ext uri="{63B3BB69-23CF-44E3-9099-C40C66FF867C}">
                  <a14:compatExt spid="_x0000_s36965"/>
                </a:ext>
                <a:ext uri="{FF2B5EF4-FFF2-40B4-BE49-F238E27FC236}">
                  <a16:creationId xmlns:a16="http://schemas.microsoft.com/office/drawing/2014/main" id="{7403A9AE-A0E6-48C3-B9C1-1044569CCD6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126</xdr:row>
          <xdr:rowOff>0</xdr:rowOff>
        </xdr:from>
        <xdr:to>
          <xdr:col>17</xdr:col>
          <xdr:colOff>0</xdr:colOff>
          <xdr:row>129</xdr:row>
          <xdr:rowOff>0</xdr:rowOff>
        </xdr:to>
        <xdr:sp macro="" textlink="">
          <xdr:nvSpPr>
            <xdr:cNvPr id="36966" name="Button 102" hidden="1">
              <a:extLst>
                <a:ext uri="{63B3BB69-23CF-44E3-9099-C40C66FF867C}">
                  <a14:compatExt spid="_x0000_s36966"/>
                </a:ext>
                <a:ext uri="{FF2B5EF4-FFF2-40B4-BE49-F238E27FC236}">
                  <a16:creationId xmlns:a16="http://schemas.microsoft.com/office/drawing/2014/main" id="{090D4D12-5178-4571-A66A-63D6F946489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126</xdr:row>
          <xdr:rowOff>0</xdr:rowOff>
        </xdr:from>
        <xdr:to>
          <xdr:col>18</xdr:col>
          <xdr:colOff>0</xdr:colOff>
          <xdr:row>129</xdr:row>
          <xdr:rowOff>0</xdr:rowOff>
        </xdr:to>
        <xdr:sp macro="" textlink="">
          <xdr:nvSpPr>
            <xdr:cNvPr id="36967" name="Button 103" hidden="1">
              <a:extLst>
                <a:ext uri="{63B3BB69-23CF-44E3-9099-C40C66FF867C}">
                  <a14:compatExt spid="_x0000_s36967"/>
                </a:ext>
                <a:ext uri="{FF2B5EF4-FFF2-40B4-BE49-F238E27FC236}">
                  <a16:creationId xmlns:a16="http://schemas.microsoft.com/office/drawing/2014/main" id="{15D14D79-A630-48E9-9B05-8AE59C200A2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126</xdr:row>
          <xdr:rowOff>0</xdr:rowOff>
        </xdr:from>
        <xdr:to>
          <xdr:col>19</xdr:col>
          <xdr:colOff>0</xdr:colOff>
          <xdr:row>129</xdr:row>
          <xdr:rowOff>0</xdr:rowOff>
        </xdr:to>
        <xdr:sp macro="" textlink="">
          <xdr:nvSpPr>
            <xdr:cNvPr id="36968" name="Button 104" hidden="1">
              <a:extLst>
                <a:ext uri="{63B3BB69-23CF-44E3-9099-C40C66FF867C}">
                  <a14:compatExt spid="_x0000_s36968"/>
                </a:ext>
                <a:ext uri="{FF2B5EF4-FFF2-40B4-BE49-F238E27FC236}">
                  <a16:creationId xmlns:a16="http://schemas.microsoft.com/office/drawing/2014/main" id="{2F70B1FE-87B3-4576-8B7C-9A0DFA55F37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129</xdr:row>
          <xdr:rowOff>0</xdr:rowOff>
        </xdr:from>
        <xdr:to>
          <xdr:col>17</xdr:col>
          <xdr:colOff>0</xdr:colOff>
          <xdr:row>132</xdr:row>
          <xdr:rowOff>0</xdr:rowOff>
        </xdr:to>
        <xdr:sp macro="" textlink="">
          <xdr:nvSpPr>
            <xdr:cNvPr id="36969" name="Button 105" hidden="1">
              <a:extLst>
                <a:ext uri="{63B3BB69-23CF-44E3-9099-C40C66FF867C}">
                  <a14:compatExt spid="_x0000_s36969"/>
                </a:ext>
                <a:ext uri="{FF2B5EF4-FFF2-40B4-BE49-F238E27FC236}">
                  <a16:creationId xmlns:a16="http://schemas.microsoft.com/office/drawing/2014/main" id="{953DA119-321C-4087-ADE3-E663F51C6D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129</xdr:row>
          <xdr:rowOff>0</xdr:rowOff>
        </xdr:from>
        <xdr:to>
          <xdr:col>18</xdr:col>
          <xdr:colOff>0</xdr:colOff>
          <xdr:row>132</xdr:row>
          <xdr:rowOff>0</xdr:rowOff>
        </xdr:to>
        <xdr:sp macro="" textlink="">
          <xdr:nvSpPr>
            <xdr:cNvPr id="36970" name="Button 106" hidden="1">
              <a:extLst>
                <a:ext uri="{63B3BB69-23CF-44E3-9099-C40C66FF867C}">
                  <a14:compatExt spid="_x0000_s36970"/>
                </a:ext>
                <a:ext uri="{FF2B5EF4-FFF2-40B4-BE49-F238E27FC236}">
                  <a16:creationId xmlns:a16="http://schemas.microsoft.com/office/drawing/2014/main" id="{D2417DA7-8098-4913-9E35-D59C10ADA4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129</xdr:row>
          <xdr:rowOff>0</xdr:rowOff>
        </xdr:from>
        <xdr:to>
          <xdr:col>19</xdr:col>
          <xdr:colOff>0</xdr:colOff>
          <xdr:row>132</xdr:row>
          <xdr:rowOff>0</xdr:rowOff>
        </xdr:to>
        <xdr:sp macro="" textlink="">
          <xdr:nvSpPr>
            <xdr:cNvPr id="36971" name="Button 107" hidden="1">
              <a:extLst>
                <a:ext uri="{63B3BB69-23CF-44E3-9099-C40C66FF867C}">
                  <a14:compatExt spid="_x0000_s36971"/>
                </a:ext>
                <a:ext uri="{FF2B5EF4-FFF2-40B4-BE49-F238E27FC236}">
                  <a16:creationId xmlns:a16="http://schemas.microsoft.com/office/drawing/2014/main" id="{C5EBC280-5703-4E03-AE61-5B27157C3E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136</xdr:row>
          <xdr:rowOff>9525</xdr:rowOff>
        </xdr:from>
        <xdr:to>
          <xdr:col>19</xdr:col>
          <xdr:colOff>0</xdr:colOff>
          <xdr:row>139</xdr:row>
          <xdr:rowOff>9525</xdr:rowOff>
        </xdr:to>
        <xdr:sp macro="" textlink="">
          <xdr:nvSpPr>
            <xdr:cNvPr id="36972" name="Button 108" hidden="1">
              <a:extLst>
                <a:ext uri="{63B3BB69-23CF-44E3-9099-C40C66FF867C}">
                  <a14:compatExt spid="_x0000_s36972"/>
                </a:ext>
                <a:ext uri="{FF2B5EF4-FFF2-40B4-BE49-F238E27FC236}">
                  <a16:creationId xmlns:a16="http://schemas.microsoft.com/office/drawing/2014/main" id="{96AC6AEA-A556-4E06-975D-EF7628B4AA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139</xdr:row>
          <xdr:rowOff>9525</xdr:rowOff>
        </xdr:from>
        <xdr:to>
          <xdr:col>19</xdr:col>
          <xdr:colOff>0</xdr:colOff>
          <xdr:row>142</xdr:row>
          <xdr:rowOff>9525</xdr:rowOff>
        </xdr:to>
        <xdr:sp macro="" textlink="">
          <xdr:nvSpPr>
            <xdr:cNvPr id="36973" name="Button 109" hidden="1">
              <a:extLst>
                <a:ext uri="{63B3BB69-23CF-44E3-9099-C40C66FF867C}">
                  <a14:compatExt spid="_x0000_s36973"/>
                </a:ext>
                <a:ext uri="{FF2B5EF4-FFF2-40B4-BE49-F238E27FC236}">
                  <a16:creationId xmlns:a16="http://schemas.microsoft.com/office/drawing/2014/main" id="{DD38717E-5636-4BFC-8159-ECDFD9676A0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142</xdr:row>
          <xdr:rowOff>9525</xdr:rowOff>
        </xdr:from>
        <xdr:to>
          <xdr:col>19</xdr:col>
          <xdr:colOff>0</xdr:colOff>
          <xdr:row>145</xdr:row>
          <xdr:rowOff>19050</xdr:rowOff>
        </xdr:to>
        <xdr:sp macro="" textlink="">
          <xdr:nvSpPr>
            <xdr:cNvPr id="36974" name="Button 110" hidden="1">
              <a:extLst>
                <a:ext uri="{63B3BB69-23CF-44E3-9099-C40C66FF867C}">
                  <a14:compatExt spid="_x0000_s36974"/>
                </a:ext>
                <a:ext uri="{FF2B5EF4-FFF2-40B4-BE49-F238E27FC236}">
                  <a16:creationId xmlns:a16="http://schemas.microsoft.com/office/drawing/2014/main" id="{F681521B-27BE-44BA-8629-CFA70EC4EB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147</xdr:row>
          <xdr:rowOff>0</xdr:rowOff>
        </xdr:from>
        <xdr:to>
          <xdr:col>17</xdr:col>
          <xdr:colOff>0</xdr:colOff>
          <xdr:row>150</xdr:row>
          <xdr:rowOff>0</xdr:rowOff>
        </xdr:to>
        <xdr:sp macro="" textlink="">
          <xdr:nvSpPr>
            <xdr:cNvPr id="36975" name="Button 111" hidden="1">
              <a:extLst>
                <a:ext uri="{63B3BB69-23CF-44E3-9099-C40C66FF867C}">
                  <a14:compatExt spid="_x0000_s36975"/>
                </a:ext>
                <a:ext uri="{FF2B5EF4-FFF2-40B4-BE49-F238E27FC236}">
                  <a16:creationId xmlns:a16="http://schemas.microsoft.com/office/drawing/2014/main" id="{4163BF79-1EB0-477D-B216-C897C715E7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147</xdr:row>
          <xdr:rowOff>0</xdr:rowOff>
        </xdr:from>
        <xdr:to>
          <xdr:col>18</xdr:col>
          <xdr:colOff>0</xdr:colOff>
          <xdr:row>150</xdr:row>
          <xdr:rowOff>0</xdr:rowOff>
        </xdr:to>
        <xdr:sp macro="" textlink="">
          <xdr:nvSpPr>
            <xdr:cNvPr id="36976" name="Button 112" hidden="1">
              <a:extLst>
                <a:ext uri="{63B3BB69-23CF-44E3-9099-C40C66FF867C}">
                  <a14:compatExt spid="_x0000_s36976"/>
                </a:ext>
                <a:ext uri="{FF2B5EF4-FFF2-40B4-BE49-F238E27FC236}">
                  <a16:creationId xmlns:a16="http://schemas.microsoft.com/office/drawing/2014/main" id="{C0BED535-3C44-445D-B776-C109F4F2EE7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147</xdr:row>
          <xdr:rowOff>0</xdr:rowOff>
        </xdr:from>
        <xdr:to>
          <xdr:col>19</xdr:col>
          <xdr:colOff>0</xdr:colOff>
          <xdr:row>150</xdr:row>
          <xdr:rowOff>0</xdr:rowOff>
        </xdr:to>
        <xdr:sp macro="" textlink="">
          <xdr:nvSpPr>
            <xdr:cNvPr id="36977" name="Button 113" hidden="1">
              <a:extLst>
                <a:ext uri="{63B3BB69-23CF-44E3-9099-C40C66FF867C}">
                  <a14:compatExt spid="_x0000_s36977"/>
                </a:ext>
                <a:ext uri="{FF2B5EF4-FFF2-40B4-BE49-F238E27FC236}">
                  <a16:creationId xmlns:a16="http://schemas.microsoft.com/office/drawing/2014/main" id="{59E64A48-6012-4CCD-AFED-0B4370FB873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150</xdr:row>
          <xdr:rowOff>0</xdr:rowOff>
        </xdr:from>
        <xdr:to>
          <xdr:col>17</xdr:col>
          <xdr:colOff>0</xdr:colOff>
          <xdr:row>153</xdr:row>
          <xdr:rowOff>0</xdr:rowOff>
        </xdr:to>
        <xdr:sp macro="" textlink="">
          <xdr:nvSpPr>
            <xdr:cNvPr id="36978" name="Button 114" hidden="1">
              <a:extLst>
                <a:ext uri="{63B3BB69-23CF-44E3-9099-C40C66FF867C}">
                  <a14:compatExt spid="_x0000_s36978"/>
                </a:ext>
                <a:ext uri="{FF2B5EF4-FFF2-40B4-BE49-F238E27FC236}">
                  <a16:creationId xmlns:a16="http://schemas.microsoft.com/office/drawing/2014/main" id="{4604460A-C7D4-4CD7-B7D8-D06A810459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150</xdr:row>
          <xdr:rowOff>0</xdr:rowOff>
        </xdr:from>
        <xdr:to>
          <xdr:col>18</xdr:col>
          <xdr:colOff>0</xdr:colOff>
          <xdr:row>153</xdr:row>
          <xdr:rowOff>0</xdr:rowOff>
        </xdr:to>
        <xdr:sp macro="" textlink="">
          <xdr:nvSpPr>
            <xdr:cNvPr id="36979" name="Button 115" hidden="1">
              <a:extLst>
                <a:ext uri="{63B3BB69-23CF-44E3-9099-C40C66FF867C}">
                  <a14:compatExt spid="_x0000_s36979"/>
                </a:ext>
                <a:ext uri="{FF2B5EF4-FFF2-40B4-BE49-F238E27FC236}">
                  <a16:creationId xmlns:a16="http://schemas.microsoft.com/office/drawing/2014/main" id="{7EC0E8FA-37AD-4B53-84DA-8E62779FE5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150</xdr:row>
          <xdr:rowOff>0</xdr:rowOff>
        </xdr:from>
        <xdr:to>
          <xdr:col>19</xdr:col>
          <xdr:colOff>0</xdr:colOff>
          <xdr:row>153</xdr:row>
          <xdr:rowOff>0</xdr:rowOff>
        </xdr:to>
        <xdr:sp macro="" textlink="">
          <xdr:nvSpPr>
            <xdr:cNvPr id="36980" name="Button 116" hidden="1">
              <a:extLst>
                <a:ext uri="{63B3BB69-23CF-44E3-9099-C40C66FF867C}">
                  <a14:compatExt spid="_x0000_s36980"/>
                </a:ext>
                <a:ext uri="{FF2B5EF4-FFF2-40B4-BE49-F238E27FC236}">
                  <a16:creationId xmlns:a16="http://schemas.microsoft.com/office/drawing/2014/main" id="{E592B342-C153-4293-A0E0-D723327C7C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153</xdr:row>
          <xdr:rowOff>0</xdr:rowOff>
        </xdr:from>
        <xdr:to>
          <xdr:col>17</xdr:col>
          <xdr:colOff>0</xdr:colOff>
          <xdr:row>156</xdr:row>
          <xdr:rowOff>0</xdr:rowOff>
        </xdr:to>
        <xdr:sp macro="" textlink="">
          <xdr:nvSpPr>
            <xdr:cNvPr id="36981" name="Button 117" hidden="1">
              <a:extLst>
                <a:ext uri="{63B3BB69-23CF-44E3-9099-C40C66FF867C}">
                  <a14:compatExt spid="_x0000_s36981"/>
                </a:ext>
                <a:ext uri="{FF2B5EF4-FFF2-40B4-BE49-F238E27FC236}">
                  <a16:creationId xmlns:a16="http://schemas.microsoft.com/office/drawing/2014/main" id="{7E77CE6F-0370-47EB-B81B-966C2EF5FE2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153</xdr:row>
          <xdr:rowOff>0</xdr:rowOff>
        </xdr:from>
        <xdr:to>
          <xdr:col>18</xdr:col>
          <xdr:colOff>0</xdr:colOff>
          <xdr:row>156</xdr:row>
          <xdr:rowOff>0</xdr:rowOff>
        </xdr:to>
        <xdr:sp macro="" textlink="">
          <xdr:nvSpPr>
            <xdr:cNvPr id="36982" name="Button 118" hidden="1">
              <a:extLst>
                <a:ext uri="{63B3BB69-23CF-44E3-9099-C40C66FF867C}">
                  <a14:compatExt spid="_x0000_s36982"/>
                </a:ext>
                <a:ext uri="{FF2B5EF4-FFF2-40B4-BE49-F238E27FC236}">
                  <a16:creationId xmlns:a16="http://schemas.microsoft.com/office/drawing/2014/main" id="{834A4B7A-72AF-4BAD-AFD9-A50EFB46A6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153</xdr:row>
          <xdr:rowOff>0</xdr:rowOff>
        </xdr:from>
        <xdr:to>
          <xdr:col>19</xdr:col>
          <xdr:colOff>0</xdr:colOff>
          <xdr:row>156</xdr:row>
          <xdr:rowOff>0</xdr:rowOff>
        </xdr:to>
        <xdr:sp macro="" textlink="">
          <xdr:nvSpPr>
            <xdr:cNvPr id="36983" name="Button 119" hidden="1">
              <a:extLst>
                <a:ext uri="{63B3BB69-23CF-44E3-9099-C40C66FF867C}">
                  <a14:compatExt spid="_x0000_s36983"/>
                </a:ext>
                <a:ext uri="{FF2B5EF4-FFF2-40B4-BE49-F238E27FC236}">
                  <a16:creationId xmlns:a16="http://schemas.microsoft.com/office/drawing/2014/main" id="{5DD147ED-E6F2-47CA-9C11-4634F1EE68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156</xdr:row>
          <xdr:rowOff>0</xdr:rowOff>
        </xdr:from>
        <xdr:to>
          <xdr:col>17</xdr:col>
          <xdr:colOff>0</xdr:colOff>
          <xdr:row>159</xdr:row>
          <xdr:rowOff>0</xdr:rowOff>
        </xdr:to>
        <xdr:sp macro="" textlink="">
          <xdr:nvSpPr>
            <xdr:cNvPr id="36984" name="Button 120" hidden="1">
              <a:extLst>
                <a:ext uri="{63B3BB69-23CF-44E3-9099-C40C66FF867C}">
                  <a14:compatExt spid="_x0000_s36984"/>
                </a:ext>
                <a:ext uri="{FF2B5EF4-FFF2-40B4-BE49-F238E27FC236}">
                  <a16:creationId xmlns:a16="http://schemas.microsoft.com/office/drawing/2014/main" id="{978F3FAB-9465-42D4-93BC-30CD55A9F33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156</xdr:row>
          <xdr:rowOff>0</xdr:rowOff>
        </xdr:from>
        <xdr:to>
          <xdr:col>18</xdr:col>
          <xdr:colOff>0</xdr:colOff>
          <xdr:row>159</xdr:row>
          <xdr:rowOff>0</xdr:rowOff>
        </xdr:to>
        <xdr:sp macro="" textlink="">
          <xdr:nvSpPr>
            <xdr:cNvPr id="36985" name="Button 121" hidden="1">
              <a:extLst>
                <a:ext uri="{63B3BB69-23CF-44E3-9099-C40C66FF867C}">
                  <a14:compatExt spid="_x0000_s36985"/>
                </a:ext>
                <a:ext uri="{FF2B5EF4-FFF2-40B4-BE49-F238E27FC236}">
                  <a16:creationId xmlns:a16="http://schemas.microsoft.com/office/drawing/2014/main" id="{8507E41C-0B0F-41AE-90F2-917FAD08107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156</xdr:row>
          <xdr:rowOff>0</xdr:rowOff>
        </xdr:from>
        <xdr:to>
          <xdr:col>19</xdr:col>
          <xdr:colOff>0</xdr:colOff>
          <xdr:row>159</xdr:row>
          <xdr:rowOff>0</xdr:rowOff>
        </xdr:to>
        <xdr:sp macro="" textlink="">
          <xdr:nvSpPr>
            <xdr:cNvPr id="36986" name="Button 122" hidden="1">
              <a:extLst>
                <a:ext uri="{63B3BB69-23CF-44E3-9099-C40C66FF867C}">
                  <a14:compatExt spid="_x0000_s36986"/>
                </a:ext>
                <a:ext uri="{FF2B5EF4-FFF2-40B4-BE49-F238E27FC236}">
                  <a16:creationId xmlns:a16="http://schemas.microsoft.com/office/drawing/2014/main" id="{4200ABAA-0E2F-43ED-88F7-53CB7EA162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163</xdr:row>
          <xdr:rowOff>9525</xdr:rowOff>
        </xdr:from>
        <xdr:to>
          <xdr:col>19</xdr:col>
          <xdr:colOff>0</xdr:colOff>
          <xdr:row>166</xdr:row>
          <xdr:rowOff>9525</xdr:rowOff>
        </xdr:to>
        <xdr:sp macro="" textlink="">
          <xdr:nvSpPr>
            <xdr:cNvPr id="36987" name="Button 123" hidden="1">
              <a:extLst>
                <a:ext uri="{63B3BB69-23CF-44E3-9099-C40C66FF867C}">
                  <a14:compatExt spid="_x0000_s36987"/>
                </a:ext>
                <a:ext uri="{FF2B5EF4-FFF2-40B4-BE49-F238E27FC236}">
                  <a16:creationId xmlns:a16="http://schemas.microsoft.com/office/drawing/2014/main" id="{C327D5C2-F99C-4B8C-8D87-E8AB1171C94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166</xdr:row>
          <xdr:rowOff>9525</xdr:rowOff>
        </xdr:from>
        <xdr:to>
          <xdr:col>19</xdr:col>
          <xdr:colOff>0</xdr:colOff>
          <xdr:row>169</xdr:row>
          <xdr:rowOff>9525</xdr:rowOff>
        </xdr:to>
        <xdr:sp macro="" textlink="">
          <xdr:nvSpPr>
            <xdr:cNvPr id="36988" name="Button 124" hidden="1">
              <a:extLst>
                <a:ext uri="{63B3BB69-23CF-44E3-9099-C40C66FF867C}">
                  <a14:compatExt spid="_x0000_s36988"/>
                </a:ext>
                <a:ext uri="{FF2B5EF4-FFF2-40B4-BE49-F238E27FC236}">
                  <a16:creationId xmlns:a16="http://schemas.microsoft.com/office/drawing/2014/main" id="{5036BDF6-3661-49F5-B6CA-0FE4EC7F33E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169</xdr:row>
          <xdr:rowOff>9525</xdr:rowOff>
        </xdr:from>
        <xdr:to>
          <xdr:col>19</xdr:col>
          <xdr:colOff>0</xdr:colOff>
          <xdr:row>172</xdr:row>
          <xdr:rowOff>19050</xdr:rowOff>
        </xdr:to>
        <xdr:sp macro="" textlink="">
          <xdr:nvSpPr>
            <xdr:cNvPr id="36989" name="Button 125" hidden="1">
              <a:extLst>
                <a:ext uri="{63B3BB69-23CF-44E3-9099-C40C66FF867C}">
                  <a14:compatExt spid="_x0000_s36989"/>
                </a:ext>
                <a:ext uri="{FF2B5EF4-FFF2-40B4-BE49-F238E27FC236}">
                  <a16:creationId xmlns:a16="http://schemas.microsoft.com/office/drawing/2014/main" id="{A7B30E5A-827C-4626-991C-5D3B5FBFA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174</xdr:row>
          <xdr:rowOff>0</xdr:rowOff>
        </xdr:from>
        <xdr:to>
          <xdr:col>17</xdr:col>
          <xdr:colOff>0</xdr:colOff>
          <xdr:row>177</xdr:row>
          <xdr:rowOff>0</xdr:rowOff>
        </xdr:to>
        <xdr:sp macro="" textlink="">
          <xdr:nvSpPr>
            <xdr:cNvPr id="36990" name="Button 126" hidden="1">
              <a:extLst>
                <a:ext uri="{63B3BB69-23CF-44E3-9099-C40C66FF867C}">
                  <a14:compatExt spid="_x0000_s36990"/>
                </a:ext>
                <a:ext uri="{FF2B5EF4-FFF2-40B4-BE49-F238E27FC236}">
                  <a16:creationId xmlns:a16="http://schemas.microsoft.com/office/drawing/2014/main" id="{2C800841-D47E-4502-BD9E-7E766A884FE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투자전략 테이블 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174</xdr:row>
          <xdr:rowOff>0</xdr:rowOff>
        </xdr:from>
        <xdr:to>
          <xdr:col>18</xdr:col>
          <xdr:colOff>0</xdr:colOff>
          <xdr:row>177</xdr:row>
          <xdr:rowOff>0</xdr:rowOff>
        </xdr:to>
        <xdr:sp macro="" textlink="">
          <xdr:nvSpPr>
            <xdr:cNvPr id="36991" name="Button 127" hidden="1">
              <a:extLst>
                <a:ext uri="{63B3BB69-23CF-44E3-9099-C40C66FF867C}">
                  <a14:compatExt spid="_x0000_s36991"/>
                </a:ext>
                <a:ext uri="{FF2B5EF4-FFF2-40B4-BE49-F238E27FC236}">
                  <a16:creationId xmlns:a16="http://schemas.microsoft.com/office/drawing/2014/main" id="{083BB691-ABEE-42B8-BE02-E0F0BDA83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174</xdr:row>
          <xdr:rowOff>0</xdr:rowOff>
        </xdr:from>
        <xdr:to>
          <xdr:col>19</xdr:col>
          <xdr:colOff>0</xdr:colOff>
          <xdr:row>177</xdr:row>
          <xdr:rowOff>0</xdr:rowOff>
        </xdr:to>
        <xdr:sp macro="" textlink="">
          <xdr:nvSpPr>
            <xdr:cNvPr id="36992" name="Button 128" hidden="1">
              <a:extLst>
                <a:ext uri="{63B3BB69-23CF-44E3-9099-C40C66FF867C}">
                  <a14:compatExt spid="_x0000_s36992"/>
                </a:ext>
                <a:ext uri="{FF2B5EF4-FFF2-40B4-BE49-F238E27FC236}">
                  <a16:creationId xmlns:a16="http://schemas.microsoft.com/office/drawing/2014/main" id="{F2F0A02B-1673-4B21-A422-FAC12E5B7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종목선정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177</xdr:row>
          <xdr:rowOff>0</xdr:rowOff>
        </xdr:from>
        <xdr:to>
          <xdr:col>17</xdr:col>
          <xdr:colOff>0</xdr:colOff>
          <xdr:row>180</xdr:row>
          <xdr:rowOff>0</xdr:rowOff>
        </xdr:to>
        <xdr:sp macro="" textlink="">
          <xdr:nvSpPr>
            <xdr:cNvPr id="36993" name="Button 129" hidden="1">
              <a:extLst>
                <a:ext uri="{63B3BB69-23CF-44E3-9099-C40C66FF867C}">
                  <a14:compatExt spid="_x0000_s36993"/>
                </a:ext>
                <a:ext uri="{FF2B5EF4-FFF2-40B4-BE49-F238E27FC236}">
                  <a16:creationId xmlns:a16="http://schemas.microsoft.com/office/drawing/2014/main" id="{93497453-448A-4476-AC2E-58DB451378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177</xdr:row>
          <xdr:rowOff>0</xdr:rowOff>
        </xdr:from>
        <xdr:to>
          <xdr:col>18</xdr:col>
          <xdr:colOff>0</xdr:colOff>
          <xdr:row>180</xdr:row>
          <xdr:rowOff>0</xdr:rowOff>
        </xdr:to>
        <xdr:sp macro="" textlink="">
          <xdr:nvSpPr>
            <xdr:cNvPr id="36994" name="Button 130" hidden="1">
              <a:extLst>
                <a:ext uri="{63B3BB69-23CF-44E3-9099-C40C66FF867C}">
                  <a14:compatExt spid="_x0000_s36994"/>
                </a:ext>
                <a:ext uri="{FF2B5EF4-FFF2-40B4-BE49-F238E27FC236}">
                  <a16:creationId xmlns:a16="http://schemas.microsoft.com/office/drawing/2014/main" id="{A11FA8E6-0CFA-42D2-A016-6C69AAC5C5B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177</xdr:row>
          <xdr:rowOff>0</xdr:rowOff>
        </xdr:from>
        <xdr:to>
          <xdr:col>19</xdr:col>
          <xdr:colOff>0</xdr:colOff>
          <xdr:row>180</xdr:row>
          <xdr:rowOff>0</xdr:rowOff>
        </xdr:to>
        <xdr:sp macro="" textlink="">
          <xdr:nvSpPr>
            <xdr:cNvPr id="36995" name="Button 131" hidden="1">
              <a:extLst>
                <a:ext uri="{63B3BB69-23CF-44E3-9099-C40C66FF867C}">
                  <a14:compatExt spid="_x0000_s36995"/>
                </a:ext>
                <a:ext uri="{FF2B5EF4-FFF2-40B4-BE49-F238E27FC236}">
                  <a16:creationId xmlns:a16="http://schemas.microsoft.com/office/drawing/2014/main" id="{CF1E7D27-FF57-4360-9A59-5D7B351C0F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180</xdr:row>
          <xdr:rowOff>0</xdr:rowOff>
        </xdr:from>
        <xdr:to>
          <xdr:col>17</xdr:col>
          <xdr:colOff>0</xdr:colOff>
          <xdr:row>183</xdr:row>
          <xdr:rowOff>0</xdr:rowOff>
        </xdr:to>
        <xdr:sp macro="" textlink="">
          <xdr:nvSpPr>
            <xdr:cNvPr id="36996" name="Button 132" hidden="1">
              <a:extLst>
                <a:ext uri="{63B3BB69-23CF-44E3-9099-C40C66FF867C}">
                  <a14:compatExt spid="_x0000_s36996"/>
                </a:ext>
                <a:ext uri="{FF2B5EF4-FFF2-40B4-BE49-F238E27FC236}">
                  <a16:creationId xmlns:a16="http://schemas.microsoft.com/office/drawing/2014/main" id="{AB79FDAF-0390-4D1D-8850-77E92F29CB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180</xdr:row>
          <xdr:rowOff>0</xdr:rowOff>
        </xdr:from>
        <xdr:to>
          <xdr:col>18</xdr:col>
          <xdr:colOff>0</xdr:colOff>
          <xdr:row>183</xdr:row>
          <xdr:rowOff>0</xdr:rowOff>
        </xdr:to>
        <xdr:sp macro="" textlink="">
          <xdr:nvSpPr>
            <xdr:cNvPr id="36997" name="Button 133" hidden="1">
              <a:extLst>
                <a:ext uri="{63B3BB69-23CF-44E3-9099-C40C66FF867C}">
                  <a14:compatExt spid="_x0000_s36997"/>
                </a:ext>
                <a:ext uri="{FF2B5EF4-FFF2-40B4-BE49-F238E27FC236}">
                  <a16:creationId xmlns:a16="http://schemas.microsoft.com/office/drawing/2014/main" id="{5375C878-CF07-4327-A752-51F5A28C89F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2차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180</xdr:row>
          <xdr:rowOff>0</xdr:rowOff>
        </xdr:from>
        <xdr:to>
          <xdr:col>19</xdr:col>
          <xdr:colOff>0</xdr:colOff>
          <xdr:row>183</xdr:row>
          <xdr:rowOff>0</xdr:rowOff>
        </xdr:to>
        <xdr:sp macro="" textlink="">
          <xdr:nvSpPr>
            <xdr:cNvPr id="36998" name="Button 134" hidden="1">
              <a:extLst>
                <a:ext uri="{63B3BB69-23CF-44E3-9099-C40C66FF867C}">
                  <a14:compatExt spid="_x0000_s36998"/>
                </a:ext>
                <a:ext uri="{FF2B5EF4-FFF2-40B4-BE49-F238E27FC236}">
                  <a16:creationId xmlns:a16="http://schemas.microsoft.com/office/drawing/2014/main" id="{88011391-B5A2-427A-8E22-2E21B22F31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183</xdr:row>
          <xdr:rowOff>0</xdr:rowOff>
        </xdr:from>
        <xdr:to>
          <xdr:col>17</xdr:col>
          <xdr:colOff>0</xdr:colOff>
          <xdr:row>186</xdr:row>
          <xdr:rowOff>0</xdr:rowOff>
        </xdr:to>
        <xdr:sp macro="" textlink="">
          <xdr:nvSpPr>
            <xdr:cNvPr id="36999" name="Button 135" hidden="1">
              <a:extLst>
                <a:ext uri="{63B3BB69-23CF-44E3-9099-C40C66FF867C}">
                  <a14:compatExt spid="_x0000_s36999"/>
                </a:ext>
                <a:ext uri="{FF2B5EF4-FFF2-40B4-BE49-F238E27FC236}">
                  <a16:creationId xmlns:a16="http://schemas.microsoft.com/office/drawing/2014/main" id="{3F3CF019-3232-4DDD-BDEE-AF475A93A6A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붙여넣기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183</xdr:row>
          <xdr:rowOff>0</xdr:rowOff>
        </xdr:from>
        <xdr:to>
          <xdr:col>18</xdr:col>
          <xdr:colOff>0</xdr:colOff>
          <xdr:row>186</xdr:row>
          <xdr:rowOff>0</xdr:rowOff>
        </xdr:to>
        <xdr:sp macro="" textlink="">
          <xdr:nvSpPr>
            <xdr:cNvPr id="37000" name="Button 136" hidden="1">
              <a:extLst>
                <a:ext uri="{63B3BB69-23CF-44E3-9099-C40C66FF867C}">
                  <a14:compatExt spid="_x0000_s37000"/>
                </a:ext>
                <a:ext uri="{FF2B5EF4-FFF2-40B4-BE49-F238E27FC236}">
                  <a16:creationId xmlns:a16="http://schemas.microsoft.com/office/drawing/2014/main" id="{7EF33A31-8CF0-47D9-8DF9-A34C499DCCA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4차 현재가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183</xdr:row>
          <xdr:rowOff>0</xdr:rowOff>
        </xdr:from>
        <xdr:to>
          <xdr:col>19</xdr:col>
          <xdr:colOff>0</xdr:colOff>
          <xdr:row>186</xdr:row>
          <xdr:rowOff>0</xdr:rowOff>
        </xdr:to>
        <xdr:sp macro="" textlink="">
          <xdr:nvSpPr>
            <xdr:cNvPr id="37001" name="Button 137" hidden="1">
              <a:extLst>
                <a:ext uri="{63B3BB69-23CF-44E3-9099-C40C66FF867C}">
                  <a14:compatExt spid="_x0000_s37001"/>
                </a:ext>
                <a:ext uri="{FF2B5EF4-FFF2-40B4-BE49-F238E27FC236}">
                  <a16:creationId xmlns:a16="http://schemas.microsoft.com/office/drawing/2014/main" id="{87C59335-E48D-4CDC-BCC1-473943A2B6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월말결산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테이블이동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190</xdr:row>
          <xdr:rowOff>9525</xdr:rowOff>
        </xdr:from>
        <xdr:to>
          <xdr:col>19</xdr:col>
          <xdr:colOff>0</xdr:colOff>
          <xdr:row>193</xdr:row>
          <xdr:rowOff>9525</xdr:rowOff>
        </xdr:to>
        <xdr:sp macro="" textlink="">
          <xdr:nvSpPr>
            <xdr:cNvPr id="37002" name="Button 138" hidden="1">
              <a:extLst>
                <a:ext uri="{63B3BB69-23CF-44E3-9099-C40C66FF867C}">
                  <a14:compatExt spid="_x0000_s37002"/>
                </a:ext>
                <a:ext uri="{FF2B5EF4-FFF2-40B4-BE49-F238E27FC236}">
                  <a16:creationId xmlns:a16="http://schemas.microsoft.com/office/drawing/2014/main" id="{AB5F061A-D0D9-4A73-BAD2-E25A0E99D0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Top20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193</xdr:row>
          <xdr:rowOff>9525</xdr:rowOff>
        </xdr:from>
        <xdr:to>
          <xdr:col>19</xdr:col>
          <xdr:colOff>0</xdr:colOff>
          <xdr:row>196</xdr:row>
          <xdr:rowOff>9525</xdr:rowOff>
        </xdr:to>
        <xdr:sp macro="" textlink="">
          <xdr:nvSpPr>
            <xdr:cNvPr id="37003" name="Button 139" hidden="1">
              <a:extLst>
                <a:ext uri="{63B3BB69-23CF-44E3-9099-C40C66FF867C}">
                  <a14:compatExt spid="_x0000_s37003"/>
                </a:ext>
                <a:ext uri="{FF2B5EF4-FFF2-40B4-BE49-F238E27FC236}">
                  <a16:creationId xmlns:a16="http://schemas.microsoft.com/office/drawing/2014/main" id="{2C7826A1-C4CD-4973-AB1B-FF23DE642A5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전일대비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Bottom20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196</xdr:row>
          <xdr:rowOff>9525</xdr:rowOff>
        </xdr:from>
        <xdr:to>
          <xdr:col>19</xdr:col>
          <xdr:colOff>0</xdr:colOff>
          <xdr:row>199</xdr:row>
          <xdr:rowOff>19050</xdr:rowOff>
        </xdr:to>
        <xdr:sp macro="" textlink="">
          <xdr:nvSpPr>
            <xdr:cNvPr id="37004" name="Button 140" hidden="1">
              <a:extLst>
                <a:ext uri="{63B3BB69-23CF-44E3-9099-C40C66FF867C}">
                  <a14:compatExt spid="_x0000_s37004"/>
                </a:ext>
                <a:ext uri="{FF2B5EF4-FFF2-40B4-BE49-F238E27FC236}">
                  <a16:creationId xmlns:a16="http://schemas.microsoft.com/office/drawing/2014/main" id="{E763A71E-48B7-46F9-95BC-1971366E5D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처음으로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4.xml"/><Relationship Id="rId21" Type="http://schemas.openxmlformats.org/officeDocument/2006/relationships/ctrlProp" Target="../ctrlProps/ctrlProp18.xml"/><Relationship Id="rId42" Type="http://schemas.openxmlformats.org/officeDocument/2006/relationships/ctrlProp" Target="../ctrlProps/ctrlProp39.xml"/><Relationship Id="rId63" Type="http://schemas.openxmlformats.org/officeDocument/2006/relationships/ctrlProp" Target="../ctrlProps/ctrlProp60.xml"/><Relationship Id="rId84" Type="http://schemas.openxmlformats.org/officeDocument/2006/relationships/ctrlProp" Target="../ctrlProps/ctrlProp81.xml"/><Relationship Id="rId138" Type="http://schemas.openxmlformats.org/officeDocument/2006/relationships/ctrlProp" Target="../ctrlProps/ctrlProp135.xml"/><Relationship Id="rId107" Type="http://schemas.openxmlformats.org/officeDocument/2006/relationships/ctrlProp" Target="../ctrlProps/ctrlProp104.xml"/><Relationship Id="rId11" Type="http://schemas.openxmlformats.org/officeDocument/2006/relationships/ctrlProp" Target="../ctrlProps/ctrlProp8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3" Type="http://schemas.openxmlformats.org/officeDocument/2006/relationships/ctrlProp" Target="../ctrlProps/ctrlProp50.xml"/><Relationship Id="rId58" Type="http://schemas.openxmlformats.org/officeDocument/2006/relationships/ctrlProp" Target="../ctrlProps/ctrlProp55.xml"/><Relationship Id="rId74" Type="http://schemas.openxmlformats.org/officeDocument/2006/relationships/ctrlProp" Target="../ctrlProps/ctrlProp71.xml"/><Relationship Id="rId79" Type="http://schemas.openxmlformats.org/officeDocument/2006/relationships/ctrlProp" Target="../ctrlProps/ctrlProp76.xml"/><Relationship Id="rId102" Type="http://schemas.openxmlformats.org/officeDocument/2006/relationships/ctrlProp" Target="../ctrlProps/ctrlProp99.xml"/><Relationship Id="rId123" Type="http://schemas.openxmlformats.org/officeDocument/2006/relationships/ctrlProp" Target="../ctrlProps/ctrlProp120.xml"/><Relationship Id="rId128" Type="http://schemas.openxmlformats.org/officeDocument/2006/relationships/ctrlProp" Target="../ctrlProps/ctrlProp125.xml"/><Relationship Id="rId5" Type="http://schemas.openxmlformats.org/officeDocument/2006/relationships/ctrlProp" Target="../ctrlProps/ctrlProp2.xml"/><Relationship Id="rId90" Type="http://schemas.openxmlformats.org/officeDocument/2006/relationships/ctrlProp" Target="../ctrlProps/ctrlProp87.xml"/><Relationship Id="rId95" Type="http://schemas.openxmlformats.org/officeDocument/2006/relationships/ctrlProp" Target="../ctrlProps/ctrlProp92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43" Type="http://schemas.openxmlformats.org/officeDocument/2006/relationships/ctrlProp" Target="../ctrlProps/ctrlProp40.xml"/><Relationship Id="rId48" Type="http://schemas.openxmlformats.org/officeDocument/2006/relationships/ctrlProp" Target="../ctrlProps/ctrlProp45.xml"/><Relationship Id="rId64" Type="http://schemas.openxmlformats.org/officeDocument/2006/relationships/ctrlProp" Target="../ctrlProps/ctrlProp61.xml"/><Relationship Id="rId69" Type="http://schemas.openxmlformats.org/officeDocument/2006/relationships/ctrlProp" Target="../ctrlProps/ctrlProp66.xml"/><Relationship Id="rId113" Type="http://schemas.openxmlformats.org/officeDocument/2006/relationships/ctrlProp" Target="../ctrlProps/ctrlProp110.xml"/><Relationship Id="rId118" Type="http://schemas.openxmlformats.org/officeDocument/2006/relationships/ctrlProp" Target="../ctrlProps/ctrlProp115.xml"/><Relationship Id="rId134" Type="http://schemas.openxmlformats.org/officeDocument/2006/relationships/ctrlProp" Target="../ctrlProps/ctrlProp131.xml"/><Relationship Id="rId139" Type="http://schemas.openxmlformats.org/officeDocument/2006/relationships/ctrlProp" Target="../ctrlProps/ctrlProp136.xml"/><Relationship Id="rId80" Type="http://schemas.openxmlformats.org/officeDocument/2006/relationships/ctrlProp" Target="../ctrlProps/ctrlProp77.xml"/><Relationship Id="rId85" Type="http://schemas.openxmlformats.org/officeDocument/2006/relationships/ctrlProp" Target="../ctrlProps/ctrlProp82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33" Type="http://schemas.openxmlformats.org/officeDocument/2006/relationships/ctrlProp" Target="../ctrlProps/ctrlProp30.xml"/><Relationship Id="rId38" Type="http://schemas.openxmlformats.org/officeDocument/2006/relationships/ctrlProp" Target="../ctrlProps/ctrlProp35.xml"/><Relationship Id="rId59" Type="http://schemas.openxmlformats.org/officeDocument/2006/relationships/ctrlProp" Target="../ctrlProps/ctrlProp56.xml"/><Relationship Id="rId103" Type="http://schemas.openxmlformats.org/officeDocument/2006/relationships/ctrlProp" Target="../ctrlProps/ctrlProp100.xml"/><Relationship Id="rId108" Type="http://schemas.openxmlformats.org/officeDocument/2006/relationships/ctrlProp" Target="../ctrlProps/ctrlProp105.xml"/><Relationship Id="rId124" Type="http://schemas.openxmlformats.org/officeDocument/2006/relationships/ctrlProp" Target="../ctrlProps/ctrlProp121.xml"/><Relationship Id="rId129" Type="http://schemas.openxmlformats.org/officeDocument/2006/relationships/ctrlProp" Target="../ctrlProps/ctrlProp126.xml"/><Relationship Id="rId54" Type="http://schemas.openxmlformats.org/officeDocument/2006/relationships/ctrlProp" Target="../ctrlProps/ctrlProp51.xml"/><Relationship Id="rId70" Type="http://schemas.openxmlformats.org/officeDocument/2006/relationships/ctrlProp" Target="../ctrlProps/ctrlProp67.xml"/><Relationship Id="rId75" Type="http://schemas.openxmlformats.org/officeDocument/2006/relationships/ctrlProp" Target="../ctrlProps/ctrlProp72.xml"/><Relationship Id="rId91" Type="http://schemas.openxmlformats.org/officeDocument/2006/relationships/ctrlProp" Target="../ctrlProps/ctrlProp88.xml"/><Relationship Id="rId96" Type="http://schemas.openxmlformats.org/officeDocument/2006/relationships/ctrlProp" Target="../ctrlProps/ctrlProp93.xml"/><Relationship Id="rId140" Type="http://schemas.openxmlformats.org/officeDocument/2006/relationships/ctrlProp" Target="../ctrlProps/ctrlProp13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49" Type="http://schemas.openxmlformats.org/officeDocument/2006/relationships/ctrlProp" Target="../ctrlProps/ctrlProp46.xml"/><Relationship Id="rId114" Type="http://schemas.openxmlformats.org/officeDocument/2006/relationships/ctrlProp" Target="../ctrlProps/ctrlProp111.xml"/><Relationship Id="rId119" Type="http://schemas.openxmlformats.org/officeDocument/2006/relationships/ctrlProp" Target="../ctrlProps/ctrlProp116.xml"/><Relationship Id="rId44" Type="http://schemas.openxmlformats.org/officeDocument/2006/relationships/ctrlProp" Target="../ctrlProps/ctrlProp41.xml"/><Relationship Id="rId60" Type="http://schemas.openxmlformats.org/officeDocument/2006/relationships/ctrlProp" Target="../ctrlProps/ctrlProp57.xml"/><Relationship Id="rId65" Type="http://schemas.openxmlformats.org/officeDocument/2006/relationships/ctrlProp" Target="../ctrlProps/ctrlProp62.xml"/><Relationship Id="rId81" Type="http://schemas.openxmlformats.org/officeDocument/2006/relationships/ctrlProp" Target="../ctrlProps/ctrlProp78.xml"/><Relationship Id="rId86" Type="http://schemas.openxmlformats.org/officeDocument/2006/relationships/ctrlProp" Target="../ctrlProps/ctrlProp83.xml"/><Relationship Id="rId130" Type="http://schemas.openxmlformats.org/officeDocument/2006/relationships/ctrlProp" Target="../ctrlProps/ctrlProp127.xml"/><Relationship Id="rId135" Type="http://schemas.openxmlformats.org/officeDocument/2006/relationships/ctrlProp" Target="../ctrlProps/ctrlProp132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9" Type="http://schemas.openxmlformats.org/officeDocument/2006/relationships/ctrlProp" Target="../ctrlProps/ctrlProp36.xml"/><Relationship Id="rId109" Type="http://schemas.openxmlformats.org/officeDocument/2006/relationships/ctrlProp" Target="../ctrlProps/ctrlProp106.xml"/><Relationship Id="rId34" Type="http://schemas.openxmlformats.org/officeDocument/2006/relationships/ctrlProp" Target="../ctrlProps/ctrlProp31.xml"/><Relationship Id="rId50" Type="http://schemas.openxmlformats.org/officeDocument/2006/relationships/ctrlProp" Target="../ctrlProps/ctrlProp47.xml"/><Relationship Id="rId55" Type="http://schemas.openxmlformats.org/officeDocument/2006/relationships/ctrlProp" Target="../ctrlProps/ctrlProp52.xml"/><Relationship Id="rId76" Type="http://schemas.openxmlformats.org/officeDocument/2006/relationships/ctrlProp" Target="../ctrlProps/ctrlProp73.xml"/><Relationship Id="rId97" Type="http://schemas.openxmlformats.org/officeDocument/2006/relationships/ctrlProp" Target="../ctrlProps/ctrlProp94.xml"/><Relationship Id="rId104" Type="http://schemas.openxmlformats.org/officeDocument/2006/relationships/ctrlProp" Target="../ctrlProps/ctrlProp101.xml"/><Relationship Id="rId120" Type="http://schemas.openxmlformats.org/officeDocument/2006/relationships/ctrlProp" Target="../ctrlProps/ctrlProp117.xml"/><Relationship Id="rId125" Type="http://schemas.openxmlformats.org/officeDocument/2006/relationships/ctrlProp" Target="../ctrlProps/ctrlProp122.xml"/><Relationship Id="rId141" Type="http://schemas.openxmlformats.org/officeDocument/2006/relationships/ctrlProp" Target="../ctrlProps/ctrlProp138.xml"/><Relationship Id="rId7" Type="http://schemas.openxmlformats.org/officeDocument/2006/relationships/ctrlProp" Target="../ctrlProps/ctrlProp4.xml"/><Relationship Id="rId71" Type="http://schemas.openxmlformats.org/officeDocument/2006/relationships/ctrlProp" Target="../ctrlProps/ctrlProp68.xml"/><Relationship Id="rId92" Type="http://schemas.openxmlformats.org/officeDocument/2006/relationships/ctrlProp" Target="../ctrlProps/ctrlProp89.xml"/><Relationship Id="rId2" Type="http://schemas.openxmlformats.org/officeDocument/2006/relationships/drawing" Target="../drawings/drawing1.xml"/><Relationship Id="rId29" Type="http://schemas.openxmlformats.org/officeDocument/2006/relationships/ctrlProp" Target="../ctrlProps/ctrlProp26.xml"/><Relationship Id="rId24" Type="http://schemas.openxmlformats.org/officeDocument/2006/relationships/ctrlProp" Target="../ctrlProps/ctrlProp21.xml"/><Relationship Id="rId40" Type="http://schemas.openxmlformats.org/officeDocument/2006/relationships/ctrlProp" Target="../ctrlProps/ctrlProp37.xml"/><Relationship Id="rId45" Type="http://schemas.openxmlformats.org/officeDocument/2006/relationships/ctrlProp" Target="../ctrlProps/ctrlProp42.xml"/><Relationship Id="rId66" Type="http://schemas.openxmlformats.org/officeDocument/2006/relationships/ctrlProp" Target="../ctrlProps/ctrlProp63.xml"/><Relationship Id="rId87" Type="http://schemas.openxmlformats.org/officeDocument/2006/relationships/ctrlProp" Target="../ctrlProps/ctrlProp84.xml"/><Relationship Id="rId110" Type="http://schemas.openxmlformats.org/officeDocument/2006/relationships/ctrlProp" Target="../ctrlProps/ctrlProp107.xml"/><Relationship Id="rId115" Type="http://schemas.openxmlformats.org/officeDocument/2006/relationships/ctrlProp" Target="../ctrlProps/ctrlProp112.xml"/><Relationship Id="rId131" Type="http://schemas.openxmlformats.org/officeDocument/2006/relationships/ctrlProp" Target="../ctrlProps/ctrlProp128.xml"/><Relationship Id="rId136" Type="http://schemas.openxmlformats.org/officeDocument/2006/relationships/ctrlProp" Target="../ctrlProps/ctrlProp133.xml"/><Relationship Id="rId61" Type="http://schemas.openxmlformats.org/officeDocument/2006/relationships/ctrlProp" Target="../ctrlProps/ctrlProp58.xml"/><Relationship Id="rId82" Type="http://schemas.openxmlformats.org/officeDocument/2006/relationships/ctrlProp" Target="../ctrlProps/ctrlProp79.xml"/><Relationship Id="rId19" Type="http://schemas.openxmlformats.org/officeDocument/2006/relationships/ctrlProp" Target="../ctrlProps/ctrlProp16.xml"/><Relationship Id="rId14" Type="http://schemas.openxmlformats.org/officeDocument/2006/relationships/ctrlProp" Target="../ctrlProps/ctrlProp11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Relationship Id="rId56" Type="http://schemas.openxmlformats.org/officeDocument/2006/relationships/ctrlProp" Target="../ctrlProps/ctrlProp53.xml"/><Relationship Id="rId77" Type="http://schemas.openxmlformats.org/officeDocument/2006/relationships/ctrlProp" Target="../ctrlProps/ctrlProp74.xml"/><Relationship Id="rId100" Type="http://schemas.openxmlformats.org/officeDocument/2006/relationships/ctrlProp" Target="../ctrlProps/ctrlProp97.xml"/><Relationship Id="rId105" Type="http://schemas.openxmlformats.org/officeDocument/2006/relationships/ctrlProp" Target="../ctrlProps/ctrlProp102.xml"/><Relationship Id="rId126" Type="http://schemas.openxmlformats.org/officeDocument/2006/relationships/ctrlProp" Target="../ctrlProps/ctrlProp123.xml"/><Relationship Id="rId8" Type="http://schemas.openxmlformats.org/officeDocument/2006/relationships/ctrlProp" Target="../ctrlProps/ctrlProp5.xml"/><Relationship Id="rId51" Type="http://schemas.openxmlformats.org/officeDocument/2006/relationships/ctrlProp" Target="../ctrlProps/ctrlProp48.xml"/><Relationship Id="rId72" Type="http://schemas.openxmlformats.org/officeDocument/2006/relationships/ctrlProp" Target="../ctrlProps/ctrlProp69.xml"/><Relationship Id="rId93" Type="http://schemas.openxmlformats.org/officeDocument/2006/relationships/ctrlProp" Target="../ctrlProps/ctrlProp90.xml"/><Relationship Id="rId98" Type="http://schemas.openxmlformats.org/officeDocument/2006/relationships/ctrlProp" Target="../ctrlProps/ctrlProp95.xml"/><Relationship Id="rId121" Type="http://schemas.openxmlformats.org/officeDocument/2006/relationships/ctrlProp" Target="../ctrlProps/ctrlProp118.xml"/><Relationship Id="rId142" Type="http://schemas.openxmlformats.org/officeDocument/2006/relationships/ctrlProp" Target="../ctrlProps/ctrlProp139.xml"/><Relationship Id="rId3" Type="http://schemas.openxmlformats.org/officeDocument/2006/relationships/vmlDrawing" Target="../drawings/vmlDrawing1.vml"/><Relationship Id="rId25" Type="http://schemas.openxmlformats.org/officeDocument/2006/relationships/ctrlProp" Target="../ctrlProps/ctrlProp22.xml"/><Relationship Id="rId46" Type="http://schemas.openxmlformats.org/officeDocument/2006/relationships/ctrlProp" Target="../ctrlProps/ctrlProp43.xml"/><Relationship Id="rId67" Type="http://schemas.openxmlformats.org/officeDocument/2006/relationships/ctrlProp" Target="../ctrlProps/ctrlProp64.xml"/><Relationship Id="rId116" Type="http://schemas.openxmlformats.org/officeDocument/2006/relationships/ctrlProp" Target="../ctrlProps/ctrlProp113.xml"/><Relationship Id="rId137" Type="http://schemas.openxmlformats.org/officeDocument/2006/relationships/ctrlProp" Target="../ctrlProps/ctrlProp134.xml"/><Relationship Id="rId20" Type="http://schemas.openxmlformats.org/officeDocument/2006/relationships/ctrlProp" Target="../ctrlProps/ctrlProp17.xml"/><Relationship Id="rId41" Type="http://schemas.openxmlformats.org/officeDocument/2006/relationships/ctrlProp" Target="../ctrlProps/ctrlProp38.xml"/><Relationship Id="rId62" Type="http://schemas.openxmlformats.org/officeDocument/2006/relationships/ctrlProp" Target="../ctrlProps/ctrlProp59.xml"/><Relationship Id="rId83" Type="http://schemas.openxmlformats.org/officeDocument/2006/relationships/ctrlProp" Target="../ctrlProps/ctrlProp80.xml"/><Relationship Id="rId88" Type="http://schemas.openxmlformats.org/officeDocument/2006/relationships/ctrlProp" Target="../ctrlProps/ctrlProp85.xml"/><Relationship Id="rId111" Type="http://schemas.openxmlformats.org/officeDocument/2006/relationships/ctrlProp" Target="../ctrlProps/ctrlProp108.xml"/><Relationship Id="rId132" Type="http://schemas.openxmlformats.org/officeDocument/2006/relationships/ctrlProp" Target="../ctrlProps/ctrlProp129.xml"/><Relationship Id="rId15" Type="http://schemas.openxmlformats.org/officeDocument/2006/relationships/ctrlProp" Target="../ctrlProps/ctrlProp12.xml"/><Relationship Id="rId36" Type="http://schemas.openxmlformats.org/officeDocument/2006/relationships/ctrlProp" Target="../ctrlProps/ctrlProp33.xml"/><Relationship Id="rId57" Type="http://schemas.openxmlformats.org/officeDocument/2006/relationships/ctrlProp" Target="../ctrlProps/ctrlProp54.xml"/><Relationship Id="rId106" Type="http://schemas.openxmlformats.org/officeDocument/2006/relationships/ctrlProp" Target="../ctrlProps/ctrlProp103.xml"/><Relationship Id="rId127" Type="http://schemas.openxmlformats.org/officeDocument/2006/relationships/ctrlProp" Target="../ctrlProps/ctrlProp124.xml"/><Relationship Id="rId10" Type="http://schemas.openxmlformats.org/officeDocument/2006/relationships/ctrlProp" Target="../ctrlProps/ctrlProp7.xml"/><Relationship Id="rId31" Type="http://schemas.openxmlformats.org/officeDocument/2006/relationships/ctrlProp" Target="../ctrlProps/ctrlProp28.xml"/><Relationship Id="rId52" Type="http://schemas.openxmlformats.org/officeDocument/2006/relationships/ctrlProp" Target="../ctrlProps/ctrlProp49.xml"/><Relationship Id="rId73" Type="http://schemas.openxmlformats.org/officeDocument/2006/relationships/ctrlProp" Target="../ctrlProps/ctrlProp70.xml"/><Relationship Id="rId78" Type="http://schemas.openxmlformats.org/officeDocument/2006/relationships/ctrlProp" Target="../ctrlProps/ctrlProp75.xml"/><Relationship Id="rId94" Type="http://schemas.openxmlformats.org/officeDocument/2006/relationships/ctrlProp" Target="../ctrlProps/ctrlProp91.xml"/><Relationship Id="rId99" Type="http://schemas.openxmlformats.org/officeDocument/2006/relationships/ctrlProp" Target="../ctrlProps/ctrlProp96.xml"/><Relationship Id="rId101" Type="http://schemas.openxmlformats.org/officeDocument/2006/relationships/ctrlProp" Target="../ctrlProps/ctrlProp98.xml"/><Relationship Id="rId122" Type="http://schemas.openxmlformats.org/officeDocument/2006/relationships/ctrlProp" Target="../ctrlProps/ctrlProp119.xml"/><Relationship Id="rId143" Type="http://schemas.openxmlformats.org/officeDocument/2006/relationships/ctrlProp" Target="../ctrlProps/ctrlProp140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26" Type="http://schemas.openxmlformats.org/officeDocument/2006/relationships/ctrlProp" Target="../ctrlProps/ctrlProp23.xml"/><Relationship Id="rId47" Type="http://schemas.openxmlformats.org/officeDocument/2006/relationships/ctrlProp" Target="../ctrlProps/ctrlProp44.xml"/><Relationship Id="rId68" Type="http://schemas.openxmlformats.org/officeDocument/2006/relationships/ctrlProp" Target="../ctrlProps/ctrlProp65.xml"/><Relationship Id="rId89" Type="http://schemas.openxmlformats.org/officeDocument/2006/relationships/ctrlProp" Target="../ctrlProps/ctrlProp86.xml"/><Relationship Id="rId112" Type="http://schemas.openxmlformats.org/officeDocument/2006/relationships/ctrlProp" Target="../ctrlProps/ctrlProp109.xml"/><Relationship Id="rId133" Type="http://schemas.openxmlformats.org/officeDocument/2006/relationships/ctrlProp" Target="../ctrlProps/ctrlProp130.xml"/><Relationship Id="rId16" Type="http://schemas.openxmlformats.org/officeDocument/2006/relationships/ctrlProp" Target="../ctrlProps/ctrlProp13.xml"/></Relationships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254.xml"/><Relationship Id="rId21" Type="http://schemas.openxmlformats.org/officeDocument/2006/relationships/ctrlProp" Target="../ctrlProps/ctrlProp158.xml"/><Relationship Id="rId42" Type="http://schemas.openxmlformats.org/officeDocument/2006/relationships/ctrlProp" Target="../ctrlProps/ctrlProp179.xml"/><Relationship Id="rId63" Type="http://schemas.openxmlformats.org/officeDocument/2006/relationships/ctrlProp" Target="../ctrlProps/ctrlProp200.xml"/><Relationship Id="rId84" Type="http://schemas.openxmlformats.org/officeDocument/2006/relationships/ctrlProp" Target="../ctrlProps/ctrlProp221.xml"/><Relationship Id="rId138" Type="http://schemas.openxmlformats.org/officeDocument/2006/relationships/ctrlProp" Target="../ctrlProps/ctrlProp275.xml"/><Relationship Id="rId107" Type="http://schemas.openxmlformats.org/officeDocument/2006/relationships/ctrlProp" Target="../ctrlProps/ctrlProp244.xml"/><Relationship Id="rId11" Type="http://schemas.openxmlformats.org/officeDocument/2006/relationships/ctrlProp" Target="../ctrlProps/ctrlProp148.xml"/><Relationship Id="rId32" Type="http://schemas.openxmlformats.org/officeDocument/2006/relationships/ctrlProp" Target="../ctrlProps/ctrlProp169.xml"/><Relationship Id="rId37" Type="http://schemas.openxmlformats.org/officeDocument/2006/relationships/ctrlProp" Target="../ctrlProps/ctrlProp174.xml"/><Relationship Id="rId53" Type="http://schemas.openxmlformats.org/officeDocument/2006/relationships/ctrlProp" Target="../ctrlProps/ctrlProp190.xml"/><Relationship Id="rId58" Type="http://schemas.openxmlformats.org/officeDocument/2006/relationships/ctrlProp" Target="../ctrlProps/ctrlProp195.xml"/><Relationship Id="rId74" Type="http://schemas.openxmlformats.org/officeDocument/2006/relationships/ctrlProp" Target="../ctrlProps/ctrlProp211.xml"/><Relationship Id="rId79" Type="http://schemas.openxmlformats.org/officeDocument/2006/relationships/ctrlProp" Target="../ctrlProps/ctrlProp216.xml"/><Relationship Id="rId102" Type="http://schemas.openxmlformats.org/officeDocument/2006/relationships/ctrlProp" Target="../ctrlProps/ctrlProp239.xml"/><Relationship Id="rId123" Type="http://schemas.openxmlformats.org/officeDocument/2006/relationships/ctrlProp" Target="../ctrlProps/ctrlProp260.xml"/><Relationship Id="rId128" Type="http://schemas.openxmlformats.org/officeDocument/2006/relationships/ctrlProp" Target="../ctrlProps/ctrlProp265.xml"/><Relationship Id="rId5" Type="http://schemas.openxmlformats.org/officeDocument/2006/relationships/ctrlProp" Target="../ctrlProps/ctrlProp142.xml"/><Relationship Id="rId90" Type="http://schemas.openxmlformats.org/officeDocument/2006/relationships/ctrlProp" Target="../ctrlProps/ctrlProp227.xml"/><Relationship Id="rId95" Type="http://schemas.openxmlformats.org/officeDocument/2006/relationships/ctrlProp" Target="../ctrlProps/ctrlProp232.xml"/><Relationship Id="rId22" Type="http://schemas.openxmlformats.org/officeDocument/2006/relationships/ctrlProp" Target="../ctrlProps/ctrlProp159.xml"/><Relationship Id="rId27" Type="http://schemas.openxmlformats.org/officeDocument/2006/relationships/ctrlProp" Target="../ctrlProps/ctrlProp164.xml"/><Relationship Id="rId43" Type="http://schemas.openxmlformats.org/officeDocument/2006/relationships/ctrlProp" Target="../ctrlProps/ctrlProp180.xml"/><Relationship Id="rId48" Type="http://schemas.openxmlformats.org/officeDocument/2006/relationships/ctrlProp" Target="../ctrlProps/ctrlProp185.xml"/><Relationship Id="rId64" Type="http://schemas.openxmlformats.org/officeDocument/2006/relationships/ctrlProp" Target="../ctrlProps/ctrlProp201.xml"/><Relationship Id="rId69" Type="http://schemas.openxmlformats.org/officeDocument/2006/relationships/ctrlProp" Target="../ctrlProps/ctrlProp206.xml"/><Relationship Id="rId113" Type="http://schemas.openxmlformats.org/officeDocument/2006/relationships/ctrlProp" Target="../ctrlProps/ctrlProp250.xml"/><Relationship Id="rId118" Type="http://schemas.openxmlformats.org/officeDocument/2006/relationships/ctrlProp" Target="../ctrlProps/ctrlProp255.xml"/><Relationship Id="rId134" Type="http://schemas.openxmlformats.org/officeDocument/2006/relationships/ctrlProp" Target="../ctrlProps/ctrlProp271.xml"/><Relationship Id="rId139" Type="http://schemas.openxmlformats.org/officeDocument/2006/relationships/ctrlProp" Target="../ctrlProps/ctrlProp276.xml"/><Relationship Id="rId80" Type="http://schemas.openxmlformats.org/officeDocument/2006/relationships/ctrlProp" Target="../ctrlProps/ctrlProp217.xml"/><Relationship Id="rId85" Type="http://schemas.openxmlformats.org/officeDocument/2006/relationships/ctrlProp" Target="../ctrlProps/ctrlProp222.xml"/><Relationship Id="rId12" Type="http://schemas.openxmlformats.org/officeDocument/2006/relationships/ctrlProp" Target="../ctrlProps/ctrlProp149.xml"/><Relationship Id="rId17" Type="http://schemas.openxmlformats.org/officeDocument/2006/relationships/ctrlProp" Target="../ctrlProps/ctrlProp154.xml"/><Relationship Id="rId33" Type="http://schemas.openxmlformats.org/officeDocument/2006/relationships/ctrlProp" Target="../ctrlProps/ctrlProp170.xml"/><Relationship Id="rId38" Type="http://schemas.openxmlformats.org/officeDocument/2006/relationships/ctrlProp" Target="../ctrlProps/ctrlProp175.xml"/><Relationship Id="rId59" Type="http://schemas.openxmlformats.org/officeDocument/2006/relationships/ctrlProp" Target="../ctrlProps/ctrlProp196.xml"/><Relationship Id="rId103" Type="http://schemas.openxmlformats.org/officeDocument/2006/relationships/ctrlProp" Target="../ctrlProps/ctrlProp240.xml"/><Relationship Id="rId108" Type="http://schemas.openxmlformats.org/officeDocument/2006/relationships/ctrlProp" Target="../ctrlProps/ctrlProp245.xml"/><Relationship Id="rId124" Type="http://schemas.openxmlformats.org/officeDocument/2006/relationships/ctrlProp" Target="../ctrlProps/ctrlProp261.xml"/><Relationship Id="rId129" Type="http://schemas.openxmlformats.org/officeDocument/2006/relationships/ctrlProp" Target="../ctrlProps/ctrlProp266.xml"/><Relationship Id="rId54" Type="http://schemas.openxmlformats.org/officeDocument/2006/relationships/ctrlProp" Target="../ctrlProps/ctrlProp191.xml"/><Relationship Id="rId70" Type="http://schemas.openxmlformats.org/officeDocument/2006/relationships/ctrlProp" Target="../ctrlProps/ctrlProp207.xml"/><Relationship Id="rId75" Type="http://schemas.openxmlformats.org/officeDocument/2006/relationships/ctrlProp" Target="../ctrlProps/ctrlProp212.xml"/><Relationship Id="rId91" Type="http://schemas.openxmlformats.org/officeDocument/2006/relationships/ctrlProp" Target="../ctrlProps/ctrlProp228.xml"/><Relationship Id="rId96" Type="http://schemas.openxmlformats.org/officeDocument/2006/relationships/ctrlProp" Target="../ctrlProps/ctrlProp233.xml"/><Relationship Id="rId140" Type="http://schemas.openxmlformats.org/officeDocument/2006/relationships/ctrlProp" Target="../ctrlProps/ctrlProp27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43.xml"/><Relationship Id="rId23" Type="http://schemas.openxmlformats.org/officeDocument/2006/relationships/ctrlProp" Target="../ctrlProps/ctrlProp160.xml"/><Relationship Id="rId28" Type="http://schemas.openxmlformats.org/officeDocument/2006/relationships/ctrlProp" Target="../ctrlProps/ctrlProp165.xml"/><Relationship Id="rId49" Type="http://schemas.openxmlformats.org/officeDocument/2006/relationships/ctrlProp" Target="../ctrlProps/ctrlProp186.xml"/><Relationship Id="rId114" Type="http://schemas.openxmlformats.org/officeDocument/2006/relationships/ctrlProp" Target="../ctrlProps/ctrlProp251.xml"/><Relationship Id="rId119" Type="http://schemas.openxmlformats.org/officeDocument/2006/relationships/ctrlProp" Target="../ctrlProps/ctrlProp256.xml"/><Relationship Id="rId44" Type="http://schemas.openxmlformats.org/officeDocument/2006/relationships/ctrlProp" Target="../ctrlProps/ctrlProp181.xml"/><Relationship Id="rId60" Type="http://schemas.openxmlformats.org/officeDocument/2006/relationships/ctrlProp" Target="../ctrlProps/ctrlProp197.xml"/><Relationship Id="rId65" Type="http://schemas.openxmlformats.org/officeDocument/2006/relationships/ctrlProp" Target="../ctrlProps/ctrlProp202.xml"/><Relationship Id="rId81" Type="http://schemas.openxmlformats.org/officeDocument/2006/relationships/ctrlProp" Target="../ctrlProps/ctrlProp218.xml"/><Relationship Id="rId86" Type="http://schemas.openxmlformats.org/officeDocument/2006/relationships/ctrlProp" Target="../ctrlProps/ctrlProp223.xml"/><Relationship Id="rId130" Type="http://schemas.openxmlformats.org/officeDocument/2006/relationships/ctrlProp" Target="../ctrlProps/ctrlProp267.xml"/><Relationship Id="rId135" Type="http://schemas.openxmlformats.org/officeDocument/2006/relationships/ctrlProp" Target="../ctrlProps/ctrlProp272.xml"/><Relationship Id="rId13" Type="http://schemas.openxmlformats.org/officeDocument/2006/relationships/ctrlProp" Target="../ctrlProps/ctrlProp150.xml"/><Relationship Id="rId18" Type="http://schemas.openxmlformats.org/officeDocument/2006/relationships/ctrlProp" Target="../ctrlProps/ctrlProp155.xml"/><Relationship Id="rId39" Type="http://schemas.openxmlformats.org/officeDocument/2006/relationships/ctrlProp" Target="../ctrlProps/ctrlProp176.xml"/><Relationship Id="rId109" Type="http://schemas.openxmlformats.org/officeDocument/2006/relationships/ctrlProp" Target="../ctrlProps/ctrlProp246.xml"/><Relationship Id="rId34" Type="http://schemas.openxmlformats.org/officeDocument/2006/relationships/ctrlProp" Target="../ctrlProps/ctrlProp171.xml"/><Relationship Id="rId50" Type="http://schemas.openxmlformats.org/officeDocument/2006/relationships/ctrlProp" Target="../ctrlProps/ctrlProp187.xml"/><Relationship Id="rId55" Type="http://schemas.openxmlformats.org/officeDocument/2006/relationships/ctrlProp" Target="../ctrlProps/ctrlProp192.xml"/><Relationship Id="rId76" Type="http://schemas.openxmlformats.org/officeDocument/2006/relationships/ctrlProp" Target="../ctrlProps/ctrlProp213.xml"/><Relationship Id="rId97" Type="http://schemas.openxmlformats.org/officeDocument/2006/relationships/ctrlProp" Target="../ctrlProps/ctrlProp234.xml"/><Relationship Id="rId104" Type="http://schemas.openxmlformats.org/officeDocument/2006/relationships/ctrlProp" Target="../ctrlProps/ctrlProp241.xml"/><Relationship Id="rId120" Type="http://schemas.openxmlformats.org/officeDocument/2006/relationships/ctrlProp" Target="../ctrlProps/ctrlProp257.xml"/><Relationship Id="rId125" Type="http://schemas.openxmlformats.org/officeDocument/2006/relationships/ctrlProp" Target="../ctrlProps/ctrlProp262.xml"/><Relationship Id="rId141" Type="http://schemas.openxmlformats.org/officeDocument/2006/relationships/ctrlProp" Target="../ctrlProps/ctrlProp278.xml"/><Relationship Id="rId7" Type="http://schemas.openxmlformats.org/officeDocument/2006/relationships/ctrlProp" Target="../ctrlProps/ctrlProp144.xml"/><Relationship Id="rId71" Type="http://schemas.openxmlformats.org/officeDocument/2006/relationships/ctrlProp" Target="../ctrlProps/ctrlProp208.xml"/><Relationship Id="rId92" Type="http://schemas.openxmlformats.org/officeDocument/2006/relationships/ctrlProp" Target="../ctrlProps/ctrlProp229.xml"/><Relationship Id="rId2" Type="http://schemas.openxmlformats.org/officeDocument/2006/relationships/drawing" Target="../drawings/drawing2.xml"/><Relationship Id="rId29" Type="http://schemas.openxmlformats.org/officeDocument/2006/relationships/ctrlProp" Target="../ctrlProps/ctrlProp166.xml"/><Relationship Id="rId24" Type="http://schemas.openxmlformats.org/officeDocument/2006/relationships/ctrlProp" Target="../ctrlProps/ctrlProp161.xml"/><Relationship Id="rId40" Type="http://schemas.openxmlformats.org/officeDocument/2006/relationships/ctrlProp" Target="../ctrlProps/ctrlProp177.xml"/><Relationship Id="rId45" Type="http://schemas.openxmlformats.org/officeDocument/2006/relationships/ctrlProp" Target="../ctrlProps/ctrlProp182.xml"/><Relationship Id="rId66" Type="http://schemas.openxmlformats.org/officeDocument/2006/relationships/ctrlProp" Target="../ctrlProps/ctrlProp203.xml"/><Relationship Id="rId87" Type="http://schemas.openxmlformats.org/officeDocument/2006/relationships/ctrlProp" Target="../ctrlProps/ctrlProp224.xml"/><Relationship Id="rId110" Type="http://schemas.openxmlformats.org/officeDocument/2006/relationships/ctrlProp" Target="../ctrlProps/ctrlProp247.xml"/><Relationship Id="rId115" Type="http://schemas.openxmlformats.org/officeDocument/2006/relationships/ctrlProp" Target="../ctrlProps/ctrlProp252.xml"/><Relationship Id="rId131" Type="http://schemas.openxmlformats.org/officeDocument/2006/relationships/ctrlProp" Target="../ctrlProps/ctrlProp268.xml"/><Relationship Id="rId136" Type="http://schemas.openxmlformats.org/officeDocument/2006/relationships/ctrlProp" Target="../ctrlProps/ctrlProp273.xml"/><Relationship Id="rId61" Type="http://schemas.openxmlformats.org/officeDocument/2006/relationships/ctrlProp" Target="../ctrlProps/ctrlProp198.xml"/><Relationship Id="rId82" Type="http://schemas.openxmlformats.org/officeDocument/2006/relationships/ctrlProp" Target="../ctrlProps/ctrlProp219.xml"/><Relationship Id="rId19" Type="http://schemas.openxmlformats.org/officeDocument/2006/relationships/ctrlProp" Target="../ctrlProps/ctrlProp156.xml"/><Relationship Id="rId14" Type="http://schemas.openxmlformats.org/officeDocument/2006/relationships/ctrlProp" Target="../ctrlProps/ctrlProp151.xml"/><Relationship Id="rId30" Type="http://schemas.openxmlformats.org/officeDocument/2006/relationships/ctrlProp" Target="../ctrlProps/ctrlProp167.xml"/><Relationship Id="rId35" Type="http://schemas.openxmlformats.org/officeDocument/2006/relationships/ctrlProp" Target="../ctrlProps/ctrlProp172.xml"/><Relationship Id="rId56" Type="http://schemas.openxmlformats.org/officeDocument/2006/relationships/ctrlProp" Target="../ctrlProps/ctrlProp193.xml"/><Relationship Id="rId77" Type="http://schemas.openxmlformats.org/officeDocument/2006/relationships/ctrlProp" Target="../ctrlProps/ctrlProp214.xml"/><Relationship Id="rId100" Type="http://schemas.openxmlformats.org/officeDocument/2006/relationships/ctrlProp" Target="../ctrlProps/ctrlProp237.xml"/><Relationship Id="rId105" Type="http://schemas.openxmlformats.org/officeDocument/2006/relationships/ctrlProp" Target="../ctrlProps/ctrlProp242.xml"/><Relationship Id="rId126" Type="http://schemas.openxmlformats.org/officeDocument/2006/relationships/ctrlProp" Target="../ctrlProps/ctrlProp263.xml"/><Relationship Id="rId8" Type="http://schemas.openxmlformats.org/officeDocument/2006/relationships/ctrlProp" Target="../ctrlProps/ctrlProp145.xml"/><Relationship Id="rId51" Type="http://schemas.openxmlformats.org/officeDocument/2006/relationships/ctrlProp" Target="../ctrlProps/ctrlProp188.xml"/><Relationship Id="rId72" Type="http://schemas.openxmlformats.org/officeDocument/2006/relationships/ctrlProp" Target="../ctrlProps/ctrlProp209.xml"/><Relationship Id="rId93" Type="http://schemas.openxmlformats.org/officeDocument/2006/relationships/ctrlProp" Target="../ctrlProps/ctrlProp230.xml"/><Relationship Id="rId98" Type="http://schemas.openxmlformats.org/officeDocument/2006/relationships/ctrlProp" Target="../ctrlProps/ctrlProp235.xml"/><Relationship Id="rId121" Type="http://schemas.openxmlformats.org/officeDocument/2006/relationships/ctrlProp" Target="../ctrlProps/ctrlProp258.xml"/><Relationship Id="rId142" Type="http://schemas.openxmlformats.org/officeDocument/2006/relationships/ctrlProp" Target="../ctrlProps/ctrlProp279.xml"/><Relationship Id="rId3" Type="http://schemas.openxmlformats.org/officeDocument/2006/relationships/vmlDrawing" Target="../drawings/vmlDrawing2.vml"/><Relationship Id="rId25" Type="http://schemas.openxmlformats.org/officeDocument/2006/relationships/ctrlProp" Target="../ctrlProps/ctrlProp162.xml"/><Relationship Id="rId46" Type="http://schemas.openxmlformats.org/officeDocument/2006/relationships/ctrlProp" Target="../ctrlProps/ctrlProp183.xml"/><Relationship Id="rId67" Type="http://schemas.openxmlformats.org/officeDocument/2006/relationships/ctrlProp" Target="../ctrlProps/ctrlProp204.xml"/><Relationship Id="rId116" Type="http://schemas.openxmlformats.org/officeDocument/2006/relationships/ctrlProp" Target="../ctrlProps/ctrlProp253.xml"/><Relationship Id="rId137" Type="http://schemas.openxmlformats.org/officeDocument/2006/relationships/ctrlProp" Target="../ctrlProps/ctrlProp274.xml"/><Relationship Id="rId20" Type="http://schemas.openxmlformats.org/officeDocument/2006/relationships/ctrlProp" Target="../ctrlProps/ctrlProp157.xml"/><Relationship Id="rId41" Type="http://schemas.openxmlformats.org/officeDocument/2006/relationships/ctrlProp" Target="../ctrlProps/ctrlProp178.xml"/><Relationship Id="rId62" Type="http://schemas.openxmlformats.org/officeDocument/2006/relationships/ctrlProp" Target="../ctrlProps/ctrlProp199.xml"/><Relationship Id="rId83" Type="http://schemas.openxmlformats.org/officeDocument/2006/relationships/ctrlProp" Target="../ctrlProps/ctrlProp220.xml"/><Relationship Id="rId88" Type="http://schemas.openxmlformats.org/officeDocument/2006/relationships/ctrlProp" Target="../ctrlProps/ctrlProp225.xml"/><Relationship Id="rId111" Type="http://schemas.openxmlformats.org/officeDocument/2006/relationships/ctrlProp" Target="../ctrlProps/ctrlProp248.xml"/><Relationship Id="rId132" Type="http://schemas.openxmlformats.org/officeDocument/2006/relationships/ctrlProp" Target="../ctrlProps/ctrlProp269.xml"/><Relationship Id="rId15" Type="http://schemas.openxmlformats.org/officeDocument/2006/relationships/ctrlProp" Target="../ctrlProps/ctrlProp152.xml"/><Relationship Id="rId36" Type="http://schemas.openxmlformats.org/officeDocument/2006/relationships/ctrlProp" Target="../ctrlProps/ctrlProp173.xml"/><Relationship Id="rId57" Type="http://schemas.openxmlformats.org/officeDocument/2006/relationships/ctrlProp" Target="../ctrlProps/ctrlProp194.xml"/><Relationship Id="rId106" Type="http://schemas.openxmlformats.org/officeDocument/2006/relationships/ctrlProp" Target="../ctrlProps/ctrlProp243.xml"/><Relationship Id="rId127" Type="http://schemas.openxmlformats.org/officeDocument/2006/relationships/ctrlProp" Target="../ctrlProps/ctrlProp264.xml"/><Relationship Id="rId10" Type="http://schemas.openxmlformats.org/officeDocument/2006/relationships/ctrlProp" Target="../ctrlProps/ctrlProp147.xml"/><Relationship Id="rId31" Type="http://schemas.openxmlformats.org/officeDocument/2006/relationships/ctrlProp" Target="../ctrlProps/ctrlProp168.xml"/><Relationship Id="rId52" Type="http://schemas.openxmlformats.org/officeDocument/2006/relationships/ctrlProp" Target="../ctrlProps/ctrlProp189.xml"/><Relationship Id="rId73" Type="http://schemas.openxmlformats.org/officeDocument/2006/relationships/ctrlProp" Target="../ctrlProps/ctrlProp210.xml"/><Relationship Id="rId78" Type="http://schemas.openxmlformats.org/officeDocument/2006/relationships/ctrlProp" Target="../ctrlProps/ctrlProp215.xml"/><Relationship Id="rId94" Type="http://schemas.openxmlformats.org/officeDocument/2006/relationships/ctrlProp" Target="../ctrlProps/ctrlProp231.xml"/><Relationship Id="rId99" Type="http://schemas.openxmlformats.org/officeDocument/2006/relationships/ctrlProp" Target="../ctrlProps/ctrlProp236.xml"/><Relationship Id="rId101" Type="http://schemas.openxmlformats.org/officeDocument/2006/relationships/ctrlProp" Target="../ctrlProps/ctrlProp238.xml"/><Relationship Id="rId122" Type="http://schemas.openxmlformats.org/officeDocument/2006/relationships/ctrlProp" Target="../ctrlProps/ctrlProp259.xml"/><Relationship Id="rId143" Type="http://schemas.openxmlformats.org/officeDocument/2006/relationships/ctrlProp" Target="../ctrlProps/ctrlProp280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26" Type="http://schemas.openxmlformats.org/officeDocument/2006/relationships/ctrlProp" Target="../ctrlProps/ctrlProp163.xml"/><Relationship Id="rId47" Type="http://schemas.openxmlformats.org/officeDocument/2006/relationships/ctrlProp" Target="../ctrlProps/ctrlProp184.xml"/><Relationship Id="rId68" Type="http://schemas.openxmlformats.org/officeDocument/2006/relationships/ctrlProp" Target="../ctrlProps/ctrlProp205.xml"/><Relationship Id="rId89" Type="http://schemas.openxmlformats.org/officeDocument/2006/relationships/ctrlProp" Target="../ctrlProps/ctrlProp226.xml"/><Relationship Id="rId112" Type="http://schemas.openxmlformats.org/officeDocument/2006/relationships/ctrlProp" Target="../ctrlProps/ctrlProp249.xml"/><Relationship Id="rId133" Type="http://schemas.openxmlformats.org/officeDocument/2006/relationships/ctrlProp" Target="../ctrlProps/ctrlProp270.xml"/><Relationship Id="rId16" Type="http://schemas.openxmlformats.org/officeDocument/2006/relationships/ctrlProp" Target="../ctrlProps/ctrlProp15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85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28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83.xml"/><Relationship Id="rId5" Type="http://schemas.openxmlformats.org/officeDocument/2006/relationships/ctrlProp" Target="../ctrlProps/ctrlProp282.xml"/><Relationship Id="rId4" Type="http://schemas.openxmlformats.org/officeDocument/2006/relationships/ctrlProp" Target="../ctrlProps/ctrlProp28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9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8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88.xml"/><Relationship Id="rId5" Type="http://schemas.openxmlformats.org/officeDocument/2006/relationships/ctrlProp" Target="../ctrlProps/ctrlProp287.xml"/><Relationship Id="rId4" Type="http://schemas.openxmlformats.org/officeDocument/2006/relationships/ctrlProp" Target="../ctrlProps/ctrlProp286.xml"/></Relationships>
</file>

<file path=xl/worksheets/_rels/sheet5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313.xml"/><Relationship Id="rId21" Type="http://schemas.openxmlformats.org/officeDocument/2006/relationships/ctrlProp" Target="../ctrlProps/ctrlProp308.xml"/><Relationship Id="rId42" Type="http://schemas.openxmlformats.org/officeDocument/2006/relationships/ctrlProp" Target="../ctrlProps/ctrlProp329.xml"/><Relationship Id="rId47" Type="http://schemas.openxmlformats.org/officeDocument/2006/relationships/ctrlProp" Target="../ctrlProps/ctrlProp334.xml"/><Relationship Id="rId63" Type="http://schemas.openxmlformats.org/officeDocument/2006/relationships/ctrlProp" Target="../ctrlProps/ctrlProp350.xml"/><Relationship Id="rId68" Type="http://schemas.openxmlformats.org/officeDocument/2006/relationships/ctrlProp" Target="../ctrlProps/ctrlProp355.xml"/><Relationship Id="rId84" Type="http://schemas.openxmlformats.org/officeDocument/2006/relationships/ctrlProp" Target="../ctrlProps/ctrlProp371.xml"/><Relationship Id="rId89" Type="http://schemas.openxmlformats.org/officeDocument/2006/relationships/ctrlProp" Target="../ctrlProps/ctrlProp376.xml"/><Relationship Id="rId16" Type="http://schemas.openxmlformats.org/officeDocument/2006/relationships/ctrlProp" Target="../ctrlProps/ctrlProp303.xml"/><Relationship Id="rId11" Type="http://schemas.openxmlformats.org/officeDocument/2006/relationships/ctrlProp" Target="../ctrlProps/ctrlProp298.xml"/><Relationship Id="rId32" Type="http://schemas.openxmlformats.org/officeDocument/2006/relationships/ctrlProp" Target="../ctrlProps/ctrlProp319.xml"/><Relationship Id="rId37" Type="http://schemas.openxmlformats.org/officeDocument/2006/relationships/ctrlProp" Target="../ctrlProps/ctrlProp324.xml"/><Relationship Id="rId53" Type="http://schemas.openxmlformats.org/officeDocument/2006/relationships/ctrlProp" Target="../ctrlProps/ctrlProp340.xml"/><Relationship Id="rId58" Type="http://schemas.openxmlformats.org/officeDocument/2006/relationships/ctrlProp" Target="../ctrlProps/ctrlProp345.xml"/><Relationship Id="rId74" Type="http://schemas.openxmlformats.org/officeDocument/2006/relationships/ctrlProp" Target="../ctrlProps/ctrlProp361.xml"/><Relationship Id="rId79" Type="http://schemas.openxmlformats.org/officeDocument/2006/relationships/ctrlProp" Target="../ctrlProps/ctrlProp366.xml"/><Relationship Id="rId5" Type="http://schemas.openxmlformats.org/officeDocument/2006/relationships/ctrlProp" Target="../ctrlProps/ctrlProp292.xml"/><Relationship Id="rId90" Type="http://schemas.openxmlformats.org/officeDocument/2006/relationships/ctrlProp" Target="../ctrlProps/ctrlProp377.xml"/><Relationship Id="rId95" Type="http://schemas.openxmlformats.org/officeDocument/2006/relationships/ctrlProp" Target="../ctrlProps/ctrlProp382.xml"/><Relationship Id="rId22" Type="http://schemas.openxmlformats.org/officeDocument/2006/relationships/ctrlProp" Target="../ctrlProps/ctrlProp309.xml"/><Relationship Id="rId27" Type="http://schemas.openxmlformats.org/officeDocument/2006/relationships/ctrlProp" Target="../ctrlProps/ctrlProp314.xml"/><Relationship Id="rId43" Type="http://schemas.openxmlformats.org/officeDocument/2006/relationships/ctrlProp" Target="../ctrlProps/ctrlProp330.xml"/><Relationship Id="rId48" Type="http://schemas.openxmlformats.org/officeDocument/2006/relationships/ctrlProp" Target="../ctrlProps/ctrlProp335.xml"/><Relationship Id="rId64" Type="http://schemas.openxmlformats.org/officeDocument/2006/relationships/ctrlProp" Target="../ctrlProps/ctrlProp351.xml"/><Relationship Id="rId69" Type="http://schemas.openxmlformats.org/officeDocument/2006/relationships/ctrlProp" Target="../ctrlProps/ctrlProp356.xml"/><Relationship Id="rId80" Type="http://schemas.openxmlformats.org/officeDocument/2006/relationships/ctrlProp" Target="../ctrlProps/ctrlProp367.xml"/><Relationship Id="rId85" Type="http://schemas.openxmlformats.org/officeDocument/2006/relationships/ctrlProp" Target="../ctrlProps/ctrlProp372.xml"/><Relationship Id="rId3" Type="http://schemas.openxmlformats.org/officeDocument/2006/relationships/vmlDrawing" Target="../drawings/vmlDrawing5.vml"/><Relationship Id="rId12" Type="http://schemas.openxmlformats.org/officeDocument/2006/relationships/ctrlProp" Target="../ctrlProps/ctrlProp299.xml"/><Relationship Id="rId17" Type="http://schemas.openxmlformats.org/officeDocument/2006/relationships/ctrlProp" Target="../ctrlProps/ctrlProp304.xml"/><Relationship Id="rId25" Type="http://schemas.openxmlformats.org/officeDocument/2006/relationships/ctrlProp" Target="../ctrlProps/ctrlProp312.xml"/><Relationship Id="rId33" Type="http://schemas.openxmlformats.org/officeDocument/2006/relationships/ctrlProp" Target="../ctrlProps/ctrlProp320.xml"/><Relationship Id="rId38" Type="http://schemas.openxmlformats.org/officeDocument/2006/relationships/ctrlProp" Target="../ctrlProps/ctrlProp325.xml"/><Relationship Id="rId46" Type="http://schemas.openxmlformats.org/officeDocument/2006/relationships/ctrlProp" Target="../ctrlProps/ctrlProp333.xml"/><Relationship Id="rId59" Type="http://schemas.openxmlformats.org/officeDocument/2006/relationships/ctrlProp" Target="../ctrlProps/ctrlProp346.xml"/><Relationship Id="rId67" Type="http://schemas.openxmlformats.org/officeDocument/2006/relationships/ctrlProp" Target="../ctrlProps/ctrlProp354.xml"/><Relationship Id="rId20" Type="http://schemas.openxmlformats.org/officeDocument/2006/relationships/ctrlProp" Target="../ctrlProps/ctrlProp307.xml"/><Relationship Id="rId41" Type="http://schemas.openxmlformats.org/officeDocument/2006/relationships/ctrlProp" Target="../ctrlProps/ctrlProp328.xml"/><Relationship Id="rId54" Type="http://schemas.openxmlformats.org/officeDocument/2006/relationships/ctrlProp" Target="../ctrlProps/ctrlProp341.xml"/><Relationship Id="rId62" Type="http://schemas.openxmlformats.org/officeDocument/2006/relationships/ctrlProp" Target="../ctrlProps/ctrlProp349.xml"/><Relationship Id="rId70" Type="http://schemas.openxmlformats.org/officeDocument/2006/relationships/ctrlProp" Target="../ctrlProps/ctrlProp357.xml"/><Relationship Id="rId75" Type="http://schemas.openxmlformats.org/officeDocument/2006/relationships/ctrlProp" Target="../ctrlProps/ctrlProp362.xml"/><Relationship Id="rId83" Type="http://schemas.openxmlformats.org/officeDocument/2006/relationships/ctrlProp" Target="../ctrlProps/ctrlProp370.xml"/><Relationship Id="rId88" Type="http://schemas.openxmlformats.org/officeDocument/2006/relationships/ctrlProp" Target="../ctrlProps/ctrlProp375.xml"/><Relationship Id="rId91" Type="http://schemas.openxmlformats.org/officeDocument/2006/relationships/ctrlProp" Target="../ctrlProps/ctrlProp378.xml"/><Relationship Id="rId96" Type="http://schemas.openxmlformats.org/officeDocument/2006/relationships/ctrlProp" Target="../ctrlProps/ctrlProp38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93.xml"/><Relationship Id="rId15" Type="http://schemas.openxmlformats.org/officeDocument/2006/relationships/ctrlProp" Target="../ctrlProps/ctrlProp302.xml"/><Relationship Id="rId23" Type="http://schemas.openxmlformats.org/officeDocument/2006/relationships/ctrlProp" Target="../ctrlProps/ctrlProp310.xml"/><Relationship Id="rId28" Type="http://schemas.openxmlformats.org/officeDocument/2006/relationships/ctrlProp" Target="../ctrlProps/ctrlProp315.xml"/><Relationship Id="rId36" Type="http://schemas.openxmlformats.org/officeDocument/2006/relationships/ctrlProp" Target="../ctrlProps/ctrlProp323.xml"/><Relationship Id="rId49" Type="http://schemas.openxmlformats.org/officeDocument/2006/relationships/ctrlProp" Target="../ctrlProps/ctrlProp336.xml"/><Relationship Id="rId57" Type="http://schemas.openxmlformats.org/officeDocument/2006/relationships/ctrlProp" Target="../ctrlProps/ctrlProp344.xml"/><Relationship Id="rId10" Type="http://schemas.openxmlformats.org/officeDocument/2006/relationships/ctrlProp" Target="../ctrlProps/ctrlProp297.xml"/><Relationship Id="rId31" Type="http://schemas.openxmlformats.org/officeDocument/2006/relationships/ctrlProp" Target="../ctrlProps/ctrlProp318.xml"/><Relationship Id="rId44" Type="http://schemas.openxmlformats.org/officeDocument/2006/relationships/ctrlProp" Target="../ctrlProps/ctrlProp331.xml"/><Relationship Id="rId52" Type="http://schemas.openxmlformats.org/officeDocument/2006/relationships/ctrlProp" Target="../ctrlProps/ctrlProp339.xml"/><Relationship Id="rId60" Type="http://schemas.openxmlformats.org/officeDocument/2006/relationships/ctrlProp" Target="../ctrlProps/ctrlProp347.xml"/><Relationship Id="rId65" Type="http://schemas.openxmlformats.org/officeDocument/2006/relationships/ctrlProp" Target="../ctrlProps/ctrlProp352.xml"/><Relationship Id="rId73" Type="http://schemas.openxmlformats.org/officeDocument/2006/relationships/ctrlProp" Target="../ctrlProps/ctrlProp360.xml"/><Relationship Id="rId78" Type="http://schemas.openxmlformats.org/officeDocument/2006/relationships/ctrlProp" Target="../ctrlProps/ctrlProp365.xml"/><Relationship Id="rId81" Type="http://schemas.openxmlformats.org/officeDocument/2006/relationships/ctrlProp" Target="../ctrlProps/ctrlProp368.xml"/><Relationship Id="rId86" Type="http://schemas.openxmlformats.org/officeDocument/2006/relationships/ctrlProp" Target="../ctrlProps/ctrlProp373.xml"/><Relationship Id="rId94" Type="http://schemas.openxmlformats.org/officeDocument/2006/relationships/ctrlProp" Target="../ctrlProps/ctrlProp381.xml"/><Relationship Id="rId4" Type="http://schemas.openxmlformats.org/officeDocument/2006/relationships/ctrlProp" Target="../ctrlProps/ctrlProp291.xml"/><Relationship Id="rId9" Type="http://schemas.openxmlformats.org/officeDocument/2006/relationships/ctrlProp" Target="../ctrlProps/ctrlProp296.xml"/><Relationship Id="rId13" Type="http://schemas.openxmlformats.org/officeDocument/2006/relationships/ctrlProp" Target="../ctrlProps/ctrlProp300.xml"/><Relationship Id="rId18" Type="http://schemas.openxmlformats.org/officeDocument/2006/relationships/ctrlProp" Target="../ctrlProps/ctrlProp305.xml"/><Relationship Id="rId39" Type="http://schemas.openxmlformats.org/officeDocument/2006/relationships/ctrlProp" Target="../ctrlProps/ctrlProp326.xml"/><Relationship Id="rId34" Type="http://schemas.openxmlformats.org/officeDocument/2006/relationships/ctrlProp" Target="../ctrlProps/ctrlProp321.xml"/><Relationship Id="rId50" Type="http://schemas.openxmlformats.org/officeDocument/2006/relationships/ctrlProp" Target="../ctrlProps/ctrlProp337.xml"/><Relationship Id="rId55" Type="http://schemas.openxmlformats.org/officeDocument/2006/relationships/ctrlProp" Target="../ctrlProps/ctrlProp342.xml"/><Relationship Id="rId76" Type="http://schemas.openxmlformats.org/officeDocument/2006/relationships/ctrlProp" Target="../ctrlProps/ctrlProp363.xml"/><Relationship Id="rId97" Type="http://schemas.openxmlformats.org/officeDocument/2006/relationships/ctrlProp" Target="../ctrlProps/ctrlProp384.xml"/><Relationship Id="rId7" Type="http://schemas.openxmlformats.org/officeDocument/2006/relationships/ctrlProp" Target="../ctrlProps/ctrlProp294.xml"/><Relationship Id="rId71" Type="http://schemas.openxmlformats.org/officeDocument/2006/relationships/ctrlProp" Target="../ctrlProps/ctrlProp358.xml"/><Relationship Id="rId92" Type="http://schemas.openxmlformats.org/officeDocument/2006/relationships/ctrlProp" Target="../ctrlProps/ctrlProp379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316.xml"/><Relationship Id="rId24" Type="http://schemas.openxmlformats.org/officeDocument/2006/relationships/ctrlProp" Target="../ctrlProps/ctrlProp311.xml"/><Relationship Id="rId40" Type="http://schemas.openxmlformats.org/officeDocument/2006/relationships/ctrlProp" Target="../ctrlProps/ctrlProp327.xml"/><Relationship Id="rId45" Type="http://schemas.openxmlformats.org/officeDocument/2006/relationships/ctrlProp" Target="../ctrlProps/ctrlProp332.xml"/><Relationship Id="rId66" Type="http://schemas.openxmlformats.org/officeDocument/2006/relationships/ctrlProp" Target="../ctrlProps/ctrlProp353.xml"/><Relationship Id="rId87" Type="http://schemas.openxmlformats.org/officeDocument/2006/relationships/ctrlProp" Target="../ctrlProps/ctrlProp374.xml"/><Relationship Id="rId61" Type="http://schemas.openxmlformats.org/officeDocument/2006/relationships/ctrlProp" Target="../ctrlProps/ctrlProp348.xml"/><Relationship Id="rId82" Type="http://schemas.openxmlformats.org/officeDocument/2006/relationships/ctrlProp" Target="../ctrlProps/ctrlProp369.xml"/><Relationship Id="rId19" Type="http://schemas.openxmlformats.org/officeDocument/2006/relationships/ctrlProp" Target="../ctrlProps/ctrlProp306.xml"/><Relationship Id="rId14" Type="http://schemas.openxmlformats.org/officeDocument/2006/relationships/ctrlProp" Target="../ctrlProps/ctrlProp301.xml"/><Relationship Id="rId30" Type="http://schemas.openxmlformats.org/officeDocument/2006/relationships/ctrlProp" Target="../ctrlProps/ctrlProp317.xml"/><Relationship Id="rId35" Type="http://schemas.openxmlformats.org/officeDocument/2006/relationships/ctrlProp" Target="../ctrlProps/ctrlProp322.xml"/><Relationship Id="rId56" Type="http://schemas.openxmlformats.org/officeDocument/2006/relationships/ctrlProp" Target="../ctrlProps/ctrlProp343.xml"/><Relationship Id="rId77" Type="http://schemas.openxmlformats.org/officeDocument/2006/relationships/ctrlProp" Target="../ctrlProps/ctrlProp364.xml"/><Relationship Id="rId8" Type="http://schemas.openxmlformats.org/officeDocument/2006/relationships/ctrlProp" Target="../ctrlProps/ctrlProp295.xml"/><Relationship Id="rId51" Type="http://schemas.openxmlformats.org/officeDocument/2006/relationships/ctrlProp" Target="../ctrlProps/ctrlProp338.xml"/><Relationship Id="rId72" Type="http://schemas.openxmlformats.org/officeDocument/2006/relationships/ctrlProp" Target="../ctrlProps/ctrlProp359.xml"/><Relationship Id="rId93" Type="http://schemas.openxmlformats.org/officeDocument/2006/relationships/ctrlProp" Target="../ctrlProps/ctrlProp380.xml"/><Relationship Id="rId98" Type="http://schemas.openxmlformats.org/officeDocument/2006/relationships/ctrlProp" Target="../ctrlProps/ctrlProp385.xml"/></Relationships>
</file>

<file path=xl/worksheets/_rels/sheet6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499.xml"/><Relationship Id="rId21" Type="http://schemas.openxmlformats.org/officeDocument/2006/relationships/ctrlProp" Target="../ctrlProps/ctrlProp403.xml"/><Relationship Id="rId42" Type="http://schemas.openxmlformats.org/officeDocument/2006/relationships/ctrlProp" Target="../ctrlProps/ctrlProp424.xml"/><Relationship Id="rId63" Type="http://schemas.openxmlformats.org/officeDocument/2006/relationships/ctrlProp" Target="../ctrlProps/ctrlProp445.xml"/><Relationship Id="rId84" Type="http://schemas.openxmlformats.org/officeDocument/2006/relationships/ctrlProp" Target="../ctrlProps/ctrlProp466.xml"/><Relationship Id="rId138" Type="http://schemas.openxmlformats.org/officeDocument/2006/relationships/ctrlProp" Target="../ctrlProps/ctrlProp520.xml"/><Relationship Id="rId107" Type="http://schemas.openxmlformats.org/officeDocument/2006/relationships/ctrlProp" Target="../ctrlProps/ctrlProp489.xml"/><Relationship Id="rId11" Type="http://schemas.openxmlformats.org/officeDocument/2006/relationships/ctrlProp" Target="../ctrlProps/ctrlProp393.xml"/><Relationship Id="rId32" Type="http://schemas.openxmlformats.org/officeDocument/2006/relationships/ctrlProp" Target="../ctrlProps/ctrlProp414.xml"/><Relationship Id="rId37" Type="http://schemas.openxmlformats.org/officeDocument/2006/relationships/ctrlProp" Target="../ctrlProps/ctrlProp419.xml"/><Relationship Id="rId53" Type="http://schemas.openxmlformats.org/officeDocument/2006/relationships/ctrlProp" Target="../ctrlProps/ctrlProp435.xml"/><Relationship Id="rId58" Type="http://schemas.openxmlformats.org/officeDocument/2006/relationships/ctrlProp" Target="../ctrlProps/ctrlProp440.xml"/><Relationship Id="rId74" Type="http://schemas.openxmlformats.org/officeDocument/2006/relationships/ctrlProp" Target="../ctrlProps/ctrlProp456.xml"/><Relationship Id="rId79" Type="http://schemas.openxmlformats.org/officeDocument/2006/relationships/ctrlProp" Target="../ctrlProps/ctrlProp461.xml"/><Relationship Id="rId102" Type="http://schemas.openxmlformats.org/officeDocument/2006/relationships/ctrlProp" Target="../ctrlProps/ctrlProp484.xml"/><Relationship Id="rId123" Type="http://schemas.openxmlformats.org/officeDocument/2006/relationships/ctrlProp" Target="../ctrlProps/ctrlProp505.xml"/><Relationship Id="rId128" Type="http://schemas.openxmlformats.org/officeDocument/2006/relationships/ctrlProp" Target="../ctrlProps/ctrlProp510.xml"/><Relationship Id="rId5" Type="http://schemas.openxmlformats.org/officeDocument/2006/relationships/ctrlProp" Target="../ctrlProps/ctrlProp387.xml"/><Relationship Id="rId90" Type="http://schemas.openxmlformats.org/officeDocument/2006/relationships/ctrlProp" Target="../ctrlProps/ctrlProp472.xml"/><Relationship Id="rId95" Type="http://schemas.openxmlformats.org/officeDocument/2006/relationships/ctrlProp" Target="../ctrlProps/ctrlProp477.xml"/><Relationship Id="rId22" Type="http://schemas.openxmlformats.org/officeDocument/2006/relationships/ctrlProp" Target="../ctrlProps/ctrlProp404.xml"/><Relationship Id="rId27" Type="http://schemas.openxmlformats.org/officeDocument/2006/relationships/ctrlProp" Target="../ctrlProps/ctrlProp409.xml"/><Relationship Id="rId43" Type="http://schemas.openxmlformats.org/officeDocument/2006/relationships/ctrlProp" Target="../ctrlProps/ctrlProp425.xml"/><Relationship Id="rId48" Type="http://schemas.openxmlformats.org/officeDocument/2006/relationships/ctrlProp" Target="../ctrlProps/ctrlProp430.xml"/><Relationship Id="rId64" Type="http://schemas.openxmlformats.org/officeDocument/2006/relationships/ctrlProp" Target="../ctrlProps/ctrlProp446.xml"/><Relationship Id="rId69" Type="http://schemas.openxmlformats.org/officeDocument/2006/relationships/ctrlProp" Target="../ctrlProps/ctrlProp451.xml"/><Relationship Id="rId113" Type="http://schemas.openxmlformats.org/officeDocument/2006/relationships/ctrlProp" Target="../ctrlProps/ctrlProp495.xml"/><Relationship Id="rId118" Type="http://schemas.openxmlformats.org/officeDocument/2006/relationships/ctrlProp" Target="../ctrlProps/ctrlProp500.xml"/><Relationship Id="rId134" Type="http://schemas.openxmlformats.org/officeDocument/2006/relationships/ctrlProp" Target="../ctrlProps/ctrlProp516.xml"/><Relationship Id="rId139" Type="http://schemas.openxmlformats.org/officeDocument/2006/relationships/ctrlProp" Target="../ctrlProps/ctrlProp521.xml"/><Relationship Id="rId80" Type="http://schemas.openxmlformats.org/officeDocument/2006/relationships/ctrlProp" Target="../ctrlProps/ctrlProp462.xml"/><Relationship Id="rId85" Type="http://schemas.openxmlformats.org/officeDocument/2006/relationships/ctrlProp" Target="../ctrlProps/ctrlProp467.xml"/><Relationship Id="rId12" Type="http://schemas.openxmlformats.org/officeDocument/2006/relationships/ctrlProp" Target="../ctrlProps/ctrlProp394.xml"/><Relationship Id="rId17" Type="http://schemas.openxmlformats.org/officeDocument/2006/relationships/ctrlProp" Target="../ctrlProps/ctrlProp399.xml"/><Relationship Id="rId33" Type="http://schemas.openxmlformats.org/officeDocument/2006/relationships/ctrlProp" Target="../ctrlProps/ctrlProp415.xml"/><Relationship Id="rId38" Type="http://schemas.openxmlformats.org/officeDocument/2006/relationships/ctrlProp" Target="../ctrlProps/ctrlProp420.xml"/><Relationship Id="rId59" Type="http://schemas.openxmlformats.org/officeDocument/2006/relationships/ctrlProp" Target="../ctrlProps/ctrlProp441.xml"/><Relationship Id="rId103" Type="http://schemas.openxmlformats.org/officeDocument/2006/relationships/ctrlProp" Target="../ctrlProps/ctrlProp485.xml"/><Relationship Id="rId108" Type="http://schemas.openxmlformats.org/officeDocument/2006/relationships/ctrlProp" Target="../ctrlProps/ctrlProp490.xml"/><Relationship Id="rId124" Type="http://schemas.openxmlformats.org/officeDocument/2006/relationships/ctrlProp" Target="../ctrlProps/ctrlProp506.xml"/><Relationship Id="rId129" Type="http://schemas.openxmlformats.org/officeDocument/2006/relationships/ctrlProp" Target="../ctrlProps/ctrlProp511.xml"/><Relationship Id="rId54" Type="http://schemas.openxmlformats.org/officeDocument/2006/relationships/ctrlProp" Target="../ctrlProps/ctrlProp436.xml"/><Relationship Id="rId70" Type="http://schemas.openxmlformats.org/officeDocument/2006/relationships/ctrlProp" Target="../ctrlProps/ctrlProp452.xml"/><Relationship Id="rId75" Type="http://schemas.openxmlformats.org/officeDocument/2006/relationships/ctrlProp" Target="../ctrlProps/ctrlProp457.xml"/><Relationship Id="rId91" Type="http://schemas.openxmlformats.org/officeDocument/2006/relationships/ctrlProp" Target="../ctrlProps/ctrlProp473.xml"/><Relationship Id="rId96" Type="http://schemas.openxmlformats.org/officeDocument/2006/relationships/ctrlProp" Target="../ctrlProps/ctrlProp478.xml"/><Relationship Id="rId140" Type="http://schemas.openxmlformats.org/officeDocument/2006/relationships/ctrlProp" Target="../ctrlProps/ctrlProp522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388.xml"/><Relationship Id="rId23" Type="http://schemas.openxmlformats.org/officeDocument/2006/relationships/ctrlProp" Target="../ctrlProps/ctrlProp405.xml"/><Relationship Id="rId28" Type="http://schemas.openxmlformats.org/officeDocument/2006/relationships/ctrlProp" Target="../ctrlProps/ctrlProp410.xml"/><Relationship Id="rId49" Type="http://schemas.openxmlformats.org/officeDocument/2006/relationships/ctrlProp" Target="../ctrlProps/ctrlProp431.xml"/><Relationship Id="rId114" Type="http://schemas.openxmlformats.org/officeDocument/2006/relationships/ctrlProp" Target="../ctrlProps/ctrlProp496.xml"/><Relationship Id="rId119" Type="http://schemas.openxmlformats.org/officeDocument/2006/relationships/ctrlProp" Target="../ctrlProps/ctrlProp501.xml"/><Relationship Id="rId44" Type="http://schemas.openxmlformats.org/officeDocument/2006/relationships/ctrlProp" Target="../ctrlProps/ctrlProp426.xml"/><Relationship Id="rId60" Type="http://schemas.openxmlformats.org/officeDocument/2006/relationships/ctrlProp" Target="../ctrlProps/ctrlProp442.xml"/><Relationship Id="rId65" Type="http://schemas.openxmlformats.org/officeDocument/2006/relationships/ctrlProp" Target="../ctrlProps/ctrlProp447.xml"/><Relationship Id="rId81" Type="http://schemas.openxmlformats.org/officeDocument/2006/relationships/ctrlProp" Target="../ctrlProps/ctrlProp463.xml"/><Relationship Id="rId86" Type="http://schemas.openxmlformats.org/officeDocument/2006/relationships/ctrlProp" Target="../ctrlProps/ctrlProp468.xml"/><Relationship Id="rId130" Type="http://schemas.openxmlformats.org/officeDocument/2006/relationships/ctrlProp" Target="../ctrlProps/ctrlProp512.xml"/><Relationship Id="rId135" Type="http://schemas.openxmlformats.org/officeDocument/2006/relationships/ctrlProp" Target="../ctrlProps/ctrlProp517.xml"/><Relationship Id="rId13" Type="http://schemas.openxmlformats.org/officeDocument/2006/relationships/ctrlProp" Target="../ctrlProps/ctrlProp395.xml"/><Relationship Id="rId18" Type="http://schemas.openxmlformats.org/officeDocument/2006/relationships/ctrlProp" Target="../ctrlProps/ctrlProp400.xml"/><Relationship Id="rId39" Type="http://schemas.openxmlformats.org/officeDocument/2006/relationships/ctrlProp" Target="../ctrlProps/ctrlProp421.xml"/><Relationship Id="rId109" Type="http://schemas.openxmlformats.org/officeDocument/2006/relationships/ctrlProp" Target="../ctrlProps/ctrlProp491.xml"/><Relationship Id="rId34" Type="http://schemas.openxmlformats.org/officeDocument/2006/relationships/ctrlProp" Target="../ctrlProps/ctrlProp416.xml"/><Relationship Id="rId50" Type="http://schemas.openxmlformats.org/officeDocument/2006/relationships/ctrlProp" Target="../ctrlProps/ctrlProp432.xml"/><Relationship Id="rId55" Type="http://schemas.openxmlformats.org/officeDocument/2006/relationships/ctrlProp" Target="../ctrlProps/ctrlProp437.xml"/><Relationship Id="rId76" Type="http://schemas.openxmlformats.org/officeDocument/2006/relationships/ctrlProp" Target="../ctrlProps/ctrlProp458.xml"/><Relationship Id="rId97" Type="http://schemas.openxmlformats.org/officeDocument/2006/relationships/ctrlProp" Target="../ctrlProps/ctrlProp479.xml"/><Relationship Id="rId104" Type="http://schemas.openxmlformats.org/officeDocument/2006/relationships/ctrlProp" Target="../ctrlProps/ctrlProp486.xml"/><Relationship Id="rId120" Type="http://schemas.openxmlformats.org/officeDocument/2006/relationships/ctrlProp" Target="../ctrlProps/ctrlProp502.xml"/><Relationship Id="rId125" Type="http://schemas.openxmlformats.org/officeDocument/2006/relationships/ctrlProp" Target="../ctrlProps/ctrlProp507.xml"/><Relationship Id="rId141" Type="http://schemas.openxmlformats.org/officeDocument/2006/relationships/ctrlProp" Target="../ctrlProps/ctrlProp523.xml"/><Relationship Id="rId7" Type="http://schemas.openxmlformats.org/officeDocument/2006/relationships/ctrlProp" Target="../ctrlProps/ctrlProp389.xml"/><Relationship Id="rId71" Type="http://schemas.openxmlformats.org/officeDocument/2006/relationships/ctrlProp" Target="../ctrlProps/ctrlProp453.xml"/><Relationship Id="rId92" Type="http://schemas.openxmlformats.org/officeDocument/2006/relationships/ctrlProp" Target="../ctrlProps/ctrlProp474.xml"/><Relationship Id="rId2" Type="http://schemas.openxmlformats.org/officeDocument/2006/relationships/drawing" Target="../drawings/drawing6.xml"/><Relationship Id="rId29" Type="http://schemas.openxmlformats.org/officeDocument/2006/relationships/ctrlProp" Target="../ctrlProps/ctrlProp411.xml"/><Relationship Id="rId24" Type="http://schemas.openxmlformats.org/officeDocument/2006/relationships/ctrlProp" Target="../ctrlProps/ctrlProp406.xml"/><Relationship Id="rId40" Type="http://schemas.openxmlformats.org/officeDocument/2006/relationships/ctrlProp" Target="../ctrlProps/ctrlProp422.xml"/><Relationship Id="rId45" Type="http://schemas.openxmlformats.org/officeDocument/2006/relationships/ctrlProp" Target="../ctrlProps/ctrlProp427.xml"/><Relationship Id="rId66" Type="http://schemas.openxmlformats.org/officeDocument/2006/relationships/ctrlProp" Target="../ctrlProps/ctrlProp448.xml"/><Relationship Id="rId87" Type="http://schemas.openxmlformats.org/officeDocument/2006/relationships/ctrlProp" Target="../ctrlProps/ctrlProp469.xml"/><Relationship Id="rId110" Type="http://schemas.openxmlformats.org/officeDocument/2006/relationships/ctrlProp" Target="../ctrlProps/ctrlProp492.xml"/><Relationship Id="rId115" Type="http://schemas.openxmlformats.org/officeDocument/2006/relationships/ctrlProp" Target="../ctrlProps/ctrlProp497.xml"/><Relationship Id="rId131" Type="http://schemas.openxmlformats.org/officeDocument/2006/relationships/ctrlProp" Target="../ctrlProps/ctrlProp513.xml"/><Relationship Id="rId136" Type="http://schemas.openxmlformats.org/officeDocument/2006/relationships/ctrlProp" Target="../ctrlProps/ctrlProp518.xml"/><Relationship Id="rId61" Type="http://schemas.openxmlformats.org/officeDocument/2006/relationships/ctrlProp" Target="../ctrlProps/ctrlProp443.xml"/><Relationship Id="rId82" Type="http://schemas.openxmlformats.org/officeDocument/2006/relationships/ctrlProp" Target="../ctrlProps/ctrlProp464.xml"/><Relationship Id="rId19" Type="http://schemas.openxmlformats.org/officeDocument/2006/relationships/ctrlProp" Target="../ctrlProps/ctrlProp401.xml"/><Relationship Id="rId14" Type="http://schemas.openxmlformats.org/officeDocument/2006/relationships/ctrlProp" Target="../ctrlProps/ctrlProp396.xml"/><Relationship Id="rId30" Type="http://schemas.openxmlformats.org/officeDocument/2006/relationships/ctrlProp" Target="../ctrlProps/ctrlProp412.xml"/><Relationship Id="rId35" Type="http://schemas.openxmlformats.org/officeDocument/2006/relationships/ctrlProp" Target="../ctrlProps/ctrlProp417.xml"/><Relationship Id="rId56" Type="http://schemas.openxmlformats.org/officeDocument/2006/relationships/ctrlProp" Target="../ctrlProps/ctrlProp438.xml"/><Relationship Id="rId77" Type="http://schemas.openxmlformats.org/officeDocument/2006/relationships/ctrlProp" Target="../ctrlProps/ctrlProp459.xml"/><Relationship Id="rId100" Type="http://schemas.openxmlformats.org/officeDocument/2006/relationships/ctrlProp" Target="../ctrlProps/ctrlProp482.xml"/><Relationship Id="rId105" Type="http://schemas.openxmlformats.org/officeDocument/2006/relationships/ctrlProp" Target="../ctrlProps/ctrlProp487.xml"/><Relationship Id="rId126" Type="http://schemas.openxmlformats.org/officeDocument/2006/relationships/ctrlProp" Target="../ctrlProps/ctrlProp508.xml"/><Relationship Id="rId8" Type="http://schemas.openxmlformats.org/officeDocument/2006/relationships/ctrlProp" Target="../ctrlProps/ctrlProp390.xml"/><Relationship Id="rId51" Type="http://schemas.openxmlformats.org/officeDocument/2006/relationships/ctrlProp" Target="../ctrlProps/ctrlProp433.xml"/><Relationship Id="rId72" Type="http://schemas.openxmlformats.org/officeDocument/2006/relationships/ctrlProp" Target="../ctrlProps/ctrlProp454.xml"/><Relationship Id="rId93" Type="http://schemas.openxmlformats.org/officeDocument/2006/relationships/ctrlProp" Target="../ctrlProps/ctrlProp475.xml"/><Relationship Id="rId98" Type="http://schemas.openxmlformats.org/officeDocument/2006/relationships/ctrlProp" Target="../ctrlProps/ctrlProp480.xml"/><Relationship Id="rId121" Type="http://schemas.openxmlformats.org/officeDocument/2006/relationships/ctrlProp" Target="../ctrlProps/ctrlProp503.xml"/><Relationship Id="rId142" Type="http://schemas.openxmlformats.org/officeDocument/2006/relationships/ctrlProp" Target="../ctrlProps/ctrlProp524.xml"/><Relationship Id="rId3" Type="http://schemas.openxmlformats.org/officeDocument/2006/relationships/vmlDrawing" Target="../drawings/vmlDrawing6.vml"/><Relationship Id="rId25" Type="http://schemas.openxmlformats.org/officeDocument/2006/relationships/ctrlProp" Target="../ctrlProps/ctrlProp407.xml"/><Relationship Id="rId46" Type="http://schemas.openxmlformats.org/officeDocument/2006/relationships/ctrlProp" Target="../ctrlProps/ctrlProp428.xml"/><Relationship Id="rId67" Type="http://schemas.openxmlformats.org/officeDocument/2006/relationships/ctrlProp" Target="../ctrlProps/ctrlProp449.xml"/><Relationship Id="rId116" Type="http://schemas.openxmlformats.org/officeDocument/2006/relationships/ctrlProp" Target="../ctrlProps/ctrlProp498.xml"/><Relationship Id="rId137" Type="http://schemas.openxmlformats.org/officeDocument/2006/relationships/ctrlProp" Target="../ctrlProps/ctrlProp519.xml"/><Relationship Id="rId20" Type="http://schemas.openxmlformats.org/officeDocument/2006/relationships/ctrlProp" Target="../ctrlProps/ctrlProp402.xml"/><Relationship Id="rId41" Type="http://schemas.openxmlformats.org/officeDocument/2006/relationships/ctrlProp" Target="../ctrlProps/ctrlProp423.xml"/><Relationship Id="rId62" Type="http://schemas.openxmlformats.org/officeDocument/2006/relationships/ctrlProp" Target="../ctrlProps/ctrlProp444.xml"/><Relationship Id="rId83" Type="http://schemas.openxmlformats.org/officeDocument/2006/relationships/ctrlProp" Target="../ctrlProps/ctrlProp465.xml"/><Relationship Id="rId88" Type="http://schemas.openxmlformats.org/officeDocument/2006/relationships/ctrlProp" Target="../ctrlProps/ctrlProp470.xml"/><Relationship Id="rId111" Type="http://schemas.openxmlformats.org/officeDocument/2006/relationships/ctrlProp" Target="../ctrlProps/ctrlProp493.xml"/><Relationship Id="rId132" Type="http://schemas.openxmlformats.org/officeDocument/2006/relationships/ctrlProp" Target="../ctrlProps/ctrlProp514.xml"/><Relationship Id="rId15" Type="http://schemas.openxmlformats.org/officeDocument/2006/relationships/ctrlProp" Target="../ctrlProps/ctrlProp397.xml"/><Relationship Id="rId36" Type="http://schemas.openxmlformats.org/officeDocument/2006/relationships/ctrlProp" Target="../ctrlProps/ctrlProp418.xml"/><Relationship Id="rId57" Type="http://schemas.openxmlformats.org/officeDocument/2006/relationships/ctrlProp" Target="../ctrlProps/ctrlProp439.xml"/><Relationship Id="rId106" Type="http://schemas.openxmlformats.org/officeDocument/2006/relationships/ctrlProp" Target="../ctrlProps/ctrlProp488.xml"/><Relationship Id="rId127" Type="http://schemas.openxmlformats.org/officeDocument/2006/relationships/ctrlProp" Target="../ctrlProps/ctrlProp509.xml"/><Relationship Id="rId10" Type="http://schemas.openxmlformats.org/officeDocument/2006/relationships/ctrlProp" Target="../ctrlProps/ctrlProp392.xml"/><Relationship Id="rId31" Type="http://schemas.openxmlformats.org/officeDocument/2006/relationships/ctrlProp" Target="../ctrlProps/ctrlProp413.xml"/><Relationship Id="rId52" Type="http://schemas.openxmlformats.org/officeDocument/2006/relationships/ctrlProp" Target="../ctrlProps/ctrlProp434.xml"/><Relationship Id="rId73" Type="http://schemas.openxmlformats.org/officeDocument/2006/relationships/ctrlProp" Target="../ctrlProps/ctrlProp455.xml"/><Relationship Id="rId78" Type="http://schemas.openxmlformats.org/officeDocument/2006/relationships/ctrlProp" Target="../ctrlProps/ctrlProp460.xml"/><Relationship Id="rId94" Type="http://schemas.openxmlformats.org/officeDocument/2006/relationships/ctrlProp" Target="../ctrlProps/ctrlProp476.xml"/><Relationship Id="rId99" Type="http://schemas.openxmlformats.org/officeDocument/2006/relationships/ctrlProp" Target="../ctrlProps/ctrlProp481.xml"/><Relationship Id="rId101" Type="http://schemas.openxmlformats.org/officeDocument/2006/relationships/ctrlProp" Target="../ctrlProps/ctrlProp483.xml"/><Relationship Id="rId122" Type="http://schemas.openxmlformats.org/officeDocument/2006/relationships/ctrlProp" Target="../ctrlProps/ctrlProp504.xml"/><Relationship Id="rId143" Type="http://schemas.openxmlformats.org/officeDocument/2006/relationships/ctrlProp" Target="../ctrlProps/ctrlProp525.xml"/><Relationship Id="rId4" Type="http://schemas.openxmlformats.org/officeDocument/2006/relationships/ctrlProp" Target="../ctrlProps/ctrlProp386.xml"/><Relationship Id="rId9" Type="http://schemas.openxmlformats.org/officeDocument/2006/relationships/ctrlProp" Target="../ctrlProps/ctrlProp391.xml"/><Relationship Id="rId26" Type="http://schemas.openxmlformats.org/officeDocument/2006/relationships/ctrlProp" Target="../ctrlProps/ctrlProp408.xml"/><Relationship Id="rId47" Type="http://schemas.openxmlformats.org/officeDocument/2006/relationships/ctrlProp" Target="../ctrlProps/ctrlProp429.xml"/><Relationship Id="rId68" Type="http://schemas.openxmlformats.org/officeDocument/2006/relationships/ctrlProp" Target="../ctrlProps/ctrlProp450.xml"/><Relationship Id="rId89" Type="http://schemas.openxmlformats.org/officeDocument/2006/relationships/ctrlProp" Target="../ctrlProps/ctrlProp471.xml"/><Relationship Id="rId112" Type="http://schemas.openxmlformats.org/officeDocument/2006/relationships/ctrlProp" Target="../ctrlProps/ctrlProp494.xml"/><Relationship Id="rId133" Type="http://schemas.openxmlformats.org/officeDocument/2006/relationships/ctrlProp" Target="../ctrlProps/ctrlProp515.xml"/><Relationship Id="rId16" Type="http://schemas.openxmlformats.org/officeDocument/2006/relationships/ctrlProp" Target="../ctrlProps/ctrlProp39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3710E-95F7-4358-8073-DF76D6B274E3}">
  <sheetPr codeName="Sheet8"/>
  <dimension ref="A1:S199"/>
  <sheetViews>
    <sheetView topLeftCell="A172" zoomScaleNormal="100" workbookViewId="0">
      <selection activeCell="I187" sqref="I187"/>
    </sheetView>
  </sheetViews>
  <sheetFormatPr defaultRowHeight="16.5"/>
  <cols>
    <col min="1" max="1" width="13" bestFit="1" customWidth="1"/>
    <col min="2" max="2" width="14.25" bestFit="1" customWidth="1"/>
    <col min="3" max="3" width="9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44287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" t="s">
        <v>3</v>
      </c>
      <c r="B2" s="217" t="s">
        <v>4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5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4" t="s">
        <v>7</v>
      </c>
      <c r="B3" s="208" t="s">
        <v>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9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4" t="s">
        <v>11</v>
      </c>
      <c r="B4" s="208" t="s">
        <v>12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13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4" t="s">
        <v>15</v>
      </c>
      <c r="B5" s="208" t="s">
        <v>16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17</v>
      </c>
      <c r="L5" s="209"/>
      <c r="M5" s="209"/>
      <c r="N5" s="209"/>
      <c r="O5" s="210"/>
    </row>
    <row r="6" spans="1:19">
      <c r="A6" s="4" t="s">
        <v>18</v>
      </c>
      <c r="B6" s="208" t="s">
        <v>19</v>
      </c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20</v>
      </c>
      <c r="L6" s="209"/>
      <c r="M6" s="209"/>
      <c r="N6" s="209"/>
      <c r="O6" s="210"/>
    </row>
    <row r="7" spans="1:19" ht="17.25" thickBot="1">
      <c r="A7" s="4" t="s">
        <v>21</v>
      </c>
      <c r="B7" s="208" t="s">
        <v>22</v>
      </c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23</v>
      </c>
      <c r="L7" s="209"/>
      <c r="M7" s="209"/>
      <c r="N7" s="209"/>
      <c r="O7" s="210"/>
    </row>
    <row r="8" spans="1:19" ht="17.25" thickBot="1">
      <c r="A8" s="4" t="s">
        <v>24</v>
      </c>
      <c r="B8" s="208" t="s">
        <v>25</v>
      </c>
      <c r="C8" s="209"/>
      <c r="D8" s="209"/>
      <c r="E8" s="209"/>
      <c r="F8" s="210"/>
      <c r="G8" s="211" t="s">
        <v>285</v>
      </c>
      <c r="H8" s="212"/>
      <c r="I8" s="213"/>
      <c r="J8" s="4" t="s">
        <v>24</v>
      </c>
      <c r="K8" s="208" t="s">
        <v>26</v>
      </c>
      <c r="L8" s="209"/>
      <c r="M8" s="209"/>
      <c r="N8" s="209"/>
      <c r="O8" s="210"/>
      <c r="Q8" s="183" t="s">
        <v>27</v>
      </c>
      <c r="R8" s="185"/>
    </row>
    <row r="9" spans="1:19" ht="17.25" thickBot="1">
      <c r="A9" s="4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 t="s">
        <v>293</v>
      </c>
      <c r="L9" s="209"/>
      <c r="M9" s="209"/>
      <c r="N9" s="209"/>
      <c r="O9" s="210"/>
      <c r="Q9" s="2" t="s">
        <v>29</v>
      </c>
      <c r="R9" s="6">
        <v>10</v>
      </c>
    </row>
    <row r="10" spans="1:19">
      <c r="A10" s="4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/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7" t="s">
        <v>32</v>
      </c>
      <c r="B11" s="201"/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/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11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43214000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8.5693770000000002E-4</v>
      </c>
      <c r="N14" s="190"/>
      <c r="O14" s="191"/>
      <c r="Q14" s="182"/>
      <c r="R14" s="182"/>
      <c r="S14" s="182"/>
    </row>
    <row r="15" spans="1:19" ht="17.25" customHeight="1" thickBot="1">
      <c r="A15" s="207" t="s">
        <v>39</v>
      </c>
      <c r="B15" s="199" t="str">
        <f>TEXT($G$1, "[$-ko-KR]yyyy-mm-dd(ddd) ") &amp; "오전 00:00"</f>
        <v>2021-04-01(목) 오전 00:00</v>
      </c>
      <c r="C15" s="200"/>
      <c r="D15" s="196" t="str">
        <f>TEXT($G$1, "[$-ko-KR]yyyy-mm-dd(ddd) ") &amp; "오후 14:00"</f>
        <v>2021-04-01(목) 오후 14:00</v>
      </c>
      <c r="E15" s="197"/>
      <c r="F15" s="198"/>
      <c r="G15" s="196" t="str">
        <f>TEXT($G$1, "[$-ko-KR]yyyy-mm-dd(ddd) ") &amp; "오후 19:00"</f>
        <v>2021-04-01(목) 오후 19:00</v>
      </c>
      <c r="H15" s="197"/>
      <c r="I15" s="198"/>
      <c r="J15" s="196" t="str">
        <f>TEXT($G$1, "[$-ko-KR]yyyy-mm-dd(ddd) ") &amp; "오후 21:00"</f>
        <v>2021-04-01(목) 오후 21:00</v>
      </c>
      <c r="K15" s="197"/>
      <c r="L15" s="198"/>
      <c r="M15" s="196" t="str">
        <f>TEXT($G$1+1, "[$-ko-KR]yyyy-mm-dd(ddd) ") &amp; "오전 00:00"</f>
        <v>2021-04-02(금) 오전 00:00</v>
      </c>
      <c r="N15" s="197"/>
      <c r="O15" s="198"/>
      <c r="Q15" s="182"/>
      <c r="R15" s="182"/>
      <c r="S15" s="182"/>
    </row>
    <row r="16" spans="1:19" ht="17.25" customHeight="1" thickBot="1">
      <c r="A16" s="207"/>
      <c r="B16" s="2" t="s">
        <v>37</v>
      </c>
      <c r="C16" s="10" t="s">
        <v>38</v>
      </c>
      <c r="D16" s="2" t="s">
        <v>37</v>
      </c>
      <c r="E16" s="10" t="s">
        <v>40</v>
      </c>
      <c r="F16" s="11" t="s">
        <v>41</v>
      </c>
      <c r="G16" s="112" t="s">
        <v>37</v>
      </c>
      <c r="H16" s="113" t="s">
        <v>40</v>
      </c>
      <c r="I16" s="114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"/>
      <c r="B17" s="13" t="str">
        <f>IF(NOT(ISBLANK(_xlfn.IFNA(VLOOKUP($A17, $A$40:$O$199, 2, FALSE), ))), _xlfn.IFNA(VLOOKUP($A17, $A$40:$O$199, 2, FALSE), ), "")</f>
        <v/>
      </c>
      <c r="C17" s="14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7"/>
      <c r="B18" s="15" t="str">
        <f t="shared" ref="B18:B36" si="0">IF(NOT(ISBLANK(_xlfn.IFNA(VLOOKUP($A18, $A$40:$O$199, 2, FALSE), ))), _xlfn.IFNA(VLOOKUP($A18, $A$40:$O$199, 2, FALSE), ), "")</f>
        <v/>
      </c>
      <c r="C18" s="32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7"/>
      <c r="B19" s="15" t="str">
        <f t="shared" si="0"/>
        <v/>
      </c>
      <c r="C19" s="32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7"/>
      <c r="B20" s="15" t="str">
        <f t="shared" si="0"/>
        <v/>
      </c>
      <c r="C20" s="32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9"/>
      <c r="B21" s="20" t="str">
        <f t="shared" si="0"/>
        <v/>
      </c>
      <c r="C21" s="21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7"/>
      <c r="B22" s="106" t="str">
        <f t="shared" si="0"/>
        <v/>
      </c>
      <c r="C22" s="107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7"/>
      <c r="B23" s="15" t="str">
        <f t="shared" si="0"/>
        <v/>
      </c>
      <c r="C23" s="32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7"/>
      <c r="B24" s="15" t="str">
        <f t="shared" si="0"/>
        <v/>
      </c>
      <c r="C24" s="32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7"/>
      <c r="B25" s="15" t="str">
        <f t="shared" si="0"/>
        <v/>
      </c>
      <c r="C25" s="32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23"/>
      <c r="B26" s="24" t="str">
        <f t="shared" si="0"/>
        <v/>
      </c>
      <c r="C26" s="25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"/>
      <c r="B27" s="13" t="str">
        <f t="shared" si="0"/>
        <v/>
      </c>
      <c r="C27" s="14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7"/>
      <c r="B28" s="15" t="str">
        <f t="shared" si="0"/>
        <v/>
      </c>
      <c r="C28" s="32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7"/>
      <c r="B29" s="15" t="str">
        <f t="shared" si="0"/>
        <v/>
      </c>
      <c r="C29" s="32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7"/>
      <c r="B30" s="15" t="str">
        <f t="shared" si="0"/>
        <v/>
      </c>
      <c r="C30" s="32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9"/>
      <c r="B31" s="20" t="str">
        <f t="shared" si="0"/>
        <v/>
      </c>
      <c r="C31" s="21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7"/>
      <c r="B32" s="106" t="str">
        <f t="shared" si="0"/>
        <v/>
      </c>
      <c r="C32" s="107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7"/>
      <c r="B33" s="15" t="str">
        <f t="shared" si="0"/>
        <v/>
      </c>
      <c r="C33" s="32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7"/>
      <c r="B34" s="15" t="str">
        <f t="shared" si="0"/>
        <v/>
      </c>
      <c r="C34" s="32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7"/>
      <c r="B35" s="15" t="str">
        <f t="shared" si="0"/>
        <v/>
      </c>
      <c r="C35" s="32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23"/>
      <c r="B36" s="24" t="str">
        <f t="shared" si="0"/>
        <v/>
      </c>
      <c r="C36" s="25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26" t="s">
        <v>42</v>
      </c>
      <c r="B37" s="170">
        <v>300000</v>
      </c>
      <c r="C37" s="171"/>
      <c r="D37" s="26" t="s">
        <v>43</v>
      </c>
      <c r="E37" s="27">
        <f>IF(COUNT(E17:E26), SUM(E17:E26) / COUNT(E17:E26), 0)</f>
        <v>0</v>
      </c>
      <c r="F37" s="28">
        <f>SUM(F17:F26)</f>
        <v>0</v>
      </c>
      <c r="G37" s="26" t="s">
        <v>43</v>
      </c>
      <c r="H37" s="27">
        <f>IF(COUNT(H17:H26), SUM(H17:H26) / COUNT(H17:H26), 0)</f>
        <v>0</v>
      </c>
      <c r="I37" s="28">
        <f>SUM(I17:I26)</f>
        <v>0</v>
      </c>
      <c r="J37" s="26" t="s">
        <v>43</v>
      </c>
      <c r="K37" s="27">
        <f>IF(COUNT(K17:K26), SUM(K17:K26) / COUNT(K17:K26), 0)</f>
        <v>0</v>
      </c>
      <c r="L37" s="28">
        <f>SUM(L17:L26)</f>
        <v>0</v>
      </c>
      <c r="M37" s="26" t="s">
        <v>43</v>
      </c>
      <c r="N37" s="27">
        <f>IF(COUNT(N17:N26), SUM(N17:N26) / COUNT(N17:N26), 0)</f>
        <v>0</v>
      </c>
      <c r="O37" s="28">
        <f>SUM(O17:O26)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11" t="s">
        <v>297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43214000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8.5693770000000002E-4</v>
      </c>
      <c r="N41" s="190"/>
      <c r="O41" s="191"/>
      <c r="Q41" s="182"/>
      <c r="R41" s="182"/>
      <c r="S41" s="182"/>
    </row>
    <row r="42" spans="1:19" ht="17.25" customHeight="1" thickBot="1">
      <c r="A42" s="192" t="s">
        <v>55</v>
      </c>
      <c r="B42" s="194" t="str">
        <f>TEXT($G$1, "[$-ko-KR]yyyy-mm-dd(ddd) ") &amp; "오전 00:00"</f>
        <v>2021-04-01(목) 오전 00:00</v>
      </c>
      <c r="C42" s="195"/>
      <c r="D42" s="196" t="str">
        <f>TEXT($G$1, "[$-ko-KR]yyyy-mm-dd(ddd) ") &amp; "오후 14:00"</f>
        <v>2021-04-01(목) 오후 14:00</v>
      </c>
      <c r="E42" s="197"/>
      <c r="F42" s="198"/>
      <c r="G42" s="196" t="str">
        <f>TEXT($G$1, "[$-ko-KR]yyyy-mm-dd(ddd) ") &amp; "오후 19:00"</f>
        <v>2021-04-01(목) 오후 19:00</v>
      </c>
      <c r="H42" s="197"/>
      <c r="I42" s="198"/>
      <c r="J42" s="196" t="str">
        <f>TEXT($G$1, "[$-ko-KR]yyyy-mm-dd(ddd) ") &amp; "오후 21:00"</f>
        <v>2021-04-01(목) 오후 21:00</v>
      </c>
      <c r="K42" s="197"/>
      <c r="L42" s="198"/>
      <c r="M42" s="196" t="str">
        <f>TEXT($G$1+1, "[$-ko-KR]yyyy-mm-dd(ddd) ") &amp; "오전 00:00"</f>
        <v>2021-04-02(금) 오전 00:00</v>
      </c>
      <c r="N42" s="197"/>
      <c r="O42" s="198"/>
      <c r="Q42" s="182"/>
      <c r="R42" s="182"/>
      <c r="S42" s="182"/>
    </row>
    <row r="43" spans="1:19" ht="17.25" customHeight="1" thickBot="1">
      <c r="A43" s="193"/>
      <c r="B43" s="2" t="s">
        <v>58</v>
      </c>
      <c r="C43" s="10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2"/>
      <c r="R43" s="172"/>
      <c r="S43" s="172"/>
    </row>
    <row r="44" spans="1:19" ht="17.25" customHeight="1" thickBot="1">
      <c r="A44" s="12"/>
      <c r="B44" s="13"/>
      <c r="C44" s="14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7"/>
      <c r="B45" s="15"/>
      <c r="C45" s="32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7"/>
      <c r="B46" s="15"/>
      <c r="C46" s="32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7"/>
      <c r="B47" s="15"/>
      <c r="C47" s="32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9"/>
      <c r="B48" s="20"/>
      <c r="C48" s="21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7"/>
      <c r="B49" s="106"/>
      <c r="C49" s="107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7"/>
      <c r="B50" s="15"/>
      <c r="C50" s="32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7"/>
      <c r="B51" s="15"/>
      <c r="C51" s="32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7"/>
      <c r="B52" s="15"/>
      <c r="C52" s="32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23"/>
      <c r="B53" s="24"/>
      <c r="C53" s="25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"/>
      <c r="B54" s="13"/>
      <c r="C54" s="14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7"/>
      <c r="B55" s="15"/>
      <c r="C55" s="32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7"/>
      <c r="B56" s="15"/>
      <c r="C56" s="32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7"/>
      <c r="B57" s="15"/>
      <c r="C57" s="32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9"/>
      <c r="B58" s="20"/>
      <c r="C58" s="21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7"/>
      <c r="B59" s="106"/>
      <c r="C59" s="107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7"/>
      <c r="B60" s="15"/>
      <c r="C60" s="32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7"/>
      <c r="B61" s="15"/>
      <c r="C61" s="32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7"/>
      <c r="B62" s="15"/>
      <c r="C62" s="32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23"/>
      <c r="B63" s="24"/>
      <c r="C63" s="25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26" t="s">
        <v>300</v>
      </c>
      <c r="B64" s="170">
        <f>$B$37</f>
        <v>300000</v>
      </c>
      <c r="C64" s="171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11" t="s">
        <v>297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43214000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8.5693770000000002E-4</v>
      </c>
      <c r="N68" s="190"/>
      <c r="O68" s="191"/>
      <c r="Q68" s="182"/>
      <c r="R68" s="182"/>
      <c r="S68" s="182"/>
    </row>
    <row r="69" spans="1:19" ht="17.25" thickBot="1">
      <c r="A69" s="192" t="s">
        <v>55</v>
      </c>
      <c r="B69" s="194" t="str">
        <f>TEXT($G$1, "[$-ko-KR]yyyy-mm-dd(ddd) ") &amp; "오전 00:00"</f>
        <v>2021-04-01(목) 오전 00:00</v>
      </c>
      <c r="C69" s="195"/>
      <c r="D69" s="196" t="str">
        <f>TEXT($G$1, "[$-ko-KR]yyyy-mm-dd(ddd) ") &amp; "오후 14:00"</f>
        <v>2021-04-01(목) 오후 14:00</v>
      </c>
      <c r="E69" s="197"/>
      <c r="F69" s="198"/>
      <c r="G69" s="196" t="str">
        <f>TEXT($G$1, "[$-ko-KR]yyyy-mm-dd(ddd) ") &amp; "오후 19:00"</f>
        <v>2021-04-01(목) 오후 19:00</v>
      </c>
      <c r="H69" s="197"/>
      <c r="I69" s="198"/>
      <c r="J69" s="196" t="str">
        <f>TEXT($G$1, "[$-ko-KR]yyyy-mm-dd(ddd) ") &amp; "오후 21:00"</f>
        <v>2021-04-01(목) 오후 21:00</v>
      </c>
      <c r="K69" s="197"/>
      <c r="L69" s="198"/>
      <c r="M69" s="196" t="str">
        <f>TEXT($G$1+1, "[$-ko-KR]yyyy-mm-dd(ddd) ") &amp; "오전 00:00"</f>
        <v>2021-04-02(금) 오전 00:00</v>
      </c>
      <c r="N69" s="197"/>
      <c r="O69" s="198"/>
      <c r="Q69" s="182"/>
      <c r="R69" s="182"/>
      <c r="S69" s="182"/>
    </row>
    <row r="70" spans="1:19" ht="17.25" thickBot="1">
      <c r="A70" s="193"/>
      <c r="B70" s="2" t="s">
        <v>58</v>
      </c>
      <c r="C70" s="10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2"/>
      <c r="R70" s="172"/>
      <c r="S70" s="172"/>
    </row>
    <row r="71" spans="1:19" ht="17.25" thickBot="1">
      <c r="A71" s="12"/>
      <c r="B71" s="13"/>
      <c r="C71" s="14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7"/>
      <c r="B72" s="15"/>
      <c r="C72" s="32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7"/>
      <c r="B73" s="15"/>
      <c r="C73" s="32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7"/>
      <c r="B74" s="15"/>
      <c r="C74" s="32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9"/>
      <c r="B75" s="20"/>
      <c r="C75" s="21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7"/>
      <c r="B76" s="106"/>
      <c r="C76" s="107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7"/>
      <c r="B77" s="15"/>
      <c r="C77" s="32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7"/>
      <c r="B78" s="15"/>
      <c r="C78" s="32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7"/>
      <c r="B79" s="15"/>
      <c r="C79" s="32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23"/>
      <c r="B80" s="24"/>
      <c r="C80" s="25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"/>
      <c r="B81" s="13"/>
      <c r="C81" s="14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7"/>
      <c r="B82" s="15"/>
      <c r="C82" s="32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7"/>
      <c r="B83" s="15"/>
      <c r="C83" s="32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7"/>
      <c r="B84" s="15"/>
      <c r="C84" s="32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9"/>
      <c r="B85" s="20"/>
      <c r="C85" s="21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7"/>
      <c r="B86" s="106"/>
      <c r="C86" s="107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7"/>
      <c r="B87" s="15"/>
      <c r="C87" s="32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7"/>
      <c r="B88" s="15"/>
      <c r="C88" s="32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7"/>
      <c r="B89" s="15"/>
      <c r="C89" s="32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23"/>
      <c r="B90" s="24"/>
      <c r="C90" s="25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26" t="s">
        <v>300</v>
      </c>
      <c r="B91" s="170">
        <f>$B$37</f>
        <v>300000</v>
      </c>
      <c r="C91" s="171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11" t="s">
        <v>297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43214000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8.5693770000000002E-4</v>
      </c>
      <c r="N95" s="190"/>
      <c r="O95" s="191"/>
      <c r="Q95" s="182"/>
      <c r="R95" s="182"/>
      <c r="S95" s="182"/>
    </row>
    <row r="96" spans="1:19" ht="17.25" thickBot="1">
      <c r="A96" s="192" t="s">
        <v>55</v>
      </c>
      <c r="B96" s="194" t="str">
        <f>TEXT($G$1, "[$-ko-KR]yyyy-mm-dd(ddd) ") &amp; "오전 00:00"</f>
        <v>2021-04-01(목) 오전 00:00</v>
      </c>
      <c r="C96" s="195"/>
      <c r="D96" s="196" t="str">
        <f>TEXT($G$1, "[$-ko-KR]yyyy-mm-dd(ddd) ") &amp; "오후 14:00"</f>
        <v>2021-04-01(목) 오후 14:00</v>
      </c>
      <c r="E96" s="197"/>
      <c r="F96" s="198"/>
      <c r="G96" s="196" t="str">
        <f>TEXT($G$1, "[$-ko-KR]yyyy-mm-dd(ddd) ") &amp; "오후 19:00"</f>
        <v>2021-04-01(목) 오후 19:00</v>
      </c>
      <c r="H96" s="197"/>
      <c r="I96" s="198"/>
      <c r="J96" s="196" t="str">
        <f>TEXT($G$1, "[$-ko-KR]yyyy-mm-dd(ddd) ") &amp; "오후 21:00"</f>
        <v>2021-04-01(목) 오후 21:00</v>
      </c>
      <c r="K96" s="197"/>
      <c r="L96" s="198"/>
      <c r="M96" s="196" t="str">
        <f>TEXT($G$1+1, "[$-ko-KR]yyyy-mm-dd(ddd) ") &amp; "오전 00:00"</f>
        <v>2021-04-02(금) 오전 00:00</v>
      </c>
      <c r="N96" s="197"/>
      <c r="O96" s="198"/>
      <c r="Q96" s="182"/>
      <c r="R96" s="182"/>
      <c r="S96" s="182"/>
    </row>
    <row r="97" spans="1:19" ht="17.25" thickBot="1">
      <c r="A97" s="193"/>
      <c r="B97" s="2" t="s">
        <v>58</v>
      </c>
      <c r="C97" s="10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2"/>
      <c r="R97" s="172"/>
      <c r="S97" s="172"/>
    </row>
    <row r="98" spans="1:19" ht="17.25" thickBot="1">
      <c r="A98" s="12"/>
      <c r="B98" s="13"/>
      <c r="C98" s="14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7"/>
      <c r="B99" s="15"/>
      <c r="C99" s="32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7"/>
      <c r="B100" s="15"/>
      <c r="C100" s="32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7"/>
      <c r="B101" s="15"/>
      <c r="C101" s="32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9"/>
      <c r="B102" s="20"/>
      <c r="C102" s="21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7"/>
      <c r="B103" s="106"/>
      <c r="C103" s="107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7"/>
      <c r="B104" s="15"/>
      <c r="C104" s="32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7"/>
      <c r="B105" s="15"/>
      <c r="C105" s="32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7"/>
      <c r="B106" s="15"/>
      <c r="C106" s="32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23"/>
      <c r="B107" s="24"/>
      <c r="C107" s="25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"/>
      <c r="B108" s="13"/>
      <c r="C108" s="14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7"/>
      <c r="B109" s="15"/>
      <c r="C109" s="32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7"/>
      <c r="B110" s="15"/>
      <c r="C110" s="32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7"/>
      <c r="B111" s="15"/>
      <c r="C111" s="32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9"/>
      <c r="B112" s="20"/>
      <c r="C112" s="21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7"/>
      <c r="B113" s="106"/>
      <c r="C113" s="107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7"/>
      <c r="B114" s="15"/>
      <c r="C114" s="32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7"/>
      <c r="B115" s="15"/>
      <c r="C115" s="32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7"/>
      <c r="B116" s="15"/>
      <c r="C116" s="32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23"/>
      <c r="B117" s="24"/>
      <c r="C117" s="25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26" t="s">
        <v>300</v>
      </c>
      <c r="B118" s="170">
        <f>$B$37</f>
        <v>300000</v>
      </c>
      <c r="C118" s="171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288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11" t="s">
        <v>297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43214000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8.5693770000000002E-4</v>
      </c>
      <c r="N122" s="190"/>
      <c r="O122" s="191"/>
      <c r="Q122" s="182"/>
      <c r="R122" s="182"/>
      <c r="S122" s="182"/>
    </row>
    <row r="123" spans="1:19" ht="17.25" thickBot="1">
      <c r="A123" s="192" t="s">
        <v>55</v>
      </c>
      <c r="B123" s="194" t="str">
        <f>TEXT($G$1, "[$-ko-KR]yyyy-mm-dd(ddd) ") &amp; "오전 00:00"</f>
        <v>2021-04-01(목) 오전 00:00</v>
      </c>
      <c r="C123" s="195"/>
      <c r="D123" s="196" t="str">
        <f>TEXT($G$1, "[$-ko-KR]yyyy-mm-dd(ddd) ") &amp; "오후 14:00"</f>
        <v>2021-04-01(목) 오후 14:00</v>
      </c>
      <c r="E123" s="197"/>
      <c r="F123" s="198"/>
      <c r="G123" s="196" t="str">
        <f>TEXT($G$1, "[$-ko-KR]yyyy-mm-dd(ddd) ") &amp; "오후 19:00"</f>
        <v>2021-04-01(목) 오후 19:00</v>
      </c>
      <c r="H123" s="197"/>
      <c r="I123" s="198"/>
      <c r="J123" s="196" t="str">
        <f>TEXT($G$1, "[$-ko-KR]yyyy-mm-dd(ddd) ") &amp; "오후 21:00"</f>
        <v>2021-04-01(목) 오후 21:00</v>
      </c>
      <c r="K123" s="197"/>
      <c r="L123" s="198"/>
      <c r="M123" s="196" t="str">
        <f>TEXT($G$1+1, "[$-ko-KR]yyyy-mm-dd(ddd) ") &amp; "오전 00:00"</f>
        <v>2021-04-02(금) 오전 00:00</v>
      </c>
      <c r="N123" s="197"/>
      <c r="O123" s="198"/>
      <c r="Q123" s="182"/>
      <c r="R123" s="182"/>
      <c r="S123" s="182"/>
    </row>
    <row r="124" spans="1:19" ht="17.25" thickBot="1">
      <c r="A124" s="193"/>
      <c r="B124" s="2" t="s">
        <v>58</v>
      </c>
      <c r="C124" s="10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2"/>
      <c r="R124" s="172"/>
      <c r="S124" s="172"/>
    </row>
    <row r="125" spans="1:19" ht="17.25" thickBot="1">
      <c r="A125" s="12"/>
      <c r="B125" s="13"/>
      <c r="C125" s="14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7"/>
      <c r="B126" s="15"/>
      <c r="C126" s="32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7"/>
      <c r="B127" s="15"/>
      <c r="C127" s="32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7"/>
      <c r="B128" s="15"/>
      <c r="C128" s="32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9"/>
      <c r="B129" s="20"/>
      <c r="C129" s="21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7"/>
      <c r="B130" s="106"/>
      <c r="C130" s="107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7"/>
      <c r="B131" s="15"/>
      <c r="C131" s="32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7"/>
      <c r="B132" s="15"/>
      <c r="C132" s="32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7"/>
      <c r="B133" s="15"/>
      <c r="C133" s="32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23"/>
      <c r="B134" s="24"/>
      <c r="C134" s="25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"/>
      <c r="B135" s="13"/>
      <c r="C135" s="14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7"/>
      <c r="B136" s="15"/>
      <c r="C136" s="32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7"/>
      <c r="B137" s="15"/>
      <c r="C137" s="32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7"/>
      <c r="B138" s="15"/>
      <c r="C138" s="32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9"/>
      <c r="B139" s="20"/>
      <c r="C139" s="21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7"/>
      <c r="B140" s="106"/>
      <c r="C140" s="107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7"/>
      <c r="B141" s="15"/>
      <c r="C141" s="32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7"/>
      <c r="B142" s="15"/>
      <c r="C142" s="32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7"/>
      <c r="B143" s="15"/>
      <c r="C143" s="32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23"/>
      <c r="B144" s="24"/>
      <c r="C144" s="25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26" t="s">
        <v>300</v>
      </c>
      <c r="B145" s="170">
        <f>$B$37</f>
        <v>300000</v>
      </c>
      <c r="C145" s="171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289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11" t="s">
        <v>297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43214000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8.5693770000000002E-4</v>
      </c>
      <c r="N149" s="190"/>
      <c r="O149" s="191"/>
      <c r="Q149" s="182"/>
      <c r="R149" s="182"/>
      <c r="S149" s="182"/>
    </row>
    <row r="150" spans="1:19" ht="17.25" thickBot="1">
      <c r="A150" s="192" t="s">
        <v>55</v>
      </c>
      <c r="B150" s="194" t="str">
        <f>TEXT($G$1, "[$-ko-KR]yyyy-mm-dd(ddd) ") &amp; "오전 00:00"</f>
        <v>2021-04-01(목) 오전 00:00</v>
      </c>
      <c r="C150" s="195"/>
      <c r="D150" s="196" t="str">
        <f>TEXT($G$1, "[$-ko-KR]yyyy-mm-dd(ddd) ") &amp; "오후 14:00"</f>
        <v>2021-04-01(목) 오후 14:00</v>
      </c>
      <c r="E150" s="197"/>
      <c r="F150" s="198"/>
      <c r="G150" s="196" t="str">
        <f>TEXT($G$1, "[$-ko-KR]yyyy-mm-dd(ddd) ") &amp; "오후 19:00"</f>
        <v>2021-04-01(목) 오후 19:00</v>
      </c>
      <c r="H150" s="197"/>
      <c r="I150" s="198"/>
      <c r="J150" s="196" t="str">
        <f>TEXT($G$1, "[$-ko-KR]yyyy-mm-dd(ddd) ") &amp; "오후 21:00"</f>
        <v>2021-04-01(목) 오후 21:00</v>
      </c>
      <c r="K150" s="197"/>
      <c r="L150" s="198"/>
      <c r="M150" s="196" t="str">
        <f>TEXT($G$1+1, "[$-ko-KR]yyyy-mm-dd(ddd) ") &amp; "오전 00:00"</f>
        <v>2021-04-02(금) 오전 00:00</v>
      </c>
      <c r="N150" s="197"/>
      <c r="O150" s="198"/>
      <c r="Q150" s="182"/>
      <c r="R150" s="182"/>
      <c r="S150" s="182"/>
    </row>
    <row r="151" spans="1:19" ht="17.25" thickBot="1">
      <c r="A151" s="193"/>
      <c r="B151" s="2" t="s">
        <v>58</v>
      </c>
      <c r="C151" s="10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2"/>
      <c r="R151" s="172"/>
      <c r="S151" s="172"/>
    </row>
    <row r="152" spans="1:19" ht="17.25" thickBot="1">
      <c r="A152" s="12"/>
      <c r="B152" s="13"/>
      <c r="C152" s="14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7"/>
      <c r="B153" s="15"/>
      <c r="C153" s="32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7"/>
      <c r="B154" s="15"/>
      <c r="C154" s="32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7"/>
      <c r="B155" s="15"/>
      <c r="C155" s="32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9"/>
      <c r="B156" s="20"/>
      <c r="C156" s="21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7"/>
      <c r="B157" s="106"/>
      <c r="C157" s="107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7"/>
      <c r="B158" s="15"/>
      <c r="C158" s="32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7"/>
      <c r="B159" s="15"/>
      <c r="C159" s="32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7"/>
      <c r="B160" s="15"/>
      <c r="C160" s="32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23"/>
      <c r="B161" s="24"/>
      <c r="C161" s="25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"/>
      <c r="B162" s="13"/>
      <c r="C162" s="14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7"/>
      <c r="B163" s="15"/>
      <c r="C163" s="32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7"/>
      <c r="B164" s="15"/>
      <c r="C164" s="32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7"/>
      <c r="B165" s="15"/>
      <c r="C165" s="32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9"/>
      <c r="B166" s="20"/>
      <c r="C166" s="21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7"/>
      <c r="B167" s="106"/>
      <c r="C167" s="107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7"/>
      <c r="B168" s="15"/>
      <c r="C168" s="32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7"/>
      <c r="B169" s="15"/>
      <c r="C169" s="32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7"/>
      <c r="B170" s="15"/>
      <c r="C170" s="32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23"/>
      <c r="B171" s="24"/>
      <c r="C171" s="25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26" t="s">
        <v>300</v>
      </c>
      <c r="B172" s="170">
        <f>$B$37</f>
        <v>300000</v>
      </c>
      <c r="C172" s="171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285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11" t="s">
        <v>297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43214000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8.5693770000000002E-4</v>
      </c>
      <c r="N176" s="190"/>
      <c r="O176" s="191"/>
      <c r="Q176" s="182"/>
      <c r="R176" s="182"/>
      <c r="S176" s="182"/>
    </row>
    <row r="177" spans="1:19" ht="17.25" thickBot="1">
      <c r="A177" s="192" t="s">
        <v>55</v>
      </c>
      <c r="B177" s="194" t="str">
        <f>TEXT($G$1, "[$-ko-KR]yyyy-mm-dd(ddd) ") &amp; "오전 00:00"</f>
        <v>2021-04-01(목) 오전 00:00</v>
      </c>
      <c r="C177" s="195"/>
      <c r="D177" s="196" t="str">
        <f>TEXT($G$1, "[$-ko-KR]yyyy-mm-dd(ddd) ") &amp; "오후 14:00"</f>
        <v>2021-04-01(목) 오후 14:00</v>
      </c>
      <c r="E177" s="197"/>
      <c r="F177" s="198"/>
      <c r="G177" s="196" t="str">
        <f>TEXT($G$1, "[$-ko-KR]yyyy-mm-dd(ddd) ") &amp; "오후 19:00"</f>
        <v>2021-04-01(목) 오후 19:00</v>
      </c>
      <c r="H177" s="197"/>
      <c r="I177" s="198"/>
      <c r="J177" s="196" t="str">
        <f>TEXT($G$1, "[$-ko-KR]yyyy-mm-dd(ddd) ") &amp; "오후 21:00"</f>
        <v>2021-04-01(목) 오후 21:00</v>
      </c>
      <c r="K177" s="197"/>
      <c r="L177" s="198"/>
      <c r="M177" s="196" t="str">
        <f>TEXT($G$1+1, "[$-ko-KR]yyyy-mm-dd(ddd) ") &amp; "오전 00:00"</f>
        <v>2021-04-02(금) 오전 00:00</v>
      </c>
      <c r="N177" s="197"/>
      <c r="O177" s="198"/>
      <c r="Q177" s="182"/>
      <c r="R177" s="182"/>
      <c r="S177" s="182"/>
    </row>
    <row r="178" spans="1:19" ht="17.25" thickBot="1">
      <c r="A178" s="193"/>
      <c r="B178" s="2" t="s">
        <v>58</v>
      </c>
      <c r="C178" s="10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2"/>
      <c r="R178" s="172"/>
      <c r="S178" s="172"/>
    </row>
    <row r="179" spans="1:19" ht="17.25" thickBot="1">
      <c r="A179" s="12"/>
      <c r="B179" s="13"/>
      <c r="C179" s="14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7"/>
      <c r="B180" s="15"/>
      <c r="C180" s="32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7"/>
      <c r="B181" s="15"/>
      <c r="C181" s="32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7"/>
      <c r="B182" s="15"/>
      <c r="C182" s="32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9"/>
      <c r="B183" s="20"/>
      <c r="C183" s="21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7"/>
      <c r="B184" s="106"/>
      <c r="C184" s="107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7"/>
      <c r="B185" s="15"/>
      <c r="C185" s="32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7"/>
      <c r="B186" s="15"/>
      <c r="C186" s="32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7"/>
      <c r="B187" s="15"/>
      <c r="C187" s="32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23"/>
      <c r="B188" s="24"/>
      <c r="C188" s="25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"/>
      <c r="B189" s="13"/>
      <c r="C189" s="14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7"/>
      <c r="B190" s="15"/>
      <c r="C190" s="32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7"/>
      <c r="B191" s="15"/>
      <c r="C191" s="32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7"/>
      <c r="B192" s="15"/>
      <c r="C192" s="32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9"/>
      <c r="B193" s="20"/>
      <c r="C193" s="21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7"/>
      <c r="B194" s="106"/>
      <c r="C194" s="107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7"/>
      <c r="B195" s="15"/>
      <c r="C195" s="32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7"/>
      <c r="B196" s="15"/>
      <c r="C196" s="32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7"/>
      <c r="B197" s="15"/>
      <c r="C197" s="32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23"/>
      <c r="B198" s="24"/>
      <c r="C198" s="25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26" t="s">
        <v>300</v>
      </c>
      <c r="B199" s="170">
        <f>$B$37</f>
        <v>300000</v>
      </c>
      <c r="C199" s="171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A1:F1"/>
    <mergeCell ref="G1:I1"/>
    <mergeCell ref="J1:O1"/>
    <mergeCell ref="Q1:R1"/>
    <mergeCell ref="B2:F2"/>
    <mergeCell ref="G2:I2"/>
    <mergeCell ref="K2:O2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</mergeCells>
  <phoneticPr fontId="1" type="noConversion"/>
  <conditionalFormatting sqref="G2:I3">
    <cfRule type="expression" dxfId="785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784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783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782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781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780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779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778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777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776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775" priority="157">
      <formula>AND($N17 &gt; 0, ISNUMBER($N17))</formula>
    </cfRule>
    <cfRule type="expression" dxfId="774" priority="158">
      <formula>AND($N17 = 0 * ISNUMBER($N17))</formula>
    </cfRule>
    <cfRule type="expression" dxfId="773" priority="159">
      <formula>AND($N17 &lt; 0, ISNUMBER($N17))</formula>
    </cfRule>
  </conditionalFormatting>
  <conditionalFormatting sqref="A17:F36">
    <cfRule type="expression" dxfId="772" priority="166">
      <formula>AND($E17 &gt; 0, ISNUMBER($E17))</formula>
    </cfRule>
    <cfRule type="expression" dxfId="771" priority="167">
      <formula>AND($E17 = 0 * ISNUMBER($E17))</formula>
    </cfRule>
    <cfRule type="expression" dxfId="770" priority="168">
      <formula>AND($E17 &lt; 0, ISNUMBER($E17))</formula>
    </cfRule>
  </conditionalFormatting>
  <conditionalFormatting sqref="A17:C36 G17:I36">
    <cfRule type="expression" dxfId="769" priority="163">
      <formula>AND($H17 &gt; 0, ISNUMBER($H17))</formula>
    </cfRule>
    <cfRule type="expression" dxfId="768" priority="164">
      <formula>AND($H17 = 0 * ISNUMBER($H17))</formula>
    </cfRule>
    <cfRule type="expression" dxfId="767" priority="165">
      <formula>AND($H17 &lt; 0, ISNUMBER($H17))</formula>
    </cfRule>
  </conditionalFormatting>
  <conditionalFormatting sqref="A17:C36 J17:L36">
    <cfRule type="expression" dxfId="766" priority="160">
      <formula>AND($K17 &gt; 0, ISNUMBER($K17))</formula>
    </cfRule>
    <cfRule type="expression" dxfId="765" priority="161">
      <formula>AND($K17 = 0 * ISNUMBER($K17))</formula>
    </cfRule>
    <cfRule type="expression" dxfId="764" priority="162">
      <formula>AND($K17 &lt; 0, ISNUMBER($K17))</formula>
    </cfRule>
  </conditionalFormatting>
  <conditionalFormatting sqref="D15:F16 E37:F37">
    <cfRule type="expression" dxfId="763" priority="154">
      <formula>$E$37 &gt; 0</formula>
    </cfRule>
    <cfRule type="expression" dxfId="762" priority="155">
      <formula>$E$37 = 0</formula>
    </cfRule>
    <cfRule type="expression" dxfId="761" priority="156">
      <formula>$E$37 &lt; 0</formula>
    </cfRule>
  </conditionalFormatting>
  <conditionalFormatting sqref="G15:I16 H37:I37">
    <cfRule type="expression" dxfId="760" priority="151">
      <formula>$H$37 &gt; 0</formula>
    </cfRule>
    <cfRule type="expression" dxfId="759" priority="152">
      <formula>$H$37 = 0</formula>
    </cfRule>
    <cfRule type="expression" dxfId="758" priority="153">
      <formula>$H$37 &lt; 0</formula>
    </cfRule>
  </conditionalFormatting>
  <conditionalFormatting sqref="J15:L16 K37:L37">
    <cfRule type="expression" dxfId="757" priority="148">
      <formula>$K$37 &gt; 0</formula>
    </cfRule>
    <cfRule type="expression" dxfId="756" priority="149">
      <formula>$K$37 = 0</formula>
    </cfRule>
    <cfRule type="expression" dxfId="755" priority="150">
      <formula>$K$37 &lt; 0</formula>
    </cfRule>
  </conditionalFormatting>
  <conditionalFormatting sqref="M15:O16 N37:O37">
    <cfRule type="expression" dxfId="754" priority="145">
      <formula>$N$37 &gt; 0</formula>
    </cfRule>
    <cfRule type="expression" dxfId="753" priority="146">
      <formula>$N$37 = 0</formula>
    </cfRule>
    <cfRule type="expression" dxfId="752" priority="147">
      <formula>$N$37 &lt; 0</formula>
    </cfRule>
  </conditionalFormatting>
  <conditionalFormatting sqref="A44:C63 M44:O63">
    <cfRule type="expression" dxfId="751" priority="133">
      <formula>AND($N44 &gt; 0, ISNUMBER($N44))</formula>
    </cfRule>
    <cfRule type="expression" dxfId="750" priority="134">
      <formula>AND($N44 = 0 * ISNUMBER($N44))</formula>
    </cfRule>
    <cfRule type="expression" dxfId="749" priority="135">
      <formula>AND($N44 &lt; 0, ISNUMBER($N44))</formula>
    </cfRule>
  </conditionalFormatting>
  <conditionalFormatting sqref="A44:F63">
    <cfRule type="expression" dxfId="748" priority="142">
      <formula>AND($E44 &gt; 0, ISNUMBER($E44))</formula>
    </cfRule>
    <cfRule type="expression" dxfId="747" priority="143">
      <formula>AND($E44 = 0 * ISNUMBER($E44))</formula>
    </cfRule>
    <cfRule type="expression" dxfId="746" priority="144">
      <formula>AND($E44 &lt; 0, ISNUMBER($E44))</formula>
    </cfRule>
  </conditionalFormatting>
  <conditionalFormatting sqref="A44:C63 G44:I63">
    <cfRule type="expression" dxfId="745" priority="139">
      <formula>AND($H44 &gt; 0, ISNUMBER($H44))</formula>
    </cfRule>
    <cfRule type="expression" dxfId="744" priority="140">
      <formula>AND($H44 = 0 * ISNUMBER($H44))</formula>
    </cfRule>
    <cfRule type="expression" dxfId="743" priority="141">
      <formula>AND($H44 &lt; 0, ISNUMBER($H44))</formula>
    </cfRule>
  </conditionalFormatting>
  <conditionalFormatting sqref="A44:C63 J44:L63">
    <cfRule type="expression" dxfId="742" priority="136">
      <formula>AND($K44 &gt; 0, ISNUMBER($K44))</formula>
    </cfRule>
    <cfRule type="expression" dxfId="741" priority="137">
      <formula>AND($K44 = 0 * ISNUMBER($K44))</formula>
    </cfRule>
    <cfRule type="expression" dxfId="740" priority="138">
      <formula>AND($K44 &lt; 0, ISNUMBER($K44))</formula>
    </cfRule>
  </conditionalFormatting>
  <conditionalFormatting sqref="D42:F43 E64:F64">
    <cfRule type="expression" dxfId="739" priority="130">
      <formula>$E$64 &gt; 0</formula>
    </cfRule>
    <cfRule type="expression" dxfId="738" priority="131">
      <formula>$E$64 = 0</formula>
    </cfRule>
    <cfRule type="expression" dxfId="737" priority="132">
      <formula>$E$64 &lt; 0</formula>
    </cfRule>
  </conditionalFormatting>
  <conditionalFormatting sqref="G42:I43 H64:I64">
    <cfRule type="expression" dxfId="736" priority="127">
      <formula>$H$64 &gt; 0</formula>
    </cfRule>
    <cfRule type="expression" dxfId="735" priority="128">
      <formula>$H$64 = 0</formula>
    </cfRule>
    <cfRule type="expression" dxfId="734" priority="129">
      <formula>$H$64 &lt; 0</formula>
    </cfRule>
  </conditionalFormatting>
  <conditionalFormatting sqref="J42:L43 K64:L64">
    <cfRule type="expression" dxfId="733" priority="124">
      <formula>$K$64 &gt; 0</formula>
    </cfRule>
    <cfRule type="expression" dxfId="732" priority="125">
      <formula>$K$64 = 0</formula>
    </cfRule>
    <cfRule type="expression" dxfId="731" priority="126">
      <formula>$K$64 &lt; 0</formula>
    </cfRule>
  </conditionalFormatting>
  <conditionalFormatting sqref="M42:O43 N64:O64">
    <cfRule type="expression" dxfId="730" priority="121">
      <formula>$N$64 &gt; 0</formula>
    </cfRule>
    <cfRule type="expression" dxfId="729" priority="122">
      <formula>$N$64 = 0</formula>
    </cfRule>
    <cfRule type="expression" dxfId="728" priority="123">
      <formula>$N$64 &lt; 0</formula>
    </cfRule>
  </conditionalFormatting>
  <conditionalFormatting sqref="A71:C90 M71:O90">
    <cfRule type="expression" dxfId="727" priority="109">
      <formula>AND($N71 &gt; 0, ISNUMBER($N71))</formula>
    </cfRule>
    <cfRule type="expression" dxfId="726" priority="110">
      <formula>AND($N71 = 0 * ISNUMBER($N71))</formula>
    </cfRule>
    <cfRule type="expression" dxfId="725" priority="111">
      <formula>AND($N71 &lt; 0, ISNUMBER($N71))</formula>
    </cfRule>
  </conditionalFormatting>
  <conditionalFormatting sqref="A71:F90">
    <cfRule type="expression" dxfId="724" priority="118">
      <formula>AND($E71 &gt; 0, ISNUMBER($E71))</formula>
    </cfRule>
    <cfRule type="expression" dxfId="723" priority="119">
      <formula>AND($E71 = 0 * ISNUMBER($E71))</formula>
    </cfRule>
    <cfRule type="expression" dxfId="722" priority="120">
      <formula>AND($E71 &lt; 0, ISNUMBER($E71))</formula>
    </cfRule>
  </conditionalFormatting>
  <conditionalFormatting sqref="A71:C90 G71:I90">
    <cfRule type="expression" dxfId="721" priority="115">
      <formula>AND($H71 &gt; 0, ISNUMBER($H71))</formula>
    </cfRule>
    <cfRule type="expression" dxfId="720" priority="116">
      <formula>AND($H71 = 0 * ISNUMBER($H71))</formula>
    </cfRule>
    <cfRule type="expression" dxfId="719" priority="117">
      <formula>AND($H71 &lt; 0, ISNUMBER($H71))</formula>
    </cfRule>
  </conditionalFormatting>
  <conditionalFormatting sqref="A71:C90 J71:L90">
    <cfRule type="expression" dxfId="718" priority="112">
      <formula>AND($K71 &gt; 0, ISNUMBER($K71))</formula>
    </cfRule>
    <cfRule type="expression" dxfId="717" priority="113">
      <formula>AND($K71 = 0 * ISNUMBER($K71))</formula>
    </cfRule>
    <cfRule type="expression" dxfId="716" priority="114">
      <formula>AND($K71 &lt; 0, ISNUMBER($K71))</formula>
    </cfRule>
  </conditionalFormatting>
  <conditionalFormatting sqref="D69:F70 E91:F91">
    <cfRule type="expression" dxfId="715" priority="106">
      <formula>$E$91 &gt; 0</formula>
    </cfRule>
    <cfRule type="expression" dxfId="714" priority="107">
      <formula>$E$91 = 0</formula>
    </cfRule>
    <cfRule type="expression" dxfId="713" priority="108">
      <formula>$E$91 &lt; 0</formula>
    </cfRule>
  </conditionalFormatting>
  <conditionalFormatting sqref="G69:I70 H91:I91">
    <cfRule type="expression" dxfId="712" priority="103">
      <formula>$H$91 &gt; 0</formula>
    </cfRule>
    <cfRule type="expression" dxfId="711" priority="104">
      <formula>$H$91 = 0</formula>
    </cfRule>
    <cfRule type="expression" dxfId="710" priority="105">
      <formula>$H$91 &lt; 0</formula>
    </cfRule>
  </conditionalFormatting>
  <conditionalFormatting sqref="J69:L70 K91:L91">
    <cfRule type="expression" dxfId="709" priority="100">
      <formula>$K$91 &gt; 0</formula>
    </cfRule>
    <cfRule type="expression" dxfId="708" priority="101">
      <formula>$K$91 = 0</formula>
    </cfRule>
    <cfRule type="expression" dxfId="707" priority="102">
      <formula>$K$91 &lt; 0</formula>
    </cfRule>
  </conditionalFormatting>
  <conditionalFormatting sqref="M69:O70 N91:O91">
    <cfRule type="expression" dxfId="706" priority="97">
      <formula>$N$91 &gt; 0</formula>
    </cfRule>
    <cfRule type="expression" dxfId="705" priority="98">
      <formula>$N$91 = 0</formula>
    </cfRule>
    <cfRule type="expression" dxfId="704" priority="99">
      <formula>$N$91 &lt; 0</formula>
    </cfRule>
  </conditionalFormatting>
  <conditionalFormatting sqref="A98:C117 M98:O117">
    <cfRule type="expression" dxfId="703" priority="85">
      <formula>AND($N98 &gt; 0, ISNUMBER($N98))</formula>
    </cfRule>
    <cfRule type="expression" dxfId="702" priority="86">
      <formula>AND($N98 = 0 * ISNUMBER($N98))</formula>
    </cfRule>
    <cfRule type="expression" dxfId="701" priority="87">
      <formula>AND($N98 &lt; 0, ISNUMBER($N98))</formula>
    </cfRule>
  </conditionalFormatting>
  <conditionalFormatting sqref="A98:F117">
    <cfRule type="expression" dxfId="700" priority="94">
      <formula>AND($E98 &gt; 0, ISNUMBER($E98))</formula>
    </cfRule>
    <cfRule type="expression" dxfId="699" priority="95">
      <formula>AND($E98 = 0 * ISNUMBER($E98))</formula>
    </cfRule>
    <cfRule type="expression" dxfId="698" priority="96">
      <formula>AND($E98 &lt; 0, ISNUMBER($E98))</formula>
    </cfRule>
  </conditionalFormatting>
  <conditionalFormatting sqref="A98:C117 G98:I117">
    <cfRule type="expression" dxfId="697" priority="91">
      <formula>AND($H98 &gt; 0, ISNUMBER($H98))</formula>
    </cfRule>
    <cfRule type="expression" dxfId="696" priority="92">
      <formula>AND($H98 = 0 * ISNUMBER($H98))</formula>
    </cfRule>
    <cfRule type="expression" dxfId="695" priority="93">
      <formula>AND($H98 &lt; 0, ISNUMBER($H98))</formula>
    </cfRule>
  </conditionalFormatting>
  <conditionalFormatting sqref="A98:C117 J98:L117">
    <cfRule type="expression" dxfId="694" priority="88">
      <formula>AND($K98 &gt; 0, ISNUMBER($K98))</formula>
    </cfRule>
    <cfRule type="expression" dxfId="693" priority="89">
      <formula>AND($K98 = 0 * ISNUMBER($K98))</formula>
    </cfRule>
    <cfRule type="expression" dxfId="692" priority="90">
      <formula>AND($K98 &lt; 0, ISNUMBER($K98))</formula>
    </cfRule>
  </conditionalFormatting>
  <conditionalFormatting sqref="D96:F97 E118:F118">
    <cfRule type="expression" dxfId="691" priority="82">
      <formula>$E$118 &gt; 0</formula>
    </cfRule>
    <cfRule type="expression" dxfId="690" priority="83">
      <formula>$E$118 = 0</formula>
    </cfRule>
    <cfRule type="expression" dxfId="689" priority="84">
      <formula>$E$118 &lt; 0</formula>
    </cfRule>
  </conditionalFormatting>
  <conditionalFormatting sqref="G96:I97 H118:I118">
    <cfRule type="expression" dxfId="688" priority="79">
      <formula>$H$118 &gt; 0</formula>
    </cfRule>
    <cfRule type="expression" dxfId="687" priority="80">
      <formula>$H$118 = 0</formula>
    </cfRule>
    <cfRule type="expression" dxfId="686" priority="81">
      <formula>$H$118 &lt; 0</formula>
    </cfRule>
  </conditionalFormatting>
  <conditionalFormatting sqref="J96:L97 K118:L118">
    <cfRule type="expression" dxfId="685" priority="76">
      <formula>$K$118 &gt; 0</formula>
    </cfRule>
    <cfRule type="expression" dxfId="684" priority="77">
      <formula>$K$118 = 0</formula>
    </cfRule>
    <cfRule type="expression" dxfId="683" priority="78">
      <formula>$K$118 &lt; 0</formula>
    </cfRule>
  </conditionalFormatting>
  <conditionalFormatting sqref="M96:O97 N118:O118">
    <cfRule type="expression" dxfId="682" priority="73">
      <formula>$N$118 &gt; 0</formula>
    </cfRule>
    <cfRule type="expression" dxfId="681" priority="74">
      <formula>$N$118 = 0</formula>
    </cfRule>
    <cfRule type="expression" dxfId="680" priority="75">
      <formula>$N$118 &lt; 0</formula>
    </cfRule>
  </conditionalFormatting>
  <conditionalFormatting sqref="A125:C144 M125:O144">
    <cfRule type="expression" dxfId="679" priority="61">
      <formula>AND($N125 &gt; 0, ISNUMBER($N125))</formula>
    </cfRule>
    <cfRule type="expression" dxfId="678" priority="62">
      <formula>AND($N125 = 0 * ISNUMBER($N125))</formula>
    </cfRule>
    <cfRule type="expression" dxfId="677" priority="63">
      <formula>AND($N125 &lt; 0, ISNUMBER($N125))</formula>
    </cfRule>
  </conditionalFormatting>
  <conditionalFormatting sqref="A125:F144">
    <cfRule type="expression" dxfId="676" priority="70">
      <formula>AND($E125 &gt; 0, ISNUMBER($E125))</formula>
    </cfRule>
    <cfRule type="expression" dxfId="675" priority="71">
      <formula>AND($E125 = 0 * ISNUMBER($E125))</formula>
    </cfRule>
    <cfRule type="expression" dxfId="674" priority="72">
      <formula>AND($E125 &lt; 0, ISNUMBER($E125))</formula>
    </cfRule>
  </conditionalFormatting>
  <conditionalFormatting sqref="A125:C144 G125:I144">
    <cfRule type="expression" dxfId="673" priority="67">
      <formula>AND($H125 &gt; 0, ISNUMBER($H125))</formula>
    </cfRule>
    <cfRule type="expression" dxfId="672" priority="68">
      <formula>AND($H125 = 0 * ISNUMBER($H125))</formula>
    </cfRule>
    <cfRule type="expression" dxfId="671" priority="69">
      <formula>AND($H125 &lt; 0, ISNUMBER($H125))</formula>
    </cfRule>
  </conditionalFormatting>
  <conditionalFormatting sqref="A125:C144 J125:L144">
    <cfRule type="expression" dxfId="670" priority="64">
      <formula>AND($K125 &gt; 0, ISNUMBER($K125))</formula>
    </cfRule>
    <cfRule type="expression" dxfId="669" priority="65">
      <formula>AND($K125 = 0 * ISNUMBER($K125))</formula>
    </cfRule>
    <cfRule type="expression" dxfId="668" priority="66">
      <formula>AND($K125 &lt; 0, ISNUMBER($K125))</formula>
    </cfRule>
  </conditionalFormatting>
  <conditionalFormatting sqref="D123:F124 E145:F145">
    <cfRule type="expression" dxfId="667" priority="58">
      <formula>$E$145 &gt; 0</formula>
    </cfRule>
    <cfRule type="expression" dxfId="666" priority="59">
      <formula>$E$145 = 0</formula>
    </cfRule>
    <cfRule type="expression" dxfId="665" priority="60">
      <formula>$E$145 &lt; 0</formula>
    </cfRule>
  </conditionalFormatting>
  <conditionalFormatting sqref="G123:I124 H145:I145">
    <cfRule type="expression" dxfId="664" priority="55">
      <formula>$H$145 &gt; 0</formula>
    </cfRule>
    <cfRule type="expression" dxfId="663" priority="56">
      <formula>$H$145 = 0</formula>
    </cfRule>
    <cfRule type="expression" dxfId="662" priority="57">
      <formula>$H$145 &lt; 0</formula>
    </cfRule>
  </conditionalFormatting>
  <conditionalFormatting sqref="J123:L124 K145:L145">
    <cfRule type="expression" dxfId="661" priority="52">
      <formula>$K$145 &gt; 0</formula>
    </cfRule>
    <cfRule type="expression" dxfId="660" priority="53">
      <formula>$K$145 = 0</formula>
    </cfRule>
    <cfRule type="expression" dxfId="659" priority="54">
      <formula>$K$145 &lt; 0</formula>
    </cfRule>
  </conditionalFormatting>
  <conditionalFormatting sqref="M123:O124 N145:O145">
    <cfRule type="expression" dxfId="658" priority="49">
      <formula>$N$145 &gt; 0</formula>
    </cfRule>
    <cfRule type="expression" dxfId="657" priority="50">
      <formula>$N$145 = 0</formula>
    </cfRule>
    <cfRule type="expression" dxfId="656" priority="51">
      <formula>$N$145 &lt; 0</formula>
    </cfRule>
  </conditionalFormatting>
  <conditionalFormatting sqref="A152:C171 M152:O171">
    <cfRule type="expression" dxfId="655" priority="37">
      <formula>AND($N152 &gt; 0, ISNUMBER($N152))</formula>
    </cfRule>
    <cfRule type="expression" dxfId="654" priority="38">
      <formula>AND($N152 = 0 * ISNUMBER($N152))</formula>
    </cfRule>
    <cfRule type="expression" dxfId="653" priority="39">
      <formula>AND($N152 &lt; 0, ISNUMBER($N152))</formula>
    </cfRule>
  </conditionalFormatting>
  <conditionalFormatting sqref="A152:F171">
    <cfRule type="expression" dxfId="652" priority="46">
      <formula>AND($E152 &gt; 0, ISNUMBER($E152))</formula>
    </cfRule>
    <cfRule type="expression" dxfId="651" priority="47">
      <formula>AND($E152 = 0 * ISNUMBER($E152))</formula>
    </cfRule>
    <cfRule type="expression" dxfId="650" priority="48">
      <formula>AND($E152 &lt; 0, ISNUMBER($E152))</formula>
    </cfRule>
  </conditionalFormatting>
  <conditionalFormatting sqref="A152:C171 G152:I171">
    <cfRule type="expression" dxfId="649" priority="43">
      <formula>AND($H152 &gt; 0, ISNUMBER($H152))</formula>
    </cfRule>
    <cfRule type="expression" dxfId="648" priority="44">
      <formula>AND($H152 = 0 * ISNUMBER($H152))</formula>
    </cfRule>
    <cfRule type="expression" dxfId="647" priority="45">
      <formula>AND($H152 &lt; 0, ISNUMBER($H152))</formula>
    </cfRule>
  </conditionalFormatting>
  <conditionalFormatting sqref="A152:C171 J152:L171">
    <cfRule type="expression" dxfId="646" priority="40">
      <formula>AND($K152 &gt; 0, ISNUMBER($K152))</formula>
    </cfRule>
    <cfRule type="expression" dxfId="645" priority="41">
      <formula>AND($K152 = 0 * ISNUMBER($K152))</formula>
    </cfRule>
    <cfRule type="expression" dxfId="644" priority="42">
      <formula>AND($K152 &lt; 0, ISNUMBER($K152))</formula>
    </cfRule>
  </conditionalFormatting>
  <conditionalFormatting sqref="D150:F151 E172:F172">
    <cfRule type="expression" dxfId="643" priority="34">
      <formula>$E$172 &gt; 0</formula>
    </cfRule>
    <cfRule type="expression" dxfId="642" priority="35">
      <formula>$E$172 = 0</formula>
    </cfRule>
    <cfRule type="expression" dxfId="641" priority="36">
      <formula>$E$172 &lt; 0</formula>
    </cfRule>
  </conditionalFormatting>
  <conditionalFormatting sqref="G150:I151 H172:I172">
    <cfRule type="expression" dxfId="640" priority="31">
      <formula>$H$172 &gt; 0</formula>
    </cfRule>
    <cfRule type="expression" dxfId="639" priority="32">
      <formula>$H$172 = 0</formula>
    </cfRule>
    <cfRule type="expression" dxfId="638" priority="33">
      <formula>$H$172 &lt; 0</formula>
    </cfRule>
  </conditionalFormatting>
  <conditionalFormatting sqref="J150:L151 K172:L172">
    <cfRule type="expression" dxfId="637" priority="28">
      <formula>$K$172 &gt; 0</formula>
    </cfRule>
    <cfRule type="expression" dxfId="636" priority="29">
      <formula>$K$172 = 0</formula>
    </cfRule>
    <cfRule type="expression" dxfId="635" priority="30">
      <formula>$K$172 &lt; 0</formula>
    </cfRule>
  </conditionalFormatting>
  <conditionalFormatting sqref="M150:O151 N172:O172">
    <cfRule type="expression" dxfId="634" priority="25">
      <formula>$N$172 &gt; 0</formula>
    </cfRule>
    <cfRule type="expression" dxfId="633" priority="26">
      <formula>$N$172 = 0</formula>
    </cfRule>
    <cfRule type="expression" dxfId="632" priority="27">
      <formula>$N$172 &lt; 0</formula>
    </cfRule>
  </conditionalFormatting>
  <conditionalFormatting sqref="A179:C198 M179:O198">
    <cfRule type="expression" dxfId="631" priority="13">
      <formula>AND($N179 &gt; 0, ISNUMBER($N179))</formula>
    </cfRule>
    <cfRule type="expression" dxfId="630" priority="14">
      <formula>AND($N179 = 0 * ISNUMBER($N179))</formula>
    </cfRule>
    <cfRule type="expression" dxfId="629" priority="15">
      <formula>AND($N179 &lt; 0, ISNUMBER($N179))</formula>
    </cfRule>
  </conditionalFormatting>
  <conditionalFormatting sqref="A179:F198">
    <cfRule type="expression" dxfId="628" priority="22">
      <formula>AND($E179 &gt; 0, ISNUMBER($E179))</formula>
    </cfRule>
    <cfRule type="expression" dxfId="627" priority="23">
      <formula>AND($E179 = 0 * ISNUMBER($E179))</formula>
    </cfRule>
    <cfRule type="expression" dxfId="626" priority="24">
      <formula>AND($E179 &lt; 0, ISNUMBER($E179))</formula>
    </cfRule>
  </conditionalFormatting>
  <conditionalFormatting sqref="A179:C198 G179:I198">
    <cfRule type="expression" dxfId="625" priority="19">
      <formula>AND($H179 &gt; 0, ISNUMBER($H179))</formula>
    </cfRule>
    <cfRule type="expression" dxfId="624" priority="20">
      <formula>AND($H179 = 0 * ISNUMBER($H179))</formula>
    </cfRule>
    <cfRule type="expression" dxfId="623" priority="21">
      <formula>AND($H179 &lt; 0, ISNUMBER($H179))</formula>
    </cfRule>
  </conditionalFormatting>
  <conditionalFormatting sqref="A179:C198 J179:L198">
    <cfRule type="expression" dxfId="622" priority="16">
      <formula>AND($K179 &gt; 0, ISNUMBER($K179))</formula>
    </cfRule>
    <cfRule type="expression" dxfId="621" priority="17">
      <formula>AND($K179 = 0 * ISNUMBER($K179))</formula>
    </cfRule>
    <cfRule type="expression" dxfId="620" priority="18">
      <formula>AND($K179 &lt; 0, ISNUMBER($K179))</formula>
    </cfRule>
  </conditionalFormatting>
  <conditionalFormatting sqref="D177:F178 E199:F199">
    <cfRule type="expression" dxfId="619" priority="10">
      <formula>$E$199 &gt; 0</formula>
    </cfRule>
    <cfRule type="expression" dxfId="618" priority="11">
      <formula>$E$199 = 0</formula>
    </cfRule>
    <cfRule type="expression" dxfId="617" priority="12">
      <formula>$E$199 &lt; 0</formula>
    </cfRule>
  </conditionalFormatting>
  <conditionalFormatting sqref="G177:I178 H199:I199">
    <cfRule type="expression" dxfId="616" priority="7">
      <formula>$H$199 &gt; 0</formula>
    </cfRule>
    <cfRule type="expression" dxfId="615" priority="8">
      <formula>$H$199 = 0</formula>
    </cfRule>
    <cfRule type="expression" dxfId="614" priority="9">
      <formula>$H$199 &lt; 0</formula>
    </cfRule>
  </conditionalFormatting>
  <conditionalFormatting sqref="J177:L178 K199:L199">
    <cfRule type="expression" dxfId="613" priority="4">
      <formula>$K$199 &gt; 0</formula>
    </cfRule>
    <cfRule type="expression" dxfId="612" priority="5">
      <formula>$K$199 = 0</formula>
    </cfRule>
    <cfRule type="expression" dxfId="611" priority="6">
      <formula>$K$199 &lt; 0</formula>
    </cfRule>
  </conditionalFormatting>
  <conditionalFormatting sqref="M177:O178 N199:O199">
    <cfRule type="expression" dxfId="610" priority="1">
      <formula>$N$199 &gt; 0</formula>
    </cfRule>
    <cfRule type="expression" dxfId="609" priority="2">
      <formula>$N$199 = 0</formula>
    </cfRule>
    <cfRule type="expression" dxfId="608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7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8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79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0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2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3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4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5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6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7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8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9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0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1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2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3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4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5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6" r:id="rId23" name="Button 20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7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8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99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0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1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2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3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4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5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6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7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8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09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0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1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2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3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4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5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6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7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8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19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0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1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2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3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4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5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6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7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8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29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0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1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2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3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4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5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6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7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8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39" r:id="rId66" name="Button 63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0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1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2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3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4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5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6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7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8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49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0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1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2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3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4" r:id="rId81" name="Button 78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5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6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7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8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59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0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1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2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3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4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5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6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7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8" r:id="rId95" name="Button 9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69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0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1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2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3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4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5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6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7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8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79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0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1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2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3" r:id="rId110" name="Button 10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4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5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6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7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8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89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0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1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2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3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4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5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6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7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8" r:id="rId125" name="Button 122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699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0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1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2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3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4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5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6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7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8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09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0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1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2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3" r:id="rId140" name="Button 137">
              <controlPr defaultSize="0" print="0" autoFill="0" autoPict="0" macro="[0]!붙여넣기_월말정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4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5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716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3A0A9-8812-4D86-AFB1-0FB8B08E3332}">
  <sheetPr codeName="Sheet5"/>
  <dimension ref="A1:S199"/>
  <sheetViews>
    <sheetView zoomScaleNormal="100" workbookViewId="0">
      <selection activeCell="G2" sqref="G2:I2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44348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350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11" t="s">
        <v>285</v>
      </c>
      <c r="H8" s="212"/>
      <c r="I8" s="213"/>
      <c r="J8" s="4" t="s">
        <v>24</v>
      </c>
      <c r="K8" s="208"/>
      <c r="L8" s="209"/>
      <c r="M8" s="209"/>
      <c r="N8" s="209"/>
      <c r="O8" s="210"/>
      <c r="Q8" s="183" t="s">
        <v>27</v>
      </c>
      <c r="R8" s="185"/>
    </row>
    <row r="9" spans="1:19" ht="17.25" thickBot="1">
      <c r="A9" s="118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01" t="s">
        <v>357</v>
      </c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 t="s">
        <v>348</v>
      </c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16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43214000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8.5693770000000002E-4</v>
      </c>
      <c r="N14" s="190"/>
      <c r="O14" s="191"/>
      <c r="Q14" s="182"/>
      <c r="R14" s="182"/>
      <c r="S14" s="182"/>
    </row>
    <row r="15" spans="1:19" ht="17.25" customHeight="1" thickBot="1">
      <c r="A15" s="220" t="s">
        <v>39</v>
      </c>
      <c r="B15" s="221" t="str">
        <f>TEXT($G$1, "[$-ko-KR]yyyy-mm-dd(ddd) ") &amp; "오전 00:00"</f>
        <v>2021-06-01(화) 오전 00:00</v>
      </c>
      <c r="C15" s="222"/>
      <c r="D15" s="196" t="str">
        <f>TEXT($G$1, "[$-ko-KR]yyyy-mm-dd(ddd) ") &amp; "오후 14:00"</f>
        <v>2021-06-01(화) 오후 14:00</v>
      </c>
      <c r="E15" s="197"/>
      <c r="F15" s="198"/>
      <c r="G15" s="196" t="str">
        <f>TEXT($G$1, "[$-ko-KR]yyyy-mm-dd(ddd) ") &amp; "오후 19:00"</f>
        <v>2021-06-01(화) 오후 19:00</v>
      </c>
      <c r="H15" s="197"/>
      <c r="I15" s="198"/>
      <c r="J15" s="196" t="str">
        <f>TEXT($G$1, "[$-ko-KR]yyyy-mm-dd(ddd) ") &amp; "오후 21:00"</f>
        <v>2021-06-01(화) 오후 21:00</v>
      </c>
      <c r="K15" s="197"/>
      <c r="L15" s="198"/>
      <c r="M15" s="196" t="str">
        <f>TEXT($G$1+1, "[$-ko-KR]yyyy-mm-dd(ddd) ") &amp; "오전 00:00"</f>
        <v>2021-06-02(수) 오전 00:00</v>
      </c>
      <c r="N15" s="197"/>
      <c r="O15" s="198"/>
      <c r="Q15" s="182"/>
      <c r="R15" s="182"/>
      <c r="S15" s="182"/>
    </row>
    <row r="16" spans="1:19" ht="17.25" customHeight="1" thickBot="1">
      <c r="A16" s="22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61" t="s">
        <v>37</v>
      </c>
      <c r="H16" s="62" t="s">
        <v>40</v>
      </c>
      <c r="I16" s="63" t="s">
        <v>41</v>
      </c>
      <c r="J16" s="10" t="s">
        <v>37</v>
      </c>
      <c r="K16" s="10" t="s">
        <v>40</v>
      </c>
      <c r="L16" s="64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123"/>
      <c r="B17" s="124" t="str">
        <f>IF(NOT(ISBLANK(_xlfn.IFNA(VLOOKUP($A17, $A$40:$O$199, 2, FALSE), ))), _xlfn.IFNA(VLOOKUP($A17, $A$40:$O$199, 2, FALSE), ), "")</f>
        <v/>
      </c>
      <c r="C17" s="76" t="str">
        <f>IF(NOT(ISBLANK(_xlfn.IFNA(VLOOKUP($A17, $A$40:$O$199, 3, FALSE), ))), _xlfn.IFNA(VLOOKUP($A17, $A$40:$O$199, 3, FALSE), ), "")</f>
        <v/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125"/>
      <c r="B18" s="126" t="str">
        <f t="shared" ref="B18:B36" si="0">IF(NOT(ISBLANK(_xlfn.IFNA(VLOOKUP($A18, $A$40:$O$199, 2, FALSE), ))), _xlfn.IFNA(VLOOKUP($A18, $A$40:$O$199, 2, FALSE), ), "")</f>
        <v/>
      </c>
      <c r="C18" s="77" t="str">
        <f t="shared" ref="C18:C36" si="1">IF(NOT(ISBLANK(_xlfn.IFNA(VLOOKUP($A18, $A$40:$O$199, 3, FALSE), ))), _xlfn.IFNA(VLOOKUP($A18, $A$40:$O$199, 3, FALSE), ), "")</f>
        <v/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125"/>
      <c r="B19" s="126" t="str">
        <f t="shared" si="0"/>
        <v/>
      </c>
      <c r="C19" s="77" t="str">
        <f t="shared" si="1"/>
        <v/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125"/>
      <c r="B20" s="126" t="str">
        <f t="shared" si="0"/>
        <v/>
      </c>
      <c r="C20" s="77" t="str">
        <f t="shared" si="1"/>
        <v/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127"/>
      <c r="B21" s="128" t="str">
        <f t="shared" si="0"/>
        <v/>
      </c>
      <c r="C21" s="78" t="str">
        <f t="shared" si="1"/>
        <v/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125"/>
      <c r="B22" s="129" t="str">
        <f t="shared" si="0"/>
        <v/>
      </c>
      <c r="C22" s="80" t="str">
        <f t="shared" si="1"/>
        <v/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132" t="s">
        <v>42</v>
      </c>
      <c r="B37" s="225">
        <v>150000</v>
      </c>
      <c r="C37" s="22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16" t="s">
        <v>297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43214000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8.5693770000000002E-4</v>
      </c>
      <c r="N41" s="190"/>
      <c r="O41" s="191"/>
      <c r="Q41" s="182"/>
      <c r="R41" s="182"/>
      <c r="S41" s="182"/>
    </row>
    <row r="42" spans="1:19" ht="17.25" customHeight="1" thickBot="1">
      <c r="A42" s="227" t="s">
        <v>55</v>
      </c>
      <c r="B42" s="223" t="str">
        <f>TEXT($G$1, "[$-ko-KR]yyyy-mm-dd(ddd) ") &amp; "오전 00:00"</f>
        <v>2021-06-01(화) 오전 00:00</v>
      </c>
      <c r="C42" s="224"/>
      <c r="D42" s="196" t="str">
        <f>TEXT($G$1, "[$-ko-KR]yyyy-mm-dd(ddd) ") &amp; "오후 14:00"</f>
        <v>2021-06-01(화) 오후 14:00</v>
      </c>
      <c r="E42" s="197"/>
      <c r="F42" s="198"/>
      <c r="G42" s="196" t="str">
        <f>TEXT($G$1, "[$-ko-KR]yyyy-mm-dd(ddd) ") &amp; "오후 19:00"</f>
        <v>2021-06-01(화) 오후 19:00</v>
      </c>
      <c r="H42" s="197"/>
      <c r="I42" s="198"/>
      <c r="J42" s="196" t="str">
        <f>TEXT($G$1, "[$-ko-KR]yyyy-mm-dd(ddd) ") &amp; "오후 21:00"</f>
        <v>2021-06-01(화) 오후 21:00</v>
      </c>
      <c r="K42" s="197"/>
      <c r="L42" s="198"/>
      <c r="M42" s="196" t="str">
        <f>TEXT($G$1+1, "[$-ko-KR]yyyy-mm-dd(ddd) ") &amp; "오전 00:00"</f>
        <v>2021-06-02(수) 오전 00:00</v>
      </c>
      <c r="N42" s="197"/>
      <c r="O42" s="198"/>
      <c r="Q42" s="182"/>
      <c r="R42" s="182"/>
      <c r="S42" s="182"/>
    </row>
    <row r="43" spans="1:19" ht="17.25" customHeight="1" thickBot="1">
      <c r="A43" s="22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12" t="s">
        <v>58</v>
      </c>
      <c r="H43" s="113" t="s">
        <v>298</v>
      </c>
      <c r="I43" s="114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2"/>
      <c r="R43" s="172"/>
      <c r="S43" s="172"/>
    </row>
    <row r="44" spans="1:19" ht="17.25" customHeight="1" thickBot="1">
      <c r="A44" s="123"/>
      <c r="B44" s="124"/>
      <c r="C44" s="76"/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/>
      <c r="B45" s="126"/>
      <c r="C45" s="77"/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/>
      <c r="B46" s="126"/>
      <c r="C46" s="77"/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25"/>
      <c r="B47" s="126"/>
      <c r="C47" s="77"/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27"/>
      <c r="B48" s="128"/>
      <c r="C48" s="78"/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25"/>
      <c r="B49" s="129"/>
      <c r="C49" s="80"/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25"/>
      <c r="B50" s="126"/>
      <c r="C50" s="77"/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25"/>
      <c r="B51" s="126"/>
      <c r="C51" s="77"/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25"/>
      <c r="B52" s="126"/>
      <c r="C52" s="77"/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/>
      <c r="B53" s="131"/>
      <c r="C53" s="79"/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3"/>
      <c r="B54" s="124"/>
      <c r="C54" s="76"/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25"/>
      <c r="B55" s="126"/>
      <c r="C55" s="77"/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25"/>
      <c r="B56" s="126"/>
      <c r="C56" s="77"/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25"/>
      <c r="B57" s="126"/>
      <c r="C57" s="77"/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/>
      <c r="B58" s="128"/>
      <c r="C58" s="78"/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/>
      <c r="B59" s="129"/>
      <c r="C59" s="80"/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25"/>
      <c r="B60" s="126"/>
      <c r="C60" s="77"/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25"/>
      <c r="B61" s="126"/>
      <c r="C61" s="77"/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25"/>
      <c r="B62" s="126"/>
      <c r="C62" s="77"/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130"/>
      <c r="B63" s="131"/>
      <c r="C63" s="79"/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132" t="s">
        <v>300</v>
      </c>
      <c r="B64" s="225">
        <f>$B$37</f>
        <v>150000</v>
      </c>
      <c r="C64" s="22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16" t="s">
        <v>297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43214000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8.5693770000000002E-4</v>
      </c>
      <c r="N68" s="190"/>
      <c r="O68" s="191"/>
      <c r="Q68" s="182"/>
      <c r="R68" s="182"/>
      <c r="S68" s="182"/>
    </row>
    <row r="69" spans="1:19" ht="17.25" thickBot="1">
      <c r="A69" s="227" t="s">
        <v>55</v>
      </c>
      <c r="B69" s="223" t="str">
        <f>TEXT($G$1, "[$-ko-KR]yyyy-mm-dd(ddd) ") &amp; "오전 00:00"</f>
        <v>2021-06-01(화) 오전 00:00</v>
      </c>
      <c r="C69" s="224"/>
      <c r="D69" s="196" t="str">
        <f>TEXT($G$1, "[$-ko-KR]yyyy-mm-dd(ddd) ") &amp; "오후 14:00"</f>
        <v>2021-06-01(화) 오후 14:00</v>
      </c>
      <c r="E69" s="197"/>
      <c r="F69" s="198"/>
      <c r="G69" s="196" t="str">
        <f>TEXT($G$1, "[$-ko-KR]yyyy-mm-dd(ddd) ") &amp; "오후 19:00"</f>
        <v>2021-06-01(화) 오후 19:00</v>
      </c>
      <c r="H69" s="197"/>
      <c r="I69" s="198"/>
      <c r="J69" s="196" t="str">
        <f>TEXT($G$1, "[$-ko-KR]yyyy-mm-dd(ddd) ") &amp; "오후 21:00"</f>
        <v>2021-06-01(화) 오후 21:00</v>
      </c>
      <c r="K69" s="197"/>
      <c r="L69" s="198"/>
      <c r="M69" s="196" t="str">
        <f>TEXT($G$1+1, "[$-ko-KR]yyyy-mm-dd(ddd) ") &amp; "오전 00:00"</f>
        <v>2021-06-02(수) 오전 00:00</v>
      </c>
      <c r="N69" s="197"/>
      <c r="O69" s="198"/>
      <c r="Q69" s="182"/>
      <c r="R69" s="182"/>
      <c r="S69" s="182"/>
    </row>
    <row r="70" spans="1:19" ht="17.25" thickBot="1">
      <c r="A70" s="22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12" t="s">
        <v>58</v>
      </c>
      <c r="H70" s="113" t="s">
        <v>298</v>
      </c>
      <c r="I70" s="114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2"/>
      <c r="R70" s="172"/>
      <c r="S70" s="172"/>
    </row>
    <row r="71" spans="1:19" ht="17.25" thickBot="1">
      <c r="A71" s="123"/>
      <c r="B71" s="124"/>
      <c r="C71" s="76"/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/>
      <c r="B72" s="126"/>
      <c r="C72" s="77"/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/>
      <c r="B73" s="126"/>
      <c r="C73" s="77"/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25"/>
      <c r="B74" s="126"/>
      <c r="C74" s="77"/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27"/>
      <c r="B75" s="128"/>
      <c r="C75" s="78"/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25"/>
      <c r="B76" s="129"/>
      <c r="C76" s="80"/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25"/>
      <c r="B77" s="126"/>
      <c r="C77" s="77"/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25"/>
      <c r="B78" s="126"/>
      <c r="C78" s="77"/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25"/>
      <c r="B79" s="126"/>
      <c r="C79" s="77"/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/>
      <c r="B80" s="131"/>
      <c r="C80" s="79"/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3"/>
      <c r="B81" s="124"/>
      <c r="C81" s="76"/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25"/>
      <c r="B82" s="126"/>
      <c r="C82" s="77"/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25"/>
      <c r="B83" s="126"/>
      <c r="C83" s="77"/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25"/>
      <c r="B84" s="126"/>
      <c r="C84" s="77"/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/>
      <c r="B85" s="128"/>
      <c r="C85" s="78"/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/>
      <c r="B86" s="129"/>
      <c r="C86" s="80"/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25"/>
      <c r="B87" s="126"/>
      <c r="C87" s="77"/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25"/>
      <c r="B88" s="126"/>
      <c r="C88" s="77"/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25"/>
      <c r="B89" s="126"/>
      <c r="C89" s="77"/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130"/>
      <c r="B90" s="131"/>
      <c r="C90" s="79"/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132" t="s">
        <v>300</v>
      </c>
      <c r="B91" s="225">
        <f>$B$37</f>
        <v>150000</v>
      </c>
      <c r="C91" s="22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16" t="s">
        <v>297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43214000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8.5693770000000002E-4</v>
      </c>
      <c r="N95" s="190"/>
      <c r="O95" s="191"/>
      <c r="Q95" s="182"/>
      <c r="R95" s="182"/>
      <c r="S95" s="182"/>
    </row>
    <row r="96" spans="1:19" ht="17.25" thickBot="1">
      <c r="A96" s="227" t="s">
        <v>55</v>
      </c>
      <c r="B96" s="223" t="str">
        <f>TEXT($G$1, "[$-ko-KR]yyyy-mm-dd(ddd) ") &amp; "오전 00:00"</f>
        <v>2021-06-01(화) 오전 00:00</v>
      </c>
      <c r="C96" s="224"/>
      <c r="D96" s="196" t="str">
        <f>TEXT($G$1, "[$-ko-KR]yyyy-mm-dd(ddd) ") &amp; "오후 14:00"</f>
        <v>2021-06-01(화) 오후 14:00</v>
      </c>
      <c r="E96" s="197"/>
      <c r="F96" s="198"/>
      <c r="G96" s="196" t="str">
        <f>TEXT($G$1, "[$-ko-KR]yyyy-mm-dd(ddd) ") &amp; "오후 19:00"</f>
        <v>2021-06-01(화) 오후 19:00</v>
      </c>
      <c r="H96" s="197"/>
      <c r="I96" s="198"/>
      <c r="J96" s="196" t="str">
        <f>TEXT($G$1, "[$-ko-KR]yyyy-mm-dd(ddd) ") &amp; "오후 21:00"</f>
        <v>2021-06-01(화) 오후 21:00</v>
      </c>
      <c r="K96" s="197"/>
      <c r="L96" s="198"/>
      <c r="M96" s="196" t="str">
        <f>TEXT($G$1+1, "[$-ko-KR]yyyy-mm-dd(ddd) ") &amp; "오전 00:00"</f>
        <v>2021-06-02(수) 오전 00:00</v>
      </c>
      <c r="N96" s="197"/>
      <c r="O96" s="198"/>
      <c r="Q96" s="182"/>
      <c r="R96" s="182"/>
      <c r="S96" s="182"/>
    </row>
    <row r="97" spans="1:19" ht="17.25" thickBot="1">
      <c r="A97" s="22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12" t="s">
        <v>58</v>
      </c>
      <c r="H97" s="113" t="s">
        <v>298</v>
      </c>
      <c r="I97" s="114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2"/>
      <c r="R97" s="172"/>
      <c r="S97" s="172"/>
    </row>
    <row r="98" spans="1:19" ht="17.25" thickBot="1">
      <c r="A98" s="123"/>
      <c r="B98" s="124"/>
      <c r="C98" s="76"/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/>
      <c r="B99" s="126"/>
      <c r="C99" s="77"/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/>
      <c r="B100" s="126"/>
      <c r="C100" s="77"/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25"/>
      <c r="B101" s="126"/>
      <c r="C101" s="77"/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27"/>
      <c r="B102" s="128"/>
      <c r="C102" s="78"/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25"/>
      <c r="B103" s="129"/>
      <c r="C103" s="80"/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25"/>
      <c r="B104" s="126"/>
      <c r="C104" s="77"/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25"/>
      <c r="B105" s="126"/>
      <c r="C105" s="77"/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25"/>
      <c r="B106" s="126"/>
      <c r="C106" s="77"/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/>
      <c r="B107" s="131"/>
      <c r="C107" s="79"/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3"/>
      <c r="B108" s="124"/>
      <c r="C108" s="76"/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25"/>
      <c r="B109" s="126"/>
      <c r="C109" s="77"/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25"/>
      <c r="B110" s="126"/>
      <c r="C110" s="77"/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25"/>
      <c r="B111" s="126"/>
      <c r="C111" s="77"/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/>
      <c r="B112" s="128"/>
      <c r="C112" s="78"/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/>
      <c r="B113" s="129"/>
      <c r="C113" s="80"/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25"/>
      <c r="B114" s="126"/>
      <c r="C114" s="77"/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25"/>
      <c r="B115" s="126"/>
      <c r="C115" s="77"/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25"/>
      <c r="B116" s="126"/>
      <c r="C116" s="77"/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130"/>
      <c r="B117" s="131"/>
      <c r="C117" s="79"/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132" t="s">
        <v>300</v>
      </c>
      <c r="B118" s="225">
        <f>$B$37</f>
        <v>150000</v>
      </c>
      <c r="C118" s="22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288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16" t="s">
        <v>297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43214000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8.5693770000000002E-4</v>
      </c>
      <c r="N122" s="190"/>
      <c r="O122" s="191"/>
      <c r="Q122" s="182"/>
      <c r="R122" s="182"/>
      <c r="S122" s="182"/>
    </row>
    <row r="123" spans="1:19" ht="17.25" thickBot="1">
      <c r="A123" s="227" t="s">
        <v>55</v>
      </c>
      <c r="B123" s="223" t="str">
        <f>TEXT($G$1, "[$-ko-KR]yyyy-mm-dd(ddd) ") &amp; "오전 00:00"</f>
        <v>2021-06-01(화) 오전 00:00</v>
      </c>
      <c r="C123" s="224"/>
      <c r="D123" s="196" t="str">
        <f>TEXT($G$1, "[$-ko-KR]yyyy-mm-dd(ddd) ") &amp; "오후 14:00"</f>
        <v>2021-06-01(화) 오후 14:00</v>
      </c>
      <c r="E123" s="197"/>
      <c r="F123" s="198"/>
      <c r="G123" s="196" t="str">
        <f>TEXT($G$1, "[$-ko-KR]yyyy-mm-dd(ddd) ") &amp; "오후 19:00"</f>
        <v>2021-06-01(화) 오후 19:00</v>
      </c>
      <c r="H123" s="197"/>
      <c r="I123" s="198"/>
      <c r="J123" s="196" t="str">
        <f>TEXT($G$1, "[$-ko-KR]yyyy-mm-dd(ddd) ") &amp; "오후 21:00"</f>
        <v>2021-06-01(화) 오후 21:00</v>
      </c>
      <c r="K123" s="197"/>
      <c r="L123" s="198"/>
      <c r="M123" s="196" t="str">
        <f>TEXT($G$1+1, "[$-ko-KR]yyyy-mm-dd(ddd) ") &amp; "오전 00:00"</f>
        <v>2021-06-02(수) 오전 00:00</v>
      </c>
      <c r="N123" s="197"/>
      <c r="O123" s="198"/>
      <c r="Q123" s="182"/>
      <c r="R123" s="182"/>
      <c r="S123" s="182"/>
    </row>
    <row r="124" spans="1:19" ht="17.25" thickBot="1">
      <c r="A124" s="22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12" t="s">
        <v>58</v>
      </c>
      <c r="H124" s="113" t="s">
        <v>298</v>
      </c>
      <c r="I124" s="114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2"/>
      <c r="R124" s="172"/>
      <c r="S124" s="172"/>
    </row>
    <row r="125" spans="1:19" ht="17.25" thickBot="1">
      <c r="A125" s="123"/>
      <c r="B125" s="124"/>
      <c r="C125" s="76"/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/>
      <c r="B126" s="126"/>
      <c r="C126" s="77"/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/>
      <c r="B127" s="126"/>
      <c r="C127" s="77"/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25"/>
      <c r="B128" s="126"/>
      <c r="C128" s="77"/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27"/>
      <c r="B129" s="128"/>
      <c r="C129" s="78"/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25"/>
      <c r="B130" s="129"/>
      <c r="C130" s="80"/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25"/>
      <c r="B131" s="126"/>
      <c r="C131" s="77"/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25"/>
      <c r="B132" s="126"/>
      <c r="C132" s="77"/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25"/>
      <c r="B133" s="126"/>
      <c r="C133" s="77"/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/>
      <c r="B134" s="131"/>
      <c r="C134" s="79"/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3"/>
      <c r="B135" s="124"/>
      <c r="C135" s="76"/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25"/>
      <c r="B136" s="126"/>
      <c r="C136" s="77"/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25"/>
      <c r="B137" s="126"/>
      <c r="C137" s="77"/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25"/>
      <c r="B138" s="126"/>
      <c r="C138" s="77"/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/>
      <c r="B139" s="128"/>
      <c r="C139" s="78"/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/>
      <c r="B140" s="129"/>
      <c r="C140" s="80"/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25"/>
      <c r="B141" s="126"/>
      <c r="C141" s="77"/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25"/>
      <c r="B142" s="126"/>
      <c r="C142" s="77"/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25"/>
      <c r="B143" s="126"/>
      <c r="C143" s="77"/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130"/>
      <c r="B144" s="131"/>
      <c r="C144" s="79"/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132" t="s">
        <v>300</v>
      </c>
      <c r="B145" s="225">
        <f>$B$37</f>
        <v>150000</v>
      </c>
      <c r="C145" s="22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289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16" t="s">
        <v>297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43214000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8.5693770000000002E-4</v>
      </c>
      <c r="N149" s="190"/>
      <c r="O149" s="191"/>
      <c r="Q149" s="182"/>
      <c r="R149" s="182"/>
      <c r="S149" s="182"/>
    </row>
    <row r="150" spans="1:19" ht="17.25" thickBot="1">
      <c r="A150" s="227" t="s">
        <v>55</v>
      </c>
      <c r="B150" s="223" t="str">
        <f>TEXT($G$1, "[$-ko-KR]yyyy-mm-dd(ddd) ") &amp; "오전 00:00"</f>
        <v>2021-06-01(화) 오전 00:00</v>
      </c>
      <c r="C150" s="224"/>
      <c r="D150" s="196" t="str">
        <f>TEXT($G$1, "[$-ko-KR]yyyy-mm-dd(ddd) ") &amp; "오후 14:00"</f>
        <v>2021-06-01(화) 오후 14:00</v>
      </c>
      <c r="E150" s="197"/>
      <c r="F150" s="198"/>
      <c r="G150" s="196" t="str">
        <f>TEXT($G$1, "[$-ko-KR]yyyy-mm-dd(ddd) ") &amp; "오후 19:00"</f>
        <v>2021-06-01(화) 오후 19:00</v>
      </c>
      <c r="H150" s="197"/>
      <c r="I150" s="198"/>
      <c r="J150" s="196" t="str">
        <f>TEXT($G$1, "[$-ko-KR]yyyy-mm-dd(ddd) ") &amp; "오후 21:00"</f>
        <v>2021-06-01(화) 오후 21:00</v>
      </c>
      <c r="K150" s="197"/>
      <c r="L150" s="198"/>
      <c r="M150" s="196" t="str">
        <f>TEXT($G$1+1, "[$-ko-KR]yyyy-mm-dd(ddd) ") &amp; "오전 00:00"</f>
        <v>2021-06-02(수) 오전 00:00</v>
      </c>
      <c r="N150" s="197"/>
      <c r="O150" s="198"/>
      <c r="Q150" s="182"/>
      <c r="R150" s="182"/>
      <c r="S150" s="182"/>
    </row>
    <row r="151" spans="1:19" ht="17.25" thickBot="1">
      <c r="A151" s="22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12" t="s">
        <v>58</v>
      </c>
      <c r="H151" s="113" t="s">
        <v>298</v>
      </c>
      <c r="I151" s="114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2"/>
      <c r="R151" s="172"/>
      <c r="S151" s="172"/>
    </row>
    <row r="152" spans="1:19" ht="17.25" thickBot="1">
      <c r="A152" s="123"/>
      <c r="B152" s="124"/>
      <c r="C152" s="76"/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/>
      <c r="B153" s="126"/>
      <c r="C153" s="77"/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/>
      <c r="B154" s="126"/>
      <c r="C154" s="77"/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25"/>
      <c r="B155" s="126"/>
      <c r="C155" s="77"/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27"/>
      <c r="B156" s="128"/>
      <c r="C156" s="78"/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25"/>
      <c r="B157" s="129"/>
      <c r="C157" s="80"/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25"/>
      <c r="B158" s="126"/>
      <c r="C158" s="77"/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25"/>
      <c r="B159" s="126"/>
      <c r="C159" s="77"/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25"/>
      <c r="B160" s="126"/>
      <c r="C160" s="77"/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/>
      <c r="B161" s="131"/>
      <c r="C161" s="79"/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3"/>
      <c r="B162" s="124"/>
      <c r="C162" s="76"/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25"/>
      <c r="B163" s="126"/>
      <c r="C163" s="77"/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25"/>
      <c r="B164" s="126"/>
      <c r="C164" s="77"/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25"/>
      <c r="B165" s="126"/>
      <c r="C165" s="77"/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/>
      <c r="B166" s="128"/>
      <c r="C166" s="78"/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/>
      <c r="B167" s="129"/>
      <c r="C167" s="80"/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25"/>
      <c r="B168" s="126"/>
      <c r="C168" s="77"/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25"/>
      <c r="B169" s="126"/>
      <c r="C169" s="77"/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25"/>
      <c r="B170" s="126"/>
      <c r="C170" s="77"/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130"/>
      <c r="B171" s="131"/>
      <c r="C171" s="79"/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132" t="s">
        <v>300</v>
      </c>
      <c r="B172" s="225">
        <f>$B$37</f>
        <v>150000</v>
      </c>
      <c r="C172" s="22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285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16" t="s">
        <v>297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43214000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8.5693770000000002E-4</v>
      </c>
      <c r="N176" s="190"/>
      <c r="O176" s="191"/>
      <c r="Q176" s="182"/>
      <c r="R176" s="182"/>
      <c r="S176" s="182"/>
    </row>
    <row r="177" spans="1:19" ht="17.25" thickBot="1">
      <c r="A177" s="227" t="s">
        <v>55</v>
      </c>
      <c r="B177" s="223" t="str">
        <f>TEXT($G$1, "[$-ko-KR]yyyy-mm-dd(ddd) ") &amp; "오전 00:00"</f>
        <v>2021-06-01(화) 오전 00:00</v>
      </c>
      <c r="C177" s="224"/>
      <c r="D177" s="196" t="str">
        <f>TEXT($G$1, "[$-ko-KR]yyyy-mm-dd(ddd) ") &amp; "오후 14:00"</f>
        <v>2021-06-01(화) 오후 14:00</v>
      </c>
      <c r="E177" s="197"/>
      <c r="F177" s="198"/>
      <c r="G177" s="196" t="str">
        <f>TEXT($G$1, "[$-ko-KR]yyyy-mm-dd(ddd) ") &amp; "오후 19:00"</f>
        <v>2021-06-01(화) 오후 19:00</v>
      </c>
      <c r="H177" s="197"/>
      <c r="I177" s="198"/>
      <c r="J177" s="196" t="str">
        <f>TEXT($G$1, "[$-ko-KR]yyyy-mm-dd(ddd) ") &amp; "오후 21:00"</f>
        <v>2021-06-01(화) 오후 21:00</v>
      </c>
      <c r="K177" s="197"/>
      <c r="L177" s="198"/>
      <c r="M177" s="196" t="str">
        <f>TEXT($G$1+1, "[$-ko-KR]yyyy-mm-dd(ddd) ") &amp; "오전 00:00"</f>
        <v>2021-06-02(수) 오전 00:00</v>
      </c>
      <c r="N177" s="197"/>
      <c r="O177" s="198"/>
      <c r="Q177" s="182"/>
      <c r="R177" s="182"/>
      <c r="S177" s="182"/>
    </row>
    <row r="178" spans="1:19" ht="17.25" thickBot="1">
      <c r="A178" s="22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12" t="s">
        <v>58</v>
      </c>
      <c r="H178" s="113" t="s">
        <v>298</v>
      </c>
      <c r="I178" s="114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2"/>
      <c r="R178" s="172"/>
      <c r="S178" s="172"/>
    </row>
    <row r="179" spans="1:19" ht="17.25" thickBot="1">
      <c r="A179" s="123"/>
      <c r="B179" s="124"/>
      <c r="C179" s="76"/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/>
      <c r="B180" s="126"/>
      <c r="C180" s="77"/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/>
      <c r="B181" s="126"/>
      <c r="C181" s="77"/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25"/>
      <c r="B182" s="126"/>
      <c r="C182" s="77"/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27"/>
      <c r="B183" s="128"/>
      <c r="C183" s="78"/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25"/>
      <c r="B184" s="129"/>
      <c r="C184" s="80"/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25"/>
      <c r="B185" s="126"/>
      <c r="C185" s="77"/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25"/>
      <c r="B186" s="126"/>
      <c r="C186" s="77"/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25"/>
      <c r="B187" s="126"/>
      <c r="C187" s="77"/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/>
      <c r="B188" s="131"/>
      <c r="C188" s="79"/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3"/>
      <c r="B189" s="124"/>
      <c r="C189" s="76"/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25"/>
      <c r="B190" s="126"/>
      <c r="C190" s="77"/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25"/>
      <c r="B191" s="126"/>
      <c r="C191" s="77"/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25"/>
      <c r="B192" s="126"/>
      <c r="C192" s="77"/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/>
      <c r="B193" s="128"/>
      <c r="C193" s="78"/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/>
      <c r="B194" s="129"/>
      <c r="C194" s="80"/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25"/>
      <c r="B195" s="126"/>
      <c r="C195" s="77"/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25"/>
      <c r="B196" s="126"/>
      <c r="C196" s="77"/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25"/>
      <c r="B197" s="126"/>
      <c r="C197" s="77"/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130"/>
      <c r="B198" s="131"/>
      <c r="C198" s="79"/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132" t="s">
        <v>300</v>
      </c>
      <c r="B199" s="225">
        <f>$B$37</f>
        <v>150000</v>
      </c>
      <c r="C199" s="22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Q184:Q186"/>
    <mergeCell ref="R184:R186"/>
    <mergeCell ref="S184:S186"/>
    <mergeCell ref="Q181:Q183"/>
    <mergeCell ref="R181:R183"/>
    <mergeCell ref="S181:S183"/>
    <mergeCell ref="Q197:S199"/>
    <mergeCell ref="B199:C199"/>
    <mergeCell ref="Q188:S190"/>
    <mergeCell ref="Q191:Q193"/>
    <mergeCell ref="R191:R193"/>
    <mergeCell ref="S191:S193"/>
    <mergeCell ref="Q194:Q196"/>
    <mergeCell ref="R194:R196"/>
    <mergeCell ref="S194:S196"/>
    <mergeCell ref="Q170:S172"/>
    <mergeCell ref="B172:C172"/>
    <mergeCell ref="A175:O175"/>
    <mergeCell ref="B176:C176"/>
    <mergeCell ref="D176:F176"/>
    <mergeCell ref="G176:I176"/>
    <mergeCell ref="J176:L176"/>
    <mergeCell ref="M176:O176"/>
    <mergeCell ref="A177:A178"/>
    <mergeCell ref="R178:R180"/>
    <mergeCell ref="S178:S180"/>
    <mergeCell ref="B177:C177"/>
    <mergeCell ref="D177:F177"/>
    <mergeCell ref="G177:I177"/>
    <mergeCell ref="J177:L177"/>
    <mergeCell ref="M177:O177"/>
    <mergeCell ref="Q178:Q180"/>
    <mergeCell ref="Q175:Q177"/>
    <mergeCell ref="R175:R177"/>
    <mergeCell ref="S175:S177"/>
    <mergeCell ref="Q161:S163"/>
    <mergeCell ref="Q164:Q166"/>
    <mergeCell ref="R164:R166"/>
    <mergeCell ref="S164:S166"/>
    <mergeCell ref="Q167:Q169"/>
    <mergeCell ref="R167:R169"/>
    <mergeCell ref="S167:S169"/>
    <mergeCell ref="R151:R153"/>
    <mergeCell ref="S151:S153"/>
    <mergeCell ref="Q154:Q156"/>
    <mergeCell ref="R154:R156"/>
    <mergeCell ref="S154:S156"/>
    <mergeCell ref="Q157:Q159"/>
    <mergeCell ref="R157:R159"/>
    <mergeCell ref="S157:S159"/>
    <mergeCell ref="B150:C150"/>
    <mergeCell ref="D150:F150"/>
    <mergeCell ref="G150:I150"/>
    <mergeCell ref="J150:L150"/>
    <mergeCell ref="M150:O150"/>
    <mergeCell ref="Q151:Q153"/>
    <mergeCell ref="Q143:S145"/>
    <mergeCell ref="B145:C145"/>
    <mergeCell ref="A148:O148"/>
    <mergeCell ref="B149:C149"/>
    <mergeCell ref="D149:F149"/>
    <mergeCell ref="G149:I149"/>
    <mergeCell ref="J149:L149"/>
    <mergeCell ref="M149:O149"/>
    <mergeCell ref="A150:A151"/>
    <mergeCell ref="Q148:Q150"/>
    <mergeCell ref="R148:R150"/>
    <mergeCell ref="S148:S150"/>
    <mergeCell ref="Q134:S136"/>
    <mergeCell ref="Q137:Q139"/>
    <mergeCell ref="R137:R139"/>
    <mergeCell ref="S137:S139"/>
    <mergeCell ref="Q140:Q142"/>
    <mergeCell ref="R140:R142"/>
    <mergeCell ref="S140:S142"/>
    <mergeCell ref="R124:R126"/>
    <mergeCell ref="S124:S126"/>
    <mergeCell ref="Q127:Q129"/>
    <mergeCell ref="R127:R129"/>
    <mergeCell ref="S127:S129"/>
    <mergeCell ref="Q130:Q132"/>
    <mergeCell ref="R130:R132"/>
    <mergeCell ref="S130:S132"/>
    <mergeCell ref="B123:C123"/>
    <mergeCell ref="D123:F123"/>
    <mergeCell ref="G123:I123"/>
    <mergeCell ref="J123:L123"/>
    <mergeCell ref="M123:O123"/>
    <mergeCell ref="Q124:Q126"/>
    <mergeCell ref="Q116:S118"/>
    <mergeCell ref="B118:C118"/>
    <mergeCell ref="A121:O121"/>
    <mergeCell ref="B122:C122"/>
    <mergeCell ref="D122:F122"/>
    <mergeCell ref="G122:I122"/>
    <mergeCell ref="J122:L122"/>
    <mergeCell ref="M122:O122"/>
    <mergeCell ref="A123:A124"/>
    <mergeCell ref="Q121:Q123"/>
    <mergeCell ref="R121:R123"/>
    <mergeCell ref="S121:S123"/>
    <mergeCell ref="Q107:S109"/>
    <mergeCell ref="Q110:Q112"/>
    <mergeCell ref="R110:R112"/>
    <mergeCell ref="S110:S112"/>
    <mergeCell ref="Q113:Q115"/>
    <mergeCell ref="R113:R115"/>
    <mergeCell ref="S113:S115"/>
    <mergeCell ref="R97:R99"/>
    <mergeCell ref="S97:S99"/>
    <mergeCell ref="Q100:Q102"/>
    <mergeCell ref="R100:R102"/>
    <mergeCell ref="S100:S102"/>
    <mergeCell ref="Q103:Q105"/>
    <mergeCell ref="R103:R105"/>
    <mergeCell ref="S103:S105"/>
    <mergeCell ref="B96:C96"/>
    <mergeCell ref="D96:F96"/>
    <mergeCell ref="G96:I96"/>
    <mergeCell ref="J96:L96"/>
    <mergeCell ref="M96:O96"/>
    <mergeCell ref="Q97:Q99"/>
    <mergeCell ref="Q89:S91"/>
    <mergeCell ref="B91:C91"/>
    <mergeCell ref="A94:O94"/>
    <mergeCell ref="B95:C95"/>
    <mergeCell ref="D95:F95"/>
    <mergeCell ref="G95:I95"/>
    <mergeCell ref="J95:L95"/>
    <mergeCell ref="M95:O95"/>
    <mergeCell ref="A96:A97"/>
    <mergeCell ref="Q94:Q96"/>
    <mergeCell ref="R94:R96"/>
    <mergeCell ref="S94:S96"/>
    <mergeCell ref="Q83:Q85"/>
    <mergeCell ref="R83:R85"/>
    <mergeCell ref="S83:S85"/>
    <mergeCell ref="Q86:Q88"/>
    <mergeCell ref="R86:R88"/>
    <mergeCell ref="S86:S88"/>
    <mergeCell ref="S70:S72"/>
    <mergeCell ref="Q73:Q75"/>
    <mergeCell ref="R73:R75"/>
    <mergeCell ref="S73:S75"/>
    <mergeCell ref="Q80:S82"/>
    <mergeCell ref="Q76:Q78"/>
    <mergeCell ref="R76:R78"/>
    <mergeCell ref="S76:S78"/>
    <mergeCell ref="D69:F69"/>
    <mergeCell ref="G69:I69"/>
    <mergeCell ref="J69:L69"/>
    <mergeCell ref="M69:O69"/>
    <mergeCell ref="Q70:Q72"/>
    <mergeCell ref="R70:R72"/>
    <mergeCell ref="B64:C64"/>
    <mergeCell ref="A67:O67"/>
    <mergeCell ref="B68:C68"/>
    <mergeCell ref="D68:F68"/>
    <mergeCell ref="G68:I68"/>
    <mergeCell ref="J68:L68"/>
    <mergeCell ref="M68:O68"/>
    <mergeCell ref="A69:A70"/>
    <mergeCell ref="B69:C69"/>
    <mergeCell ref="Q62:S64"/>
    <mergeCell ref="Q67:Q69"/>
    <mergeCell ref="R67:R69"/>
    <mergeCell ref="S67:S69"/>
    <mergeCell ref="Q56:Q58"/>
    <mergeCell ref="R56:R58"/>
    <mergeCell ref="Q59:Q61"/>
    <mergeCell ref="R59:R61"/>
    <mergeCell ref="R43:R45"/>
    <mergeCell ref="S43:S45"/>
    <mergeCell ref="Q46:Q48"/>
    <mergeCell ref="R46:R48"/>
    <mergeCell ref="S46:S48"/>
    <mergeCell ref="Q53:S55"/>
    <mergeCell ref="S56:S58"/>
    <mergeCell ref="S59:S61"/>
    <mergeCell ref="Q49:Q51"/>
    <mergeCell ref="R49:R51"/>
    <mergeCell ref="S49:S51"/>
    <mergeCell ref="B42:C42"/>
    <mergeCell ref="D42:F42"/>
    <mergeCell ref="G42:I42"/>
    <mergeCell ref="J42:L42"/>
    <mergeCell ref="M42:O42"/>
    <mergeCell ref="Q43:Q45"/>
    <mergeCell ref="Q35:S37"/>
    <mergeCell ref="B37:C37"/>
    <mergeCell ref="A40:O40"/>
    <mergeCell ref="B41:C41"/>
    <mergeCell ref="D41:F41"/>
    <mergeCell ref="G41:I41"/>
    <mergeCell ref="J41:L41"/>
    <mergeCell ref="M41:O41"/>
    <mergeCell ref="A42:A43"/>
    <mergeCell ref="Q40:Q42"/>
    <mergeCell ref="R40:R42"/>
    <mergeCell ref="S40:S42"/>
    <mergeCell ref="Q26:S28"/>
    <mergeCell ref="Q29:Q31"/>
    <mergeCell ref="R29:R31"/>
    <mergeCell ref="S29:S31"/>
    <mergeCell ref="Q32:Q34"/>
    <mergeCell ref="R32:R34"/>
    <mergeCell ref="S32:S34"/>
    <mergeCell ref="Q16:Q18"/>
    <mergeCell ref="R16:R18"/>
    <mergeCell ref="S16:S18"/>
    <mergeCell ref="Q19:Q21"/>
    <mergeCell ref="R19:R21"/>
    <mergeCell ref="S19:S21"/>
    <mergeCell ref="Q22:Q24"/>
    <mergeCell ref="R22:R24"/>
    <mergeCell ref="S22:S24"/>
    <mergeCell ref="A15:A16"/>
    <mergeCell ref="B15:C15"/>
    <mergeCell ref="D15:F15"/>
    <mergeCell ref="G15:I15"/>
    <mergeCell ref="J15:L15"/>
    <mergeCell ref="M15:O15"/>
    <mergeCell ref="B11:F11"/>
    <mergeCell ref="G11:I11"/>
    <mergeCell ref="K11:O11"/>
    <mergeCell ref="A13:O13"/>
    <mergeCell ref="B14:C14"/>
    <mergeCell ref="D14:F14"/>
    <mergeCell ref="G14:I14"/>
    <mergeCell ref="J14:L14"/>
    <mergeCell ref="M14:O14"/>
    <mergeCell ref="S13:S15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Q8:R8"/>
    <mergeCell ref="B9:F9"/>
    <mergeCell ref="G9:I9"/>
    <mergeCell ref="K9:O9"/>
    <mergeCell ref="B10:F10"/>
    <mergeCell ref="G10:I10"/>
    <mergeCell ref="K10:O10"/>
    <mergeCell ref="Q13:Q15"/>
    <mergeCell ref="R13:R15"/>
    <mergeCell ref="Q1:R1"/>
    <mergeCell ref="B2:F2"/>
    <mergeCell ref="G2:I2"/>
    <mergeCell ref="K2:O2"/>
    <mergeCell ref="B3:F3"/>
    <mergeCell ref="G3:I3"/>
    <mergeCell ref="K3:O3"/>
    <mergeCell ref="B4:F4"/>
    <mergeCell ref="G4:I4"/>
    <mergeCell ref="K4:O4"/>
    <mergeCell ref="A1:F1"/>
    <mergeCell ref="G1:I1"/>
    <mergeCell ref="J1:O1"/>
  </mergeCells>
  <phoneticPr fontId="1" type="noConversion"/>
  <conditionalFormatting sqref="G2:I3">
    <cfRule type="expression" dxfId="607" priority="413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606" priority="414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605" priority="411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604" priority="412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603" priority="409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602" priority="410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601" priority="407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600" priority="408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599" priority="405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598" priority="406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597" priority="289">
      <formula>AND($N17 &gt; 0, ISNUMBER($N17))</formula>
    </cfRule>
    <cfRule type="expression" dxfId="596" priority="290">
      <formula>AND($N17 = 0 * ISNUMBER($N17))</formula>
    </cfRule>
    <cfRule type="expression" dxfId="595" priority="291">
      <formula>AND($N17 &lt; 0, ISNUMBER($N17))</formula>
    </cfRule>
  </conditionalFormatting>
  <conditionalFormatting sqref="A17:C36 D17:F36">
    <cfRule type="expression" dxfId="594" priority="298">
      <formula>AND($E17 &gt; 0, ISNUMBER($E17))</formula>
    </cfRule>
    <cfRule type="expression" dxfId="593" priority="299">
      <formula>AND($E17 = 0 * ISNUMBER($E17))</formula>
    </cfRule>
    <cfRule type="expression" dxfId="592" priority="300">
      <formula>AND($E17 &lt; 0, ISNUMBER($E17))</formula>
    </cfRule>
  </conditionalFormatting>
  <conditionalFormatting sqref="A17:C36 G17:I36">
    <cfRule type="expression" dxfId="591" priority="295">
      <formula>AND($H17 &gt; 0, ISNUMBER($H17))</formula>
    </cfRule>
    <cfRule type="expression" dxfId="590" priority="296">
      <formula>AND($H17 = 0 * ISNUMBER($H17))</formula>
    </cfRule>
    <cfRule type="expression" dxfId="589" priority="297">
      <formula>AND($H17 &lt; 0, ISNUMBER($H17))</formula>
    </cfRule>
  </conditionalFormatting>
  <conditionalFormatting sqref="A17:C36 J17:L36">
    <cfRule type="expression" dxfId="588" priority="292">
      <formula>AND($K17 &gt; 0, ISNUMBER($K17))</formula>
    </cfRule>
    <cfRule type="expression" dxfId="587" priority="293">
      <formula>AND($K17 = 0 * ISNUMBER($K17))</formula>
    </cfRule>
    <cfRule type="expression" dxfId="586" priority="294">
      <formula>AND($K17 &lt; 0, ISNUMBER($K17))</formula>
    </cfRule>
  </conditionalFormatting>
  <conditionalFormatting sqref="D15:F16 E37:F37">
    <cfRule type="expression" dxfId="585" priority="286">
      <formula>$E$37 &gt; 0</formula>
    </cfRule>
    <cfRule type="expression" dxfId="584" priority="287">
      <formula>$E$37 = 0</formula>
    </cfRule>
    <cfRule type="expression" dxfId="583" priority="288">
      <formula>$E$37 &lt; 0</formula>
    </cfRule>
  </conditionalFormatting>
  <conditionalFormatting sqref="G15:I16 H37:I37">
    <cfRule type="expression" dxfId="582" priority="283">
      <formula>$H$37 &gt; 0</formula>
    </cfRule>
    <cfRule type="expression" dxfId="581" priority="284">
      <formula>$H$37 = 0</formula>
    </cfRule>
    <cfRule type="expression" dxfId="580" priority="285">
      <formula>$H$37 &lt; 0</formula>
    </cfRule>
  </conditionalFormatting>
  <conditionalFormatting sqref="J15:L16 K37:L37">
    <cfRule type="expression" dxfId="579" priority="280">
      <formula>$K$37 &gt; 0</formula>
    </cfRule>
    <cfRule type="expression" dxfId="578" priority="281">
      <formula>$K$37 = 0</formula>
    </cfRule>
    <cfRule type="expression" dxfId="577" priority="282">
      <formula>$K$37 &lt; 0</formula>
    </cfRule>
  </conditionalFormatting>
  <conditionalFormatting sqref="M15:O16 N37:O37">
    <cfRule type="expression" dxfId="576" priority="277">
      <formula>$N$37 &gt; 0</formula>
    </cfRule>
    <cfRule type="expression" dxfId="575" priority="278">
      <formula>$N$37 = 0</formula>
    </cfRule>
    <cfRule type="expression" dxfId="574" priority="279">
      <formula>$N$37 &lt; 0</formula>
    </cfRule>
  </conditionalFormatting>
  <conditionalFormatting sqref="A44:C63 M44:O63">
    <cfRule type="expression" dxfId="573" priority="265">
      <formula>AND($N44 &gt; 0, ISNUMBER($N44))</formula>
    </cfRule>
    <cfRule type="expression" dxfId="572" priority="266">
      <formula>AND($N44 = 0 * ISNUMBER($N44))</formula>
    </cfRule>
    <cfRule type="expression" dxfId="571" priority="267">
      <formula>AND($N44 &lt; 0, ISNUMBER($N44))</formula>
    </cfRule>
  </conditionalFormatting>
  <conditionalFormatting sqref="A44:F63">
    <cfRule type="expression" dxfId="570" priority="274">
      <formula>AND($E44 &gt; 0, ISNUMBER($E44))</formula>
    </cfRule>
    <cfRule type="expression" dxfId="569" priority="275">
      <formula>AND($E44 = 0 * ISNUMBER($E44))</formula>
    </cfRule>
    <cfRule type="expression" dxfId="568" priority="276">
      <formula>AND($E44 &lt; 0, ISNUMBER($E44))</formula>
    </cfRule>
  </conditionalFormatting>
  <conditionalFormatting sqref="A44:C63 G44:I63">
    <cfRule type="expression" dxfId="567" priority="271">
      <formula>AND($H44 &gt; 0, ISNUMBER($H44))</formula>
    </cfRule>
    <cfRule type="expression" dxfId="566" priority="272">
      <formula>AND($H44 = 0 * ISNUMBER($H44))</formula>
    </cfRule>
    <cfRule type="expression" dxfId="565" priority="273">
      <formula>AND($H44 &lt; 0, ISNUMBER($H44))</formula>
    </cfRule>
  </conditionalFormatting>
  <conditionalFormatting sqref="A44:C63 J44:L63">
    <cfRule type="expression" dxfId="564" priority="268">
      <formula>AND($K44 &gt; 0, ISNUMBER($K44))</formula>
    </cfRule>
    <cfRule type="expression" dxfId="563" priority="269">
      <formula>AND($K44 = 0 * ISNUMBER($K44))</formula>
    </cfRule>
    <cfRule type="expression" dxfId="562" priority="270">
      <formula>AND($K44 &lt; 0, ISNUMBER($K44))</formula>
    </cfRule>
  </conditionalFormatting>
  <conditionalFormatting sqref="D42:F43 E64:F64">
    <cfRule type="expression" dxfId="561" priority="262">
      <formula>$E$64 &gt; 0</formula>
    </cfRule>
    <cfRule type="expression" dxfId="560" priority="263">
      <formula>$E$64 = 0</formula>
    </cfRule>
    <cfRule type="expression" dxfId="559" priority="264">
      <formula>$E$64 &lt; 0</formula>
    </cfRule>
  </conditionalFormatting>
  <conditionalFormatting sqref="G42:I43 H64:I64">
    <cfRule type="expression" dxfId="558" priority="259">
      <formula>$H$64 &gt; 0</formula>
    </cfRule>
    <cfRule type="expression" dxfId="557" priority="260">
      <formula>$H$64 = 0</formula>
    </cfRule>
    <cfRule type="expression" dxfId="556" priority="261">
      <formula>$H$64 &lt; 0</formula>
    </cfRule>
  </conditionalFormatting>
  <conditionalFormatting sqref="J42:L43 K64:L64">
    <cfRule type="expression" dxfId="555" priority="256">
      <formula>$K$64 &gt; 0</formula>
    </cfRule>
    <cfRule type="expression" dxfId="554" priority="257">
      <formula>$K$64 = 0</formula>
    </cfRule>
    <cfRule type="expression" dxfId="553" priority="258">
      <formula>$K$64 &lt; 0</formula>
    </cfRule>
  </conditionalFormatting>
  <conditionalFormatting sqref="M42:O43 N64:O64">
    <cfRule type="expression" dxfId="552" priority="253">
      <formula>$N$64 &gt; 0</formula>
    </cfRule>
    <cfRule type="expression" dxfId="551" priority="254">
      <formula>$N$64 = 0</formula>
    </cfRule>
    <cfRule type="expression" dxfId="550" priority="255">
      <formula>$N$64 &lt; 0</formula>
    </cfRule>
  </conditionalFormatting>
  <conditionalFormatting sqref="A71:C90 M71:O90">
    <cfRule type="expression" dxfId="549" priority="109">
      <formula>AND($N71 &gt; 0, ISNUMBER($N71))</formula>
    </cfRule>
    <cfRule type="expression" dxfId="548" priority="110">
      <formula>AND($N71 = 0 * ISNUMBER($N71))</formula>
    </cfRule>
    <cfRule type="expression" dxfId="547" priority="111">
      <formula>AND($N71 &lt; 0, ISNUMBER($N71))</formula>
    </cfRule>
  </conditionalFormatting>
  <conditionalFormatting sqref="A71:F90">
    <cfRule type="expression" dxfId="546" priority="118">
      <formula>AND($E71 &gt; 0, ISNUMBER($E71))</formula>
    </cfRule>
    <cfRule type="expression" dxfId="545" priority="119">
      <formula>AND($E71 = 0 * ISNUMBER($E71))</formula>
    </cfRule>
    <cfRule type="expression" dxfId="544" priority="120">
      <formula>AND($E71 &lt; 0, ISNUMBER($E71))</formula>
    </cfRule>
  </conditionalFormatting>
  <conditionalFormatting sqref="A71:C90 G71:I90">
    <cfRule type="expression" dxfId="543" priority="115">
      <formula>AND($H71 &gt; 0, ISNUMBER($H71))</formula>
    </cfRule>
    <cfRule type="expression" dxfId="542" priority="116">
      <formula>AND($H71 = 0 * ISNUMBER($H71))</formula>
    </cfRule>
    <cfRule type="expression" dxfId="541" priority="117">
      <formula>AND($H71 &lt; 0, ISNUMBER($H71))</formula>
    </cfRule>
  </conditionalFormatting>
  <conditionalFormatting sqref="A71:C90 J71:L90">
    <cfRule type="expression" dxfId="540" priority="112">
      <formula>AND($K71 &gt; 0, ISNUMBER($K71))</formula>
    </cfRule>
    <cfRule type="expression" dxfId="539" priority="113">
      <formula>AND($K71 = 0 * ISNUMBER($K71))</formula>
    </cfRule>
    <cfRule type="expression" dxfId="538" priority="114">
      <formula>AND($K71 &lt; 0, ISNUMBER($K71))</formula>
    </cfRule>
  </conditionalFormatting>
  <conditionalFormatting sqref="D69:F70 E91:F91">
    <cfRule type="expression" dxfId="537" priority="106">
      <formula>$E$91 &gt; 0</formula>
    </cfRule>
    <cfRule type="expression" dxfId="536" priority="107">
      <formula>$E$91 = 0</formula>
    </cfRule>
    <cfRule type="expression" dxfId="535" priority="108">
      <formula>$E$91 &lt; 0</formula>
    </cfRule>
  </conditionalFormatting>
  <conditionalFormatting sqref="G69:I70 H91:I91">
    <cfRule type="expression" dxfId="534" priority="103">
      <formula>$H$91 &gt; 0</formula>
    </cfRule>
    <cfRule type="expression" dxfId="533" priority="104">
      <formula>$H$91 = 0</formula>
    </cfRule>
    <cfRule type="expression" dxfId="532" priority="105">
      <formula>$H$91 &lt; 0</formula>
    </cfRule>
  </conditionalFormatting>
  <conditionalFormatting sqref="J69:L70 K91:L91">
    <cfRule type="expression" dxfId="531" priority="100">
      <formula>$K$91 &gt; 0</formula>
    </cfRule>
    <cfRule type="expression" dxfId="530" priority="101">
      <formula>$K$91 = 0</formula>
    </cfRule>
    <cfRule type="expression" dxfId="529" priority="102">
      <formula>$K$91 &lt; 0</formula>
    </cfRule>
  </conditionalFormatting>
  <conditionalFormatting sqref="M69:O70 N91:O91">
    <cfRule type="expression" dxfId="528" priority="97">
      <formula>$N$91 &gt; 0</formula>
    </cfRule>
    <cfRule type="expression" dxfId="527" priority="98">
      <formula>$N$91 = 0</formula>
    </cfRule>
    <cfRule type="expression" dxfId="526" priority="99">
      <formula>$N$91 &lt; 0</formula>
    </cfRule>
  </conditionalFormatting>
  <conditionalFormatting sqref="A98:C117 M98:O117">
    <cfRule type="expression" dxfId="525" priority="85">
      <formula>AND($N98 &gt; 0, ISNUMBER($N98))</formula>
    </cfRule>
    <cfRule type="expression" dxfId="524" priority="86">
      <formula>AND($N98 = 0 * ISNUMBER($N98))</formula>
    </cfRule>
    <cfRule type="expression" dxfId="523" priority="87">
      <formula>AND($N98 &lt; 0, ISNUMBER($N98))</formula>
    </cfRule>
  </conditionalFormatting>
  <conditionalFormatting sqref="A98:F117">
    <cfRule type="expression" dxfId="522" priority="94">
      <formula>AND($E98 &gt; 0, ISNUMBER($E98))</formula>
    </cfRule>
    <cfRule type="expression" dxfId="521" priority="95">
      <formula>AND($E98 = 0 * ISNUMBER($E98))</formula>
    </cfRule>
    <cfRule type="expression" dxfId="520" priority="96">
      <formula>AND($E98 &lt; 0, ISNUMBER($E98))</formula>
    </cfRule>
  </conditionalFormatting>
  <conditionalFormatting sqref="A98:C117 G98:I117">
    <cfRule type="expression" dxfId="519" priority="91">
      <formula>AND($H98 &gt; 0, ISNUMBER($H98))</formula>
    </cfRule>
    <cfRule type="expression" dxfId="518" priority="92">
      <formula>AND($H98 = 0 * ISNUMBER($H98))</formula>
    </cfRule>
    <cfRule type="expression" dxfId="517" priority="93">
      <formula>AND($H98 &lt; 0, ISNUMBER($H98))</formula>
    </cfRule>
  </conditionalFormatting>
  <conditionalFormatting sqref="A98:C117 J98:L117">
    <cfRule type="expression" dxfId="516" priority="88">
      <formula>AND($K98 &gt; 0, ISNUMBER($K98))</formula>
    </cfRule>
    <cfRule type="expression" dxfId="515" priority="89">
      <formula>AND($K98 = 0 * ISNUMBER($K98))</formula>
    </cfRule>
    <cfRule type="expression" dxfId="514" priority="90">
      <formula>AND($K98 &lt; 0, ISNUMBER($K98))</formula>
    </cfRule>
  </conditionalFormatting>
  <conditionalFormatting sqref="D96:F97 E118:F118">
    <cfRule type="expression" dxfId="513" priority="82">
      <formula>$E$118 &gt; 0</formula>
    </cfRule>
    <cfRule type="expression" dxfId="512" priority="83">
      <formula>$E$118 = 0</formula>
    </cfRule>
    <cfRule type="expression" dxfId="511" priority="84">
      <formula>$E$118 &lt; 0</formula>
    </cfRule>
  </conditionalFormatting>
  <conditionalFormatting sqref="G96:I97 H118:I118">
    <cfRule type="expression" dxfId="510" priority="79">
      <formula>$H$118 &gt; 0</formula>
    </cfRule>
    <cfRule type="expression" dxfId="509" priority="80">
      <formula>$H$118 = 0</formula>
    </cfRule>
    <cfRule type="expression" dxfId="508" priority="81">
      <formula>$H$118 &lt; 0</formula>
    </cfRule>
  </conditionalFormatting>
  <conditionalFormatting sqref="J96:L97 K118:L118">
    <cfRule type="expression" dxfId="507" priority="76">
      <formula>$K$118 &gt; 0</formula>
    </cfRule>
    <cfRule type="expression" dxfId="506" priority="77">
      <formula>$K$118 = 0</formula>
    </cfRule>
    <cfRule type="expression" dxfId="505" priority="78">
      <formula>$K$118 &lt; 0</formula>
    </cfRule>
  </conditionalFormatting>
  <conditionalFormatting sqref="M96:O97 N118:O118">
    <cfRule type="expression" dxfId="504" priority="73">
      <formula>$N$118 &gt; 0</formula>
    </cfRule>
    <cfRule type="expression" dxfId="503" priority="74">
      <formula>$N$118 = 0</formula>
    </cfRule>
    <cfRule type="expression" dxfId="502" priority="75">
      <formula>$N$118 &lt; 0</formula>
    </cfRule>
  </conditionalFormatting>
  <conditionalFormatting sqref="A125:C144 M125:O144">
    <cfRule type="expression" dxfId="501" priority="61">
      <formula>AND($N125 &gt; 0, ISNUMBER($N125))</formula>
    </cfRule>
    <cfRule type="expression" dxfId="500" priority="62">
      <formula>AND($N125 = 0 * ISNUMBER($N125))</formula>
    </cfRule>
    <cfRule type="expression" dxfId="499" priority="63">
      <formula>AND($N125 &lt; 0, ISNUMBER($N125))</formula>
    </cfRule>
  </conditionalFormatting>
  <conditionalFormatting sqref="A125:F144">
    <cfRule type="expression" dxfId="498" priority="70">
      <formula>AND($E125 &gt; 0, ISNUMBER($E125))</formula>
    </cfRule>
    <cfRule type="expression" dxfId="497" priority="71">
      <formula>AND($E125 = 0 * ISNUMBER($E125))</formula>
    </cfRule>
    <cfRule type="expression" dxfId="496" priority="72">
      <formula>AND($E125 &lt; 0, ISNUMBER($E125))</formula>
    </cfRule>
  </conditionalFormatting>
  <conditionalFormatting sqref="A125:C144 G125:I144">
    <cfRule type="expression" dxfId="495" priority="67">
      <formula>AND($H125 &gt; 0, ISNUMBER($H125))</formula>
    </cfRule>
    <cfRule type="expression" dxfId="494" priority="68">
      <formula>AND($H125 = 0 * ISNUMBER($H125))</formula>
    </cfRule>
    <cfRule type="expression" dxfId="493" priority="69">
      <formula>AND($H125 &lt; 0, ISNUMBER($H125))</formula>
    </cfRule>
  </conditionalFormatting>
  <conditionalFormatting sqref="A125:C144 J125:L144">
    <cfRule type="expression" dxfId="492" priority="64">
      <formula>AND($K125 &gt; 0, ISNUMBER($K125))</formula>
    </cfRule>
    <cfRule type="expression" dxfId="491" priority="65">
      <formula>AND($K125 = 0 * ISNUMBER($K125))</formula>
    </cfRule>
    <cfRule type="expression" dxfId="490" priority="66">
      <formula>AND($K125 &lt; 0, ISNUMBER($K125))</formula>
    </cfRule>
  </conditionalFormatting>
  <conditionalFormatting sqref="D123:F124 E145:F145">
    <cfRule type="expression" dxfId="489" priority="58">
      <formula>$E$145 &gt; 0</formula>
    </cfRule>
    <cfRule type="expression" dxfId="488" priority="59">
      <formula>$E$145 = 0</formula>
    </cfRule>
    <cfRule type="expression" dxfId="487" priority="60">
      <formula>$E$145 &lt; 0</formula>
    </cfRule>
  </conditionalFormatting>
  <conditionalFormatting sqref="G123:I124 H145:I145">
    <cfRule type="expression" dxfId="486" priority="55">
      <formula>$H$145 &gt; 0</formula>
    </cfRule>
    <cfRule type="expression" dxfId="485" priority="56">
      <formula>$H$145 = 0</formula>
    </cfRule>
    <cfRule type="expression" dxfId="484" priority="57">
      <formula>$H$145 &lt; 0</formula>
    </cfRule>
  </conditionalFormatting>
  <conditionalFormatting sqref="J123:L124 K145:L145">
    <cfRule type="expression" dxfId="483" priority="52">
      <formula>$K$145 &gt; 0</formula>
    </cfRule>
    <cfRule type="expression" dxfId="482" priority="53">
      <formula>$K$145 = 0</formula>
    </cfRule>
    <cfRule type="expression" dxfId="481" priority="54">
      <formula>$K$145 &lt; 0</formula>
    </cfRule>
  </conditionalFormatting>
  <conditionalFormatting sqref="M123:O124 N145:O145">
    <cfRule type="expression" dxfId="480" priority="49">
      <formula>$N$145 &gt; 0</formula>
    </cfRule>
    <cfRule type="expression" dxfId="479" priority="50">
      <formula>$N$145 = 0</formula>
    </cfRule>
    <cfRule type="expression" dxfId="478" priority="51">
      <formula>$N$145 &lt; 0</formula>
    </cfRule>
  </conditionalFormatting>
  <conditionalFormatting sqref="A152:C171 M152:O171">
    <cfRule type="expression" dxfId="477" priority="37">
      <formula>AND($N152 &gt; 0, ISNUMBER($N152))</formula>
    </cfRule>
    <cfRule type="expression" dxfId="476" priority="38">
      <formula>AND($N152 = 0 * ISNUMBER($N152))</formula>
    </cfRule>
    <cfRule type="expression" dxfId="475" priority="39">
      <formula>AND($N152 &lt; 0, ISNUMBER($N152))</formula>
    </cfRule>
  </conditionalFormatting>
  <conditionalFormatting sqref="A152:F171">
    <cfRule type="expression" dxfId="474" priority="46">
      <formula>AND($E152 &gt; 0, ISNUMBER($E152))</formula>
    </cfRule>
    <cfRule type="expression" dxfId="473" priority="47">
      <formula>AND($E152 = 0 * ISNUMBER($E152))</formula>
    </cfRule>
    <cfRule type="expression" dxfId="472" priority="48">
      <formula>AND($E152 &lt; 0, ISNUMBER($E152))</formula>
    </cfRule>
  </conditionalFormatting>
  <conditionalFormatting sqref="A152:C171 G152:I171">
    <cfRule type="expression" dxfId="471" priority="43">
      <formula>AND($H152 &gt; 0, ISNUMBER($H152))</formula>
    </cfRule>
    <cfRule type="expression" dxfId="470" priority="44">
      <formula>AND($H152 = 0 * ISNUMBER($H152))</formula>
    </cfRule>
    <cfRule type="expression" dxfId="469" priority="45">
      <formula>AND($H152 &lt; 0, ISNUMBER($H152))</formula>
    </cfRule>
  </conditionalFormatting>
  <conditionalFormatting sqref="A152:C171 J152:L171">
    <cfRule type="expression" dxfId="468" priority="40">
      <formula>AND($K152 &gt; 0, ISNUMBER($K152))</formula>
    </cfRule>
    <cfRule type="expression" dxfId="467" priority="41">
      <formula>AND($K152 = 0 * ISNUMBER($K152))</formula>
    </cfRule>
    <cfRule type="expression" dxfId="466" priority="42">
      <formula>AND($K152 &lt; 0, ISNUMBER($K152))</formula>
    </cfRule>
  </conditionalFormatting>
  <conditionalFormatting sqref="D150:F151 E172:F172">
    <cfRule type="expression" dxfId="465" priority="34">
      <formula>$E$172 &gt; 0</formula>
    </cfRule>
    <cfRule type="expression" dxfId="464" priority="35">
      <formula>$E$172 = 0</formula>
    </cfRule>
    <cfRule type="expression" dxfId="463" priority="36">
      <formula>$E$172 &lt; 0</formula>
    </cfRule>
  </conditionalFormatting>
  <conditionalFormatting sqref="G150:I151 H172:I172">
    <cfRule type="expression" dxfId="462" priority="31">
      <formula>$H$172 &gt; 0</formula>
    </cfRule>
    <cfRule type="expression" dxfId="461" priority="32">
      <formula>$H$172 = 0</formula>
    </cfRule>
    <cfRule type="expression" dxfId="460" priority="33">
      <formula>$H$172 &lt; 0</formula>
    </cfRule>
  </conditionalFormatting>
  <conditionalFormatting sqref="J150:L151 K172:L172">
    <cfRule type="expression" dxfId="459" priority="28">
      <formula>$K$172 &gt; 0</formula>
    </cfRule>
    <cfRule type="expression" dxfId="458" priority="29">
      <formula>$K$172 = 0</formula>
    </cfRule>
    <cfRule type="expression" dxfId="457" priority="30">
      <formula>$K$172 &lt; 0</formula>
    </cfRule>
  </conditionalFormatting>
  <conditionalFormatting sqref="M150:O151 N172:O172">
    <cfRule type="expression" dxfId="456" priority="25">
      <formula>$N$172 &gt; 0</formula>
    </cfRule>
    <cfRule type="expression" dxfId="455" priority="26">
      <formula>$N$172 = 0</formula>
    </cfRule>
    <cfRule type="expression" dxfId="454" priority="27">
      <formula>$N$172 &lt; 0</formula>
    </cfRule>
  </conditionalFormatting>
  <conditionalFormatting sqref="A179:C198 M179:O198">
    <cfRule type="expression" dxfId="453" priority="13">
      <formula>AND($N179 &gt; 0, ISNUMBER($N179))</formula>
    </cfRule>
    <cfRule type="expression" dxfId="452" priority="14">
      <formula>AND($N179 = 0 * ISNUMBER($N179))</formula>
    </cfRule>
    <cfRule type="expression" dxfId="451" priority="15">
      <formula>AND($N179 &lt; 0, ISNUMBER($N179))</formula>
    </cfRule>
  </conditionalFormatting>
  <conditionalFormatting sqref="A179:F198">
    <cfRule type="expression" dxfId="450" priority="22">
      <formula>AND($E179 &gt; 0, ISNUMBER($E179))</formula>
    </cfRule>
    <cfRule type="expression" dxfId="449" priority="23">
      <formula>AND($E179 = 0 * ISNUMBER($E179))</formula>
    </cfRule>
    <cfRule type="expression" dxfId="448" priority="24">
      <formula>AND($E179 &lt; 0, ISNUMBER($E179))</formula>
    </cfRule>
  </conditionalFormatting>
  <conditionalFormatting sqref="A179:C198 G179:I198">
    <cfRule type="expression" dxfId="447" priority="19">
      <formula>AND($H179 &gt; 0, ISNUMBER($H179))</formula>
    </cfRule>
    <cfRule type="expression" dxfId="446" priority="20">
      <formula>AND($H179 = 0 * ISNUMBER($H179))</formula>
    </cfRule>
    <cfRule type="expression" dxfId="445" priority="21">
      <formula>AND($H179 &lt; 0, ISNUMBER($H179))</formula>
    </cfRule>
  </conditionalFormatting>
  <conditionalFormatting sqref="A179:C198 J179:L198">
    <cfRule type="expression" dxfId="444" priority="16">
      <formula>AND($K179 &gt; 0, ISNUMBER($K179))</formula>
    </cfRule>
    <cfRule type="expression" dxfId="443" priority="17">
      <formula>AND($K179 = 0 * ISNUMBER($K179))</formula>
    </cfRule>
    <cfRule type="expression" dxfId="442" priority="18">
      <formula>AND($K179 &lt; 0, ISNUMBER($K179))</formula>
    </cfRule>
  </conditionalFormatting>
  <conditionalFormatting sqref="D177:F178 E199:F199">
    <cfRule type="expression" dxfId="441" priority="10">
      <formula>$E$199 &gt; 0</formula>
    </cfRule>
    <cfRule type="expression" dxfId="440" priority="11">
      <formula>$E$199 = 0</formula>
    </cfRule>
    <cfRule type="expression" dxfId="439" priority="12">
      <formula>$E$199 &lt; 0</formula>
    </cfRule>
  </conditionalFormatting>
  <conditionalFormatting sqref="G177:I178 H199:I199">
    <cfRule type="expression" dxfId="438" priority="7">
      <formula>$H$199 &gt; 0</formula>
    </cfRule>
    <cfRule type="expression" dxfId="437" priority="8">
      <formula>$H$199 = 0</formula>
    </cfRule>
    <cfRule type="expression" dxfId="436" priority="9">
      <formula>$H$199 &lt; 0</formula>
    </cfRule>
  </conditionalFormatting>
  <conditionalFormatting sqref="J177:L178 K199:L199">
    <cfRule type="expression" dxfId="435" priority="4">
      <formula>$K$199 &gt; 0</formula>
    </cfRule>
    <cfRule type="expression" dxfId="434" priority="5">
      <formula>$K$199 = 0</formula>
    </cfRule>
    <cfRule type="expression" dxfId="433" priority="6">
      <formula>$K$199 &lt; 0</formula>
    </cfRule>
  </conditionalFormatting>
  <conditionalFormatting sqref="M177:O178 N199:O199">
    <cfRule type="expression" dxfId="432" priority="1">
      <formula>$N$199 &gt; 0</formula>
    </cfRule>
    <cfRule type="expression" dxfId="431" priority="2">
      <formula>$N$199 = 0</formula>
    </cfRule>
    <cfRule type="expression" dxfId="43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9" name="Button 6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10" name="Button 7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7" r:id="rId11" name="Button 5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8" r:id="rId12" name="Button 58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79" r:id="rId13" name="Button 59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1" r:id="rId14" name="Button 6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2" r:id="rId15" name="Button 62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3" r:id="rId16" name="Button 6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7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0" r:id="rId18" name="Button 60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7" r:id="rId19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8" r:id="rId20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39" r:id="rId21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240" r:id="rId22" name="Button 120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84" r:id="rId23" name="Button 64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3" r:id="rId24" name="Button 1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4" r:id="rId25" name="Button 1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5" r:id="rId26" name="Button 1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6" r:id="rId27" name="Button 1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7" r:id="rId28" name="Button 1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8" r:id="rId29" name="Button 1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19" r:id="rId30" name="Button 1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0" r:id="rId31" name="Button 2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1" r:id="rId32" name="Button 2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2" r:id="rId33" name="Button 2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3" r:id="rId34" name="Button 2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4" r:id="rId35" name="Button 2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5" r:id="rId36" name="Button 2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7" r:id="rId37" name="Button 2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8" r:id="rId38" name="Button 2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9" r:id="rId39" name="Button 2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0" r:id="rId40" name="Button 2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1" r:id="rId41" name="Button 2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2" r:id="rId42" name="Button 2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3" r:id="rId43" name="Button 21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4" r:id="rId44" name="Button 21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5" r:id="rId45" name="Button 21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6" r:id="rId46" name="Button 21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7" r:id="rId47" name="Button 21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8" r:id="rId48" name="Button 21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39" r:id="rId49" name="Button 21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0" r:id="rId50" name="Button 22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1" r:id="rId51" name="Button 22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2" r:id="rId52" name="Button 22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3" r:id="rId53" name="Button 22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4" r:id="rId54" name="Button 22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5" r:id="rId55" name="Button 22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7" r:id="rId56" name="Button 22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8" r:id="rId57" name="Button 22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9" r:id="rId58" name="Button 22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0" r:id="rId59" name="Button 23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1" r:id="rId60" name="Button 23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2" r:id="rId61" name="Button 23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3" r:id="rId62" name="Button 23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4" r:id="rId63" name="Button 23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5" r:id="rId64" name="Button 23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6" r:id="rId65" name="Button 23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7" r:id="rId66" name="Button 23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8" r:id="rId67" name="Button 23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59" r:id="rId68" name="Button 23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0" r:id="rId69" name="Button 24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1" r:id="rId70" name="Button 24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2" r:id="rId71" name="Button 24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3" r:id="rId72" name="Button 24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4" r:id="rId73" name="Button 24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8" r:id="rId74" name="Button 24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9" r:id="rId75" name="Button 24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0" r:id="rId76" name="Button 25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1" r:id="rId77" name="Button 25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2" r:id="rId78" name="Button 25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3" r:id="rId79" name="Button 25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4" r:id="rId80" name="Button 25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5" r:id="rId81" name="Button 25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6" r:id="rId82" name="Button 25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7" r:id="rId83" name="Button 25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8" r:id="rId84" name="Button 25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79" r:id="rId85" name="Button 25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0" r:id="rId86" name="Button 26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1" r:id="rId87" name="Button 26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2" r:id="rId88" name="Button 26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3" r:id="rId89" name="Button 26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4" r:id="rId90" name="Button 26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5" r:id="rId91" name="Button 26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7" r:id="rId92" name="Button 26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8" r:id="rId93" name="Button 26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9" r:id="rId94" name="Button 26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0" r:id="rId95" name="Button 27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1" r:id="rId96" name="Button 27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2" r:id="rId97" name="Button 27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3" r:id="rId98" name="Button 27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4" r:id="rId99" name="Button 27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5" r:id="rId100" name="Button 27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6" r:id="rId101" name="Button 27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7" r:id="rId102" name="Button 27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8" r:id="rId103" name="Button 27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99" r:id="rId104" name="Button 27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0" r:id="rId105" name="Button 28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1" r:id="rId106" name="Button 28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2" r:id="rId107" name="Button 28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3" r:id="rId108" name="Button 28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4" r:id="rId109" name="Button 28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5" r:id="rId110" name="Button 28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7" r:id="rId111" name="Button 28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8" r:id="rId112" name="Button 28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9" r:id="rId113" name="Button 28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0" r:id="rId114" name="Button 29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1" r:id="rId115" name="Button 2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2" r:id="rId116" name="Button 2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3" r:id="rId117" name="Button 293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4" r:id="rId118" name="Button 29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5" r:id="rId119" name="Button 295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6" r:id="rId120" name="Button 296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7" r:id="rId121" name="Button 29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8" r:id="rId122" name="Button 298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19" r:id="rId123" name="Button 299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0" r:id="rId124" name="Button 3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1" r:id="rId125" name="Button 301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2" r:id="rId126" name="Button 302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3" r:id="rId127" name="Button 303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4" r:id="rId128" name="Button 304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5" r:id="rId129" name="Button 30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7" r:id="rId130" name="Button 30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8" r:id="rId131" name="Button 30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9" r:id="rId132" name="Button 30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0" r:id="rId133" name="Button 31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1" r:id="rId134" name="Button 31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32" r:id="rId135" name="Button 31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26" r:id="rId136" name="Button 2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46" r:id="rId137" name="Button 22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5" r:id="rId138" name="Button 245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7" r:id="rId139" name="Button 247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66" r:id="rId140" name="Button 24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386" r:id="rId141" name="Button 2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06" r:id="rId142" name="Button 28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426" r:id="rId143" name="Button 30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140EEB-D95F-461C-919E-4F645BB9B9B4}">
  <sheetPr codeName="Sheet1"/>
  <dimension ref="A1:R200"/>
  <sheetViews>
    <sheetView topLeftCell="A85" workbookViewId="0">
      <selection activeCell="A2" sqref="A2:E118"/>
    </sheetView>
  </sheetViews>
  <sheetFormatPr defaultRowHeight="16.5"/>
  <cols>
    <col min="1" max="1" width="13.5" bestFit="1" customWidth="1"/>
    <col min="2" max="2" width="18.5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1" max="11" width="17.375" customWidth="1"/>
    <col min="12" max="12" width="17.5" bestFit="1" customWidth="1"/>
    <col min="15" max="15" width="17.375" customWidth="1"/>
    <col min="16" max="16" width="17.5" bestFit="1" customWidth="1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91</v>
      </c>
      <c r="B2" s="11" t="s">
        <v>92</v>
      </c>
      <c r="C2" s="95">
        <v>1180</v>
      </c>
      <c r="D2" s="92">
        <v>7.7625570800000002E-2</v>
      </c>
      <c r="E2" s="93">
        <v>1114415841.2694287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146</v>
      </c>
      <c r="D3" s="92">
        <v>7.35294118E-2</v>
      </c>
      <c r="E3" s="93">
        <v>120124398.1294052</v>
      </c>
      <c r="F3" s="35"/>
      <c r="G3" s="227" t="s">
        <v>290</v>
      </c>
      <c r="H3" s="239" t="s">
        <v>359</v>
      </c>
      <c r="I3" s="239"/>
      <c r="K3" s="183" t="s">
        <v>34</v>
      </c>
      <c r="L3" s="184"/>
      <c r="M3" s="184"/>
      <c r="N3" s="185"/>
      <c r="O3" s="183" t="s">
        <v>292</v>
      </c>
      <c r="P3" s="184"/>
      <c r="Q3" s="184"/>
      <c r="R3" s="185"/>
    </row>
    <row r="4" spans="1:18" ht="17.25" thickBot="1">
      <c r="A4" s="40" t="s">
        <v>131</v>
      </c>
      <c r="B4" s="11" t="s">
        <v>132</v>
      </c>
      <c r="C4" s="95">
        <v>139</v>
      </c>
      <c r="D4" s="92">
        <v>6.10687023E-2</v>
      </c>
      <c r="E4" s="93">
        <v>1344297145.0314789</v>
      </c>
      <c r="F4" s="35"/>
      <c r="G4" s="228"/>
      <c r="H4" s="240"/>
      <c r="I4" s="240"/>
      <c r="K4" s="220" t="s">
        <v>55</v>
      </c>
      <c r="L4" s="236">
        <f ca="1">NOW()</f>
        <v>44348.005391782404</v>
      </c>
      <c r="M4" s="237"/>
      <c r="N4" s="238"/>
      <c r="O4" s="235" t="s">
        <v>55</v>
      </c>
      <c r="P4" s="236">
        <f ca="1">NOW()</f>
        <v>44348.005391782404</v>
      </c>
      <c r="Q4" s="237"/>
      <c r="R4" s="238"/>
    </row>
    <row r="5" spans="1:18" ht="17.25" thickBot="1">
      <c r="A5" s="40" t="s">
        <v>75</v>
      </c>
      <c r="B5" s="11" t="s">
        <v>76</v>
      </c>
      <c r="C5" s="95">
        <v>34270</v>
      </c>
      <c r="D5" s="92">
        <v>5.2518427499999999E-2</v>
      </c>
      <c r="E5" s="93">
        <v>1531837.5255949099</v>
      </c>
      <c r="F5" s="35"/>
      <c r="K5" s="228"/>
      <c r="L5" s="36" t="s">
        <v>58</v>
      </c>
      <c r="M5" s="73" t="s">
        <v>59</v>
      </c>
      <c r="N5" s="69" t="s">
        <v>294</v>
      </c>
      <c r="O5" s="228"/>
      <c r="P5" s="36" t="s">
        <v>58</v>
      </c>
      <c r="Q5" s="73" t="s">
        <v>59</v>
      </c>
      <c r="R5" s="69" t="s">
        <v>294</v>
      </c>
    </row>
    <row r="6" spans="1:18" ht="17.25" thickBot="1">
      <c r="A6" s="40" t="s">
        <v>95</v>
      </c>
      <c r="B6" s="11" t="s">
        <v>96</v>
      </c>
      <c r="C6" s="95">
        <v>3015000</v>
      </c>
      <c r="D6" s="92">
        <v>4.1450777199999997E-2</v>
      </c>
      <c r="E6" s="93">
        <v>201219.80930652001</v>
      </c>
      <c r="F6" s="35"/>
      <c r="G6" s="183" t="s">
        <v>52</v>
      </c>
      <c r="H6" s="184"/>
      <c r="I6" s="185"/>
      <c r="K6" s="55" t="str">
        <f ca="1">IFERROR(OFFSET(INDIRECT($H$3 &amp; "!A17"), 0, 0), "")</f>
        <v>오브스</v>
      </c>
      <c r="L6" s="38">
        <f t="shared" ref="L6:L24" ca="1" si="0">_xlfn.IFNA(VLOOKUP(K6, $B$2:$E$200, 2, FALSE), "")</f>
        <v>94.9</v>
      </c>
      <c r="M6" s="76">
        <f t="shared" ref="M6:M25" ca="1" si="1">_xlfn.IFNA(VLOOKUP(K6, $B$2:$E$200, 3, FALSE), "")</f>
        <v>-2.9652351699999999E-2</v>
      </c>
      <c r="N6" s="85">
        <f ca="1">_xlfn.IFNA(VLOOKUP(K6, $B$2:$E$200, 4, FALSE), "")</f>
        <v>40943897.176569127</v>
      </c>
      <c r="O6" s="46" t="str">
        <f>INDEX($A$2:$D$200, MATCH(LARGE($D$2:$D$200, 1), $D$2:$D$200, 0), 2)</f>
        <v>리플</v>
      </c>
      <c r="P6" s="38">
        <f t="shared" ref="P6:P25" si="2">_xlfn.IFNA(VLOOKUP(O6, $B$2:$D$200, 2, FALSE), "")</f>
        <v>1180</v>
      </c>
      <c r="Q6" s="76">
        <f t="shared" ref="Q6:Q25" si="3">_xlfn.IFNA(VLOOKUP(O6, $B$2:$D$200, 3, FALSE), "")</f>
        <v>7.7625570800000002E-2</v>
      </c>
      <c r="R6" s="85">
        <f>_xlfn.IFNA(VLOOKUP(O6, $B$2:$E$200, 4, FALSE), "")</f>
        <v>1114415841.2694287</v>
      </c>
    </row>
    <row r="7" spans="1:18">
      <c r="A7" s="40" t="s">
        <v>157</v>
      </c>
      <c r="B7" s="11" t="s">
        <v>158</v>
      </c>
      <c r="C7" s="95">
        <v>5720</v>
      </c>
      <c r="D7" s="92">
        <v>0.04</v>
      </c>
      <c r="E7" s="93">
        <v>20417118.29620764</v>
      </c>
      <c r="F7" s="35"/>
      <c r="G7" s="211" t="s">
        <v>36</v>
      </c>
      <c r="H7" s="212"/>
      <c r="I7" s="213"/>
      <c r="K7" s="56" t="str">
        <f ca="1">IFERROR(OFFSET(INDIRECT($H$3 &amp; "!A17"), 1, 0), "")</f>
        <v>크립토닷컴체인</v>
      </c>
      <c r="L7" s="39">
        <f t="shared" ca="1" si="0"/>
        <v>146</v>
      </c>
      <c r="M7" s="77">
        <f t="shared" ca="1" si="1"/>
        <v>7.35294118E-2</v>
      </c>
      <c r="N7" s="86">
        <f t="shared" ref="N7:N25" ca="1" si="4">_xlfn.IFNA(VLOOKUP(K7, $B$2:$E$200, 4, FALSE), "")</f>
        <v>120124398.1294052</v>
      </c>
      <c r="O7" s="47" t="str">
        <f>INDEX($A$2:$D$200, MATCH(LARGE($D$2:$D$200, 2), $D$2:$D$200, 0), 2)</f>
        <v>크립토닷컴체인</v>
      </c>
      <c r="P7" s="39">
        <f t="shared" si="2"/>
        <v>146</v>
      </c>
      <c r="Q7" s="77">
        <f t="shared" si="3"/>
        <v>7.35294118E-2</v>
      </c>
      <c r="R7" s="86">
        <f t="shared" ref="R7:R25" si="5">_xlfn.IFNA(VLOOKUP(O7, $B$2:$E$200, 4, FALSE), "")</f>
        <v>120124398.1294052</v>
      </c>
    </row>
    <row r="8" spans="1:18" ht="17.25" thickBot="1">
      <c r="A8" s="40" t="s">
        <v>73</v>
      </c>
      <c r="B8" s="11" t="s">
        <v>74</v>
      </c>
      <c r="C8" s="95">
        <v>15830</v>
      </c>
      <c r="D8" s="92">
        <v>3.6673215500000002E-2</v>
      </c>
      <c r="E8" s="93">
        <v>381092.37674819998</v>
      </c>
      <c r="F8" s="35"/>
      <c r="G8" s="204"/>
      <c r="H8" s="205"/>
      <c r="I8" s="206"/>
      <c r="K8" s="56" t="str">
        <f ca="1">IFERROR(OFFSET(INDIRECT($H$3 &amp; "!A17"), 2, 0), "")</f>
        <v>헌트</v>
      </c>
      <c r="L8" s="39">
        <f t="shared" ca="1" si="0"/>
        <v>308</v>
      </c>
      <c r="M8" s="77">
        <f t="shared" ca="1" si="1"/>
        <v>-5.8103975500000002E-2</v>
      </c>
      <c r="N8" s="86">
        <f t="shared" ca="1" si="4"/>
        <v>28172137.118568439</v>
      </c>
      <c r="O8" s="47" t="str">
        <f>INDEX($A$2:$D$200, MATCH(LARGE($D$2:$D$200, 3), $D$2:$D$200, 0), 2)</f>
        <v>비체인</v>
      </c>
      <c r="P8" s="39">
        <f t="shared" si="2"/>
        <v>139</v>
      </c>
      <c r="Q8" s="77">
        <f t="shared" si="3"/>
        <v>6.10687023E-2</v>
      </c>
      <c r="R8" s="86">
        <f t="shared" si="5"/>
        <v>1344297145.0314789</v>
      </c>
    </row>
    <row r="9" spans="1:18" ht="17.25" thickBot="1">
      <c r="A9" s="40" t="s">
        <v>147</v>
      </c>
      <c r="B9" s="11" t="s">
        <v>148</v>
      </c>
      <c r="C9" s="95">
        <v>125</v>
      </c>
      <c r="D9" s="92">
        <v>3.3057851200000002E-2</v>
      </c>
      <c r="E9" s="93">
        <v>28811635.008600581</v>
      </c>
      <c r="F9" s="35"/>
      <c r="G9" s="9" t="s">
        <v>38</v>
      </c>
      <c r="H9" s="184" t="s">
        <v>37</v>
      </c>
      <c r="I9" s="185"/>
      <c r="K9" s="56" t="str">
        <f ca="1">IFERROR(OFFSET(INDIRECT($H$3 &amp; "!A17"), 3, 0), "")</f>
        <v>디카르고</v>
      </c>
      <c r="L9" s="39">
        <f t="shared" ca="1" si="0"/>
        <v>161</v>
      </c>
      <c r="M9" s="77">
        <f t="shared" ca="1" si="1"/>
        <v>-2.4242424200000001E-2</v>
      </c>
      <c r="N9" s="86">
        <f t="shared" ca="1" si="4"/>
        <v>29203172.02922079</v>
      </c>
      <c r="O9" s="47" t="str">
        <f>INDEX($A$2:$D$200, MATCH(LARGE($D$2:$D$200, 4), $D$2:$D$200, 0), 2)</f>
        <v>체인링크</v>
      </c>
      <c r="P9" s="39">
        <f t="shared" si="2"/>
        <v>34270</v>
      </c>
      <c r="Q9" s="77">
        <f t="shared" si="3"/>
        <v>5.2518427499999999E-2</v>
      </c>
      <c r="R9" s="86">
        <f t="shared" si="5"/>
        <v>1531837.5255949099</v>
      </c>
    </row>
    <row r="10" spans="1:18">
      <c r="A10" s="40" t="s">
        <v>129</v>
      </c>
      <c r="B10" s="11" t="s">
        <v>130</v>
      </c>
      <c r="C10" s="95">
        <v>213200</v>
      </c>
      <c r="D10" s="92">
        <v>3.14465409E-2</v>
      </c>
      <c r="E10" s="93">
        <v>138061.36775929999</v>
      </c>
      <c r="F10" s="35"/>
      <c r="G10" s="229">
        <f>_xlfn.IFNA(VLOOKUP(G7, $B$2:$D$200, 3, FALSE), "-")</f>
        <v>8.5693770000000002E-4</v>
      </c>
      <c r="H10" s="231">
        <f>_xlfn.IFNA(VLOOKUP(G7, $B$2:$D$200, 2, FALSE), "-")</f>
        <v>43214000</v>
      </c>
      <c r="I10" s="232"/>
      <c r="K10" s="58" t="str">
        <f ca="1">IFERROR(OFFSET(INDIRECT($H$3 &amp; "!A17"), 4, 0), "")</f>
        <v>메타디움</v>
      </c>
      <c r="L10" s="44">
        <f t="shared" ca="1" si="0"/>
        <v>120</v>
      </c>
      <c r="M10" s="78">
        <f t="shared" ca="1" si="1"/>
        <v>-0.04</v>
      </c>
      <c r="N10" s="90">
        <f t="shared" ca="1" si="4"/>
        <v>48210264.221073069</v>
      </c>
      <c r="O10" s="47" t="str">
        <f>INDEX($A$2:$D$200, MATCH(LARGE($D$2:$D$200, 5), $D$2:$D$200, 0), 2)</f>
        <v>이더리움</v>
      </c>
      <c r="P10" s="39">
        <f t="shared" si="2"/>
        <v>3015000</v>
      </c>
      <c r="Q10" s="77">
        <f t="shared" si="3"/>
        <v>4.1450777199999997E-2</v>
      </c>
      <c r="R10" s="90">
        <f t="shared" si="5"/>
        <v>201219.80930652001</v>
      </c>
    </row>
    <row r="11" spans="1:18" ht="17.25" thickBot="1">
      <c r="A11" s="40" t="s">
        <v>167</v>
      </c>
      <c r="B11" s="11" t="s">
        <v>168</v>
      </c>
      <c r="C11" s="95">
        <v>107</v>
      </c>
      <c r="D11" s="92">
        <v>2.88461538E-2</v>
      </c>
      <c r="E11" s="93">
        <v>294092653.98936844</v>
      </c>
      <c r="F11" s="35"/>
      <c r="G11" s="230"/>
      <c r="H11" s="233"/>
      <c r="I11" s="234"/>
      <c r="K11" s="56" t="str">
        <f ca="1">IFERROR(OFFSET(INDIRECT($H$3 &amp; "!A17"), 5, 0), "")</f>
        <v>메디블록</v>
      </c>
      <c r="L11" s="39">
        <f t="shared" ca="1" si="0"/>
        <v>77.900000000000006</v>
      </c>
      <c r="M11" s="77">
        <f t="shared" ca="1" si="1"/>
        <v>-3.4696406399999997E-2</v>
      </c>
      <c r="N11" s="99">
        <f t="shared" ca="1" si="4"/>
        <v>149811356.0177947</v>
      </c>
      <c r="O11" s="49" t="str">
        <f>INDEX($A$2:$D$200, MATCH(LARGE($D$2:$D$200, 6), $D$2:$D$200, 0), 2)</f>
        <v>엑시인피니티</v>
      </c>
      <c r="P11" s="45">
        <f t="shared" si="2"/>
        <v>5720</v>
      </c>
      <c r="Q11" s="80">
        <f t="shared" si="3"/>
        <v>0.04</v>
      </c>
      <c r="R11" s="99">
        <f t="shared" si="5"/>
        <v>20417118.29620764</v>
      </c>
    </row>
    <row r="12" spans="1:18" ht="17.25" thickBot="1">
      <c r="A12" s="40" t="s">
        <v>117</v>
      </c>
      <c r="B12" s="11" t="s">
        <v>118</v>
      </c>
      <c r="C12" s="95">
        <v>4065</v>
      </c>
      <c r="D12" s="92">
        <v>2.7812895099999999E-2</v>
      </c>
      <c r="E12" s="93">
        <v>598625.54548216995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47" t="str">
        <f>INDEX($A$2:$D$200, MATCH(LARGE($D$2:$D$200, 7), $D$2:$D$200, 0), 2)</f>
        <v>코스모스</v>
      </c>
      <c r="P12" s="39">
        <f t="shared" si="2"/>
        <v>15830</v>
      </c>
      <c r="Q12" s="77">
        <f t="shared" si="3"/>
        <v>3.6673215500000002E-2</v>
      </c>
      <c r="R12" s="86">
        <f t="shared" si="5"/>
        <v>381092.37674819998</v>
      </c>
    </row>
    <row r="13" spans="1:18" ht="17.25" thickBot="1">
      <c r="A13" s="40" t="s">
        <v>125</v>
      </c>
      <c r="B13" s="11" t="s">
        <v>126</v>
      </c>
      <c r="C13" s="95">
        <v>29.9</v>
      </c>
      <c r="D13" s="92">
        <v>2.74914089E-2</v>
      </c>
      <c r="E13" s="93">
        <v>299844279.96223503</v>
      </c>
      <c r="F13" s="35"/>
      <c r="G13" s="183" t="s">
        <v>70</v>
      </c>
      <c r="H13" s="184"/>
      <c r="I13" s="18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47" t="str">
        <f>INDEX($A$2:$D$200, MATCH(LARGE($D$2:$D$200, 8), $D$2:$D$200, 0), 2)</f>
        <v>앵커</v>
      </c>
      <c r="P13" s="39">
        <f t="shared" si="2"/>
        <v>125</v>
      </c>
      <c r="Q13" s="77">
        <f t="shared" si="3"/>
        <v>3.3057851200000002E-2</v>
      </c>
      <c r="R13" s="86">
        <f t="shared" si="5"/>
        <v>28811635.008600581</v>
      </c>
    </row>
    <row r="14" spans="1:18">
      <c r="A14" s="40" t="s">
        <v>165</v>
      </c>
      <c r="B14" s="11" t="s">
        <v>166</v>
      </c>
      <c r="C14" s="95">
        <v>1270</v>
      </c>
      <c r="D14" s="92">
        <v>2.4193548400000001E-2</v>
      </c>
      <c r="E14" s="93">
        <v>2290073.7515430599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47" t="str">
        <f>INDEX($A$2:$D$200, MATCH(LARGE($D$2:$D$200, 9), $D$2:$D$200, 0), 2)</f>
        <v>라이트코인</v>
      </c>
      <c r="P14" s="39">
        <f t="shared" si="2"/>
        <v>213200</v>
      </c>
      <c r="Q14" s="77">
        <f t="shared" si="3"/>
        <v>3.14465409E-2</v>
      </c>
      <c r="R14" s="86">
        <f t="shared" si="5"/>
        <v>138061.36775929999</v>
      </c>
    </row>
    <row r="15" spans="1:18" ht="17.25" thickBot="1">
      <c r="A15" s="40" t="s">
        <v>97</v>
      </c>
      <c r="B15" s="11" t="s">
        <v>98</v>
      </c>
      <c r="C15" s="95">
        <v>4070</v>
      </c>
      <c r="D15" s="92">
        <v>2.2613065299999999E-2</v>
      </c>
      <c r="E15" s="93">
        <v>1900354.15131229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48" t="str">
        <f>INDEX($A$2:$D$200, MATCH(LARGE($D$2:$D$200, 10), $D$2:$D$200, 0), 2)</f>
        <v>스테이터스네트워크토큰</v>
      </c>
      <c r="P15" s="37">
        <f t="shared" si="2"/>
        <v>107</v>
      </c>
      <c r="Q15" s="79">
        <f t="shared" si="3"/>
        <v>2.88461538E-2</v>
      </c>
      <c r="R15" s="87">
        <f t="shared" si="5"/>
        <v>294092653.98936844</v>
      </c>
    </row>
    <row r="16" spans="1:18" ht="17.25" thickBot="1">
      <c r="A16" s="40" t="s">
        <v>50</v>
      </c>
      <c r="B16" s="11" t="s">
        <v>51</v>
      </c>
      <c r="C16" s="95">
        <v>465</v>
      </c>
      <c r="D16" s="92">
        <v>2.1978022E-2</v>
      </c>
      <c r="E16" s="93">
        <v>114093753.66728313</v>
      </c>
      <c r="F16" s="35"/>
      <c r="G16" s="9" t="s">
        <v>38</v>
      </c>
      <c r="H16" s="184" t="s">
        <v>37</v>
      </c>
      <c r="I16" s="18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46" t="str">
        <f>INDEX($A$2:$D$200, MATCH(LARGE($D$2:$D$200, 11), $D$2:$D$200, 0), 2)</f>
        <v>카바</v>
      </c>
      <c r="P16" s="38">
        <f t="shared" si="2"/>
        <v>4065</v>
      </c>
      <c r="Q16" s="76">
        <f t="shared" si="3"/>
        <v>2.7812895099999999E-2</v>
      </c>
      <c r="R16" s="85">
        <f t="shared" si="5"/>
        <v>598625.54548216995</v>
      </c>
    </row>
    <row r="17" spans="1:18">
      <c r="A17" s="40" t="s">
        <v>139</v>
      </c>
      <c r="B17" s="11" t="s">
        <v>140</v>
      </c>
      <c r="C17" s="95">
        <v>1945</v>
      </c>
      <c r="D17" s="92">
        <v>2.0997375299999999E-2</v>
      </c>
      <c r="E17" s="93">
        <v>1073447.35078597</v>
      </c>
      <c r="F17" s="35"/>
      <c r="G17" s="229">
        <f>_xlfn.IFNA(VLOOKUP(G14, $B$2:$D$200, 3, FALSE), "-")</f>
        <v>8.5693770000000002E-4</v>
      </c>
      <c r="H17" s="231">
        <f>_xlfn.IFNA(VLOOKUP(G14, $B$2:$D$200, 2, FALSE), "-")</f>
        <v>43214000</v>
      </c>
      <c r="I17" s="23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47" t="str">
        <f>INDEX($A$2:$D$200, MATCH(LARGE($D$2:$D$200, 12), $D$2:$D$200, 0), 2)</f>
        <v>스톰엑스</v>
      </c>
      <c r="P17" s="39">
        <f t="shared" si="2"/>
        <v>29.9</v>
      </c>
      <c r="Q17" s="77">
        <f t="shared" si="3"/>
        <v>2.74914089E-2</v>
      </c>
      <c r="R17" s="86">
        <f t="shared" si="5"/>
        <v>299844279.96223503</v>
      </c>
    </row>
    <row r="18" spans="1:18" ht="17.25" thickBot="1">
      <c r="A18" s="40" t="s">
        <v>277</v>
      </c>
      <c r="B18" s="11" t="s">
        <v>278</v>
      </c>
      <c r="C18" s="95">
        <v>78.5</v>
      </c>
      <c r="D18" s="92">
        <v>1.9480519500000001E-2</v>
      </c>
      <c r="E18" s="93">
        <v>57496200.629527517</v>
      </c>
      <c r="F18" s="35"/>
      <c r="G18" s="230"/>
      <c r="H18" s="233"/>
      <c r="I18" s="23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47" t="str">
        <f>INDEX($A$2:$D$200, MATCH(LARGE($D$2:$D$200, 13), $D$2:$D$200, 0), 2)</f>
        <v>스토리지</v>
      </c>
      <c r="P18" s="39">
        <f t="shared" si="2"/>
        <v>1270</v>
      </c>
      <c r="Q18" s="77">
        <f t="shared" si="3"/>
        <v>2.4193548400000001E-2</v>
      </c>
      <c r="R18" s="86">
        <f t="shared" si="5"/>
        <v>2290073.7515430599</v>
      </c>
    </row>
    <row r="19" spans="1:18" ht="17.25" thickBot="1">
      <c r="A19" s="40" t="s">
        <v>83</v>
      </c>
      <c r="B19" s="11" t="s">
        <v>84</v>
      </c>
      <c r="C19" s="95">
        <v>1945</v>
      </c>
      <c r="D19" s="92">
        <v>1.83246073E-2</v>
      </c>
      <c r="E19" s="93">
        <v>155966145.03788638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47" t="str">
        <f>INDEX($A$2:$D$200, MATCH(LARGE($D$2:$D$200, 14), $D$2:$D$200, 0), 2)</f>
        <v>테조스</v>
      </c>
      <c r="P19" s="39">
        <f t="shared" si="2"/>
        <v>4070</v>
      </c>
      <c r="Q19" s="77">
        <f t="shared" si="3"/>
        <v>2.2613065299999999E-2</v>
      </c>
      <c r="R19" s="86">
        <f t="shared" si="5"/>
        <v>1900354.15131229</v>
      </c>
    </row>
    <row r="20" spans="1:18" ht="17.25" thickBot="1">
      <c r="A20" s="40" t="s">
        <v>105</v>
      </c>
      <c r="B20" s="11" t="s">
        <v>106</v>
      </c>
      <c r="C20" s="95">
        <v>1155</v>
      </c>
      <c r="D20" s="92">
        <v>1.76211454E-2</v>
      </c>
      <c r="E20" s="93">
        <v>2034613.17002215</v>
      </c>
      <c r="F20" s="35"/>
      <c r="G20" s="183" t="s">
        <v>286</v>
      </c>
      <c r="H20" s="184"/>
      <c r="I20" s="18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47" t="str">
        <f>INDEX($A$2:$D$200, MATCH(LARGE($D$2:$D$200, 15), $D$2:$D$200, 0), 2)</f>
        <v>스텔라루멘</v>
      </c>
      <c r="P20" s="39">
        <f t="shared" si="2"/>
        <v>465</v>
      </c>
      <c r="Q20" s="77">
        <f t="shared" si="3"/>
        <v>2.1978022E-2</v>
      </c>
      <c r="R20" s="90">
        <f t="shared" si="5"/>
        <v>114093753.66728313</v>
      </c>
    </row>
    <row r="21" spans="1:18">
      <c r="A21" s="40" t="s">
        <v>141</v>
      </c>
      <c r="B21" s="11" t="s">
        <v>142</v>
      </c>
      <c r="C21" s="95">
        <v>376</v>
      </c>
      <c r="D21" s="92">
        <v>1.6216216200000001E-2</v>
      </c>
      <c r="E21" s="93">
        <v>28129467.02678109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49" t="str">
        <f>INDEX($A$2:$D$200, MATCH(LARGE($D$2:$D$200, 16), $D$2:$D$200, 0), 2)</f>
        <v>카이버네트워크</v>
      </c>
      <c r="P21" s="45">
        <f t="shared" si="2"/>
        <v>1945</v>
      </c>
      <c r="Q21" s="80">
        <f t="shared" si="3"/>
        <v>2.0997375299999999E-2</v>
      </c>
      <c r="R21" s="99">
        <f t="shared" si="5"/>
        <v>1073447.35078597</v>
      </c>
    </row>
    <row r="22" spans="1:18" ht="17.25" thickBot="1">
      <c r="A22" s="40" t="s">
        <v>135</v>
      </c>
      <c r="B22" s="11" t="s">
        <v>136</v>
      </c>
      <c r="C22" s="95">
        <v>130</v>
      </c>
      <c r="D22" s="92">
        <v>1.5625E-2</v>
      </c>
      <c r="E22" s="93">
        <v>36956761.497323431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47" t="str">
        <f>INDEX($A$2:$D$200, MATCH(LARGE($D$2:$D$200, 17), $D$2:$D$200, 0), 2)</f>
        <v>저스트</v>
      </c>
      <c r="P22" s="39">
        <f t="shared" si="2"/>
        <v>78.5</v>
      </c>
      <c r="Q22" s="77">
        <f t="shared" si="3"/>
        <v>1.9480519500000001E-2</v>
      </c>
      <c r="R22" s="86">
        <f t="shared" si="5"/>
        <v>57496200.629527517</v>
      </c>
    </row>
    <row r="23" spans="1:18" ht="17.25" thickBot="1">
      <c r="A23" s="40" t="s">
        <v>68</v>
      </c>
      <c r="B23" s="11" t="s">
        <v>69</v>
      </c>
      <c r="C23" s="95">
        <v>5310</v>
      </c>
      <c r="D23" s="92">
        <v>1.52963671E-2</v>
      </c>
      <c r="E23" s="93">
        <v>1167467.3271439199</v>
      </c>
      <c r="F23" s="35"/>
      <c r="G23" s="9" t="s">
        <v>38</v>
      </c>
      <c r="H23" s="184" t="s">
        <v>37</v>
      </c>
      <c r="I23" s="18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47" t="str">
        <f>INDEX($A$2:$D$200, MATCH(LARGE($D$2:$D$200, 18), $D$2:$D$200, 0), 2)</f>
        <v>에이다</v>
      </c>
      <c r="P23" s="39">
        <f t="shared" si="2"/>
        <v>1945</v>
      </c>
      <c r="Q23" s="77">
        <f t="shared" si="3"/>
        <v>1.83246073E-2</v>
      </c>
      <c r="R23" s="86">
        <f t="shared" si="5"/>
        <v>155966145.03788638</v>
      </c>
    </row>
    <row r="24" spans="1:18">
      <c r="A24" s="40" t="s">
        <v>79</v>
      </c>
      <c r="B24" s="11" t="s">
        <v>80</v>
      </c>
      <c r="C24" s="95">
        <v>870</v>
      </c>
      <c r="D24" s="92">
        <v>1.51691949E-2</v>
      </c>
      <c r="E24" s="93">
        <v>5260208.9202001002</v>
      </c>
      <c r="F24" s="35"/>
      <c r="G24" s="229">
        <f>_xlfn.IFNA(VLOOKUP(G21, $B$2:$D$200, 3, FALSE), "-")</f>
        <v>8.5693770000000002E-4</v>
      </c>
      <c r="H24" s="231">
        <f>_xlfn.IFNA(VLOOKUP(G21, $B$2:$D$200, 2, FALSE), "-")</f>
        <v>43214000</v>
      </c>
      <c r="I24" s="23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47" t="str">
        <f>INDEX($A$2:$D$200, MATCH(LARGE($D$2:$D$200, 19), $D$2:$D$200, 0), 2)</f>
        <v>제로엑스</v>
      </c>
      <c r="P24" s="39">
        <f t="shared" si="2"/>
        <v>1155</v>
      </c>
      <c r="Q24" s="77">
        <f t="shared" si="3"/>
        <v>1.76211454E-2</v>
      </c>
      <c r="R24" s="86">
        <f t="shared" si="5"/>
        <v>2034613.17002215</v>
      </c>
    </row>
    <row r="25" spans="1:18" ht="17.25" thickBot="1">
      <c r="A25" s="40" t="s">
        <v>109</v>
      </c>
      <c r="B25" s="11" t="s">
        <v>110</v>
      </c>
      <c r="C25" s="95">
        <v>1305</v>
      </c>
      <c r="D25" s="92">
        <v>1.1627907E-2</v>
      </c>
      <c r="E25" s="93">
        <v>2627387.5089731598</v>
      </c>
      <c r="F25" s="35"/>
      <c r="G25" s="230"/>
      <c r="H25" s="233"/>
      <c r="I25" s="234"/>
      <c r="K25" s="57">
        <f ca="1">IFERROR(OFFSET(INDIRECT($H$3 &amp; "!A17"), 19, 0), "")</f>
        <v>0</v>
      </c>
      <c r="L25" s="37" t="str">
        <f t="shared" ref="L25" ca="1" si="6">_xlfn.IFNA(VLOOKUP(K25, $B$2:$D$200, 2, FALSE), "")</f>
        <v/>
      </c>
      <c r="M25" s="79" t="str">
        <f t="shared" ca="1" si="1"/>
        <v/>
      </c>
      <c r="N25" s="87" t="str">
        <f t="shared" ca="1" si="4"/>
        <v/>
      </c>
      <c r="O25" s="48" t="str">
        <f>INDEX($A$2:$D$200, MATCH(LARGE($D$2:$D$200, 20), $D$2:$D$200, 0), 2)</f>
        <v>쎄타퓨엘</v>
      </c>
      <c r="P25" s="37">
        <f t="shared" si="2"/>
        <v>376</v>
      </c>
      <c r="Q25" s="79">
        <f t="shared" si="3"/>
        <v>1.6216216200000001E-2</v>
      </c>
      <c r="R25" s="87">
        <f t="shared" si="5"/>
        <v>28129467.02678109</v>
      </c>
    </row>
    <row r="26" spans="1:18">
      <c r="A26" s="40" t="s">
        <v>155</v>
      </c>
      <c r="B26" s="11" t="s">
        <v>156</v>
      </c>
      <c r="C26" s="95">
        <v>88.1</v>
      </c>
      <c r="D26" s="92">
        <v>9.1638029999999999E-3</v>
      </c>
      <c r="E26" s="93">
        <v>220701832.02307346</v>
      </c>
      <c r="F26" s="35"/>
    </row>
    <row r="27" spans="1:18" ht="17.25" thickBot="1">
      <c r="A27" s="40" t="s">
        <v>77</v>
      </c>
      <c r="B27" s="11" t="s">
        <v>78</v>
      </c>
      <c r="C27" s="95">
        <v>810500</v>
      </c>
      <c r="D27" s="92">
        <v>9.0886453999999995E-3</v>
      </c>
      <c r="E27" s="93">
        <v>64906.91639015</v>
      </c>
      <c r="F27" s="35"/>
    </row>
    <row r="28" spans="1:18" ht="17.25" thickBot="1">
      <c r="A28" s="40" t="s">
        <v>85</v>
      </c>
      <c r="B28" s="11" t="s">
        <v>86</v>
      </c>
      <c r="C28" s="95">
        <v>7395</v>
      </c>
      <c r="D28" s="92">
        <v>8.8676671000000006E-3</v>
      </c>
      <c r="E28" s="93">
        <v>34721305.490991153</v>
      </c>
      <c r="F28" s="35"/>
      <c r="G28" s="183" t="s">
        <v>46</v>
      </c>
      <c r="H28" s="184"/>
      <c r="I28" s="184"/>
      <c r="J28" s="185"/>
      <c r="K28" s="183" t="s">
        <v>44</v>
      </c>
      <c r="L28" s="184"/>
      <c r="M28" s="184"/>
      <c r="N28" s="185"/>
      <c r="O28" s="183" t="s">
        <v>45</v>
      </c>
      <c r="P28" s="184"/>
      <c r="Q28" s="184"/>
      <c r="R28" s="185"/>
    </row>
    <row r="29" spans="1:18" ht="17.25" thickBot="1">
      <c r="A29" s="40" t="s">
        <v>229</v>
      </c>
      <c r="B29" s="11" t="s">
        <v>230</v>
      </c>
      <c r="C29" s="95">
        <v>116</v>
      </c>
      <c r="D29" s="92">
        <v>8.6956522000000008E-3</v>
      </c>
      <c r="E29" s="93">
        <v>144581472.41616809</v>
      </c>
      <c r="F29" s="35"/>
      <c r="G29" s="220" t="s">
        <v>55</v>
      </c>
      <c r="H29" s="236">
        <f ca="1">NOW()</f>
        <v>44348.005391782404</v>
      </c>
      <c r="I29" s="237"/>
      <c r="J29" s="238"/>
      <c r="K29" s="235" t="s">
        <v>55</v>
      </c>
      <c r="L29" s="236">
        <f ca="1">NOW()</f>
        <v>44348.005391782404</v>
      </c>
      <c r="M29" s="237"/>
      <c r="N29" s="238"/>
      <c r="O29" s="235" t="s">
        <v>55</v>
      </c>
      <c r="P29" s="236">
        <f ca="1">NOW()</f>
        <v>44348.005391782404</v>
      </c>
      <c r="Q29" s="237"/>
      <c r="R29" s="238"/>
    </row>
    <row r="30" spans="1:18" ht="17.25" thickBot="1">
      <c r="A30" s="40" t="s">
        <v>149</v>
      </c>
      <c r="B30" s="11" t="s">
        <v>150</v>
      </c>
      <c r="C30" s="95">
        <v>2395</v>
      </c>
      <c r="D30" s="92">
        <v>8.4210525999999994E-3</v>
      </c>
      <c r="E30" s="93">
        <v>5370236.3989864299</v>
      </c>
      <c r="F30" s="35"/>
      <c r="G30" s="228"/>
      <c r="H30" s="36" t="s">
        <v>58</v>
      </c>
      <c r="I30" s="73" t="s">
        <v>59</v>
      </c>
      <c r="J30" s="69" t="s">
        <v>294</v>
      </c>
      <c r="K30" s="228"/>
      <c r="L30" s="36" t="s">
        <v>58</v>
      </c>
      <c r="M30" s="73" t="s">
        <v>59</v>
      </c>
      <c r="N30" s="69" t="s">
        <v>294</v>
      </c>
      <c r="O30" s="228"/>
      <c r="P30" s="36" t="s">
        <v>58</v>
      </c>
      <c r="Q30" s="73" t="s">
        <v>59</v>
      </c>
      <c r="R30" s="69" t="s">
        <v>294</v>
      </c>
    </row>
    <row r="31" spans="1:18">
      <c r="A31" s="40" t="s">
        <v>143</v>
      </c>
      <c r="B31" s="11" t="s">
        <v>144</v>
      </c>
      <c r="C31" s="95">
        <v>7420</v>
      </c>
      <c r="D31" s="92">
        <v>8.1521739000000003E-3</v>
      </c>
      <c r="E31" s="93">
        <v>3329609.60039119</v>
      </c>
      <c r="F31" s="35"/>
      <c r="G31" s="55" t="str">
        <f ca="1">IFERROR(OFFSET(INDIRECT($H$3 &amp; "!A98"), 0, 0), "")</f>
        <v>리플</v>
      </c>
      <c r="H31" s="38">
        <f t="shared" ref="H31:H50" ca="1" si="7">_xlfn.IFNA(VLOOKUP(G31, $B$2:$D$200, 2, FALSE), "")</f>
        <v>1180</v>
      </c>
      <c r="I31" s="76">
        <f t="shared" ref="I31:I50" ca="1" si="8">_xlfn.IFNA(VLOOKUP(G31, $B$2:$D$200, 3, FALSE), "")</f>
        <v>7.7625570800000002E-2</v>
      </c>
      <c r="J31" s="85">
        <f ca="1">_xlfn.IFNA(VLOOKUP(G31, $B$2:$E$200, 4, FALSE), "")</f>
        <v>1114415841.2694287</v>
      </c>
      <c r="K31" s="55" t="str">
        <f ca="1">IFERROR(OFFSET(INDIRECT($H$3 &amp; "!A44"), 0, 0), "")</f>
        <v>스톰엑스</v>
      </c>
      <c r="L31" s="38">
        <f t="shared" ref="L31:L50" ca="1" si="9">_xlfn.IFNA(VLOOKUP(K31, $B$2:$D$200, 2, FALSE), "")</f>
        <v>29.9</v>
      </c>
      <c r="M31" s="76">
        <f t="shared" ref="M31:M50" ca="1" si="10">_xlfn.IFNA(VLOOKUP(K31, $B$2:$D$200, 3, FALSE), "")</f>
        <v>2.74914089E-2</v>
      </c>
      <c r="N31" s="85">
        <f ca="1">_xlfn.IFNA(VLOOKUP(K31, $B$2:$E$200, 4, FALSE), "")</f>
        <v>299844279.96223503</v>
      </c>
      <c r="O31" s="55" t="str">
        <f ca="1">IFERROR(OFFSET(INDIRECT($H$3 &amp; "!A71"), 0, 0), "")</f>
        <v>크립토닷컴체인</v>
      </c>
      <c r="P31" s="38">
        <f t="shared" ref="P31:P50" ca="1" si="11">_xlfn.IFNA(VLOOKUP(O31, $B$2:$D$200, 2, FALSE), "")</f>
        <v>146</v>
      </c>
      <c r="Q31" s="76">
        <f t="shared" ref="Q31:Q50" ca="1" si="12">_xlfn.IFNA(VLOOKUP(O31, $B$2:$D$200, 3, FALSE), "")</f>
        <v>7.35294118E-2</v>
      </c>
      <c r="R31" s="85">
        <f ca="1">_xlfn.IFNA(VLOOKUP(O31, $B$2:$E$200, 4, FALSE), "")</f>
        <v>120124398.1294052</v>
      </c>
    </row>
    <row r="32" spans="1:18">
      <c r="A32" s="40" t="s">
        <v>271</v>
      </c>
      <c r="B32" s="11" t="s">
        <v>272</v>
      </c>
      <c r="C32" s="95">
        <v>1345</v>
      </c>
      <c r="D32" s="92">
        <v>7.4906367E-3</v>
      </c>
      <c r="E32" s="93">
        <v>31089894.13686448</v>
      </c>
      <c r="F32" s="35"/>
      <c r="G32" s="56" t="str">
        <f ca="1">IFERROR(OFFSET(INDIRECT($H$3 &amp; "!A98"), 1, 0), "")</f>
        <v>크립토닷컴체인</v>
      </c>
      <c r="H32" s="39">
        <f t="shared" ca="1" si="7"/>
        <v>146</v>
      </c>
      <c r="I32" s="77">
        <f t="shared" ca="1" si="8"/>
        <v>7.35294118E-2</v>
      </c>
      <c r="J32" s="86">
        <f t="shared" ref="J32:J50" ca="1" si="13">_xlfn.IFNA(VLOOKUP(G32, $B$2:$E$200, 4, FALSE), "")</f>
        <v>120124398.1294052</v>
      </c>
      <c r="K32" s="56" t="str">
        <f ca="1">IFERROR(OFFSET(INDIRECT($H$3 &amp; "!A44"), 1, 0), "")</f>
        <v>저스트</v>
      </c>
      <c r="L32" s="39">
        <f t="shared" ca="1" si="9"/>
        <v>78.5</v>
      </c>
      <c r="M32" s="77">
        <f t="shared" ca="1" si="10"/>
        <v>1.9480519500000001E-2</v>
      </c>
      <c r="N32" s="86">
        <f t="shared" ref="N32:N50" ca="1" si="14">_xlfn.IFNA(VLOOKUP(K32, $B$2:$E$200, 4, FALSE), "")</f>
        <v>57496200.629527517</v>
      </c>
      <c r="O32" s="56" t="str">
        <f ca="1">IFERROR(OFFSET(INDIRECT($H$3 &amp; "!A71"), 1, 0), "")</f>
        <v>비체인</v>
      </c>
      <c r="P32" s="39">
        <f t="shared" ca="1" si="11"/>
        <v>139</v>
      </c>
      <c r="Q32" s="77">
        <f t="shared" ca="1" si="12"/>
        <v>6.10687023E-2</v>
      </c>
      <c r="R32" s="86">
        <f t="shared" ref="R32:R50" ca="1" si="15">_xlfn.IFNA(VLOOKUP(O32, $B$2:$E$200, 4, FALSE), "")</f>
        <v>1344297145.0314789</v>
      </c>
    </row>
    <row r="33" spans="1:18">
      <c r="A33" s="40" t="s">
        <v>121</v>
      </c>
      <c r="B33" s="11" t="s">
        <v>122</v>
      </c>
      <c r="C33" s="95">
        <v>71.599999999999994</v>
      </c>
      <c r="D33" s="92">
        <v>7.0323488000000002E-3</v>
      </c>
      <c r="E33" s="93">
        <v>462034924.63902885</v>
      </c>
      <c r="F33" s="35"/>
      <c r="G33" s="56" t="str">
        <f ca="1">IFERROR(OFFSET(INDIRECT($H$3 &amp; "!A98"), 2, 0), "")</f>
        <v>비체인</v>
      </c>
      <c r="H33" s="39">
        <f t="shared" ca="1" si="7"/>
        <v>139</v>
      </c>
      <c r="I33" s="77">
        <f t="shared" ca="1" si="8"/>
        <v>6.10687023E-2</v>
      </c>
      <c r="J33" s="86">
        <f t="shared" ca="1" si="13"/>
        <v>1344297145.0314789</v>
      </c>
      <c r="K33" s="56" t="str">
        <f ca="1">IFERROR(OFFSET(INDIRECT($H$3 &amp; "!A44"), 2, 0), "")</f>
        <v>트론</v>
      </c>
      <c r="L33" s="39">
        <f t="shared" ca="1" si="9"/>
        <v>88.1</v>
      </c>
      <c r="M33" s="77">
        <f t="shared" ca="1" si="10"/>
        <v>9.1638029999999999E-3</v>
      </c>
      <c r="N33" s="86">
        <f t="shared" ca="1" si="14"/>
        <v>220701832.02307346</v>
      </c>
      <c r="O33" s="56" t="str">
        <f ca="1">IFERROR(OFFSET(INDIRECT($H$3 &amp; "!A71"), 2, 0), "")</f>
        <v>앵커</v>
      </c>
      <c r="P33" s="39">
        <f t="shared" ca="1" si="11"/>
        <v>125</v>
      </c>
      <c r="Q33" s="77">
        <f t="shared" ca="1" si="12"/>
        <v>3.3057851200000002E-2</v>
      </c>
      <c r="R33" s="86">
        <f t="shared" ca="1" si="15"/>
        <v>28811635.008600581</v>
      </c>
    </row>
    <row r="34" spans="1:18">
      <c r="A34" s="40" t="s">
        <v>62</v>
      </c>
      <c r="B34" s="11" t="s">
        <v>63</v>
      </c>
      <c r="C34" s="95">
        <v>63030</v>
      </c>
      <c r="D34" s="92">
        <v>6.8690095999999999E-3</v>
      </c>
      <c r="E34" s="93">
        <v>366286.13683471002</v>
      </c>
      <c r="F34" s="35"/>
      <c r="G34" s="56" t="str">
        <f ca="1">IFERROR(OFFSET(INDIRECT($H$3 &amp; "!A98"), 3, 0), "")</f>
        <v>체인링크</v>
      </c>
      <c r="H34" s="39">
        <f t="shared" ca="1" si="7"/>
        <v>34270</v>
      </c>
      <c r="I34" s="77">
        <f t="shared" ca="1" si="8"/>
        <v>5.2518427499999999E-2</v>
      </c>
      <c r="J34" s="86">
        <f t="shared" ca="1" si="13"/>
        <v>1531837.5255949099</v>
      </c>
      <c r="K34" s="56" t="str">
        <f ca="1">IFERROR(OFFSET(INDIRECT($H$3 &amp; "!A44"), 3, 0), "")</f>
        <v>픽셀</v>
      </c>
      <c r="L34" s="39">
        <f t="shared" ca="1" si="9"/>
        <v>71.599999999999994</v>
      </c>
      <c r="M34" s="77">
        <f t="shared" ca="1" si="10"/>
        <v>7.0323488000000002E-3</v>
      </c>
      <c r="N34" s="86">
        <f t="shared" ca="1" si="14"/>
        <v>462034924.63902885</v>
      </c>
      <c r="O34" s="56" t="str">
        <f ca="1">IFERROR(OFFSET(INDIRECT($H$3 &amp; "!A71"), 3, 0), "")</f>
        <v>스테이터스네트워크토큰</v>
      </c>
      <c r="P34" s="39">
        <f t="shared" ca="1" si="11"/>
        <v>107</v>
      </c>
      <c r="Q34" s="77">
        <f t="shared" ca="1" si="12"/>
        <v>2.88461538E-2</v>
      </c>
      <c r="R34" s="86">
        <f t="shared" ca="1" si="15"/>
        <v>294092653.98936844</v>
      </c>
    </row>
    <row r="35" spans="1:18">
      <c r="A35" s="40" t="s">
        <v>159</v>
      </c>
      <c r="B35" s="11" t="s">
        <v>160</v>
      </c>
      <c r="C35" s="95">
        <v>1860</v>
      </c>
      <c r="D35" s="92">
        <v>5.4054054000000004E-3</v>
      </c>
      <c r="E35" s="93">
        <v>29523031.156932119</v>
      </c>
      <c r="F35" s="35"/>
      <c r="G35" s="58" t="str">
        <f ca="1">IFERROR(OFFSET(INDIRECT($H$3 &amp; "!A98"), 4, 0), "")</f>
        <v>이더리움</v>
      </c>
      <c r="H35" s="44">
        <f t="shared" ca="1" si="7"/>
        <v>3015000</v>
      </c>
      <c r="I35" s="78">
        <f t="shared" ca="1" si="8"/>
        <v>4.1450777199999997E-2</v>
      </c>
      <c r="J35" s="90">
        <f t="shared" ca="1" si="13"/>
        <v>201219.80930652001</v>
      </c>
      <c r="K35" s="58" t="str">
        <f ca="1">IFERROR(OFFSET(INDIRECT($H$3 &amp; "!A44"), 4, 0), "")</f>
        <v>아이오에스티</v>
      </c>
      <c r="L35" s="44">
        <f t="shared" ca="1" si="9"/>
        <v>36.9</v>
      </c>
      <c r="M35" s="78">
        <f t="shared" ca="1" si="10"/>
        <v>2.7173913000000001E-3</v>
      </c>
      <c r="N35" s="90">
        <f t="shared" ca="1" si="14"/>
        <v>45099658.534599923</v>
      </c>
      <c r="O35" s="58" t="str">
        <f ca="1">IFERROR(OFFSET(INDIRECT($H$3 &amp; "!A71"), 4, 0), "")</f>
        <v>스텔라루멘</v>
      </c>
      <c r="P35" s="44">
        <f t="shared" ca="1" si="11"/>
        <v>465</v>
      </c>
      <c r="Q35" s="78">
        <f t="shared" ca="1" si="12"/>
        <v>2.1978022E-2</v>
      </c>
      <c r="R35" s="90">
        <f t="shared" ca="1" si="15"/>
        <v>114093753.66728313</v>
      </c>
    </row>
    <row r="36" spans="1:18">
      <c r="A36" s="40" t="s">
        <v>60</v>
      </c>
      <c r="B36" s="11" t="s">
        <v>61</v>
      </c>
      <c r="C36" s="95">
        <v>953</v>
      </c>
      <c r="D36" s="92">
        <v>5.2742615999999999E-3</v>
      </c>
      <c r="E36" s="93">
        <v>59031848.064569712</v>
      </c>
      <c r="F36" s="35"/>
      <c r="G36" s="56" t="str">
        <f ca="1">IFERROR(OFFSET(INDIRECT($H$3 &amp; "!A98"), 5, 0), "")</f>
        <v>엑시인피니티</v>
      </c>
      <c r="H36" s="39">
        <f t="shared" ca="1" si="7"/>
        <v>5720</v>
      </c>
      <c r="I36" s="77">
        <f t="shared" ca="1" si="8"/>
        <v>0.04</v>
      </c>
      <c r="J36" s="99">
        <f t="shared" ca="1" si="13"/>
        <v>20417118.29620764</v>
      </c>
      <c r="K36" s="56" t="str">
        <f ca="1">IFERROR(OFFSET(INDIRECT($H$3 &amp; "!A44"), 5, 0), "")</f>
        <v>아하토큰</v>
      </c>
      <c r="L36" s="39">
        <f t="shared" ca="1" si="9"/>
        <v>11.8</v>
      </c>
      <c r="M36" s="77">
        <f t="shared" ca="1" si="10"/>
        <v>0</v>
      </c>
      <c r="N36" s="99">
        <f t="shared" ca="1" si="14"/>
        <v>1679205849.5712121</v>
      </c>
      <c r="O36" s="56" t="str">
        <f ca="1">IFERROR(OFFSET(INDIRECT($H$3 &amp; "!A71"), 5, 0), "")</f>
        <v>쎄타퓨엘</v>
      </c>
      <c r="P36" s="39">
        <f t="shared" ca="1" si="11"/>
        <v>376</v>
      </c>
      <c r="Q36" s="77">
        <f t="shared" ca="1" si="12"/>
        <v>1.6216216200000001E-2</v>
      </c>
      <c r="R36" s="99">
        <f t="shared" ca="1" si="15"/>
        <v>28129467.02678109</v>
      </c>
    </row>
    <row r="37" spans="1:18">
      <c r="A37" s="40" t="s">
        <v>56</v>
      </c>
      <c r="B37" s="11" t="s">
        <v>57</v>
      </c>
      <c r="C37" s="95">
        <v>222</v>
      </c>
      <c r="D37" s="92">
        <v>4.5248869000000004E-3</v>
      </c>
      <c r="E37" s="93">
        <v>52168463.360446677</v>
      </c>
      <c r="F37" s="35"/>
      <c r="G37" s="56" t="str">
        <f ca="1">IFERROR(OFFSET(INDIRECT($H$3 &amp; "!A98"), 6, 0), "")</f>
        <v>코스모스</v>
      </c>
      <c r="H37" s="39">
        <f t="shared" ca="1" si="7"/>
        <v>15830</v>
      </c>
      <c r="I37" s="77">
        <f t="shared" ca="1" si="8"/>
        <v>3.6673215500000002E-2</v>
      </c>
      <c r="J37" s="86">
        <f t="shared" ca="1" si="13"/>
        <v>381092.37674819998</v>
      </c>
      <c r="K37" s="56" t="str">
        <f ca="1">IFERROR(OFFSET(INDIRECT($H$3 &amp; "!A44"), 6, 0), "")</f>
        <v>썸씽</v>
      </c>
      <c r="L37" s="39">
        <f t="shared" ca="1" si="9"/>
        <v>80.900000000000006</v>
      </c>
      <c r="M37" s="77">
        <f t="shared" ca="1" si="10"/>
        <v>-6.1425061000000003E-3</v>
      </c>
      <c r="N37" s="86">
        <f t="shared" ca="1" si="14"/>
        <v>99817358.524188638</v>
      </c>
      <c r="O37" s="56" t="str">
        <f ca="1">IFERROR(OFFSET(INDIRECT($H$3 &amp; "!A71"), 6, 0), "")</f>
        <v>질리카</v>
      </c>
      <c r="P37" s="39">
        <f t="shared" ca="1" si="11"/>
        <v>130</v>
      </c>
      <c r="Q37" s="77">
        <f t="shared" ca="1" si="12"/>
        <v>1.5625E-2</v>
      </c>
      <c r="R37" s="86">
        <f t="shared" ca="1" si="15"/>
        <v>36956761.497323431</v>
      </c>
    </row>
    <row r="38" spans="1:18">
      <c r="A38" s="40" t="s">
        <v>64</v>
      </c>
      <c r="B38" s="11" t="s">
        <v>65</v>
      </c>
      <c r="C38" s="95">
        <v>36.9</v>
      </c>
      <c r="D38" s="92">
        <v>2.7173913000000001E-3</v>
      </c>
      <c r="E38" s="93">
        <v>45099658.534599923</v>
      </c>
      <c r="F38" s="35"/>
      <c r="G38" s="56" t="str">
        <f ca="1">IFERROR(OFFSET(INDIRECT($H$3 &amp; "!A98"), 7, 0), "")</f>
        <v>앵커</v>
      </c>
      <c r="H38" s="39">
        <f t="shared" ca="1" si="7"/>
        <v>125</v>
      </c>
      <c r="I38" s="77">
        <f t="shared" ca="1" si="8"/>
        <v>3.3057851200000002E-2</v>
      </c>
      <c r="J38" s="86">
        <f t="shared" ca="1" si="13"/>
        <v>28811635.008600581</v>
      </c>
      <c r="K38" s="56" t="str">
        <f ca="1">IFERROR(OFFSET(INDIRECT($H$3 &amp; "!A44"), 7, 0), "")</f>
        <v>비트토렌트</v>
      </c>
      <c r="L38" s="39">
        <f t="shared" ca="1" si="9"/>
        <v>4.37</v>
      </c>
      <c r="M38" s="77">
        <f t="shared" ca="1" si="10"/>
        <v>-1.13122172E-2</v>
      </c>
      <c r="N38" s="86">
        <f t="shared" ca="1" si="14"/>
        <v>13879328382.335428</v>
      </c>
      <c r="O38" s="56" t="str">
        <f ca="1">IFERROR(OFFSET(INDIRECT($H$3 &amp; "!A71"), 7, 0), "")</f>
        <v>베이직어텐션토큰</v>
      </c>
      <c r="P38" s="39">
        <f t="shared" ca="1" si="11"/>
        <v>870</v>
      </c>
      <c r="Q38" s="77">
        <f t="shared" ca="1" si="12"/>
        <v>1.51691949E-2</v>
      </c>
      <c r="R38" s="86">
        <f t="shared" ca="1" si="15"/>
        <v>5260208.9202001002</v>
      </c>
    </row>
    <row r="39" spans="1:18">
      <c r="A39" s="40" t="s">
        <v>203</v>
      </c>
      <c r="B39" s="11" t="s">
        <v>204</v>
      </c>
      <c r="C39" s="95">
        <v>4005</v>
      </c>
      <c r="D39" s="92">
        <v>1.25E-3</v>
      </c>
      <c r="E39" s="93">
        <v>9811705.8010742795</v>
      </c>
      <c r="F39" s="35"/>
      <c r="G39" s="56" t="str">
        <f ca="1">IFERROR(OFFSET(INDIRECT($H$3 &amp; "!A98"), 8, 0), "")</f>
        <v>라이트코인</v>
      </c>
      <c r="H39" s="39">
        <f t="shared" ca="1" si="7"/>
        <v>213200</v>
      </c>
      <c r="I39" s="77">
        <f t="shared" ca="1" si="8"/>
        <v>3.14465409E-2</v>
      </c>
      <c r="J39" s="86">
        <f t="shared" ca="1" si="13"/>
        <v>138061.36775929999</v>
      </c>
      <c r="K39" s="56" t="str">
        <f ca="1">IFERROR(OFFSET(INDIRECT($H$3 &amp; "!A44"), 8, 0), "")</f>
        <v>캐리프로토콜</v>
      </c>
      <c r="L39" s="39">
        <f t="shared" ca="1" si="9"/>
        <v>11</v>
      </c>
      <c r="M39" s="77">
        <f t="shared" ca="1" si="10"/>
        <v>-1.7857142900000001E-2</v>
      </c>
      <c r="N39" s="86">
        <f t="shared" ca="1" si="14"/>
        <v>451790943.32762301</v>
      </c>
      <c r="O39" s="56" t="str">
        <f ca="1">IFERROR(OFFSET(INDIRECT($H$3 &amp; "!A71"), 8, 0), "")</f>
        <v>휴먼스케이프</v>
      </c>
      <c r="P39" s="39">
        <f t="shared" ca="1" si="11"/>
        <v>116</v>
      </c>
      <c r="Q39" s="77">
        <f t="shared" ca="1" si="12"/>
        <v>8.6956522000000008E-3</v>
      </c>
      <c r="R39" s="86">
        <f t="shared" ca="1" si="15"/>
        <v>144581472.41616809</v>
      </c>
    </row>
    <row r="40" spans="1:18" ht="17.25" thickBot="1">
      <c r="A40" s="40" t="s">
        <v>48</v>
      </c>
      <c r="B40" s="11" t="s">
        <v>49</v>
      </c>
      <c r="C40" s="95">
        <v>43214000</v>
      </c>
      <c r="D40" s="92">
        <v>8.5693770000000002E-4</v>
      </c>
      <c r="E40" s="93">
        <v>7971.9915333999998</v>
      </c>
      <c r="F40" s="35"/>
      <c r="G40" s="57" t="str">
        <f ca="1">IFERROR(OFFSET(INDIRECT($H$3 &amp; "!A98"), 9, 0), "")</f>
        <v>스테이터스네트워크토큰</v>
      </c>
      <c r="H40" s="37">
        <f t="shared" ca="1" si="7"/>
        <v>107</v>
      </c>
      <c r="I40" s="79">
        <f t="shared" ca="1" si="8"/>
        <v>2.88461538E-2</v>
      </c>
      <c r="J40" s="87">
        <f t="shared" ca="1" si="13"/>
        <v>294092653.98936844</v>
      </c>
      <c r="K40" s="57" t="str">
        <f ca="1">IFERROR(OFFSET(INDIRECT($H$3 &amp; "!A44"), 9, 0), "")</f>
        <v>시아코인</v>
      </c>
      <c r="L40" s="37">
        <f t="shared" ca="1" si="9"/>
        <v>20.3</v>
      </c>
      <c r="M40" s="79">
        <f t="shared" ca="1" si="10"/>
        <v>-1.93236715E-2</v>
      </c>
      <c r="N40" s="87">
        <f t="shared" ca="1" si="14"/>
        <v>306416887.92954427</v>
      </c>
      <c r="O40" s="57" t="str">
        <f ca="1">IFERROR(OFFSET(INDIRECT($H$3 &amp; "!A71"), 9, 0), "")</f>
        <v>디센트럴랜드</v>
      </c>
      <c r="P40" s="37">
        <f t="shared" ca="1" si="11"/>
        <v>953</v>
      </c>
      <c r="Q40" s="79">
        <f t="shared" ca="1" si="12"/>
        <v>5.2742615999999999E-3</v>
      </c>
      <c r="R40" s="87">
        <f t="shared" ca="1" si="15"/>
        <v>59031848.064569712</v>
      </c>
    </row>
    <row r="41" spans="1:18">
      <c r="A41" s="40" t="s">
        <v>221</v>
      </c>
      <c r="B41" s="11" t="s">
        <v>222</v>
      </c>
      <c r="C41" s="95">
        <v>11.8</v>
      </c>
      <c r="D41" s="92">
        <v>0</v>
      </c>
      <c r="E41" s="93">
        <v>1679205849.5712121</v>
      </c>
      <c r="F41" s="35"/>
      <c r="G41" s="59" t="str">
        <f ca="1">IFERROR(OFFSET(INDIRECT($H$3 &amp; "!A98"), 10, 0), "")</f>
        <v>카바</v>
      </c>
      <c r="H41" s="38">
        <f t="shared" ca="1" si="7"/>
        <v>4065</v>
      </c>
      <c r="I41" s="76">
        <f t="shared" ca="1" si="8"/>
        <v>2.7812895099999999E-2</v>
      </c>
      <c r="J41" s="85">
        <f t="shared" ca="1" si="13"/>
        <v>598625.54548216995</v>
      </c>
      <c r="K41" s="55" t="str">
        <f ca="1">IFERROR(OFFSET(INDIRECT($H$3 &amp; "!A44"), 10, 0), "")</f>
        <v>썬더토큰</v>
      </c>
      <c r="L41" s="38">
        <f t="shared" ca="1" si="9"/>
        <v>11.5</v>
      </c>
      <c r="M41" s="76">
        <f t="shared" ca="1" si="10"/>
        <v>-2.54237288E-2</v>
      </c>
      <c r="N41" s="85">
        <f t="shared" ca="1" si="14"/>
        <v>184978584.76831648</v>
      </c>
      <c r="O41" s="55" t="str">
        <f ca="1">IFERROR(OFFSET(INDIRECT($H$3 &amp; "!A71"), 10, 0), "")</f>
        <v>넴</v>
      </c>
      <c r="P41" s="38">
        <f t="shared" ca="1" si="11"/>
        <v>222</v>
      </c>
      <c r="Q41" s="76">
        <f t="shared" ca="1" si="12"/>
        <v>4.5248869000000004E-3</v>
      </c>
      <c r="R41" s="85">
        <f t="shared" ca="1" si="15"/>
        <v>52168463.360446677</v>
      </c>
    </row>
    <row r="42" spans="1:18">
      <c r="A42" s="40" t="s">
        <v>295</v>
      </c>
      <c r="B42" s="11" t="s">
        <v>296</v>
      </c>
      <c r="C42" s="95">
        <v>365</v>
      </c>
      <c r="D42" s="92">
        <v>-2.7322404000000001E-3</v>
      </c>
      <c r="E42" s="93">
        <v>565699444.36726356</v>
      </c>
      <c r="F42" s="35"/>
      <c r="G42" s="56" t="str">
        <f ca="1">IFERROR(OFFSET(INDIRECT($H$3 &amp; "!A98"), 11, 0), "")</f>
        <v>스톰엑스</v>
      </c>
      <c r="H42" s="39">
        <f t="shared" ca="1" si="7"/>
        <v>29.9</v>
      </c>
      <c r="I42" s="77">
        <f t="shared" ca="1" si="8"/>
        <v>2.74914089E-2</v>
      </c>
      <c r="J42" s="86">
        <f t="shared" ca="1" si="13"/>
        <v>299844279.96223503</v>
      </c>
      <c r="K42" s="56" t="str">
        <f ca="1">IFERROR(OFFSET(INDIRECT($H$3 &amp; "!A44"), 11, 0), "")</f>
        <v>엠블</v>
      </c>
      <c r="L42" s="39">
        <f t="shared" ca="1" si="9"/>
        <v>16.8</v>
      </c>
      <c r="M42" s="77">
        <f t="shared" ca="1" si="10"/>
        <v>-2.89017341E-2</v>
      </c>
      <c r="N42" s="86">
        <f t="shared" ca="1" si="14"/>
        <v>360133399.11441642</v>
      </c>
      <c r="O42" s="56" t="str">
        <f ca="1">IFERROR(OFFSET(INDIRECT($H$3 &amp; "!A71"), 11, 0), "")</f>
        <v>도지코인</v>
      </c>
      <c r="P42" s="39">
        <f t="shared" ca="1" si="11"/>
        <v>365</v>
      </c>
      <c r="Q42" s="77">
        <f t="shared" ca="1" si="12"/>
        <v>-2.7322404000000001E-3</v>
      </c>
      <c r="R42" s="86">
        <f t="shared" ca="1" si="15"/>
        <v>565699444.36726356</v>
      </c>
    </row>
    <row r="43" spans="1:18">
      <c r="A43" s="40" t="s">
        <v>269</v>
      </c>
      <c r="B43" s="11" t="s">
        <v>270</v>
      </c>
      <c r="C43" s="95">
        <v>350</v>
      </c>
      <c r="D43" s="92">
        <v>-2.8490028000000001E-3</v>
      </c>
      <c r="E43" s="93">
        <v>3941787.65940755</v>
      </c>
      <c r="F43" s="35"/>
      <c r="G43" s="56" t="str">
        <f ca="1">IFERROR(OFFSET(INDIRECT($H$3 &amp; "!A98"), 12, 0), "")</f>
        <v>스토리지</v>
      </c>
      <c r="H43" s="39">
        <f t="shared" ca="1" si="7"/>
        <v>1270</v>
      </c>
      <c r="I43" s="77">
        <f t="shared" ca="1" si="8"/>
        <v>2.4193548400000001E-2</v>
      </c>
      <c r="J43" s="86">
        <f t="shared" ca="1" si="13"/>
        <v>2290073.7515430599</v>
      </c>
      <c r="K43" s="56" t="str">
        <f ca="1">IFERROR(OFFSET(INDIRECT($H$3 &amp; "!A44"), 12, 0), "")</f>
        <v>오브스</v>
      </c>
      <c r="L43" s="39">
        <f t="shared" ca="1" si="9"/>
        <v>94.9</v>
      </c>
      <c r="M43" s="77">
        <f t="shared" ca="1" si="10"/>
        <v>-2.9652351699999999E-2</v>
      </c>
      <c r="N43" s="86">
        <f t="shared" ca="1" si="14"/>
        <v>40943897.176569127</v>
      </c>
      <c r="O43" s="56" t="str">
        <f ca="1">IFERROR(OFFSET(INDIRECT($H$3 &amp; "!A71"), 12, 0), "")</f>
        <v>골렘</v>
      </c>
      <c r="P43" s="39">
        <f t="shared" ca="1" si="11"/>
        <v>350</v>
      </c>
      <c r="Q43" s="77">
        <f t="shared" ca="1" si="12"/>
        <v>-2.8490028000000001E-3</v>
      </c>
      <c r="R43" s="86">
        <f t="shared" ca="1" si="15"/>
        <v>3941787.65940755</v>
      </c>
    </row>
    <row r="44" spans="1:18">
      <c r="A44" s="40" t="s">
        <v>53</v>
      </c>
      <c r="B44" s="11" t="s">
        <v>54</v>
      </c>
      <c r="C44" s="95">
        <v>264</v>
      </c>
      <c r="D44" s="92">
        <v>-3.7735848999999998E-3</v>
      </c>
      <c r="E44" s="93">
        <v>16279387.14996428</v>
      </c>
      <c r="F44" s="35"/>
      <c r="G44" s="56" t="str">
        <f ca="1">IFERROR(OFFSET(INDIRECT($H$3 &amp; "!A98"), 13, 0), "")</f>
        <v>테조스</v>
      </c>
      <c r="H44" s="39">
        <f t="shared" ca="1" si="7"/>
        <v>4070</v>
      </c>
      <c r="I44" s="77">
        <f t="shared" ca="1" si="8"/>
        <v>2.2613065299999999E-2</v>
      </c>
      <c r="J44" s="86">
        <f t="shared" ca="1" si="13"/>
        <v>1900354.15131229</v>
      </c>
      <c r="K44" s="56" t="str">
        <f ca="1">IFERROR(OFFSET(INDIRECT($H$3 &amp; "!A44"), 13, 0), "")</f>
        <v>리퍼리움</v>
      </c>
      <c r="L44" s="39">
        <f t="shared" ca="1" si="9"/>
        <v>14.1</v>
      </c>
      <c r="M44" s="77">
        <f t="shared" ca="1" si="10"/>
        <v>-3.4246575299999998E-2</v>
      </c>
      <c r="N44" s="86">
        <f t="shared" ca="1" si="14"/>
        <v>1293905916.4955781</v>
      </c>
      <c r="O44" s="56" t="str">
        <f ca="1">IFERROR(OFFSET(INDIRECT($H$3 &amp; "!A71"), 13, 0), "")</f>
        <v>헤데라해시그래프</v>
      </c>
      <c r="P44" s="39">
        <f t="shared" ca="1" si="11"/>
        <v>264</v>
      </c>
      <c r="Q44" s="77">
        <f t="shared" ca="1" si="12"/>
        <v>-3.7735848999999998E-3</v>
      </c>
      <c r="R44" s="86">
        <f t="shared" ca="1" si="15"/>
        <v>16279387.14996428</v>
      </c>
    </row>
    <row r="45" spans="1:18">
      <c r="A45" s="40" t="s">
        <v>103</v>
      </c>
      <c r="B45" s="11" t="s">
        <v>104</v>
      </c>
      <c r="C45" s="95">
        <v>1275</v>
      </c>
      <c r="D45" s="92">
        <v>-3.90625E-3</v>
      </c>
      <c r="E45" s="93">
        <v>6554129.6187487599</v>
      </c>
      <c r="F45" s="35"/>
      <c r="G45" s="58" t="str">
        <f ca="1">IFERROR(OFFSET(INDIRECT($H$3 &amp; "!A98"), 14, 0), "")</f>
        <v>스텔라루멘</v>
      </c>
      <c r="H45" s="44">
        <f t="shared" ca="1" si="7"/>
        <v>465</v>
      </c>
      <c r="I45" s="78">
        <f t="shared" ca="1" si="8"/>
        <v>2.1978022E-2</v>
      </c>
      <c r="J45" s="90">
        <f t="shared" ca="1" si="13"/>
        <v>114093753.66728313</v>
      </c>
      <c r="K45" s="58" t="str">
        <f ca="1">IFERROR(OFFSET(INDIRECT($H$3 &amp; "!A44"), 14, 0), "")</f>
        <v>메디블록</v>
      </c>
      <c r="L45" s="44">
        <f t="shared" ca="1" si="9"/>
        <v>77.900000000000006</v>
      </c>
      <c r="M45" s="78">
        <f t="shared" ca="1" si="10"/>
        <v>-3.4696406399999997E-2</v>
      </c>
      <c r="N45" s="90">
        <f t="shared" ca="1" si="14"/>
        <v>149811356.0177947</v>
      </c>
      <c r="O45" s="58" t="str">
        <f ca="1">IFERROR(OFFSET(INDIRECT($H$3 &amp; "!A71"), 14, 0), "")</f>
        <v>칠리즈</v>
      </c>
      <c r="P45" s="44">
        <f t="shared" ca="1" si="11"/>
        <v>324</v>
      </c>
      <c r="Q45" s="78">
        <f t="shared" ca="1" si="12"/>
        <v>-1.2195121999999999E-2</v>
      </c>
      <c r="R45" s="90">
        <f t="shared" ca="1" si="15"/>
        <v>55381685.782262623</v>
      </c>
    </row>
    <row r="46" spans="1:18">
      <c r="A46" s="40" t="s">
        <v>137</v>
      </c>
      <c r="B46" s="11" t="s">
        <v>138</v>
      </c>
      <c r="C46" s="95">
        <v>25410</v>
      </c>
      <c r="D46" s="92">
        <v>-5.4794520999999997E-3</v>
      </c>
      <c r="E46" s="93">
        <v>1377645.6066964299</v>
      </c>
      <c r="F46" s="35"/>
      <c r="G46" s="56" t="str">
        <f ca="1">IFERROR(OFFSET(INDIRECT($H$3 &amp; "!A98"), 15, 0), "")</f>
        <v>카이버네트워크</v>
      </c>
      <c r="H46" s="39">
        <f t="shared" ca="1" si="7"/>
        <v>1945</v>
      </c>
      <c r="I46" s="77">
        <f t="shared" ca="1" si="8"/>
        <v>2.0997375299999999E-2</v>
      </c>
      <c r="J46" s="99">
        <f t="shared" ca="1" si="13"/>
        <v>1073447.35078597</v>
      </c>
      <c r="K46" s="56" t="str">
        <f ca="1">IFERROR(OFFSET(INDIRECT($H$3 &amp; "!A44"), 15, 0), "")</f>
        <v>에브리피디아</v>
      </c>
      <c r="L46" s="39">
        <f t="shared" ca="1" si="9"/>
        <v>13.4</v>
      </c>
      <c r="M46" s="77">
        <f t="shared" ca="1" si="10"/>
        <v>-3.5971222999999997E-2</v>
      </c>
      <c r="N46" s="99">
        <f t="shared" ca="1" si="14"/>
        <v>182241054.4058494</v>
      </c>
      <c r="O46" s="56" t="str">
        <f ca="1">IFERROR(OFFSET(INDIRECT($H$3 &amp; "!A71"), 15, 0), "")</f>
        <v>보라</v>
      </c>
      <c r="P46" s="39">
        <f t="shared" ca="1" si="11"/>
        <v>197</v>
      </c>
      <c r="Q46" s="77">
        <f t="shared" ca="1" si="12"/>
        <v>-1.4999999999999999E-2</v>
      </c>
      <c r="R46" s="99">
        <f t="shared" ca="1" si="15"/>
        <v>73816616.211614192</v>
      </c>
    </row>
    <row r="47" spans="1:18">
      <c r="A47" s="40" t="s">
        <v>259</v>
      </c>
      <c r="B47" s="11" t="s">
        <v>260</v>
      </c>
      <c r="C47" s="95">
        <v>80.900000000000006</v>
      </c>
      <c r="D47" s="92">
        <v>-6.1425061000000003E-3</v>
      </c>
      <c r="E47" s="93">
        <v>99817358.524188638</v>
      </c>
      <c r="F47" s="35"/>
      <c r="G47" s="56" t="str">
        <f ca="1">IFERROR(OFFSET(INDIRECT($H$3 &amp; "!A98"), 16, 0), "")</f>
        <v>저스트</v>
      </c>
      <c r="H47" s="39">
        <f t="shared" ca="1" si="7"/>
        <v>78.5</v>
      </c>
      <c r="I47" s="77">
        <f t="shared" ca="1" si="8"/>
        <v>1.9480519500000001E-2</v>
      </c>
      <c r="J47" s="86">
        <f t="shared" ca="1" si="13"/>
        <v>57496200.629527517</v>
      </c>
      <c r="K47" s="56" t="str">
        <f ca="1">IFERROR(OFFSET(INDIRECT($H$3 &amp; "!A44"), 16, 0), "")</f>
        <v>무비블록</v>
      </c>
      <c r="L47" s="39">
        <f t="shared" ca="1" si="9"/>
        <v>10.7</v>
      </c>
      <c r="M47" s="77">
        <f t="shared" ca="1" si="10"/>
        <v>-3.6036036E-2</v>
      </c>
      <c r="N47" s="86">
        <f t="shared" ca="1" si="14"/>
        <v>475185142.67931676</v>
      </c>
      <c r="O47" s="56" t="str">
        <f ca="1">IFERROR(OFFSET(INDIRECT($H$3 &amp; "!A71"), 16, 0), "")</f>
        <v>스팀</v>
      </c>
      <c r="P47" s="39">
        <f t="shared" ca="1" si="11"/>
        <v>638</v>
      </c>
      <c r="Q47" s="77">
        <f t="shared" ca="1" si="12"/>
        <v>-1.54320988E-2</v>
      </c>
      <c r="R47" s="86">
        <f t="shared" ca="1" si="15"/>
        <v>5472541.4848127998</v>
      </c>
    </row>
    <row r="48" spans="1:18">
      <c r="A48" s="40" t="s">
        <v>89</v>
      </c>
      <c r="B48" s="11" t="s">
        <v>90</v>
      </c>
      <c r="C48" s="95">
        <v>200000</v>
      </c>
      <c r="D48" s="92">
        <v>-6.2111800999999998E-3</v>
      </c>
      <c r="E48" s="93">
        <v>29709.079070070002</v>
      </c>
      <c r="F48" s="35"/>
      <c r="G48" s="56" t="str">
        <f ca="1">IFERROR(OFFSET(INDIRECT($H$3 &amp; "!A98"), 17, 0), "")</f>
        <v>에이다</v>
      </c>
      <c r="H48" s="39">
        <f t="shared" ca="1" si="7"/>
        <v>1945</v>
      </c>
      <c r="I48" s="77">
        <f t="shared" ca="1" si="8"/>
        <v>1.83246073E-2</v>
      </c>
      <c r="J48" s="86">
        <f t="shared" ca="1" si="13"/>
        <v>155966145.03788638</v>
      </c>
      <c r="K48" s="56" t="str">
        <f ca="1">IFERROR(OFFSET(INDIRECT($H$3 &amp; "!A44"), 17, 0), "")</f>
        <v>엔도르</v>
      </c>
      <c r="L48" s="39">
        <f t="shared" ca="1" si="9"/>
        <v>52.2</v>
      </c>
      <c r="M48" s="77">
        <f t="shared" ca="1" si="10"/>
        <v>-3.6900369000000002E-2</v>
      </c>
      <c r="N48" s="86">
        <f t="shared" ca="1" si="14"/>
        <v>64297116.521781988</v>
      </c>
      <c r="O48" s="56" t="str">
        <f ca="1">IFERROR(OFFSET(INDIRECT($H$3 &amp; "!A71"), 17, 0), "")</f>
        <v>시빅</v>
      </c>
      <c r="P48" s="39">
        <f t="shared" ca="1" si="11"/>
        <v>375</v>
      </c>
      <c r="Q48" s="77">
        <f t="shared" ca="1" si="12"/>
        <v>-1.5748031499999999E-2</v>
      </c>
      <c r="R48" s="86">
        <f t="shared" ca="1" si="15"/>
        <v>4503124.1380805001</v>
      </c>
    </row>
    <row r="49" spans="1:18">
      <c r="A49" s="40" t="s">
        <v>99</v>
      </c>
      <c r="B49" s="11" t="s">
        <v>100</v>
      </c>
      <c r="C49" s="95">
        <v>4.37</v>
      </c>
      <c r="D49" s="92">
        <v>-1.13122172E-2</v>
      </c>
      <c r="E49" s="93">
        <v>13879328382.335428</v>
      </c>
      <c r="F49" s="35"/>
      <c r="G49" s="56" t="str">
        <f ca="1">IFERROR(OFFSET(INDIRECT($H$3 &amp; "!A98"), 18, 0), "")</f>
        <v>제로엑스</v>
      </c>
      <c r="H49" s="39">
        <f t="shared" ca="1" si="7"/>
        <v>1155</v>
      </c>
      <c r="I49" s="77">
        <f t="shared" ca="1" si="8"/>
        <v>1.76211454E-2</v>
      </c>
      <c r="J49" s="86">
        <f t="shared" ca="1" si="13"/>
        <v>2034613.17002215</v>
      </c>
      <c r="K49" s="56" t="str">
        <f ca="1">IFERROR(OFFSET(INDIRECT($H$3 &amp; "!A44"), 18, 0), "")</f>
        <v>에스티피</v>
      </c>
      <c r="L49" s="39">
        <f t="shared" ca="1" si="9"/>
        <v>58.5</v>
      </c>
      <c r="M49" s="77">
        <f t="shared" ca="1" si="10"/>
        <v>-3.78289474E-2</v>
      </c>
      <c r="N49" s="86">
        <f t="shared" ca="1" si="14"/>
        <v>50307649.07410647</v>
      </c>
      <c r="O49" s="56" t="str">
        <f ca="1">IFERROR(OFFSET(INDIRECT($H$3 &amp; "!A71"), 18, 0), "")</f>
        <v>샌드박스</v>
      </c>
      <c r="P49" s="39">
        <f t="shared" ca="1" si="11"/>
        <v>376</v>
      </c>
      <c r="Q49" s="77">
        <f t="shared" ca="1" si="12"/>
        <v>-2.08333333E-2</v>
      </c>
      <c r="R49" s="86">
        <f t="shared" ca="1" si="15"/>
        <v>25327522.259394038</v>
      </c>
    </row>
    <row r="50" spans="1:18" ht="17.25" thickBot="1">
      <c r="A50" s="40" t="s">
        <v>87</v>
      </c>
      <c r="B50" s="11" t="s">
        <v>88</v>
      </c>
      <c r="C50" s="95">
        <v>324</v>
      </c>
      <c r="D50" s="92">
        <v>-1.2195121999999999E-2</v>
      </c>
      <c r="E50" s="93">
        <v>55381685.782262623</v>
      </c>
      <c r="F50" s="35"/>
      <c r="G50" s="57" t="str">
        <f ca="1">IFERROR(OFFSET(INDIRECT($H$3 &amp; "!A98"), 19, 0), "")</f>
        <v>쎄타퓨엘</v>
      </c>
      <c r="H50" s="37">
        <f t="shared" ca="1" si="7"/>
        <v>376</v>
      </c>
      <c r="I50" s="79">
        <f t="shared" ca="1" si="8"/>
        <v>1.6216216200000001E-2</v>
      </c>
      <c r="J50" s="87">
        <f t="shared" ca="1" si="13"/>
        <v>28129467.02678109</v>
      </c>
      <c r="K50" s="57" t="str">
        <f ca="1">IFERROR(OFFSET(INDIRECT($H$3 &amp; "!A44"), 19, 0), "")</f>
        <v>퀴즈톡</v>
      </c>
      <c r="L50" s="37">
        <f t="shared" ca="1" si="9"/>
        <v>52.2</v>
      </c>
      <c r="M50" s="79">
        <f t="shared" ca="1" si="10"/>
        <v>-3.8674033099999998E-2</v>
      </c>
      <c r="N50" s="87">
        <f t="shared" ca="1" si="14"/>
        <v>75847553.575340763</v>
      </c>
      <c r="O50" s="57" t="str">
        <f ca="1">IFERROR(OFFSET(INDIRECT($H$3 &amp; "!A71"), 19, 0), "")</f>
        <v>애드엑스</v>
      </c>
      <c r="P50" s="37">
        <f t="shared" ca="1" si="11"/>
        <v>987</v>
      </c>
      <c r="Q50" s="79">
        <f t="shared" ca="1" si="12"/>
        <v>-2.27722772E-2</v>
      </c>
      <c r="R50" s="87">
        <f t="shared" ca="1" si="15"/>
        <v>1677785.92235073</v>
      </c>
    </row>
    <row r="51" spans="1:18">
      <c r="A51" s="40" t="s">
        <v>187</v>
      </c>
      <c r="B51" s="11" t="s">
        <v>188</v>
      </c>
      <c r="C51" s="95">
        <v>13670</v>
      </c>
      <c r="D51" s="92">
        <v>-1.3708513699999999E-2</v>
      </c>
      <c r="E51" s="93">
        <v>6422706.4971463596</v>
      </c>
      <c r="F51" s="35"/>
    </row>
    <row r="52" spans="1:18" ht="17.25" thickBot="1">
      <c r="A52" s="40" t="s">
        <v>173</v>
      </c>
      <c r="B52" s="11" t="s">
        <v>174</v>
      </c>
      <c r="C52" s="95">
        <v>197</v>
      </c>
      <c r="D52" s="92">
        <v>-1.4999999999999999E-2</v>
      </c>
      <c r="E52" s="93">
        <v>73816616.211614192</v>
      </c>
      <c r="F52" s="35"/>
    </row>
    <row r="53" spans="1:18" ht="17.25" thickBot="1">
      <c r="A53" s="40" t="s">
        <v>101</v>
      </c>
      <c r="B53" s="11" t="s">
        <v>102</v>
      </c>
      <c r="C53" s="95">
        <v>78880</v>
      </c>
      <c r="D53" s="92">
        <v>-1.51080035E-2</v>
      </c>
      <c r="E53" s="93">
        <v>9011438.2140523102</v>
      </c>
      <c r="F53" s="35"/>
      <c r="G53" s="183" t="s">
        <v>285</v>
      </c>
      <c r="H53" s="184"/>
      <c r="I53" s="184"/>
      <c r="J53" s="185"/>
      <c r="K53" s="183" t="s">
        <v>288</v>
      </c>
      <c r="L53" s="184"/>
      <c r="M53" s="184"/>
      <c r="N53" s="185"/>
      <c r="O53" s="183" t="s">
        <v>289</v>
      </c>
      <c r="P53" s="184"/>
      <c r="Q53" s="184"/>
      <c r="R53" s="185"/>
    </row>
    <row r="54" spans="1:18" ht="17.25" thickBot="1">
      <c r="A54" s="40" t="s">
        <v>261</v>
      </c>
      <c r="B54" s="11" t="s">
        <v>262</v>
      </c>
      <c r="C54" s="95">
        <v>638</v>
      </c>
      <c r="D54" s="92">
        <v>-1.54320988E-2</v>
      </c>
      <c r="E54" s="93">
        <v>5472541.4848127998</v>
      </c>
      <c r="F54" s="35"/>
      <c r="G54" s="220" t="s">
        <v>55</v>
      </c>
      <c r="H54" s="236">
        <f ca="1">NOW()</f>
        <v>44348.005391782404</v>
      </c>
      <c r="I54" s="237"/>
      <c r="J54" s="238"/>
      <c r="K54" s="235" t="s">
        <v>55</v>
      </c>
      <c r="L54" s="236">
        <f ca="1">NOW()</f>
        <v>44348.005391782404</v>
      </c>
      <c r="M54" s="237"/>
      <c r="N54" s="238"/>
      <c r="O54" s="235" t="s">
        <v>55</v>
      </c>
      <c r="P54" s="236">
        <f ca="1">NOW()</f>
        <v>44348.005391782404</v>
      </c>
      <c r="Q54" s="237"/>
      <c r="R54" s="238"/>
    </row>
    <row r="55" spans="1:18" ht="17.25" thickBot="1">
      <c r="A55" s="40" t="s">
        <v>161</v>
      </c>
      <c r="B55" s="11" t="s">
        <v>162</v>
      </c>
      <c r="C55" s="95">
        <v>1265</v>
      </c>
      <c r="D55" s="92">
        <v>-1.55642023E-2</v>
      </c>
      <c r="E55" s="93">
        <v>10072857.231343551</v>
      </c>
      <c r="F55" s="35"/>
      <c r="G55" s="228"/>
      <c r="H55" s="36" t="s">
        <v>58</v>
      </c>
      <c r="I55" s="73" t="s">
        <v>59</v>
      </c>
      <c r="J55" s="69" t="s">
        <v>294</v>
      </c>
      <c r="K55" s="228"/>
      <c r="L55" s="36" t="s">
        <v>58</v>
      </c>
      <c r="M55" s="73" t="s">
        <v>59</v>
      </c>
      <c r="N55" s="69" t="s">
        <v>294</v>
      </c>
      <c r="O55" s="228"/>
      <c r="P55" s="36" t="s">
        <v>58</v>
      </c>
      <c r="Q55" s="73" t="s">
        <v>59</v>
      </c>
      <c r="R55" s="69" t="s">
        <v>294</v>
      </c>
    </row>
    <row r="56" spans="1:18">
      <c r="A56" s="40" t="s">
        <v>127</v>
      </c>
      <c r="B56" s="11" t="s">
        <v>128</v>
      </c>
      <c r="C56" s="95">
        <v>375</v>
      </c>
      <c r="D56" s="92">
        <v>-1.5748031499999999E-2</v>
      </c>
      <c r="E56" s="93">
        <v>4503124.1380805001</v>
      </c>
      <c r="F56" s="35"/>
      <c r="G56" s="55" t="str">
        <f ca="1">IFERROR(OFFSET(INDIRECT($H$3 &amp; "!A179"), 0, 0), "")</f>
        <v>메타디움</v>
      </c>
      <c r="H56" s="38">
        <f t="shared" ref="H56:H65" ca="1" si="16">_xlfn.IFNA(VLOOKUP(G56, $B$2:$D$200, 2, FALSE), "")</f>
        <v>120</v>
      </c>
      <c r="I56" s="76">
        <f t="shared" ref="I56:I65" ca="1" si="17">_xlfn.IFNA(VLOOKUP(G56, $B$2:$D$200, 3, FALSE), "")</f>
        <v>-0.04</v>
      </c>
      <c r="J56" s="85">
        <f ca="1">_xlfn.IFNA(VLOOKUP(G56, $B$2:$E$200, 4, FALSE), "")</f>
        <v>48210264.221073069</v>
      </c>
      <c r="K56" s="55" t="str">
        <f ca="1">IFERROR(OFFSET(INDIRECT($H$3 &amp; "!A125"), 0, 0), "")</f>
        <v>썸씽</v>
      </c>
      <c r="L56" s="38">
        <f t="shared" ref="L56:L75" ca="1" si="18">_xlfn.IFNA(VLOOKUP(K56, $B$2:$D$200, 2, FALSE), "")</f>
        <v>80.900000000000006</v>
      </c>
      <c r="M56" s="76">
        <f t="shared" ref="M56:M75" ca="1" si="19">_xlfn.IFNA(VLOOKUP(K56, $B$2:$D$200, 3, FALSE), "")</f>
        <v>-6.1425061000000003E-3</v>
      </c>
      <c r="N56" s="85">
        <f ca="1">_xlfn.IFNA(VLOOKUP(K56, $B$2:$E$200, 4, FALSE), "")</f>
        <v>99817358.524188638</v>
      </c>
      <c r="O56" s="55" t="str">
        <f ca="1">IFERROR(OFFSET(INDIRECT($H$3 &amp; "!A152"), 0, 0), "")</f>
        <v>디카르고</v>
      </c>
      <c r="P56" s="38">
        <f t="shared" ref="P56:P75" ca="1" si="20">_xlfn.IFNA(VLOOKUP(O56, $B$2:$D$200, 2, FALSE), "")</f>
        <v>161</v>
      </c>
      <c r="Q56" s="76">
        <f t="shared" ref="Q56:Q75" ca="1" si="21">_xlfn.IFNA(VLOOKUP(O56, $B$2:$D$200, 3, FALSE), "")</f>
        <v>-2.4242424200000001E-2</v>
      </c>
      <c r="R56" s="85">
        <f ca="1">_xlfn.IFNA(VLOOKUP(O56, $B$2:$E$200, 4, FALSE), "")</f>
        <v>29203172.02922079</v>
      </c>
    </row>
    <row r="57" spans="1:18">
      <c r="A57" s="40" t="s">
        <v>153</v>
      </c>
      <c r="B57" s="11" t="s">
        <v>154</v>
      </c>
      <c r="C57" s="95">
        <v>11</v>
      </c>
      <c r="D57" s="92">
        <v>-1.7857142900000001E-2</v>
      </c>
      <c r="E57" s="93">
        <v>451790943.32762301</v>
      </c>
      <c r="F57" s="35"/>
      <c r="G57" s="56" t="str">
        <f ca="1">IFERROR(OFFSET(INDIRECT($H$3 &amp; "!A179"), 1, 0), "")</f>
        <v>코박토큰</v>
      </c>
      <c r="H57" s="39">
        <f t="shared" ca="1" si="16"/>
        <v>5470</v>
      </c>
      <c r="I57" s="77">
        <f t="shared" ca="1" si="17"/>
        <v>-4.0350877200000003E-2</v>
      </c>
      <c r="J57" s="86">
        <f t="shared" ref="J57:J75" ca="1" si="22">_xlfn.IFNA(VLOOKUP(G57, $B$2:$E$200, 4, FALSE), "")</f>
        <v>718463.00325153</v>
      </c>
      <c r="K57" s="56" t="str">
        <f ca="1">IFERROR(OFFSET(INDIRECT($H$3 &amp; "!A125"), 1, 0), "")</f>
        <v>비트토렌트</v>
      </c>
      <c r="L57" s="39">
        <f t="shared" ca="1" si="18"/>
        <v>4.37</v>
      </c>
      <c r="M57" s="77">
        <f t="shared" ca="1" si="19"/>
        <v>-1.13122172E-2</v>
      </c>
      <c r="N57" s="86">
        <f t="shared" ref="N57:N75" ca="1" si="23">_xlfn.IFNA(VLOOKUP(K57, $B$2:$E$200, 4, FALSE), "")</f>
        <v>13879328382.335428</v>
      </c>
      <c r="O57" s="56" t="str">
        <f ca="1">IFERROR(OFFSET(INDIRECT($H$3 &amp; "!A152"), 1, 0), "")</f>
        <v>폴리매쓰</v>
      </c>
      <c r="P57" s="39">
        <f t="shared" ca="1" si="20"/>
        <v>287</v>
      </c>
      <c r="Q57" s="77">
        <f t="shared" ca="1" si="21"/>
        <v>-3.0405405399999998E-2</v>
      </c>
      <c r="R57" s="86">
        <f t="shared" ref="R57:R75" ca="1" si="24">_xlfn.IFNA(VLOOKUP(O57, $B$2:$E$200, 4, FALSE), "")</f>
        <v>10276499.053614769</v>
      </c>
    </row>
    <row r="58" spans="1:18">
      <c r="A58" s="40" t="s">
        <v>183</v>
      </c>
      <c r="B58" s="11" t="s">
        <v>184</v>
      </c>
      <c r="C58" s="95">
        <v>1315</v>
      </c>
      <c r="D58" s="92">
        <v>-1.8656716399999999E-2</v>
      </c>
      <c r="E58" s="93">
        <v>1954774.45142312</v>
      </c>
      <c r="F58" s="35"/>
      <c r="G58" s="56" t="str">
        <f ca="1">IFERROR(OFFSET(INDIRECT($H$3 &amp; "!A179"), 2, 0), "")</f>
        <v>옵저버</v>
      </c>
      <c r="H58" s="39">
        <f t="shared" ca="1" si="16"/>
        <v>16.600000000000001</v>
      </c>
      <c r="I58" s="77">
        <f t="shared" ca="1" si="17"/>
        <v>-4.0462427699999998E-2</v>
      </c>
      <c r="J58" s="86">
        <f t="shared" ca="1" si="22"/>
        <v>203482822.63957587</v>
      </c>
      <c r="K58" s="56" t="str">
        <f ca="1">IFERROR(OFFSET(INDIRECT($H$3 &amp; "!A125"), 2, 0), "")</f>
        <v>캐리프로토콜</v>
      </c>
      <c r="L58" s="39">
        <f t="shared" ca="1" si="18"/>
        <v>11</v>
      </c>
      <c r="M58" s="77">
        <f t="shared" ca="1" si="19"/>
        <v>-1.7857142900000001E-2</v>
      </c>
      <c r="N58" s="86">
        <f t="shared" ca="1" si="23"/>
        <v>451790943.32762301</v>
      </c>
      <c r="O58" s="56" t="str">
        <f ca="1">IFERROR(OFFSET(INDIRECT($H$3 &amp; "!A152"), 2, 0), "")</f>
        <v>파워렛저</v>
      </c>
      <c r="P58" s="39">
        <f t="shared" ca="1" si="20"/>
        <v>293</v>
      </c>
      <c r="Q58" s="77">
        <f t="shared" ca="1" si="21"/>
        <v>-3.3003300300000003E-2</v>
      </c>
      <c r="R58" s="86">
        <f t="shared" ca="1" si="24"/>
        <v>7531992.4727673996</v>
      </c>
    </row>
    <row r="59" spans="1:18">
      <c r="A59" s="40" t="s">
        <v>151</v>
      </c>
      <c r="B59" s="11" t="s">
        <v>152</v>
      </c>
      <c r="C59" s="95">
        <v>20.3</v>
      </c>
      <c r="D59" s="92">
        <v>-1.93236715E-2</v>
      </c>
      <c r="E59" s="93">
        <v>306416887.92954427</v>
      </c>
      <c r="F59" s="35"/>
      <c r="G59" s="56" t="str">
        <f ca="1">IFERROR(OFFSET(INDIRECT($H$3 &amp; "!A179"), 3, 0), "")</f>
        <v>센티넬프로토콜</v>
      </c>
      <c r="H59" s="39">
        <f t="shared" ca="1" si="16"/>
        <v>113</v>
      </c>
      <c r="I59" s="77">
        <f t="shared" ca="1" si="17"/>
        <v>-4.23728814E-2</v>
      </c>
      <c r="J59" s="86">
        <f t="shared" ca="1" si="22"/>
        <v>56472756.800068177</v>
      </c>
      <c r="K59" s="56" t="str">
        <f ca="1">IFERROR(OFFSET(INDIRECT($H$3 &amp; "!A125"), 3, 0), "")</f>
        <v>시아코인</v>
      </c>
      <c r="L59" s="39">
        <f t="shared" ca="1" si="18"/>
        <v>20.3</v>
      </c>
      <c r="M59" s="77">
        <f t="shared" ca="1" si="19"/>
        <v>-1.93236715E-2</v>
      </c>
      <c r="N59" s="86">
        <f t="shared" ca="1" si="23"/>
        <v>306416887.92954427</v>
      </c>
      <c r="O59" s="56" t="str">
        <f ca="1">IFERROR(OFFSET(INDIRECT($H$3 &amp; "!A152"), 3, 0), "")</f>
        <v>왁스</v>
      </c>
      <c r="P59" s="39">
        <f t="shared" ca="1" si="20"/>
        <v>174</v>
      </c>
      <c r="Q59" s="77">
        <f t="shared" ca="1" si="21"/>
        <v>-3.3333333299999997E-2</v>
      </c>
      <c r="R59" s="86">
        <f t="shared" ca="1" si="24"/>
        <v>11432585.117594911</v>
      </c>
    </row>
    <row r="60" spans="1:18">
      <c r="A60" s="40" t="s">
        <v>115</v>
      </c>
      <c r="B60" s="11" t="s">
        <v>116</v>
      </c>
      <c r="C60" s="95">
        <v>376</v>
      </c>
      <c r="D60" s="92">
        <v>-2.08333333E-2</v>
      </c>
      <c r="E60" s="93">
        <v>25327522.259394038</v>
      </c>
      <c r="F60" s="35"/>
      <c r="G60" s="56" t="str">
        <f ca="1">IFERROR(OFFSET(INDIRECT($H$3 &amp; "!A179"), 4, 0), "")</f>
        <v>플레이댑</v>
      </c>
      <c r="H60" s="39">
        <f t="shared" ca="1" si="16"/>
        <v>291</v>
      </c>
      <c r="I60" s="77">
        <f t="shared" ca="1" si="17"/>
        <v>-4.2763157900000001E-2</v>
      </c>
      <c r="J60" s="90">
        <f t="shared" ca="1" si="22"/>
        <v>9710508.5955919791</v>
      </c>
      <c r="K60" s="58" t="str">
        <f ca="1">IFERROR(OFFSET(INDIRECT($H$3 &amp; "!A125"), 4, 0), "")</f>
        <v>썬더토큰</v>
      </c>
      <c r="L60" s="44">
        <f t="shared" ca="1" si="18"/>
        <v>11.5</v>
      </c>
      <c r="M60" s="78">
        <f t="shared" ca="1" si="19"/>
        <v>-2.54237288E-2</v>
      </c>
      <c r="N60" s="90">
        <f t="shared" ca="1" si="23"/>
        <v>184978584.76831648</v>
      </c>
      <c r="O60" s="58" t="str">
        <f ca="1">IFERROR(OFFSET(INDIRECT($H$3 &amp; "!A152"), 4, 0), "")</f>
        <v>엘비알와이크레딧</v>
      </c>
      <c r="P60" s="44">
        <f t="shared" ca="1" si="20"/>
        <v>115</v>
      </c>
      <c r="Q60" s="78">
        <f t="shared" ca="1" si="21"/>
        <v>-3.3613445399999997E-2</v>
      </c>
      <c r="R60" s="90">
        <f t="shared" ca="1" si="24"/>
        <v>24317585.415144011</v>
      </c>
    </row>
    <row r="61" spans="1:18">
      <c r="A61" s="40" t="s">
        <v>81</v>
      </c>
      <c r="B61" s="11" t="s">
        <v>82</v>
      </c>
      <c r="C61" s="95">
        <v>987</v>
      </c>
      <c r="D61" s="92">
        <v>-2.27722772E-2</v>
      </c>
      <c r="E61" s="93">
        <v>1677785.92235073</v>
      </c>
      <c r="F61" s="35"/>
      <c r="G61" s="60" t="str">
        <f ca="1">IFERROR(OFFSET(INDIRECT($H$3 &amp; "!A179"), 5, 0), "")</f>
        <v>쿼크체인</v>
      </c>
      <c r="H61" s="45">
        <f t="shared" ca="1" si="16"/>
        <v>20.100000000000001</v>
      </c>
      <c r="I61" s="80">
        <f t="shared" ca="1" si="17"/>
        <v>-4.2857142899999999E-2</v>
      </c>
      <c r="J61" s="99">
        <f t="shared" ca="1" si="22"/>
        <v>154488982.76500434</v>
      </c>
      <c r="K61" s="56" t="str">
        <f ca="1">IFERROR(OFFSET(INDIRECT($H$3 &amp; "!A125"), 5, 0), "")</f>
        <v>엠블</v>
      </c>
      <c r="L61" s="39">
        <f t="shared" ca="1" si="18"/>
        <v>16.8</v>
      </c>
      <c r="M61" s="77">
        <f t="shared" ca="1" si="19"/>
        <v>-2.89017341E-2</v>
      </c>
      <c r="N61" s="99">
        <f t="shared" ca="1" si="23"/>
        <v>360133399.11441642</v>
      </c>
      <c r="O61" s="56" t="str">
        <f ca="1">IFERROR(OFFSET(INDIRECT($H$3 &amp; "!A152"), 5, 0), "")</f>
        <v>이그니스</v>
      </c>
      <c r="P61" s="39">
        <f t="shared" ca="1" si="20"/>
        <v>113</v>
      </c>
      <c r="Q61" s="77">
        <f t="shared" ca="1" si="21"/>
        <v>-3.4188034200000002E-2</v>
      </c>
      <c r="R61" s="99">
        <f t="shared" ca="1" si="24"/>
        <v>19479888.154383831</v>
      </c>
    </row>
    <row r="62" spans="1:18">
      <c r="A62" s="40" t="s">
        <v>189</v>
      </c>
      <c r="B62" s="11" t="s">
        <v>190</v>
      </c>
      <c r="C62" s="95">
        <v>48700</v>
      </c>
      <c r="D62" s="92">
        <v>-2.4048096200000001E-2</v>
      </c>
      <c r="E62" s="93">
        <v>74628.077585849998</v>
      </c>
      <c r="F62" s="35"/>
      <c r="G62" s="56" t="str">
        <f ca="1">IFERROR(OFFSET(INDIRECT($H$3 &amp; "!A179"), 6, 0), "")</f>
        <v>톤</v>
      </c>
      <c r="H62" s="39">
        <f t="shared" ca="1" si="16"/>
        <v>8400</v>
      </c>
      <c r="I62" s="77">
        <f t="shared" ca="1" si="17"/>
        <v>-4.3280182200000003E-2</v>
      </c>
      <c r="J62" s="86">
        <f t="shared" ca="1" si="22"/>
        <v>1710847.1162261099</v>
      </c>
      <c r="K62" s="56" t="str">
        <f ca="1">IFERROR(OFFSET(INDIRECT($H$3 &amp; "!A125"), 6, 0), "")</f>
        <v>오브스</v>
      </c>
      <c r="L62" s="39">
        <f t="shared" ca="1" si="18"/>
        <v>94.9</v>
      </c>
      <c r="M62" s="77">
        <f t="shared" ca="1" si="19"/>
        <v>-2.9652351699999999E-2</v>
      </c>
      <c r="N62" s="86">
        <f t="shared" ca="1" si="23"/>
        <v>40943897.176569127</v>
      </c>
      <c r="O62" s="56" t="str">
        <f ca="1">IFERROR(OFFSET(INDIRECT($H$3 &amp; "!A152"), 6, 0), "")</f>
        <v>아더</v>
      </c>
      <c r="P62" s="39">
        <f t="shared" ca="1" si="20"/>
        <v>251</v>
      </c>
      <c r="Q62" s="77">
        <f t="shared" ca="1" si="21"/>
        <v>-3.46153846E-2</v>
      </c>
      <c r="R62" s="86">
        <f t="shared" ca="1" si="24"/>
        <v>6520346.5676892698</v>
      </c>
    </row>
    <row r="63" spans="1:18">
      <c r="A63" s="40" t="s">
        <v>111</v>
      </c>
      <c r="B63" s="11" t="s">
        <v>112</v>
      </c>
      <c r="C63" s="95">
        <v>161</v>
      </c>
      <c r="D63" s="92">
        <v>-2.4242424200000001E-2</v>
      </c>
      <c r="E63" s="93">
        <v>29203172.02922079</v>
      </c>
      <c r="F63" s="35"/>
      <c r="G63" s="56" t="str">
        <f ca="1">IFERROR(OFFSET(INDIRECT($H$3 &amp; "!A179"), 7, 0), "")</f>
        <v>피르마체인</v>
      </c>
      <c r="H63" s="39">
        <f t="shared" ca="1" si="16"/>
        <v>131</v>
      </c>
      <c r="I63" s="77">
        <f t="shared" ca="1" si="17"/>
        <v>-4.3795620399999999E-2</v>
      </c>
      <c r="J63" s="86">
        <f t="shared" ca="1" si="22"/>
        <v>36329610.725401662</v>
      </c>
      <c r="K63" s="56" t="str">
        <f ca="1">IFERROR(OFFSET(INDIRECT($H$3 &amp; "!A125"), 7, 0), "")</f>
        <v>리퍼리움</v>
      </c>
      <c r="L63" s="39">
        <f t="shared" ca="1" si="18"/>
        <v>14.1</v>
      </c>
      <c r="M63" s="77">
        <f t="shared" ca="1" si="19"/>
        <v>-3.4246575299999998E-2</v>
      </c>
      <c r="N63" s="86">
        <f t="shared" ca="1" si="23"/>
        <v>1293905916.4955781</v>
      </c>
      <c r="O63" s="56" t="str">
        <f ca="1">IFERROR(OFFSET(INDIRECT($H$3 &amp; "!A152"), 7, 0), "")</f>
        <v>마로</v>
      </c>
      <c r="P63" s="39">
        <f t="shared" ca="1" si="20"/>
        <v>331</v>
      </c>
      <c r="Q63" s="77">
        <f t="shared" ca="1" si="21"/>
        <v>-3.4985422699999998E-2</v>
      </c>
      <c r="R63" s="86">
        <f t="shared" ca="1" si="24"/>
        <v>59060719.31540776</v>
      </c>
    </row>
    <row r="64" spans="1:18">
      <c r="A64" s="40" t="s">
        <v>241</v>
      </c>
      <c r="B64" s="11" t="s">
        <v>242</v>
      </c>
      <c r="C64" s="95">
        <v>3995</v>
      </c>
      <c r="D64" s="92">
        <v>-2.44200244E-2</v>
      </c>
      <c r="E64" s="93">
        <v>1374239.2645755201</v>
      </c>
      <c r="F64" s="35"/>
      <c r="G64" s="56" t="str">
        <f ca="1">IFERROR(OFFSET(INDIRECT($H$3 &amp; "!A179"), 8, 0), "")</f>
        <v>그로스톨코인</v>
      </c>
      <c r="H64" s="39">
        <f t="shared" ca="1" si="16"/>
        <v>1085</v>
      </c>
      <c r="I64" s="77">
        <f t="shared" ca="1" si="17"/>
        <v>-4.4052863400000003E-2</v>
      </c>
      <c r="J64" s="86">
        <f t="shared" ca="1" si="22"/>
        <v>11868276.173368299</v>
      </c>
      <c r="K64" s="56" t="str">
        <f ca="1">IFERROR(OFFSET(INDIRECT($H$3 &amp; "!A125"), 8, 0), "")</f>
        <v>메디블록</v>
      </c>
      <c r="L64" s="39">
        <f t="shared" ca="1" si="18"/>
        <v>77.900000000000006</v>
      </c>
      <c r="M64" s="77">
        <f t="shared" ca="1" si="19"/>
        <v>-3.4696406399999997E-2</v>
      </c>
      <c r="N64" s="86">
        <f t="shared" ca="1" si="23"/>
        <v>149811356.0177947</v>
      </c>
      <c r="O64" s="56" t="str">
        <f ca="1">IFERROR(OFFSET(INDIRECT($H$3 &amp; "!A152"), 8, 0), "")</f>
        <v>엘프</v>
      </c>
      <c r="P64" s="39">
        <f t="shared" ca="1" si="20"/>
        <v>290</v>
      </c>
      <c r="Q64" s="77">
        <f t="shared" ca="1" si="21"/>
        <v>-3.6544850500000003E-2</v>
      </c>
      <c r="R64" s="86">
        <f t="shared" ca="1" si="24"/>
        <v>5835030.3643725105</v>
      </c>
    </row>
    <row r="65" spans="1:18" ht="17.25" thickBot="1">
      <c r="A65" s="40" t="s">
        <v>223</v>
      </c>
      <c r="B65" s="11" t="s">
        <v>224</v>
      </c>
      <c r="C65" s="95">
        <v>1570</v>
      </c>
      <c r="D65" s="92">
        <v>-2.48447205E-2</v>
      </c>
      <c r="E65" s="93">
        <v>10045275.01115392</v>
      </c>
      <c r="F65" s="35"/>
      <c r="G65" s="57" t="str">
        <f ca="1">IFERROR(OFFSET(INDIRECT($H$3 &amp; "!A179"), 9, 0), "")</f>
        <v>디마켓</v>
      </c>
      <c r="H65" s="37">
        <f t="shared" ca="1" si="16"/>
        <v>845</v>
      </c>
      <c r="I65" s="79">
        <f t="shared" ca="1" si="17"/>
        <v>-4.4117647099999997E-2</v>
      </c>
      <c r="J65" s="87">
        <f t="shared" ca="1" si="22"/>
        <v>4858072.0083096595</v>
      </c>
      <c r="K65" s="57" t="str">
        <f ca="1">IFERROR(OFFSET(INDIRECT($H$3 &amp; "!A125"), 9, 0), "")</f>
        <v>에브리피디아</v>
      </c>
      <c r="L65" s="37">
        <f t="shared" ca="1" si="18"/>
        <v>13.4</v>
      </c>
      <c r="M65" s="79">
        <f t="shared" ca="1" si="19"/>
        <v>-3.5971222999999997E-2</v>
      </c>
      <c r="N65" s="87">
        <f t="shared" ca="1" si="23"/>
        <v>182241054.4058494</v>
      </c>
      <c r="O65" s="57" t="str">
        <f ca="1">IFERROR(OFFSET(INDIRECT($H$3 &amp; "!A152"), 9, 0), "")</f>
        <v>아르고</v>
      </c>
      <c r="P65" s="37">
        <f t="shared" ca="1" si="20"/>
        <v>209</v>
      </c>
      <c r="Q65" s="79">
        <f t="shared" ca="1" si="21"/>
        <v>-3.68663594E-2</v>
      </c>
      <c r="R65" s="87">
        <f t="shared" ca="1" si="24"/>
        <v>8404172.1716333404</v>
      </c>
    </row>
    <row r="66" spans="1:18">
      <c r="A66" s="40" t="s">
        <v>247</v>
      </c>
      <c r="B66" s="11" t="s">
        <v>248</v>
      </c>
      <c r="C66" s="95">
        <v>1750</v>
      </c>
      <c r="D66" s="92">
        <v>-2.50696379E-2</v>
      </c>
      <c r="E66" s="93">
        <v>3076228.0547470101</v>
      </c>
      <c r="F66" s="35"/>
      <c r="G66" s="56" t="str">
        <f ca="1">IFERROR(OFFSET(INDIRECT($H$3 &amp; "!A179"), 10, 0), "")</f>
        <v>아인스타이늄</v>
      </c>
      <c r="H66" s="38">
        <f t="shared" ref="H66:H75" ca="1" si="25">_xlfn.IFNA(VLOOKUP(G66, $B$2:$D$200, 2, FALSE), "")</f>
        <v>303</v>
      </c>
      <c r="I66" s="76">
        <f t="shared" ref="I66:I75" ca="1" si="26">_xlfn.IFNA(VLOOKUP(G66, $B$2:$D$200, 3, FALSE), "")</f>
        <v>-4.4164037900000001E-2</v>
      </c>
      <c r="J66" s="85">
        <f t="shared" ca="1" si="22"/>
        <v>14365674.53722652</v>
      </c>
      <c r="K66" s="55" t="str">
        <f ca="1">IFERROR(OFFSET(INDIRECT($H$3 &amp; "!A125"), 10, 0), "")</f>
        <v>무비블록</v>
      </c>
      <c r="L66" s="38">
        <f t="shared" ca="1" si="18"/>
        <v>10.7</v>
      </c>
      <c r="M66" s="76">
        <f t="shared" ca="1" si="19"/>
        <v>-3.6036036E-2</v>
      </c>
      <c r="N66" s="85">
        <f t="shared" ca="1" si="23"/>
        <v>475185142.67931676</v>
      </c>
      <c r="O66" s="55" t="str">
        <f ca="1">IFERROR(OFFSET(INDIRECT($H$3 &amp; "!A152"), 10, 0), "")</f>
        <v>하이브</v>
      </c>
      <c r="P66" s="38">
        <f t="shared" ca="1" si="20"/>
        <v>494</v>
      </c>
      <c r="Q66" s="76">
        <f t="shared" ca="1" si="21"/>
        <v>-3.7037037000000002E-2</v>
      </c>
      <c r="R66" s="85">
        <f t="shared" ca="1" si="24"/>
        <v>6384003.5512936004</v>
      </c>
    </row>
    <row r="67" spans="1:18">
      <c r="A67" s="40" t="s">
        <v>179</v>
      </c>
      <c r="B67" s="11" t="s">
        <v>180</v>
      </c>
      <c r="C67" s="95">
        <v>2525</v>
      </c>
      <c r="D67" s="92">
        <v>-2.5096525099999999E-2</v>
      </c>
      <c r="E67" s="93">
        <v>3193303.9407852599</v>
      </c>
      <c r="F67" s="35"/>
      <c r="G67" s="56" t="str">
        <f ca="1">IFERROR(OFFSET(INDIRECT($H$3 &amp; "!A179"), 11, 0), "")</f>
        <v>메인프레임</v>
      </c>
      <c r="H67" s="39">
        <f t="shared" ca="1" si="25"/>
        <v>10.7</v>
      </c>
      <c r="I67" s="77">
        <f t="shared" ca="1" si="26"/>
        <v>-4.4642857100000002E-2</v>
      </c>
      <c r="J67" s="86">
        <f t="shared" ca="1" si="22"/>
        <v>216283793.2439383</v>
      </c>
      <c r="K67" s="56" t="str">
        <f ca="1">IFERROR(OFFSET(INDIRECT($H$3 &amp; "!A125"), 11, 0), "")</f>
        <v>엔도르</v>
      </c>
      <c r="L67" s="39">
        <f t="shared" ca="1" si="18"/>
        <v>52.2</v>
      </c>
      <c r="M67" s="77">
        <f t="shared" ca="1" si="19"/>
        <v>-3.6900369000000002E-2</v>
      </c>
      <c r="N67" s="86">
        <f t="shared" ca="1" si="23"/>
        <v>64297116.521781988</v>
      </c>
      <c r="O67" s="56" t="str">
        <f ca="1">IFERROR(OFFSET(INDIRECT($H$3 &amp; "!A152"), 11, 0), "")</f>
        <v>모스코인</v>
      </c>
      <c r="P67" s="39">
        <f t="shared" ca="1" si="20"/>
        <v>124</v>
      </c>
      <c r="Q67" s="77">
        <f t="shared" ca="1" si="21"/>
        <v>-3.8759689899999998E-2</v>
      </c>
      <c r="R67" s="86">
        <f t="shared" ca="1" si="24"/>
        <v>29448780.632029701</v>
      </c>
    </row>
    <row r="68" spans="1:18">
      <c r="A68" s="40" t="s">
        <v>113</v>
      </c>
      <c r="B68" s="11" t="s">
        <v>114</v>
      </c>
      <c r="C68" s="95">
        <v>7710</v>
      </c>
      <c r="D68" s="92">
        <v>-2.5284450100000001E-2</v>
      </c>
      <c r="E68" s="93">
        <v>1291575.0548503201</v>
      </c>
      <c r="F68" s="35"/>
      <c r="G68" s="56" t="str">
        <f ca="1">IFERROR(OFFSET(INDIRECT($H$3 &amp; "!A179"), 12, 0), "")</f>
        <v>솔브케어</v>
      </c>
      <c r="H68" s="39">
        <f t="shared" ca="1" si="25"/>
        <v>191</v>
      </c>
      <c r="I68" s="77">
        <f t="shared" ca="1" si="26"/>
        <v>-4.4999999999999998E-2</v>
      </c>
      <c r="J68" s="86">
        <f t="shared" ca="1" si="22"/>
        <v>28766741.143145561</v>
      </c>
      <c r="K68" s="56" t="str">
        <f ca="1">IFERROR(OFFSET(INDIRECT($H$3 &amp; "!A125"), 12, 0), "")</f>
        <v>에스티피</v>
      </c>
      <c r="L68" s="39">
        <f t="shared" ca="1" si="18"/>
        <v>58.5</v>
      </c>
      <c r="M68" s="77">
        <f t="shared" ca="1" si="19"/>
        <v>-3.78289474E-2</v>
      </c>
      <c r="N68" s="86">
        <f t="shared" ca="1" si="23"/>
        <v>50307649.07410647</v>
      </c>
      <c r="O68" s="56" t="str">
        <f ca="1">IFERROR(OFFSET(INDIRECT($H$3 &amp; "!A152"), 12, 0), "")</f>
        <v>메타디움</v>
      </c>
      <c r="P68" s="39">
        <f t="shared" ca="1" si="20"/>
        <v>120</v>
      </c>
      <c r="Q68" s="77">
        <f t="shared" ca="1" si="21"/>
        <v>-0.04</v>
      </c>
      <c r="R68" s="86">
        <f t="shared" ca="1" si="24"/>
        <v>48210264.221073069</v>
      </c>
    </row>
    <row r="69" spans="1:18">
      <c r="A69" s="40" t="s">
        <v>195</v>
      </c>
      <c r="B69" s="11" t="s">
        <v>196</v>
      </c>
      <c r="C69" s="95">
        <v>11.5</v>
      </c>
      <c r="D69" s="92">
        <v>-2.54237288E-2</v>
      </c>
      <c r="E69" s="93">
        <v>184978584.76831648</v>
      </c>
      <c r="F69" s="35"/>
      <c r="G69" s="56" t="str">
        <f ca="1">IFERROR(OFFSET(INDIRECT($H$3 &amp; "!A179"), 13, 0), "")</f>
        <v>웨이브</v>
      </c>
      <c r="H69" s="39">
        <f t="shared" ca="1" si="25"/>
        <v>15480</v>
      </c>
      <c r="I69" s="77">
        <f t="shared" ca="1" si="26"/>
        <v>-4.5033929700000003E-2</v>
      </c>
      <c r="J69" s="86">
        <f t="shared" ca="1" si="22"/>
        <v>2141651.5146195702</v>
      </c>
      <c r="K69" s="56" t="str">
        <f ca="1">IFERROR(OFFSET(INDIRECT($H$3 &amp; "!A125"), 13, 0), "")</f>
        <v>퀴즈톡</v>
      </c>
      <c r="L69" s="39">
        <f t="shared" ca="1" si="18"/>
        <v>52.2</v>
      </c>
      <c r="M69" s="77">
        <f t="shared" ca="1" si="19"/>
        <v>-3.8674033099999998E-2</v>
      </c>
      <c r="N69" s="86">
        <f t="shared" ca="1" si="23"/>
        <v>75847553.575340763</v>
      </c>
      <c r="O69" s="56" t="str">
        <f ca="1">IFERROR(OFFSET(INDIRECT($H$3 &amp; "!A152"), 13, 0), "")</f>
        <v>센티넬프로토콜</v>
      </c>
      <c r="P69" s="39">
        <f t="shared" ca="1" si="20"/>
        <v>113</v>
      </c>
      <c r="Q69" s="77">
        <f t="shared" ca="1" si="21"/>
        <v>-4.23728814E-2</v>
      </c>
      <c r="R69" s="86">
        <f t="shared" ca="1" si="24"/>
        <v>56472756.800068177</v>
      </c>
    </row>
    <row r="70" spans="1:18">
      <c r="A70" s="40" t="s">
        <v>175</v>
      </c>
      <c r="B70" s="11" t="s">
        <v>176</v>
      </c>
      <c r="C70" s="95">
        <v>1150</v>
      </c>
      <c r="D70" s="92">
        <v>-2.54237288E-2</v>
      </c>
      <c r="E70" s="93">
        <v>6065428.5818680003</v>
      </c>
      <c r="F70" s="35"/>
      <c r="G70" s="56" t="str">
        <f ca="1">IFERROR(OFFSET(INDIRECT($H$3 &amp; "!A179"), 14, 0), "")</f>
        <v>람다</v>
      </c>
      <c r="H70" s="39">
        <f t="shared" ca="1" si="25"/>
        <v>52.7</v>
      </c>
      <c r="I70" s="77">
        <f t="shared" ca="1" si="26"/>
        <v>-4.5289855099999998E-2</v>
      </c>
      <c r="J70" s="90">
        <f t="shared" ca="1" si="22"/>
        <v>58662173.171420619</v>
      </c>
      <c r="K70" s="58" t="str">
        <f ca="1">IFERROR(OFFSET(INDIRECT($H$3 &amp; "!A125"), 14, 0), "")</f>
        <v>룸네트워크</v>
      </c>
      <c r="L70" s="44">
        <f t="shared" ca="1" si="18"/>
        <v>88.7</v>
      </c>
      <c r="M70" s="78">
        <f t="shared" ca="1" si="19"/>
        <v>-3.90032503E-2</v>
      </c>
      <c r="N70" s="90">
        <f t="shared" ca="1" si="23"/>
        <v>24188725.192161601</v>
      </c>
      <c r="O70" s="58" t="str">
        <f ca="1">IFERROR(OFFSET(INDIRECT($H$3 &amp; "!A152"), 14, 0), "")</f>
        <v>플레이댑</v>
      </c>
      <c r="P70" s="44">
        <f t="shared" ca="1" si="20"/>
        <v>291</v>
      </c>
      <c r="Q70" s="78">
        <f t="shared" ca="1" si="21"/>
        <v>-4.2763157900000001E-2</v>
      </c>
      <c r="R70" s="90">
        <f t="shared" ca="1" si="24"/>
        <v>9710508.5955919791</v>
      </c>
    </row>
    <row r="71" spans="1:18">
      <c r="A71" s="40" t="s">
        <v>177</v>
      </c>
      <c r="B71" s="11" t="s">
        <v>178</v>
      </c>
      <c r="C71" s="95">
        <v>27220</v>
      </c>
      <c r="D71" s="92">
        <v>-2.88976097E-2</v>
      </c>
      <c r="E71" s="93">
        <v>125604.77639631</v>
      </c>
      <c r="F71" s="35"/>
      <c r="G71" s="60" t="str">
        <f ca="1">IFERROR(OFFSET(INDIRECT($H$3 &amp; "!A179"), 15, 0), "")</f>
        <v>알파쿼크</v>
      </c>
      <c r="H71" s="45">
        <f t="shared" ca="1" si="25"/>
        <v>3880</v>
      </c>
      <c r="I71" s="80">
        <f t="shared" ca="1" si="26"/>
        <v>-4.9019607799999997E-2</v>
      </c>
      <c r="J71" s="99">
        <f t="shared" ca="1" si="22"/>
        <v>4411974.52827961</v>
      </c>
      <c r="K71" s="56" t="str">
        <f ca="1">IFERROR(OFFSET(INDIRECT($H$3 &amp; "!A125"), 15, 0), "")</f>
        <v>옵저버</v>
      </c>
      <c r="L71" s="39">
        <f t="shared" ca="1" si="18"/>
        <v>16.600000000000001</v>
      </c>
      <c r="M71" s="77">
        <f t="shared" ca="1" si="19"/>
        <v>-4.0462427699999998E-2</v>
      </c>
      <c r="N71" s="99">
        <f t="shared" ca="1" si="23"/>
        <v>203482822.63957587</v>
      </c>
      <c r="O71" s="56" t="str">
        <f ca="1">IFERROR(OFFSET(INDIRECT($H$3 &amp; "!A152"), 15, 0), "")</f>
        <v>피르마체인</v>
      </c>
      <c r="P71" s="39">
        <f t="shared" ca="1" si="20"/>
        <v>131</v>
      </c>
      <c r="Q71" s="77">
        <f t="shared" ca="1" si="21"/>
        <v>-4.3795620399999999E-2</v>
      </c>
      <c r="R71" s="99">
        <f t="shared" ca="1" si="24"/>
        <v>36329610.725401662</v>
      </c>
    </row>
    <row r="72" spans="1:18">
      <c r="A72" s="40" t="s">
        <v>197</v>
      </c>
      <c r="B72" s="11" t="s">
        <v>198</v>
      </c>
      <c r="C72" s="95">
        <v>16.8</v>
      </c>
      <c r="D72" s="92">
        <v>-2.89017341E-2</v>
      </c>
      <c r="E72" s="93">
        <v>360133399.11441642</v>
      </c>
      <c r="F72" s="35"/>
      <c r="G72" s="56" t="str">
        <f ca="1">IFERROR(OFFSET(INDIRECT($H$3 &amp; "!A179"), 16, 0), "")</f>
        <v>트웰브쉽스</v>
      </c>
      <c r="H72" s="39">
        <f t="shared" ca="1" si="25"/>
        <v>14.7</v>
      </c>
      <c r="I72" s="77">
        <f t="shared" ca="1" si="26"/>
        <v>-5.1612903199999997E-2</v>
      </c>
      <c r="J72" s="86">
        <f t="shared" ca="1" si="22"/>
        <v>228619465.07469699</v>
      </c>
      <c r="K72" s="56" t="str">
        <f ca="1">IFERROR(OFFSET(INDIRECT($H$3 &amp; "!A125"), 16, 0), "")</f>
        <v>쿼크체인</v>
      </c>
      <c r="L72" s="39">
        <f t="shared" ca="1" si="18"/>
        <v>20.100000000000001</v>
      </c>
      <c r="M72" s="77">
        <f t="shared" ca="1" si="19"/>
        <v>-4.2857142899999999E-2</v>
      </c>
      <c r="N72" s="86">
        <f t="shared" ca="1" si="23"/>
        <v>154488982.76500434</v>
      </c>
      <c r="O72" s="56" t="str">
        <f ca="1">IFERROR(OFFSET(INDIRECT($H$3 &amp; "!A152"), 16, 0), "")</f>
        <v>디마켓</v>
      </c>
      <c r="P72" s="39">
        <f t="shared" ca="1" si="20"/>
        <v>845</v>
      </c>
      <c r="Q72" s="77">
        <f t="shared" ca="1" si="21"/>
        <v>-4.4117647099999997E-2</v>
      </c>
      <c r="R72" s="86">
        <f t="shared" ca="1" si="24"/>
        <v>4858072.0083096595</v>
      </c>
    </row>
    <row r="73" spans="1:18">
      <c r="A73" s="40" t="s">
        <v>205</v>
      </c>
      <c r="B73" s="11" t="s">
        <v>206</v>
      </c>
      <c r="C73" s="95">
        <v>15900</v>
      </c>
      <c r="D73" s="92">
        <v>-2.9304029299999999E-2</v>
      </c>
      <c r="E73" s="93">
        <v>399220.04108370002</v>
      </c>
      <c r="F73" s="35"/>
      <c r="G73" s="56" t="str">
        <f ca="1">IFERROR(OFFSET(INDIRECT($H$3 &amp; "!A179"), 17, 0), "")</f>
        <v>온톨로지가스</v>
      </c>
      <c r="H73" s="39">
        <f t="shared" ca="1" si="25"/>
        <v>1190</v>
      </c>
      <c r="I73" s="77">
        <f t="shared" ca="1" si="26"/>
        <v>-5.1792828700000001E-2</v>
      </c>
      <c r="J73" s="86">
        <f t="shared" ca="1" si="22"/>
        <v>15597724.744063901</v>
      </c>
      <c r="K73" s="56" t="str">
        <f ca="1">IFERROR(OFFSET(INDIRECT($H$3 &amp; "!A125"), 17, 0), "")</f>
        <v>메인프레임</v>
      </c>
      <c r="L73" s="39">
        <f t="shared" ca="1" si="18"/>
        <v>10.7</v>
      </c>
      <c r="M73" s="77">
        <f t="shared" ca="1" si="19"/>
        <v>-4.4642857100000002E-2</v>
      </c>
      <c r="N73" s="86">
        <f t="shared" ca="1" si="23"/>
        <v>216283793.2439383</v>
      </c>
      <c r="O73" s="56" t="str">
        <f ca="1">IFERROR(OFFSET(INDIRECT($H$3 &amp; "!A152"), 17, 0), "")</f>
        <v>아인스타이늄</v>
      </c>
      <c r="P73" s="39">
        <f t="shared" ca="1" si="20"/>
        <v>303</v>
      </c>
      <c r="Q73" s="77">
        <f t="shared" ca="1" si="21"/>
        <v>-4.4164037900000001E-2</v>
      </c>
      <c r="R73" s="86">
        <f t="shared" ca="1" si="24"/>
        <v>14365674.53722652</v>
      </c>
    </row>
    <row r="74" spans="1:18">
      <c r="A74" s="40" t="s">
        <v>133</v>
      </c>
      <c r="B74" s="11" t="s">
        <v>134</v>
      </c>
      <c r="C74" s="95">
        <v>94.9</v>
      </c>
      <c r="D74" s="92">
        <v>-2.9652351699999999E-2</v>
      </c>
      <c r="E74" s="93">
        <v>40943897.176569127</v>
      </c>
      <c r="F74" s="35"/>
      <c r="G74" s="56" t="str">
        <f ca="1">IFERROR(OFFSET(INDIRECT($H$3 &amp; "!A179"), 18, 0), "")</f>
        <v>스팀달러</v>
      </c>
      <c r="H74" s="39">
        <f t="shared" ca="1" si="25"/>
        <v>9700</v>
      </c>
      <c r="I74" s="77">
        <f t="shared" ca="1" si="26"/>
        <v>-5.7337220600000002E-2</v>
      </c>
      <c r="J74" s="86">
        <f t="shared" ca="1" si="22"/>
        <v>6300371.1080382699</v>
      </c>
      <c r="K74" s="56" t="str">
        <f ca="1">IFERROR(OFFSET(INDIRECT($H$3 &amp; "!A125"), 18, 0), "")</f>
        <v>람다</v>
      </c>
      <c r="L74" s="39">
        <f t="shared" ca="1" si="18"/>
        <v>52.7</v>
      </c>
      <c r="M74" s="77">
        <f t="shared" ca="1" si="19"/>
        <v>-4.5289855099999998E-2</v>
      </c>
      <c r="N74" s="86">
        <f t="shared" ca="1" si="23"/>
        <v>58662173.171420619</v>
      </c>
      <c r="O74" s="56" t="str">
        <f ca="1">IFERROR(OFFSET(INDIRECT($H$3 &amp; "!A152"), 18, 0), "")</f>
        <v>솔브케어</v>
      </c>
      <c r="P74" s="39">
        <f t="shared" ca="1" si="20"/>
        <v>191</v>
      </c>
      <c r="Q74" s="77">
        <f t="shared" ca="1" si="21"/>
        <v>-4.4999999999999998E-2</v>
      </c>
      <c r="R74" s="86">
        <f t="shared" ca="1" si="24"/>
        <v>28766741.143145561</v>
      </c>
    </row>
    <row r="75" spans="1:18" ht="17.25" thickBot="1">
      <c r="A75" s="40" t="s">
        <v>215</v>
      </c>
      <c r="B75" s="11" t="s">
        <v>216</v>
      </c>
      <c r="C75" s="95">
        <v>287</v>
      </c>
      <c r="D75" s="92">
        <v>-3.0405405399999998E-2</v>
      </c>
      <c r="E75" s="93">
        <v>10276499.053614769</v>
      </c>
      <c r="F75" s="35"/>
      <c r="G75" s="57" t="str">
        <f ca="1">IFERROR(OFFSET(INDIRECT($H$3 &amp; "!A179"), 19, 0), "")</f>
        <v>헌트</v>
      </c>
      <c r="H75" s="37">
        <f t="shared" ca="1" si="25"/>
        <v>308</v>
      </c>
      <c r="I75" s="79">
        <f t="shared" ca="1" si="26"/>
        <v>-5.8103975500000002E-2</v>
      </c>
      <c r="J75" s="87">
        <f t="shared" ca="1" si="22"/>
        <v>28172137.118568439</v>
      </c>
      <c r="K75" s="57" t="str">
        <f ca="1">IFERROR(OFFSET(INDIRECT($H$3 &amp; "!A125"), 19, 0), "")</f>
        <v>트웰브쉽스</v>
      </c>
      <c r="L75" s="37">
        <f t="shared" ca="1" si="18"/>
        <v>14.7</v>
      </c>
      <c r="M75" s="79">
        <f t="shared" ca="1" si="19"/>
        <v>-5.1612903199999997E-2</v>
      </c>
      <c r="N75" s="87">
        <f t="shared" ca="1" si="23"/>
        <v>228619465.07469699</v>
      </c>
      <c r="O75" s="57" t="str">
        <f ca="1">IFERROR(OFFSET(INDIRECT($H$3 &amp; "!A152"), 19, 0), "")</f>
        <v>헌트</v>
      </c>
      <c r="P75" s="37">
        <f t="shared" ca="1" si="20"/>
        <v>308</v>
      </c>
      <c r="Q75" s="79">
        <f t="shared" ca="1" si="21"/>
        <v>-5.8103975500000002E-2</v>
      </c>
      <c r="R75" s="87">
        <f t="shared" ca="1" si="24"/>
        <v>28172137.118568439</v>
      </c>
    </row>
    <row r="76" spans="1:18">
      <c r="A76" s="40" t="s">
        <v>93</v>
      </c>
      <c r="B76" s="11" t="s">
        <v>94</v>
      </c>
      <c r="C76" s="95">
        <v>67300</v>
      </c>
      <c r="D76" s="92">
        <v>-3.0678381099999999E-2</v>
      </c>
      <c r="E76" s="93">
        <v>222642.08305709</v>
      </c>
      <c r="F76" s="35"/>
      <c r="G76" s="35"/>
      <c r="H76" s="35"/>
      <c r="I76" s="35"/>
    </row>
    <row r="77" spans="1:18">
      <c r="A77" s="40" t="s">
        <v>275</v>
      </c>
      <c r="B77" s="11" t="s">
        <v>276</v>
      </c>
      <c r="C77" s="95">
        <v>2875</v>
      </c>
      <c r="D77" s="92">
        <v>-3.1986531999999998E-2</v>
      </c>
      <c r="E77" s="93">
        <v>1880276.1553090999</v>
      </c>
      <c r="F77" s="35"/>
      <c r="G77" s="35"/>
      <c r="H77" s="35"/>
      <c r="I77" s="35"/>
    </row>
    <row r="78" spans="1:18">
      <c r="A78" s="40" t="s">
        <v>107</v>
      </c>
      <c r="B78" s="11" t="s">
        <v>108</v>
      </c>
      <c r="C78" s="95">
        <v>30840</v>
      </c>
      <c r="D78" s="92">
        <v>-3.26223338E-2</v>
      </c>
      <c r="E78" s="93">
        <v>217088.23306323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293</v>
      </c>
      <c r="D79" s="92">
        <v>-3.3003300300000003E-2</v>
      </c>
      <c r="E79" s="93">
        <v>7531992.4727673996</v>
      </c>
      <c r="F79" s="35"/>
      <c r="G79" s="35"/>
      <c r="H79" s="35"/>
      <c r="I79" s="35"/>
    </row>
    <row r="80" spans="1:18">
      <c r="A80" s="40" t="s">
        <v>255</v>
      </c>
      <c r="B80" s="11" t="s">
        <v>256</v>
      </c>
      <c r="C80" s="95">
        <v>174</v>
      </c>
      <c r="D80" s="92">
        <v>-3.3333333299999997E-2</v>
      </c>
      <c r="E80" s="93">
        <v>11432585.117594911</v>
      </c>
      <c r="F80" s="35"/>
      <c r="G80" s="35"/>
      <c r="H80" s="35"/>
      <c r="I80" s="35"/>
    </row>
    <row r="81" spans="1:9">
      <c r="A81" s="40" t="s">
        <v>249</v>
      </c>
      <c r="B81" s="11" t="s">
        <v>250</v>
      </c>
      <c r="C81" s="95">
        <v>115</v>
      </c>
      <c r="D81" s="92">
        <v>-3.3613445399999997E-2</v>
      </c>
      <c r="E81" s="93">
        <v>24317585.415144011</v>
      </c>
      <c r="F81" s="35"/>
      <c r="G81" s="35"/>
      <c r="H81" s="35"/>
      <c r="I81" s="35"/>
    </row>
    <row r="82" spans="1:9">
      <c r="A82" s="40" t="s">
        <v>281</v>
      </c>
      <c r="B82" s="11" t="s">
        <v>282</v>
      </c>
      <c r="C82" s="95">
        <v>113</v>
      </c>
      <c r="D82" s="92">
        <v>-3.4188034200000002E-2</v>
      </c>
      <c r="E82" s="93">
        <v>19479888.154383831</v>
      </c>
      <c r="F82" s="35"/>
      <c r="G82" s="35"/>
      <c r="H82" s="35"/>
      <c r="I82" s="35"/>
    </row>
    <row r="83" spans="1:9">
      <c r="A83" s="40" t="s">
        <v>213</v>
      </c>
      <c r="B83" s="11" t="s">
        <v>214</v>
      </c>
      <c r="C83" s="95">
        <v>14.1</v>
      </c>
      <c r="D83" s="92">
        <v>-3.4246575299999998E-2</v>
      </c>
      <c r="E83" s="93">
        <v>1293905916.4955781</v>
      </c>
      <c r="F83" s="35"/>
      <c r="G83" s="35"/>
      <c r="H83" s="35"/>
      <c r="I83" s="35"/>
    </row>
    <row r="84" spans="1:9">
      <c r="A84" s="40" t="s">
        <v>283</v>
      </c>
      <c r="B84" s="11" t="s">
        <v>284</v>
      </c>
      <c r="C84" s="95">
        <v>251</v>
      </c>
      <c r="D84" s="92">
        <v>-3.46153846E-2</v>
      </c>
      <c r="E84" s="93">
        <v>6520346.5676892698</v>
      </c>
      <c r="F84" s="35"/>
      <c r="G84" s="35"/>
      <c r="H84" s="35"/>
      <c r="I84" s="35"/>
    </row>
    <row r="85" spans="1:9">
      <c r="A85" s="40" t="s">
        <v>211</v>
      </c>
      <c r="B85" s="11" t="s">
        <v>212</v>
      </c>
      <c r="C85" s="95">
        <v>77.900000000000006</v>
      </c>
      <c r="D85" s="92">
        <v>-3.4696406399999997E-2</v>
      </c>
      <c r="E85" s="93">
        <v>149811356.0177947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331</v>
      </c>
      <c r="D86" s="92">
        <v>-3.4985422699999998E-2</v>
      </c>
      <c r="E86" s="93">
        <v>59060719.31540776</v>
      </c>
      <c r="F86" s="35"/>
      <c r="G86" s="35"/>
      <c r="H86" s="35"/>
      <c r="I86" s="35"/>
    </row>
    <row r="87" spans="1:9">
      <c r="A87" s="40" t="s">
        <v>185</v>
      </c>
      <c r="B87" s="11" t="s">
        <v>186</v>
      </c>
      <c r="C87" s="95">
        <v>13.4</v>
      </c>
      <c r="D87" s="92">
        <v>-3.5971222999999997E-2</v>
      </c>
      <c r="E87" s="93">
        <v>182241054.4058494</v>
      </c>
      <c r="F87" s="35"/>
      <c r="G87" s="35"/>
      <c r="H87" s="35"/>
      <c r="I87" s="35"/>
    </row>
    <row r="88" spans="1:9">
      <c r="A88" s="40" t="s">
        <v>227</v>
      </c>
      <c r="B88" s="11" t="s">
        <v>228</v>
      </c>
      <c r="C88" s="95">
        <v>10.7</v>
      </c>
      <c r="D88" s="92">
        <v>-3.6036036E-2</v>
      </c>
      <c r="E88" s="93">
        <v>475185142.67931676</v>
      </c>
      <c r="F88" s="35"/>
      <c r="G88" s="35"/>
      <c r="H88" s="35"/>
      <c r="I88" s="35"/>
    </row>
    <row r="89" spans="1:9">
      <c r="A89" s="40" t="s">
        <v>145</v>
      </c>
      <c r="B89" s="11" t="s">
        <v>146</v>
      </c>
      <c r="C89" s="95">
        <v>10150</v>
      </c>
      <c r="D89" s="92">
        <v>-3.6087369399999999E-2</v>
      </c>
      <c r="E89" s="93">
        <v>579939.77964466996</v>
      </c>
      <c r="F89" s="35"/>
      <c r="G89" s="35"/>
      <c r="H89" s="35"/>
      <c r="I89" s="35"/>
    </row>
    <row r="90" spans="1:9">
      <c r="A90" s="40" t="s">
        <v>169</v>
      </c>
      <c r="B90" s="11" t="s">
        <v>170</v>
      </c>
      <c r="C90" s="95">
        <v>290</v>
      </c>
      <c r="D90" s="92">
        <v>-3.6544850500000003E-2</v>
      </c>
      <c r="E90" s="93">
        <v>5835030.3643725105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5">
        <v>209</v>
      </c>
      <c r="D91" s="92">
        <v>-3.68663594E-2</v>
      </c>
      <c r="E91" s="93">
        <v>8404172.1716333404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5">
        <v>52.2</v>
      </c>
      <c r="D92" s="92">
        <v>-3.6900369000000002E-2</v>
      </c>
      <c r="E92" s="93">
        <v>64297116.521781988</v>
      </c>
      <c r="F92" s="35"/>
      <c r="G92" s="35"/>
      <c r="H92" s="35"/>
      <c r="I92" s="35"/>
    </row>
    <row r="93" spans="1:9">
      <c r="A93" s="40" t="s">
        <v>257</v>
      </c>
      <c r="B93" s="11" t="s">
        <v>258</v>
      </c>
      <c r="C93" s="95">
        <v>494</v>
      </c>
      <c r="D93" s="92">
        <v>-3.7037037000000002E-2</v>
      </c>
      <c r="E93" s="93">
        <v>6384003.5512936004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5">
        <v>1940</v>
      </c>
      <c r="D94" s="92">
        <v>-3.7220843699999999E-2</v>
      </c>
      <c r="E94" s="93">
        <v>3079011.61079473</v>
      </c>
      <c r="F94" s="35"/>
      <c r="G94" s="35"/>
      <c r="H94" s="35"/>
      <c r="I94" s="35"/>
    </row>
    <row r="95" spans="1:9">
      <c r="A95" s="40" t="s">
        <v>265</v>
      </c>
      <c r="B95" s="11" t="s">
        <v>266</v>
      </c>
      <c r="C95" s="95">
        <v>58.5</v>
      </c>
      <c r="D95" s="92">
        <v>-3.78289474E-2</v>
      </c>
      <c r="E95" s="93">
        <v>50307649.07410647</v>
      </c>
      <c r="F95" s="35"/>
      <c r="G95" s="35"/>
      <c r="H95" s="35"/>
      <c r="I95" s="35"/>
    </row>
    <row r="96" spans="1:9">
      <c r="A96" s="40" t="s">
        <v>253</v>
      </c>
      <c r="B96" s="11" t="s">
        <v>254</v>
      </c>
      <c r="C96" s="95">
        <v>52.2</v>
      </c>
      <c r="D96" s="92">
        <v>-3.8674033099999998E-2</v>
      </c>
      <c r="E96" s="93">
        <v>75847553.575340763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5">
        <v>124</v>
      </c>
      <c r="D97" s="92">
        <v>-3.8759689899999998E-2</v>
      </c>
      <c r="E97" s="93">
        <v>29448780.632029701</v>
      </c>
      <c r="F97" s="35"/>
      <c r="G97" s="35"/>
      <c r="H97" s="35"/>
      <c r="I97" s="35"/>
    </row>
    <row r="98" spans="1:9">
      <c r="A98" s="40" t="s">
        <v>263</v>
      </c>
      <c r="B98" s="11" t="s">
        <v>264</v>
      </c>
      <c r="C98" s="95">
        <v>88.7</v>
      </c>
      <c r="D98" s="92">
        <v>-3.90032503E-2</v>
      </c>
      <c r="E98" s="93">
        <v>24188725.192161601</v>
      </c>
      <c r="F98" s="35"/>
      <c r="G98" s="35"/>
      <c r="H98" s="35"/>
      <c r="I98" s="35"/>
    </row>
    <row r="99" spans="1:9">
      <c r="A99" s="40" t="s">
        <v>201</v>
      </c>
      <c r="B99" s="11" t="s">
        <v>202</v>
      </c>
      <c r="C99" s="95">
        <v>120</v>
      </c>
      <c r="D99" s="92">
        <v>-0.04</v>
      </c>
      <c r="E99" s="93">
        <v>48210264.221073069</v>
      </c>
      <c r="F99" s="35"/>
      <c r="G99" s="35"/>
      <c r="H99" s="35"/>
      <c r="I99" s="35"/>
    </row>
    <row r="100" spans="1:9">
      <c r="A100" s="40" t="s">
        <v>66</v>
      </c>
      <c r="B100" s="11" t="s">
        <v>67</v>
      </c>
      <c r="C100" s="95">
        <v>5470</v>
      </c>
      <c r="D100" s="92">
        <v>-4.0350877200000003E-2</v>
      </c>
      <c r="E100" s="93">
        <v>718463.00325153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5">
        <v>16.600000000000001</v>
      </c>
      <c r="D101" s="92">
        <v>-4.0462427699999998E-2</v>
      </c>
      <c r="E101" s="93">
        <v>203482822.63957587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113</v>
      </c>
      <c r="D102" s="92">
        <v>-4.23728814E-2</v>
      </c>
      <c r="E102" s="93">
        <v>56472756.800068177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291</v>
      </c>
      <c r="D103" s="92">
        <v>-4.2763157900000001E-2</v>
      </c>
      <c r="E103" s="93">
        <v>9710508.5955919791</v>
      </c>
      <c r="F103" s="35"/>
      <c r="G103" s="35"/>
      <c r="H103" s="35"/>
      <c r="I103" s="35"/>
    </row>
    <row r="104" spans="1:9">
      <c r="A104" s="40" t="s">
        <v>71</v>
      </c>
      <c r="B104" s="11" t="s">
        <v>72</v>
      </c>
      <c r="C104" s="95">
        <v>20.100000000000001</v>
      </c>
      <c r="D104" s="92">
        <v>-4.2857142899999999E-2</v>
      </c>
      <c r="E104" s="93">
        <v>154488982.76500434</v>
      </c>
      <c r="F104" s="35"/>
      <c r="G104" s="35"/>
      <c r="H104" s="35"/>
      <c r="I104" s="35"/>
    </row>
    <row r="105" spans="1:9">
      <c r="A105" s="40" t="s">
        <v>193</v>
      </c>
      <c r="B105" s="11" t="s">
        <v>194</v>
      </c>
      <c r="C105" s="95">
        <v>8400</v>
      </c>
      <c r="D105" s="92">
        <v>-4.3280182200000003E-2</v>
      </c>
      <c r="E105" s="93">
        <v>1710847.1162261099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131</v>
      </c>
      <c r="D106" s="92">
        <v>-4.3795620399999999E-2</v>
      </c>
      <c r="E106" s="93">
        <v>36329610.725401662</v>
      </c>
      <c r="F106" s="35"/>
      <c r="G106" s="35"/>
      <c r="H106" s="35"/>
      <c r="I106" s="35"/>
    </row>
    <row r="107" spans="1:9">
      <c r="A107" s="40" t="s">
        <v>279</v>
      </c>
      <c r="B107" s="11" t="s">
        <v>280</v>
      </c>
      <c r="C107" s="95">
        <v>1085</v>
      </c>
      <c r="D107" s="92">
        <v>-4.4052863400000003E-2</v>
      </c>
      <c r="E107" s="93">
        <v>11868276.173368299</v>
      </c>
      <c r="F107" s="35"/>
      <c r="G107" s="35"/>
      <c r="H107" s="35"/>
      <c r="I107" s="35"/>
    </row>
    <row r="108" spans="1:9">
      <c r="A108" s="40" t="s">
        <v>233</v>
      </c>
      <c r="B108" s="11" t="s">
        <v>234</v>
      </c>
      <c r="C108" s="95">
        <v>845</v>
      </c>
      <c r="D108" s="92">
        <v>-4.4117647099999997E-2</v>
      </c>
      <c r="E108" s="93">
        <v>4858072.0083096595</v>
      </c>
      <c r="F108" s="35"/>
      <c r="G108" s="35"/>
      <c r="H108" s="35"/>
      <c r="I108" s="35"/>
    </row>
    <row r="109" spans="1:9">
      <c r="A109" s="40" t="s">
        <v>251</v>
      </c>
      <c r="B109" s="11" t="s">
        <v>252</v>
      </c>
      <c r="C109" s="95">
        <v>303</v>
      </c>
      <c r="D109" s="92">
        <v>-4.4164037900000001E-2</v>
      </c>
      <c r="E109" s="41">
        <v>14365674.53722652</v>
      </c>
    </row>
    <row r="110" spans="1:9">
      <c r="A110" s="40" t="s">
        <v>219</v>
      </c>
      <c r="B110" s="11" t="s">
        <v>220</v>
      </c>
      <c r="C110" s="95">
        <v>10.7</v>
      </c>
      <c r="D110" s="92">
        <v>-4.4642857100000002E-2</v>
      </c>
      <c r="E110" s="41">
        <v>216283793.2439383</v>
      </c>
    </row>
    <row r="111" spans="1:9">
      <c r="A111" s="40" t="s">
        <v>237</v>
      </c>
      <c r="B111" s="11" t="s">
        <v>238</v>
      </c>
      <c r="C111" s="95">
        <v>191</v>
      </c>
      <c r="D111" s="92">
        <v>-4.4999999999999998E-2</v>
      </c>
      <c r="E111" s="41">
        <v>28766741.143145561</v>
      </c>
    </row>
    <row r="112" spans="1:9">
      <c r="A112" s="40" t="s">
        <v>163</v>
      </c>
      <c r="B112" s="11" t="s">
        <v>164</v>
      </c>
      <c r="C112" s="95">
        <v>15480</v>
      </c>
      <c r="D112" s="92">
        <v>-4.5033929700000003E-2</v>
      </c>
      <c r="E112" s="41">
        <v>2141651.5146195702</v>
      </c>
    </row>
    <row r="113" spans="1:5">
      <c r="A113" s="40" t="s">
        <v>267</v>
      </c>
      <c r="B113" s="11" t="s">
        <v>268</v>
      </c>
      <c r="C113" s="95">
        <v>52.7</v>
      </c>
      <c r="D113" s="92">
        <v>-4.5289855099999998E-2</v>
      </c>
      <c r="E113" s="41">
        <v>58662173.171420619</v>
      </c>
    </row>
    <row r="114" spans="1:5">
      <c r="A114" s="40" t="s">
        <v>123</v>
      </c>
      <c r="B114" s="11" t="s">
        <v>124</v>
      </c>
      <c r="C114" s="95">
        <v>3880</v>
      </c>
      <c r="D114" s="92">
        <v>-4.9019607799999997E-2</v>
      </c>
      <c r="E114" s="41">
        <v>4411974.52827961</v>
      </c>
    </row>
    <row r="115" spans="1:5">
      <c r="A115" s="40" t="s">
        <v>171</v>
      </c>
      <c r="B115" s="11" t="s">
        <v>172</v>
      </c>
      <c r="C115" s="95">
        <v>14.7</v>
      </c>
      <c r="D115" s="92">
        <v>-5.1612903199999997E-2</v>
      </c>
      <c r="E115" s="41">
        <v>228619465.07469699</v>
      </c>
    </row>
    <row r="116" spans="1:5">
      <c r="A116" s="40" t="s">
        <v>191</v>
      </c>
      <c r="B116" s="11" t="s">
        <v>192</v>
      </c>
      <c r="C116" s="95">
        <v>1190</v>
      </c>
      <c r="D116" s="92">
        <v>-5.1792828700000001E-2</v>
      </c>
      <c r="E116" s="41">
        <v>15597724.744063901</v>
      </c>
    </row>
    <row r="117" spans="1:5">
      <c r="A117" s="40" t="s">
        <v>273</v>
      </c>
      <c r="B117" s="11" t="s">
        <v>274</v>
      </c>
      <c r="C117" s="95">
        <v>9700</v>
      </c>
      <c r="D117" s="92">
        <v>-5.7337220600000002E-2</v>
      </c>
      <c r="E117" s="41">
        <v>6300371.1080382699</v>
      </c>
    </row>
    <row r="118" spans="1:5">
      <c r="A118" s="40" t="s">
        <v>245</v>
      </c>
      <c r="B118" s="11" t="s">
        <v>246</v>
      </c>
      <c r="C118" s="95">
        <v>308</v>
      </c>
      <c r="D118" s="92">
        <v>-5.8103975500000002E-2</v>
      </c>
      <c r="E118" s="41">
        <v>28172137.118568439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" xr:uid="{B76804CE-6204-4021-A059-5972E917F40D}">
    <sortState xmlns:xlrd2="http://schemas.microsoft.com/office/spreadsheetml/2017/richdata2" ref="A2:D118">
      <sortCondition descending="1" ref="D1"/>
    </sortState>
  </autoFilter>
  <mergeCells count="41">
    <mergeCell ref="H16:I16"/>
    <mergeCell ref="K4:K5"/>
    <mergeCell ref="O4:O5"/>
    <mergeCell ref="G13:I13"/>
    <mergeCell ref="G7:I8"/>
    <mergeCell ref="G14:I15"/>
    <mergeCell ref="H10:I11"/>
    <mergeCell ref="G3:G4"/>
    <mergeCell ref="H3:I4"/>
    <mergeCell ref="G6:I6"/>
    <mergeCell ref="H9:I9"/>
    <mergeCell ref="G10:G11"/>
    <mergeCell ref="L29:N29"/>
    <mergeCell ref="P4:R4"/>
    <mergeCell ref="O3:R3"/>
    <mergeCell ref="L4:N4"/>
    <mergeCell ref="K3:N3"/>
    <mergeCell ref="P29:R29"/>
    <mergeCell ref="P54:R54"/>
    <mergeCell ref="O53:R53"/>
    <mergeCell ref="L54:N54"/>
    <mergeCell ref="K53:N53"/>
    <mergeCell ref="H54:J54"/>
    <mergeCell ref="G53:J53"/>
    <mergeCell ref="G54:G55"/>
    <mergeCell ref="G17:G18"/>
    <mergeCell ref="H17:I18"/>
    <mergeCell ref="K54:K55"/>
    <mergeCell ref="O54:O55"/>
    <mergeCell ref="K28:N28"/>
    <mergeCell ref="H29:J29"/>
    <mergeCell ref="G28:J28"/>
    <mergeCell ref="G20:I20"/>
    <mergeCell ref="G21:I22"/>
    <mergeCell ref="H23:I23"/>
    <mergeCell ref="G24:G25"/>
    <mergeCell ref="H24:I25"/>
    <mergeCell ref="G29:G30"/>
    <mergeCell ref="K29:K30"/>
    <mergeCell ref="O29:O30"/>
    <mergeCell ref="O28:R28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9" r:id="rId4" name="Button 7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5" name="Button 3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209550</xdr:rowOff>
                  </from>
                  <to>
                    <xdr:col>22</xdr:col>
                    <xdr:colOff>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6" name="Button 2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209550</xdr:rowOff>
                  </from>
                  <to>
                    <xdr:col>22</xdr:col>
                    <xdr:colOff>0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0" r:id="rId7" name="Button 8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10</xdr:row>
                    <xdr:rowOff>209550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3" r:id="rId8" name="Button 1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A5FE7E-15F0-4579-9DCB-44A49FC7D995}">
  <sheetPr codeName="Sheet2"/>
  <dimension ref="A1:R200"/>
  <sheetViews>
    <sheetView topLeftCell="D1" workbookViewId="0">
      <selection activeCell="K3" sqref="K3:N25"/>
    </sheetView>
  </sheetViews>
  <sheetFormatPr defaultRowHeight="16.5"/>
  <cols>
    <col min="1" max="1" width="13.5" bestFit="1" customWidth="1"/>
    <col min="2" max="2" width="18.5" style="10" customWidth="1"/>
    <col min="3" max="3" width="18" bestFit="1" customWidth="1"/>
    <col min="4" max="4" width="13.25" style="34" bestFit="1" customWidth="1"/>
    <col min="7" max="7" width="17.375" customWidth="1"/>
    <col min="8" max="8" width="17.5" bestFit="1" customWidth="1"/>
    <col min="10" max="10" width="9" style="75"/>
    <col min="11" max="11" width="17.375" customWidth="1"/>
    <col min="12" max="12" width="17.5" bestFit="1" customWidth="1"/>
    <col min="14" max="14" width="9" style="75"/>
    <col min="15" max="15" width="17.375" customWidth="1"/>
    <col min="16" max="16" width="17.5" bestFit="1" customWidth="1"/>
    <col min="18" max="18" width="9" style="75"/>
  </cols>
  <sheetData>
    <row r="1" spans="1:18" ht="17.25" thickBot="1">
      <c r="A1" s="67" t="s">
        <v>287</v>
      </c>
      <c r="B1" s="69" t="s">
        <v>39</v>
      </c>
      <c r="C1" s="68" t="s">
        <v>37</v>
      </c>
      <c r="D1" s="70" t="s">
        <v>38</v>
      </c>
      <c r="E1" s="91" t="s">
        <v>294</v>
      </c>
    </row>
    <row r="2" spans="1:18" ht="17.25" thickBot="1">
      <c r="A2" s="40" t="s">
        <v>91</v>
      </c>
      <c r="B2" s="11" t="s">
        <v>92</v>
      </c>
      <c r="C2" s="95">
        <v>1180</v>
      </c>
      <c r="D2" s="92">
        <v>7.7625570800000002E-2</v>
      </c>
      <c r="E2" s="93">
        <v>1114415841.2694287</v>
      </c>
      <c r="F2" s="35"/>
      <c r="G2" s="54"/>
      <c r="H2" s="35"/>
      <c r="I2" s="35"/>
    </row>
    <row r="3" spans="1:18" ht="17.25" thickBot="1">
      <c r="A3" s="40" t="s">
        <v>119</v>
      </c>
      <c r="B3" s="11" t="s">
        <v>120</v>
      </c>
      <c r="C3" s="95">
        <v>146</v>
      </c>
      <c r="D3" s="92">
        <v>7.35294118E-2</v>
      </c>
      <c r="E3" s="93">
        <v>120124398.1294052</v>
      </c>
      <c r="F3" s="35"/>
      <c r="G3" s="227" t="s">
        <v>290</v>
      </c>
      <c r="H3" s="239" t="s">
        <v>359</v>
      </c>
      <c r="I3" s="239"/>
      <c r="K3" s="183" t="s">
        <v>34</v>
      </c>
      <c r="L3" s="184"/>
      <c r="M3" s="184"/>
      <c r="N3" s="185"/>
      <c r="O3" s="183" t="s">
        <v>291</v>
      </c>
      <c r="P3" s="184"/>
      <c r="Q3" s="184"/>
      <c r="R3" s="185"/>
    </row>
    <row r="4" spans="1:18" ht="17.25" thickBot="1">
      <c r="A4" s="40" t="s">
        <v>131</v>
      </c>
      <c r="B4" s="11" t="s">
        <v>132</v>
      </c>
      <c r="C4" s="95">
        <v>139</v>
      </c>
      <c r="D4" s="92">
        <v>6.10687023E-2</v>
      </c>
      <c r="E4" s="93">
        <v>1344297145.0314789</v>
      </c>
      <c r="F4" s="35"/>
      <c r="G4" s="228"/>
      <c r="H4" s="240"/>
      <c r="I4" s="240"/>
      <c r="K4" s="220" t="s">
        <v>55</v>
      </c>
      <c r="L4" s="236">
        <f ca="1">NOW()</f>
        <v>44348.005391782404</v>
      </c>
      <c r="M4" s="237"/>
      <c r="N4" s="238"/>
      <c r="O4" s="235" t="s">
        <v>55</v>
      </c>
      <c r="P4" s="236">
        <f ca="1">NOW()</f>
        <v>44348.005391782404</v>
      </c>
      <c r="Q4" s="237"/>
      <c r="R4" s="238"/>
    </row>
    <row r="5" spans="1:18" ht="17.25" thickBot="1">
      <c r="A5" s="40" t="s">
        <v>75</v>
      </c>
      <c r="B5" s="11" t="s">
        <v>76</v>
      </c>
      <c r="C5" s="95">
        <v>34270</v>
      </c>
      <c r="D5" s="92">
        <v>5.2518427499999999E-2</v>
      </c>
      <c r="E5" s="93">
        <v>1531837.5255949099</v>
      </c>
      <c r="F5" s="35"/>
      <c r="K5" s="228"/>
      <c r="L5" s="51" t="s">
        <v>58</v>
      </c>
      <c r="M5" s="73" t="s">
        <v>59</v>
      </c>
      <c r="N5" s="69" t="s">
        <v>294</v>
      </c>
      <c r="O5" s="206"/>
      <c r="P5" s="51" t="s">
        <v>58</v>
      </c>
      <c r="Q5" s="73" t="s">
        <v>59</v>
      </c>
      <c r="R5" s="91" t="s">
        <v>294</v>
      </c>
    </row>
    <row r="6" spans="1:18" ht="17.25" thickBot="1">
      <c r="A6" s="40" t="s">
        <v>95</v>
      </c>
      <c r="B6" s="11" t="s">
        <v>96</v>
      </c>
      <c r="C6" s="95">
        <v>3015000</v>
      </c>
      <c r="D6" s="92">
        <v>4.1450777199999997E-2</v>
      </c>
      <c r="E6" s="93">
        <v>201219.80930652001</v>
      </c>
      <c r="F6" s="35"/>
      <c r="G6" s="183" t="s">
        <v>52</v>
      </c>
      <c r="H6" s="184"/>
      <c r="I6" s="185"/>
      <c r="K6" s="55" t="str">
        <f ca="1">IFERROR(OFFSET(INDIRECT($H$3 &amp; "!A17"), 0, 0), "")</f>
        <v>오브스</v>
      </c>
      <c r="L6" s="38">
        <f t="shared" ref="L6:L25" ca="1" si="0">_xlfn.IFNA(VLOOKUP(K6, $B$2:$D$200, 2, FALSE), "")</f>
        <v>94.9</v>
      </c>
      <c r="M6" s="76">
        <f t="shared" ref="M6:M25" ca="1" si="1">_xlfn.IFNA(VLOOKUP(K6, $B$2:$D$200, 3, FALSE), "")</f>
        <v>-2.9652351699999999E-2</v>
      </c>
      <c r="N6" s="85">
        <f ca="1">_xlfn.IFNA(VLOOKUP(K6, $B$2:$E$200, 4, FALSE), "")</f>
        <v>40943897.176569127</v>
      </c>
      <c r="O6" s="72" t="s">
        <v>92</v>
      </c>
      <c r="P6" s="38">
        <f t="shared" ref="P6:P25" si="2">_xlfn.IFNA(VLOOKUP(O6, $B$2:$D$200, 2, FALSE), "")</f>
        <v>1180</v>
      </c>
      <c r="Q6" s="76">
        <f t="shared" ref="Q6:Q25" si="3">_xlfn.IFNA(VLOOKUP(O6, $B$2:$D$200, 3, FALSE), "")</f>
        <v>7.7625570800000002E-2</v>
      </c>
      <c r="R6" s="85">
        <f>_xlfn.IFNA(VLOOKUP(O6, $B$2:$E$200, 4, FALSE), "")</f>
        <v>1114415841.2694287</v>
      </c>
    </row>
    <row r="7" spans="1:18">
      <c r="A7" s="40" t="s">
        <v>157</v>
      </c>
      <c r="B7" s="11" t="s">
        <v>158</v>
      </c>
      <c r="C7" s="95">
        <v>5720</v>
      </c>
      <c r="D7" s="92">
        <v>0.04</v>
      </c>
      <c r="E7" s="93">
        <v>20417118.29620764</v>
      </c>
      <c r="F7" s="35"/>
      <c r="G7" s="211" t="s">
        <v>36</v>
      </c>
      <c r="H7" s="212"/>
      <c r="I7" s="213"/>
      <c r="K7" s="56" t="str">
        <f ca="1">IFERROR(OFFSET(INDIRECT($H$3 &amp; "!A17"), 1, 0), "")</f>
        <v>크립토닷컴체인</v>
      </c>
      <c r="L7" s="39">
        <f t="shared" ca="1" si="0"/>
        <v>146</v>
      </c>
      <c r="M7" s="77">
        <f t="shared" ca="1" si="1"/>
        <v>7.35294118E-2</v>
      </c>
      <c r="N7" s="86">
        <f t="shared" ref="N7:N25" ca="1" si="4">_xlfn.IFNA(VLOOKUP(K7, $B$2:$E$200, 4, FALSE), "")</f>
        <v>120124398.1294052</v>
      </c>
      <c r="O7" s="88" t="s">
        <v>120</v>
      </c>
      <c r="P7" s="39">
        <f t="shared" si="2"/>
        <v>146</v>
      </c>
      <c r="Q7" s="77">
        <f t="shared" si="3"/>
        <v>7.35294118E-2</v>
      </c>
      <c r="R7" s="86">
        <f t="shared" ref="R7:R25" si="5">_xlfn.IFNA(VLOOKUP(O7, $B$2:$E$200, 4, FALSE), "")</f>
        <v>120124398.1294052</v>
      </c>
    </row>
    <row r="8" spans="1:18" ht="17.25" thickBot="1">
      <c r="A8" s="40" t="s">
        <v>73</v>
      </c>
      <c r="B8" s="11" t="s">
        <v>74</v>
      </c>
      <c r="C8" s="95">
        <v>15830</v>
      </c>
      <c r="D8" s="92">
        <v>3.6673215500000002E-2</v>
      </c>
      <c r="E8" s="93">
        <v>381092.37674819998</v>
      </c>
      <c r="F8" s="35"/>
      <c r="G8" s="204"/>
      <c r="H8" s="205"/>
      <c r="I8" s="206"/>
      <c r="K8" s="56" t="str">
        <f ca="1">IFERROR(OFFSET(INDIRECT($H$3 &amp; "!A17"), 2, 0), "")</f>
        <v>헌트</v>
      </c>
      <c r="L8" s="39">
        <f t="shared" ca="1" si="0"/>
        <v>308</v>
      </c>
      <c r="M8" s="77">
        <f t="shared" ca="1" si="1"/>
        <v>-5.8103975500000002E-2</v>
      </c>
      <c r="N8" s="86">
        <f t="shared" ca="1" si="4"/>
        <v>28172137.118568439</v>
      </c>
      <c r="O8" s="88" t="s">
        <v>132</v>
      </c>
      <c r="P8" s="39">
        <f t="shared" si="2"/>
        <v>139</v>
      </c>
      <c r="Q8" s="77">
        <f t="shared" si="3"/>
        <v>6.10687023E-2</v>
      </c>
      <c r="R8" s="86">
        <f t="shared" si="5"/>
        <v>1344297145.0314789</v>
      </c>
    </row>
    <row r="9" spans="1:18" ht="17.25" thickBot="1">
      <c r="A9" s="40" t="s">
        <v>147</v>
      </c>
      <c r="B9" s="11" t="s">
        <v>148</v>
      </c>
      <c r="C9" s="95">
        <v>125</v>
      </c>
      <c r="D9" s="92">
        <v>3.3057851200000002E-2</v>
      </c>
      <c r="E9" s="93">
        <v>28811635.008600581</v>
      </c>
      <c r="F9" s="35"/>
      <c r="G9" s="50" t="s">
        <v>38</v>
      </c>
      <c r="H9" s="184" t="s">
        <v>37</v>
      </c>
      <c r="I9" s="185"/>
      <c r="K9" s="56" t="str">
        <f ca="1">IFERROR(OFFSET(INDIRECT($H$3 &amp; "!A17"), 3, 0), "")</f>
        <v>디카르고</v>
      </c>
      <c r="L9" s="39">
        <f t="shared" ca="1" si="0"/>
        <v>161</v>
      </c>
      <c r="M9" s="77">
        <f t="shared" ca="1" si="1"/>
        <v>-2.4242424200000001E-2</v>
      </c>
      <c r="N9" s="86">
        <f t="shared" ca="1" si="4"/>
        <v>29203172.02922079</v>
      </c>
      <c r="O9" s="88" t="s">
        <v>76</v>
      </c>
      <c r="P9" s="39">
        <f t="shared" si="2"/>
        <v>34270</v>
      </c>
      <c r="Q9" s="77">
        <f t="shared" si="3"/>
        <v>5.2518427499999999E-2</v>
      </c>
      <c r="R9" s="86">
        <f t="shared" si="5"/>
        <v>1531837.5255949099</v>
      </c>
    </row>
    <row r="10" spans="1:18">
      <c r="A10" s="40" t="s">
        <v>129</v>
      </c>
      <c r="B10" s="11" t="s">
        <v>130</v>
      </c>
      <c r="C10" s="95">
        <v>213200</v>
      </c>
      <c r="D10" s="92">
        <v>3.14465409E-2</v>
      </c>
      <c r="E10" s="93">
        <v>138061.36775929999</v>
      </c>
      <c r="F10" s="35"/>
      <c r="G10" s="229">
        <f>_xlfn.IFNA(VLOOKUP(G7, $B$2:$D$200, 3, FALSE), "-")</f>
        <v>8.5693770000000002E-4</v>
      </c>
      <c r="H10" s="231">
        <f>_xlfn.IFNA(VLOOKUP(G7, $B$2:$D$200, 2, FALSE), "-")</f>
        <v>43214000</v>
      </c>
      <c r="I10" s="232"/>
      <c r="K10" s="58" t="str">
        <f ca="1">IFERROR(OFFSET(INDIRECT($H$3 &amp; "!A17"), 4, 0), "")</f>
        <v>메타디움</v>
      </c>
      <c r="L10" s="44">
        <f t="shared" ca="1" si="0"/>
        <v>120</v>
      </c>
      <c r="M10" s="78">
        <f t="shared" ca="1" si="1"/>
        <v>-0.04</v>
      </c>
      <c r="N10" s="90">
        <f t="shared" ca="1" si="4"/>
        <v>48210264.221073069</v>
      </c>
      <c r="O10" s="88" t="s">
        <v>96</v>
      </c>
      <c r="P10" s="39">
        <f t="shared" si="2"/>
        <v>3015000</v>
      </c>
      <c r="Q10" s="77">
        <f t="shared" si="3"/>
        <v>4.1450777199999997E-2</v>
      </c>
      <c r="R10" s="90">
        <f t="shared" si="5"/>
        <v>201219.80930652001</v>
      </c>
    </row>
    <row r="11" spans="1:18" ht="17.25" thickBot="1">
      <c r="A11" s="40" t="s">
        <v>167</v>
      </c>
      <c r="B11" s="11" t="s">
        <v>168</v>
      </c>
      <c r="C11" s="95">
        <v>107</v>
      </c>
      <c r="D11" s="92">
        <v>2.88461538E-2</v>
      </c>
      <c r="E11" s="93">
        <v>294092653.98936844</v>
      </c>
      <c r="F11" s="35"/>
      <c r="G11" s="230"/>
      <c r="H11" s="233"/>
      <c r="I11" s="234"/>
      <c r="K11" s="56" t="str">
        <f ca="1">IFERROR(OFFSET(INDIRECT($H$3 &amp; "!A17"), 5, 0), "")</f>
        <v>메디블록</v>
      </c>
      <c r="L11" s="39">
        <f t="shared" ca="1" si="0"/>
        <v>77.900000000000006</v>
      </c>
      <c r="M11" s="77">
        <f t="shared" ca="1" si="1"/>
        <v>-3.4696406399999997E-2</v>
      </c>
      <c r="N11" s="99">
        <f t="shared" ca="1" si="4"/>
        <v>149811356.0177947</v>
      </c>
      <c r="O11" s="89" t="s">
        <v>158</v>
      </c>
      <c r="P11" s="45">
        <f t="shared" si="2"/>
        <v>5720</v>
      </c>
      <c r="Q11" s="80">
        <f t="shared" si="3"/>
        <v>0.04</v>
      </c>
      <c r="R11" s="99">
        <f t="shared" si="5"/>
        <v>20417118.29620764</v>
      </c>
    </row>
    <row r="12" spans="1:18" ht="17.25" thickBot="1">
      <c r="A12" s="40" t="s">
        <v>117</v>
      </c>
      <c r="B12" s="11" t="s">
        <v>118</v>
      </c>
      <c r="C12" s="95">
        <v>4065</v>
      </c>
      <c r="D12" s="92">
        <v>2.7812895099999999E-2</v>
      </c>
      <c r="E12" s="93">
        <v>598625.54548216995</v>
      </c>
      <c r="F12" s="35"/>
      <c r="K12" s="56">
        <f ca="1">IFERROR(OFFSET(INDIRECT($H$3 &amp; "!A17"), 6, 0), "")</f>
        <v>0</v>
      </c>
      <c r="L12" s="39" t="str">
        <f t="shared" ca="1" si="0"/>
        <v/>
      </c>
      <c r="M12" s="77" t="str">
        <f t="shared" ca="1" si="1"/>
        <v/>
      </c>
      <c r="N12" s="86" t="str">
        <f t="shared" ca="1" si="4"/>
        <v/>
      </c>
      <c r="O12" s="88" t="s">
        <v>74</v>
      </c>
      <c r="P12" s="39">
        <f t="shared" si="2"/>
        <v>15830</v>
      </c>
      <c r="Q12" s="77">
        <f t="shared" si="3"/>
        <v>3.6673215500000002E-2</v>
      </c>
      <c r="R12" s="86">
        <f t="shared" si="5"/>
        <v>381092.37674819998</v>
      </c>
    </row>
    <row r="13" spans="1:18" ht="17.25" thickBot="1">
      <c r="A13" s="40" t="s">
        <v>125</v>
      </c>
      <c r="B13" s="11" t="s">
        <v>126</v>
      </c>
      <c r="C13" s="95">
        <v>29.9</v>
      </c>
      <c r="D13" s="92">
        <v>2.74914089E-2</v>
      </c>
      <c r="E13" s="93">
        <v>299844279.96223503</v>
      </c>
      <c r="F13" s="35"/>
      <c r="G13" s="183" t="s">
        <v>70</v>
      </c>
      <c r="H13" s="184"/>
      <c r="I13" s="185"/>
      <c r="K13" s="56">
        <f ca="1">IFERROR(OFFSET(INDIRECT($H$3 &amp; "!A17"), 7, 0), "")</f>
        <v>0</v>
      </c>
      <c r="L13" s="39" t="str">
        <f t="shared" ca="1" si="0"/>
        <v/>
      </c>
      <c r="M13" s="77" t="str">
        <f t="shared" ca="1" si="1"/>
        <v/>
      </c>
      <c r="N13" s="86" t="str">
        <f t="shared" ca="1" si="4"/>
        <v/>
      </c>
      <c r="O13" s="88" t="s">
        <v>148</v>
      </c>
      <c r="P13" s="39">
        <f t="shared" si="2"/>
        <v>125</v>
      </c>
      <c r="Q13" s="77">
        <f t="shared" si="3"/>
        <v>3.3057851200000002E-2</v>
      </c>
      <c r="R13" s="86">
        <f t="shared" si="5"/>
        <v>28811635.008600581</v>
      </c>
    </row>
    <row r="14" spans="1:18">
      <c r="A14" s="40" t="s">
        <v>165</v>
      </c>
      <c r="B14" s="11" t="s">
        <v>166</v>
      </c>
      <c r="C14" s="95">
        <v>1270</v>
      </c>
      <c r="D14" s="92">
        <v>2.4193548400000001E-2</v>
      </c>
      <c r="E14" s="93">
        <v>2290073.7515430599</v>
      </c>
      <c r="F14" s="35"/>
      <c r="G14" s="211" t="s">
        <v>36</v>
      </c>
      <c r="H14" s="212"/>
      <c r="I14" s="213"/>
      <c r="K14" s="56">
        <f ca="1">IFERROR(OFFSET(INDIRECT($H$3 &amp; "!A17"), 8, 0), "")</f>
        <v>0</v>
      </c>
      <c r="L14" s="39" t="str">
        <f t="shared" ca="1" si="0"/>
        <v/>
      </c>
      <c r="M14" s="77" t="str">
        <f t="shared" ca="1" si="1"/>
        <v/>
      </c>
      <c r="N14" s="86" t="str">
        <f t="shared" ca="1" si="4"/>
        <v/>
      </c>
      <c r="O14" s="88" t="s">
        <v>130</v>
      </c>
      <c r="P14" s="39">
        <f t="shared" si="2"/>
        <v>213200</v>
      </c>
      <c r="Q14" s="77">
        <f t="shared" si="3"/>
        <v>3.14465409E-2</v>
      </c>
      <c r="R14" s="86">
        <f t="shared" si="5"/>
        <v>138061.36775929999</v>
      </c>
    </row>
    <row r="15" spans="1:18" ht="17.25" thickBot="1">
      <c r="A15" s="40" t="s">
        <v>97</v>
      </c>
      <c r="B15" s="11" t="s">
        <v>98</v>
      </c>
      <c r="C15" s="95">
        <v>4070</v>
      </c>
      <c r="D15" s="92">
        <v>2.2613065299999999E-2</v>
      </c>
      <c r="E15" s="93">
        <v>1900354.15131229</v>
      </c>
      <c r="F15" s="35"/>
      <c r="G15" s="204"/>
      <c r="H15" s="205"/>
      <c r="I15" s="206"/>
      <c r="K15" s="57">
        <f ca="1">IFERROR(OFFSET(INDIRECT($H$3 &amp; "!A17"), 9, 0), "")</f>
        <v>0</v>
      </c>
      <c r="L15" s="37" t="str">
        <f t="shared" ca="1" si="0"/>
        <v/>
      </c>
      <c r="M15" s="79" t="str">
        <f t="shared" ca="1" si="1"/>
        <v/>
      </c>
      <c r="N15" s="87" t="str">
        <f t="shared" ca="1" si="4"/>
        <v/>
      </c>
      <c r="O15" s="74" t="s">
        <v>168</v>
      </c>
      <c r="P15" s="37">
        <f t="shared" si="2"/>
        <v>107</v>
      </c>
      <c r="Q15" s="79">
        <f t="shared" si="3"/>
        <v>2.88461538E-2</v>
      </c>
      <c r="R15" s="87">
        <f t="shared" si="5"/>
        <v>294092653.98936844</v>
      </c>
    </row>
    <row r="16" spans="1:18" ht="17.25" thickBot="1">
      <c r="A16" s="40" t="s">
        <v>50</v>
      </c>
      <c r="B16" s="11" t="s">
        <v>51</v>
      </c>
      <c r="C16" s="95">
        <v>465</v>
      </c>
      <c r="D16" s="92">
        <v>2.1978022E-2</v>
      </c>
      <c r="E16" s="93">
        <v>114093753.66728313</v>
      </c>
      <c r="F16" s="35"/>
      <c r="G16" s="50" t="s">
        <v>38</v>
      </c>
      <c r="H16" s="184" t="s">
        <v>37</v>
      </c>
      <c r="I16" s="185"/>
      <c r="K16" s="55">
        <f ca="1">IFERROR(OFFSET(INDIRECT($H$3 &amp; "!A17"), 10, 0), "")</f>
        <v>0</v>
      </c>
      <c r="L16" s="38" t="str">
        <f t="shared" ca="1" si="0"/>
        <v/>
      </c>
      <c r="M16" s="76" t="str">
        <f t="shared" ca="1" si="1"/>
        <v/>
      </c>
      <c r="N16" s="85" t="str">
        <f t="shared" ca="1" si="4"/>
        <v/>
      </c>
      <c r="O16" s="72" t="s">
        <v>118</v>
      </c>
      <c r="P16" s="38">
        <f t="shared" si="2"/>
        <v>4065</v>
      </c>
      <c r="Q16" s="76">
        <f t="shared" si="3"/>
        <v>2.7812895099999999E-2</v>
      </c>
      <c r="R16" s="85">
        <f t="shared" si="5"/>
        <v>598625.54548216995</v>
      </c>
    </row>
    <row r="17" spans="1:18">
      <c r="A17" s="40" t="s">
        <v>139</v>
      </c>
      <c r="B17" s="11" t="s">
        <v>140</v>
      </c>
      <c r="C17" s="95">
        <v>1945</v>
      </c>
      <c r="D17" s="92">
        <v>2.0997375299999999E-2</v>
      </c>
      <c r="E17" s="93">
        <v>1073447.35078597</v>
      </c>
      <c r="F17" s="35"/>
      <c r="G17" s="229">
        <f>_xlfn.IFNA(VLOOKUP(G14, $B$2:$D$200, 3, FALSE), "-")</f>
        <v>8.5693770000000002E-4</v>
      </c>
      <c r="H17" s="231">
        <f>_xlfn.IFNA(VLOOKUP(G14, $B$2:$D$200, 2, FALSE), "-")</f>
        <v>43214000</v>
      </c>
      <c r="I17" s="232"/>
      <c r="K17" s="56">
        <f ca="1">IFERROR(OFFSET(INDIRECT($H$3 &amp; "!A17"), 11, 0), "")</f>
        <v>0</v>
      </c>
      <c r="L17" s="39" t="str">
        <f t="shared" ca="1" si="0"/>
        <v/>
      </c>
      <c r="M17" s="77" t="str">
        <f t="shared" ca="1" si="1"/>
        <v/>
      </c>
      <c r="N17" s="86" t="str">
        <f t="shared" ca="1" si="4"/>
        <v/>
      </c>
      <c r="O17" s="88" t="s">
        <v>126</v>
      </c>
      <c r="P17" s="39">
        <f t="shared" si="2"/>
        <v>29.9</v>
      </c>
      <c r="Q17" s="77">
        <f t="shared" si="3"/>
        <v>2.74914089E-2</v>
      </c>
      <c r="R17" s="86">
        <f t="shared" si="5"/>
        <v>299844279.96223503</v>
      </c>
    </row>
    <row r="18" spans="1:18" ht="17.25" thickBot="1">
      <c r="A18" s="40" t="s">
        <v>277</v>
      </c>
      <c r="B18" s="11" t="s">
        <v>278</v>
      </c>
      <c r="C18" s="95">
        <v>78.5</v>
      </c>
      <c r="D18" s="92">
        <v>1.9480519500000001E-2</v>
      </c>
      <c r="E18" s="93">
        <v>57496200.629527517</v>
      </c>
      <c r="F18" s="35"/>
      <c r="G18" s="230"/>
      <c r="H18" s="233"/>
      <c r="I18" s="234"/>
      <c r="K18" s="56">
        <f ca="1">IFERROR(OFFSET(INDIRECT($H$3 &amp; "!A17"), 12, 0), "")</f>
        <v>0</v>
      </c>
      <c r="L18" s="39" t="str">
        <f t="shared" ca="1" si="0"/>
        <v/>
      </c>
      <c r="M18" s="77" t="str">
        <f t="shared" ca="1" si="1"/>
        <v/>
      </c>
      <c r="N18" s="86" t="str">
        <f t="shared" ca="1" si="4"/>
        <v/>
      </c>
      <c r="O18" s="88" t="s">
        <v>166</v>
      </c>
      <c r="P18" s="39">
        <f t="shared" si="2"/>
        <v>1270</v>
      </c>
      <c r="Q18" s="77">
        <f t="shared" si="3"/>
        <v>2.4193548400000001E-2</v>
      </c>
      <c r="R18" s="86">
        <f t="shared" si="5"/>
        <v>2290073.7515430599</v>
      </c>
    </row>
    <row r="19" spans="1:18" ht="17.25" thickBot="1">
      <c r="A19" s="40" t="s">
        <v>83</v>
      </c>
      <c r="B19" s="11" t="s">
        <v>84</v>
      </c>
      <c r="C19" s="95">
        <v>1945</v>
      </c>
      <c r="D19" s="92">
        <v>1.83246073E-2</v>
      </c>
      <c r="E19" s="93">
        <v>155966145.03788638</v>
      </c>
      <c r="F19" s="35"/>
      <c r="K19" s="56">
        <f ca="1">IFERROR(OFFSET(INDIRECT($H$3 &amp; "!A17"), 13, 0), "")</f>
        <v>0</v>
      </c>
      <c r="L19" s="39" t="str">
        <f t="shared" ca="1" si="0"/>
        <v/>
      </c>
      <c r="M19" s="77" t="str">
        <f t="shared" ca="1" si="1"/>
        <v/>
      </c>
      <c r="N19" s="86" t="str">
        <f t="shared" ca="1" si="4"/>
        <v/>
      </c>
      <c r="O19" s="88" t="s">
        <v>98</v>
      </c>
      <c r="P19" s="39">
        <f t="shared" si="2"/>
        <v>4070</v>
      </c>
      <c r="Q19" s="77">
        <f t="shared" si="3"/>
        <v>2.2613065299999999E-2</v>
      </c>
      <c r="R19" s="86">
        <f t="shared" si="5"/>
        <v>1900354.15131229</v>
      </c>
    </row>
    <row r="20" spans="1:18" ht="17.25" thickBot="1">
      <c r="A20" s="40" t="s">
        <v>105</v>
      </c>
      <c r="B20" s="11" t="s">
        <v>106</v>
      </c>
      <c r="C20" s="95">
        <v>1155</v>
      </c>
      <c r="D20" s="92">
        <v>1.76211454E-2</v>
      </c>
      <c r="E20" s="93">
        <v>2034613.17002215</v>
      </c>
      <c r="F20" s="35"/>
      <c r="G20" s="183" t="s">
        <v>286</v>
      </c>
      <c r="H20" s="184"/>
      <c r="I20" s="185"/>
      <c r="K20" s="58">
        <f ca="1">IFERROR(OFFSET(INDIRECT($H$3 &amp; "!A17"), 14, 0), "")</f>
        <v>0</v>
      </c>
      <c r="L20" s="44" t="str">
        <f t="shared" ca="1" si="0"/>
        <v/>
      </c>
      <c r="M20" s="78" t="str">
        <f t="shared" ca="1" si="1"/>
        <v/>
      </c>
      <c r="N20" s="90" t="str">
        <f t="shared" ca="1" si="4"/>
        <v/>
      </c>
      <c r="O20" s="88" t="s">
        <v>51</v>
      </c>
      <c r="P20" s="39">
        <f t="shared" si="2"/>
        <v>465</v>
      </c>
      <c r="Q20" s="77">
        <f t="shared" si="3"/>
        <v>2.1978022E-2</v>
      </c>
      <c r="R20" s="90">
        <f t="shared" si="5"/>
        <v>114093753.66728313</v>
      </c>
    </row>
    <row r="21" spans="1:18">
      <c r="A21" s="40" t="s">
        <v>141</v>
      </c>
      <c r="B21" s="11" t="s">
        <v>142</v>
      </c>
      <c r="C21" s="95">
        <v>376</v>
      </c>
      <c r="D21" s="92">
        <v>1.6216216200000001E-2</v>
      </c>
      <c r="E21" s="93">
        <v>28129467.02678109</v>
      </c>
      <c r="F21" s="35"/>
      <c r="G21" s="211" t="s">
        <v>36</v>
      </c>
      <c r="H21" s="212"/>
      <c r="I21" s="213"/>
      <c r="K21" s="56">
        <f ca="1">IFERROR(OFFSET(INDIRECT($H$3 &amp; "!A17"), 15, 0), "")</f>
        <v>0</v>
      </c>
      <c r="L21" s="39" t="str">
        <f t="shared" ca="1" si="0"/>
        <v/>
      </c>
      <c r="M21" s="77" t="str">
        <f t="shared" ca="1" si="1"/>
        <v/>
      </c>
      <c r="N21" s="99" t="str">
        <f t="shared" ca="1" si="4"/>
        <v/>
      </c>
      <c r="O21" s="89" t="s">
        <v>140</v>
      </c>
      <c r="P21" s="45">
        <f t="shared" si="2"/>
        <v>1945</v>
      </c>
      <c r="Q21" s="80">
        <f t="shared" si="3"/>
        <v>2.0997375299999999E-2</v>
      </c>
      <c r="R21" s="99">
        <f t="shared" si="5"/>
        <v>1073447.35078597</v>
      </c>
    </row>
    <row r="22" spans="1:18" ht="17.25" thickBot="1">
      <c r="A22" s="40" t="s">
        <v>135</v>
      </c>
      <c r="B22" s="11" t="s">
        <v>136</v>
      </c>
      <c r="C22" s="95">
        <v>130</v>
      </c>
      <c r="D22" s="92">
        <v>1.5625E-2</v>
      </c>
      <c r="E22" s="93">
        <v>36956761.497323431</v>
      </c>
      <c r="F22" s="35"/>
      <c r="G22" s="204"/>
      <c r="H22" s="205"/>
      <c r="I22" s="206"/>
      <c r="K22" s="56">
        <f ca="1">IFERROR(OFFSET(INDIRECT($H$3 &amp; "!A17"), 16, 0), "")</f>
        <v>0</v>
      </c>
      <c r="L22" s="39" t="str">
        <f t="shared" ca="1" si="0"/>
        <v/>
      </c>
      <c r="M22" s="77" t="str">
        <f t="shared" ca="1" si="1"/>
        <v/>
      </c>
      <c r="N22" s="86" t="str">
        <f t="shared" ca="1" si="4"/>
        <v/>
      </c>
      <c r="O22" s="88" t="s">
        <v>278</v>
      </c>
      <c r="P22" s="39">
        <f t="shared" si="2"/>
        <v>78.5</v>
      </c>
      <c r="Q22" s="77">
        <f t="shared" si="3"/>
        <v>1.9480519500000001E-2</v>
      </c>
      <c r="R22" s="86">
        <f t="shared" si="5"/>
        <v>57496200.629527517</v>
      </c>
    </row>
    <row r="23" spans="1:18" ht="17.25" thickBot="1">
      <c r="A23" s="40" t="s">
        <v>68</v>
      </c>
      <c r="B23" s="11" t="s">
        <v>69</v>
      </c>
      <c r="C23" s="95">
        <v>5310</v>
      </c>
      <c r="D23" s="92">
        <v>1.52963671E-2</v>
      </c>
      <c r="E23" s="93">
        <v>1167467.3271439199</v>
      </c>
      <c r="F23" s="35"/>
      <c r="G23" s="50" t="s">
        <v>38</v>
      </c>
      <c r="H23" s="184" t="s">
        <v>37</v>
      </c>
      <c r="I23" s="185"/>
      <c r="K23" s="56">
        <f ca="1">IFERROR(OFFSET(INDIRECT($H$3 &amp; "!A17"), 17, 0), "")</f>
        <v>0</v>
      </c>
      <c r="L23" s="39" t="str">
        <f t="shared" ca="1" si="0"/>
        <v/>
      </c>
      <c r="M23" s="77" t="str">
        <f t="shared" ca="1" si="1"/>
        <v/>
      </c>
      <c r="N23" s="86" t="str">
        <f t="shared" ca="1" si="4"/>
        <v/>
      </c>
      <c r="O23" s="88" t="s">
        <v>84</v>
      </c>
      <c r="P23" s="39">
        <f t="shared" si="2"/>
        <v>1945</v>
      </c>
      <c r="Q23" s="77">
        <f t="shared" si="3"/>
        <v>1.83246073E-2</v>
      </c>
      <c r="R23" s="86">
        <f t="shared" si="5"/>
        <v>155966145.03788638</v>
      </c>
    </row>
    <row r="24" spans="1:18">
      <c r="A24" s="40" t="s">
        <v>79</v>
      </c>
      <c r="B24" s="11" t="s">
        <v>80</v>
      </c>
      <c r="C24" s="95">
        <v>870</v>
      </c>
      <c r="D24" s="92">
        <v>1.51691949E-2</v>
      </c>
      <c r="E24" s="93">
        <v>5260208.9202001002</v>
      </c>
      <c r="F24" s="35"/>
      <c r="G24" s="229">
        <f>_xlfn.IFNA(VLOOKUP(G21, $B$2:$D$200, 3, FALSE), "-")</f>
        <v>8.5693770000000002E-4</v>
      </c>
      <c r="H24" s="231">
        <f>_xlfn.IFNA(VLOOKUP(G21, $B$2:$D$200, 2, FALSE), "-")</f>
        <v>43214000</v>
      </c>
      <c r="I24" s="232"/>
      <c r="K24" s="56">
        <f ca="1">IFERROR(OFFSET(INDIRECT($H$3 &amp; "!A17"), 18, 0), "")</f>
        <v>0</v>
      </c>
      <c r="L24" s="39" t="str">
        <f t="shared" ca="1" si="0"/>
        <v/>
      </c>
      <c r="M24" s="77" t="str">
        <f t="shared" ca="1" si="1"/>
        <v/>
      </c>
      <c r="N24" s="86" t="str">
        <f t="shared" ca="1" si="4"/>
        <v/>
      </c>
      <c r="O24" s="88" t="s">
        <v>106</v>
      </c>
      <c r="P24" s="39">
        <f t="shared" si="2"/>
        <v>1155</v>
      </c>
      <c r="Q24" s="77">
        <f t="shared" si="3"/>
        <v>1.76211454E-2</v>
      </c>
      <c r="R24" s="86">
        <f t="shared" si="5"/>
        <v>2034613.17002215</v>
      </c>
    </row>
    <row r="25" spans="1:18" ht="17.25" thickBot="1">
      <c r="A25" s="40" t="s">
        <v>109</v>
      </c>
      <c r="B25" s="11" t="s">
        <v>110</v>
      </c>
      <c r="C25" s="95">
        <v>1305</v>
      </c>
      <c r="D25" s="92">
        <v>1.1627907E-2</v>
      </c>
      <c r="E25" s="93">
        <v>2627387.5089731598</v>
      </c>
      <c r="F25" s="35"/>
      <c r="G25" s="230"/>
      <c r="H25" s="233"/>
      <c r="I25" s="234"/>
      <c r="K25" s="57">
        <f ca="1">IFERROR(OFFSET(INDIRECT($H$3 &amp; "!A17"), 19, 0), "")</f>
        <v>0</v>
      </c>
      <c r="L25" s="37" t="str">
        <f t="shared" ca="1" si="0"/>
        <v/>
      </c>
      <c r="M25" s="79" t="str">
        <f t="shared" ca="1" si="1"/>
        <v/>
      </c>
      <c r="N25" s="87" t="str">
        <f t="shared" ca="1" si="4"/>
        <v/>
      </c>
      <c r="O25" s="74" t="s">
        <v>142</v>
      </c>
      <c r="P25" s="37">
        <f t="shared" si="2"/>
        <v>376</v>
      </c>
      <c r="Q25" s="79">
        <f t="shared" si="3"/>
        <v>1.6216216200000001E-2</v>
      </c>
      <c r="R25" s="87">
        <f t="shared" si="5"/>
        <v>28129467.02678109</v>
      </c>
    </row>
    <row r="26" spans="1:18">
      <c r="A26" s="40" t="s">
        <v>155</v>
      </c>
      <c r="B26" s="11" t="s">
        <v>156</v>
      </c>
      <c r="C26" s="95">
        <v>88.1</v>
      </c>
      <c r="D26" s="92">
        <v>9.1638029999999999E-3</v>
      </c>
      <c r="E26" s="93">
        <v>220701832.02307346</v>
      </c>
      <c r="F26" s="35"/>
    </row>
    <row r="27" spans="1:18" ht="17.25" thickBot="1">
      <c r="A27" s="40" t="s">
        <v>77</v>
      </c>
      <c r="B27" s="11" t="s">
        <v>78</v>
      </c>
      <c r="C27" s="95">
        <v>810500</v>
      </c>
      <c r="D27" s="92">
        <v>9.0886453999999995E-3</v>
      </c>
      <c r="E27" s="93">
        <v>64906.91639015</v>
      </c>
      <c r="F27" s="35"/>
    </row>
    <row r="28" spans="1:18" ht="17.25" thickBot="1">
      <c r="A28" s="40" t="s">
        <v>85</v>
      </c>
      <c r="B28" s="11" t="s">
        <v>86</v>
      </c>
      <c r="C28" s="95">
        <v>7395</v>
      </c>
      <c r="D28" s="92">
        <v>8.8676671000000006E-3</v>
      </c>
      <c r="E28" s="93">
        <v>34721305.490991153</v>
      </c>
      <c r="F28" s="35"/>
      <c r="G28" s="183" t="s">
        <v>46</v>
      </c>
      <c r="H28" s="184"/>
      <c r="I28" s="184"/>
      <c r="J28" s="185"/>
      <c r="K28" s="183" t="s">
        <v>44</v>
      </c>
      <c r="L28" s="184"/>
      <c r="M28" s="184"/>
      <c r="N28" s="185"/>
      <c r="O28" s="183" t="s">
        <v>45</v>
      </c>
      <c r="P28" s="184"/>
      <c r="Q28" s="184"/>
      <c r="R28" s="185"/>
    </row>
    <row r="29" spans="1:18" ht="17.25" thickBot="1">
      <c r="A29" s="40" t="s">
        <v>229</v>
      </c>
      <c r="B29" s="11" t="s">
        <v>230</v>
      </c>
      <c r="C29" s="95">
        <v>116</v>
      </c>
      <c r="D29" s="92">
        <v>8.6956522000000008E-3</v>
      </c>
      <c r="E29" s="93">
        <v>144581472.41616809</v>
      </c>
      <c r="F29" s="35"/>
      <c r="G29" s="220" t="s">
        <v>55</v>
      </c>
      <c r="H29" s="236">
        <f ca="1">NOW()</f>
        <v>44348.005391782404</v>
      </c>
      <c r="I29" s="237"/>
      <c r="J29" s="238"/>
      <c r="K29" s="235" t="s">
        <v>55</v>
      </c>
      <c r="L29" s="236">
        <f ca="1">NOW()</f>
        <v>44348.005391782404</v>
      </c>
      <c r="M29" s="237"/>
      <c r="N29" s="238"/>
      <c r="O29" s="235" t="s">
        <v>55</v>
      </c>
      <c r="P29" s="236">
        <f ca="1">NOW()</f>
        <v>44348.005391782404</v>
      </c>
      <c r="Q29" s="237"/>
      <c r="R29" s="238"/>
    </row>
    <row r="30" spans="1:18" ht="17.25" thickBot="1">
      <c r="A30" s="40" t="s">
        <v>149</v>
      </c>
      <c r="B30" s="11" t="s">
        <v>150</v>
      </c>
      <c r="C30" s="95">
        <v>2395</v>
      </c>
      <c r="D30" s="92">
        <v>8.4210525999999994E-3</v>
      </c>
      <c r="E30" s="93">
        <v>5370236.3989864299</v>
      </c>
      <c r="F30" s="35"/>
      <c r="G30" s="228"/>
      <c r="H30" s="51" t="s">
        <v>58</v>
      </c>
      <c r="I30" s="73" t="s">
        <v>59</v>
      </c>
      <c r="J30" s="69" t="s">
        <v>294</v>
      </c>
      <c r="K30" s="206"/>
      <c r="L30" s="51" t="s">
        <v>58</v>
      </c>
      <c r="M30" s="73" t="s">
        <v>59</v>
      </c>
      <c r="N30" s="91" t="s">
        <v>294</v>
      </c>
      <c r="O30" s="206"/>
      <c r="P30" s="51" t="s">
        <v>58</v>
      </c>
      <c r="Q30" s="73" t="s">
        <v>59</v>
      </c>
      <c r="R30" s="91" t="s">
        <v>294</v>
      </c>
    </row>
    <row r="31" spans="1:18">
      <c r="A31" s="40" t="s">
        <v>143</v>
      </c>
      <c r="B31" s="11" t="s">
        <v>144</v>
      </c>
      <c r="C31" s="95">
        <v>7420</v>
      </c>
      <c r="D31" s="92">
        <v>8.1521739000000003E-3</v>
      </c>
      <c r="E31" s="93">
        <v>3329609.60039119</v>
      </c>
      <c r="F31" s="35"/>
      <c r="G31" s="52" t="s">
        <v>92</v>
      </c>
      <c r="H31" s="38">
        <f t="shared" ref="H31:H50" si="6">_xlfn.IFNA(VLOOKUP(G31, $B$2:$D$200, 2, FALSE), "")</f>
        <v>1180</v>
      </c>
      <c r="I31" s="76">
        <f t="shared" ref="I31:I50" si="7">_xlfn.IFNA(VLOOKUP(G31, $B$2:$D$200, 3, FALSE), "")</f>
        <v>7.7625570800000002E-2</v>
      </c>
      <c r="J31" s="85">
        <f>_xlfn.IFNA(VLOOKUP(G31, $B$2:$E$200, 4, FALSE), "")</f>
        <v>1114415841.2694287</v>
      </c>
      <c r="K31" s="81" t="s">
        <v>126</v>
      </c>
      <c r="L31" s="38">
        <f t="shared" ref="L31:L50" si="8">_xlfn.IFNA(VLOOKUP(K31, $B$2:$D$200, 2, FALSE), "")</f>
        <v>29.9</v>
      </c>
      <c r="M31" s="76">
        <f t="shared" ref="M31:M50" si="9">_xlfn.IFNA(VLOOKUP(K31, $B$2:$D$200, 3, FALSE), "")</f>
        <v>2.74914089E-2</v>
      </c>
      <c r="N31" s="85">
        <f>_xlfn.IFNA(VLOOKUP(K31, $B$2:$E$200, 4, FALSE), "")</f>
        <v>299844279.96223503</v>
      </c>
      <c r="O31" s="81" t="s">
        <v>120</v>
      </c>
      <c r="P31" s="38">
        <f t="shared" ref="P31:P50" si="10">_xlfn.IFNA(VLOOKUP(O31, $B$2:$D$200, 2, FALSE), "")</f>
        <v>146</v>
      </c>
      <c r="Q31" s="76">
        <f t="shared" ref="Q31:Q50" si="11">_xlfn.IFNA(VLOOKUP(O31, $B$2:$D$200, 3, FALSE), "")</f>
        <v>7.35294118E-2</v>
      </c>
      <c r="R31" s="85">
        <f>_xlfn.IFNA(VLOOKUP(O31, $B$2:$E$200, 4, FALSE), "")</f>
        <v>120124398.1294052</v>
      </c>
    </row>
    <row r="32" spans="1:18">
      <c r="A32" s="40" t="s">
        <v>271</v>
      </c>
      <c r="B32" s="11" t="s">
        <v>272</v>
      </c>
      <c r="C32" s="95">
        <v>1345</v>
      </c>
      <c r="D32" s="92">
        <v>7.4906367E-3</v>
      </c>
      <c r="E32" s="93">
        <v>31089894.13686448</v>
      </c>
      <c r="F32" s="35"/>
      <c r="G32" s="47" t="s">
        <v>120</v>
      </c>
      <c r="H32" s="39">
        <f t="shared" si="6"/>
        <v>146</v>
      </c>
      <c r="I32" s="77">
        <f t="shared" si="7"/>
        <v>7.35294118E-2</v>
      </c>
      <c r="J32" s="86">
        <f t="shared" ref="J32:J50" si="12">_xlfn.IFNA(VLOOKUP(G32, $B$2:$E$200, 4, FALSE), "")</f>
        <v>120124398.1294052</v>
      </c>
      <c r="K32" s="82" t="s">
        <v>278</v>
      </c>
      <c r="L32" s="39">
        <f t="shared" si="8"/>
        <v>78.5</v>
      </c>
      <c r="M32" s="77">
        <f t="shared" si="9"/>
        <v>1.9480519500000001E-2</v>
      </c>
      <c r="N32" s="86">
        <f t="shared" ref="N32:N50" si="13">_xlfn.IFNA(VLOOKUP(K32, $B$2:$E$200, 4, FALSE), "")</f>
        <v>57496200.629527517</v>
      </c>
      <c r="O32" s="82" t="s">
        <v>132</v>
      </c>
      <c r="P32" s="39">
        <f t="shared" si="10"/>
        <v>139</v>
      </c>
      <c r="Q32" s="77">
        <f t="shared" si="11"/>
        <v>6.10687023E-2</v>
      </c>
      <c r="R32" s="86">
        <f t="shared" ref="R32:R50" si="14">_xlfn.IFNA(VLOOKUP(O32, $B$2:$E$200, 4, FALSE), "")</f>
        <v>1344297145.0314789</v>
      </c>
    </row>
    <row r="33" spans="1:18">
      <c r="A33" s="40" t="s">
        <v>121</v>
      </c>
      <c r="B33" s="11" t="s">
        <v>122</v>
      </c>
      <c r="C33" s="95">
        <v>71.599999999999994</v>
      </c>
      <c r="D33" s="92">
        <v>7.0323488000000002E-3</v>
      </c>
      <c r="E33" s="93">
        <v>462034924.63902885</v>
      </c>
      <c r="F33" s="35"/>
      <c r="G33" s="47" t="s">
        <v>132</v>
      </c>
      <c r="H33" s="39">
        <f t="shared" si="6"/>
        <v>139</v>
      </c>
      <c r="I33" s="77">
        <f t="shared" si="7"/>
        <v>6.10687023E-2</v>
      </c>
      <c r="J33" s="86">
        <f t="shared" si="12"/>
        <v>1344297145.0314789</v>
      </c>
      <c r="K33" s="82" t="s">
        <v>156</v>
      </c>
      <c r="L33" s="39">
        <f t="shared" si="8"/>
        <v>88.1</v>
      </c>
      <c r="M33" s="77">
        <f t="shared" si="9"/>
        <v>9.1638029999999999E-3</v>
      </c>
      <c r="N33" s="86">
        <f t="shared" si="13"/>
        <v>220701832.02307346</v>
      </c>
      <c r="O33" s="82" t="s">
        <v>148</v>
      </c>
      <c r="P33" s="39">
        <f t="shared" si="10"/>
        <v>125</v>
      </c>
      <c r="Q33" s="77">
        <f t="shared" si="11"/>
        <v>3.3057851200000002E-2</v>
      </c>
      <c r="R33" s="86">
        <f t="shared" si="14"/>
        <v>28811635.008600581</v>
      </c>
    </row>
    <row r="34" spans="1:18">
      <c r="A34" s="40" t="s">
        <v>62</v>
      </c>
      <c r="B34" s="11" t="s">
        <v>63</v>
      </c>
      <c r="C34" s="95">
        <v>63030</v>
      </c>
      <c r="D34" s="92">
        <v>6.8690095999999999E-3</v>
      </c>
      <c r="E34" s="93">
        <v>366286.13683471002</v>
      </c>
      <c r="F34" s="35"/>
      <c r="G34" s="47" t="s">
        <v>76</v>
      </c>
      <c r="H34" s="39">
        <f t="shared" si="6"/>
        <v>34270</v>
      </c>
      <c r="I34" s="77">
        <f t="shared" si="7"/>
        <v>5.2518427499999999E-2</v>
      </c>
      <c r="J34" s="86">
        <f t="shared" si="12"/>
        <v>1531837.5255949099</v>
      </c>
      <c r="K34" s="82" t="s">
        <v>122</v>
      </c>
      <c r="L34" s="39">
        <f t="shared" si="8"/>
        <v>71.599999999999994</v>
      </c>
      <c r="M34" s="77">
        <f t="shared" si="9"/>
        <v>7.0323488000000002E-3</v>
      </c>
      <c r="N34" s="86">
        <f t="shared" si="13"/>
        <v>462034924.63902885</v>
      </c>
      <c r="O34" s="82" t="s">
        <v>168</v>
      </c>
      <c r="P34" s="39">
        <f t="shared" si="10"/>
        <v>107</v>
      </c>
      <c r="Q34" s="77">
        <f t="shared" si="11"/>
        <v>2.88461538E-2</v>
      </c>
      <c r="R34" s="86">
        <f t="shared" si="14"/>
        <v>294092653.98936844</v>
      </c>
    </row>
    <row r="35" spans="1:18">
      <c r="A35" s="40" t="s">
        <v>159</v>
      </c>
      <c r="B35" s="11" t="s">
        <v>160</v>
      </c>
      <c r="C35" s="95">
        <v>1860</v>
      </c>
      <c r="D35" s="92">
        <v>5.4054054000000004E-3</v>
      </c>
      <c r="E35" s="93">
        <v>29523031.156932119</v>
      </c>
      <c r="F35" s="35"/>
      <c r="G35" s="47" t="s">
        <v>96</v>
      </c>
      <c r="H35" s="44">
        <f t="shared" si="6"/>
        <v>3015000</v>
      </c>
      <c r="I35" s="78">
        <f t="shared" si="7"/>
        <v>4.1450777199999997E-2</v>
      </c>
      <c r="J35" s="90">
        <f t="shared" si="12"/>
        <v>201219.80930652001</v>
      </c>
      <c r="K35" s="83" t="s">
        <v>65</v>
      </c>
      <c r="L35" s="44">
        <f t="shared" si="8"/>
        <v>36.9</v>
      </c>
      <c r="M35" s="78">
        <f t="shared" si="9"/>
        <v>2.7173913000000001E-3</v>
      </c>
      <c r="N35" s="90">
        <f t="shared" si="13"/>
        <v>45099658.534599923</v>
      </c>
      <c r="O35" s="83" t="s">
        <v>51</v>
      </c>
      <c r="P35" s="44">
        <f t="shared" si="10"/>
        <v>465</v>
      </c>
      <c r="Q35" s="78">
        <f t="shared" si="11"/>
        <v>2.1978022E-2</v>
      </c>
      <c r="R35" s="90">
        <f t="shared" si="14"/>
        <v>114093753.66728313</v>
      </c>
    </row>
    <row r="36" spans="1:18">
      <c r="A36" s="40" t="s">
        <v>60</v>
      </c>
      <c r="B36" s="11" t="s">
        <v>61</v>
      </c>
      <c r="C36" s="95">
        <v>953</v>
      </c>
      <c r="D36" s="92">
        <v>5.2742615999999999E-3</v>
      </c>
      <c r="E36" s="93">
        <v>59031848.064569712</v>
      </c>
      <c r="F36" s="35"/>
      <c r="G36" s="49" t="s">
        <v>158</v>
      </c>
      <c r="H36" s="39">
        <f t="shared" si="6"/>
        <v>5720</v>
      </c>
      <c r="I36" s="77">
        <f t="shared" si="7"/>
        <v>0.04</v>
      </c>
      <c r="J36" s="99">
        <f t="shared" si="12"/>
        <v>20417118.29620764</v>
      </c>
      <c r="K36" s="82" t="s">
        <v>222</v>
      </c>
      <c r="L36" s="39">
        <f t="shared" si="8"/>
        <v>11.8</v>
      </c>
      <c r="M36" s="77">
        <f t="shared" si="9"/>
        <v>0</v>
      </c>
      <c r="N36" s="99">
        <f t="shared" si="13"/>
        <v>1679205849.5712121</v>
      </c>
      <c r="O36" s="82" t="s">
        <v>142</v>
      </c>
      <c r="P36" s="39">
        <f t="shared" si="10"/>
        <v>376</v>
      </c>
      <c r="Q36" s="77">
        <f t="shared" si="11"/>
        <v>1.6216216200000001E-2</v>
      </c>
      <c r="R36" s="99">
        <f t="shared" si="14"/>
        <v>28129467.02678109</v>
      </c>
    </row>
    <row r="37" spans="1:18">
      <c r="A37" s="40" t="s">
        <v>56</v>
      </c>
      <c r="B37" s="11" t="s">
        <v>57</v>
      </c>
      <c r="C37" s="95">
        <v>222</v>
      </c>
      <c r="D37" s="92">
        <v>4.5248869000000004E-3</v>
      </c>
      <c r="E37" s="93">
        <v>52168463.360446677</v>
      </c>
      <c r="F37" s="35"/>
      <c r="G37" s="47" t="s">
        <v>74</v>
      </c>
      <c r="H37" s="39">
        <f t="shared" si="6"/>
        <v>15830</v>
      </c>
      <c r="I37" s="77">
        <f t="shared" si="7"/>
        <v>3.6673215500000002E-2</v>
      </c>
      <c r="J37" s="86">
        <f t="shared" si="12"/>
        <v>381092.37674819998</v>
      </c>
      <c r="K37" s="82" t="s">
        <v>260</v>
      </c>
      <c r="L37" s="39">
        <f t="shared" si="8"/>
        <v>80.900000000000006</v>
      </c>
      <c r="M37" s="77">
        <f t="shared" si="9"/>
        <v>-6.1425061000000003E-3</v>
      </c>
      <c r="N37" s="86">
        <f t="shared" si="13"/>
        <v>99817358.524188638</v>
      </c>
      <c r="O37" s="82" t="s">
        <v>136</v>
      </c>
      <c r="P37" s="39">
        <f t="shared" si="10"/>
        <v>130</v>
      </c>
      <c r="Q37" s="77">
        <f t="shared" si="11"/>
        <v>1.5625E-2</v>
      </c>
      <c r="R37" s="86">
        <f t="shared" si="14"/>
        <v>36956761.497323431</v>
      </c>
    </row>
    <row r="38" spans="1:18">
      <c r="A38" s="40" t="s">
        <v>64</v>
      </c>
      <c r="B38" s="11" t="s">
        <v>65</v>
      </c>
      <c r="C38" s="95">
        <v>36.9</v>
      </c>
      <c r="D38" s="92">
        <v>2.7173913000000001E-3</v>
      </c>
      <c r="E38" s="93">
        <v>45099658.534599923</v>
      </c>
      <c r="F38" s="35"/>
      <c r="G38" s="47" t="s">
        <v>148</v>
      </c>
      <c r="H38" s="39">
        <f t="shared" si="6"/>
        <v>125</v>
      </c>
      <c r="I38" s="77">
        <f t="shared" si="7"/>
        <v>3.3057851200000002E-2</v>
      </c>
      <c r="J38" s="86">
        <f t="shared" si="12"/>
        <v>28811635.008600581</v>
      </c>
      <c r="K38" s="82" t="s">
        <v>100</v>
      </c>
      <c r="L38" s="39">
        <f t="shared" si="8"/>
        <v>4.37</v>
      </c>
      <c r="M38" s="77">
        <f t="shared" si="9"/>
        <v>-1.13122172E-2</v>
      </c>
      <c r="N38" s="86">
        <f t="shared" si="13"/>
        <v>13879328382.335428</v>
      </c>
      <c r="O38" s="82" t="s">
        <v>80</v>
      </c>
      <c r="P38" s="39">
        <f t="shared" si="10"/>
        <v>870</v>
      </c>
      <c r="Q38" s="77">
        <f t="shared" si="11"/>
        <v>1.51691949E-2</v>
      </c>
      <c r="R38" s="86">
        <f t="shared" si="14"/>
        <v>5260208.9202001002</v>
      </c>
    </row>
    <row r="39" spans="1:18">
      <c r="A39" s="40" t="s">
        <v>203</v>
      </c>
      <c r="B39" s="11" t="s">
        <v>204</v>
      </c>
      <c r="C39" s="95">
        <v>4005</v>
      </c>
      <c r="D39" s="92">
        <v>1.25E-3</v>
      </c>
      <c r="E39" s="93">
        <v>9811705.8010742795</v>
      </c>
      <c r="F39" s="35"/>
      <c r="G39" s="47" t="s">
        <v>130</v>
      </c>
      <c r="H39" s="39">
        <f t="shared" si="6"/>
        <v>213200</v>
      </c>
      <c r="I39" s="77">
        <f t="shared" si="7"/>
        <v>3.14465409E-2</v>
      </c>
      <c r="J39" s="86">
        <f t="shared" si="12"/>
        <v>138061.36775929999</v>
      </c>
      <c r="K39" s="82" t="s">
        <v>154</v>
      </c>
      <c r="L39" s="39">
        <f t="shared" si="8"/>
        <v>11</v>
      </c>
      <c r="M39" s="77">
        <f t="shared" si="9"/>
        <v>-1.7857142900000001E-2</v>
      </c>
      <c r="N39" s="86">
        <f t="shared" si="13"/>
        <v>451790943.32762301</v>
      </c>
      <c r="O39" s="82" t="s">
        <v>230</v>
      </c>
      <c r="P39" s="39">
        <f t="shared" si="10"/>
        <v>116</v>
      </c>
      <c r="Q39" s="77">
        <f t="shared" si="11"/>
        <v>8.6956522000000008E-3</v>
      </c>
      <c r="R39" s="86">
        <f t="shared" si="14"/>
        <v>144581472.41616809</v>
      </c>
    </row>
    <row r="40" spans="1:18" ht="17.25" thickBot="1">
      <c r="A40" s="40" t="s">
        <v>48</v>
      </c>
      <c r="B40" s="11" t="s">
        <v>49</v>
      </c>
      <c r="C40" s="95">
        <v>43214000</v>
      </c>
      <c r="D40" s="92">
        <v>8.5693770000000002E-4</v>
      </c>
      <c r="E40" s="93">
        <v>7971.9915333999998</v>
      </c>
      <c r="F40" s="35"/>
      <c r="G40" s="53" t="s">
        <v>168</v>
      </c>
      <c r="H40" s="37">
        <f t="shared" si="6"/>
        <v>107</v>
      </c>
      <c r="I40" s="79">
        <f t="shared" si="7"/>
        <v>2.88461538E-2</v>
      </c>
      <c r="J40" s="87">
        <f t="shared" si="12"/>
        <v>294092653.98936844</v>
      </c>
      <c r="K40" s="84" t="s">
        <v>152</v>
      </c>
      <c r="L40" s="37">
        <f t="shared" si="8"/>
        <v>20.3</v>
      </c>
      <c r="M40" s="79">
        <f t="shared" si="9"/>
        <v>-1.93236715E-2</v>
      </c>
      <c r="N40" s="87">
        <f t="shared" si="13"/>
        <v>306416887.92954427</v>
      </c>
      <c r="O40" s="84" t="s">
        <v>61</v>
      </c>
      <c r="P40" s="37">
        <f t="shared" si="10"/>
        <v>953</v>
      </c>
      <c r="Q40" s="79">
        <f t="shared" si="11"/>
        <v>5.2742615999999999E-3</v>
      </c>
      <c r="R40" s="87">
        <f t="shared" si="14"/>
        <v>59031848.064569712</v>
      </c>
    </row>
    <row r="41" spans="1:18">
      <c r="A41" s="40" t="s">
        <v>221</v>
      </c>
      <c r="B41" s="11" t="s">
        <v>222</v>
      </c>
      <c r="C41" s="95">
        <v>11.8</v>
      </c>
      <c r="D41" s="92">
        <v>0</v>
      </c>
      <c r="E41" s="93">
        <v>1679205849.5712121</v>
      </c>
      <c r="F41" s="35"/>
      <c r="G41" s="52" t="s">
        <v>118</v>
      </c>
      <c r="H41" s="38">
        <f t="shared" si="6"/>
        <v>4065</v>
      </c>
      <c r="I41" s="76">
        <f t="shared" si="7"/>
        <v>2.7812895099999999E-2</v>
      </c>
      <c r="J41" s="85">
        <f t="shared" si="12"/>
        <v>598625.54548216995</v>
      </c>
      <c r="K41" s="81" t="s">
        <v>196</v>
      </c>
      <c r="L41" s="38">
        <f t="shared" si="8"/>
        <v>11.5</v>
      </c>
      <c r="M41" s="76">
        <f t="shared" si="9"/>
        <v>-2.54237288E-2</v>
      </c>
      <c r="N41" s="85">
        <f t="shared" si="13"/>
        <v>184978584.76831648</v>
      </c>
      <c r="O41" s="81" t="s">
        <v>57</v>
      </c>
      <c r="P41" s="38">
        <f t="shared" si="10"/>
        <v>222</v>
      </c>
      <c r="Q41" s="76">
        <f t="shared" si="11"/>
        <v>4.5248869000000004E-3</v>
      </c>
      <c r="R41" s="85">
        <f t="shared" si="14"/>
        <v>52168463.360446677</v>
      </c>
    </row>
    <row r="42" spans="1:18">
      <c r="A42" s="40" t="s">
        <v>295</v>
      </c>
      <c r="B42" s="11" t="s">
        <v>296</v>
      </c>
      <c r="C42" s="95">
        <v>365</v>
      </c>
      <c r="D42" s="92">
        <v>-2.7322404000000001E-3</v>
      </c>
      <c r="E42" s="93">
        <v>565699444.36726356</v>
      </c>
      <c r="F42" s="35"/>
      <c r="G42" s="47" t="s">
        <v>126</v>
      </c>
      <c r="H42" s="39">
        <f t="shared" si="6"/>
        <v>29.9</v>
      </c>
      <c r="I42" s="77">
        <f t="shared" si="7"/>
        <v>2.74914089E-2</v>
      </c>
      <c r="J42" s="86">
        <f t="shared" si="12"/>
        <v>299844279.96223503</v>
      </c>
      <c r="K42" s="82" t="s">
        <v>198</v>
      </c>
      <c r="L42" s="39">
        <f t="shared" si="8"/>
        <v>16.8</v>
      </c>
      <c r="M42" s="77">
        <f t="shared" si="9"/>
        <v>-2.89017341E-2</v>
      </c>
      <c r="N42" s="86">
        <f t="shared" si="13"/>
        <v>360133399.11441642</v>
      </c>
      <c r="O42" s="82" t="s">
        <v>296</v>
      </c>
      <c r="P42" s="39">
        <f t="shared" si="10"/>
        <v>365</v>
      </c>
      <c r="Q42" s="77">
        <f t="shared" si="11"/>
        <v>-2.7322404000000001E-3</v>
      </c>
      <c r="R42" s="86">
        <f t="shared" si="14"/>
        <v>565699444.36726356</v>
      </c>
    </row>
    <row r="43" spans="1:18">
      <c r="A43" s="40" t="s">
        <v>269</v>
      </c>
      <c r="B43" s="11" t="s">
        <v>270</v>
      </c>
      <c r="C43" s="95">
        <v>350</v>
      </c>
      <c r="D43" s="92">
        <v>-2.8490028000000001E-3</v>
      </c>
      <c r="E43" s="93">
        <v>3941787.65940755</v>
      </c>
      <c r="F43" s="35"/>
      <c r="G43" s="47" t="s">
        <v>166</v>
      </c>
      <c r="H43" s="39">
        <f t="shared" si="6"/>
        <v>1270</v>
      </c>
      <c r="I43" s="77">
        <f t="shared" si="7"/>
        <v>2.4193548400000001E-2</v>
      </c>
      <c r="J43" s="86">
        <f t="shared" si="12"/>
        <v>2290073.7515430599</v>
      </c>
      <c r="K43" s="82" t="s">
        <v>134</v>
      </c>
      <c r="L43" s="39">
        <f t="shared" si="8"/>
        <v>94.9</v>
      </c>
      <c r="M43" s="77">
        <f t="shared" si="9"/>
        <v>-2.9652351699999999E-2</v>
      </c>
      <c r="N43" s="86">
        <f t="shared" si="13"/>
        <v>40943897.176569127</v>
      </c>
      <c r="O43" s="82" t="s">
        <v>270</v>
      </c>
      <c r="P43" s="39">
        <f t="shared" si="10"/>
        <v>350</v>
      </c>
      <c r="Q43" s="77">
        <f t="shared" si="11"/>
        <v>-2.8490028000000001E-3</v>
      </c>
      <c r="R43" s="86">
        <f t="shared" si="14"/>
        <v>3941787.65940755</v>
      </c>
    </row>
    <row r="44" spans="1:18">
      <c r="A44" s="40" t="s">
        <v>53</v>
      </c>
      <c r="B44" s="11" t="s">
        <v>54</v>
      </c>
      <c r="C44" s="95">
        <v>264</v>
      </c>
      <c r="D44" s="92">
        <v>-3.7735848999999998E-3</v>
      </c>
      <c r="E44" s="93">
        <v>16279387.14996428</v>
      </c>
      <c r="F44" s="35"/>
      <c r="G44" s="47" t="s">
        <v>98</v>
      </c>
      <c r="H44" s="39">
        <f t="shared" si="6"/>
        <v>4070</v>
      </c>
      <c r="I44" s="77">
        <f t="shared" si="7"/>
        <v>2.2613065299999999E-2</v>
      </c>
      <c r="J44" s="86">
        <f t="shared" si="12"/>
        <v>1900354.15131229</v>
      </c>
      <c r="K44" s="82" t="s">
        <v>214</v>
      </c>
      <c r="L44" s="39">
        <f t="shared" si="8"/>
        <v>14.1</v>
      </c>
      <c r="M44" s="77">
        <f t="shared" si="9"/>
        <v>-3.4246575299999998E-2</v>
      </c>
      <c r="N44" s="86">
        <f t="shared" si="13"/>
        <v>1293905916.4955781</v>
      </c>
      <c r="O44" s="82" t="s">
        <v>54</v>
      </c>
      <c r="P44" s="39">
        <f t="shared" si="10"/>
        <v>264</v>
      </c>
      <c r="Q44" s="77">
        <f t="shared" si="11"/>
        <v>-3.7735848999999998E-3</v>
      </c>
      <c r="R44" s="86">
        <f t="shared" si="14"/>
        <v>16279387.14996428</v>
      </c>
    </row>
    <row r="45" spans="1:18">
      <c r="A45" s="40" t="s">
        <v>103</v>
      </c>
      <c r="B45" s="11" t="s">
        <v>104</v>
      </c>
      <c r="C45" s="95">
        <v>1275</v>
      </c>
      <c r="D45" s="92">
        <v>-3.90625E-3</v>
      </c>
      <c r="E45" s="93">
        <v>6554129.6187487599</v>
      </c>
      <c r="F45" s="35"/>
      <c r="G45" s="47" t="s">
        <v>51</v>
      </c>
      <c r="H45" s="44">
        <f t="shared" si="6"/>
        <v>465</v>
      </c>
      <c r="I45" s="78">
        <f t="shared" si="7"/>
        <v>2.1978022E-2</v>
      </c>
      <c r="J45" s="90">
        <f t="shared" si="12"/>
        <v>114093753.66728313</v>
      </c>
      <c r="K45" s="83" t="s">
        <v>212</v>
      </c>
      <c r="L45" s="44">
        <f t="shared" si="8"/>
        <v>77.900000000000006</v>
      </c>
      <c r="M45" s="78">
        <f t="shared" si="9"/>
        <v>-3.4696406399999997E-2</v>
      </c>
      <c r="N45" s="90">
        <f t="shared" si="13"/>
        <v>149811356.0177947</v>
      </c>
      <c r="O45" s="83" t="s">
        <v>88</v>
      </c>
      <c r="P45" s="44">
        <f t="shared" si="10"/>
        <v>324</v>
      </c>
      <c r="Q45" s="78">
        <f t="shared" si="11"/>
        <v>-1.2195121999999999E-2</v>
      </c>
      <c r="R45" s="90">
        <f t="shared" si="14"/>
        <v>55381685.782262623</v>
      </c>
    </row>
    <row r="46" spans="1:18">
      <c r="A46" s="40" t="s">
        <v>137</v>
      </c>
      <c r="B46" s="11" t="s">
        <v>138</v>
      </c>
      <c r="C46" s="95">
        <v>25410</v>
      </c>
      <c r="D46" s="92">
        <v>-5.4794520999999997E-3</v>
      </c>
      <c r="E46" s="93">
        <v>1377645.6066964299</v>
      </c>
      <c r="F46" s="35"/>
      <c r="G46" s="49" t="s">
        <v>140</v>
      </c>
      <c r="H46" s="39">
        <f t="shared" si="6"/>
        <v>1945</v>
      </c>
      <c r="I46" s="77">
        <f t="shared" si="7"/>
        <v>2.0997375299999999E-2</v>
      </c>
      <c r="J46" s="99">
        <f t="shared" si="12"/>
        <v>1073447.35078597</v>
      </c>
      <c r="K46" s="82" t="s">
        <v>186</v>
      </c>
      <c r="L46" s="39">
        <f t="shared" si="8"/>
        <v>13.4</v>
      </c>
      <c r="M46" s="77">
        <f t="shared" si="9"/>
        <v>-3.5971222999999997E-2</v>
      </c>
      <c r="N46" s="99">
        <f t="shared" si="13"/>
        <v>182241054.4058494</v>
      </c>
      <c r="O46" s="82" t="s">
        <v>174</v>
      </c>
      <c r="P46" s="39">
        <f t="shared" si="10"/>
        <v>197</v>
      </c>
      <c r="Q46" s="77">
        <f t="shared" si="11"/>
        <v>-1.4999999999999999E-2</v>
      </c>
      <c r="R46" s="99">
        <f t="shared" si="14"/>
        <v>73816616.211614192</v>
      </c>
    </row>
    <row r="47" spans="1:18">
      <c r="A47" s="40" t="s">
        <v>259</v>
      </c>
      <c r="B47" s="11" t="s">
        <v>260</v>
      </c>
      <c r="C47" s="95">
        <v>80.900000000000006</v>
      </c>
      <c r="D47" s="92">
        <v>-6.1425061000000003E-3</v>
      </c>
      <c r="E47" s="93">
        <v>99817358.524188638</v>
      </c>
      <c r="F47" s="35"/>
      <c r="G47" s="47" t="s">
        <v>278</v>
      </c>
      <c r="H47" s="39">
        <f t="shared" si="6"/>
        <v>78.5</v>
      </c>
      <c r="I47" s="77">
        <f t="shared" si="7"/>
        <v>1.9480519500000001E-2</v>
      </c>
      <c r="J47" s="86">
        <f t="shared" si="12"/>
        <v>57496200.629527517</v>
      </c>
      <c r="K47" s="82" t="s">
        <v>228</v>
      </c>
      <c r="L47" s="39">
        <f t="shared" si="8"/>
        <v>10.7</v>
      </c>
      <c r="M47" s="77">
        <f t="shared" si="9"/>
        <v>-3.6036036E-2</v>
      </c>
      <c r="N47" s="86">
        <f t="shared" si="13"/>
        <v>475185142.67931676</v>
      </c>
      <c r="O47" s="82" t="s">
        <v>262</v>
      </c>
      <c r="P47" s="39">
        <f t="shared" si="10"/>
        <v>638</v>
      </c>
      <c r="Q47" s="77">
        <f t="shared" si="11"/>
        <v>-1.54320988E-2</v>
      </c>
      <c r="R47" s="86">
        <f t="shared" si="14"/>
        <v>5472541.4848127998</v>
      </c>
    </row>
    <row r="48" spans="1:18">
      <c r="A48" s="40" t="s">
        <v>89</v>
      </c>
      <c r="B48" s="11" t="s">
        <v>90</v>
      </c>
      <c r="C48" s="95">
        <v>200000</v>
      </c>
      <c r="D48" s="92">
        <v>-6.2111800999999998E-3</v>
      </c>
      <c r="E48" s="93">
        <v>29709.079070070002</v>
      </c>
      <c r="F48" s="35"/>
      <c r="G48" s="47" t="s">
        <v>84</v>
      </c>
      <c r="H48" s="39">
        <f t="shared" si="6"/>
        <v>1945</v>
      </c>
      <c r="I48" s="77">
        <f t="shared" si="7"/>
        <v>1.83246073E-2</v>
      </c>
      <c r="J48" s="86">
        <f t="shared" si="12"/>
        <v>155966145.03788638</v>
      </c>
      <c r="K48" s="82" t="s">
        <v>236</v>
      </c>
      <c r="L48" s="39">
        <f t="shared" si="8"/>
        <v>52.2</v>
      </c>
      <c r="M48" s="77">
        <f t="shared" si="9"/>
        <v>-3.6900369000000002E-2</v>
      </c>
      <c r="N48" s="86">
        <f t="shared" si="13"/>
        <v>64297116.521781988</v>
      </c>
      <c r="O48" s="82" t="s">
        <v>128</v>
      </c>
      <c r="P48" s="39">
        <f t="shared" si="10"/>
        <v>375</v>
      </c>
      <c r="Q48" s="77">
        <f t="shared" si="11"/>
        <v>-1.5748031499999999E-2</v>
      </c>
      <c r="R48" s="86">
        <f t="shared" si="14"/>
        <v>4503124.1380805001</v>
      </c>
    </row>
    <row r="49" spans="1:18">
      <c r="A49" s="40" t="s">
        <v>99</v>
      </c>
      <c r="B49" s="11" t="s">
        <v>100</v>
      </c>
      <c r="C49" s="95">
        <v>4.37</v>
      </c>
      <c r="D49" s="92">
        <v>-1.13122172E-2</v>
      </c>
      <c r="E49" s="93">
        <v>13879328382.335428</v>
      </c>
      <c r="F49" s="35"/>
      <c r="G49" s="47" t="s">
        <v>106</v>
      </c>
      <c r="H49" s="39">
        <f t="shared" si="6"/>
        <v>1155</v>
      </c>
      <c r="I49" s="77">
        <f t="shared" si="7"/>
        <v>1.76211454E-2</v>
      </c>
      <c r="J49" s="86">
        <f t="shared" si="12"/>
        <v>2034613.17002215</v>
      </c>
      <c r="K49" s="82" t="s">
        <v>266</v>
      </c>
      <c r="L49" s="39">
        <f t="shared" si="8"/>
        <v>58.5</v>
      </c>
      <c r="M49" s="77">
        <f t="shared" si="9"/>
        <v>-3.78289474E-2</v>
      </c>
      <c r="N49" s="86">
        <f t="shared" si="13"/>
        <v>50307649.07410647</v>
      </c>
      <c r="O49" s="82" t="s">
        <v>116</v>
      </c>
      <c r="P49" s="39">
        <f t="shared" si="10"/>
        <v>376</v>
      </c>
      <c r="Q49" s="77">
        <f t="shared" si="11"/>
        <v>-2.08333333E-2</v>
      </c>
      <c r="R49" s="86">
        <f t="shared" si="14"/>
        <v>25327522.259394038</v>
      </c>
    </row>
    <row r="50" spans="1:18" ht="17.25" thickBot="1">
      <c r="A50" s="40" t="s">
        <v>87</v>
      </c>
      <c r="B50" s="11" t="s">
        <v>88</v>
      </c>
      <c r="C50" s="95">
        <v>324</v>
      </c>
      <c r="D50" s="92">
        <v>-1.2195121999999999E-2</v>
      </c>
      <c r="E50" s="93">
        <v>55381685.782262623</v>
      </c>
      <c r="F50" s="35"/>
      <c r="G50" s="53" t="s">
        <v>142</v>
      </c>
      <c r="H50" s="37">
        <f t="shared" si="6"/>
        <v>376</v>
      </c>
      <c r="I50" s="79">
        <f t="shared" si="7"/>
        <v>1.6216216200000001E-2</v>
      </c>
      <c r="J50" s="87">
        <f t="shared" si="12"/>
        <v>28129467.02678109</v>
      </c>
      <c r="K50" s="84" t="s">
        <v>254</v>
      </c>
      <c r="L50" s="37">
        <f t="shared" si="8"/>
        <v>52.2</v>
      </c>
      <c r="M50" s="79">
        <f t="shared" si="9"/>
        <v>-3.8674033099999998E-2</v>
      </c>
      <c r="N50" s="87">
        <f t="shared" si="13"/>
        <v>75847553.575340763</v>
      </c>
      <c r="O50" s="84" t="s">
        <v>82</v>
      </c>
      <c r="P50" s="37">
        <f t="shared" si="10"/>
        <v>987</v>
      </c>
      <c r="Q50" s="79">
        <f t="shared" si="11"/>
        <v>-2.27722772E-2</v>
      </c>
      <c r="R50" s="87">
        <f t="shared" si="14"/>
        <v>1677785.92235073</v>
      </c>
    </row>
    <row r="51" spans="1:18">
      <c r="A51" s="40" t="s">
        <v>187</v>
      </c>
      <c r="B51" s="11" t="s">
        <v>188</v>
      </c>
      <c r="C51" s="95">
        <v>13670</v>
      </c>
      <c r="D51" s="92">
        <v>-1.3708513699999999E-2</v>
      </c>
      <c r="E51" s="93">
        <v>6422706.4971463596</v>
      </c>
      <c r="F51" s="35"/>
    </row>
    <row r="52" spans="1:18" ht="17.25" thickBot="1">
      <c r="A52" s="40" t="s">
        <v>173</v>
      </c>
      <c r="B52" s="11" t="s">
        <v>174</v>
      </c>
      <c r="C52" s="95">
        <v>197</v>
      </c>
      <c r="D52" s="92">
        <v>-1.4999999999999999E-2</v>
      </c>
      <c r="E52" s="93">
        <v>73816616.211614192</v>
      </c>
      <c r="F52" s="35"/>
    </row>
    <row r="53" spans="1:18" ht="17.25" thickBot="1">
      <c r="A53" s="40" t="s">
        <v>101</v>
      </c>
      <c r="B53" s="11" t="s">
        <v>102</v>
      </c>
      <c r="C53" s="95">
        <v>78880</v>
      </c>
      <c r="D53" s="92">
        <v>-1.51080035E-2</v>
      </c>
      <c r="E53" s="93">
        <v>9011438.2140523102</v>
      </c>
      <c r="F53" s="35"/>
      <c r="G53" s="183" t="s">
        <v>285</v>
      </c>
      <c r="H53" s="184"/>
      <c r="I53" s="184"/>
      <c r="J53" s="185"/>
      <c r="K53" s="183" t="s">
        <v>288</v>
      </c>
      <c r="L53" s="184"/>
      <c r="M53" s="184"/>
      <c r="N53" s="185"/>
      <c r="O53" s="183" t="s">
        <v>289</v>
      </c>
      <c r="P53" s="184"/>
      <c r="Q53" s="184"/>
      <c r="R53" s="185"/>
    </row>
    <row r="54" spans="1:18" ht="17.25" thickBot="1">
      <c r="A54" s="40" t="s">
        <v>261</v>
      </c>
      <c r="B54" s="11" t="s">
        <v>262</v>
      </c>
      <c r="C54" s="95">
        <v>638</v>
      </c>
      <c r="D54" s="92">
        <v>-1.54320988E-2</v>
      </c>
      <c r="E54" s="93">
        <v>5472541.4848127998</v>
      </c>
      <c r="F54" s="35"/>
      <c r="G54" s="220" t="s">
        <v>55</v>
      </c>
      <c r="H54" s="236">
        <f ca="1">NOW()</f>
        <v>44348.005391782404</v>
      </c>
      <c r="I54" s="237"/>
      <c r="J54" s="238"/>
      <c r="K54" s="235" t="s">
        <v>55</v>
      </c>
      <c r="L54" s="236">
        <f ca="1">NOW()</f>
        <v>44348.005391782404</v>
      </c>
      <c r="M54" s="237"/>
      <c r="N54" s="238"/>
      <c r="O54" s="235" t="s">
        <v>55</v>
      </c>
      <c r="P54" s="236">
        <f ca="1">NOW()</f>
        <v>44348.005391782404</v>
      </c>
      <c r="Q54" s="237"/>
      <c r="R54" s="238"/>
    </row>
    <row r="55" spans="1:18" ht="17.25" thickBot="1">
      <c r="A55" s="40" t="s">
        <v>161</v>
      </c>
      <c r="B55" s="11" t="s">
        <v>162</v>
      </c>
      <c r="C55" s="95">
        <v>1265</v>
      </c>
      <c r="D55" s="92">
        <v>-1.55642023E-2</v>
      </c>
      <c r="E55" s="93">
        <v>10072857.231343551</v>
      </c>
      <c r="F55" s="35"/>
      <c r="G55" s="228"/>
      <c r="H55" s="51" t="s">
        <v>58</v>
      </c>
      <c r="I55" s="73" t="s">
        <v>59</v>
      </c>
      <c r="J55" s="69" t="s">
        <v>294</v>
      </c>
      <c r="K55" s="206"/>
      <c r="L55" s="51" t="s">
        <v>58</v>
      </c>
      <c r="M55" s="73" t="s">
        <v>59</v>
      </c>
      <c r="N55" s="69" t="s">
        <v>294</v>
      </c>
      <c r="O55" s="206"/>
      <c r="P55" s="51" t="s">
        <v>58</v>
      </c>
      <c r="Q55" s="73" t="s">
        <v>59</v>
      </c>
      <c r="R55" s="69" t="s">
        <v>294</v>
      </c>
    </row>
    <row r="56" spans="1:18">
      <c r="A56" s="40" t="s">
        <v>127</v>
      </c>
      <c r="B56" s="11" t="s">
        <v>128</v>
      </c>
      <c r="C56" s="95">
        <v>375</v>
      </c>
      <c r="D56" s="92">
        <v>-1.5748031499999999E-2</v>
      </c>
      <c r="E56" s="93">
        <v>4503124.1380805001</v>
      </c>
      <c r="F56" s="35"/>
      <c r="G56" s="55" t="s">
        <v>202</v>
      </c>
      <c r="H56" s="38">
        <f t="shared" ref="H56:H75" si="15">_xlfn.IFNA(VLOOKUP(G56, $B$2:$D$200, 2, FALSE), "")</f>
        <v>120</v>
      </c>
      <c r="I56" s="76">
        <f t="shared" ref="I56:I65" si="16">_xlfn.IFNA(VLOOKUP(G56, $B$2:$D$200, 3, FALSE), "")</f>
        <v>-0.04</v>
      </c>
      <c r="J56" s="85">
        <f>_xlfn.IFNA(VLOOKUP(G56, $B$2:$E$200, 4, FALSE), "")</f>
        <v>48210264.221073069</v>
      </c>
      <c r="K56" s="81" t="s">
        <v>260</v>
      </c>
      <c r="L56" s="38">
        <f t="shared" ref="L56:L75" si="17">_xlfn.IFNA(VLOOKUP(K56, $B$2:$D$200, 2, FALSE), "")</f>
        <v>80.900000000000006</v>
      </c>
      <c r="M56" s="76">
        <f t="shared" ref="M56:M75" si="18">_xlfn.IFNA(VLOOKUP(K56, $B$2:$D$200, 3, FALSE), "")</f>
        <v>-6.1425061000000003E-3</v>
      </c>
      <c r="N56" s="85">
        <f>_xlfn.IFNA(VLOOKUP(K56, $B$2:$E$200, 4, FALSE), "")</f>
        <v>99817358.524188638</v>
      </c>
      <c r="O56" s="81" t="s">
        <v>112</v>
      </c>
      <c r="P56" s="38">
        <f t="shared" ref="P56:P75" si="19">_xlfn.IFNA(VLOOKUP(O56, $B$2:$D$200, 2, FALSE), "")</f>
        <v>161</v>
      </c>
      <c r="Q56" s="76">
        <f t="shared" ref="Q56:Q75" si="20">_xlfn.IFNA(VLOOKUP(O56, $B$2:$D$200, 3, FALSE), "")</f>
        <v>-2.4242424200000001E-2</v>
      </c>
      <c r="R56" s="85">
        <f>_xlfn.IFNA(VLOOKUP(O56, $B$2:$E$200, 4, FALSE), "")</f>
        <v>29203172.02922079</v>
      </c>
    </row>
    <row r="57" spans="1:18">
      <c r="A57" s="40" t="s">
        <v>153</v>
      </c>
      <c r="B57" s="11" t="s">
        <v>154</v>
      </c>
      <c r="C57" s="95">
        <v>11</v>
      </c>
      <c r="D57" s="92">
        <v>-1.7857142900000001E-2</v>
      </c>
      <c r="E57" s="93">
        <v>451790943.32762301</v>
      </c>
      <c r="F57" s="35"/>
      <c r="G57" s="56" t="s">
        <v>67</v>
      </c>
      <c r="H57" s="39">
        <f t="shared" si="15"/>
        <v>5470</v>
      </c>
      <c r="I57" s="77">
        <f t="shared" si="16"/>
        <v>-4.0350877200000003E-2</v>
      </c>
      <c r="J57" s="86">
        <f t="shared" ref="J57:J75" si="21">_xlfn.IFNA(VLOOKUP(G57, $B$2:$E$200, 4, FALSE), "")</f>
        <v>718463.00325153</v>
      </c>
      <c r="K57" s="82" t="s">
        <v>100</v>
      </c>
      <c r="L57" s="39">
        <f t="shared" si="17"/>
        <v>4.37</v>
      </c>
      <c r="M57" s="77">
        <f t="shared" si="18"/>
        <v>-1.13122172E-2</v>
      </c>
      <c r="N57" s="86">
        <f t="shared" ref="N57:N75" si="22">_xlfn.IFNA(VLOOKUP(K57, $B$2:$E$200, 4, FALSE), "")</f>
        <v>13879328382.335428</v>
      </c>
      <c r="O57" s="82" t="s">
        <v>216</v>
      </c>
      <c r="P57" s="39">
        <f t="shared" si="19"/>
        <v>287</v>
      </c>
      <c r="Q57" s="77">
        <f t="shared" si="20"/>
        <v>-3.0405405399999998E-2</v>
      </c>
      <c r="R57" s="86">
        <f t="shared" ref="R57:R75" si="23">_xlfn.IFNA(VLOOKUP(O57, $B$2:$E$200, 4, FALSE), "")</f>
        <v>10276499.053614769</v>
      </c>
    </row>
    <row r="58" spans="1:18">
      <c r="A58" s="40" t="s">
        <v>183</v>
      </c>
      <c r="B58" s="11" t="s">
        <v>184</v>
      </c>
      <c r="C58" s="95">
        <v>1315</v>
      </c>
      <c r="D58" s="92">
        <v>-1.8656716399999999E-2</v>
      </c>
      <c r="E58" s="93">
        <v>1954774.45142312</v>
      </c>
      <c r="F58" s="35"/>
      <c r="G58" s="56" t="s">
        <v>218</v>
      </c>
      <c r="H58" s="39">
        <f t="shared" si="15"/>
        <v>16.600000000000001</v>
      </c>
      <c r="I58" s="77">
        <f t="shared" si="16"/>
        <v>-4.0462427699999998E-2</v>
      </c>
      <c r="J58" s="86">
        <f t="shared" si="21"/>
        <v>203482822.63957587</v>
      </c>
      <c r="K58" s="82" t="s">
        <v>154</v>
      </c>
      <c r="L58" s="39">
        <f t="shared" si="17"/>
        <v>11</v>
      </c>
      <c r="M58" s="77">
        <f t="shared" si="18"/>
        <v>-1.7857142900000001E-2</v>
      </c>
      <c r="N58" s="86">
        <f t="shared" si="22"/>
        <v>451790943.32762301</v>
      </c>
      <c r="O58" s="82" t="s">
        <v>182</v>
      </c>
      <c r="P58" s="39">
        <f t="shared" si="19"/>
        <v>293</v>
      </c>
      <c r="Q58" s="77">
        <f t="shared" si="20"/>
        <v>-3.3003300300000003E-2</v>
      </c>
      <c r="R58" s="86">
        <f t="shared" si="23"/>
        <v>7531992.4727673996</v>
      </c>
    </row>
    <row r="59" spans="1:18">
      <c r="A59" s="40" t="s">
        <v>151</v>
      </c>
      <c r="B59" s="11" t="s">
        <v>152</v>
      </c>
      <c r="C59" s="95">
        <v>20.3</v>
      </c>
      <c r="D59" s="92">
        <v>-1.93236715E-2</v>
      </c>
      <c r="E59" s="93">
        <v>306416887.92954427</v>
      </c>
      <c r="F59" s="35"/>
      <c r="G59" s="56" t="s">
        <v>232</v>
      </c>
      <c r="H59" s="39">
        <f t="shared" si="15"/>
        <v>113</v>
      </c>
      <c r="I59" s="77">
        <f t="shared" si="16"/>
        <v>-4.23728814E-2</v>
      </c>
      <c r="J59" s="86">
        <f t="shared" si="21"/>
        <v>56472756.800068177</v>
      </c>
      <c r="K59" s="82" t="s">
        <v>152</v>
      </c>
      <c r="L59" s="39">
        <f t="shared" si="17"/>
        <v>20.3</v>
      </c>
      <c r="M59" s="77">
        <f t="shared" si="18"/>
        <v>-1.93236715E-2</v>
      </c>
      <c r="N59" s="86">
        <f t="shared" si="22"/>
        <v>306416887.92954427</v>
      </c>
      <c r="O59" s="82" t="s">
        <v>256</v>
      </c>
      <c r="P59" s="39">
        <f t="shared" si="19"/>
        <v>174</v>
      </c>
      <c r="Q59" s="77">
        <f t="shared" si="20"/>
        <v>-3.3333333299999997E-2</v>
      </c>
      <c r="R59" s="86">
        <f t="shared" si="23"/>
        <v>11432585.117594911</v>
      </c>
    </row>
    <row r="60" spans="1:18">
      <c r="A60" s="40" t="s">
        <v>115</v>
      </c>
      <c r="B60" s="11" t="s">
        <v>116</v>
      </c>
      <c r="C60" s="95">
        <v>376</v>
      </c>
      <c r="D60" s="92">
        <v>-2.08333333E-2</v>
      </c>
      <c r="E60" s="93">
        <v>25327522.259394038</v>
      </c>
      <c r="F60" s="35"/>
      <c r="G60" s="56" t="s">
        <v>226</v>
      </c>
      <c r="H60" s="39">
        <f t="shared" si="15"/>
        <v>291</v>
      </c>
      <c r="I60" s="77">
        <f t="shared" si="16"/>
        <v>-4.2763157900000001E-2</v>
      </c>
      <c r="J60" s="90">
        <f t="shared" si="21"/>
        <v>9710508.5955919791</v>
      </c>
      <c r="K60" s="83" t="s">
        <v>196</v>
      </c>
      <c r="L60" s="44">
        <f t="shared" si="17"/>
        <v>11.5</v>
      </c>
      <c r="M60" s="78">
        <f t="shared" si="18"/>
        <v>-2.54237288E-2</v>
      </c>
      <c r="N60" s="90">
        <f t="shared" si="22"/>
        <v>184978584.76831648</v>
      </c>
      <c r="O60" s="83" t="s">
        <v>250</v>
      </c>
      <c r="P60" s="44">
        <f t="shared" si="19"/>
        <v>115</v>
      </c>
      <c r="Q60" s="78">
        <f t="shared" si="20"/>
        <v>-3.3613445399999997E-2</v>
      </c>
      <c r="R60" s="90">
        <f t="shared" si="23"/>
        <v>24317585.415144011</v>
      </c>
    </row>
    <row r="61" spans="1:18">
      <c r="A61" s="40" t="s">
        <v>81</v>
      </c>
      <c r="B61" s="11" t="s">
        <v>82</v>
      </c>
      <c r="C61" s="95">
        <v>987</v>
      </c>
      <c r="D61" s="92">
        <v>-2.27722772E-2</v>
      </c>
      <c r="E61" s="93">
        <v>1677785.92235073</v>
      </c>
      <c r="F61" s="35"/>
      <c r="G61" s="60" t="s">
        <v>72</v>
      </c>
      <c r="H61" s="45">
        <f t="shared" si="15"/>
        <v>20.100000000000001</v>
      </c>
      <c r="I61" s="80">
        <f t="shared" si="16"/>
        <v>-4.2857142899999999E-2</v>
      </c>
      <c r="J61" s="99">
        <f t="shared" si="21"/>
        <v>154488982.76500434</v>
      </c>
      <c r="K61" s="82" t="s">
        <v>198</v>
      </c>
      <c r="L61" s="39">
        <f t="shared" si="17"/>
        <v>16.8</v>
      </c>
      <c r="M61" s="77">
        <f t="shared" si="18"/>
        <v>-2.89017341E-2</v>
      </c>
      <c r="N61" s="99">
        <f t="shared" si="22"/>
        <v>360133399.11441642</v>
      </c>
      <c r="O61" s="82" t="s">
        <v>282</v>
      </c>
      <c r="P61" s="39">
        <f t="shared" si="19"/>
        <v>113</v>
      </c>
      <c r="Q61" s="77">
        <f t="shared" si="20"/>
        <v>-3.4188034200000002E-2</v>
      </c>
      <c r="R61" s="99">
        <f t="shared" si="23"/>
        <v>19479888.154383831</v>
      </c>
    </row>
    <row r="62" spans="1:18">
      <c r="A62" s="40" t="s">
        <v>189</v>
      </c>
      <c r="B62" s="11" t="s">
        <v>190</v>
      </c>
      <c r="C62" s="95">
        <v>48700</v>
      </c>
      <c r="D62" s="92">
        <v>-2.4048096200000001E-2</v>
      </c>
      <c r="E62" s="93">
        <v>74628.077585849998</v>
      </c>
      <c r="F62" s="35"/>
      <c r="G62" s="56" t="s">
        <v>194</v>
      </c>
      <c r="H62" s="39">
        <f t="shared" si="15"/>
        <v>8400</v>
      </c>
      <c r="I62" s="77">
        <f t="shared" si="16"/>
        <v>-4.3280182200000003E-2</v>
      </c>
      <c r="J62" s="86">
        <f t="shared" si="21"/>
        <v>1710847.1162261099</v>
      </c>
      <c r="K62" s="82" t="s">
        <v>134</v>
      </c>
      <c r="L62" s="39">
        <f t="shared" si="17"/>
        <v>94.9</v>
      </c>
      <c r="M62" s="77">
        <f t="shared" si="18"/>
        <v>-2.9652351699999999E-2</v>
      </c>
      <c r="N62" s="86">
        <f t="shared" si="22"/>
        <v>40943897.176569127</v>
      </c>
      <c r="O62" s="82" t="s">
        <v>284</v>
      </c>
      <c r="P62" s="39">
        <f t="shared" si="19"/>
        <v>251</v>
      </c>
      <c r="Q62" s="77">
        <f t="shared" si="20"/>
        <v>-3.46153846E-2</v>
      </c>
      <c r="R62" s="86">
        <f t="shared" si="23"/>
        <v>6520346.5676892698</v>
      </c>
    </row>
    <row r="63" spans="1:18">
      <c r="A63" s="40" t="s">
        <v>111</v>
      </c>
      <c r="B63" s="11" t="s">
        <v>112</v>
      </c>
      <c r="C63" s="95">
        <v>161</v>
      </c>
      <c r="D63" s="92">
        <v>-2.4242424200000001E-2</v>
      </c>
      <c r="E63" s="93">
        <v>29203172.02922079</v>
      </c>
      <c r="F63" s="35"/>
      <c r="G63" s="56" t="s">
        <v>210</v>
      </c>
      <c r="H63" s="39">
        <f t="shared" si="15"/>
        <v>131</v>
      </c>
      <c r="I63" s="77">
        <f t="shared" si="16"/>
        <v>-4.3795620399999999E-2</v>
      </c>
      <c r="J63" s="86">
        <f t="shared" si="21"/>
        <v>36329610.725401662</v>
      </c>
      <c r="K63" s="82" t="s">
        <v>214</v>
      </c>
      <c r="L63" s="39">
        <f t="shared" si="17"/>
        <v>14.1</v>
      </c>
      <c r="M63" s="77">
        <f t="shared" si="18"/>
        <v>-3.4246575299999998E-2</v>
      </c>
      <c r="N63" s="86">
        <f t="shared" si="22"/>
        <v>1293905916.4955781</v>
      </c>
      <c r="O63" s="82" t="s">
        <v>208</v>
      </c>
      <c r="P63" s="39">
        <f t="shared" si="19"/>
        <v>331</v>
      </c>
      <c r="Q63" s="77">
        <f t="shared" si="20"/>
        <v>-3.4985422699999998E-2</v>
      </c>
      <c r="R63" s="86">
        <f t="shared" si="23"/>
        <v>59060719.31540776</v>
      </c>
    </row>
    <row r="64" spans="1:18">
      <c r="A64" s="40" t="s">
        <v>241</v>
      </c>
      <c r="B64" s="11" t="s">
        <v>242</v>
      </c>
      <c r="C64" s="95">
        <v>3995</v>
      </c>
      <c r="D64" s="92">
        <v>-2.44200244E-2</v>
      </c>
      <c r="E64" s="93">
        <v>1374239.2645755201</v>
      </c>
      <c r="F64" s="35"/>
      <c r="G64" s="56" t="s">
        <v>280</v>
      </c>
      <c r="H64" s="39">
        <f t="shared" si="15"/>
        <v>1085</v>
      </c>
      <c r="I64" s="77">
        <f t="shared" si="16"/>
        <v>-4.4052863400000003E-2</v>
      </c>
      <c r="J64" s="86">
        <f t="shared" si="21"/>
        <v>11868276.173368299</v>
      </c>
      <c r="K64" s="82" t="s">
        <v>212</v>
      </c>
      <c r="L64" s="39">
        <f t="shared" si="17"/>
        <v>77.900000000000006</v>
      </c>
      <c r="M64" s="77">
        <f t="shared" si="18"/>
        <v>-3.4696406399999997E-2</v>
      </c>
      <c r="N64" s="86">
        <f t="shared" si="22"/>
        <v>149811356.0177947</v>
      </c>
      <c r="O64" s="82" t="s">
        <v>170</v>
      </c>
      <c r="P64" s="39">
        <f t="shared" si="19"/>
        <v>290</v>
      </c>
      <c r="Q64" s="77">
        <f t="shared" si="20"/>
        <v>-3.6544850500000003E-2</v>
      </c>
      <c r="R64" s="86">
        <f t="shared" si="23"/>
        <v>5835030.3643725105</v>
      </c>
    </row>
    <row r="65" spans="1:18" ht="17.25" thickBot="1">
      <c r="A65" s="40" t="s">
        <v>223</v>
      </c>
      <c r="B65" s="11" t="s">
        <v>224</v>
      </c>
      <c r="C65" s="95">
        <v>1570</v>
      </c>
      <c r="D65" s="92">
        <v>-2.48447205E-2</v>
      </c>
      <c r="E65" s="93">
        <v>10045275.01115392</v>
      </c>
      <c r="F65" s="35"/>
      <c r="G65" s="57" t="s">
        <v>234</v>
      </c>
      <c r="H65" s="37">
        <f t="shared" si="15"/>
        <v>845</v>
      </c>
      <c r="I65" s="79">
        <f t="shared" si="16"/>
        <v>-4.4117647099999997E-2</v>
      </c>
      <c r="J65" s="87">
        <f t="shared" si="21"/>
        <v>4858072.0083096595</v>
      </c>
      <c r="K65" s="84" t="s">
        <v>186</v>
      </c>
      <c r="L65" s="37">
        <f t="shared" si="17"/>
        <v>13.4</v>
      </c>
      <c r="M65" s="79">
        <f t="shared" si="18"/>
        <v>-3.5971222999999997E-2</v>
      </c>
      <c r="N65" s="87">
        <f t="shared" si="22"/>
        <v>182241054.4058494</v>
      </c>
      <c r="O65" s="84" t="s">
        <v>200</v>
      </c>
      <c r="P65" s="37">
        <f t="shared" si="19"/>
        <v>209</v>
      </c>
      <c r="Q65" s="79">
        <f t="shared" si="20"/>
        <v>-3.68663594E-2</v>
      </c>
      <c r="R65" s="87">
        <f t="shared" si="23"/>
        <v>8404172.1716333404</v>
      </c>
    </row>
    <row r="66" spans="1:18">
      <c r="A66" s="40" t="s">
        <v>247</v>
      </c>
      <c r="B66" s="11" t="s">
        <v>248</v>
      </c>
      <c r="C66" s="95">
        <v>1750</v>
      </c>
      <c r="D66" s="92">
        <v>-2.50696379E-2</v>
      </c>
      <c r="E66" s="93">
        <v>3076228.0547470101</v>
      </c>
      <c r="F66" s="35"/>
      <c r="G66" s="56" t="s">
        <v>252</v>
      </c>
      <c r="H66" s="38">
        <f t="shared" si="15"/>
        <v>303</v>
      </c>
      <c r="I66" s="76">
        <f t="shared" ref="I66:I75" si="24">_xlfn.IFNA(VLOOKUP(G66, $B$2:$D$200, 3, FALSE), "")</f>
        <v>-4.4164037900000001E-2</v>
      </c>
      <c r="J66" s="85">
        <f t="shared" si="21"/>
        <v>14365674.53722652</v>
      </c>
      <c r="K66" s="81" t="s">
        <v>228</v>
      </c>
      <c r="L66" s="38">
        <f t="shared" si="17"/>
        <v>10.7</v>
      </c>
      <c r="M66" s="76">
        <f t="shared" si="18"/>
        <v>-3.6036036E-2</v>
      </c>
      <c r="N66" s="85">
        <f t="shared" si="22"/>
        <v>475185142.67931676</v>
      </c>
      <c r="O66" s="81" t="s">
        <v>258</v>
      </c>
      <c r="P66" s="38">
        <f t="shared" si="19"/>
        <v>494</v>
      </c>
      <c r="Q66" s="76">
        <f t="shared" si="20"/>
        <v>-3.7037037000000002E-2</v>
      </c>
      <c r="R66" s="85">
        <f t="shared" si="23"/>
        <v>6384003.5512936004</v>
      </c>
    </row>
    <row r="67" spans="1:18">
      <c r="A67" s="40" t="s">
        <v>179</v>
      </c>
      <c r="B67" s="11" t="s">
        <v>180</v>
      </c>
      <c r="C67" s="95">
        <v>2525</v>
      </c>
      <c r="D67" s="92">
        <v>-2.5096525099999999E-2</v>
      </c>
      <c r="E67" s="93">
        <v>3193303.9407852599</v>
      </c>
      <c r="F67" s="35"/>
      <c r="G67" s="56" t="s">
        <v>220</v>
      </c>
      <c r="H67" s="39">
        <f t="shared" si="15"/>
        <v>10.7</v>
      </c>
      <c r="I67" s="77">
        <f t="shared" si="24"/>
        <v>-4.4642857100000002E-2</v>
      </c>
      <c r="J67" s="86">
        <f t="shared" si="21"/>
        <v>216283793.2439383</v>
      </c>
      <c r="K67" s="82" t="s">
        <v>236</v>
      </c>
      <c r="L67" s="39">
        <f t="shared" si="17"/>
        <v>52.2</v>
      </c>
      <c r="M67" s="77">
        <f t="shared" si="18"/>
        <v>-3.6900369000000002E-2</v>
      </c>
      <c r="N67" s="86">
        <f t="shared" si="22"/>
        <v>64297116.521781988</v>
      </c>
      <c r="O67" s="82" t="s">
        <v>240</v>
      </c>
      <c r="P67" s="39">
        <f t="shared" si="19"/>
        <v>124</v>
      </c>
      <c r="Q67" s="77">
        <f t="shared" si="20"/>
        <v>-3.8759689899999998E-2</v>
      </c>
      <c r="R67" s="86">
        <f t="shared" si="23"/>
        <v>29448780.632029701</v>
      </c>
    </row>
    <row r="68" spans="1:18">
      <c r="A68" s="40" t="s">
        <v>113</v>
      </c>
      <c r="B68" s="11" t="s">
        <v>114</v>
      </c>
      <c r="C68" s="95">
        <v>7710</v>
      </c>
      <c r="D68" s="92">
        <v>-2.5284450100000001E-2</v>
      </c>
      <c r="E68" s="93">
        <v>1291575.0548503201</v>
      </c>
      <c r="F68" s="35"/>
      <c r="G68" s="56" t="s">
        <v>238</v>
      </c>
      <c r="H68" s="39">
        <f t="shared" si="15"/>
        <v>191</v>
      </c>
      <c r="I68" s="77">
        <f t="shared" si="24"/>
        <v>-4.4999999999999998E-2</v>
      </c>
      <c r="J68" s="86">
        <f t="shared" si="21"/>
        <v>28766741.143145561</v>
      </c>
      <c r="K68" s="82" t="s">
        <v>266</v>
      </c>
      <c r="L68" s="39">
        <f t="shared" si="17"/>
        <v>58.5</v>
      </c>
      <c r="M68" s="77">
        <f t="shared" si="18"/>
        <v>-3.78289474E-2</v>
      </c>
      <c r="N68" s="86">
        <f t="shared" si="22"/>
        <v>50307649.07410647</v>
      </c>
      <c r="O68" s="82" t="s">
        <v>202</v>
      </c>
      <c r="P68" s="39">
        <f t="shared" si="19"/>
        <v>120</v>
      </c>
      <c r="Q68" s="77">
        <f t="shared" si="20"/>
        <v>-0.04</v>
      </c>
      <c r="R68" s="86">
        <f t="shared" si="23"/>
        <v>48210264.221073069</v>
      </c>
    </row>
    <row r="69" spans="1:18">
      <c r="A69" s="40" t="s">
        <v>195</v>
      </c>
      <c r="B69" s="11" t="s">
        <v>196</v>
      </c>
      <c r="C69" s="95">
        <v>11.5</v>
      </c>
      <c r="D69" s="92">
        <v>-2.54237288E-2</v>
      </c>
      <c r="E69" s="93">
        <v>184978584.76831648</v>
      </c>
      <c r="F69" s="35"/>
      <c r="G69" s="56" t="s">
        <v>164</v>
      </c>
      <c r="H69" s="39">
        <f t="shared" si="15"/>
        <v>15480</v>
      </c>
      <c r="I69" s="77">
        <f t="shared" si="24"/>
        <v>-4.5033929700000003E-2</v>
      </c>
      <c r="J69" s="86">
        <f t="shared" si="21"/>
        <v>2141651.5146195702</v>
      </c>
      <c r="K69" s="82" t="s">
        <v>254</v>
      </c>
      <c r="L69" s="39">
        <f t="shared" si="17"/>
        <v>52.2</v>
      </c>
      <c r="M69" s="77">
        <f t="shared" si="18"/>
        <v>-3.8674033099999998E-2</v>
      </c>
      <c r="N69" s="86">
        <f t="shared" si="22"/>
        <v>75847553.575340763</v>
      </c>
      <c r="O69" s="82" t="s">
        <v>232</v>
      </c>
      <c r="P69" s="39">
        <f t="shared" si="19"/>
        <v>113</v>
      </c>
      <c r="Q69" s="77">
        <f t="shared" si="20"/>
        <v>-4.23728814E-2</v>
      </c>
      <c r="R69" s="86">
        <f t="shared" si="23"/>
        <v>56472756.800068177</v>
      </c>
    </row>
    <row r="70" spans="1:18">
      <c r="A70" s="40" t="s">
        <v>175</v>
      </c>
      <c r="B70" s="11" t="s">
        <v>176</v>
      </c>
      <c r="C70" s="95">
        <v>1150</v>
      </c>
      <c r="D70" s="92">
        <v>-2.54237288E-2</v>
      </c>
      <c r="E70" s="93">
        <v>6065428.5818680003</v>
      </c>
      <c r="F70" s="35"/>
      <c r="G70" s="56" t="s">
        <v>268</v>
      </c>
      <c r="H70" s="39">
        <f t="shared" si="15"/>
        <v>52.7</v>
      </c>
      <c r="I70" s="77">
        <f t="shared" si="24"/>
        <v>-4.5289855099999998E-2</v>
      </c>
      <c r="J70" s="90">
        <f t="shared" si="21"/>
        <v>58662173.171420619</v>
      </c>
      <c r="K70" s="83" t="s">
        <v>264</v>
      </c>
      <c r="L70" s="44">
        <f t="shared" si="17"/>
        <v>88.7</v>
      </c>
      <c r="M70" s="78">
        <f t="shared" si="18"/>
        <v>-3.90032503E-2</v>
      </c>
      <c r="N70" s="90">
        <f t="shared" si="22"/>
        <v>24188725.192161601</v>
      </c>
      <c r="O70" s="83" t="s">
        <v>226</v>
      </c>
      <c r="P70" s="44">
        <f t="shared" si="19"/>
        <v>291</v>
      </c>
      <c r="Q70" s="78">
        <f t="shared" si="20"/>
        <v>-4.2763157900000001E-2</v>
      </c>
      <c r="R70" s="90">
        <f t="shared" si="23"/>
        <v>9710508.5955919791</v>
      </c>
    </row>
    <row r="71" spans="1:18">
      <c r="A71" s="40" t="s">
        <v>177</v>
      </c>
      <c r="B71" s="11" t="s">
        <v>178</v>
      </c>
      <c r="C71" s="95">
        <v>27220</v>
      </c>
      <c r="D71" s="92">
        <v>-2.88976097E-2</v>
      </c>
      <c r="E71" s="93">
        <v>125604.77639631</v>
      </c>
      <c r="F71" s="35"/>
      <c r="G71" s="60" t="s">
        <v>124</v>
      </c>
      <c r="H71" s="45">
        <f t="shared" si="15"/>
        <v>3880</v>
      </c>
      <c r="I71" s="80">
        <f t="shared" si="24"/>
        <v>-4.9019607799999997E-2</v>
      </c>
      <c r="J71" s="99">
        <f t="shared" si="21"/>
        <v>4411974.52827961</v>
      </c>
      <c r="K71" s="82" t="s">
        <v>218</v>
      </c>
      <c r="L71" s="39">
        <f t="shared" si="17"/>
        <v>16.600000000000001</v>
      </c>
      <c r="M71" s="77">
        <f t="shared" si="18"/>
        <v>-4.0462427699999998E-2</v>
      </c>
      <c r="N71" s="99">
        <f t="shared" si="22"/>
        <v>203482822.63957587</v>
      </c>
      <c r="O71" s="82" t="s">
        <v>210</v>
      </c>
      <c r="P71" s="39">
        <f t="shared" si="19"/>
        <v>131</v>
      </c>
      <c r="Q71" s="77">
        <f t="shared" si="20"/>
        <v>-4.3795620399999999E-2</v>
      </c>
      <c r="R71" s="99">
        <f t="shared" si="23"/>
        <v>36329610.725401662</v>
      </c>
    </row>
    <row r="72" spans="1:18">
      <c r="A72" s="40" t="s">
        <v>197</v>
      </c>
      <c r="B72" s="11" t="s">
        <v>198</v>
      </c>
      <c r="C72" s="95">
        <v>16.8</v>
      </c>
      <c r="D72" s="92">
        <v>-2.89017341E-2</v>
      </c>
      <c r="E72" s="93">
        <v>360133399.11441642</v>
      </c>
      <c r="F72" s="35"/>
      <c r="G72" s="56" t="s">
        <v>172</v>
      </c>
      <c r="H72" s="39">
        <f t="shared" si="15"/>
        <v>14.7</v>
      </c>
      <c r="I72" s="77">
        <f t="shared" si="24"/>
        <v>-5.1612903199999997E-2</v>
      </c>
      <c r="J72" s="86">
        <f t="shared" si="21"/>
        <v>228619465.07469699</v>
      </c>
      <c r="K72" s="82" t="s">
        <v>72</v>
      </c>
      <c r="L72" s="39">
        <f t="shared" si="17"/>
        <v>20.100000000000001</v>
      </c>
      <c r="M72" s="77">
        <f t="shared" si="18"/>
        <v>-4.2857142899999999E-2</v>
      </c>
      <c r="N72" s="86">
        <f t="shared" si="22"/>
        <v>154488982.76500434</v>
      </c>
      <c r="O72" s="82" t="s">
        <v>234</v>
      </c>
      <c r="P72" s="39">
        <f t="shared" si="19"/>
        <v>845</v>
      </c>
      <c r="Q72" s="77">
        <f t="shared" si="20"/>
        <v>-4.4117647099999997E-2</v>
      </c>
      <c r="R72" s="86">
        <f t="shared" si="23"/>
        <v>4858072.0083096595</v>
      </c>
    </row>
    <row r="73" spans="1:18">
      <c r="A73" s="40" t="s">
        <v>205</v>
      </c>
      <c r="B73" s="11" t="s">
        <v>206</v>
      </c>
      <c r="C73" s="95">
        <v>15900</v>
      </c>
      <c r="D73" s="92">
        <v>-2.9304029299999999E-2</v>
      </c>
      <c r="E73" s="93">
        <v>399220.04108370002</v>
      </c>
      <c r="F73" s="35"/>
      <c r="G73" s="56" t="s">
        <v>192</v>
      </c>
      <c r="H73" s="39">
        <f t="shared" si="15"/>
        <v>1190</v>
      </c>
      <c r="I73" s="77">
        <f t="shared" si="24"/>
        <v>-5.1792828700000001E-2</v>
      </c>
      <c r="J73" s="86">
        <f t="shared" si="21"/>
        <v>15597724.744063901</v>
      </c>
      <c r="K73" s="82" t="s">
        <v>220</v>
      </c>
      <c r="L73" s="39">
        <f t="shared" si="17"/>
        <v>10.7</v>
      </c>
      <c r="M73" s="77">
        <f t="shared" si="18"/>
        <v>-4.4642857100000002E-2</v>
      </c>
      <c r="N73" s="86">
        <f t="shared" si="22"/>
        <v>216283793.2439383</v>
      </c>
      <c r="O73" s="82" t="s">
        <v>252</v>
      </c>
      <c r="P73" s="39">
        <f t="shared" si="19"/>
        <v>303</v>
      </c>
      <c r="Q73" s="77">
        <f t="shared" si="20"/>
        <v>-4.4164037900000001E-2</v>
      </c>
      <c r="R73" s="86">
        <f t="shared" si="23"/>
        <v>14365674.53722652</v>
      </c>
    </row>
    <row r="74" spans="1:18">
      <c r="A74" s="40" t="s">
        <v>133</v>
      </c>
      <c r="B74" s="11" t="s">
        <v>134</v>
      </c>
      <c r="C74" s="95">
        <v>94.9</v>
      </c>
      <c r="D74" s="92">
        <v>-2.9652351699999999E-2</v>
      </c>
      <c r="E74" s="93">
        <v>40943897.176569127</v>
      </c>
      <c r="F74" s="35"/>
      <c r="G74" s="56" t="s">
        <v>274</v>
      </c>
      <c r="H74" s="39">
        <f t="shared" si="15"/>
        <v>9700</v>
      </c>
      <c r="I74" s="77">
        <f t="shared" si="24"/>
        <v>-5.7337220600000002E-2</v>
      </c>
      <c r="J74" s="86">
        <f t="shared" si="21"/>
        <v>6300371.1080382699</v>
      </c>
      <c r="K74" s="82" t="s">
        <v>268</v>
      </c>
      <c r="L74" s="39">
        <f t="shared" si="17"/>
        <v>52.7</v>
      </c>
      <c r="M74" s="77">
        <f t="shared" si="18"/>
        <v>-4.5289855099999998E-2</v>
      </c>
      <c r="N74" s="86">
        <f t="shared" si="22"/>
        <v>58662173.171420619</v>
      </c>
      <c r="O74" s="82" t="s">
        <v>238</v>
      </c>
      <c r="P74" s="39">
        <f t="shared" si="19"/>
        <v>191</v>
      </c>
      <c r="Q74" s="77">
        <f t="shared" si="20"/>
        <v>-4.4999999999999998E-2</v>
      </c>
      <c r="R74" s="86">
        <f t="shared" si="23"/>
        <v>28766741.143145561</v>
      </c>
    </row>
    <row r="75" spans="1:18" ht="17.25" thickBot="1">
      <c r="A75" s="40" t="s">
        <v>215</v>
      </c>
      <c r="B75" s="11" t="s">
        <v>216</v>
      </c>
      <c r="C75" s="95">
        <v>287</v>
      </c>
      <c r="D75" s="92">
        <v>-3.0405405399999998E-2</v>
      </c>
      <c r="E75" s="93">
        <v>10276499.053614769</v>
      </c>
      <c r="F75" s="35"/>
      <c r="G75" s="57" t="s">
        <v>246</v>
      </c>
      <c r="H75" s="37">
        <f t="shared" si="15"/>
        <v>308</v>
      </c>
      <c r="I75" s="79">
        <f t="shared" si="24"/>
        <v>-5.8103975500000002E-2</v>
      </c>
      <c r="J75" s="87">
        <f t="shared" si="21"/>
        <v>28172137.118568439</v>
      </c>
      <c r="K75" s="84" t="s">
        <v>172</v>
      </c>
      <c r="L75" s="37">
        <f t="shared" si="17"/>
        <v>14.7</v>
      </c>
      <c r="M75" s="79">
        <f t="shared" si="18"/>
        <v>-5.1612903199999997E-2</v>
      </c>
      <c r="N75" s="87">
        <f t="shared" si="22"/>
        <v>228619465.07469699</v>
      </c>
      <c r="O75" s="84" t="s">
        <v>246</v>
      </c>
      <c r="P75" s="37">
        <f t="shared" si="19"/>
        <v>308</v>
      </c>
      <c r="Q75" s="79">
        <f t="shared" si="20"/>
        <v>-5.8103975500000002E-2</v>
      </c>
      <c r="R75" s="87">
        <f t="shared" si="23"/>
        <v>28172137.118568439</v>
      </c>
    </row>
    <row r="76" spans="1:18">
      <c r="A76" s="40" t="s">
        <v>93</v>
      </c>
      <c r="B76" s="11" t="s">
        <v>94</v>
      </c>
      <c r="C76" s="95">
        <v>67300</v>
      </c>
      <c r="D76" s="92">
        <v>-3.0678381099999999E-2</v>
      </c>
      <c r="E76" s="93">
        <v>222642.08305709</v>
      </c>
      <c r="F76" s="35"/>
      <c r="G76" s="35"/>
      <c r="H76" s="35"/>
      <c r="I76" s="35"/>
    </row>
    <row r="77" spans="1:18">
      <c r="A77" s="40" t="s">
        <v>275</v>
      </c>
      <c r="B77" s="11" t="s">
        <v>276</v>
      </c>
      <c r="C77" s="95">
        <v>2875</v>
      </c>
      <c r="D77" s="92">
        <v>-3.1986531999999998E-2</v>
      </c>
      <c r="E77" s="93">
        <v>1880276.1553090999</v>
      </c>
      <c r="F77" s="35"/>
      <c r="G77" s="35"/>
      <c r="H77" s="35"/>
      <c r="I77" s="35"/>
    </row>
    <row r="78" spans="1:18">
      <c r="A78" s="40" t="s">
        <v>107</v>
      </c>
      <c r="B78" s="11" t="s">
        <v>108</v>
      </c>
      <c r="C78" s="95">
        <v>30840</v>
      </c>
      <c r="D78" s="92">
        <v>-3.26223338E-2</v>
      </c>
      <c r="E78" s="93">
        <v>217088.23306323</v>
      </c>
      <c r="F78" s="35"/>
      <c r="G78" s="35"/>
      <c r="H78" s="35"/>
      <c r="I78" s="35"/>
    </row>
    <row r="79" spans="1:18">
      <c r="A79" s="40" t="s">
        <v>181</v>
      </c>
      <c r="B79" s="11" t="s">
        <v>182</v>
      </c>
      <c r="C79" s="95">
        <v>293</v>
      </c>
      <c r="D79" s="92">
        <v>-3.3003300300000003E-2</v>
      </c>
      <c r="E79" s="93">
        <v>7531992.4727673996</v>
      </c>
      <c r="F79" s="35"/>
      <c r="G79" s="35"/>
      <c r="H79" s="35"/>
      <c r="I79" s="35"/>
    </row>
    <row r="80" spans="1:18">
      <c r="A80" s="40" t="s">
        <v>255</v>
      </c>
      <c r="B80" s="11" t="s">
        <v>256</v>
      </c>
      <c r="C80" s="95">
        <v>174</v>
      </c>
      <c r="D80" s="92">
        <v>-3.3333333299999997E-2</v>
      </c>
      <c r="E80" s="93">
        <v>11432585.117594911</v>
      </c>
      <c r="F80" s="35"/>
      <c r="G80" s="35"/>
      <c r="H80" s="35"/>
      <c r="I80" s="35"/>
    </row>
    <row r="81" spans="1:9">
      <c r="A81" s="40" t="s">
        <v>249</v>
      </c>
      <c r="B81" s="11" t="s">
        <v>250</v>
      </c>
      <c r="C81" s="95">
        <v>115</v>
      </c>
      <c r="D81" s="92">
        <v>-3.3613445399999997E-2</v>
      </c>
      <c r="E81" s="93">
        <v>24317585.415144011</v>
      </c>
      <c r="F81" s="35"/>
      <c r="G81" s="35"/>
      <c r="H81" s="35"/>
      <c r="I81" s="35"/>
    </row>
    <row r="82" spans="1:9">
      <c r="A82" s="40" t="s">
        <v>281</v>
      </c>
      <c r="B82" s="11" t="s">
        <v>282</v>
      </c>
      <c r="C82" s="95">
        <v>113</v>
      </c>
      <c r="D82" s="92">
        <v>-3.4188034200000002E-2</v>
      </c>
      <c r="E82" s="93">
        <v>19479888.154383831</v>
      </c>
      <c r="F82" s="35"/>
      <c r="G82" s="35"/>
      <c r="H82" s="35"/>
      <c r="I82" s="35"/>
    </row>
    <row r="83" spans="1:9">
      <c r="A83" s="40" t="s">
        <v>213</v>
      </c>
      <c r="B83" s="11" t="s">
        <v>214</v>
      </c>
      <c r="C83" s="95">
        <v>14.1</v>
      </c>
      <c r="D83" s="92">
        <v>-3.4246575299999998E-2</v>
      </c>
      <c r="E83" s="93">
        <v>1293905916.4955781</v>
      </c>
      <c r="F83" s="35"/>
      <c r="G83" s="35"/>
      <c r="H83" s="35"/>
      <c r="I83" s="35"/>
    </row>
    <row r="84" spans="1:9">
      <c r="A84" s="40" t="s">
        <v>283</v>
      </c>
      <c r="B84" s="11" t="s">
        <v>284</v>
      </c>
      <c r="C84" s="95">
        <v>251</v>
      </c>
      <c r="D84" s="92">
        <v>-3.46153846E-2</v>
      </c>
      <c r="E84" s="93">
        <v>6520346.5676892698</v>
      </c>
      <c r="F84" s="35"/>
      <c r="G84" s="35"/>
      <c r="H84" s="35"/>
      <c r="I84" s="35"/>
    </row>
    <row r="85" spans="1:9">
      <c r="A85" s="40" t="s">
        <v>211</v>
      </c>
      <c r="B85" s="11" t="s">
        <v>212</v>
      </c>
      <c r="C85" s="95">
        <v>77.900000000000006</v>
      </c>
      <c r="D85" s="92">
        <v>-3.4696406399999997E-2</v>
      </c>
      <c r="E85" s="93">
        <v>149811356.0177947</v>
      </c>
      <c r="F85" s="35"/>
      <c r="G85" s="35"/>
      <c r="H85" s="35"/>
      <c r="I85" s="35"/>
    </row>
    <row r="86" spans="1:9">
      <c r="A86" s="40" t="s">
        <v>207</v>
      </c>
      <c r="B86" s="11" t="s">
        <v>208</v>
      </c>
      <c r="C86" s="95">
        <v>331</v>
      </c>
      <c r="D86" s="92">
        <v>-3.4985422699999998E-2</v>
      </c>
      <c r="E86" s="93">
        <v>59060719.31540776</v>
      </c>
      <c r="F86" s="35"/>
      <c r="G86" s="35"/>
      <c r="H86" s="35"/>
      <c r="I86" s="35"/>
    </row>
    <row r="87" spans="1:9">
      <c r="A87" s="40" t="s">
        <v>185</v>
      </c>
      <c r="B87" s="11" t="s">
        <v>186</v>
      </c>
      <c r="C87" s="95">
        <v>13.4</v>
      </c>
      <c r="D87" s="92">
        <v>-3.5971222999999997E-2</v>
      </c>
      <c r="E87" s="93">
        <v>182241054.4058494</v>
      </c>
      <c r="F87" s="35"/>
      <c r="G87" s="35"/>
      <c r="H87" s="35"/>
      <c r="I87" s="35"/>
    </row>
    <row r="88" spans="1:9">
      <c r="A88" s="40" t="s">
        <v>227</v>
      </c>
      <c r="B88" s="11" t="s">
        <v>228</v>
      </c>
      <c r="C88" s="95">
        <v>10.7</v>
      </c>
      <c r="D88" s="92">
        <v>-3.6036036E-2</v>
      </c>
      <c r="E88" s="93">
        <v>475185142.67931676</v>
      </c>
      <c r="F88" s="35"/>
      <c r="G88" s="35"/>
      <c r="H88" s="35"/>
      <c r="I88" s="35"/>
    </row>
    <row r="89" spans="1:9">
      <c r="A89" s="40" t="s">
        <v>145</v>
      </c>
      <c r="B89" s="11" t="s">
        <v>146</v>
      </c>
      <c r="C89" s="95">
        <v>10150</v>
      </c>
      <c r="D89" s="92">
        <v>-3.6087369399999999E-2</v>
      </c>
      <c r="E89" s="93">
        <v>579939.77964466996</v>
      </c>
      <c r="F89" s="35"/>
      <c r="G89" s="35"/>
      <c r="H89" s="35"/>
      <c r="I89" s="35"/>
    </row>
    <row r="90" spans="1:9">
      <c r="A90" s="40" t="s">
        <v>169</v>
      </c>
      <c r="B90" s="11" t="s">
        <v>170</v>
      </c>
      <c r="C90" s="95">
        <v>290</v>
      </c>
      <c r="D90" s="92">
        <v>-3.6544850500000003E-2</v>
      </c>
      <c r="E90" s="93">
        <v>5835030.3643725105</v>
      </c>
      <c r="F90" s="35"/>
      <c r="G90" s="35"/>
      <c r="H90" s="35"/>
      <c r="I90" s="35"/>
    </row>
    <row r="91" spans="1:9">
      <c r="A91" s="40" t="s">
        <v>199</v>
      </c>
      <c r="B91" s="11" t="s">
        <v>200</v>
      </c>
      <c r="C91" s="95">
        <v>209</v>
      </c>
      <c r="D91" s="92">
        <v>-3.68663594E-2</v>
      </c>
      <c r="E91" s="93">
        <v>8404172.1716333404</v>
      </c>
      <c r="F91" s="35"/>
      <c r="G91" s="35"/>
      <c r="H91" s="35"/>
      <c r="I91" s="35"/>
    </row>
    <row r="92" spans="1:9">
      <c r="A92" s="40" t="s">
        <v>235</v>
      </c>
      <c r="B92" s="11" t="s">
        <v>236</v>
      </c>
      <c r="C92" s="95">
        <v>52.2</v>
      </c>
      <c r="D92" s="92">
        <v>-3.6900369000000002E-2</v>
      </c>
      <c r="E92" s="93">
        <v>64297116.521781988</v>
      </c>
      <c r="F92" s="35"/>
      <c r="G92" s="35"/>
      <c r="H92" s="35"/>
      <c r="I92" s="35"/>
    </row>
    <row r="93" spans="1:9">
      <c r="A93" s="40" t="s">
        <v>257</v>
      </c>
      <c r="B93" s="11" t="s">
        <v>258</v>
      </c>
      <c r="C93" s="95">
        <v>494</v>
      </c>
      <c r="D93" s="92">
        <v>-3.7037037000000002E-2</v>
      </c>
      <c r="E93" s="93">
        <v>6384003.5512936004</v>
      </c>
      <c r="F93" s="35"/>
      <c r="G93" s="35"/>
      <c r="H93" s="35"/>
      <c r="I93" s="35"/>
    </row>
    <row r="94" spans="1:9">
      <c r="A94" s="40" t="s">
        <v>243</v>
      </c>
      <c r="B94" s="11" t="s">
        <v>244</v>
      </c>
      <c r="C94" s="95">
        <v>1940</v>
      </c>
      <c r="D94" s="92">
        <v>-3.7220843699999999E-2</v>
      </c>
      <c r="E94" s="93">
        <v>3079011.61079473</v>
      </c>
      <c r="F94" s="35"/>
      <c r="G94" s="35"/>
      <c r="H94" s="35"/>
      <c r="I94" s="35"/>
    </row>
    <row r="95" spans="1:9">
      <c r="A95" s="40" t="s">
        <v>265</v>
      </c>
      <c r="B95" s="11" t="s">
        <v>266</v>
      </c>
      <c r="C95" s="95">
        <v>58.5</v>
      </c>
      <c r="D95" s="92">
        <v>-3.78289474E-2</v>
      </c>
      <c r="E95" s="93">
        <v>50307649.07410647</v>
      </c>
      <c r="F95" s="35"/>
      <c r="G95" s="35"/>
      <c r="H95" s="35"/>
      <c r="I95" s="35"/>
    </row>
    <row r="96" spans="1:9">
      <c r="A96" s="40" t="s">
        <v>253</v>
      </c>
      <c r="B96" s="11" t="s">
        <v>254</v>
      </c>
      <c r="C96" s="95">
        <v>52.2</v>
      </c>
      <c r="D96" s="92">
        <v>-3.8674033099999998E-2</v>
      </c>
      <c r="E96" s="93">
        <v>75847553.575340763</v>
      </c>
      <c r="F96" s="35"/>
      <c r="G96" s="35"/>
      <c r="H96" s="35"/>
      <c r="I96" s="35"/>
    </row>
    <row r="97" spans="1:9">
      <c r="A97" s="40" t="s">
        <v>239</v>
      </c>
      <c r="B97" s="11" t="s">
        <v>240</v>
      </c>
      <c r="C97" s="95">
        <v>124</v>
      </c>
      <c r="D97" s="92">
        <v>-3.8759689899999998E-2</v>
      </c>
      <c r="E97" s="93">
        <v>29448780.632029701</v>
      </c>
      <c r="F97" s="35"/>
      <c r="G97" s="35"/>
      <c r="H97" s="35"/>
      <c r="I97" s="35"/>
    </row>
    <row r="98" spans="1:9">
      <c r="A98" s="40" t="s">
        <v>263</v>
      </c>
      <c r="B98" s="11" t="s">
        <v>264</v>
      </c>
      <c r="C98" s="95">
        <v>88.7</v>
      </c>
      <c r="D98" s="92">
        <v>-3.90032503E-2</v>
      </c>
      <c r="E98" s="93">
        <v>24188725.192161601</v>
      </c>
      <c r="F98" s="35"/>
      <c r="G98" s="35"/>
      <c r="H98" s="35"/>
      <c r="I98" s="35"/>
    </row>
    <row r="99" spans="1:9">
      <c r="A99" s="40" t="s">
        <v>201</v>
      </c>
      <c r="B99" s="11" t="s">
        <v>202</v>
      </c>
      <c r="C99" s="95">
        <v>120</v>
      </c>
      <c r="D99" s="92">
        <v>-0.04</v>
      </c>
      <c r="E99" s="93">
        <v>48210264.221073069</v>
      </c>
      <c r="F99" s="35"/>
      <c r="G99" s="35"/>
      <c r="H99" s="35"/>
      <c r="I99" s="35"/>
    </row>
    <row r="100" spans="1:9">
      <c r="A100" s="40" t="s">
        <v>66</v>
      </c>
      <c r="B100" s="11" t="s">
        <v>67</v>
      </c>
      <c r="C100" s="95">
        <v>5470</v>
      </c>
      <c r="D100" s="92">
        <v>-4.0350877200000003E-2</v>
      </c>
      <c r="E100" s="93">
        <v>718463.00325153</v>
      </c>
      <c r="F100" s="35"/>
      <c r="G100" s="35"/>
      <c r="H100" s="35"/>
      <c r="I100" s="35"/>
    </row>
    <row r="101" spans="1:9">
      <c r="A101" s="40" t="s">
        <v>217</v>
      </c>
      <c r="B101" s="11" t="s">
        <v>218</v>
      </c>
      <c r="C101" s="95">
        <v>16.600000000000001</v>
      </c>
      <c r="D101" s="92">
        <v>-4.0462427699999998E-2</v>
      </c>
      <c r="E101" s="93">
        <v>203482822.63957587</v>
      </c>
      <c r="F101" s="35"/>
      <c r="G101" s="35"/>
      <c r="H101" s="35"/>
      <c r="I101" s="35"/>
    </row>
    <row r="102" spans="1:9">
      <c r="A102" s="40" t="s">
        <v>231</v>
      </c>
      <c r="B102" s="11" t="s">
        <v>232</v>
      </c>
      <c r="C102" s="95">
        <v>113</v>
      </c>
      <c r="D102" s="92">
        <v>-4.23728814E-2</v>
      </c>
      <c r="E102" s="93">
        <v>56472756.800068177</v>
      </c>
      <c r="F102" s="35"/>
      <c r="G102" s="35"/>
      <c r="H102" s="35"/>
      <c r="I102" s="35"/>
    </row>
    <row r="103" spans="1:9">
      <c r="A103" s="40" t="s">
        <v>225</v>
      </c>
      <c r="B103" s="11" t="s">
        <v>226</v>
      </c>
      <c r="C103" s="95">
        <v>291</v>
      </c>
      <c r="D103" s="92">
        <v>-4.2763157900000001E-2</v>
      </c>
      <c r="E103" s="93">
        <v>9710508.5955919791</v>
      </c>
      <c r="F103" s="35"/>
      <c r="G103" s="35"/>
      <c r="H103" s="35"/>
      <c r="I103" s="35"/>
    </row>
    <row r="104" spans="1:9">
      <c r="A104" s="40" t="s">
        <v>71</v>
      </c>
      <c r="B104" s="11" t="s">
        <v>72</v>
      </c>
      <c r="C104" s="95">
        <v>20.100000000000001</v>
      </c>
      <c r="D104" s="92">
        <v>-4.2857142899999999E-2</v>
      </c>
      <c r="E104" s="93">
        <v>154488982.76500434</v>
      </c>
      <c r="F104" s="35"/>
      <c r="G104" s="35"/>
      <c r="H104" s="35"/>
      <c r="I104" s="35"/>
    </row>
    <row r="105" spans="1:9">
      <c r="A105" s="40" t="s">
        <v>193</v>
      </c>
      <c r="B105" s="11" t="s">
        <v>194</v>
      </c>
      <c r="C105" s="95">
        <v>8400</v>
      </c>
      <c r="D105" s="92">
        <v>-4.3280182200000003E-2</v>
      </c>
      <c r="E105" s="93">
        <v>1710847.1162261099</v>
      </c>
      <c r="F105" s="35"/>
      <c r="G105" s="35"/>
      <c r="H105" s="35"/>
      <c r="I105" s="35"/>
    </row>
    <row r="106" spans="1:9">
      <c r="A106" s="40" t="s">
        <v>209</v>
      </c>
      <c r="B106" s="11" t="s">
        <v>210</v>
      </c>
      <c r="C106" s="95">
        <v>131</v>
      </c>
      <c r="D106" s="92">
        <v>-4.3795620399999999E-2</v>
      </c>
      <c r="E106" s="93">
        <v>36329610.725401662</v>
      </c>
      <c r="F106" s="35"/>
      <c r="G106" s="35"/>
      <c r="H106" s="35"/>
      <c r="I106" s="35"/>
    </row>
    <row r="107" spans="1:9">
      <c r="A107" s="40" t="s">
        <v>279</v>
      </c>
      <c r="B107" s="11" t="s">
        <v>280</v>
      </c>
      <c r="C107" s="95">
        <v>1085</v>
      </c>
      <c r="D107" s="92">
        <v>-4.4052863400000003E-2</v>
      </c>
      <c r="E107" s="93">
        <v>11868276.173368299</v>
      </c>
      <c r="F107" s="35"/>
      <c r="G107" s="35"/>
      <c r="H107" s="35"/>
      <c r="I107" s="35"/>
    </row>
    <row r="108" spans="1:9">
      <c r="A108" s="40" t="s">
        <v>233</v>
      </c>
      <c r="B108" s="11" t="s">
        <v>234</v>
      </c>
      <c r="C108" s="95">
        <v>845</v>
      </c>
      <c r="D108" s="92">
        <v>-4.4117647099999997E-2</v>
      </c>
      <c r="E108" s="93">
        <v>4858072.0083096595</v>
      </c>
      <c r="F108" s="35"/>
      <c r="G108" s="35"/>
      <c r="H108" s="35"/>
      <c r="I108" s="35"/>
    </row>
    <row r="109" spans="1:9">
      <c r="A109" s="40" t="s">
        <v>251</v>
      </c>
      <c r="B109" s="11" t="s">
        <v>252</v>
      </c>
      <c r="C109" s="95">
        <v>303</v>
      </c>
      <c r="D109" s="92">
        <v>-4.4164037900000001E-2</v>
      </c>
      <c r="E109" s="41">
        <v>14365674.53722652</v>
      </c>
    </row>
    <row r="110" spans="1:9">
      <c r="A110" s="40" t="s">
        <v>219</v>
      </c>
      <c r="B110" s="11" t="s">
        <v>220</v>
      </c>
      <c r="C110" s="95">
        <v>10.7</v>
      </c>
      <c r="D110" s="92">
        <v>-4.4642857100000002E-2</v>
      </c>
      <c r="E110" s="41">
        <v>216283793.2439383</v>
      </c>
    </row>
    <row r="111" spans="1:9">
      <c r="A111" s="40" t="s">
        <v>237</v>
      </c>
      <c r="B111" s="11" t="s">
        <v>238</v>
      </c>
      <c r="C111" s="95">
        <v>191</v>
      </c>
      <c r="D111" s="92">
        <v>-4.4999999999999998E-2</v>
      </c>
      <c r="E111" s="41">
        <v>28766741.143145561</v>
      </c>
    </row>
    <row r="112" spans="1:9">
      <c r="A112" s="40" t="s">
        <v>163</v>
      </c>
      <c r="B112" s="11" t="s">
        <v>164</v>
      </c>
      <c r="C112" s="95">
        <v>15480</v>
      </c>
      <c r="D112" s="92">
        <v>-4.5033929700000003E-2</v>
      </c>
      <c r="E112" s="41">
        <v>2141651.5146195702</v>
      </c>
    </row>
    <row r="113" spans="1:5">
      <c r="A113" s="40" t="s">
        <v>267</v>
      </c>
      <c r="B113" s="11" t="s">
        <v>268</v>
      </c>
      <c r="C113" s="95">
        <v>52.7</v>
      </c>
      <c r="D113" s="92">
        <v>-4.5289855099999998E-2</v>
      </c>
      <c r="E113" s="41">
        <v>58662173.171420619</v>
      </c>
    </row>
    <row r="114" spans="1:5">
      <c r="A114" s="40" t="s">
        <v>123</v>
      </c>
      <c r="B114" s="11" t="s">
        <v>124</v>
      </c>
      <c r="C114" s="95">
        <v>3880</v>
      </c>
      <c r="D114" s="92">
        <v>-4.9019607799999997E-2</v>
      </c>
      <c r="E114" s="41">
        <v>4411974.52827961</v>
      </c>
    </row>
    <row r="115" spans="1:5">
      <c r="A115" s="40" t="s">
        <v>171</v>
      </c>
      <c r="B115" s="11" t="s">
        <v>172</v>
      </c>
      <c r="C115" s="95">
        <v>14.7</v>
      </c>
      <c r="D115" s="92">
        <v>-5.1612903199999997E-2</v>
      </c>
      <c r="E115" s="41">
        <v>228619465.07469699</v>
      </c>
    </row>
    <row r="116" spans="1:5">
      <c r="A116" s="40" t="s">
        <v>191</v>
      </c>
      <c r="B116" s="11" t="s">
        <v>192</v>
      </c>
      <c r="C116" s="95">
        <v>1190</v>
      </c>
      <c r="D116" s="92">
        <v>-5.1792828700000001E-2</v>
      </c>
      <c r="E116" s="41">
        <v>15597724.744063901</v>
      </c>
    </row>
    <row r="117" spans="1:5">
      <c r="A117" s="40" t="s">
        <v>273</v>
      </c>
      <c r="B117" s="11" t="s">
        <v>274</v>
      </c>
      <c r="C117" s="95">
        <v>9700</v>
      </c>
      <c r="D117" s="92">
        <v>-5.7337220600000002E-2</v>
      </c>
      <c r="E117" s="41">
        <v>6300371.1080382699</v>
      </c>
    </row>
    <row r="118" spans="1:5">
      <c r="A118" s="40" t="s">
        <v>245</v>
      </c>
      <c r="B118" s="11" t="s">
        <v>246</v>
      </c>
      <c r="C118" s="95">
        <v>308</v>
      </c>
      <c r="D118" s="92">
        <v>-5.8103975500000002E-2</v>
      </c>
      <c r="E118" s="41">
        <v>28172137.118568439</v>
      </c>
    </row>
    <row r="119" spans="1:5">
      <c r="A119" s="40"/>
      <c r="B119" s="11"/>
      <c r="C119" s="95"/>
      <c r="D119" s="92"/>
      <c r="E119" s="41"/>
    </row>
    <row r="120" spans="1:5">
      <c r="A120" s="40"/>
      <c r="B120" s="11"/>
      <c r="C120" s="95"/>
      <c r="D120" s="92"/>
      <c r="E120" s="41"/>
    </row>
    <row r="121" spans="1:5">
      <c r="A121" s="40"/>
      <c r="B121" s="11"/>
      <c r="C121" s="95"/>
      <c r="D121" s="92"/>
      <c r="E121" s="41"/>
    </row>
    <row r="122" spans="1:5">
      <c r="A122" s="40"/>
      <c r="B122" s="11"/>
      <c r="C122" s="95"/>
      <c r="D122" s="92"/>
      <c r="E122" s="41"/>
    </row>
    <row r="123" spans="1:5">
      <c r="A123" s="40"/>
      <c r="B123" s="11"/>
      <c r="C123" s="95"/>
      <c r="D123" s="92"/>
      <c r="E123" s="41"/>
    </row>
    <row r="124" spans="1:5">
      <c r="A124" s="40"/>
      <c r="B124" s="11"/>
      <c r="C124" s="95"/>
      <c r="D124" s="92"/>
      <c r="E124" s="41"/>
    </row>
    <row r="125" spans="1:5">
      <c r="A125" s="40"/>
      <c r="B125" s="11"/>
      <c r="C125" s="95"/>
      <c r="D125" s="92"/>
      <c r="E125" s="41"/>
    </row>
    <row r="126" spans="1:5">
      <c r="A126" s="40"/>
      <c r="B126" s="11"/>
      <c r="C126" s="95"/>
      <c r="D126" s="92"/>
      <c r="E126" s="41"/>
    </row>
    <row r="127" spans="1:5">
      <c r="A127" s="40"/>
      <c r="B127" s="11"/>
      <c r="C127" s="95"/>
      <c r="D127" s="92"/>
      <c r="E127" s="41"/>
    </row>
    <row r="128" spans="1:5">
      <c r="A128" s="40"/>
      <c r="B128" s="11"/>
      <c r="C128" s="95"/>
      <c r="D128" s="92"/>
      <c r="E128" s="41"/>
    </row>
    <row r="129" spans="1:5">
      <c r="A129" s="40"/>
      <c r="B129" s="11"/>
      <c r="C129" s="95"/>
      <c r="D129" s="92"/>
      <c r="E129" s="41"/>
    </row>
    <row r="130" spans="1:5">
      <c r="A130" s="40"/>
      <c r="B130" s="11"/>
      <c r="C130" s="95"/>
      <c r="D130" s="92"/>
      <c r="E130" s="41"/>
    </row>
    <row r="131" spans="1:5">
      <c r="A131" s="40"/>
      <c r="B131" s="11"/>
      <c r="C131" s="95"/>
      <c r="D131" s="92"/>
      <c r="E131" s="41"/>
    </row>
    <row r="132" spans="1:5">
      <c r="A132" s="40"/>
      <c r="B132" s="11"/>
      <c r="C132" s="95"/>
      <c r="D132" s="92"/>
      <c r="E132" s="41"/>
    </row>
    <row r="133" spans="1:5">
      <c r="A133" s="40"/>
      <c r="B133" s="11"/>
      <c r="C133" s="95"/>
      <c r="D133" s="92"/>
      <c r="E133" s="41"/>
    </row>
    <row r="134" spans="1:5">
      <c r="A134" s="40"/>
      <c r="B134" s="11"/>
      <c r="C134" s="95"/>
      <c r="D134" s="92"/>
      <c r="E134" s="41"/>
    </row>
    <row r="135" spans="1:5">
      <c r="A135" s="40"/>
      <c r="B135" s="11"/>
      <c r="C135" s="95"/>
      <c r="D135" s="92"/>
      <c r="E135" s="41"/>
    </row>
    <row r="136" spans="1:5">
      <c r="A136" s="40"/>
      <c r="B136" s="11"/>
      <c r="C136" s="95"/>
      <c r="D136" s="92"/>
      <c r="E136" s="41"/>
    </row>
    <row r="137" spans="1:5">
      <c r="A137" s="40"/>
      <c r="B137" s="11"/>
      <c r="C137" s="95"/>
      <c r="D137" s="92"/>
      <c r="E137" s="41"/>
    </row>
    <row r="138" spans="1:5">
      <c r="A138" s="40"/>
      <c r="B138" s="11"/>
      <c r="C138" s="95"/>
      <c r="D138" s="92"/>
      <c r="E138" s="41"/>
    </row>
    <row r="139" spans="1:5">
      <c r="A139" s="40"/>
      <c r="B139" s="11"/>
      <c r="C139" s="95"/>
      <c r="D139" s="92"/>
      <c r="E139" s="41"/>
    </row>
    <row r="140" spans="1:5">
      <c r="A140" s="40"/>
      <c r="B140" s="11"/>
      <c r="C140" s="95"/>
      <c r="D140" s="92"/>
      <c r="E140" s="41"/>
    </row>
    <row r="141" spans="1:5">
      <c r="A141" s="40"/>
      <c r="B141" s="11"/>
      <c r="C141" s="95"/>
      <c r="D141" s="92"/>
      <c r="E141" s="41"/>
    </row>
    <row r="142" spans="1:5">
      <c r="A142" s="40"/>
      <c r="B142" s="11"/>
      <c r="C142" s="95"/>
      <c r="D142" s="92"/>
      <c r="E142" s="41"/>
    </row>
    <row r="143" spans="1:5">
      <c r="A143" s="40"/>
      <c r="B143" s="11"/>
      <c r="C143" s="95"/>
      <c r="D143" s="92"/>
      <c r="E143" s="41"/>
    </row>
    <row r="144" spans="1:5">
      <c r="A144" s="40"/>
      <c r="B144" s="11"/>
      <c r="C144" s="95"/>
      <c r="D144" s="92"/>
      <c r="E144" s="41"/>
    </row>
    <row r="145" spans="1:5">
      <c r="A145" s="40"/>
      <c r="B145" s="11"/>
      <c r="C145" s="95"/>
      <c r="D145" s="92"/>
      <c r="E145" s="41"/>
    </row>
    <row r="146" spans="1:5">
      <c r="A146" s="40"/>
      <c r="B146" s="11"/>
      <c r="C146" s="95"/>
      <c r="D146" s="92"/>
      <c r="E146" s="41"/>
    </row>
    <row r="147" spans="1:5">
      <c r="A147" s="40"/>
      <c r="B147" s="11"/>
      <c r="C147" s="95"/>
      <c r="D147" s="92"/>
      <c r="E147" s="41"/>
    </row>
    <row r="148" spans="1:5">
      <c r="A148" s="40"/>
      <c r="B148" s="11"/>
      <c r="C148" s="95"/>
      <c r="D148" s="92"/>
      <c r="E148" s="41"/>
    </row>
    <row r="149" spans="1:5">
      <c r="A149" s="40"/>
      <c r="B149" s="11"/>
      <c r="C149" s="95"/>
      <c r="D149" s="92"/>
      <c r="E149" s="41"/>
    </row>
    <row r="150" spans="1:5">
      <c r="A150" s="40"/>
      <c r="B150" s="11"/>
      <c r="C150" s="95"/>
      <c r="D150" s="92"/>
      <c r="E150" s="41"/>
    </row>
    <row r="151" spans="1:5">
      <c r="A151" s="40"/>
      <c r="B151" s="11"/>
      <c r="C151" s="95"/>
      <c r="D151" s="92"/>
      <c r="E151" s="41"/>
    </row>
    <row r="152" spans="1:5">
      <c r="A152" s="40"/>
      <c r="B152" s="11"/>
      <c r="C152" s="95"/>
      <c r="D152" s="92"/>
      <c r="E152" s="41"/>
    </row>
    <row r="153" spans="1:5">
      <c r="A153" s="40"/>
      <c r="B153" s="11"/>
      <c r="C153" s="95"/>
      <c r="D153" s="92"/>
      <c r="E153" s="41"/>
    </row>
    <row r="154" spans="1:5">
      <c r="A154" s="40"/>
      <c r="B154" s="11"/>
      <c r="C154" s="95"/>
      <c r="D154" s="92"/>
      <c r="E154" s="41"/>
    </row>
    <row r="155" spans="1:5">
      <c r="A155" s="40"/>
      <c r="B155" s="11"/>
      <c r="C155" s="95"/>
      <c r="D155" s="92"/>
      <c r="E155" s="41"/>
    </row>
    <row r="156" spans="1:5">
      <c r="A156" s="40"/>
      <c r="B156" s="11"/>
      <c r="C156" s="95"/>
      <c r="D156" s="92"/>
      <c r="E156" s="41"/>
    </row>
    <row r="157" spans="1:5">
      <c r="A157" s="40"/>
      <c r="B157" s="11"/>
      <c r="C157" s="95"/>
      <c r="D157" s="92"/>
      <c r="E157" s="41"/>
    </row>
    <row r="158" spans="1:5">
      <c r="A158" s="40"/>
      <c r="B158" s="11"/>
      <c r="C158" s="95"/>
      <c r="D158" s="92"/>
      <c r="E158" s="41"/>
    </row>
    <row r="159" spans="1:5">
      <c r="A159" s="40"/>
      <c r="B159" s="11"/>
      <c r="C159" s="95"/>
      <c r="D159" s="92"/>
      <c r="E159" s="41"/>
    </row>
    <row r="160" spans="1:5">
      <c r="A160" s="40"/>
      <c r="B160" s="11"/>
      <c r="C160" s="95"/>
      <c r="D160" s="92"/>
      <c r="E160" s="41"/>
    </row>
    <row r="161" spans="1:5">
      <c r="A161" s="40"/>
      <c r="B161" s="11"/>
      <c r="C161" s="95"/>
      <c r="D161" s="92"/>
      <c r="E161" s="41"/>
    </row>
    <row r="162" spans="1:5">
      <c r="A162" s="40"/>
      <c r="B162" s="11"/>
      <c r="C162" s="95"/>
      <c r="D162" s="92"/>
      <c r="E162" s="41"/>
    </row>
    <row r="163" spans="1:5">
      <c r="A163" s="40"/>
      <c r="B163" s="11"/>
      <c r="C163" s="95"/>
      <c r="D163" s="92"/>
      <c r="E163" s="41"/>
    </row>
    <row r="164" spans="1:5">
      <c r="A164" s="40"/>
      <c r="B164" s="11"/>
      <c r="C164" s="95"/>
      <c r="D164" s="92"/>
      <c r="E164" s="41"/>
    </row>
    <row r="165" spans="1:5">
      <c r="A165" s="40"/>
      <c r="B165" s="11"/>
      <c r="C165" s="95"/>
      <c r="D165" s="92"/>
      <c r="E165" s="41"/>
    </row>
    <row r="166" spans="1:5">
      <c r="A166" s="40"/>
      <c r="B166" s="11"/>
      <c r="C166" s="95"/>
      <c r="D166" s="92"/>
      <c r="E166" s="41"/>
    </row>
    <row r="167" spans="1:5">
      <c r="A167" s="40"/>
      <c r="B167" s="11"/>
      <c r="C167" s="95"/>
      <c r="D167" s="92"/>
      <c r="E167" s="41"/>
    </row>
    <row r="168" spans="1:5">
      <c r="A168" s="40"/>
      <c r="B168" s="11"/>
      <c r="C168" s="95"/>
      <c r="D168" s="92"/>
      <c r="E168" s="41"/>
    </row>
    <row r="169" spans="1:5">
      <c r="A169" s="40"/>
      <c r="B169" s="11"/>
      <c r="C169" s="95"/>
      <c r="D169" s="92"/>
      <c r="E169" s="41"/>
    </row>
    <row r="170" spans="1:5">
      <c r="A170" s="40"/>
      <c r="B170" s="11"/>
      <c r="C170" s="95"/>
      <c r="D170" s="92"/>
      <c r="E170" s="41"/>
    </row>
    <row r="171" spans="1:5">
      <c r="A171" s="40"/>
      <c r="B171" s="11"/>
      <c r="C171" s="95"/>
      <c r="D171" s="92"/>
      <c r="E171" s="41"/>
    </row>
    <row r="172" spans="1:5">
      <c r="A172" s="40"/>
      <c r="B172" s="11"/>
      <c r="C172" s="95"/>
      <c r="D172" s="92"/>
      <c r="E172" s="41"/>
    </row>
    <row r="173" spans="1:5">
      <c r="A173" s="40"/>
      <c r="B173" s="11"/>
      <c r="C173" s="95"/>
      <c r="D173" s="92"/>
      <c r="E173" s="41"/>
    </row>
    <row r="174" spans="1:5">
      <c r="A174" s="40"/>
      <c r="B174" s="11"/>
      <c r="C174" s="95"/>
      <c r="D174" s="92"/>
      <c r="E174" s="41"/>
    </row>
    <row r="175" spans="1:5">
      <c r="A175" s="40"/>
      <c r="B175" s="11"/>
      <c r="C175" s="95"/>
      <c r="D175" s="92"/>
      <c r="E175" s="41"/>
    </row>
    <row r="176" spans="1:5">
      <c r="A176" s="40"/>
      <c r="B176" s="11"/>
      <c r="C176" s="95"/>
      <c r="D176" s="92"/>
      <c r="E176" s="41"/>
    </row>
    <row r="177" spans="1:5">
      <c r="A177" s="40"/>
      <c r="B177" s="11"/>
      <c r="C177" s="95"/>
      <c r="D177" s="92"/>
      <c r="E177" s="41"/>
    </row>
    <row r="178" spans="1:5">
      <c r="A178" s="40"/>
      <c r="B178" s="11"/>
      <c r="C178" s="95"/>
      <c r="D178" s="92"/>
      <c r="E178" s="41"/>
    </row>
    <row r="179" spans="1:5">
      <c r="A179" s="40"/>
      <c r="B179" s="11"/>
      <c r="C179" s="95"/>
      <c r="D179" s="92"/>
      <c r="E179" s="41"/>
    </row>
    <row r="180" spans="1:5">
      <c r="A180" s="40"/>
      <c r="B180" s="11"/>
      <c r="C180" s="95"/>
      <c r="D180" s="92"/>
      <c r="E180" s="41"/>
    </row>
    <row r="181" spans="1:5">
      <c r="A181" s="40"/>
      <c r="B181" s="11"/>
      <c r="C181" s="95"/>
      <c r="D181" s="92"/>
      <c r="E181" s="41"/>
    </row>
    <row r="182" spans="1:5">
      <c r="A182" s="40"/>
      <c r="B182" s="11"/>
      <c r="C182" s="95"/>
      <c r="D182" s="92"/>
      <c r="E182" s="41"/>
    </row>
    <row r="183" spans="1:5">
      <c r="A183" s="40"/>
      <c r="B183" s="11"/>
      <c r="C183" s="95"/>
      <c r="D183" s="92"/>
      <c r="E183" s="41"/>
    </row>
    <row r="184" spans="1:5">
      <c r="A184" s="40"/>
      <c r="B184" s="11"/>
      <c r="C184" s="95"/>
      <c r="D184" s="92"/>
      <c r="E184" s="41"/>
    </row>
    <row r="185" spans="1:5">
      <c r="A185" s="40"/>
      <c r="B185" s="11"/>
      <c r="C185" s="95"/>
      <c r="D185" s="92"/>
      <c r="E185" s="41"/>
    </row>
    <row r="186" spans="1:5">
      <c r="A186" s="40"/>
      <c r="B186" s="11"/>
      <c r="C186" s="95"/>
      <c r="D186" s="92"/>
      <c r="E186" s="41"/>
    </row>
    <row r="187" spans="1:5">
      <c r="A187" s="40"/>
      <c r="B187" s="11"/>
      <c r="C187" s="95"/>
      <c r="D187" s="92"/>
      <c r="E187" s="41"/>
    </row>
    <row r="188" spans="1:5">
      <c r="A188" s="40"/>
      <c r="B188" s="11"/>
      <c r="C188" s="95"/>
      <c r="D188" s="92"/>
      <c r="E188" s="41"/>
    </row>
    <row r="189" spans="1:5">
      <c r="A189" s="40"/>
      <c r="B189" s="11"/>
      <c r="C189" s="95"/>
      <c r="D189" s="92"/>
      <c r="E189" s="41"/>
    </row>
    <row r="190" spans="1:5">
      <c r="A190" s="40"/>
      <c r="B190" s="11"/>
      <c r="C190" s="95"/>
      <c r="D190" s="92"/>
      <c r="E190" s="41"/>
    </row>
    <row r="191" spans="1:5">
      <c r="A191" s="40"/>
      <c r="B191" s="11"/>
      <c r="C191" s="95"/>
      <c r="D191" s="92"/>
      <c r="E191" s="41"/>
    </row>
    <row r="192" spans="1:5">
      <c r="A192" s="40"/>
      <c r="B192" s="11"/>
      <c r="C192" s="95"/>
      <c r="D192" s="92"/>
      <c r="E192" s="41"/>
    </row>
    <row r="193" spans="1:5">
      <c r="A193" s="40"/>
      <c r="B193" s="11"/>
      <c r="C193" s="95"/>
      <c r="D193" s="92"/>
      <c r="E193" s="41"/>
    </row>
    <row r="194" spans="1:5">
      <c r="A194" s="40"/>
      <c r="B194" s="11"/>
      <c r="C194" s="95"/>
      <c r="D194" s="92"/>
      <c r="E194" s="41"/>
    </row>
    <row r="195" spans="1:5">
      <c r="A195" s="40"/>
      <c r="B195" s="11"/>
      <c r="C195" s="95"/>
      <c r="D195" s="92"/>
      <c r="E195" s="41"/>
    </row>
    <row r="196" spans="1:5">
      <c r="A196" s="40"/>
      <c r="B196" s="11"/>
      <c r="C196" s="95"/>
      <c r="D196" s="92"/>
      <c r="E196" s="41"/>
    </row>
    <row r="197" spans="1:5">
      <c r="A197" s="40"/>
      <c r="B197" s="11"/>
      <c r="C197" s="95"/>
      <c r="D197" s="92"/>
      <c r="E197" s="41"/>
    </row>
    <row r="198" spans="1:5">
      <c r="A198" s="40"/>
      <c r="B198" s="11"/>
      <c r="C198" s="95"/>
      <c r="D198" s="92"/>
      <c r="E198" s="41"/>
    </row>
    <row r="199" spans="1:5">
      <c r="A199" s="40"/>
      <c r="B199" s="96"/>
      <c r="C199" s="97"/>
      <c r="D199" s="92"/>
      <c r="E199" s="41"/>
    </row>
    <row r="200" spans="1:5" ht="17.25" thickBot="1">
      <c r="A200" s="42"/>
      <c r="B200" s="71"/>
      <c r="C200" s="98"/>
      <c r="D200" s="94"/>
      <c r="E200" s="43"/>
    </row>
  </sheetData>
  <autoFilter ref="A1:D117" xr:uid="{B76804CE-6204-4021-A059-5972E917F40D}">
    <sortState xmlns:xlrd2="http://schemas.microsoft.com/office/spreadsheetml/2017/richdata2" ref="A2:D117">
      <sortCondition descending="1" ref="D1"/>
    </sortState>
  </autoFilter>
  <mergeCells count="41">
    <mergeCell ref="H23:I23"/>
    <mergeCell ref="G24:G25"/>
    <mergeCell ref="H24:I25"/>
    <mergeCell ref="G29:G30"/>
    <mergeCell ref="K29:K30"/>
    <mergeCell ref="K28:N28"/>
    <mergeCell ref="L29:N29"/>
    <mergeCell ref="G28:J28"/>
    <mergeCell ref="H29:J29"/>
    <mergeCell ref="G21:I22"/>
    <mergeCell ref="G6:I6"/>
    <mergeCell ref="G7:I8"/>
    <mergeCell ref="H9:I9"/>
    <mergeCell ref="G10:G11"/>
    <mergeCell ref="H10:I11"/>
    <mergeCell ref="G13:I13"/>
    <mergeCell ref="G14:I15"/>
    <mergeCell ref="H16:I16"/>
    <mergeCell ref="G17:G18"/>
    <mergeCell ref="H17:I18"/>
    <mergeCell ref="G20:I20"/>
    <mergeCell ref="G3:G4"/>
    <mergeCell ref="H3:I4"/>
    <mergeCell ref="K4:K5"/>
    <mergeCell ref="O4:O5"/>
    <mergeCell ref="O3:R3"/>
    <mergeCell ref="P4:R4"/>
    <mergeCell ref="K3:N3"/>
    <mergeCell ref="L4:N4"/>
    <mergeCell ref="O29:O30"/>
    <mergeCell ref="O28:R28"/>
    <mergeCell ref="P29:R29"/>
    <mergeCell ref="G54:G55"/>
    <mergeCell ref="K54:K55"/>
    <mergeCell ref="O54:O55"/>
    <mergeCell ref="P54:R54"/>
    <mergeCell ref="O53:R53"/>
    <mergeCell ref="L54:N54"/>
    <mergeCell ref="K53:N53"/>
    <mergeCell ref="G53:J53"/>
    <mergeCell ref="H54:J54"/>
  </mergeCells>
  <phoneticPr fontId="1" type="noConversion"/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21" r:id="rId4" name="Button 5">
              <controlPr defaultSize="0" print="0" autoFill="0" autoPict="0" macro="[0]!시트이동_투자전략">
                <anchor moveWithCells="1" sizeWithCells="1">
                  <from>
                    <xdr:col>19</xdr:col>
                    <xdr:colOff>0</xdr:colOff>
                    <xdr:row>1</xdr:row>
                    <xdr:rowOff>219075</xdr:rowOff>
                  </from>
                  <to>
                    <xdr:col>22</xdr:col>
                    <xdr:colOff>0</xdr:colOff>
                    <xdr:row>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5" name="Button 4">
              <controlPr defaultSize="0" print="0" autoFill="0" autoPict="0" macro="[0]!시트이동_현재가테이블">
                <anchor moveWithCells="1" sizeWithCells="1">
                  <from>
                    <xdr:col>19</xdr:col>
                    <xdr:colOff>0</xdr:colOff>
                    <xdr:row>4</xdr:row>
                    <xdr:rowOff>219075</xdr:rowOff>
                  </from>
                  <to>
                    <xdr:col>22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시트이동_종목선정">
                <anchor moveWithCells="1" sizeWithCells="1">
                  <from>
                    <xdr:col>19</xdr:col>
                    <xdr:colOff>0</xdr:colOff>
                    <xdr:row>7</xdr:row>
                    <xdr:rowOff>219075</xdr:rowOff>
                  </from>
                  <to>
                    <xdr:col>22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2" r:id="rId7" name="Button 6">
              <controlPr defaultSize="0" print="0" autoFill="0" autoPict="0" macro="[0]!시트이동_월말결산">
                <anchor moveWithCells="1" sizeWithCells="1">
                  <from>
                    <xdr:col>19</xdr:col>
                    <xdr:colOff>0</xdr:colOff>
                    <xdr:row>11</xdr:row>
                    <xdr:rowOff>0</xdr:rowOff>
                  </from>
                  <to>
                    <xdr:col>22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8" name="Button 2">
              <controlPr defaultSize="0" print="0" autoFill="0" autoPict="0" macro="[0]!시트이동_오늘날짜">
                <anchor moveWithCells="1" sizeWithCells="1">
                  <from>
                    <xdr:col>19</xdr:col>
                    <xdr:colOff>0</xdr:colOff>
                    <xdr:row>14</xdr:row>
                    <xdr:rowOff>0</xdr:rowOff>
                  </from>
                  <to>
                    <xdr:col>22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F4CC3C-C57B-48C6-8F41-EB6F545DBC2F}">
  <sheetPr codeName="Sheet3"/>
  <dimension ref="A1:O282"/>
  <sheetViews>
    <sheetView topLeftCell="B133" workbookViewId="0">
      <selection activeCell="A133" sqref="A133:O168"/>
    </sheetView>
  </sheetViews>
  <sheetFormatPr defaultRowHeight="16.5" customHeight="1"/>
  <cols>
    <col min="1" max="1" width="9" style="122"/>
    <col min="2" max="2" width="11.875" style="122" bestFit="1" customWidth="1"/>
    <col min="3" max="3" width="21.25" style="122" customWidth="1"/>
    <col min="4" max="4" width="16.25" style="122" bestFit="1" customWidth="1"/>
    <col min="5" max="5" width="9" style="122"/>
    <col min="6" max="6" width="14.375" style="122" bestFit="1" customWidth="1"/>
    <col min="7" max="7" width="16.25" style="122" bestFit="1" customWidth="1"/>
    <col min="8" max="8" width="9" style="122"/>
    <col min="9" max="9" width="14.5" style="122" customWidth="1"/>
    <col min="10" max="10" width="16.25" style="122" bestFit="1" customWidth="1"/>
    <col min="11" max="11" width="9" style="122"/>
    <col min="12" max="13" width="16.25" style="122" bestFit="1" customWidth="1"/>
    <col min="14" max="14" width="9" style="122"/>
    <col min="15" max="15" width="15.25" style="122" bestFit="1" customWidth="1"/>
    <col min="16" max="16" width="9" style="122" customWidth="1"/>
    <col min="17" max="19" width="12.125" style="122" customWidth="1"/>
    <col min="20" max="16384" width="9" style="122"/>
  </cols>
  <sheetData>
    <row r="1" spans="1:15" ht="16.5" customHeight="1" thickBot="1">
      <c r="A1" s="214" t="str">
        <f>TEXT(투자전략!$G$1, "[$-ko-KR]yyyy년 mm월") &amp; " 총결산"</f>
        <v>2021년 06월 총결산</v>
      </c>
      <c r="B1" s="215"/>
      <c r="C1" s="215"/>
      <c r="D1" s="215"/>
      <c r="E1" s="215"/>
      <c r="F1" s="215"/>
      <c r="G1" s="215"/>
      <c r="H1" s="215"/>
      <c r="I1" s="215"/>
      <c r="J1" s="215"/>
      <c r="K1" s="215"/>
      <c r="L1" s="215"/>
      <c r="M1" s="215"/>
      <c r="N1" s="215"/>
      <c r="O1" s="216"/>
    </row>
    <row r="2" spans="1:15" ht="16.5" customHeight="1" thickBot="1">
      <c r="A2" s="211" t="s">
        <v>319</v>
      </c>
      <c r="B2" s="212"/>
      <c r="C2" s="212"/>
      <c r="D2" s="184" t="s">
        <v>315</v>
      </c>
      <c r="E2" s="184"/>
      <c r="F2" s="185"/>
      <c r="G2" s="214" t="s">
        <v>316</v>
      </c>
      <c r="H2" s="215"/>
      <c r="I2" s="216"/>
      <c r="J2" s="183" t="s">
        <v>317</v>
      </c>
      <c r="K2" s="184"/>
      <c r="L2" s="184"/>
      <c r="M2" s="184" t="s">
        <v>318</v>
      </c>
      <c r="N2" s="184"/>
      <c r="O2" s="185"/>
    </row>
    <row r="3" spans="1:15" ht="16.5" customHeight="1">
      <c r="A3" s="241">
        <v>1</v>
      </c>
      <c r="B3" s="212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3" s="213"/>
      <c r="D3" s="211" t="s">
        <v>320</v>
      </c>
      <c r="E3" s="212"/>
      <c r="F3" s="213"/>
      <c r="G3" s="211" t="s">
        <v>327</v>
      </c>
      <c r="H3" s="212"/>
      <c r="I3" s="213"/>
      <c r="J3" s="211" t="s">
        <v>334</v>
      </c>
      <c r="K3" s="212"/>
      <c r="L3" s="213"/>
      <c r="M3" s="211" t="s">
        <v>341</v>
      </c>
      <c r="N3" s="212"/>
      <c r="O3" s="213"/>
    </row>
    <row r="4" spans="1:15" ht="16.5" customHeight="1" thickBot="1">
      <c r="A4" s="242"/>
      <c r="B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$A3), "#,##0")&amp;"*",$D$16:$O$16,0), FALSE)))</f>
        <v>[오후 14:00] 엽전코인 Top20</v>
      </c>
      <c r="C4" s="206"/>
      <c r="D4" s="204" t="str">
        <f ca="1" xml:space="preserve"> TEXT($F$92, "#,##0") &amp; " KRW (" &amp; TEXT($E$92, "0.00%)")</f>
        <v>0 KRW (0.00%)</v>
      </c>
      <c r="E4" s="205"/>
      <c r="F4" s="206"/>
      <c r="G4" s="204" t="str">
        <f ca="1" xml:space="preserve"> TEXT($I$92, "#,##0") &amp; " KRW (" &amp; TEXT($H$92, "0.00%)")</f>
        <v>0 KRW (0.00%)</v>
      </c>
      <c r="H4" s="205"/>
      <c r="I4" s="206"/>
      <c r="J4" s="204" t="str">
        <f ca="1" xml:space="preserve"> TEXT($L$92, "#,##0") &amp; " KRW (" &amp; TEXT($K$92, "0.00%)")</f>
        <v>0 KRW (0.00%)</v>
      </c>
      <c r="K4" s="205"/>
      <c r="L4" s="206"/>
      <c r="M4" s="204" t="str">
        <f ca="1" xml:space="preserve"> TEXT($O$92, "#,##0") &amp; " KRW (" &amp; TEXT($N$92, "0.00%)")</f>
        <v>0 KRW (0.00%)</v>
      </c>
      <c r="N4" s="205"/>
      <c r="O4" s="206"/>
    </row>
    <row r="5" spans="1:15" ht="16.5" customHeight="1">
      <c r="A5" s="241">
        <v>2</v>
      </c>
      <c r="B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동전코인 Top20</v>
      </c>
      <c r="C5" s="213"/>
      <c r="D5" s="211" t="s">
        <v>321</v>
      </c>
      <c r="E5" s="212"/>
      <c r="F5" s="213"/>
      <c r="G5" s="211" t="s">
        <v>328</v>
      </c>
      <c r="H5" s="212"/>
      <c r="I5" s="213"/>
      <c r="J5" s="211" t="s">
        <v>335</v>
      </c>
      <c r="K5" s="212"/>
      <c r="L5" s="213"/>
      <c r="M5" s="211" t="s">
        <v>342</v>
      </c>
      <c r="N5" s="212"/>
      <c r="O5" s="213"/>
    </row>
    <row r="6" spans="1:15" ht="16.5" customHeight="1" thickBot="1">
      <c r="A6" s="242"/>
      <c r="B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$A5), "#,##0")&amp;"*",$D$16:$O$16,0), FALSE)))</f>
        <v>[오후 14:00] 엽전코인 Top20</v>
      </c>
      <c r="C6" s="206"/>
      <c r="D6" s="204" t="str">
        <f ca="1" xml:space="preserve"> TEXT($F$130, "#,##0") &amp; " KRW (" &amp; TEXT($E$130, "0.00%)")</f>
        <v>0 KRW (0.00%)</v>
      </c>
      <c r="E6" s="205"/>
      <c r="F6" s="206"/>
      <c r="G6" s="204" t="str">
        <f ca="1" xml:space="preserve"> TEXT($I$130, "#,##0") &amp; " KRW (" &amp; TEXT($H$130, "0.00%)")</f>
        <v>0 KRW (0.00%)</v>
      </c>
      <c r="H6" s="205"/>
      <c r="I6" s="206"/>
      <c r="J6" s="204" t="str">
        <f ca="1" xml:space="preserve"> TEXT($L$130, "#,##0") &amp; " KRW (" &amp; TEXT($K$130, "0.00%)")</f>
        <v>0 KRW (0.00%)</v>
      </c>
      <c r="K6" s="205"/>
      <c r="L6" s="206"/>
      <c r="M6" s="204" t="str">
        <f ca="1" xml:space="preserve"> TEXT($O$130, "#,##0") &amp; " KRW (" &amp; TEXT($N$130, "0.00%)")</f>
        <v>0 KRW (0.00%)</v>
      </c>
      <c r="N6" s="205"/>
      <c r="O6" s="206"/>
    </row>
    <row r="7" spans="1:15" ht="16.5" customHeight="1">
      <c r="A7" s="241">
        <v>3</v>
      </c>
      <c r="B7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Bottom20</v>
      </c>
      <c r="C7" s="213"/>
      <c r="D7" s="211" t="s">
        <v>322</v>
      </c>
      <c r="E7" s="212"/>
      <c r="F7" s="213"/>
      <c r="G7" s="211" t="s">
        <v>329</v>
      </c>
      <c r="H7" s="212"/>
      <c r="I7" s="213"/>
      <c r="J7" s="211" t="s">
        <v>336</v>
      </c>
      <c r="K7" s="212"/>
      <c r="L7" s="213"/>
      <c r="M7" s="211" t="s">
        <v>343</v>
      </c>
      <c r="N7" s="212"/>
      <c r="O7" s="213"/>
    </row>
    <row r="8" spans="1:15" ht="16.5" customHeight="1" thickBot="1">
      <c r="A8" s="242"/>
      <c r="B8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$A7), "#,##0")&amp;"*",$D$16:$O$16,0), FALSE)))</f>
        <v>[오후 14:00] 엽전코인 Top20</v>
      </c>
      <c r="C8" s="206"/>
      <c r="D8" s="204" t="str">
        <f ca="1" xml:space="preserve"> TEXT($F$206, "#,##0") &amp; " KRW (" &amp; TEXT($E$206, "0.00%)")</f>
        <v>0 KRW (0.00%)</v>
      </c>
      <c r="E8" s="205"/>
      <c r="F8" s="206"/>
      <c r="G8" s="204" t="str">
        <f ca="1" xml:space="preserve"> TEXT($I$206, "#,##0") &amp; " KRW (" &amp; TEXT($H$206, "0.00%)")</f>
        <v>0 KRW (0.00%)</v>
      </c>
      <c r="H8" s="205"/>
      <c r="I8" s="206"/>
      <c r="J8" s="204" t="str">
        <f ca="1" xml:space="preserve"> TEXT($L$206, "#,##0") &amp; " KRW (" &amp; TEXT($K$206, "0.00%)")</f>
        <v>0 KRW (0.00%)</v>
      </c>
      <c r="K8" s="205"/>
      <c r="L8" s="206"/>
      <c r="M8" s="204" t="str">
        <f ca="1" xml:space="preserve"> TEXT($O$206, "#,##0") &amp; " KRW (" &amp; TEXT($N$206, "0.00%)")</f>
        <v>0 KRW (0.00%)</v>
      </c>
      <c r="N8" s="205"/>
      <c r="O8" s="206"/>
    </row>
    <row r="9" spans="1:15" ht="16.5" customHeight="1">
      <c r="A9" s="241">
        <v>4</v>
      </c>
      <c r="B9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동전코인 Bottom20</v>
      </c>
      <c r="C9" s="213"/>
      <c r="D9" s="211" t="s">
        <v>323</v>
      </c>
      <c r="E9" s="212"/>
      <c r="F9" s="213"/>
      <c r="G9" s="211" t="s">
        <v>330</v>
      </c>
      <c r="H9" s="212"/>
      <c r="I9" s="213"/>
      <c r="J9" s="211" t="s">
        <v>337</v>
      </c>
      <c r="K9" s="212"/>
      <c r="L9" s="213"/>
      <c r="M9" s="211" t="s">
        <v>344</v>
      </c>
      <c r="N9" s="212"/>
      <c r="O9" s="213"/>
    </row>
    <row r="10" spans="1:15" ht="16.5" customHeight="1" thickBot="1">
      <c r="A10" s="242"/>
      <c r="B10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$A9), "#,##0")&amp;"*",$D$16:$O$16,0), FALSE)))</f>
        <v>[오후 14:00] 엽전코인 Top20</v>
      </c>
      <c r="C10" s="206"/>
      <c r="D10" s="204" t="str">
        <f ca="1" xml:space="preserve"> TEXT($F$244, "#,##0") &amp; " KRW (" &amp; TEXT($E$244, "0.00%)")</f>
        <v>0 KRW (0.00%)</v>
      </c>
      <c r="E10" s="205"/>
      <c r="F10" s="206"/>
      <c r="G10" s="204" t="str">
        <f ca="1" xml:space="preserve"> TEXT($I$244, "#,##0") &amp; " KRW (" &amp; TEXT($H$244, "0.00%)")</f>
        <v>0 KRW (0.00%)</v>
      </c>
      <c r="H10" s="205"/>
      <c r="I10" s="206"/>
      <c r="J10" s="204" t="str">
        <f ca="1" xml:space="preserve"> TEXT($L$244, "#,##0") &amp; " KRW (" &amp; TEXT($K$244, "0.00%)")</f>
        <v>0 KRW (0.00%)</v>
      </c>
      <c r="K10" s="205"/>
      <c r="L10" s="206"/>
      <c r="M10" s="204" t="str">
        <f ca="1" xml:space="preserve"> TEXT($O$244, "#,##0") &amp; " KRW (" &amp; TEXT($N$244, "0.00%)")</f>
        <v>0 KRW (0.00%)</v>
      </c>
      <c r="N10" s="205"/>
      <c r="O10" s="206"/>
    </row>
    <row r="11" spans="1:15" ht="16.5" customHeight="1">
      <c r="A11" s="241">
        <v>5</v>
      </c>
      <c r="B11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전일대비 상승률 Top20</v>
      </c>
      <c r="C11" s="213"/>
      <c r="D11" s="211" t="s">
        <v>324</v>
      </c>
      <c r="E11" s="212"/>
      <c r="F11" s="213"/>
      <c r="G11" s="211" t="s">
        <v>331</v>
      </c>
      <c r="H11" s="212"/>
      <c r="I11" s="213"/>
      <c r="J11" s="211" t="s">
        <v>338</v>
      </c>
      <c r="K11" s="212"/>
      <c r="L11" s="213"/>
      <c r="M11" s="211" t="s">
        <v>345</v>
      </c>
      <c r="N11" s="212"/>
      <c r="O11" s="213"/>
    </row>
    <row r="12" spans="1:15" ht="16.5" customHeight="1" thickBot="1">
      <c r="A12" s="242"/>
      <c r="B12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$A11), "#,##0")&amp;"*",$D$16:$O$16,0), FALSE)))</f>
        <v>[오후 14:00] 엽전코인 Top20</v>
      </c>
      <c r="C12" s="206"/>
      <c r="D12" s="204" t="str">
        <f ca="1" xml:space="preserve"> TEXT($F$168, "#,##0") &amp; " KRW (" &amp; TEXT($E$168, "0.00%)")</f>
        <v>0 KRW (0.00%)</v>
      </c>
      <c r="E12" s="205"/>
      <c r="F12" s="206"/>
      <c r="G12" s="204" t="str">
        <f ca="1" xml:space="preserve"> TEXT($I$168, "#,##0") &amp; " KRW (" &amp; TEXT($H$168, "0.00%)")</f>
        <v>0 KRW (0.00%)</v>
      </c>
      <c r="H12" s="205"/>
      <c r="I12" s="206"/>
      <c r="J12" s="204" t="str">
        <f ca="1" xml:space="preserve"> TEXT($L$168, "#,##0") &amp; " KRW (" &amp; TEXT($K$168, "0.00%)")</f>
        <v>0 KRW (0.00%)</v>
      </c>
      <c r="K12" s="205"/>
      <c r="L12" s="206"/>
      <c r="M12" s="204" t="str">
        <f ca="1" xml:space="preserve"> TEXT($O$168, "#,##0") &amp; " KRW (" &amp; TEXT($N$168, "0.00%)")</f>
        <v>0 KRW (0.00%)</v>
      </c>
      <c r="N12" s="205"/>
      <c r="O12" s="206"/>
    </row>
    <row r="13" spans="1:15" ht="16.5" customHeight="1">
      <c r="A13" s="241">
        <v>6</v>
      </c>
      <c r="B13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전일대비 상승률 Bottom20</v>
      </c>
      <c r="C13" s="213"/>
      <c r="D13" s="211" t="s">
        <v>325</v>
      </c>
      <c r="E13" s="212"/>
      <c r="F13" s="213"/>
      <c r="G13" s="211" t="s">
        <v>332</v>
      </c>
      <c r="H13" s="212"/>
      <c r="I13" s="213"/>
      <c r="J13" s="211" t="s">
        <v>339</v>
      </c>
      <c r="K13" s="212"/>
      <c r="L13" s="213"/>
      <c r="M13" s="211" t="s">
        <v>346</v>
      </c>
      <c r="N13" s="212"/>
      <c r="O13" s="213"/>
    </row>
    <row r="14" spans="1:15" ht="16.5" customHeight="1" thickBot="1">
      <c r="A14" s="242"/>
      <c r="B14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$A13), "#,##0")&amp;"*",$D$16:$O$16,0), FALSE)))</f>
        <v>[오후 14:00] 엽전코인 Top20</v>
      </c>
      <c r="C14" s="206"/>
      <c r="D14" s="204" t="str">
        <f ca="1" xml:space="preserve"> TEXT($F$282, "#,##0") &amp; " KRW (" &amp; TEXT($E$282, "0.00%)")</f>
        <v>0 KRW (0.00%)</v>
      </c>
      <c r="E14" s="205"/>
      <c r="F14" s="206"/>
      <c r="G14" s="204" t="str">
        <f ca="1" xml:space="preserve"> TEXT($I$282, "#,##0") &amp; " KRW (" &amp; TEXT($H$282, "0.00%)")</f>
        <v>0 KRW (0.00%)</v>
      </c>
      <c r="H14" s="205"/>
      <c r="I14" s="206"/>
      <c r="J14" s="204" t="str">
        <f ca="1" xml:space="preserve"> TEXT($L$282, "#,##0") &amp; " KRW (" &amp; TEXT($K$282, "0.00%)")</f>
        <v>0 KRW (0.00%)</v>
      </c>
      <c r="K14" s="205"/>
      <c r="L14" s="206"/>
      <c r="M14" s="204" t="str">
        <f ca="1" xml:space="preserve"> TEXT($O$282, "#,##0") &amp; " KRW (" &amp; TEXT($N$282, "0.00%)")</f>
        <v>0 KRW (0.00%)</v>
      </c>
      <c r="N14" s="205"/>
      <c r="O14" s="206"/>
    </row>
    <row r="15" spans="1:15" ht="16.5" customHeight="1">
      <c r="A15" s="241">
        <v>7</v>
      </c>
      <c r="B15" s="211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FALSE))-1,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실거래종목</v>
      </c>
      <c r="C15" s="213"/>
      <c r="D15" s="211" t="s">
        <v>326</v>
      </c>
      <c r="E15" s="212"/>
      <c r="F15" s="213"/>
      <c r="G15" s="211" t="s">
        <v>333</v>
      </c>
      <c r="H15" s="212"/>
      <c r="I15" s="213"/>
      <c r="J15" s="211" t="s">
        <v>340</v>
      </c>
      <c r="K15" s="212"/>
      <c r="L15" s="213"/>
      <c r="M15" s="211" t="s">
        <v>347</v>
      </c>
      <c r="N15" s="212"/>
      <c r="O15" s="213"/>
    </row>
    <row r="16" spans="1:15" ht="16.5" customHeight="1" thickBot="1">
      <c r="A16" s="242"/>
      <c r="B16" s="204" t="str">
        <f ca="1">INDEX($D$3:$O$16,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"#,##0")&amp;"*",$D$3:$D$16,0),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"#,##0")&amp;"*",$G$3:$G$16,0),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"#,##0")&amp;"*",$J$3:$J$16,0),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"#,##0")&amp;"*",$M$3:$M$16,0), FALSE)),
_xlfn.IFS(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"#,##0")&amp;"*",$D$4:$O$4,0),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"#,##0")&amp;"*",$D$6:$O$6,0),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"#,##0")&amp;"*",$D$8:$O$8,0),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"#,##0")&amp;"*",$D$10:$O$10,0),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"#,##0")&amp;"*",$D$12:$O$12,0),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"#,##0")&amp;"*",$D$14:$O$14,0),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FALSE),
IFERROR(MATCH("*"&amp;TEXT(LARGE(($F$54, $F$92, $F$130, $F$168, $F$206, $F$244, $F$282, $I$54, $I$92, $I$130, $I$168, $I$206, $I$244, $I$282, $L$54, $L$92, $L$130, $L$168, $L$206, $L$244, $L$282,  $O$54, $O$92, $O$130, $O$168, $O$206, $O$244, $O$282), $A15), "#,##0")&amp;"*",$D$16:$O$16,0), FALSE)))</f>
        <v>[오후 14:00] 엽전코인 Top20</v>
      </c>
      <c r="C16" s="206"/>
      <c r="D16" s="204" t="str">
        <f ca="1" xml:space="preserve"> TEXT($F$54, "#,##0") &amp; " KRW (" &amp; TEXT($E$54, "0.00%)")</f>
        <v>0 KRW (0.00%)</v>
      </c>
      <c r="E16" s="205"/>
      <c r="F16" s="206"/>
      <c r="G16" s="204" t="str">
        <f ca="1" xml:space="preserve"> TEXT($I$54, "#,##0") &amp; " KRW (" &amp; TEXT($H$54, "0.00%)")</f>
        <v>0 KRW (0.00%)</v>
      </c>
      <c r="H16" s="205"/>
      <c r="I16" s="206"/>
      <c r="J16" s="204" t="str">
        <f ca="1" xml:space="preserve"> TEXT($L$54, "#,##0") &amp; " KRW (" &amp; TEXT($K$54, "0.00%)")</f>
        <v>0 KRW (0.00%)</v>
      </c>
      <c r="K16" s="205"/>
      <c r="L16" s="206"/>
      <c r="M16" s="204" t="str">
        <f ca="1" xml:space="preserve"> TEXT($O$54, "#,##0") &amp; " KRW (" &amp; TEXT($N$54, "0.00%)")</f>
        <v>0 KRW (0.00%)</v>
      </c>
      <c r="N16" s="205"/>
      <c r="O16" s="206"/>
    </row>
    <row r="18" spans="1:15" ht="16.5" customHeight="1" thickBot="1"/>
    <row r="19" spans="1:15" ht="16.5" customHeight="1" thickBot="1">
      <c r="A19" s="183" t="str">
        <f>TEXT(투자전략!$G$1, "[$-ko-KR]yyyy년 mm월 ") &amp; "실거래 월말결산"</f>
        <v>2021년 06월 실거래 월말결산</v>
      </c>
      <c r="B19" s="184"/>
      <c r="C19" s="184"/>
      <c r="D19" s="184"/>
      <c r="E19" s="184"/>
      <c r="F19" s="184"/>
      <c r="G19" s="184"/>
      <c r="H19" s="184"/>
      <c r="I19" s="184"/>
      <c r="J19" s="184"/>
      <c r="K19" s="184"/>
      <c r="L19" s="184"/>
      <c r="M19" s="184"/>
      <c r="N19" s="184"/>
      <c r="O19" s="185"/>
    </row>
    <row r="20" spans="1:15" ht="16.5" customHeight="1" thickBot="1">
      <c r="A20" s="227" t="s">
        <v>314</v>
      </c>
      <c r="B20" s="204" t="s">
        <v>312</v>
      </c>
      <c r="C20" s="206"/>
      <c r="D20" s="204" t="s">
        <v>304</v>
      </c>
      <c r="E20" s="205"/>
      <c r="F20" s="206"/>
      <c r="G20" s="204" t="s">
        <v>305</v>
      </c>
      <c r="H20" s="205"/>
      <c r="I20" s="206"/>
      <c r="J20" s="204" t="s">
        <v>306</v>
      </c>
      <c r="K20" s="205"/>
      <c r="L20" s="206"/>
      <c r="M20" s="204" t="s">
        <v>307</v>
      </c>
      <c r="N20" s="205"/>
      <c r="O20" s="206"/>
    </row>
    <row r="21" spans="1:15" ht="16.5" customHeight="1" thickBot="1">
      <c r="A21" s="220"/>
      <c r="B21" s="146" t="s">
        <v>302</v>
      </c>
      <c r="C21" s="146" t="s">
        <v>42</v>
      </c>
      <c r="D21" s="121" t="s">
        <v>303</v>
      </c>
      <c r="E21" s="133" t="s">
        <v>40</v>
      </c>
      <c r="F21" s="149" t="s">
        <v>41</v>
      </c>
      <c r="G21" s="121" t="s">
        <v>303</v>
      </c>
      <c r="H21" s="133" t="s">
        <v>40</v>
      </c>
      <c r="I21" s="149" t="s">
        <v>41</v>
      </c>
      <c r="J21" s="121" t="s">
        <v>303</v>
      </c>
      <c r="K21" s="133" t="s">
        <v>40</v>
      </c>
      <c r="L21" s="149" t="s">
        <v>41</v>
      </c>
      <c r="M21" s="121" t="s">
        <v>303</v>
      </c>
      <c r="N21" s="133" t="s">
        <v>40</v>
      </c>
      <c r="O21" s="149" t="s">
        <v>41</v>
      </c>
    </row>
    <row r="22" spans="1:15" ht="16.5" customHeight="1">
      <c r="A22" s="146">
        <v>1</v>
      </c>
      <c r="B22" s="146" t="str">
        <f>TEXT(투자전략!$G$1+0, "[$-ko-KR]yyyy.mm.dd")</f>
        <v>2021.06.01</v>
      </c>
      <c r="C22" s="134">
        <f ca="1">IFERROR(COUNTA(INDIRECT($B22&amp;"!A17:A36")) * INDIRECT($B22&amp;"!B37"), "")</f>
        <v>900000</v>
      </c>
      <c r="D22" s="142">
        <f ca="1">IFERROR($C22 * (1 + E22), "")</f>
        <v>900000</v>
      </c>
      <c r="E22" s="76">
        <f ca="1">IFERROR(INDIRECT($B22&amp;"!E37"), "")</f>
        <v>0</v>
      </c>
      <c r="F22" s="141">
        <f ca="1">IFERROR(INDIRECT($B22&amp;"!F37"), "")</f>
        <v>0</v>
      </c>
      <c r="G22" s="142">
        <f ca="1">IFERROR($C22 * (1 + H22), "")</f>
        <v>900000</v>
      </c>
      <c r="H22" s="76">
        <f ca="1">IFERROR(INDIRECT($B22&amp;"!H37"), "")</f>
        <v>0</v>
      </c>
      <c r="I22" s="141">
        <f ca="1">IFERROR(INDIRECT($B22&amp;"!I37"), "")</f>
        <v>0</v>
      </c>
      <c r="J22" s="142">
        <f ca="1">IFERROR($C22 * (1 + K22), "")</f>
        <v>900000</v>
      </c>
      <c r="K22" s="76">
        <f ca="1">IFERROR(INDIRECT($B22&amp;"!K37"), "")</f>
        <v>0</v>
      </c>
      <c r="L22" s="141">
        <f ca="1">IFERROR(INDIRECT($B22&amp;"!L37"), "")</f>
        <v>0</v>
      </c>
      <c r="M22" s="142">
        <f ca="1">IFERROR($C22 * (1 + N22), "")</f>
        <v>900000</v>
      </c>
      <c r="N22" s="76">
        <f ca="1">IFERROR(INDIRECT($B22&amp;"!N37"), "")</f>
        <v>0</v>
      </c>
      <c r="O22" s="141">
        <f ca="1">IFERROR(INDIRECT($B22&amp;"!O37"), "")</f>
        <v>0</v>
      </c>
    </row>
    <row r="23" spans="1:15" ht="16.5" customHeight="1">
      <c r="A23" s="148">
        <v>2</v>
      </c>
      <c r="B23" s="148" t="str">
        <f>TEXT(투자전략!$G$1+1, "[$-ko-KR]yyyy.mm.dd")</f>
        <v>2021.06.02</v>
      </c>
      <c r="C23" s="135" t="str">
        <f t="shared" ref="C23:C52" ca="1" si="0">IFERROR(COUNTA(INDIRECT($B23&amp;"!A17:A36")) * INDIRECT($B23&amp;"!B37"), "")</f>
        <v/>
      </c>
      <c r="D23" s="139" t="str">
        <f t="shared" ref="D23:D52" ca="1" si="1">IFERROR($C23 * (1 + E23), "")</f>
        <v/>
      </c>
      <c r="E23" s="77" t="str">
        <f t="shared" ref="E23:E52" ca="1" si="2">IFERROR(INDIRECT($B23&amp;"!E37"), "")</f>
        <v/>
      </c>
      <c r="F23" s="137" t="str">
        <f t="shared" ref="F23:F52" ca="1" si="3">IFERROR(INDIRECT($B23&amp;"!F37"), "")</f>
        <v/>
      </c>
      <c r="G23" s="139" t="str">
        <f t="shared" ref="G23:G52" ca="1" si="4">IFERROR($C23 * (1 + H23), "")</f>
        <v/>
      </c>
      <c r="H23" s="77" t="str">
        <f t="shared" ref="H23:H52" ca="1" si="5">IFERROR(INDIRECT($B23&amp;"!H37"), "")</f>
        <v/>
      </c>
      <c r="I23" s="137" t="str">
        <f t="shared" ref="I23:I52" ca="1" si="6">IFERROR(INDIRECT($B23&amp;"!I37"), "")</f>
        <v/>
      </c>
      <c r="J23" s="139" t="str">
        <f t="shared" ref="J23:J52" ca="1" si="7">IFERROR($C23 * (1 + K23), "")</f>
        <v/>
      </c>
      <c r="K23" s="77" t="str">
        <f t="shared" ref="K23:K52" ca="1" si="8">IFERROR(INDIRECT($B23&amp;"!K37"), "")</f>
        <v/>
      </c>
      <c r="L23" s="137" t="str">
        <f t="shared" ref="L23:L52" ca="1" si="9">IFERROR(INDIRECT($B23&amp;"!L37"), "")</f>
        <v/>
      </c>
      <c r="M23" s="139" t="str">
        <f t="shared" ref="M23:M52" ca="1" si="10">IFERROR($C23 * (1 + N23), "")</f>
        <v/>
      </c>
      <c r="N23" s="77" t="str">
        <f t="shared" ref="N23:N52" ca="1" si="11">IFERROR(INDIRECT($B23&amp;"!N37"), "")</f>
        <v/>
      </c>
      <c r="O23" s="137" t="str">
        <f t="shared" ref="O23:O52" ca="1" si="12">IFERROR(INDIRECT($B23&amp;"!O37"), "")</f>
        <v/>
      </c>
    </row>
    <row r="24" spans="1:15" ht="16.5" customHeight="1">
      <c r="A24" s="148">
        <v>3</v>
      </c>
      <c r="B24" s="148" t="str">
        <f>TEXT(투자전략!$G$1+2, "[$-ko-KR]yyyy.mm.dd")</f>
        <v>2021.06.03</v>
      </c>
      <c r="C24" s="135" t="str">
        <f t="shared" ca="1" si="0"/>
        <v/>
      </c>
      <c r="D24" s="139" t="str">
        <f t="shared" ca="1" si="1"/>
        <v/>
      </c>
      <c r="E24" s="77" t="str">
        <f t="shared" ca="1" si="2"/>
        <v/>
      </c>
      <c r="F24" s="137" t="str">
        <f t="shared" ca="1" si="3"/>
        <v/>
      </c>
      <c r="G24" s="139" t="str">
        <f t="shared" ca="1" si="4"/>
        <v/>
      </c>
      <c r="H24" s="77" t="str">
        <f t="shared" ca="1" si="5"/>
        <v/>
      </c>
      <c r="I24" s="137" t="str">
        <f t="shared" ca="1" si="6"/>
        <v/>
      </c>
      <c r="J24" s="139" t="str">
        <f t="shared" ca="1" si="7"/>
        <v/>
      </c>
      <c r="K24" s="77" t="str">
        <f t="shared" ca="1" si="8"/>
        <v/>
      </c>
      <c r="L24" s="137" t="str">
        <f t="shared" ca="1" si="9"/>
        <v/>
      </c>
      <c r="M24" s="139" t="str">
        <f t="shared" ca="1" si="10"/>
        <v/>
      </c>
      <c r="N24" s="77" t="str">
        <f t="shared" ca="1" si="11"/>
        <v/>
      </c>
      <c r="O24" s="137" t="str">
        <f t="shared" ca="1" si="12"/>
        <v/>
      </c>
    </row>
    <row r="25" spans="1:15" ht="16.5" customHeight="1">
      <c r="A25" s="148">
        <v>4</v>
      </c>
      <c r="B25" s="148" t="str">
        <f>TEXT(투자전략!$G$1+3, "[$-ko-KR]yyyy.mm.dd")</f>
        <v>2021.06.04</v>
      </c>
      <c r="C25" s="135" t="str">
        <f t="shared" ca="1" si="0"/>
        <v/>
      </c>
      <c r="D25" s="139" t="str">
        <f t="shared" ca="1" si="1"/>
        <v/>
      </c>
      <c r="E25" s="77" t="str">
        <f t="shared" ca="1" si="2"/>
        <v/>
      </c>
      <c r="F25" s="137" t="str">
        <f t="shared" ca="1" si="3"/>
        <v/>
      </c>
      <c r="G25" s="139" t="str">
        <f t="shared" ca="1" si="4"/>
        <v/>
      </c>
      <c r="H25" s="77" t="str">
        <f t="shared" ca="1" si="5"/>
        <v/>
      </c>
      <c r="I25" s="137" t="str">
        <f t="shared" ca="1" si="6"/>
        <v/>
      </c>
      <c r="J25" s="139" t="str">
        <f t="shared" ca="1" si="7"/>
        <v/>
      </c>
      <c r="K25" s="77" t="str">
        <f t="shared" ca="1" si="8"/>
        <v/>
      </c>
      <c r="L25" s="137" t="str">
        <f t="shared" ca="1" si="9"/>
        <v/>
      </c>
      <c r="M25" s="139" t="str">
        <f t="shared" ca="1" si="10"/>
        <v/>
      </c>
      <c r="N25" s="77" t="str">
        <f t="shared" ca="1" si="11"/>
        <v/>
      </c>
      <c r="O25" s="137" t="str">
        <f t="shared" ca="1" si="12"/>
        <v/>
      </c>
    </row>
    <row r="26" spans="1:15" ht="16.5" customHeight="1">
      <c r="A26" s="148">
        <v>5</v>
      </c>
      <c r="B26" s="148" t="str">
        <f>TEXT(투자전략!$G$1+4, "[$-ko-KR]yyyy.mm.dd")</f>
        <v>2021.06.05</v>
      </c>
      <c r="C26" s="135" t="str">
        <f t="shared" ca="1" si="0"/>
        <v/>
      </c>
      <c r="D26" s="139" t="str">
        <f t="shared" ca="1" si="1"/>
        <v/>
      </c>
      <c r="E26" s="77" t="str">
        <f t="shared" ca="1" si="2"/>
        <v/>
      </c>
      <c r="F26" s="137" t="str">
        <f t="shared" ca="1" si="3"/>
        <v/>
      </c>
      <c r="G26" s="139" t="str">
        <f t="shared" ca="1" si="4"/>
        <v/>
      </c>
      <c r="H26" s="77" t="str">
        <f t="shared" ca="1" si="5"/>
        <v/>
      </c>
      <c r="I26" s="137" t="str">
        <f t="shared" ca="1" si="6"/>
        <v/>
      </c>
      <c r="J26" s="139" t="str">
        <f t="shared" ca="1" si="7"/>
        <v/>
      </c>
      <c r="K26" s="77" t="str">
        <f t="shared" ca="1" si="8"/>
        <v/>
      </c>
      <c r="L26" s="137" t="str">
        <f t="shared" ca="1" si="9"/>
        <v/>
      </c>
      <c r="M26" s="139" t="str">
        <f t="shared" ca="1" si="10"/>
        <v/>
      </c>
      <c r="N26" s="77" t="str">
        <f t="shared" ca="1" si="11"/>
        <v/>
      </c>
      <c r="O26" s="137" t="str">
        <f t="shared" ca="1" si="12"/>
        <v/>
      </c>
    </row>
    <row r="27" spans="1:15" ht="16.5" customHeight="1">
      <c r="A27" s="148">
        <v>6</v>
      </c>
      <c r="B27" s="148" t="str">
        <f>TEXT(투자전략!$G$1+5, "[$-ko-KR]yyyy.mm.dd")</f>
        <v>2021.06.06</v>
      </c>
      <c r="C27" s="135" t="str">
        <f t="shared" ca="1" si="0"/>
        <v/>
      </c>
      <c r="D27" s="139" t="str">
        <f t="shared" ca="1" si="1"/>
        <v/>
      </c>
      <c r="E27" s="77" t="str">
        <f t="shared" ca="1" si="2"/>
        <v/>
      </c>
      <c r="F27" s="137" t="str">
        <f t="shared" ca="1" si="3"/>
        <v/>
      </c>
      <c r="G27" s="139" t="str">
        <f t="shared" ca="1" si="4"/>
        <v/>
      </c>
      <c r="H27" s="77" t="str">
        <f t="shared" ca="1" si="5"/>
        <v/>
      </c>
      <c r="I27" s="137" t="str">
        <f t="shared" ca="1" si="6"/>
        <v/>
      </c>
      <c r="J27" s="139" t="str">
        <f t="shared" ca="1" si="7"/>
        <v/>
      </c>
      <c r="K27" s="77" t="str">
        <f t="shared" ca="1" si="8"/>
        <v/>
      </c>
      <c r="L27" s="137" t="str">
        <f t="shared" ca="1" si="9"/>
        <v/>
      </c>
      <c r="M27" s="139" t="str">
        <f t="shared" ca="1" si="10"/>
        <v/>
      </c>
      <c r="N27" s="77" t="str">
        <f t="shared" ca="1" si="11"/>
        <v/>
      </c>
      <c r="O27" s="137" t="str">
        <f t="shared" ca="1" si="12"/>
        <v/>
      </c>
    </row>
    <row r="28" spans="1:15" ht="16.5" customHeight="1" thickBot="1">
      <c r="A28" s="147">
        <v>7</v>
      </c>
      <c r="B28" s="147" t="str">
        <f>TEXT(투자전략!$G$1+6, "[$-ko-KR]yyyy.mm.dd")</f>
        <v>2021.06.07</v>
      </c>
      <c r="C28" s="136" t="str">
        <f t="shared" ca="1" si="0"/>
        <v/>
      </c>
      <c r="D28" s="140" t="str">
        <f t="shared" ca="1" si="1"/>
        <v/>
      </c>
      <c r="E28" s="79" t="str">
        <f t="shared" ca="1" si="2"/>
        <v/>
      </c>
      <c r="F28" s="138" t="str">
        <f t="shared" ca="1" si="3"/>
        <v/>
      </c>
      <c r="G28" s="140" t="str">
        <f t="shared" ca="1" si="4"/>
        <v/>
      </c>
      <c r="H28" s="79" t="str">
        <f t="shared" ca="1" si="5"/>
        <v/>
      </c>
      <c r="I28" s="138" t="str">
        <f t="shared" ca="1" si="6"/>
        <v/>
      </c>
      <c r="J28" s="140" t="str">
        <f t="shared" ca="1" si="7"/>
        <v/>
      </c>
      <c r="K28" s="79" t="str">
        <f t="shared" ca="1" si="8"/>
        <v/>
      </c>
      <c r="L28" s="138" t="str">
        <f t="shared" ca="1" si="9"/>
        <v/>
      </c>
      <c r="M28" s="140" t="str">
        <f t="shared" ca="1" si="10"/>
        <v/>
      </c>
      <c r="N28" s="79" t="str">
        <f t="shared" ca="1" si="11"/>
        <v/>
      </c>
      <c r="O28" s="138" t="str">
        <f t="shared" ca="1" si="12"/>
        <v/>
      </c>
    </row>
    <row r="29" spans="1:15" ht="16.5" customHeight="1">
      <c r="A29" s="146">
        <v>8</v>
      </c>
      <c r="B29" s="146" t="str">
        <f>TEXT(투자전략!$G$1+7, "[$-ko-KR]yyyy.mm.dd")</f>
        <v>2021.06.08</v>
      </c>
      <c r="C29" s="134" t="str">
        <f t="shared" ca="1" si="0"/>
        <v/>
      </c>
      <c r="D29" s="142" t="str">
        <f t="shared" ca="1" si="1"/>
        <v/>
      </c>
      <c r="E29" s="76" t="str">
        <f t="shared" ca="1" si="2"/>
        <v/>
      </c>
      <c r="F29" s="141" t="str">
        <f t="shared" ca="1" si="3"/>
        <v/>
      </c>
      <c r="G29" s="142" t="str">
        <f t="shared" ca="1" si="4"/>
        <v/>
      </c>
      <c r="H29" s="76" t="str">
        <f t="shared" ca="1" si="5"/>
        <v/>
      </c>
      <c r="I29" s="141" t="str">
        <f t="shared" ca="1" si="6"/>
        <v/>
      </c>
      <c r="J29" s="142" t="str">
        <f t="shared" ca="1" si="7"/>
        <v/>
      </c>
      <c r="K29" s="76" t="str">
        <f t="shared" ca="1" si="8"/>
        <v/>
      </c>
      <c r="L29" s="141" t="str">
        <f t="shared" ca="1" si="9"/>
        <v/>
      </c>
      <c r="M29" s="142" t="str">
        <f t="shared" ca="1" si="10"/>
        <v/>
      </c>
      <c r="N29" s="76" t="str">
        <f t="shared" ca="1" si="11"/>
        <v/>
      </c>
      <c r="O29" s="141" t="str">
        <f t="shared" ca="1" si="12"/>
        <v/>
      </c>
    </row>
    <row r="30" spans="1:15" ht="16.5" customHeight="1">
      <c r="A30" s="148">
        <v>9</v>
      </c>
      <c r="B30" s="148" t="str">
        <f>TEXT(투자전략!$G$1+8, "[$-ko-KR]yyyy.mm.dd")</f>
        <v>2021.06.09</v>
      </c>
      <c r="C30" s="135" t="str">
        <f t="shared" ca="1" si="0"/>
        <v/>
      </c>
      <c r="D30" s="139" t="str">
        <f t="shared" ca="1" si="1"/>
        <v/>
      </c>
      <c r="E30" s="77" t="str">
        <f t="shared" ca="1" si="2"/>
        <v/>
      </c>
      <c r="F30" s="137" t="str">
        <f t="shared" ca="1" si="3"/>
        <v/>
      </c>
      <c r="G30" s="139" t="str">
        <f t="shared" ca="1" si="4"/>
        <v/>
      </c>
      <c r="H30" s="77" t="str">
        <f t="shared" ca="1" si="5"/>
        <v/>
      </c>
      <c r="I30" s="137" t="str">
        <f t="shared" ca="1" si="6"/>
        <v/>
      </c>
      <c r="J30" s="139" t="str">
        <f t="shared" ca="1" si="7"/>
        <v/>
      </c>
      <c r="K30" s="77" t="str">
        <f t="shared" ca="1" si="8"/>
        <v/>
      </c>
      <c r="L30" s="137" t="str">
        <f t="shared" ca="1" si="9"/>
        <v/>
      </c>
      <c r="M30" s="139" t="str">
        <f t="shared" ca="1" si="10"/>
        <v/>
      </c>
      <c r="N30" s="77" t="str">
        <f t="shared" ca="1" si="11"/>
        <v/>
      </c>
      <c r="O30" s="137" t="str">
        <f t="shared" ca="1" si="12"/>
        <v/>
      </c>
    </row>
    <row r="31" spans="1:15" ht="16.5" customHeight="1">
      <c r="A31" s="148">
        <v>10</v>
      </c>
      <c r="B31" s="148" t="str">
        <f>TEXT(투자전략!$G$1+9, "[$-ko-KR]yyyy.mm.dd")</f>
        <v>2021.06.10</v>
      </c>
      <c r="C31" s="135" t="str">
        <f t="shared" ca="1" si="0"/>
        <v/>
      </c>
      <c r="D31" s="139" t="str">
        <f t="shared" ca="1" si="1"/>
        <v/>
      </c>
      <c r="E31" s="77" t="str">
        <f t="shared" ca="1" si="2"/>
        <v/>
      </c>
      <c r="F31" s="137" t="str">
        <f t="shared" ca="1" si="3"/>
        <v/>
      </c>
      <c r="G31" s="139" t="str">
        <f t="shared" ca="1" si="4"/>
        <v/>
      </c>
      <c r="H31" s="77" t="str">
        <f t="shared" ca="1" si="5"/>
        <v/>
      </c>
      <c r="I31" s="137" t="str">
        <f t="shared" ca="1" si="6"/>
        <v/>
      </c>
      <c r="J31" s="139" t="str">
        <f t="shared" ca="1" si="7"/>
        <v/>
      </c>
      <c r="K31" s="77" t="str">
        <f t="shared" ca="1" si="8"/>
        <v/>
      </c>
      <c r="L31" s="137" t="str">
        <f t="shared" ca="1" si="9"/>
        <v/>
      </c>
      <c r="M31" s="139" t="str">
        <f t="shared" ca="1" si="10"/>
        <v/>
      </c>
      <c r="N31" s="77" t="str">
        <f t="shared" ca="1" si="11"/>
        <v/>
      </c>
      <c r="O31" s="137" t="str">
        <f t="shared" ca="1" si="12"/>
        <v/>
      </c>
    </row>
    <row r="32" spans="1:15" ht="16.5" customHeight="1">
      <c r="A32" s="148">
        <v>11</v>
      </c>
      <c r="B32" s="148" t="str">
        <f>TEXT(투자전략!$G$1+10, "[$-ko-KR]yyyy.mm.dd")</f>
        <v>2021.06.11</v>
      </c>
      <c r="C32" s="135" t="str">
        <f t="shared" ca="1" si="0"/>
        <v/>
      </c>
      <c r="D32" s="139" t="str">
        <f t="shared" ca="1" si="1"/>
        <v/>
      </c>
      <c r="E32" s="77" t="str">
        <f t="shared" ca="1" si="2"/>
        <v/>
      </c>
      <c r="F32" s="137" t="str">
        <f t="shared" ca="1" si="3"/>
        <v/>
      </c>
      <c r="G32" s="139" t="str">
        <f t="shared" ca="1" si="4"/>
        <v/>
      </c>
      <c r="H32" s="77" t="str">
        <f t="shared" ca="1" si="5"/>
        <v/>
      </c>
      <c r="I32" s="137" t="str">
        <f t="shared" ca="1" si="6"/>
        <v/>
      </c>
      <c r="J32" s="139" t="str">
        <f t="shared" ca="1" si="7"/>
        <v/>
      </c>
      <c r="K32" s="77" t="str">
        <f t="shared" ca="1" si="8"/>
        <v/>
      </c>
      <c r="L32" s="137" t="str">
        <f t="shared" ca="1" si="9"/>
        <v/>
      </c>
      <c r="M32" s="139" t="str">
        <f t="shared" ca="1" si="10"/>
        <v/>
      </c>
      <c r="N32" s="77" t="str">
        <f t="shared" ca="1" si="11"/>
        <v/>
      </c>
      <c r="O32" s="137" t="str">
        <f t="shared" ca="1" si="12"/>
        <v/>
      </c>
    </row>
    <row r="33" spans="1:15" ht="16.5" customHeight="1">
      <c r="A33" s="148">
        <v>12</v>
      </c>
      <c r="B33" s="148" t="str">
        <f>TEXT(투자전략!$G$1+11, "[$-ko-KR]yyyy.mm.dd")</f>
        <v>2021.06.12</v>
      </c>
      <c r="C33" s="135" t="str">
        <f t="shared" ca="1" si="0"/>
        <v/>
      </c>
      <c r="D33" s="139" t="str">
        <f t="shared" ca="1" si="1"/>
        <v/>
      </c>
      <c r="E33" s="77" t="str">
        <f t="shared" ca="1" si="2"/>
        <v/>
      </c>
      <c r="F33" s="137" t="str">
        <f t="shared" ca="1" si="3"/>
        <v/>
      </c>
      <c r="G33" s="139" t="str">
        <f t="shared" ca="1" si="4"/>
        <v/>
      </c>
      <c r="H33" s="77" t="str">
        <f t="shared" ca="1" si="5"/>
        <v/>
      </c>
      <c r="I33" s="137" t="str">
        <f t="shared" ca="1" si="6"/>
        <v/>
      </c>
      <c r="J33" s="139" t="str">
        <f t="shared" ca="1" si="7"/>
        <v/>
      </c>
      <c r="K33" s="77" t="str">
        <f t="shared" ca="1" si="8"/>
        <v/>
      </c>
      <c r="L33" s="137" t="str">
        <f t="shared" ca="1" si="9"/>
        <v/>
      </c>
      <c r="M33" s="139" t="str">
        <f t="shared" ca="1" si="10"/>
        <v/>
      </c>
      <c r="N33" s="77" t="str">
        <f t="shared" ca="1" si="11"/>
        <v/>
      </c>
      <c r="O33" s="137" t="str">
        <f t="shared" ca="1" si="12"/>
        <v/>
      </c>
    </row>
    <row r="34" spans="1:15" ht="16.5" customHeight="1">
      <c r="A34" s="148">
        <v>13</v>
      </c>
      <c r="B34" s="148" t="str">
        <f>TEXT(투자전략!$G$1+12, "[$-ko-KR]yyyy.mm.dd")</f>
        <v>2021.06.13</v>
      </c>
      <c r="C34" s="135" t="str">
        <f t="shared" ca="1" si="0"/>
        <v/>
      </c>
      <c r="D34" s="139" t="str">
        <f t="shared" ca="1" si="1"/>
        <v/>
      </c>
      <c r="E34" s="77" t="str">
        <f t="shared" ca="1" si="2"/>
        <v/>
      </c>
      <c r="F34" s="137" t="str">
        <f t="shared" ca="1" si="3"/>
        <v/>
      </c>
      <c r="G34" s="139" t="str">
        <f t="shared" ca="1" si="4"/>
        <v/>
      </c>
      <c r="H34" s="77" t="str">
        <f t="shared" ca="1" si="5"/>
        <v/>
      </c>
      <c r="I34" s="137" t="str">
        <f t="shared" ca="1" si="6"/>
        <v/>
      </c>
      <c r="J34" s="139" t="str">
        <f t="shared" ca="1" si="7"/>
        <v/>
      </c>
      <c r="K34" s="77" t="str">
        <f t="shared" ca="1" si="8"/>
        <v/>
      </c>
      <c r="L34" s="137" t="str">
        <f t="shared" ca="1" si="9"/>
        <v/>
      </c>
      <c r="M34" s="139" t="str">
        <f t="shared" ca="1" si="10"/>
        <v/>
      </c>
      <c r="N34" s="77" t="str">
        <f t="shared" ca="1" si="11"/>
        <v/>
      </c>
      <c r="O34" s="137" t="str">
        <f t="shared" ca="1" si="12"/>
        <v/>
      </c>
    </row>
    <row r="35" spans="1:15" ht="16.5" customHeight="1" thickBot="1">
      <c r="A35" s="147">
        <v>14</v>
      </c>
      <c r="B35" s="147" t="str">
        <f>TEXT(투자전략!$G$1+13, "[$-ko-KR]yyyy.mm.dd")</f>
        <v>2021.06.14</v>
      </c>
      <c r="C35" s="136" t="str">
        <f t="shared" ca="1" si="0"/>
        <v/>
      </c>
      <c r="D35" s="140" t="str">
        <f t="shared" ca="1" si="1"/>
        <v/>
      </c>
      <c r="E35" s="79" t="str">
        <f t="shared" ca="1" si="2"/>
        <v/>
      </c>
      <c r="F35" s="138" t="str">
        <f t="shared" ca="1" si="3"/>
        <v/>
      </c>
      <c r="G35" s="140" t="str">
        <f t="shared" ca="1" si="4"/>
        <v/>
      </c>
      <c r="H35" s="79" t="str">
        <f t="shared" ca="1" si="5"/>
        <v/>
      </c>
      <c r="I35" s="138" t="str">
        <f t="shared" ca="1" si="6"/>
        <v/>
      </c>
      <c r="J35" s="140" t="str">
        <f t="shared" ca="1" si="7"/>
        <v/>
      </c>
      <c r="K35" s="79" t="str">
        <f t="shared" ca="1" si="8"/>
        <v/>
      </c>
      <c r="L35" s="138" t="str">
        <f t="shared" ca="1" si="9"/>
        <v/>
      </c>
      <c r="M35" s="140" t="str">
        <f t="shared" ca="1" si="10"/>
        <v/>
      </c>
      <c r="N35" s="79" t="str">
        <f t="shared" ca="1" si="11"/>
        <v/>
      </c>
      <c r="O35" s="138" t="str">
        <f t="shared" ca="1" si="12"/>
        <v/>
      </c>
    </row>
    <row r="36" spans="1:15" ht="16.5" customHeight="1">
      <c r="A36" s="146">
        <v>15</v>
      </c>
      <c r="B36" s="146" t="str">
        <f>TEXT(투자전략!$G$1+14, "[$-ko-KR]yyyy.mm.dd")</f>
        <v>2021.06.15</v>
      </c>
      <c r="C36" s="134" t="str">
        <f t="shared" ca="1" si="0"/>
        <v/>
      </c>
      <c r="D36" s="142" t="str">
        <f t="shared" ca="1" si="1"/>
        <v/>
      </c>
      <c r="E36" s="76" t="str">
        <f t="shared" ca="1" si="2"/>
        <v/>
      </c>
      <c r="F36" s="141" t="str">
        <f t="shared" ca="1" si="3"/>
        <v/>
      </c>
      <c r="G36" s="142" t="str">
        <f t="shared" ca="1" si="4"/>
        <v/>
      </c>
      <c r="H36" s="76" t="str">
        <f t="shared" ca="1" si="5"/>
        <v/>
      </c>
      <c r="I36" s="141" t="str">
        <f t="shared" ca="1" si="6"/>
        <v/>
      </c>
      <c r="J36" s="142" t="str">
        <f t="shared" ca="1" si="7"/>
        <v/>
      </c>
      <c r="K36" s="76" t="str">
        <f t="shared" ca="1" si="8"/>
        <v/>
      </c>
      <c r="L36" s="141" t="str">
        <f t="shared" ca="1" si="9"/>
        <v/>
      </c>
      <c r="M36" s="142" t="str">
        <f t="shared" ca="1" si="10"/>
        <v/>
      </c>
      <c r="N36" s="76" t="str">
        <f t="shared" ca="1" si="11"/>
        <v/>
      </c>
      <c r="O36" s="141" t="str">
        <f t="shared" ca="1" si="12"/>
        <v/>
      </c>
    </row>
    <row r="37" spans="1:15" ht="16.5" customHeight="1">
      <c r="A37" s="148">
        <v>16</v>
      </c>
      <c r="B37" s="148" t="str">
        <f>TEXT(투자전략!$G$1+15, "[$-ko-KR]yyyy.mm.dd")</f>
        <v>2021.06.16</v>
      </c>
      <c r="C37" s="135" t="str">
        <f t="shared" ca="1" si="0"/>
        <v/>
      </c>
      <c r="D37" s="139" t="str">
        <f t="shared" ca="1" si="1"/>
        <v/>
      </c>
      <c r="E37" s="77" t="str">
        <f t="shared" ca="1" si="2"/>
        <v/>
      </c>
      <c r="F37" s="137" t="str">
        <f t="shared" ca="1" si="3"/>
        <v/>
      </c>
      <c r="G37" s="139" t="str">
        <f t="shared" ca="1" si="4"/>
        <v/>
      </c>
      <c r="H37" s="77" t="str">
        <f t="shared" ca="1" si="5"/>
        <v/>
      </c>
      <c r="I37" s="137" t="str">
        <f t="shared" ca="1" si="6"/>
        <v/>
      </c>
      <c r="J37" s="139" t="str">
        <f t="shared" ca="1" si="7"/>
        <v/>
      </c>
      <c r="K37" s="77" t="str">
        <f t="shared" ca="1" si="8"/>
        <v/>
      </c>
      <c r="L37" s="137" t="str">
        <f t="shared" ca="1" si="9"/>
        <v/>
      </c>
      <c r="M37" s="139" t="str">
        <f t="shared" ca="1" si="10"/>
        <v/>
      </c>
      <c r="N37" s="77" t="str">
        <f t="shared" ca="1" si="11"/>
        <v/>
      </c>
      <c r="O37" s="137" t="str">
        <f t="shared" ca="1" si="12"/>
        <v/>
      </c>
    </row>
    <row r="38" spans="1:15" ht="16.5" customHeight="1">
      <c r="A38" s="148">
        <v>17</v>
      </c>
      <c r="B38" s="148" t="str">
        <f>TEXT(투자전략!$G$1+16, "[$-ko-KR]yyyy.mm.dd")</f>
        <v>2021.06.17</v>
      </c>
      <c r="C38" s="135" t="str">
        <f t="shared" ca="1" si="0"/>
        <v/>
      </c>
      <c r="D38" s="139" t="str">
        <f t="shared" ca="1" si="1"/>
        <v/>
      </c>
      <c r="E38" s="77" t="str">
        <f t="shared" ca="1" si="2"/>
        <v/>
      </c>
      <c r="F38" s="137" t="str">
        <f t="shared" ca="1" si="3"/>
        <v/>
      </c>
      <c r="G38" s="139" t="str">
        <f t="shared" ca="1" si="4"/>
        <v/>
      </c>
      <c r="H38" s="77" t="str">
        <f t="shared" ca="1" si="5"/>
        <v/>
      </c>
      <c r="I38" s="137" t="str">
        <f t="shared" ca="1" si="6"/>
        <v/>
      </c>
      <c r="J38" s="139" t="str">
        <f t="shared" ca="1" si="7"/>
        <v/>
      </c>
      <c r="K38" s="77" t="str">
        <f t="shared" ca="1" si="8"/>
        <v/>
      </c>
      <c r="L38" s="137" t="str">
        <f t="shared" ca="1" si="9"/>
        <v/>
      </c>
      <c r="M38" s="139" t="str">
        <f t="shared" ca="1" si="10"/>
        <v/>
      </c>
      <c r="N38" s="77" t="str">
        <f t="shared" ca="1" si="11"/>
        <v/>
      </c>
      <c r="O38" s="137" t="str">
        <f t="shared" ca="1" si="12"/>
        <v/>
      </c>
    </row>
    <row r="39" spans="1:15" ht="16.5" customHeight="1">
      <c r="A39" s="148">
        <v>18</v>
      </c>
      <c r="B39" s="148" t="str">
        <f>TEXT(투자전략!$G$1+17, "[$-ko-KR]yyyy.mm.dd")</f>
        <v>2021.06.18</v>
      </c>
      <c r="C39" s="135" t="str">
        <f t="shared" ca="1" si="0"/>
        <v/>
      </c>
      <c r="D39" s="139" t="str">
        <f t="shared" ca="1" si="1"/>
        <v/>
      </c>
      <c r="E39" s="77" t="str">
        <f t="shared" ca="1" si="2"/>
        <v/>
      </c>
      <c r="F39" s="137" t="str">
        <f t="shared" ca="1" si="3"/>
        <v/>
      </c>
      <c r="G39" s="139" t="str">
        <f t="shared" ca="1" si="4"/>
        <v/>
      </c>
      <c r="H39" s="77" t="str">
        <f t="shared" ca="1" si="5"/>
        <v/>
      </c>
      <c r="I39" s="137" t="str">
        <f t="shared" ca="1" si="6"/>
        <v/>
      </c>
      <c r="J39" s="139" t="str">
        <f t="shared" ca="1" si="7"/>
        <v/>
      </c>
      <c r="K39" s="77" t="str">
        <f t="shared" ca="1" si="8"/>
        <v/>
      </c>
      <c r="L39" s="137" t="str">
        <f t="shared" ca="1" si="9"/>
        <v/>
      </c>
      <c r="M39" s="139" t="str">
        <f t="shared" ca="1" si="10"/>
        <v/>
      </c>
      <c r="N39" s="77" t="str">
        <f t="shared" ca="1" si="11"/>
        <v/>
      </c>
      <c r="O39" s="137" t="str">
        <f t="shared" ca="1" si="12"/>
        <v/>
      </c>
    </row>
    <row r="40" spans="1:15" ht="16.5" customHeight="1">
      <c r="A40" s="148">
        <v>19</v>
      </c>
      <c r="B40" s="148" t="str">
        <f>TEXT(투자전략!$G$1+18, "[$-ko-KR]yyyy.mm.dd")</f>
        <v>2021.06.19</v>
      </c>
      <c r="C40" s="135" t="str">
        <f t="shared" ca="1" si="0"/>
        <v/>
      </c>
      <c r="D40" s="139" t="str">
        <f t="shared" ca="1" si="1"/>
        <v/>
      </c>
      <c r="E40" s="77" t="str">
        <f t="shared" ca="1" si="2"/>
        <v/>
      </c>
      <c r="F40" s="137" t="str">
        <f t="shared" ca="1" si="3"/>
        <v/>
      </c>
      <c r="G40" s="139" t="str">
        <f t="shared" ca="1" si="4"/>
        <v/>
      </c>
      <c r="H40" s="77" t="str">
        <f t="shared" ca="1" si="5"/>
        <v/>
      </c>
      <c r="I40" s="137" t="str">
        <f t="shared" ca="1" si="6"/>
        <v/>
      </c>
      <c r="J40" s="139" t="str">
        <f t="shared" ca="1" si="7"/>
        <v/>
      </c>
      <c r="K40" s="77" t="str">
        <f t="shared" ca="1" si="8"/>
        <v/>
      </c>
      <c r="L40" s="137" t="str">
        <f t="shared" ca="1" si="9"/>
        <v/>
      </c>
      <c r="M40" s="139" t="str">
        <f t="shared" ca="1" si="10"/>
        <v/>
      </c>
      <c r="N40" s="77" t="str">
        <f t="shared" ca="1" si="11"/>
        <v/>
      </c>
      <c r="O40" s="137" t="str">
        <f t="shared" ca="1" si="12"/>
        <v/>
      </c>
    </row>
    <row r="41" spans="1:15" ht="16.5" customHeight="1">
      <c r="A41" s="148">
        <v>20</v>
      </c>
      <c r="B41" s="148" t="str">
        <f>TEXT(투자전략!$G$1+19, "[$-ko-KR]yyyy.mm.dd")</f>
        <v>2021.06.20</v>
      </c>
      <c r="C41" s="135" t="str">
        <f t="shared" ca="1" si="0"/>
        <v/>
      </c>
      <c r="D41" s="139" t="str">
        <f t="shared" ca="1" si="1"/>
        <v/>
      </c>
      <c r="E41" s="77" t="str">
        <f t="shared" ca="1" si="2"/>
        <v/>
      </c>
      <c r="F41" s="137" t="str">
        <f t="shared" ca="1" si="3"/>
        <v/>
      </c>
      <c r="G41" s="139" t="str">
        <f t="shared" ca="1" si="4"/>
        <v/>
      </c>
      <c r="H41" s="77" t="str">
        <f t="shared" ca="1" si="5"/>
        <v/>
      </c>
      <c r="I41" s="137" t="str">
        <f t="shared" ca="1" si="6"/>
        <v/>
      </c>
      <c r="J41" s="139" t="str">
        <f t="shared" ca="1" si="7"/>
        <v/>
      </c>
      <c r="K41" s="77" t="str">
        <f t="shared" ca="1" si="8"/>
        <v/>
      </c>
      <c r="L41" s="137" t="str">
        <f t="shared" ca="1" si="9"/>
        <v/>
      </c>
      <c r="M41" s="139" t="str">
        <f t="shared" ca="1" si="10"/>
        <v/>
      </c>
      <c r="N41" s="77" t="str">
        <f t="shared" ca="1" si="11"/>
        <v/>
      </c>
      <c r="O41" s="137" t="str">
        <f t="shared" ca="1" si="12"/>
        <v/>
      </c>
    </row>
    <row r="42" spans="1:15" ht="16.5" customHeight="1" thickBot="1">
      <c r="A42" s="147">
        <v>21</v>
      </c>
      <c r="B42" s="147" t="str">
        <f>TEXT(투자전략!$G$1+20, "[$-ko-KR]yyyy.mm.dd")</f>
        <v>2021.06.21</v>
      </c>
      <c r="C42" s="136" t="str">
        <f t="shared" ca="1" si="0"/>
        <v/>
      </c>
      <c r="D42" s="140" t="str">
        <f t="shared" ca="1" si="1"/>
        <v/>
      </c>
      <c r="E42" s="79" t="str">
        <f t="shared" ca="1" si="2"/>
        <v/>
      </c>
      <c r="F42" s="138" t="str">
        <f t="shared" ca="1" si="3"/>
        <v/>
      </c>
      <c r="G42" s="140" t="str">
        <f t="shared" ca="1" si="4"/>
        <v/>
      </c>
      <c r="H42" s="79" t="str">
        <f t="shared" ca="1" si="5"/>
        <v/>
      </c>
      <c r="I42" s="138" t="str">
        <f t="shared" ca="1" si="6"/>
        <v/>
      </c>
      <c r="J42" s="140" t="str">
        <f t="shared" ca="1" si="7"/>
        <v/>
      </c>
      <c r="K42" s="79" t="str">
        <f t="shared" ca="1" si="8"/>
        <v/>
      </c>
      <c r="L42" s="138" t="str">
        <f t="shared" ca="1" si="9"/>
        <v/>
      </c>
      <c r="M42" s="140" t="str">
        <f t="shared" ca="1" si="10"/>
        <v/>
      </c>
      <c r="N42" s="79" t="str">
        <f t="shared" ca="1" si="11"/>
        <v/>
      </c>
      <c r="O42" s="138" t="str">
        <f t="shared" ca="1" si="12"/>
        <v/>
      </c>
    </row>
    <row r="43" spans="1:15" ht="16.5" customHeight="1">
      <c r="A43" s="146">
        <v>22</v>
      </c>
      <c r="B43" s="146" t="str">
        <f>TEXT(투자전략!$G$1+21, "[$-ko-KR]yyyy.mm.dd")</f>
        <v>2021.06.22</v>
      </c>
      <c r="C43" s="134" t="str">
        <f t="shared" ca="1" si="0"/>
        <v/>
      </c>
      <c r="D43" s="142" t="str">
        <f t="shared" ca="1" si="1"/>
        <v/>
      </c>
      <c r="E43" s="76" t="str">
        <f t="shared" ca="1" si="2"/>
        <v/>
      </c>
      <c r="F43" s="141" t="str">
        <f t="shared" ca="1" si="3"/>
        <v/>
      </c>
      <c r="G43" s="142" t="str">
        <f t="shared" ca="1" si="4"/>
        <v/>
      </c>
      <c r="H43" s="76" t="str">
        <f t="shared" ca="1" si="5"/>
        <v/>
      </c>
      <c r="I43" s="141" t="str">
        <f t="shared" ca="1" si="6"/>
        <v/>
      </c>
      <c r="J43" s="142" t="str">
        <f t="shared" ca="1" si="7"/>
        <v/>
      </c>
      <c r="K43" s="76" t="str">
        <f t="shared" ca="1" si="8"/>
        <v/>
      </c>
      <c r="L43" s="141" t="str">
        <f t="shared" ca="1" si="9"/>
        <v/>
      </c>
      <c r="M43" s="142" t="str">
        <f t="shared" ca="1" si="10"/>
        <v/>
      </c>
      <c r="N43" s="76" t="str">
        <f t="shared" ca="1" si="11"/>
        <v/>
      </c>
      <c r="O43" s="141" t="str">
        <f t="shared" ca="1" si="12"/>
        <v/>
      </c>
    </row>
    <row r="44" spans="1:15" ht="16.5" customHeight="1">
      <c r="A44" s="148">
        <v>23</v>
      </c>
      <c r="B44" s="148" t="str">
        <f>TEXT(투자전략!$G$1+22, "[$-ko-KR]yyyy.mm.dd")</f>
        <v>2021.06.23</v>
      </c>
      <c r="C44" s="135" t="str">
        <f t="shared" ca="1" si="0"/>
        <v/>
      </c>
      <c r="D44" s="139" t="str">
        <f t="shared" ca="1" si="1"/>
        <v/>
      </c>
      <c r="E44" s="77" t="str">
        <f t="shared" ca="1" si="2"/>
        <v/>
      </c>
      <c r="F44" s="137" t="str">
        <f t="shared" ca="1" si="3"/>
        <v/>
      </c>
      <c r="G44" s="139" t="str">
        <f t="shared" ca="1" si="4"/>
        <v/>
      </c>
      <c r="H44" s="77" t="str">
        <f t="shared" ca="1" si="5"/>
        <v/>
      </c>
      <c r="I44" s="137" t="str">
        <f t="shared" ca="1" si="6"/>
        <v/>
      </c>
      <c r="J44" s="139" t="str">
        <f t="shared" ca="1" si="7"/>
        <v/>
      </c>
      <c r="K44" s="77" t="str">
        <f t="shared" ca="1" si="8"/>
        <v/>
      </c>
      <c r="L44" s="137" t="str">
        <f t="shared" ca="1" si="9"/>
        <v/>
      </c>
      <c r="M44" s="139" t="str">
        <f t="shared" ca="1" si="10"/>
        <v/>
      </c>
      <c r="N44" s="77" t="str">
        <f t="shared" ca="1" si="11"/>
        <v/>
      </c>
      <c r="O44" s="137" t="str">
        <f t="shared" ca="1" si="12"/>
        <v/>
      </c>
    </row>
    <row r="45" spans="1:15" ht="16.5" customHeight="1">
      <c r="A45" s="148">
        <v>24</v>
      </c>
      <c r="B45" s="148" t="str">
        <f>TEXT(투자전략!$G$1+23, "[$-ko-KR]yyyy.mm.dd")</f>
        <v>2021.06.24</v>
      </c>
      <c r="C45" s="135" t="str">
        <f t="shared" ca="1" si="0"/>
        <v/>
      </c>
      <c r="D45" s="139" t="str">
        <f t="shared" ca="1" si="1"/>
        <v/>
      </c>
      <c r="E45" s="77" t="str">
        <f t="shared" ca="1" si="2"/>
        <v/>
      </c>
      <c r="F45" s="137" t="str">
        <f t="shared" ca="1" si="3"/>
        <v/>
      </c>
      <c r="G45" s="139" t="str">
        <f t="shared" ca="1" si="4"/>
        <v/>
      </c>
      <c r="H45" s="77" t="str">
        <f t="shared" ca="1" si="5"/>
        <v/>
      </c>
      <c r="I45" s="137" t="str">
        <f t="shared" ca="1" si="6"/>
        <v/>
      </c>
      <c r="J45" s="139" t="str">
        <f t="shared" ca="1" si="7"/>
        <v/>
      </c>
      <c r="K45" s="77" t="str">
        <f t="shared" ca="1" si="8"/>
        <v/>
      </c>
      <c r="L45" s="137" t="str">
        <f t="shared" ca="1" si="9"/>
        <v/>
      </c>
      <c r="M45" s="139" t="str">
        <f t="shared" ca="1" si="10"/>
        <v/>
      </c>
      <c r="N45" s="77" t="str">
        <f t="shared" ca="1" si="11"/>
        <v/>
      </c>
      <c r="O45" s="137" t="str">
        <f t="shared" ca="1" si="12"/>
        <v/>
      </c>
    </row>
    <row r="46" spans="1:15" ht="16.5" customHeight="1">
      <c r="A46" s="148">
        <v>25</v>
      </c>
      <c r="B46" s="148" t="str">
        <f>TEXT(투자전략!$G$1+24, "[$-ko-KR]yyyy.mm.dd")</f>
        <v>2021.06.25</v>
      </c>
      <c r="C46" s="135" t="str">
        <f t="shared" ca="1" si="0"/>
        <v/>
      </c>
      <c r="D46" s="139" t="str">
        <f t="shared" ca="1" si="1"/>
        <v/>
      </c>
      <c r="E46" s="77" t="str">
        <f t="shared" ca="1" si="2"/>
        <v/>
      </c>
      <c r="F46" s="137" t="str">
        <f t="shared" ca="1" si="3"/>
        <v/>
      </c>
      <c r="G46" s="139" t="str">
        <f t="shared" ca="1" si="4"/>
        <v/>
      </c>
      <c r="H46" s="77" t="str">
        <f t="shared" ca="1" si="5"/>
        <v/>
      </c>
      <c r="I46" s="137" t="str">
        <f t="shared" ca="1" si="6"/>
        <v/>
      </c>
      <c r="J46" s="139" t="str">
        <f t="shared" ca="1" si="7"/>
        <v/>
      </c>
      <c r="K46" s="77" t="str">
        <f t="shared" ca="1" si="8"/>
        <v/>
      </c>
      <c r="L46" s="137" t="str">
        <f t="shared" ca="1" si="9"/>
        <v/>
      </c>
      <c r="M46" s="139" t="str">
        <f t="shared" ca="1" si="10"/>
        <v/>
      </c>
      <c r="N46" s="77" t="str">
        <f t="shared" ca="1" si="11"/>
        <v/>
      </c>
      <c r="O46" s="137" t="str">
        <f t="shared" ca="1" si="12"/>
        <v/>
      </c>
    </row>
    <row r="47" spans="1:15" ht="16.5" customHeight="1">
      <c r="A47" s="148">
        <v>26</v>
      </c>
      <c r="B47" s="148" t="str">
        <f>TEXT(투자전략!$G$1+25, "[$-ko-KR]yyyy.mm.dd")</f>
        <v>2021.06.26</v>
      </c>
      <c r="C47" s="135" t="str">
        <f t="shared" ca="1" si="0"/>
        <v/>
      </c>
      <c r="D47" s="139" t="str">
        <f t="shared" ca="1" si="1"/>
        <v/>
      </c>
      <c r="E47" s="77" t="str">
        <f t="shared" ca="1" si="2"/>
        <v/>
      </c>
      <c r="F47" s="137" t="str">
        <f t="shared" ca="1" si="3"/>
        <v/>
      </c>
      <c r="G47" s="139" t="str">
        <f t="shared" ca="1" si="4"/>
        <v/>
      </c>
      <c r="H47" s="77" t="str">
        <f t="shared" ca="1" si="5"/>
        <v/>
      </c>
      <c r="I47" s="137" t="str">
        <f t="shared" ca="1" si="6"/>
        <v/>
      </c>
      <c r="J47" s="139" t="str">
        <f t="shared" ca="1" si="7"/>
        <v/>
      </c>
      <c r="K47" s="77" t="str">
        <f t="shared" ca="1" si="8"/>
        <v/>
      </c>
      <c r="L47" s="137" t="str">
        <f t="shared" ca="1" si="9"/>
        <v/>
      </c>
      <c r="M47" s="139" t="str">
        <f t="shared" ca="1" si="10"/>
        <v/>
      </c>
      <c r="N47" s="77" t="str">
        <f t="shared" ca="1" si="11"/>
        <v/>
      </c>
      <c r="O47" s="137" t="str">
        <f t="shared" ca="1" si="12"/>
        <v/>
      </c>
    </row>
    <row r="48" spans="1:15" ht="16.5" customHeight="1">
      <c r="A48" s="148">
        <v>27</v>
      </c>
      <c r="B48" s="148" t="str">
        <f>TEXT(투자전략!$G$1+26, "[$-ko-KR]yyyy.mm.dd")</f>
        <v>2021.06.27</v>
      </c>
      <c r="C48" s="135" t="str">
        <f t="shared" ca="1" si="0"/>
        <v/>
      </c>
      <c r="D48" s="139" t="str">
        <f t="shared" ca="1" si="1"/>
        <v/>
      </c>
      <c r="E48" s="77" t="str">
        <f t="shared" ca="1" si="2"/>
        <v/>
      </c>
      <c r="F48" s="137" t="str">
        <f t="shared" ca="1" si="3"/>
        <v/>
      </c>
      <c r="G48" s="139" t="str">
        <f t="shared" ca="1" si="4"/>
        <v/>
      </c>
      <c r="H48" s="77" t="str">
        <f t="shared" ca="1" si="5"/>
        <v/>
      </c>
      <c r="I48" s="137" t="str">
        <f t="shared" ca="1" si="6"/>
        <v/>
      </c>
      <c r="J48" s="139" t="str">
        <f t="shared" ca="1" si="7"/>
        <v/>
      </c>
      <c r="K48" s="77" t="str">
        <f t="shared" ca="1" si="8"/>
        <v/>
      </c>
      <c r="L48" s="137" t="str">
        <f t="shared" ca="1" si="9"/>
        <v/>
      </c>
      <c r="M48" s="139" t="str">
        <f t="shared" ca="1" si="10"/>
        <v/>
      </c>
      <c r="N48" s="77" t="str">
        <f t="shared" ca="1" si="11"/>
        <v/>
      </c>
      <c r="O48" s="137" t="str">
        <f t="shared" ca="1" si="12"/>
        <v/>
      </c>
    </row>
    <row r="49" spans="1:15" ht="16.5" customHeight="1" thickBot="1">
      <c r="A49" s="147">
        <v>28</v>
      </c>
      <c r="B49" s="147" t="str">
        <f>TEXT(투자전략!$G$1+27, "[$-ko-KR]yyyy.mm.dd")</f>
        <v>2021.06.28</v>
      </c>
      <c r="C49" s="136" t="str">
        <f t="shared" ca="1" si="0"/>
        <v/>
      </c>
      <c r="D49" s="140" t="str">
        <f t="shared" ca="1" si="1"/>
        <v/>
      </c>
      <c r="E49" s="79" t="str">
        <f t="shared" ca="1" si="2"/>
        <v/>
      </c>
      <c r="F49" s="138" t="str">
        <f t="shared" ca="1" si="3"/>
        <v/>
      </c>
      <c r="G49" s="140" t="str">
        <f t="shared" ca="1" si="4"/>
        <v/>
      </c>
      <c r="H49" s="79" t="str">
        <f t="shared" ca="1" si="5"/>
        <v/>
      </c>
      <c r="I49" s="138" t="str">
        <f t="shared" ca="1" si="6"/>
        <v/>
      </c>
      <c r="J49" s="140" t="str">
        <f t="shared" ca="1" si="7"/>
        <v/>
      </c>
      <c r="K49" s="79" t="str">
        <f t="shared" ca="1" si="8"/>
        <v/>
      </c>
      <c r="L49" s="138" t="str">
        <f t="shared" ca="1" si="9"/>
        <v/>
      </c>
      <c r="M49" s="140" t="str">
        <f t="shared" ca="1" si="10"/>
        <v/>
      </c>
      <c r="N49" s="79" t="str">
        <f t="shared" ca="1" si="11"/>
        <v/>
      </c>
      <c r="O49" s="138" t="str">
        <f t="shared" ca="1" si="12"/>
        <v/>
      </c>
    </row>
    <row r="50" spans="1:15" ht="16.5" customHeight="1">
      <c r="A50" s="121">
        <v>29</v>
      </c>
      <c r="B50" s="146" t="str">
        <f>TEXT(투자전략!$G$1+28, "[$-ko-KR]yyyy.mm.dd")</f>
        <v>2021.06.29</v>
      </c>
      <c r="C50" s="135" t="str">
        <f t="shared" ca="1" si="0"/>
        <v/>
      </c>
      <c r="D50" s="139" t="str">
        <f t="shared" ca="1" si="1"/>
        <v/>
      </c>
      <c r="E50" s="77" t="str">
        <f t="shared" ca="1" si="2"/>
        <v/>
      </c>
      <c r="F50" s="137" t="str">
        <f t="shared" ca="1" si="3"/>
        <v/>
      </c>
      <c r="G50" s="139" t="str">
        <f t="shared" ca="1" si="4"/>
        <v/>
      </c>
      <c r="H50" s="77" t="str">
        <f t="shared" ca="1" si="5"/>
        <v/>
      </c>
      <c r="I50" s="137" t="str">
        <f t="shared" ca="1" si="6"/>
        <v/>
      </c>
      <c r="J50" s="139" t="str">
        <f t="shared" ca="1" si="7"/>
        <v/>
      </c>
      <c r="K50" s="77" t="str">
        <f t="shared" ca="1" si="8"/>
        <v/>
      </c>
      <c r="L50" s="137" t="str">
        <f t="shared" ca="1" si="9"/>
        <v/>
      </c>
      <c r="M50" s="139" t="str">
        <f t="shared" ca="1" si="10"/>
        <v/>
      </c>
      <c r="N50" s="77" t="str">
        <f t="shared" ca="1" si="11"/>
        <v/>
      </c>
      <c r="O50" s="137" t="str">
        <f t="shared" ca="1" si="12"/>
        <v/>
      </c>
    </row>
    <row r="51" spans="1:15" ht="16.5" customHeight="1">
      <c r="A51" s="121">
        <v>30</v>
      </c>
      <c r="B51" s="148" t="str">
        <f>TEXT(투자전략!$G$1+29, "[$-ko-KR]yyyy.mm.dd")</f>
        <v>2021.06.30</v>
      </c>
      <c r="C51" s="135" t="str">
        <f t="shared" ca="1" si="0"/>
        <v/>
      </c>
      <c r="D51" s="139" t="str">
        <f t="shared" ca="1" si="1"/>
        <v/>
      </c>
      <c r="E51" s="77" t="str">
        <f t="shared" ca="1" si="2"/>
        <v/>
      </c>
      <c r="F51" s="137" t="str">
        <f t="shared" ca="1" si="3"/>
        <v/>
      </c>
      <c r="G51" s="139" t="str">
        <f t="shared" ca="1" si="4"/>
        <v/>
      </c>
      <c r="H51" s="77" t="str">
        <f t="shared" ca="1" si="5"/>
        <v/>
      </c>
      <c r="I51" s="137" t="str">
        <f t="shared" ca="1" si="6"/>
        <v/>
      </c>
      <c r="J51" s="139" t="str">
        <f t="shared" ca="1" si="7"/>
        <v/>
      </c>
      <c r="K51" s="77" t="str">
        <f t="shared" ca="1" si="8"/>
        <v/>
      </c>
      <c r="L51" s="137" t="str">
        <f t="shared" ca="1" si="9"/>
        <v/>
      </c>
      <c r="M51" s="139" t="str">
        <f t="shared" ca="1" si="10"/>
        <v/>
      </c>
      <c r="N51" s="77" t="str">
        <f t="shared" ca="1" si="11"/>
        <v/>
      </c>
      <c r="O51" s="137" t="str">
        <f t="shared" ca="1" si="12"/>
        <v/>
      </c>
    </row>
    <row r="52" spans="1:15" ht="16.5" customHeight="1" thickBot="1">
      <c r="A52" s="121">
        <v>31</v>
      </c>
      <c r="B52" s="148" t="str">
        <f>TEXT(투자전략!$G$1+30, "[$-ko-KR]yyyy.mm.dd")</f>
        <v>2021.07.01</v>
      </c>
      <c r="C52" s="135" t="str">
        <f t="shared" ca="1" si="0"/>
        <v/>
      </c>
      <c r="D52" s="139" t="str">
        <f t="shared" ca="1" si="1"/>
        <v/>
      </c>
      <c r="E52" s="77" t="str">
        <f t="shared" ca="1" si="2"/>
        <v/>
      </c>
      <c r="F52" s="137" t="str">
        <f t="shared" ca="1" si="3"/>
        <v/>
      </c>
      <c r="G52" s="139" t="str">
        <f t="shared" ca="1" si="4"/>
        <v/>
      </c>
      <c r="H52" s="77" t="str">
        <f t="shared" ca="1" si="5"/>
        <v/>
      </c>
      <c r="I52" s="137" t="str">
        <f t="shared" ca="1" si="6"/>
        <v/>
      </c>
      <c r="J52" s="139" t="str">
        <f t="shared" ca="1" si="7"/>
        <v/>
      </c>
      <c r="K52" s="77" t="str">
        <f t="shared" ca="1" si="8"/>
        <v/>
      </c>
      <c r="L52" s="137" t="str">
        <f t="shared" ca="1" si="9"/>
        <v/>
      </c>
      <c r="M52" s="139" t="str">
        <f t="shared" ca="1" si="10"/>
        <v/>
      </c>
      <c r="N52" s="77" t="str">
        <f t="shared" ca="1" si="11"/>
        <v/>
      </c>
      <c r="O52" s="137" t="str">
        <f t="shared" ca="1" si="12"/>
        <v/>
      </c>
    </row>
    <row r="53" spans="1:15" ht="16.5" customHeight="1" thickBot="1">
      <c r="A53" s="211" t="s">
        <v>313</v>
      </c>
      <c r="B53" s="213"/>
      <c r="C53" s="132" t="s">
        <v>308</v>
      </c>
      <c r="D53" s="143" t="s">
        <v>309</v>
      </c>
      <c r="E53" s="144" t="s">
        <v>310</v>
      </c>
      <c r="F53" s="145" t="s">
        <v>311</v>
      </c>
      <c r="G53" s="143" t="s">
        <v>309</v>
      </c>
      <c r="H53" s="144" t="s">
        <v>310</v>
      </c>
      <c r="I53" s="145" t="s">
        <v>311</v>
      </c>
      <c r="J53" s="143" t="s">
        <v>309</v>
      </c>
      <c r="K53" s="144" t="s">
        <v>310</v>
      </c>
      <c r="L53" s="145" t="s">
        <v>311</v>
      </c>
      <c r="M53" s="143" t="s">
        <v>309</v>
      </c>
      <c r="N53" s="144" t="s">
        <v>310</v>
      </c>
      <c r="O53" s="145" t="s">
        <v>311</v>
      </c>
    </row>
    <row r="54" spans="1:15" ht="16.5" customHeight="1" thickBot="1">
      <c r="A54" s="204"/>
      <c r="B54" s="206"/>
      <c r="C54" s="136">
        <f ca="1">SUM(C22:C52)</f>
        <v>900000</v>
      </c>
      <c r="D54" s="140">
        <f ca="1">SUM(D22:D52)</f>
        <v>900000</v>
      </c>
      <c r="E54" s="79">
        <f ca="1">IFERROR(F54 / (SUM($C22:$C52) / COUNT($C22:$C52)), 0)</f>
        <v>0</v>
      </c>
      <c r="F54" s="138">
        <f ca="1">SUM(F22:F52)</f>
        <v>0</v>
      </c>
      <c r="G54" s="140">
        <f ca="1">SUM(G22:G52)</f>
        <v>900000</v>
      </c>
      <c r="H54" s="79">
        <f ca="1">IFERROR(I54 / (SUM($C22:$C52) / COUNT($C22:$C52)), 0)</f>
        <v>0</v>
      </c>
      <c r="I54" s="138">
        <f ca="1">SUM(I22:I52)</f>
        <v>0</v>
      </c>
      <c r="J54" s="140">
        <f ca="1">SUM(J22:J52)</f>
        <v>900000</v>
      </c>
      <c r="K54" s="79">
        <f ca="1">IFERROR(L54 / (SUM($C22:$C52) / COUNT($C22:$C52)), 0)</f>
        <v>0</v>
      </c>
      <c r="L54" s="138">
        <f ca="1">SUM(L22:L52)</f>
        <v>0</v>
      </c>
      <c r="M54" s="140">
        <f ca="1">SUM(M22:M52)</f>
        <v>900000</v>
      </c>
      <c r="N54" s="79">
        <f ca="1">IFERROR(O54 / (SUM($C22:$C52) / COUNT($C22:$C52)), 0)</f>
        <v>0</v>
      </c>
      <c r="O54" s="138">
        <f ca="1">SUM(O22:O52)</f>
        <v>0</v>
      </c>
    </row>
    <row r="56" spans="1:15" ht="16.5" customHeight="1" thickBot="1"/>
    <row r="57" spans="1:15" ht="16.5" customHeight="1" thickBot="1">
      <c r="A57" s="183" t="str">
        <f>TEXT(투자전략!$G$1, "[$-ko-KR]yyyy년 mm월 ") &amp; "[엽전코인] 전일대비 상승률 Top20 월말결산"</f>
        <v>2021년 06월 [엽전코인] 전일대비 상승률 Top20 월말결산</v>
      </c>
      <c r="B57" s="184"/>
      <c r="C57" s="184"/>
      <c r="D57" s="184"/>
      <c r="E57" s="184"/>
      <c r="F57" s="184"/>
      <c r="G57" s="184"/>
      <c r="H57" s="184"/>
      <c r="I57" s="184"/>
      <c r="J57" s="184"/>
      <c r="K57" s="184"/>
      <c r="L57" s="184"/>
      <c r="M57" s="184"/>
      <c r="N57" s="184"/>
      <c r="O57" s="185"/>
    </row>
    <row r="58" spans="1:15" ht="16.5" customHeight="1" thickBot="1">
      <c r="A58" s="227" t="s">
        <v>314</v>
      </c>
      <c r="B58" s="204" t="s">
        <v>312</v>
      </c>
      <c r="C58" s="206"/>
      <c r="D58" s="204" t="s">
        <v>304</v>
      </c>
      <c r="E58" s="205"/>
      <c r="F58" s="206"/>
      <c r="G58" s="204" t="s">
        <v>305</v>
      </c>
      <c r="H58" s="205"/>
      <c r="I58" s="206"/>
      <c r="J58" s="204" t="s">
        <v>306</v>
      </c>
      <c r="K58" s="205"/>
      <c r="L58" s="206"/>
      <c r="M58" s="204" t="s">
        <v>307</v>
      </c>
      <c r="N58" s="205"/>
      <c r="O58" s="206"/>
    </row>
    <row r="59" spans="1:15" ht="16.5" customHeight="1" thickBot="1">
      <c r="A59" s="220"/>
      <c r="B59" s="154" t="s">
        <v>302</v>
      </c>
      <c r="C59" s="154" t="s">
        <v>42</v>
      </c>
      <c r="D59" s="121" t="s">
        <v>303</v>
      </c>
      <c r="E59" s="133" t="s">
        <v>40</v>
      </c>
      <c r="F59" s="156" t="s">
        <v>41</v>
      </c>
      <c r="G59" s="121" t="s">
        <v>303</v>
      </c>
      <c r="H59" s="133" t="s">
        <v>40</v>
      </c>
      <c r="I59" s="156" t="s">
        <v>41</v>
      </c>
      <c r="J59" s="121" t="s">
        <v>303</v>
      </c>
      <c r="K59" s="133" t="s">
        <v>40</v>
      </c>
      <c r="L59" s="156" t="s">
        <v>41</v>
      </c>
      <c r="M59" s="121" t="s">
        <v>303</v>
      </c>
      <c r="N59" s="133" t="s">
        <v>40</v>
      </c>
      <c r="O59" s="156" t="s">
        <v>41</v>
      </c>
    </row>
    <row r="60" spans="1:15" ht="16.5" customHeight="1">
      <c r="A60" s="154">
        <v>1</v>
      </c>
      <c r="B60" s="154" t="str">
        <f>TEXT(투자전략!$G$1+0, "[$-ko-KR]yyyy.mm.dd")</f>
        <v>2021.06.01</v>
      </c>
      <c r="C60" s="134">
        <f ca="1">IFERROR(COUNTA(INDIRECT($B60&amp;"!A44:A63")) * INDIRECT($B60&amp;"!B64"), "")</f>
        <v>3000000</v>
      </c>
      <c r="D60" s="142">
        <f ca="1">IFERROR($C60 * (1 + E60), "")</f>
        <v>3000000</v>
      </c>
      <c r="E60" s="76">
        <f ca="1">IFERROR(INDIRECT($B60&amp;"!E64"), "")</f>
        <v>0</v>
      </c>
      <c r="F60" s="141">
        <f ca="1">IFERROR(INDIRECT($B60&amp;"!F64"), "")</f>
        <v>0</v>
      </c>
      <c r="G60" s="142">
        <f ca="1">IFERROR($C60 * (1 + H60), "")</f>
        <v>3000000</v>
      </c>
      <c r="H60" s="76">
        <f ca="1">IFERROR(INDIRECT($B60&amp;"!H64"), "")</f>
        <v>0</v>
      </c>
      <c r="I60" s="141">
        <f ca="1">IFERROR(INDIRECT($B60&amp;"!I64"), "")</f>
        <v>0</v>
      </c>
      <c r="J60" s="142">
        <f ca="1">IFERROR($C60 * (1 + K60), "")</f>
        <v>3000000</v>
      </c>
      <c r="K60" s="76">
        <f ca="1">IFERROR(INDIRECT($B60&amp;"!K64"), "")</f>
        <v>0</v>
      </c>
      <c r="L60" s="141">
        <f ca="1">IFERROR(INDIRECT($B60&amp;"!L64"), "")</f>
        <v>0</v>
      </c>
      <c r="M60" s="142">
        <f ca="1">IFERROR($C60 * (1 + N60), "")</f>
        <v>3000000</v>
      </c>
      <c r="N60" s="76">
        <f ca="1">IFERROR(INDIRECT($B60&amp;"!N64"), "")</f>
        <v>0</v>
      </c>
      <c r="O60" s="141">
        <f ca="1">IFERROR(INDIRECT($B60&amp;"!O64"), "")</f>
        <v>0</v>
      </c>
    </row>
    <row r="61" spans="1:15" ht="16.5" customHeight="1">
      <c r="A61" s="153">
        <v>2</v>
      </c>
      <c r="B61" s="153" t="str">
        <f>TEXT(투자전략!$G$1+1, "[$-ko-KR]yyyy.mm.dd")</f>
        <v>2021.06.02</v>
      </c>
      <c r="C61" s="135" t="str">
        <f t="shared" ref="C61:C90" ca="1" si="13">IFERROR(COUNTA(INDIRECT($B61&amp;"!A44:A63")) * INDIRECT($B61&amp;"!B64"), "")</f>
        <v/>
      </c>
      <c r="D61" s="139" t="str">
        <f t="shared" ref="D61:D90" ca="1" si="14">IFERROR($C61 * (1 + E61), "")</f>
        <v/>
      </c>
      <c r="E61" s="77" t="str">
        <f t="shared" ref="E61:E90" ca="1" si="15">IFERROR(INDIRECT($B61&amp;"!E64"), "")</f>
        <v/>
      </c>
      <c r="F61" s="137" t="str">
        <f t="shared" ref="F61:F90" ca="1" si="16">IFERROR(INDIRECT($B61&amp;"!F64"), "")</f>
        <v/>
      </c>
      <c r="G61" s="139" t="str">
        <f t="shared" ref="G61:G90" ca="1" si="17">IFERROR($C61 * (1 + H61), "")</f>
        <v/>
      </c>
      <c r="H61" s="77" t="str">
        <f t="shared" ref="H61:H90" ca="1" si="18">IFERROR(INDIRECT($B61&amp;"!H64"), "")</f>
        <v/>
      </c>
      <c r="I61" s="137" t="str">
        <f t="shared" ref="I61:I90" ca="1" si="19">IFERROR(INDIRECT($B61&amp;"!I64"), "")</f>
        <v/>
      </c>
      <c r="J61" s="139" t="str">
        <f t="shared" ref="J61:J90" ca="1" si="20">IFERROR($C61 * (1 + K61), "")</f>
        <v/>
      </c>
      <c r="K61" s="77" t="str">
        <f t="shared" ref="K61:K90" ca="1" si="21">IFERROR(INDIRECT($B61&amp;"!K64"), "")</f>
        <v/>
      </c>
      <c r="L61" s="137" t="str">
        <f t="shared" ref="L61:L90" ca="1" si="22">IFERROR(INDIRECT($B61&amp;"!L64"), "")</f>
        <v/>
      </c>
      <c r="M61" s="139" t="str">
        <f t="shared" ref="M61:M90" ca="1" si="23">IFERROR($C61 * (1 + N61), "")</f>
        <v/>
      </c>
      <c r="N61" s="77" t="str">
        <f t="shared" ref="N61:N90" ca="1" si="24">IFERROR(INDIRECT($B61&amp;"!N64"), "")</f>
        <v/>
      </c>
      <c r="O61" s="137" t="str">
        <f t="shared" ref="O61:O90" ca="1" si="25">IFERROR(INDIRECT($B61&amp;"!O64"), "")</f>
        <v/>
      </c>
    </row>
    <row r="62" spans="1:15" ht="16.5" customHeight="1">
      <c r="A62" s="153">
        <v>3</v>
      </c>
      <c r="B62" s="153" t="str">
        <f>TEXT(투자전략!$G$1+2, "[$-ko-KR]yyyy.mm.dd")</f>
        <v>2021.06.03</v>
      </c>
      <c r="C62" s="135" t="str">
        <f t="shared" ca="1" si="13"/>
        <v/>
      </c>
      <c r="D62" s="139" t="str">
        <f t="shared" ca="1" si="14"/>
        <v/>
      </c>
      <c r="E62" s="77" t="str">
        <f t="shared" ca="1" si="15"/>
        <v/>
      </c>
      <c r="F62" s="137" t="str">
        <f t="shared" ca="1" si="16"/>
        <v/>
      </c>
      <c r="G62" s="139" t="str">
        <f t="shared" ca="1" si="17"/>
        <v/>
      </c>
      <c r="H62" s="77" t="str">
        <f t="shared" ca="1" si="18"/>
        <v/>
      </c>
      <c r="I62" s="137" t="str">
        <f t="shared" ca="1" si="19"/>
        <v/>
      </c>
      <c r="J62" s="139" t="str">
        <f t="shared" ca="1" si="20"/>
        <v/>
      </c>
      <c r="K62" s="77" t="str">
        <f t="shared" ca="1" si="21"/>
        <v/>
      </c>
      <c r="L62" s="137" t="str">
        <f t="shared" ca="1" si="22"/>
        <v/>
      </c>
      <c r="M62" s="139" t="str">
        <f t="shared" ca="1" si="23"/>
        <v/>
      </c>
      <c r="N62" s="77" t="str">
        <f t="shared" ca="1" si="24"/>
        <v/>
      </c>
      <c r="O62" s="137" t="str">
        <f t="shared" ca="1" si="25"/>
        <v/>
      </c>
    </row>
    <row r="63" spans="1:15" ht="16.5" customHeight="1">
      <c r="A63" s="153">
        <v>4</v>
      </c>
      <c r="B63" s="153" t="str">
        <f>TEXT(투자전략!$G$1+3, "[$-ko-KR]yyyy.mm.dd")</f>
        <v>2021.06.04</v>
      </c>
      <c r="C63" s="135" t="str">
        <f t="shared" ca="1" si="13"/>
        <v/>
      </c>
      <c r="D63" s="139" t="str">
        <f t="shared" ca="1" si="14"/>
        <v/>
      </c>
      <c r="E63" s="77" t="str">
        <f t="shared" ca="1" si="15"/>
        <v/>
      </c>
      <c r="F63" s="137" t="str">
        <f t="shared" ca="1" si="16"/>
        <v/>
      </c>
      <c r="G63" s="139" t="str">
        <f t="shared" ca="1" si="17"/>
        <v/>
      </c>
      <c r="H63" s="77" t="str">
        <f t="shared" ca="1" si="18"/>
        <v/>
      </c>
      <c r="I63" s="137" t="str">
        <f t="shared" ca="1" si="19"/>
        <v/>
      </c>
      <c r="J63" s="139" t="str">
        <f t="shared" ca="1" si="20"/>
        <v/>
      </c>
      <c r="K63" s="77" t="str">
        <f t="shared" ca="1" si="21"/>
        <v/>
      </c>
      <c r="L63" s="137" t="str">
        <f t="shared" ca="1" si="22"/>
        <v/>
      </c>
      <c r="M63" s="139" t="str">
        <f t="shared" ca="1" si="23"/>
        <v/>
      </c>
      <c r="N63" s="77" t="str">
        <f t="shared" ca="1" si="24"/>
        <v/>
      </c>
      <c r="O63" s="137" t="str">
        <f t="shared" ca="1" si="25"/>
        <v/>
      </c>
    </row>
    <row r="64" spans="1:15" ht="16.5" customHeight="1">
      <c r="A64" s="153">
        <v>5</v>
      </c>
      <c r="B64" s="153" t="str">
        <f>TEXT(투자전략!$G$1+4, "[$-ko-KR]yyyy.mm.dd")</f>
        <v>2021.06.05</v>
      </c>
      <c r="C64" s="135" t="str">
        <f t="shared" ca="1" si="13"/>
        <v/>
      </c>
      <c r="D64" s="139" t="str">
        <f t="shared" ca="1" si="14"/>
        <v/>
      </c>
      <c r="E64" s="77" t="str">
        <f t="shared" ca="1" si="15"/>
        <v/>
      </c>
      <c r="F64" s="137" t="str">
        <f t="shared" ca="1" si="16"/>
        <v/>
      </c>
      <c r="G64" s="139" t="str">
        <f t="shared" ca="1" si="17"/>
        <v/>
      </c>
      <c r="H64" s="77" t="str">
        <f t="shared" ca="1" si="18"/>
        <v/>
      </c>
      <c r="I64" s="137" t="str">
        <f t="shared" ca="1" si="19"/>
        <v/>
      </c>
      <c r="J64" s="139" t="str">
        <f t="shared" ca="1" si="20"/>
        <v/>
      </c>
      <c r="K64" s="77" t="str">
        <f t="shared" ca="1" si="21"/>
        <v/>
      </c>
      <c r="L64" s="137" t="str">
        <f t="shared" ca="1" si="22"/>
        <v/>
      </c>
      <c r="M64" s="139" t="str">
        <f t="shared" ca="1" si="23"/>
        <v/>
      </c>
      <c r="N64" s="77" t="str">
        <f t="shared" ca="1" si="24"/>
        <v/>
      </c>
      <c r="O64" s="137" t="str">
        <f t="shared" ca="1" si="25"/>
        <v/>
      </c>
    </row>
    <row r="65" spans="1:15" ht="16.5" customHeight="1">
      <c r="A65" s="153">
        <v>6</v>
      </c>
      <c r="B65" s="153" t="str">
        <f>TEXT(투자전략!$G$1+5, "[$-ko-KR]yyyy.mm.dd")</f>
        <v>2021.06.06</v>
      </c>
      <c r="C65" s="135" t="str">
        <f t="shared" ca="1" si="13"/>
        <v/>
      </c>
      <c r="D65" s="139" t="str">
        <f t="shared" ca="1" si="14"/>
        <v/>
      </c>
      <c r="E65" s="77" t="str">
        <f t="shared" ca="1" si="15"/>
        <v/>
      </c>
      <c r="F65" s="137" t="str">
        <f t="shared" ca="1" si="16"/>
        <v/>
      </c>
      <c r="G65" s="139" t="str">
        <f t="shared" ca="1" si="17"/>
        <v/>
      </c>
      <c r="H65" s="77" t="str">
        <f t="shared" ca="1" si="18"/>
        <v/>
      </c>
      <c r="I65" s="137" t="str">
        <f t="shared" ca="1" si="19"/>
        <v/>
      </c>
      <c r="J65" s="139" t="str">
        <f t="shared" ca="1" si="20"/>
        <v/>
      </c>
      <c r="K65" s="77" t="str">
        <f t="shared" ca="1" si="21"/>
        <v/>
      </c>
      <c r="L65" s="137" t="str">
        <f t="shared" ca="1" si="22"/>
        <v/>
      </c>
      <c r="M65" s="139" t="str">
        <f t="shared" ca="1" si="23"/>
        <v/>
      </c>
      <c r="N65" s="77" t="str">
        <f t="shared" ca="1" si="24"/>
        <v/>
      </c>
      <c r="O65" s="137" t="str">
        <f t="shared" ca="1" si="25"/>
        <v/>
      </c>
    </row>
    <row r="66" spans="1:15" ht="16.5" customHeight="1" thickBot="1">
      <c r="A66" s="155">
        <v>7</v>
      </c>
      <c r="B66" s="155" t="str">
        <f>TEXT(투자전략!$G$1+6, "[$-ko-KR]yyyy.mm.dd")</f>
        <v>2021.06.07</v>
      </c>
      <c r="C66" s="135" t="str">
        <f t="shared" ca="1" si="13"/>
        <v/>
      </c>
      <c r="D66" s="139" t="str">
        <f t="shared" ca="1" si="14"/>
        <v/>
      </c>
      <c r="E66" s="77" t="str">
        <f t="shared" ca="1" si="15"/>
        <v/>
      </c>
      <c r="F66" s="137" t="str">
        <f t="shared" ca="1" si="16"/>
        <v/>
      </c>
      <c r="G66" s="139" t="str">
        <f t="shared" ca="1" si="17"/>
        <v/>
      </c>
      <c r="H66" s="77" t="str">
        <f t="shared" ca="1" si="18"/>
        <v/>
      </c>
      <c r="I66" s="137" t="str">
        <f t="shared" ca="1" si="19"/>
        <v/>
      </c>
      <c r="J66" s="139" t="str">
        <f t="shared" ca="1" si="20"/>
        <v/>
      </c>
      <c r="K66" s="77" t="str">
        <f t="shared" ca="1" si="21"/>
        <v/>
      </c>
      <c r="L66" s="137" t="str">
        <f t="shared" ca="1" si="22"/>
        <v/>
      </c>
      <c r="M66" s="139" t="str">
        <f t="shared" ca="1" si="23"/>
        <v/>
      </c>
      <c r="N66" s="77" t="str">
        <f t="shared" ca="1" si="24"/>
        <v/>
      </c>
      <c r="O66" s="137" t="str">
        <f t="shared" ca="1" si="25"/>
        <v/>
      </c>
    </row>
    <row r="67" spans="1:15" ht="16.5" customHeight="1">
      <c r="A67" s="154">
        <v>8</v>
      </c>
      <c r="B67" s="154" t="str">
        <f>TEXT(투자전략!$G$1+7, "[$-ko-KR]yyyy.mm.dd")</f>
        <v>2021.06.08</v>
      </c>
      <c r="C67" s="134" t="str">
        <f t="shared" ca="1" si="13"/>
        <v/>
      </c>
      <c r="D67" s="142" t="str">
        <f t="shared" ca="1" si="14"/>
        <v/>
      </c>
      <c r="E67" s="76" t="str">
        <f t="shared" ca="1" si="15"/>
        <v/>
      </c>
      <c r="F67" s="141" t="str">
        <f t="shared" ca="1" si="16"/>
        <v/>
      </c>
      <c r="G67" s="142" t="str">
        <f t="shared" ca="1" si="17"/>
        <v/>
      </c>
      <c r="H67" s="76" t="str">
        <f t="shared" ca="1" si="18"/>
        <v/>
      </c>
      <c r="I67" s="141" t="str">
        <f t="shared" ca="1" si="19"/>
        <v/>
      </c>
      <c r="J67" s="142" t="str">
        <f t="shared" ca="1" si="20"/>
        <v/>
      </c>
      <c r="K67" s="76" t="str">
        <f t="shared" ca="1" si="21"/>
        <v/>
      </c>
      <c r="L67" s="141" t="str">
        <f t="shared" ca="1" si="22"/>
        <v/>
      </c>
      <c r="M67" s="142" t="str">
        <f t="shared" ca="1" si="23"/>
        <v/>
      </c>
      <c r="N67" s="76" t="str">
        <f t="shared" ca="1" si="24"/>
        <v/>
      </c>
      <c r="O67" s="141" t="str">
        <f t="shared" ca="1" si="25"/>
        <v/>
      </c>
    </row>
    <row r="68" spans="1:15" ht="16.5" customHeight="1">
      <c r="A68" s="153">
        <v>9</v>
      </c>
      <c r="B68" s="153" t="str">
        <f>TEXT(투자전략!$G$1+8, "[$-ko-KR]yyyy.mm.dd")</f>
        <v>2021.06.09</v>
      </c>
      <c r="C68" s="135" t="str">
        <f t="shared" ca="1" si="13"/>
        <v/>
      </c>
      <c r="D68" s="139" t="str">
        <f t="shared" ca="1" si="14"/>
        <v/>
      </c>
      <c r="E68" s="77" t="str">
        <f t="shared" ca="1" si="15"/>
        <v/>
      </c>
      <c r="F68" s="137" t="str">
        <f t="shared" ca="1" si="16"/>
        <v/>
      </c>
      <c r="G68" s="139" t="str">
        <f t="shared" ca="1" si="17"/>
        <v/>
      </c>
      <c r="H68" s="77" t="str">
        <f t="shared" ca="1" si="18"/>
        <v/>
      </c>
      <c r="I68" s="137" t="str">
        <f t="shared" ca="1" si="19"/>
        <v/>
      </c>
      <c r="J68" s="139" t="str">
        <f t="shared" ca="1" si="20"/>
        <v/>
      </c>
      <c r="K68" s="77" t="str">
        <f t="shared" ca="1" si="21"/>
        <v/>
      </c>
      <c r="L68" s="137" t="str">
        <f t="shared" ca="1" si="22"/>
        <v/>
      </c>
      <c r="M68" s="139" t="str">
        <f t="shared" ca="1" si="23"/>
        <v/>
      </c>
      <c r="N68" s="77" t="str">
        <f t="shared" ca="1" si="24"/>
        <v/>
      </c>
      <c r="O68" s="137" t="str">
        <f t="shared" ca="1" si="25"/>
        <v/>
      </c>
    </row>
    <row r="69" spans="1:15" ht="16.5" customHeight="1">
      <c r="A69" s="153">
        <v>10</v>
      </c>
      <c r="B69" s="153" t="str">
        <f>TEXT(투자전략!$G$1+9, "[$-ko-KR]yyyy.mm.dd")</f>
        <v>2021.06.10</v>
      </c>
      <c r="C69" s="135" t="str">
        <f t="shared" ca="1" si="13"/>
        <v/>
      </c>
      <c r="D69" s="139" t="str">
        <f t="shared" ca="1" si="14"/>
        <v/>
      </c>
      <c r="E69" s="77" t="str">
        <f t="shared" ca="1" si="15"/>
        <v/>
      </c>
      <c r="F69" s="137" t="str">
        <f t="shared" ca="1" si="16"/>
        <v/>
      </c>
      <c r="G69" s="139" t="str">
        <f t="shared" ca="1" si="17"/>
        <v/>
      </c>
      <c r="H69" s="77" t="str">
        <f t="shared" ca="1" si="18"/>
        <v/>
      </c>
      <c r="I69" s="137" t="str">
        <f t="shared" ca="1" si="19"/>
        <v/>
      </c>
      <c r="J69" s="139" t="str">
        <f t="shared" ca="1" si="20"/>
        <v/>
      </c>
      <c r="K69" s="77" t="str">
        <f t="shared" ca="1" si="21"/>
        <v/>
      </c>
      <c r="L69" s="137" t="str">
        <f t="shared" ca="1" si="22"/>
        <v/>
      </c>
      <c r="M69" s="139" t="str">
        <f t="shared" ca="1" si="23"/>
        <v/>
      </c>
      <c r="N69" s="77" t="str">
        <f t="shared" ca="1" si="24"/>
        <v/>
      </c>
      <c r="O69" s="137" t="str">
        <f t="shared" ca="1" si="25"/>
        <v/>
      </c>
    </row>
    <row r="70" spans="1:15" ht="16.5" customHeight="1">
      <c r="A70" s="153">
        <v>11</v>
      </c>
      <c r="B70" s="153" t="str">
        <f>TEXT(투자전략!$G$1+10, "[$-ko-KR]yyyy.mm.dd")</f>
        <v>2021.06.11</v>
      </c>
      <c r="C70" s="135" t="str">
        <f t="shared" ca="1" si="13"/>
        <v/>
      </c>
      <c r="D70" s="139" t="str">
        <f t="shared" ca="1" si="14"/>
        <v/>
      </c>
      <c r="E70" s="77" t="str">
        <f t="shared" ca="1" si="15"/>
        <v/>
      </c>
      <c r="F70" s="137" t="str">
        <f t="shared" ca="1" si="16"/>
        <v/>
      </c>
      <c r="G70" s="139" t="str">
        <f t="shared" ca="1" si="17"/>
        <v/>
      </c>
      <c r="H70" s="77" t="str">
        <f t="shared" ca="1" si="18"/>
        <v/>
      </c>
      <c r="I70" s="137" t="str">
        <f t="shared" ca="1" si="19"/>
        <v/>
      </c>
      <c r="J70" s="139" t="str">
        <f t="shared" ca="1" si="20"/>
        <v/>
      </c>
      <c r="K70" s="77" t="str">
        <f t="shared" ca="1" si="21"/>
        <v/>
      </c>
      <c r="L70" s="137" t="str">
        <f t="shared" ca="1" si="22"/>
        <v/>
      </c>
      <c r="M70" s="139" t="str">
        <f t="shared" ca="1" si="23"/>
        <v/>
      </c>
      <c r="N70" s="77" t="str">
        <f t="shared" ca="1" si="24"/>
        <v/>
      </c>
      <c r="O70" s="137" t="str">
        <f t="shared" ca="1" si="25"/>
        <v/>
      </c>
    </row>
    <row r="71" spans="1:15" ht="16.5" customHeight="1">
      <c r="A71" s="153">
        <v>12</v>
      </c>
      <c r="B71" s="153" t="str">
        <f>TEXT(투자전략!$G$1+11, "[$-ko-KR]yyyy.mm.dd")</f>
        <v>2021.06.12</v>
      </c>
      <c r="C71" s="135" t="str">
        <f t="shared" ca="1" si="13"/>
        <v/>
      </c>
      <c r="D71" s="139" t="str">
        <f t="shared" ca="1" si="14"/>
        <v/>
      </c>
      <c r="E71" s="77" t="str">
        <f t="shared" ca="1" si="15"/>
        <v/>
      </c>
      <c r="F71" s="137" t="str">
        <f t="shared" ca="1" si="16"/>
        <v/>
      </c>
      <c r="G71" s="139" t="str">
        <f t="shared" ca="1" si="17"/>
        <v/>
      </c>
      <c r="H71" s="77" t="str">
        <f t="shared" ca="1" si="18"/>
        <v/>
      </c>
      <c r="I71" s="137" t="str">
        <f t="shared" ca="1" si="19"/>
        <v/>
      </c>
      <c r="J71" s="139" t="str">
        <f t="shared" ca="1" si="20"/>
        <v/>
      </c>
      <c r="K71" s="77" t="str">
        <f t="shared" ca="1" si="21"/>
        <v/>
      </c>
      <c r="L71" s="137" t="str">
        <f t="shared" ca="1" si="22"/>
        <v/>
      </c>
      <c r="M71" s="139" t="str">
        <f t="shared" ca="1" si="23"/>
        <v/>
      </c>
      <c r="N71" s="77" t="str">
        <f t="shared" ca="1" si="24"/>
        <v/>
      </c>
      <c r="O71" s="137" t="str">
        <f t="shared" ca="1" si="25"/>
        <v/>
      </c>
    </row>
    <row r="72" spans="1:15" ht="16.5" customHeight="1">
      <c r="A72" s="153">
        <v>13</v>
      </c>
      <c r="B72" s="153" t="str">
        <f>TEXT(투자전략!$G$1+12, "[$-ko-KR]yyyy.mm.dd")</f>
        <v>2021.06.13</v>
      </c>
      <c r="C72" s="135" t="str">
        <f t="shared" ca="1" si="13"/>
        <v/>
      </c>
      <c r="D72" s="139" t="str">
        <f t="shared" ca="1" si="14"/>
        <v/>
      </c>
      <c r="E72" s="77" t="str">
        <f t="shared" ca="1" si="15"/>
        <v/>
      </c>
      <c r="F72" s="137" t="str">
        <f t="shared" ca="1" si="16"/>
        <v/>
      </c>
      <c r="G72" s="139" t="str">
        <f t="shared" ca="1" si="17"/>
        <v/>
      </c>
      <c r="H72" s="77" t="str">
        <f t="shared" ca="1" si="18"/>
        <v/>
      </c>
      <c r="I72" s="137" t="str">
        <f t="shared" ca="1" si="19"/>
        <v/>
      </c>
      <c r="J72" s="139" t="str">
        <f t="shared" ca="1" si="20"/>
        <v/>
      </c>
      <c r="K72" s="77" t="str">
        <f t="shared" ca="1" si="21"/>
        <v/>
      </c>
      <c r="L72" s="137" t="str">
        <f t="shared" ca="1" si="22"/>
        <v/>
      </c>
      <c r="M72" s="139" t="str">
        <f t="shared" ca="1" si="23"/>
        <v/>
      </c>
      <c r="N72" s="77" t="str">
        <f t="shared" ca="1" si="24"/>
        <v/>
      </c>
      <c r="O72" s="137" t="str">
        <f t="shared" ca="1" si="25"/>
        <v/>
      </c>
    </row>
    <row r="73" spans="1:15" ht="16.5" customHeight="1" thickBot="1">
      <c r="A73" s="155">
        <v>14</v>
      </c>
      <c r="B73" s="155" t="str">
        <f>TEXT(투자전략!$G$1+13, "[$-ko-KR]yyyy.mm.dd")</f>
        <v>2021.06.14</v>
      </c>
      <c r="C73" s="136" t="str">
        <f t="shared" ca="1" si="13"/>
        <v/>
      </c>
      <c r="D73" s="140" t="str">
        <f t="shared" ca="1" si="14"/>
        <v/>
      </c>
      <c r="E73" s="79" t="str">
        <f t="shared" ca="1" si="15"/>
        <v/>
      </c>
      <c r="F73" s="138" t="str">
        <f t="shared" ca="1" si="16"/>
        <v/>
      </c>
      <c r="G73" s="140" t="str">
        <f t="shared" ca="1" si="17"/>
        <v/>
      </c>
      <c r="H73" s="79" t="str">
        <f t="shared" ca="1" si="18"/>
        <v/>
      </c>
      <c r="I73" s="138" t="str">
        <f t="shared" ca="1" si="19"/>
        <v/>
      </c>
      <c r="J73" s="140" t="str">
        <f t="shared" ca="1" si="20"/>
        <v/>
      </c>
      <c r="K73" s="79" t="str">
        <f t="shared" ca="1" si="21"/>
        <v/>
      </c>
      <c r="L73" s="138" t="str">
        <f t="shared" ca="1" si="22"/>
        <v/>
      </c>
      <c r="M73" s="140" t="str">
        <f t="shared" ca="1" si="23"/>
        <v/>
      </c>
      <c r="N73" s="79" t="str">
        <f t="shared" ca="1" si="24"/>
        <v/>
      </c>
      <c r="O73" s="138" t="str">
        <f t="shared" ca="1" si="25"/>
        <v/>
      </c>
    </row>
    <row r="74" spans="1:15" ht="16.5" customHeight="1">
      <c r="A74" s="154">
        <v>15</v>
      </c>
      <c r="B74" s="154" t="str">
        <f>TEXT(투자전략!$G$1+14, "[$-ko-KR]yyyy.mm.dd")</f>
        <v>2021.06.15</v>
      </c>
      <c r="C74" s="135" t="str">
        <f t="shared" ca="1" si="13"/>
        <v/>
      </c>
      <c r="D74" s="139" t="str">
        <f t="shared" ca="1" si="14"/>
        <v/>
      </c>
      <c r="E74" s="77" t="str">
        <f t="shared" ca="1" si="15"/>
        <v/>
      </c>
      <c r="F74" s="137" t="str">
        <f t="shared" ca="1" si="16"/>
        <v/>
      </c>
      <c r="G74" s="139" t="str">
        <f t="shared" ca="1" si="17"/>
        <v/>
      </c>
      <c r="H74" s="77" t="str">
        <f t="shared" ca="1" si="18"/>
        <v/>
      </c>
      <c r="I74" s="137" t="str">
        <f t="shared" ca="1" si="19"/>
        <v/>
      </c>
      <c r="J74" s="139" t="str">
        <f t="shared" ca="1" si="20"/>
        <v/>
      </c>
      <c r="K74" s="77" t="str">
        <f t="shared" ca="1" si="21"/>
        <v/>
      </c>
      <c r="L74" s="137" t="str">
        <f t="shared" ca="1" si="22"/>
        <v/>
      </c>
      <c r="M74" s="139" t="str">
        <f t="shared" ca="1" si="23"/>
        <v/>
      </c>
      <c r="N74" s="77" t="str">
        <f t="shared" ca="1" si="24"/>
        <v/>
      </c>
      <c r="O74" s="137" t="str">
        <f t="shared" ca="1" si="25"/>
        <v/>
      </c>
    </row>
    <row r="75" spans="1:15" ht="16.5" customHeight="1">
      <c r="A75" s="153">
        <v>16</v>
      </c>
      <c r="B75" s="153" t="str">
        <f>TEXT(투자전략!$G$1+15, "[$-ko-KR]yyyy.mm.dd")</f>
        <v>2021.06.16</v>
      </c>
      <c r="C75" s="135" t="str">
        <f t="shared" ca="1" si="13"/>
        <v/>
      </c>
      <c r="D75" s="139" t="str">
        <f t="shared" ca="1" si="14"/>
        <v/>
      </c>
      <c r="E75" s="77" t="str">
        <f t="shared" ca="1" si="15"/>
        <v/>
      </c>
      <c r="F75" s="137" t="str">
        <f t="shared" ca="1" si="16"/>
        <v/>
      </c>
      <c r="G75" s="139" t="str">
        <f t="shared" ca="1" si="17"/>
        <v/>
      </c>
      <c r="H75" s="77" t="str">
        <f t="shared" ca="1" si="18"/>
        <v/>
      </c>
      <c r="I75" s="137" t="str">
        <f t="shared" ca="1" si="19"/>
        <v/>
      </c>
      <c r="J75" s="139" t="str">
        <f t="shared" ca="1" si="20"/>
        <v/>
      </c>
      <c r="K75" s="77" t="str">
        <f t="shared" ca="1" si="21"/>
        <v/>
      </c>
      <c r="L75" s="137" t="str">
        <f t="shared" ca="1" si="22"/>
        <v/>
      </c>
      <c r="M75" s="139" t="str">
        <f t="shared" ca="1" si="23"/>
        <v/>
      </c>
      <c r="N75" s="77" t="str">
        <f t="shared" ca="1" si="24"/>
        <v/>
      </c>
      <c r="O75" s="137" t="str">
        <f t="shared" ca="1" si="25"/>
        <v/>
      </c>
    </row>
    <row r="76" spans="1:15" ht="16.5" customHeight="1">
      <c r="A76" s="153">
        <v>17</v>
      </c>
      <c r="B76" s="153" t="str">
        <f>TEXT(투자전략!$G$1+16, "[$-ko-KR]yyyy.mm.dd")</f>
        <v>2021.06.17</v>
      </c>
      <c r="C76" s="135" t="str">
        <f t="shared" ca="1" si="13"/>
        <v/>
      </c>
      <c r="D76" s="139" t="str">
        <f t="shared" ca="1" si="14"/>
        <v/>
      </c>
      <c r="E76" s="77" t="str">
        <f t="shared" ca="1" si="15"/>
        <v/>
      </c>
      <c r="F76" s="137" t="str">
        <f t="shared" ca="1" si="16"/>
        <v/>
      </c>
      <c r="G76" s="139" t="str">
        <f t="shared" ca="1" si="17"/>
        <v/>
      </c>
      <c r="H76" s="77" t="str">
        <f t="shared" ca="1" si="18"/>
        <v/>
      </c>
      <c r="I76" s="137" t="str">
        <f t="shared" ca="1" si="19"/>
        <v/>
      </c>
      <c r="J76" s="139" t="str">
        <f t="shared" ca="1" si="20"/>
        <v/>
      </c>
      <c r="K76" s="77" t="str">
        <f t="shared" ca="1" si="21"/>
        <v/>
      </c>
      <c r="L76" s="137" t="str">
        <f t="shared" ca="1" si="22"/>
        <v/>
      </c>
      <c r="M76" s="139" t="str">
        <f t="shared" ca="1" si="23"/>
        <v/>
      </c>
      <c r="N76" s="77" t="str">
        <f t="shared" ca="1" si="24"/>
        <v/>
      </c>
      <c r="O76" s="137" t="str">
        <f t="shared" ca="1" si="25"/>
        <v/>
      </c>
    </row>
    <row r="77" spans="1:15" ht="16.5" customHeight="1">
      <c r="A77" s="153">
        <v>18</v>
      </c>
      <c r="B77" s="153" t="str">
        <f>TEXT(투자전략!$G$1+17, "[$-ko-KR]yyyy.mm.dd")</f>
        <v>2021.06.18</v>
      </c>
      <c r="C77" s="135" t="str">
        <f t="shared" ca="1" si="13"/>
        <v/>
      </c>
      <c r="D77" s="139" t="str">
        <f t="shared" ca="1" si="14"/>
        <v/>
      </c>
      <c r="E77" s="77" t="str">
        <f t="shared" ca="1" si="15"/>
        <v/>
      </c>
      <c r="F77" s="137" t="str">
        <f t="shared" ca="1" si="16"/>
        <v/>
      </c>
      <c r="G77" s="139" t="str">
        <f t="shared" ca="1" si="17"/>
        <v/>
      </c>
      <c r="H77" s="77" t="str">
        <f t="shared" ca="1" si="18"/>
        <v/>
      </c>
      <c r="I77" s="137" t="str">
        <f t="shared" ca="1" si="19"/>
        <v/>
      </c>
      <c r="J77" s="139" t="str">
        <f t="shared" ca="1" si="20"/>
        <v/>
      </c>
      <c r="K77" s="77" t="str">
        <f t="shared" ca="1" si="21"/>
        <v/>
      </c>
      <c r="L77" s="137" t="str">
        <f t="shared" ca="1" si="22"/>
        <v/>
      </c>
      <c r="M77" s="139" t="str">
        <f t="shared" ca="1" si="23"/>
        <v/>
      </c>
      <c r="N77" s="77" t="str">
        <f t="shared" ca="1" si="24"/>
        <v/>
      </c>
      <c r="O77" s="137" t="str">
        <f t="shared" ca="1" si="25"/>
        <v/>
      </c>
    </row>
    <row r="78" spans="1:15" ht="16.5" customHeight="1">
      <c r="A78" s="153">
        <v>19</v>
      </c>
      <c r="B78" s="153" t="str">
        <f>TEXT(투자전략!$G$1+18, "[$-ko-KR]yyyy.mm.dd")</f>
        <v>2021.06.19</v>
      </c>
      <c r="C78" s="135" t="str">
        <f t="shared" ca="1" si="13"/>
        <v/>
      </c>
      <c r="D78" s="139" t="str">
        <f t="shared" ca="1" si="14"/>
        <v/>
      </c>
      <c r="E78" s="77" t="str">
        <f t="shared" ca="1" si="15"/>
        <v/>
      </c>
      <c r="F78" s="137" t="str">
        <f t="shared" ca="1" si="16"/>
        <v/>
      </c>
      <c r="G78" s="139" t="str">
        <f t="shared" ca="1" si="17"/>
        <v/>
      </c>
      <c r="H78" s="77" t="str">
        <f t="shared" ca="1" si="18"/>
        <v/>
      </c>
      <c r="I78" s="137" t="str">
        <f t="shared" ca="1" si="19"/>
        <v/>
      </c>
      <c r="J78" s="139" t="str">
        <f t="shared" ca="1" si="20"/>
        <v/>
      </c>
      <c r="K78" s="77" t="str">
        <f t="shared" ca="1" si="21"/>
        <v/>
      </c>
      <c r="L78" s="137" t="str">
        <f t="shared" ca="1" si="22"/>
        <v/>
      </c>
      <c r="M78" s="139" t="str">
        <f t="shared" ca="1" si="23"/>
        <v/>
      </c>
      <c r="N78" s="77" t="str">
        <f t="shared" ca="1" si="24"/>
        <v/>
      </c>
      <c r="O78" s="137" t="str">
        <f t="shared" ca="1" si="25"/>
        <v/>
      </c>
    </row>
    <row r="79" spans="1:15" ht="16.5" customHeight="1">
      <c r="A79" s="153">
        <v>20</v>
      </c>
      <c r="B79" s="153" t="str">
        <f>TEXT(투자전략!$G$1+19, "[$-ko-KR]yyyy.mm.dd")</f>
        <v>2021.06.20</v>
      </c>
      <c r="C79" s="135" t="str">
        <f t="shared" ca="1" si="13"/>
        <v/>
      </c>
      <c r="D79" s="139" t="str">
        <f t="shared" ca="1" si="14"/>
        <v/>
      </c>
      <c r="E79" s="77" t="str">
        <f t="shared" ca="1" si="15"/>
        <v/>
      </c>
      <c r="F79" s="137" t="str">
        <f t="shared" ca="1" si="16"/>
        <v/>
      </c>
      <c r="G79" s="139" t="str">
        <f t="shared" ca="1" si="17"/>
        <v/>
      </c>
      <c r="H79" s="77" t="str">
        <f t="shared" ca="1" si="18"/>
        <v/>
      </c>
      <c r="I79" s="137" t="str">
        <f t="shared" ca="1" si="19"/>
        <v/>
      </c>
      <c r="J79" s="139" t="str">
        <f t="shared" ca="1" si="20"/>
        <v/>
      </c>
      <c r="K79" s="77" t="str">
        <f t="shared" ca="1" si="21"/>
        <v/>
      </c>
      <c r="L79" s="137" t="str">
        <f t="shared" ca="1" si="22"/>
        <v/>
      </c>
      <c r="M79" s="139" t="str">
        <f t="shared" ca="1" si="23"/>
        <v/>
      </c>
      <c r="N79" s="77" t="str">
        <f t="shared" ca="1" si="24"/>
        <v/>
      </c>
      <c r="O79" s="137" t="str">
        <f t="shared" ca="1" si="25"/>
        <v/>
      </c>
    </row>
    <row r="80" spans="1:15" ht="16.5" customHeight="1" thickBot="1">
      <c r="A80" s="155">
        <v>21</v>
      </c>
      <c r="B80" s="155" t="str">
        <f>TEXT(투자전략!$G$1+20, "[$-ko-KR]yyyy.mm.dd")</f>
        <v>2021.06.21</v>
      </c>
      <c r="C80" s="135" t="str">
        <f t="shared" ca="1" si="13"/>
        <v/>
      </c>
      <c r="D80" s="139" t="str">
        <f t="shared" ca="1" si="14"/>
        <v/>
      </c>
      <c r="E80" s="77" t="str">
        <f t="shared" ca="1" si="15"/>
        <v/>
      </c>
      <c r="F80" s="137" t="str">
        <f t="shared" ca="1" si="16"/>
        <v/>
      </c>
      <c r="G80" s="139" t="str">
        <f t="shared" ca="1" si="17"/>
        <v/>
      </c>
      <c r="H80" s="77" t="str">
        <f t="shared" ca="1" si="18"/>
        <v/>
      </c>
      <c r="I80" s="137" t="str">
        <f t="shared" ca="1" si="19"/>
        <v/>
      </c>
      <c r="J80" s="139" t="str">
        <f t="shared" ca="1" si="20"/>
        <v/>
      </c>
      <c r="K80" s="77" t="str">
        <f t="shared" ca="1" si="21"/>
        <v/>
      </c>
      <c r="L80" s="137" t="str">
        <f t="shared" ca="1" si="22"/>
        <v/>
      </c>
      <c r="M80" s="139" t="str">
        <f t="shared" ca="1" si="23"/>
        <v/>
      </c>
      <c r="N80" s="77" t="str">
        <f t="shared" ca="1" si="24"/>
        <v/>
      </c>
      <c r="O80" s="137" t="str">
        <f t="shared" ca="1" si="25"/>
        <v/>
      </c>
    </row>
    <row r="81" spans="1:15" ht="16.5" customHeight="1">
      <c r="A81" s="154">
        <v>22</v>
      </c>
      <c r="B81" s="154" t="str">
        <f>TEXT(투자전략!$G$1+21, "[$-ko-KR]yyyy.mm.dd")</f>
        <v>2021.06.22</v>
      </c>
      <c r="C81" s="134" t="str">
        <f t="shared" ca="1" si="13"/>
        <v/>
      </c>
      <c r="D81" s="142" t="str">
        <f t="shared" ca="1" si="14"/>
        <v/>
      </c>
      <c r="E81" s="76" t="str">
        <f t="shared" ca="1" si="15"/>
        <v/>
      </c>
      <c r="F81" s="141" t="str">
        <f t="shared" ca="1" si="16"/>
        <v/>
      </c>
      <c r="G81" s="142" t="str">
        <f t="shared" ca="1" si="17"/>
        <v/>
      </c>
      <c r="H81" s="76" t="str">
        <f t="shared" ca="1" si="18"/>
        <v/>
      </c>
      <c r="I81" s="141" t="str">
        <f t="shared" ca="1" si="19"/>
        <v/>
      </c>
      <c r="J81" s="142" t="str">
        <f t="shared" ca="1" si="20"/>
        <v/>
      </c>
      <c r="K81" s="76" t="str">
        <f t="shared" ca="1" si="21"/>
        <v/>
      </c>
      <c r="L81" s="141" t="str">
        <f t="shared" ca="1" si="22"/>
        <v/>
      </c>
      <c r="M81" s="142" t="str">
        <f t="shared" ca="1" si="23"/>
        <v/>
      </c>
      <c r="N81" s="76" t="str">
        <f t="shared" ca="1" si="24"/>
        <v/>
      </c>
      <c r="O81" s="141" t="str">
        <f t="shared" ca="1" si="25"/>
        <v/>
      </c>
    </row>
    <row r="82" spans="1:15" ht="16.5" customHeight="1">
      <c r="A82" s="153">
        <v>23</v>
      </c>
      <c r="B82" s="153" t="str">
        <f>TEXT(투자전략!$G$1+22, "[$-ko-KR]yyyy.mm.dd")</f>
        <v>2021.06.23</v>
      </c>
      <c r="C82" s="135" t="str">
        <f t="shared" ca="1" si="13"/>
        <v/>
      </c>
      <c r="D82" s="139" t="str">
        <f t="shared" ca="1" si="14"/>
        <v/>
      </c>
      <c r="E82" s="77" t="str">
        <f t="shared" ca="1" si="15"/>
        <v/>
      </c>
      <c r="F82" s="137" t="str">
        <f t="shared" ca="1" si="16"/>
        <v/>
      </c>
      <c r="G82" s="139" t="str">
        <f t="shared" ca="1" si="17"/>
        <v/>
      </c>
      <c r="H82" s="77" t="str">
        <f t="shared" ca="1" si="18"/>
        <v/>
      </c>
      <c r="I82" s="137" t="str">
        <f t="shared" ca="1" si="19"/>
        <v/>
      </c>
      <c r="J82" s="139" t="str">
        <f t="shared" ca="1" si="20"/>
        <v/>
      </c>
      <c r="K82" s="77" t="str">
        <f t="shared" ca="1" si="21"/>
        <v/>
      </c>
      <c r="L82" s="137" t="str">
        <f t="shared" ca="1" si="22"/>
        <v/>
      </c>
      <c r="M82" s="139" t="str">
        <f t="shared" ca="1" si="23"/>
        <v/>
      </c>
      <c r="N82" s="77" t="str">
        <f t="shared" ca="1" si="24"/>
        <v/>
      </c>
      <c r="O82" s="137" t="str">
        <f t="shared" ca="1" si="25"/>
        <v/>
      </c>
    </row>
    <row r="83" spans="1:15" ht="16.5" customHeight="1">
      <c r="A83" s="153">
        <v>24</v>
      </c>
      <c r="B83" s="153" t="str">
        <f>TEXT(투자전략!$G$1+23, "[$-ko-KR]yyyy.mm.dd")</f>
        <v>2021.06.24</v>
      </c>
      <c r="C83" s="135" t="str">
        <f t="shared" ca="1" si="13"/>
        <v/>
      </c>
      <c r="D83" s="139" t="str">
        <f t="shared" ca="1" si="14"/>
        <v/>
      </c>
      <c r="E83" s="77" t="str">
        <f t="shared" ca="1" si="15"/>
        <v/>
      </c>
      <c r="F83" s="137" t="str">
        <f t="shared" ca="1" si="16"/>
        <v/>
      </c>
      <c r="G83" s="139" t="str">
        <f t="shared" ca="1" si="17"/>
        <v/>
      </c>
      <c r="H83" s="77" t="str">
        <f t="shared" ca="1" si="18"/>
        <v/>
      </c>
      <c r="I83" s="137" t="str">
        <f t="shared" ca="1" si="19"/>
        <v/>
      </c>
      <c r="J83" s="139" t="str">
        <f t="shared" ca="1" si="20"/>
        <v/>
      </c>
      <c r="K83" s="77" t="str">
        <f t="shared" ca="1" si="21"/>
        <v/>
      </c>
      <c r="L83" s="137" t="str">
        <f t="shared" ca="1" si="22"/>
        <v/>
      </c>
      <c r="M83" s="139" t="str">
        <f t="shared" ca="1" si="23"/>
        <v/>
      </c>
      <c r="N83" s="77" t="str">
        <f t="shared" ca="1" si="24"/>
        <v/>
      </c>
      <c r="O83" s="137" t="str">
        <f t="shared" ca="1" si="25"/>
        <v/>
      </c>
    </row>
    <row r="84" spans="1:15" ht="16.5" customHeight="1">
      <c r="A84" s="153">
        <v>25</v>
      </c>
      <c r="B84" s="153" t="str">
        <f>TEXT(투자전략!$G$1+24, "[$-ko-KR]yyyy.mm.dd")</f>
        <v>2021.06.25</v>
      </c>
      <c r="C84" s="135" t="str">
        <f t="shared" ca="1" si="13"/>
        <v/>
      </c>
      <c r="D84" s="139" t="str">
        <f t="shared" ca="1" si="14"/>
        <v/>
      </c>
      <c r="E84" s="77" t="str">
        <f t="shared" ca="1" si="15"/>
        <v/>
      </c>
      <c r="F84" s="137" t="str">
        <f t="shared" ca="1" si="16"/>
        <v/>
      </c>
      <c r="G84" s="139" t="str">
        <f t="shared" ca="1" si="17"/>
        <v/>
      </c>
      <c r="H84" s="77" t="str">
        <f t="shared" ca="1" si="18"/>
        <v/>
      </c>
      <c r="I84" s="137" t="str">
        <f t="shared" ca="1" si="19"/>
        <v/>
      </c>
      <c r="J84" s="139" t="str">
        <f t="shared" ca="1" si="20"/>
        <v/>
      </c>
      <c r="K84" s="77" t="str">
        <f t="shared" ca="1" si="21"/>
        <v/>
      </c>
      <c r="L84" s="137" t="str">
        <f t="shared" ca="1" si="22"/>
        <v/>
      </c>
      <c r="M84" s="139" t="str">
        <f t="shared" ca="1" si="23"/>
        <v/>
      </c>
      <c r="N84" s="77" t="str">
        <f t="shared" ca="1" si="24"/>
        <v/>
      </c>
      <c r="O84" s="137" t="str">
        <f t="shared" ca="1" si="25"/>
        <v/>
      </c>
    </row>
    <row r="85" spans="1:15" ht="16.5" customHeight="1">
      <c r="A85" s="153">
        <v>26</v>
      </c>
      <c r="B85" s="153" t="str">
        <f>TEXT(투자전략!$G$1+25, "[$-ko-KR]yyyy.mm.dd")</f>
        <v>2021.06.26</v>
      </c>
      <c r="C85" s="135" t="str">
        <f t="shared" ca="1" si="13"/>
        <v/>
      </c>
      <c r="D85" s="139" t="str">
        <f t="shared" ca="1" si="14"/>
        <v/>
      </c>
      <c r="E85" s="77" t="str">
        <f t="shared" ca="1" si="15"/>
        <v/>
      </c>
      <c r="F85" s="137" t="str">
        <f t="shared" ca="1" si="16"/>
        <v/>
      </c>
      <c r="G85" s="139" t="str">
        <f t="shared" ca="1" si="17"/>
        <v/>
      </c>
      <c r="H85" s="77" t="str">
        <f t="shared" ca="1" si="18"/>
        <v/>
      </c>
      <c r="I85" s="137" t="str">
        <f t="shared" ca="1" si="19"/>
        <v/>
      </c>
      <c r="J85" s="139" t="str">
        <f t="shared" ca="1" si="20"/>
        <v/>
      </c>
      <c r="K85" s="77" t="str">
        <f t="shared" ca="1" si="21"/>
        <v/>
      </c>
      <c r="L85" s="137" t="str">
        <f t="shared" ca="1" si="22"/>
        <v/>
      </c>
      <c r="M85" s="139" t="str">
        <f t="shared" ca="1" si="23"/>
        <v/>
      </c>
      <c r="N85" s="77" t="str">
        <f t="shared" ca="1" si="24"/>
        <v/>
      </c>
      <c r="O85" s="137" t="str">
        <f t="shared" ca="1" si="25"/>
        <v/>
      </c>
    </row>
    <row r="86" spans="1:15" ht="16.5" customHeight="1">
      <c r="A86" s="153">
        <v>27</v>
      </c>
      <c r="B86" s="153" t="str">
        <f>TEXT(투자전략!$G$1+26, "[$-ko-KR]yyyy.mm.dd")</f>
        <v>2021.06.27</v>
      </c>
      <c r="C86" s="135" t="str">
        <f t="shared" ca="1" si="13"/>
        <v/>
      </c>
      <c r="D86" s="139" t="str">
        <f t="shared" ca="1" si="14"/>
        <v/>
      </c>
      <c r="E86" s="77" t="str">
        <f t="shared" ca="1" si="15"/>
        <v/>
      </c>
      <c r="F86" s="137" t="str">
        <f t="shared" ca="1" si="16"/>
        <v/>
      </c>
      <c r="G86" s="139" t="str">
        <f t="shared" ca="1" si="17"/>
        <v/>
      </c>
      <c r="H86" s="77" t="str">
        <f t="shared" ca="1" si="18"/>
        <v/>
      </c>
      <c r="I86" s="137" t="str">
        <f t="shared" ca="1" si="19"/>
        <v/>
      </c>
      <c r="J86" s="139" t="str">
        <f t="shared" ca="1" si="20"/>
        <v/>
      </c>
      <c r="K86" s="77" t="str">
        <f t="shared" ca="1" si="21"/>
        <v/>
      </c>
      <c r="L86" s="137" t="str">
        <f t="shared" ca="1" si="22"/>
        <v/>
      </c>
      <c r="M86" s="139" t="str">
        <f t="shared" ca="1" si="23"/>
        <v/>
      </c>
      <c r="N86" s="77" t="str">
        <f t="shared" ca="1" si="24"/>
        <v/>
      </c>
      <c r="O86" s="137" t="str">
        <f t="shared" ca="1" si="25"/>
        <v/>
      </c>
    </row>
    <row r="87" spans="1:15" ht="16.5" customHeight="1" thickBot="1">
      <c r="A87" s="155">
        <v>28</v>
      </c>
      <c r="B87" s="155" t="str">
        <f>TEXT(투자전략!$G$1+27, "[$-ko-KR]yyyy.mm.dd")</f>
        <v>2021.06.28</v>
      </c>
      <c r="C87" s="136" t="str">
        <f t="shared" ca="1" si="13"/>
        <v/>
      </c>
      <c r="D87" s="140" t="str">
        <f t="shared" ca="1" si="14"/>
        <v/>
      </c>
      <c r="E87" s="79" t="str">
        <f t="shared" ca="1" si="15"/>
        <v/>
      </c>
      <c r="F87" s="138" t="str">
        <f t="shared" ca="1" si="16"/>
        <v/>
      </c>
      <c r="G87" s="140" t="str">
        <f t="shared" ca="1" si="17"/>
        <v/>
      </c>
      <c r="H87" s="79" t="str">
        <f t="shared" ca="1" si="18"/>
        <v/>
      </c>
      <c r="I87" s="138" t="str">
        <f t="shared" ca="1" si="19"/>
        <v/>
      </c>
      <c r="J87" s="140" t="str">
        <f t="shared" ca="1" si="20"/>
        <v/>
      </c>
      <c r="K87" s="79" t="str">
        <f t="shared" ca="1" si="21"/>
        <v/>
      </c>
      <c r="L87" s="138" t="str">
        <f t="shared" ca="1" si="22"/>
        <v/>
      </c>
      <c r="M87" s="140" t="str">
        <f t="shared" ca="1" si="23"/>
        <v/>
      </c>
      <c r="N87" s="79" t="str">
        <f t="shared" ca="1" si="24"/>
        <v/>
      </c>
      <c r="O87" s="138" t="str">
        <f t="shared" ca="1" si="25"/>
        <v/>
      </c>
    </row>
    <row r="88" spans="1:15" ht="16.5" customHeight="1">
      <c r="A88" s="121">
        <v>29</v>
      </c>
      <c r="B88" s="154" t="str">
        <f>TEXT(투자전략!$G$1+28, "[$-ko-KR]yyyy.mm.dd")</f>
        <v>2021.06.29</v>
      </c>
      <c r="C88" s="135" t="str">
        <f t="shared" ca="1" si="13"/>
        <v/>
      </c>
      <c r="D88" s="139" t="str">
        <f t="shared" ca="1" si="14"/>
        <v/>
      </c>
      <c r="E88" s="77" t="str">
        <f t="shared" ca="1" si="15"/>
        <v/>
      </c>
      <c r="F88" s="137" t="str">
        <f t="shared" ca="1" si="16"/>
        <v/>
      </c>
      <c r="G88" s="139" t="str">
        <f t="shared" ca="1" si="17"/>
        <v/>
      </c>
      <c r="H88" s="77" t="str">
        <f t="shared" ca="1" si="18"/>
        <v/>
      </c>
      <c r="I88" s="137" t="str">
        <f t="shared" ca="1" si="19"/>
        <v/>
      </c>
      <c r="J88" s="139" t="str">
        <f t="shared" ca="1" si="20"/>
        <v/>
      </c>
      <c r="K88" s="77" t="str">
        <f t="shared" ca="1" si="21"/>
        <v/>
      </c>
      <c r="L88" s="137" t="str">
        <f t="shared" ca="1" si="22"/>
        <v/>
      </c>
      <c r="M88" s="139" t="str">
        <f t="shared" ca="1" si="23"/>
        <v/>
      </c>
      <c r="N88" s="77" t="str">
        <f t="shared" ca="1" si="24"/>
        <v/>
      </c>
      <c r="O88" s="137" t="str">
        <f t="shared" ca="1" si="25"/>
        <v/>
      </c>
    </row>
    <row r="89" spans="1:15" ht="16.5" customHeight="1">
      <c r="A89" s="121">
        <v>30</v>
      </c>
      <c r="B89" s="153" t="str">
        <f>TEXT(투자전략!$G$1+29, "[$-ko-KR]yyyy.mm.dd")</f>
        <v>2021.06.30</v>
      </c>
      <c r="C89" s="135" t="str">
        <f t="shared" ca="1" si="13"/>
        <v/>
      </c>
      <c r="D89" s="139" t="str">
        <f t="shared" ca="1" si="14"/>
        <v/>
      </c>
      <c r="E89" s="77" t="str">
        <f t="shared" ca="1" si="15"/>
        <v/>
      </c>
      <c r="F89" s="137" t="str">
        <f t="shared" ca="1" si="16"/>
        <v/>
      </c>
      <c r="G89" s="139" t="str">
        <f t="shared" ca="1" si="17"/>
        <v/>
      </c>
      <c r="H89" s="77" t="str">
        <f t="shared" ca="1" si="18"/>
        <v/>
      </c>
      <c r="I89" s="137" t="str">
        <f t="shared" ca="1" si="19"/>
        <v/>
      </c>
      <c r="J89" s="139" t="str">
        <f t="shared" ca="1" si="20"/>
        <v/>
      </c>
      <c r="K89" s="77" t="str">
        <f t="shared" ca="1" si="21"/>
        <v/>
      </c>
      <c r="L89" s="137" t="str">
        <f t="shared" ca="1" si="22"/>
        <v/>
      </c>
      <c r="M89" s="139" t="str">
        <f t="shared" ca="1" si="23"/>
        <v/>
      </c>
      <c r="N89" s="77" t="str">
        <f t="shared" ca="1" si="24"/>
        <v/>
      </c>
      <c r="O89" s="137" t="str">
        <f t="shared" ca="1" si="25"/>
        <v/>
      </c>
    </row>
    <row r="90" spans="1:15" ht="16.5" customHeight="1" thickBot="1">
      <c r="A90" s="121">
        <v>31</v>
      </c>
      <c r="B90" s="153" t="str">
        <f>TEXT(투자전략!$G$1+30, "[$-ko-KR]yyyy.mm.dd")</f>
        <v>2021.07.01</v>
      </c>
      <c r="C90" s="136" t="str">
        <f t="shared" ca="1" si="13"/>
        <v/>
      </c>
      <c r="D90" s="140" t="str">
        <f t="shared" ca="1" si="14"/>
        <v/>
      </c>
      <c r="E90" s="79" t="str">
        <f t="shared" ca="1" si="15"/>
        <v/>
      </c>
      <c r="F90" s="138" t="str">
        <f t="shared" ca="1" si="16"/>
        <v/>
      </c>
      <c r="G90" s="140" t="str">
        <f t="shared" ca="1" si="17"/>
        <v/>
      </c>
      <c r="H90" s="79" t="str">
        <f t="shared" ca="1" si="18"/>
        <v/>
      </c>
      <c r="I90" s="138" t="str">
        <f t="shared" ca="1" si="19"/>
        <v/>
      </c>
      <c r="J90" s="140" t="str">
        <f t="shared" ca="1" si="20"/>
        <v/>
      </c>
      <c r="K90" s="79" t="str">
        <f t="shared" ca="1" si="21"/>
        <v/>
      </c>
      <c r="L90" s="138" t="str">
        <f t="shared" ca="1" si="22"/>
        <v/>
      </c>
      <c r="M90" s="140" t="str">
        <f t="shared" ca="1" si="23"/>
        <v/>
      </c>
      <c r="N90" s="79" t="str">
        <f t="shared" ca="1" si="24"/>
        <v/>
      </c>
      <c r="O90" s="138" t="str">
        <f t="shared" ca="1" si="25"/>
        <v/>
      </c>
    </row>
    <row r="91" spans="1:15" ht="16.5" customHeight="1" thickBot="1">
      <c r="A91" s="211" t="s">
        <v>313</v>
      </c>
      <c r="B91" s="213"/>
      <c r="C91" s="132" t="s">
        <v>308</v>
      </c>
      <c r="D91" s="150" t="s">
        <v>309</v>
      </c>
      <c r="E91" s="151" t="s">
        <v>310</v>
      </c>
      <c r="F91" s="152" t="s">
        <v>311</v>
      </c>
      <c r="G91" s="150" t="s">
        <v>309</v>
      </c>
      <c r="H91" s="151" t="s">
        <v>310</v>
      </c>
      <c r="I91" s="152" t="s">
        <v>311</v>
      </c>
      <c r="J91" s="150" t="s">
        <v>309</v>
      </c>
      <c r="K91" s="151" t="s">
        <v>310</v>
      </c>
      <c r="L91" s="152" t="s">
        <v>311</v>
      </c>
      <c r="M91" s="150" t="s">
        <v>309</v>
      </c>
      <c r="N91" s="151" t="s">
        <v>310</v>
      </c>
      <c r="O91" s="152" t="s">
        <v>311</v>
      </c>
    </row>
    <row r="92" spans="1:15" ht="16.5" customHeight="1" thickBot="1">
      <c r="A92" s="204"/>
      <c r="B92" s="206"/>
      <c r="C92" s="136">
        <f ca="1">SUM(C60:C90)</f>
        <v>3000000</v>
      </c>
      <c r="D92" s="140">
        <f ca="1">SUM(D60:D90)</f>
        <v>3000000</v>
      </c>
      <c r="E92" s="79">
        <f ca="1">IFERROR(F92 / (SUM($C60:$C90) / COUNT($C60:$C90)), 0)</f>
        <v>0</v>
      </c>
      <c r="F92" s="138">
        <f ca="1">SUM(F60:F90)</f>
        <v>0</v>
      </c>
      <c r="G92" s="140">
        <f ca="1">SUM(G60:G90)</f>
        <v>3000000</v>
      </c>
      <c r="H92" s="79">
        <f ca="1">IFERROR(I92 / (SUM($C60:$C90) / COUNT($C60:$C90)), 0)</f>
        <v>0</v>
      </c>
      <c r="I92" s="138">
        <f ca="1">SUM(I60:I90)</f>
        <v>0</v>
      </c>
      <c r="J92" s="140">
        <f ca="1">SUM(J60:J90)</f>
        <v>3000000</v>
      </c>
      <c r="K92" s="79">
        <f ca="1">IFERROR(L92 / (SUM($C60:$C90) / COUNT($C60:$C90)), 0)</f>
        <v>0</v>
      </c>
      <c r="L92" s="138">
        <f ca="1">SUM(L60:L90)</f>
        <v>0</v>
      </c>
      <c r="M92" s="140">
        <f ca="1">SUM(M60:M90)</f>
        <v>3000000</v>
      </c>
      <c r="N92" s="79">
        <f ca="1">IFERROR(O92 / (SUM($C60:$C90) / COUNT($C60:$C90)), 0)</f>
        <v>0</v>
      </c>
      <c r="O92" s="138">
        <f ca="1">SUM(O60:O90)</f>
        <v>0</v>
      </c>
    </row>
    <row r="94" spans="1:15" ht="16.5" customHeight="1" thickBot="1"/>
    <row r="95" spans="1:15" ht="16.5" customHeight="1" thickBot="1">
      <c r="A95" s="183" t="str">
        <f>TEXT(투자전략!$G$1, "[$-ko-KR]yyyy년 mm월 ") &amp; "[동전코인] 전일대비 상승률 Top20 월말결산"</f>
        <v>2021년 06월 [동전코인] 전일대비 상승률 Top20 월말결산</v>
      </c>
      <c r="B95" s="184"/>
      <c r="C95" s="184"/>
      <c r="D95" s="184"/>
      <c r="E95" s="184"/>
      <c r="F95" s="184"/>
      <c r="G95" s="184"/>
      <c r="H95" s="184"/>
      <c r="I95" s="184"/>
      <c r="J95" s="184"/>
      <c r="K95" s="184"/>
      <c r="L95" s="184"/>
      <c r="M95" s="184"/>
      <c r="N95" s="184"/>
      <c r="O95" s="185"/>
    </row>
    <row r="96" spans="1:15" ht="16.5" customHeight="1" thickBot="1">
      <c r="A96" s="227" t="s">
        <v>314</v>
      </c>
      <c r="B96" s="204" t="s">
        <v>312</v>
      </c>
      <c r="C96" s="206"/>
      <c r="D96" s="204" t="s">
        <v>304</v>
      </c>
      <c r="E96" s="205"/>
      <c r="F96" s="206"/>
      <c r="G96" s="204" t="s">
        <v>305</v>
      </c>
      <c r="H96" s="205"/>
      <c r="I96" s="206"/>
      <c r="J96" s="204" t="s">
        <v>306</v>
      </c>
      <c r="K96" s="205"/>
      <c r="L96" s="206"/>
      <c r="M96" s="204" t="s">
        <v>307</v>
      </c>
      <c r="N96" s="205"/>
      <c r="O96" s="206"/>
    </row>
    <row r="97" spans="1:15" ht="16.5" customHeight="1" thickBot="1">
      <c r="A97" s="220"/>
      <c r="B97" s="154" t="s">
        <v>302</v>
      </c>
      <c r="C97" s="154" t="s">
        <v>42</v>
      </c>
      <c r="D97" s="121" t="s">
        <v>303</v>
      </c>
      <c r="E97" s="133" t="s">
        <v>40</v>
      </c>
      <c r="F97" s="156" t="s">
        <v>41</v>
      </c>
      <c r="G97" s="121" t="s">
        <v>303</v>
      </c>
      <c r="H97" s="133" t="s">
        <v>40</v>
      </c>
      <c r="I97" s="156" t="s">
        <v>41</v>
      </c>
      <c r="J97" s="121" t="s">
        <v>303</v>
      </c>
      <c r="K97" s="133" t="s">
        <v>40</v>
      </c>
      <c r="L97" s="156" t="s">
        <v>41</v>
      </c>
      <c r="M97" s="121" t="s">
        <v>303</v>
      </c>
      <c r="N97" s="133" t="s">
        <v>40</v>
      </c>
      <c r="O97" s="156" t="s">
        <v>41</v>
      </c>
    </row>
    <row r="98" spans="1:15" ht="16.5" customHeight="1">
      <c r="A98" s="154">
        <v>1</v>
      </c>
      <c r="B98" s="154" t="str">
        <f>TEXT(투자전략!$G$1+0, "[$-ko-KR]yyyy.mm.dd")</f>
        <v>2021.06.01</v>
      </c>
      <c r="C98" s="134">
        <f ca="1">IFERROR(COUNTA(INDIRECT($B98&amp;"!A71:A90")) * INDIRECT($B98&amp;"!B91"), "")</f>
        <v>3000000</v>
      </c>
      <c r="D98" s="142">
        <f ca="1">IFERROR($C98 * (1 + E98), "")</f>
        <v>3000000</v>
      </c>
      <c r="E98" s="76">
        <f ca="1">IFERROR(INDIRECT($B98&amp;"!E91"), "")</f>
        <v>0</v>
      </c>
      <c r="F98" s="141">
        <f ca="1">IFERROR(INDIRECT($B98&amp;"!F91"), "")</f>
        <v>0</v>
      </c>
      <c r="G98" s="142">
        <f ca="1">IFERROR($C98 * (1 + H98), "")</f>
        <v>3000000</v>
      </c>
      <c r="H98" s="76">
        <f ca="1">IFERROR(INDIRECT($B98&amp;"!H91"), "")</f>
        <v>0</v>
      </c>
      <c r="I98" s="141">
        <f ca="1">IFERROR(INDIRECT($B98&amp;"!I91"), "")</f>
        <v>0</v>
      </c>
      <c r="J98" s="142">
        <f ca="1">IFERROR($C98 * (1 + K98), "")</f>
        <v>3000000</v>
      </c>
      <c r="K98" s="76">
        <f ca="1">IFERROR(INDIRECT($B98&amp;"!K91"), "")</f>
        <v>0</v>
      </c>
      <c r="L98" s="141">
        <f ca="1">IFERROR(INDIRECT($B98&amp;"!L91"), "")</f>
        <v>0</v>
      </c>
      <c r="M98" s="142">
        <f ca="1">IFERROR($C98 * (1 + N98), "")</f>
        <v>3000000</v>
      </c>
      <c r="N98" s="76">
        <f ca="1">IFERROR(INDIRECT($B98&amp;"!N91"), "")</f>
        <v>0</v>
      </c>
      <c r="O98" s="141">
        <f ca="1">IFERROR(INDIRECT($B98&amp;"!O91"), "")</f>
        <v>0</v>
      </c>
    </row>
    <row r="99" spans="1:15" ht="16.5" customHeight="1">
      <c r="A99" s="153">
        <v>2</v>
      </c>
      <c r="B99" s="153" t="str">
        <f>TEXT(투자전략!$G$1+1, "[$-ko-KR]yyyy.mm.dd")</f>
        <v>2021.06.02</v>
      </c>
      <c r="C99" s="135" t="str">
        <f t="shared" ref="C99:C128" ca="1" si="26">IFERROR(COUNTA(INDIRECT($B99&amp;"!A71:A90")) * INDIRECT($B99&amp;"!B91"), "")</f>
        <v/>
      </c>
      <c r="D99" s="139" t="str">
        <f t="shared" ref="D99:D128" ca="1" si="27">IFERROR($C99 * (1 + E99), "")</f>
        <v/>
      </c>
      <c r="E99" s="77" t="str">
        <f t="shared" ref="E99:E128" ca="1" si="28">IFERROR(INDIRECT($B99&amp;"!E91"), "")</f>
        <v/>
      </c>
      <c r="F99" s="137" t="str">
        <f t="shared" ref="F99:F128" ca="1" si="29">IFERROR(INDIRECT($B99&amp;"!F91"), "")</f>
        <v/>
      </c>
      <c r="G99" s="139" t="str">
        <f t="shared" ref="G99:G128" ca="1" si="30">IFERROR($C99 * (1 + H99), "")</f>
        <v/>
      </c>
      <c r="H99" s="77" t="str">
        <f t="shared" ref="H99:H128" ca="1" si="31">IFERROR(INDIRECT($B99&amp;"!H91"), "")</f>
        <v/>
      </c>
      <c r="I99" s="137" t="str">
        <f t="shared" ref="I99:I128" ca="1" si="32">IFERROR(INDIRECT($B99&amp;"!I91"), "")</f>
        <v/>
      </c>
      <c r="J99" s="139" t="str">
        <f t="shared" ref="J99:J128" ca="1" si="33">IFERROR($C99 * (1 + K99), "")</f>
        <v/>
      </c>
      <c r="K99" s="77" t="str">
        <f t="shared" ref="K99:K128" ca="1" si="34">IFERROR(INDIRECT($B99&amp;"!K91"), "")</f>
        <v/>
      </c>
      <c r="L99" s="137" t="str">
        <f t="shared" ref="L99:L128" ca="1" si="35">IFERROR(INDIRECT($B99&amp;"!L91"), "")</f>
        <v/>
      </c>
      <c r="M99" s="139" t="str">
        <f t="shared" ref="M99:M128" ca="1" si="36">IFERROR($C99 * (1 + N99), "")</f>
        <v/>
      </c>
      <c r="N99" s="77" t="str">
        <f t="shared" ref="N99:N128" ca="1" si="37">IFERROR(INDIRECT($B99&amp;"!N91"), "")</f>
        <v/>
      </c>
      <c r="O99" s="137" t="str">
        <f t="shared" ref="O99:O128" ca="1" si="38">IFERROR(INDIRECT($B99&amp;"!O91"), "")</f>
        <v/>
      </c>
    </row>
    <row r="100" spans="1:15" ht="16.5" customHeight="1">
      <c r="A100" s="153">
        <v>3</v>
      </c>
      <c r="B100" s="153" t="str">
        <f>TEXT(투자전략!$G$1+2, "[$-ko-KR]yyyy.mm.dd")</f>
        <v>2021.06.03</v>
      </c>
      <c r="C100" s="135" t="str">
        <f t="shared" ca="1" si="26"/>
        <v/>
      </c>
      <c r="D100" s="139" t="str">
        <f t="shared" ca="1" si="27"/>
        <v/>
      </c>
      <c r="E100" s="77" t="str">
        <f t="shared" ca="1" si="28"/>
        <v/>
      </c>
      <c r="F100" s="137" t="str">
        <f t="shared" ca="1" si="29"/>
        <v/>
      </c>
      <c r="G100" s="139" t="str">
        <f t="shared" ca="1" si="30"/>
        <v/>
      </c>
      <c r="H100" s="77" t="str">
        <f t="shared" ca="1" si="31"/>
        <v/>
      </c>
      <c r="I100" s="137" t="str">
        <f t="shared" ca="1" si="32"/>
        <v/>
      </c>
      <c r="J100" s="139" t="str">
        <f t="shared" ca="1" si="33"/>
        <v/>
      </c>
      <c r="K100" s="77" t="str">
        <f t="shared" ca="1" si="34"/>
        <v/>
      </c>
      <c r="L100" s="137" t="str">
        <f t="shared" ca="1" si="35"/>
        <v/>
      </c>
      <c r="M100" s="139" t="str">
        <f t="shared" ca="1" si="36"/>
        <v/>
      </c>
      <c r="N100" s="77" t="str">
        <f t="shared" ca="1" si="37"/>
        <v/>
      </c>
      <c r="O100" s="137" t="str">
        <f t="shared" ca="1" si="38"/>
        <v/>
      </c>
    </row>
    <row r="101" spans="1:15" ht="16.5" customHeight="1">
      <c r="A101" s="153">
        <v>4</v>
      </c>
      <c r="B101" s="153" t="str">
        <f>TEXT(투자전략!$G$1+3, "[$-ko-KR]yyyy.mm.dd")</f>
        <v>2021.06.04</v>
      </c>
      <c r="C101" s="135" t="str">
        <f t="shared" ca="1" si="26"/>
        <v/>
      </c>
      <c r="D101" s="139" t="str">
        <f t="shared" ca="1" si="27"/>
        <v/>
      </c>
      <c r="E101" s="77" t="str">
        <f t="shared" ca="1" si="28"/>
        <v/>
      </c>
      <c r="F101" s="137" t="str">
        <f t="shared" ca="1" si="29"/>
        <v/>
      </c>
      <c r="G101" s="139" t="str">
        <f t="shared" ca="1" si="30"/>
        <v/>
      </c>
      <c r="H101" s="77" t="str">
        <f t="shared" ca="1" si="31"/>
        <v/>
      </c>
      <c r="I101" s="137" t="str">
        <f t="shared" ca="1" si="32"/>
        <v/>
      </c>
      <c r="J101" s="139" t="str">
        <f t="shared" ca="1" si="33"/>
        <v/>
      </c>
      <c r="K101" s="77" t="str">
        <f t="shared" ca="1" si="34"/>
        <v/>
      </c>
      <c r="L101" s="137" t="str">
        <f t="shared" ca="1" si="35"/>
        <v/>
      </c>
      <c r="M101" s="139" t="str">
        <f t="shared" ca="1" si="36"/>
        <v/>
      </c>
      <c r="N101" s="77" t="str">
        <f t="shared" ca="1" si="37"/>
        <v/>
      </c>
      <c r="O101" s="137" t="str">
        <f t="shared" ca="1" si="38"/>
        <v/>
      </c>
    </row>
    <row r="102" spans="1:15" ht="16.5" customHeight="1">
      <c r="A102" s="153">
        <v>5</v>
      </c>
      <c r="B102" s="153" t="str">
        <f>TEXT(투자전략!$G$1+4, "[$-ko-KR]yyyy.mm.dd")</f>
        <v>2021.06.05</v>
      </c>
      <c r="C102" s="135" t="str">
        <f t="shared" ca="1" si="26"/>
        <v/>
      </c>
      <c r="D102" s="139" t="str">
        <f t="shared" ca="1" si="27"/>
        <v/>
      </c>
      <c r="E102" s="77" t="str">
        <f t="shared" ca="1" si="28"/>
        <v/>
      </c>
      <c r="F102" s="137" t="str">
        <f t="shared" ca="1" si="29"/>
        <v/>
      </c>
      <c r="G102" s="139" t="str">
        <f t="shared" ca="1" si="30"/>
        <v/>
      </c>
      <c r="H102" s="77" t="str">
        <f t="shared" ca="1" si="31"/>
        <v/>
      </c>
      <c r="I102" s="137" t="str">
        <f t="shared" ca="1" si="32"/>
        <v/>
      </c>
      <c r="J102" s="139" t="str">
        <f t="shared" ca="1" si="33"/>
        <v/>
      </c>
      <c r="K102" s="77" t="str">
        <f t="shared" ca="1" si="34"/>
        <v/>
      </c>
      <c r="L102" s="137" t="str">
        <f t="shared" ca="1" si="35"/>
        <v/>
      </c>
      <c r="M102" s="139" t="str">
        <f t="shared" ca="1" si="36"/>
        <v/>
      </c>
      <c r="N102" s="77" t="str">
        <f t="shared" ca="1" si="37"/>
        <v/>
      </c>
      <c r="O102" s="137" t="str">
        <f t="shared" ca="1" si="38"/>
        <v/>
      </c>
    </row>
    <row r="103" spans="1:15" ht="16.5" customHeight="1">
      <c r="A103" s="153">
        <v>6</v>
      </c>
      <c r="B103" s="153" t="str">
        <f>TEXT(투자전략!$G$1+5, "[$-ko-KR]yyyy.mm.dd")</f>
        <v>2021.06.06</v>
      </c>
      <c r="C103" s="135" t="str">
        <f t="shared" ca="1" si="26"/>
        <v/>
      </c>
      <c r="D103" s="139" t="str">
        <f t="shared" ca="1" si="27"/>
        <v/>
      </c>
      <c r="E103" s="77" t="str">
        <f t="shared" ca="1" si="28"/>
        <v/>
      </c>
      <c r="F103" s="137" t="str">
        <f t="shared" ca="1" si="29"/>
        <v/>
      </c>
      <c r="G103" s="139" t="str">
        <f t="shared" ca="1" si="30"/>
        <v/>
      </c>
      <c r="H103" s="77" t="str">
        <f t="shared" ca="1" si="31"/>
        <v/>
      </c>
      <c r="I103" s="137" t="str">
        <f t="shared" ca="1" si="32"/>
        <v/>
      </c>
      <c r="J103" s="139" t="str">
        <f t="shared" ca="1" si="33"/>
        <v/>
      </c>
      <c r="K103" s="77" t="str">
        <f t="shared" ca="1" si="34"/>
        <v/>
      </c>
      <c r="L103" s="137" t="str">
        <f t="shared" ca="1" si="35"/>
        <v/>
      </c>
      <c r="M103" s="139" t="str">
        <f t="shared" ca="1" si="36"/>
        <v/>
      </c>
      <c r="N103" s="77" t="str">
        <f t="shared" ca="1" si="37"/>
        <v/>
      </c>
      <c r="O103" s="137" t="str">
        <f t="shared" ca="1" si="38"/>
        <v/>
      </c>
    </row>
    <row r="104" spans="1:15" ht="16.5" customHeight="1" thickBot="1">
      <c r="A104" s="155">
        <v>7</v>
      </c>
      <c r="B104" s="155" t="str">
        <f>TEXT(투자전략!$G$1+6, "[$-ko-KR]yyyy.mm.dd")</f>
        <v>2021.06.07</v>
      </c>
      <c r="C104" s="135" t="str">
        <f t="shared" ca="1" si="26"/>
        <v/>
      </c>
      <c r="D104" s="139" t="str">
        <f t="shared" ca="1" si="27"/>
        <v/>
      </c>
      <c r="E104" s="77" t="str">
        <f t="shared" ca="1" si="28"/>
        <v/>
      </c>
      <c r="F104" s="137" t="str">
        <f t="shared" ca="1" si="29"/>
        <v/>
      </c>
      <c r="G104" s="139" t="str">
        <f t="shared" ca="1" si="30"/>
        <v/>
      </c>
      <c r="H104" s="77" t="str">
        <f t="shared" ca="1" si="31"/>
        <v/>
      </c>
      <c r="I104" s="137" t="str">
        <f t="shared" ca="1" si="32"/>
        <v/>
      </c>
      <c r="J104" s="139" t="str">
        <f t="shared" ca="1" si="33"/>
        <v/>
      </c>
      <c r="K104" s="77" t="str">
        <f t="shared" ca="1" si="34"/>
        <v/>
      </c>
      <c r="L104" s="137" t="str">
        <f t="shared" ca="1" si="35"/>
        <v/>
      </c>
      <c r="M104" s="139" t="str">
        <f t="shared" ca="1" si="36"/>
        <v/>
      </c>
      <c r="N104" s="77" t="str">
        <f t="shared" ca="1" si="37"/>
        <v/>
      </c>
      <c r="O104" s="137" t="str">
        <f t="shared" ca="1" si="38"/>
        <v/>
      </c>
    </row>
    <row r="105" spans="1:15" ht="16.5" customHeight="1">
      <c r="A105" s="154">
        <v>8</v>
      </c>
      <c r="B105" s="154" t="str">
        <f>TEXT(투자전략!$G$1+7, "[$-ko-KR]yyyy.mm.dd")</f>
        <v>2021.06.08</v>
      </c>
      <c r="C105" s="134" t="str">
        <f t="shared" ca="1" si="26"/>
        <v/>
      </c>
      <c r="D105" s="142" t="str">
        <f t="shared" ca="1" si="27"/>
        <v/>
      </c>
      <c r="E105" s="76" t="str">
        <f t="shared" ca="1" si="28"/>
        <v/>
      </c>
      <c r="F105" s="141" t="str">
        <f t="shared" ca="1" si="29"/>
        <v/>
      </c>
      <c r="G105" s="142" t="str">
        <f t="shared" ca="1" si="30"/>
        <v/>
      </c>
      <c r="H105" s="76" t="str">
        <f t="shared" ca="1" si="31"/>
        <v/>
      </c>
      <c r="I105" s="141" t="str">
        <f t="shared" ca="1" si="32"/>
        <v/>
      </c>
      <c r="J105" s="142" t="str">
        <f t="shared" ca="1" si="33"/>
        <v/>
      </c>
      <c r="K105" s="76" t="str">
        <f t="shared" ca="1" si="34"/>
        <v/>
      </c>
      <c r="L105" s="141" t="str">
        <f t="shared" ca="1" si="35"/>
        <v/>
      </c>
      <c r="M105" s="142" t="str">
        <f t="shared" ca="1" si="36"/>
        <v/>
      </c>
      <c r="N105" s="76" t="str">
        <f t="shared" ca="1" si="37"/>
        <v/>
      </c>
      <c r="O105" s="141" t="str">
        <f t="shared" ca="1" si="38"/>
        <v/>
      </c>
    </row>
    <row r="106" spans="1:15" ht="16.5" customHeight="1">
      <c r="A106" s="153">
        <v>9</v>
      </c>
      <c r="B106" s="153" t="str">
        <f>TEXT(투자전략!$G$1+8, "[$-ko-KR]yyyy.mm.dd")</f>
        <v>2021.06.09</v>
      </c>
      <c r="C106" s="135" t="str">
        <f t="shared" ca="1" si="26"/>
        <v/>
      </c>
      <c r="D106" s="139" t="str">
        <f t="shared" ca="1" si="27"/>
        <v/>
      </c>
      <c r="E106" s="77" t="str">
        <f t="shared" ca="1" si="28"/>
        <v/>
      </c>
      <c r="F106" s="137" t="str">
        <f t="shared" ca="1" si="29"/>
        <v/>
      </c>
      <c r="G106" s="139" t="str">
        <f t="shared" ca="1" si="30"/>
        <v/>
      </c>
      <c r="H106" s="77" t="str">
        <f t="shared" ca="1" si="31"/>
        <v/>
      </c>
      <c r="I106" s="137" t="str">
        <f t="shared" ca="1" si="32"/>
        <v/>
      </c>
      <c r="J106" s="139" t="str">
        <f t="shared" ca="1" si="33"/>
        <v/>
      </c>
      <c r="K106" s="77" t="str">
        <f t="shared" ca="1" si="34"/>
        <v/>
      </c>
      <c r="L106" s="137" t="str">
        <f t="shared" ca="1" si="35"/>
        <v/>
      </c>
      <c r="M106" s="139" t="str">
        <f t="shared" ca="1" si="36"/>
        <v/>
      </c>
      <c r="N106" s="77" t="str">
        <f t="shared" ca="1" si="37"/>
        <v/>
      </c>
      <c r="O106" s="137" t="str">
        <f t="shared" ca="1" si="38"/>
        <v/>
      </c>
    </row>
    <row r="107" spans="1:15" ht="16.5" customHeight="1">
      <c r="A107" s="153">
        <v>10</v>
      </c>
      <c r="B107" s="153" t="str">
        <f>TEXT(투자전략!$G$1+9, "[$-ko-KR]yyyy.mm.dd")</f>
        <v>2021.06.10</v>
      </c>
      <c r="C107" s="135" t="str">
        <f t="shared" ca="1" si="26"/>
        <v/>
      </c>
      <c r="D107" s="139" t="str">
        <f t="shared" ca="1" si="27"/>
        <v/>
      </c>
      <c r="E107" s="77" t="str">
        <f t="shared" ca="1" si="28"/>
        <v/>
      </c>
      <c r="F107" s="137" t="str">
        <f t="shared" ca="1" si="29"/>
        <v/>
      </c>
      <c r="G107" s="139" t="str">
        <f t="shared" ca="1" si="30"/>
        <v/>
      </c>
      <c r="H107" s="77" t="str">
        <f t="shared" ca="1" si="31"/>
        <v/>
      </c>
      <c r="I107" s="137" t="str">
        <f t="shared" ca="1" si="32"/>
        <v/>
      </c>
      <c r="J107" s="139" t="str">
        <f t="shared" ca="1" si="33"/>
        <v/>
      </c>
      <c r="K107" s="77" t="str">
        <f t="shared" ca="1" si="34"/>
        <v/>
      </c>
      <c r="L107" s="137" t="str">
        <f t="shared" ca="1" si="35"/>
        <v/>
      </c>
      <c r="M107" s="139" t="str">
        <f t="shared" ca="1" si="36"/>
        <v/>
      </c>
      <c r="N107" s="77" t="str">
        <f t="shared" ca="1" si="37"/>
        <v/>
      </c>
      <c r="O107" s="137" t="str">
        <f t="shared" ca="1" si="38"/>
        <v/>
      </c>
    </row>
    <row r="108" spans="1:15" ht="16.5" customHeight="1">
      <c r="A108" s="153">
        <v>11</v>
      </c>
      <c r="B108" s="153" t="str">
        <f>TEXT(투자전략!$G$1+10, "[$-ko-KR]yyyy.mm.dd")</f>
        <v>2021.06.11</v>
      </c>
      <c r="C108" s="135" t="str">
        <f t="shared" ca="1" si="26"/>
        <v/>
      </c>
      <c r="D108" s="139" t="str">
        <f t="shared" ca="1" si="27"/>
        <v/>
      </c>
      <c r="E108" s="77" t="str">
        <f t="shared" ca="1" si="28"/>
        <v/>
      </c>
      <c r="F108" s="137" t="str">
        <f t="shared" ca="1" si="29"/>
        <v/>
      </c>
      <c r="G108" s="139" t="str">
        <f t="shared" ca="1" si="30"/>
        <v/>
      </c>
      <c r="H108" s="77" t="str">
        <f t="shared" ca="1" si="31"/>
        <v/>
      </c>
      <c r="I108" s="137" t="str">
        <f t="shared" ca="1" si="32"/>
        <v/>
      </c>
      <c r="J108" s="139" t="str">
        <f t="shared" ca="1" si="33"/>
        <v/>
      </c>
      <c r="K108" s="77" t="str">
        <f t="shared" ca="1" si="34"/>
        <v/>
      </c>
      <c r="L108" s="137" t="str">
        <f t="shared" ca="1" si="35"/>
        <v/>
      </c>
      <c r="M108" s="139" t="str">
        <f t="shared" ca="1" si="36"/>
        <v/>
      </c>
      <c r="N108" s="77" t="str">
        <f t="shared" ca="1" si="37"/>
        <v/>
      </c>
      <c r="O108" s="137" t="str">
        <f t="shared" ca="1" si="38"/>
        <v/>
      </c>
    </row>
    <row r="109" spans="1:15" ht="16.5" customHeight="1">
      <c r="A109" s="153">
        <v>12</v>
      </c>
      <c r="B109" s="153" t="str">
        <f>TEXT(투자전략!$G$1+11, "[$-ko-KR]yyyy.mm.dd")</f>
        <v>2021.06.12</v>
      </c>
      <c r="C109" s="135" t="str">
        <f t="shared" ca="1" si="26"/>
        <v/>
      </c>
      <c r="D109" s="139" t="str">
        <f t="shared" ca="1" si="27"/>
        <v/>
      </c>
      <c r="E109" s="77" t="str">
        <f t="shared" ca="1" si="28"/>
        <v/>
      </c>
      <c r="F109" s="137" t="str">
        <f t="shared" ca="1" si="29"/>
        <v/>
      </c>
      <c r="G109" s="139" t="str">
        <f t="shared" ca="1" si="30"/>
        <v/>
      </c>
      <c r="H109" s="77" t="str">
        <f t="shared" ca="1" si="31"/>
        <v/>
      </c>
      <c r="I109" s="137" t="str">
        <f t="shared" ca="1" si="32"/>
        <v/>
      </c>
      <c r="J109" s="139" t="str">
        <f t="shared" ca="1" si="33"/>
        <v/>
      </c>
      <c r="K109" s="77" t="str">
        <f t="shared" ca="1" si="34"/>
        <v/>
      </c>
      <c r="L109" s="137" t="str">
        <f t="shared" ca="1" si="35"/>
        <v/>
      </c>
      <c r="M109" s="139" t="str">
        <f t="shared" ca="1" si="36"/>
        <v/>
      </c>
      <c r="N109" s="77" t="str">
        <f t="shared" ca="1" si="37"/>
        <v/>
      </c>
      <c r="O109" s="137" t="str">
        <f t="shared" ca="1" si="38"/>
        <v/>
      </c>
    </row>
    <row r="110" spans="1:15" ht="16.5" customHeight="1">
      <c r="A110" s="153">
        <v>13</v>
      </c>
      <c r="B110" s="153" t="str">
        <f>TEXT(투자전략!$G$1+12, "[$-ko-KR]yyyy.mm.dd")</f>
        <v>2021.06.13</v>
      </c>
      <c r="C110" s="135" t="str">
        <f t="shared" ca="1" si="26"/>
        <v/>
      </c>
      <c r="D110" s="139" t="str">
        <f t="shared" ca="1" si="27"/>
        <v/>
      </c>
      <c r="E110" s="77" t="str">
        <f t="shared" ca="1" si="28"/>
        <v/>
      </c>
      <c r="F110" s="137" t="str">
        <f t="shared" ca="1" si="29"/>
        <v/>
      </c>
      <c r="G110" s="139" t="str">
        <f t="shared" ca="1" si="30"/>
        <v/>
      </c>
      <c r="H110" s="77" t="str">
        <f t="shared" ca="1" si="31"/>
        <v/>
      </c>
      <c r="I110" s="137" t="str">
        <f t="shared" ca="1" si="32"/>
        <v/>
      </c>
      <c r="J110" s="139" t="str">
        <f t="shared" ca="1" si="33"/>
        <v/>
      </c>
      <c r="K110" s="77" t="str">
        <f t="shared" ca="1" si="34"/>
        <v/>
      </c>
      <c r="L110" s="137" t="str">
        <f t="shared" ca="1" si="35"/>
        <v/>
      </c>
      <c r="M110" s="139" t="str">
        <f t="shared" ca="1" si="36"/>
        <v/>
      </c>
      <c r="N110" s="77" t="str">
        <f t="shared" ca="1" si="37"/>
        <v/>
      </c>
      <c r="O110" s="137" t="str">
        <f t="shared" ca="1" si="38"/>
        <v/>
      </c>
    </row>
    <row r="111" spans="1:15" ht="16.5" customHeight="1" thickBot="1">
      <c r="A111" s="155">
        <v>14</v>
      </c>
      <c r="B111" s="155" t="str">
        <f>TEXT(투자전략!$G$1+13, "[$-ko-KR]yyyy.mm.dd")</f>
        <v>2021.06.14</v>
      </c>
      <c r="C111" s="136" t="str">
        <f t="shared" ca="1" si="26"/>
        <v/>
      </c>
      <c r="D111" s="140" t="str">
        <f t="shared" ca="1" si="27"/>
        <v/>
      </c>
      <c r="E111" s="79" t="str">
        <f t="shared" ca="1" si="28"/>
        <v/>
      </c>
      <c r="F111" s="138" t="str">
        <f t="shared" ca="1" si="29"/>
        <v/>
      </c>
      <c r="G111" s="140" t="str">
        <f t="shared" ca="1" si="30"/>
        <v/>
      </c>
      <c r="H111" s="79" t="str">
        <f t="shared" ca="1" si="31"/>
        <v/>
      </c>
      <c r="I111" s="138" t="str">
        <f t="shared" ca="1" si="32"/>
        <v/>
      </c>
      <c r="J111" s="140" t="str">
        <f t="shared" ca="1" si="33"/>
        <v/>
      </c>
      <c r="K111" s="79" t="str">
        <f t="shared" ca="1" si="34"/>
        <v/>
      </c>
      <c r="L111" s="138" t="str">
        <f t="shared" ca="1" si="35"/>
        <v/>
      </c>
      <c r="M111" s="140" t="str">
        <f t="shared" ca="1" si="36"/>
        <v/>
      </c>
      <c r="N111" s="79" t="str">
        <f t="shared" ca="1" si="37"/>
        <v/>
      </c>
      <c r="O111" s="138" t="str">
        <f t="shared" ca="1" si="38"/>
        <v/>
      </c>
    </row>
    <row r="112" spans="1:15" ht="16.5" customHeight="1">
      <c r="A112" s="154">
        <v>15</v>
      </c>
      <c r="B112" s="154" t="str">
        <f>TEXT(투자전략!$G$1+14, "[$-ko-KR]yyyy.mm.dd")</f>
        <v>2021.06.15</v>
      </c>
      <c r="C112" s="135" t="str">
        <f t="shared" ca="1" si="26"/>
        <v/>
      </c>
      <c r="D112" s="139" t="str">
        <f t="shared" ca="1" si="27"/>
        <v/>
      </c>
      <c r="E112" s="77" t="str">
        <f t="shared" ca="1" si="28"/>
        <v/>
      </c>
      <c r="F112" s="137" t="str">
        <f t="shared" ca="1" si="29"/>
        <v/>
      </c>
      <c r="G112" s="139" t="str">
        <f t="shared" ca="1" si="30"/>
        <v/>
      </c>
      <c r="H112" s="77" t="str">
        <f t="shared" ca="1" si="31"/>
        <v/>
      </c>
      <c r="I112" s="137" t="str">
        <f t="shared" ca="1" si="32"/>
        <v/>
      </c>
      <c r="J112" s="139" t="str">
        <f t="shared" ca="1" si="33"/>
        <v/>
      </c>
      <c r="K112" s="77" t="str">
        <f t="shared" ca="1" si="34"/>
        <v/>
      </c>
      <c r="L112" s="137" t="str">
        <f t="shared" ca="1" si="35"/>
        <v/>
      </c>
      <c r="M112" s="139" t="str">
        <f t="shared" ca="1" si="36"/>
        <v/>
      </c>
      <c r="N112" s="77" t="str">
        <f t="shared" ca="1" si="37"/>
        <v/>
      </c>
      <c r="O112" s="137" t="str">
        <f t="shared" ca="1" si="38"/>
        <v/>
      </c>
    </row>
    <row r="113" spans="1:15" ht="16.5" customHeight="1">
      <c r="A113" s="153">
        <v>16</v>
      </c>
      <c r="B113" s="153" t="str">
        <f>TEXT(투자전략!$G$1+15, "[$-ko-KR]yyyy.mm.dd")</f>
        <v>2021.06.16</v>
      </c>
      <c r="C113" s="135" t="str">
        <f t="shared" ca="1" si="26"/>
        <v/>
      </c>
      <c r="D113" s="139" t="str">
        <f t="shared" ca="1" si="27"/>
        <v/>
      </c>
      <c r="E113" s="77" t="str">
        <f t="shared" ca="1" si="28"/>
        <v/>
      </c>
      <c r="F113" s="137" t="str">
        <f t="shared" ca="1" si="29"/>
        <v/>
      </c>
      <c r="G113" s="139" t="str">
        <f t="shared" ca="1" si="30"/>
        <v/>
      </c>
      <c r="H113" s="77" t="str">
        <f t="shared" ca="1" si="31"/>
        <v/>
      </c>
      <c r="I113" s="137" t="str">
        <f t="shared" ca="1" si="32"/>
        <v/>
      </c>
      <c r="J113" s="139" t="str">
        <f t="shared" ca="1" si="33"/>
        <v/>
      </c>
      <c r="K113" s="77" t="str">
        <f t="shared" ca="1" si="34"/>
        <v/>
      </c>
      <c r="L113" s="137" t="str">
        <f t="shared" ca="1" si="35"/>
        <v/>
      </c>
      <c r="M113" s="139" t="str">
        <f t="shared" ca="1" si="36"/>
        <v/>
      </c>
      <c r="N113" s="77" t="str">
        <f t="shared" ca="1" si="37"/>
        <v/>
      </c>
      <c r="O113" s="137" t="str">
        <f t="shared" ca="1" si="38"/>
        <v/>
      </c>
    </row>
    <row r="114" spans="1:15" ht="16.5" customHeight="1">
      <c r="A114" s="153">
        <v>17</v>
      </c>
      <c r="B114" s="153" t="str">
        <f>TEXT(투자전략!$G$1+16, "[$-ko-KR]yyyy.mm.dd")</f>
        <v>2021.06.17</v>
      </c>
      <c r="C114" s="135" t="str">
        <f t="shared" ca="1" si="26"/>
        <v/>
      </c>
      <c r="D114" s="139" t="str">
        <f t="shared" ca="1" si="27"/>
        <v/>
      </c>
      <c r="E114" s="77" t="str">
        <f t="shared" ca="1" si="28"/>
        <v/>
      </c>
      <c r="F114" s="137" t="str">
        <f t="shared" ca="1" si="29"/>
        <v/>
      </c>
      <c r="G114" s="139" t="str">
        <f t="shared" ca="1" si="30"/>
        <v/>
      </c>
      <c r="H114" s="77" t="str">
        <f t="shared" ca="1" si="31"/>
        <v/>
      </c>
      <c r="I114" s="137" t="str">
        <f t="shared" ca="1" si="32"/>
        <v/>
      </c>
      <c r="J114" s="139" t="str">
        <f t="shared" ca="1" si="33"/>
        <v/>
      </c>
      <c r="K114" s="77" t="str">
        <f t="shared" ca="1" si="34"/>
        <v/>
      </c>
      <c r="L114" s="137" t="str">
        <f t="shared" ca="1" si="35"/>
        <v/>
      </c>
      <c r="M114" s="139" t="str">
        <f t="shared" ca="1" si="36"/>
        <v/>
      </c>
      <c r="N114" s="77" t="str">
        <f t="shared" ca="1" si="37"/>
        <v/>
      </c>
      <c r="O114" s="137" t="str">
        <f t="shared" ca="1" si="38"/>
        <v/>
      </c>
    </row>
    <row r="115" spans="1:15" ht="16.5" customHeight="1">
      <c r="A115" s="153">
        <v>18</v>
      </c>
      <c r="B115" s="153" t="str">
        <f>TEXT(투자전략!$G$1+17, "[$-ko-KR]yyyy.mm.dd")</f>
        <v>2021.06.18</v>
      </c>
      <c r="C115" s="135" t="str">
        <f t="shared" ca="1" si="26"/>
        <v/>
      </c>
      <c r="D115" s="139" t="str">
        <f t="shared" ca="1" si="27"/>
        <v/>
      </c>
      <c r="E115" s="77" t="str">
        <f t="shared" ca="1" si="28"/>
        <v/>
      </c>
      <c r="F115" s="137" t="str">
        <f t="shared" ca="1" si="29"/>
        <v/>
      </c>
      <c r="G115" s="139" t="str">
        <f t="shared" ca="1" si="30"/>
        <v/>
      </c>
      <c r="H115" s="77" t="str">
        <f t="shared" ca="1" si="31"/>
        <v/>
      </c>
      <c r="I115" s="137" t="str">
        <f t="shared" ca="1" si="32"/>
        <v/>
      </c>
      <c r="J115" s="139" t="str">
        <f t="shared" ca="1" si="33"/>
        <v/>
      </c>
      <c r="K115" s="77" t="str">
        <f t="shared" ca="1" si="34"/>
        <v/>
      </c>
      <c r="L115" s="137" t="str">
        <f t="shared" ca="1" si="35"/>
        <v/>
      </c>
      <c r="M115" s="139" t="str">
        <f t="shared" ca="1" si="36"/>
        <v/>
      </c>
      <c r="N115" s="77" t="str">
        <f t="shared" ca="1" si="37"/>
        <v/>
      </c>
      <c r="O115" s="137" t="str">
        <f t="shared" ca="1" si="38"/>
        <v/>
      </c>
    </row>
    <row r="116" spans="1:15" ht="16.5" customHeight="1">
      <c r="A116" s="153">
        <v>19</v>
      </c>
      <c r="B116" s="153" t="str">
        <f>TEXT(투자전략!$G$1+18, "[$-ko-KR]yyyy.mm.dd")</f>
        <v>2021.06.19</v>
      </c>
      <c r="C116" s="135" t="str">
        <f t="shared" ca="1" si="26"/>
        <v/>
      </c>
      <c r="D116" s="139" t="str">
        <f t="shared" ca="1" si="27"/>
        <v/>
      </c>
      <c r="E116" s="77" t="str">
        <f t="shared" ca="1" si="28"/>
        <v/>
      </c>
      <c r="F116" s="137" t="str">
        <f t="shared" ca="1" si="29"/>
        <v/>
      </c>
      <c r="G116" s="139" t="str">
        <f t="shared" ca="1" si="30"/>
        <v/>
      </c>
      <c r="H116" s="77" t="str">
        <f t="shared" ca="1" si="31"/>
        <v/>
      </c>
      <c r="I116" s="137" t="str">
        <f t="shared" ca="1" si="32"/>
        <v/>
      </c>
      <c r="J116" s="139" t="str">
        <f t="shared" ca="1" si="33"/>
        <v/>
      </c>
      <c r="K116" s="77" t="str">
        <f t="shared" ca="1" si="34"/>
        <v/>
      </c>
      <c r="L116" s="137" t="str">
        <f t="shared" ca="1" si="35"/>
        <v/>
      </c>
      <c r="M116" s="139" t="str">
        <f t="shared" ca="1" si="36"/>
        <v/>
      </c>
      <c r="N116" s="77" t="str">
        <f t="shared" ca="1" si="37"/>
        <v/>
      </c>
      <c r="O116" s="137" t="str">
        <f t="shared" ca="1" si="38"/>
        <v/>
      </c>
    </row>
    <row r="117" spans="1:15" ht="16.5" customHeight="1">
      <c r="A117" s="153">
        <v>20</v>
      </c>
      <c r="B117" s="153" t="str">
        <f>TEXT(투자전략!$G$1+19, "[$-ko-KR]yyyy.mm.dd")</f>
        <v>2021.06.20</v>
      </c>
      <c r="C117" s="135" t="str">
        <f t="shared" ca="1" si="26"/>
        <v/>
      </c>
      <c r="D117" s="139" t="str">
        <f t="shared" ca="1" si="27"/>
        <v/>
      </c>
      <c r="E117" s="77" t="str">
        <f t="shared" ca="1" si="28"/>
        <v/>
      </c>
      <c r="F117" s="137" t="str">
        <f t="shared" ca="1" si="29"/>
        <v/>
      </c>
      <c r="G117" s="139" t="str">
        <f t="shared" ca="1" si="30"/>
        <v/>
      </c>
      <c r="H117" s="77" t="str">
        <f t="shared" ca="1" si="31"/>
        <v/>
      </c>
      <c r="I117" s="137" t="str">
        <f t="shared" ca="1" si="32"/>
        <v/>
      </c>
      <c r="J117" s="139" t="str">
        <f t="shared" ca="1" si="33"/>
        <v/>
      </c>
      <c r="K117" s="77" t="str">
        <f t="shared" ca="1" si="34"/>
        <v/>
      </c>
      <c r="L117" s="137" t="str">
        <f t="shared" ca="1" si="35"/>
        <v/>
      </c>
      <c r="M117" s="139" t="str">
        <f t="shared" ca="1" si="36"/>
        <v/>
      </c>
      <c r="N117" s="77" t="str">
        <f t="shared" ca="1" si="37"/>
        <v/>
      </c>
      <c r="O117" s="137" t="str">
        <f t="shared" ca="1" si="38"/>
        <v/>
      </c>
    </row>
    <row r="118" spans="1:15" ht="16.5" customHeight="1" thickBot="1">
      <c r="A118" s="155">
        <v>21</v>
      </c>
      <c r="B118" s="155" t="str">
        <f>TEXT(투자전략!$G$1+20, "[$-ko-KR]yyyy.mm.dd")</f>
        <v>2021.06.21</v>
      </c>
      <c r="C118" s="135" t="str">
        <f t="shared" ca="1" si="26"/>
        <v/>
      </c>
      <c r="D118" s="139" t="str">
        <f t="shared" ca="1" si="27"/>
        <v/>
      </c>
      <c r="E118" s="77" t="str">
        <f t="shared" ca="1" si="28"/>
        <v/>
      </c>
      <c r="F118" s="137" t="str">
        <f t="shared" ca="1" si="29"/>
        <v/>
      </c>
      <c r="G118" s="139" t="str">
        <f t="shared" ca="1" si="30"/>
        <v/>
      </c>
      <c r="H118" s="77" t="str">
        <f t="shared" ca="1" si="31"/>
        <v/>
      </c>
      <c r="I118" s="137" t="str">
        <f t="shared" ca="1" si="32"/>
        <v/>
      </c>
      <c r="J118" s="139" t="str">
        <f t="shared" ca="1" si="33"/>
        <v/>
      </c>
      <c r="K118" s="77" t="str">
        <f t="shared" ca="1" si="34"/>
        <v/>
      </c>
      <c r="L118" s="137" t="str">
        <f t="shared" ca="1" si="35"/>
        <v/>
      </c>
      <c r="M118" s="139" t="str">
        <f t="shared" ca="1" si="36"/>
        <v/>
      </c>
      <c r="N118" s="77" t="str">
        <f t="shared" ca="1" si="37"/>
        <v/>
      </c>
      <c r="O118" s="137" t="str">
        <f t="shared" ca="1" si="38"/>
        <v/>
      </c>
    </row>
    <row r="119" spans="1:15" ht="16.5" customHeight="1">
      <c r="A119" s="154">
        <v>22</v>
      </c>
      <c r="B119" s="154" t="str">
        <f>TEXT(투자전략!$G$1+21, "[$-ko-KR]yyyy.mm.dd")</f>
        <v>2021.06.22</v>
      </c>
      <c r="C119" s="134" t="str">
        <f t="shared" ca="1" si="26"/>
        <v/>
      </c>
      <c r="D119" s="142" t="str">
        <f t="shared" ca="1" si="27"/>
        <v/>
      </c>
      <c r="E119" s="76" t="str">
        <f t="shared" ca="1" si="28"/>
        <v/>
      </c>
      <c r="F119" s="141" t="str">
        <f t="shared" ca="1" si="29"/>
        <v/>
      </c>
      <c r="G119" s="142" t="str">
        <f t="shared" ca="1" si="30"/>
        <v/>
      </c>
      <c r="H119" s="76" t="str">
        <f t="shared" ca="1" si="31"/>
        <v/>
      </c>
      <c r="I119" s="141" t="str">
        <f t="shared" ca="1" si="32"/>
        <v/>
      </c>
      <c r="J119" s="142" t="str">
        <f t="shared" ca="1" si="33"/>
        <v/>
      </c>
      <c r="K119" s="76" t="str">
        <f t="shared" ca="1" si="34"/>
        <v/>
      </c>
      <c r="L119" s="141" t="str">
        <f t="shared" ca="1" si="35"/>
        <v/>
      </c>
      <c r="M119" s="142" t="str">
        <f t="shared" ca="1" si="36"/>
        <v/>
      </c>
      <c r="N119" s="76" t="str">
        <f t="shared" ca="1" si="37"/>
        <v/>
      </c>
      <c r="O119" s="141" t="str">
        <f t="shared" ca="1" si="38"/>
        <v/>
      </c>
    </row>
    <row r="120" spans="1:15" ht="16.5" customHeight="1">
      <c r="A120" s="153">
        <v>23</v>
      </c>
      <c r="B120" s="153" t="str">
        <f>TEXT(투자전략!$G$1+22, "[$-ko-KR]yyyy.mm.dd")</f>
        <v>2021.06.23</v>
      </c>
      <c r="C120" s="135" t="str">
        <f t="shared" ca="1" si="26"/>
        <v/>
      </c>
      <c r="D120" s="139" t="str">
        <f t="shared" ca="1" si="27"/>
        <v/>
      </c>
      <c r="E120" s="77" t="str">
        <f t="shared" ca="1" si="28"/>
        <v/>
      </c>
      <c r="F120" s="137" t="str">
        <f t="shared" ca="1" si="29"/>
        <v/>
      </c>
      <c r="G120" s="139" t="str">
        <f t="shared" ca="1" si="30"/>
        <v/>
      </c>
      <c r="H120" s="77" t="str">
        <f t="shared" ca="1" si="31"/>
        <v/>
      </c>
      <c r="I120" s="137" t="str">
        <f t="shared" ca="1" si="32"/>
        <v/>
      </c>
      <c r="J120" s="139" t="str">
        <f t="shared" ca="1" si="33"/>
        <v/>
      </c>
      <c r="K120" s="77" t="str">
        <f t="shared" ca="1" si="34"/>
        <v/>
      </c>
      <c r="L120" s="137" t="str">
        <f t="shared" ca="1" si="35"/>
        <v/>
      </c>
      <c r="M120" s="139" t="str">
        <f t="shared" ca="1" si="36"/>
        <v/>
      </c>
      <c r="N120" s="77" t="str">
        <f t="shared" ca="1" si="37"/>
        <v/>
      </c>
      <c r="O120" s="137" t="str">
        <f t="shared" ca="1" si="38"/>
        <v/>
      </c>
    </row>
    <row r="121" spans="1:15" ht="16.5" customHeight="1">
      <c r="A121" s="153">
        <v>24</v>
      </c>
      <c r="B121" s="153" t="str">
        <f>TEXT(투자전략!$G$1+23, "[$-ko-KR]yyyy.mm.dd")</f>
        <v>2021.06.24</v>
      </c>
      <c r="C121" s="135" t="str">
        <f t="shared" ca="1" si="26"/>
        <v/>
      </c>
      <c r="D121" s="139" t="str">
        <f t="shared" ca="1" si="27"/>
        <v/>
      </c>
      <c r="E121" s="77" t="str">
        <f t="shared" ca="1" si="28"/>
        <v/>
      </c>
      <c r="F121" s="137" t="str">
        <f t="shared" ca="1" si="29"/>
        <v/>
      </c>
      <c r="G121" s="139" t="str">
        <f t="shared" ca="1" si="30"/>
        <v/>
      </c>
      <c r="H121" s="77" t="str">
        <f t="shared" ca="1" si="31"/>
        <v/>
      </c>
      <c r="I121" s="137" t="str">
        <f t="shared" ca="1" si="32"/>
        <v/>
      </c>
      <c r="J121" s="139" t="str">
        <f t="shared" ca="1" si="33"/>
        <v/>
      </c>
      <c r="K121" s="77" t="str">
        <f t="shared" ca="1" si="34"/>
        <v/>
      </c>
      <c r="L121" s="137" t="str">
        <f t="shared" ca="1" si="35"/>
        <v/>
      </c>
      <c r="M121" s="139" t="str">
        <f t="shared" ca="1" si="36"/>
        <v/>
      </c>
      <c r="N121" s="77" t="str">
        <f t="shared" ca="1" si="37"/>
        <v/>
      </c>
      <c r="O121" s="137" t="str">
        <f t="shared" ca="1" si="38"/>
        <v/>
      </c>
    </row>
    <row r="122" spans="1:15" ht="16.5" customHeight="1">
      <c r="A122" s="153">
        <v>25</v>
      </c>
      <c r="B122" s="153" t="str">
        <f>TEXT(투자전략!$G$1+24, "[$-ko-KR]yyyy.mm.dd")</f>
        <v>2021.06.25</v>
      </c>
      <c r="C122" s="135" t="str">
        <f t="shared" ca="1" si="26"/>
        <v/>
      </c>
      <c r="D122" s="139" t="str">
        <f t="shared" ca="1" si="27"/>
        <v/>
      </c>
      <c r="E122" s="77" t="str">
        <f t="shared" ca="1" si="28"/>
        <v/>
      </c>
      <c r="F122" s="137" t="str">
        <f t="shared" ca="1" si="29"/>
        <v/>
      </c>
      <c r="G122" s="139" t="str">
        <f t="shared" ca="1" si="30"/>
        <v/>
      </c>
      <c r="H122" s="77" t="str">
        <f t="shared" ca="1" si="31"/>
        <v/>
      </c>
      <c r="I122" s="137" t="str">
        <f t="shared" ca="1" si="32"/>
        <v/>
      </c>
      <c r="J122" s="139" t="str">
        <f t="shared" ca="1" si="33"/>
        <v/>
      </c>
      <c r="K122" s="77" t="str">
        <f t="shared" ca="1" si="34"/>
        <v/>
      </c>
      <c r="L122" s="137" t="str">
        <f t="shared" ca="1" si="35"/>
        <v/>
      </c>
      <c r="M122" s="139" t="str">
        <f t="shared" ca="1" si="36"/>
        <v/>
      </c>
      <c r="N122" s="77" t="str">
        <f t="shared" ca="1" si="37"/>
        <v/>
      </c>
      <c r="O122" s="137" t="str">
        <f t="shared" ca="1" si="38"/>
        <v/>
      </c>
    </row>
    <row r="123" spans="1:15" ht="16.5" customHeight="1">
      <c r="A123" s="153">
        <v>26</v>
      </c>
      <c r="B123" s="153" t="str">
        <f>TEXT(투자전략!$G$1+25, "[$-ko-KR]yyyy.mm.dd")</f>
        <v>2021.06.26</v>
      </c>
      <c r="C123" s="135" t="str">
        <f t="shared" ca="1" si="26"/>
        <v/>
      </c>
      <c r="D123" s="139" t="str">
        <f t="shared" ca="1" si="27"/>
        <v/>
      </c>
      <c r="E123" s="77" t="str">
        <f t="shared" ca="1" si="28"/>
        <v/>
      </c>
      <c r="F123" s="137" t="str">
        <f t="shared" ca="1" si="29"/>
        <v/>
      </c>
      <c r="G123" s="139" t="str">
        <f t="shared" ca="1" si="30"/>
        <v/>
      </c>
      <c r="H123" s="77" t="str">
        <f t="shared" ca="1" si="31"/>
        <v/>
      </c>
      <c r="I123" s="137" t="str">
        <f t="shared" ca="1" si="32"/>
        <v/>
      </c>
      <c r="J123" s="139" t="str">
        <f t="shared" ca="1" si="33"/>
        <v/>
      </c>
      <c r="K123" s="77" t="str">
        <f t="shared" ca="1" si="34"/>
        <v/>
      </c>
      <c r="L123" s="137" t="str">
        <f t="shared" ca="1" si="35"/>
        <v/>
      </c>
      <c r="M123" s="139" t="str">
        <f t="shared" ca="1" si="36"/>
        <v/>
      </c>
      <c r="N123" s="77" t="str">
        <f t="shared" ca="1" si="37"/>
        <v/>
      </c>
      <c r="O123" s="137" t="str">
        <f t="shared" ca="1" si="38"/>
        <v/>
      </c>
    </row>
    <row r="124" spans="1:15" ht="16.5" customHeight="1">
      <c r="A124" s="153">
        <v>27</v>
      </c>
      <c r="B124" s="153" t="str">
        <f>TEXT(투자전략!$G$1+26, "[$-ko-KR]yyyy.mm.dd")</f>
        <v>2021.06.27</v>
      </c>
      <c r="C124" s="135" t="str">
        <f t="shared" ca="1" si="26"/>
        <v/>
      </c>
      <c r="D124" s="139" t="str">
        <f t="shared" ca="1" si="27"/>
        <v/>
      </c>
      <c r="E124" s="77" t="str">
        <f t="shared" ca="1" si="28"/>
        <v/>
      </c>
      <c r="F124" s="137" t="str">
        <f t="shared" ca="1" si="29"/>
        <v/>
      </c>
      <c r="G124" s="139" t="str">
        <f t="shared" ca="1" si="30"/>
        <v/>
      </c>
      <c r="H124" s="77" t="str">
        <f t="shared" ca="1" si="31"/>
        <v/>
      </c>
      <c r="I124" s="137" t="str">
        <f t="shared" ca="1" si="32"/>
        <v/>
      </c>
      <c r="J124" s="139" t="str">
        <f t="shared" ca="1" si="33"/>
        <v/>
      </c>
      <c r="K124" s="77" t="str">
        <f t="shared" ca="1" si="34"/>
        <v/>
      </c>
      <c r="L124" s="137" t="str">
        <f t="shared" ca="1" si="35"/>
        <v/>
      </c>
      <c r="M124" s="139" t="str">
        <f t="shared" ca="1" si="36"/>
        <v/>
      </c>
      <c r="N124" s="77" t="str">
        <f t="shared" ca="1" si="37"/>
        <v/>
      </c>
      <c r="O124" s="137" t="str">
        <f t="shared" ca="1" si="38"/>
        <v/>
      </c>
    </row>
    <row r="125" spans="1:15" ht="16.5" customHeight="1" thickBot="1">
      <c r="A125" s="155">
        <v>28</v>
      </c>
      <c r="B125" s="155" t="str">
        <f>TEXT(투자전략!$G$1+27, "[$-ko-KR]yyyy.mm.dd")</f>
        <v>2021.06.28</v>
      </c>
      <c r="C125" s="136" t="str">
        <f t="shared" ca="1" si="26"/>
        <v/>
      </c>
      <c r="D125" s="140" t="str">
        <f t="shared" ca="1" si="27"/>
        <v/>
      </c>
      <c r="E125" s="79" t="str">
        <f t="shared" ca="1" si="28"/>
        <v/>
      </c>
      <c r="F125" s="138" t="str">
        <f t="shared" ca="1" si="29"/>
        <v/>
      </c>
      <c r="G125" s="140" t="str">
        <f t="shared" ca="1" si="30"/>
        <v/>
      </c>
      <c r="H125" s="79" t="str">
        <f t="shared" ca="1" si="31"/>
        <v/>
      </c>
      <c r="I125" s="138" t="str">
        <f t="shared" ca="1" si="32"/>
        <v/>
      </c>
      <c r="J125" s="140" t="str">
        <f t="shared" ca="1" si="33"/>
        <v/>
      </c>
      <c r="K125" s="79" t="str">
        <f t="shared" ca="1" si="34"/>
        <v/>
      </c>
      <c r="L125" s="138" t="str">
        <f t="shared" ca="1" si="35"/>
        <v/>
      </c>
      <c r="M125" s="140" t="str">
        <f t="shared" ca="1" si="36"/>
        <v/>
      </c>
      <c r="N125" s="79" t="str">
        <f t="shared" ca="1" si="37"/>
        <v/>
      </c>
      <c r="O125" s="138" t="str">
        <f t="shared" ca="1" si="38"/>
        <v/>
      </c>
    </row>
    <row r="126" spans="1:15" ht="16.5" customHeight="1">
      <c r="A126" s="121">
        <v>29</v>
      </c>
      <c r="B126" s="154" t="str">
        <f>TEXT(투자전략!$G$1+28, "[$-ko-KR]yyyy.mm.dd")</f>
        <v>2021.06.29</v>
      </c>
      <c r="C126" s="135" t="str">
        <f t="shared" ca="1" si="26"/>
        <v/>
      </c>
      <c r="D126" s="139" t="str">
        <f t="shared" ca="1" si="27"/>
        <v/>
      </c>
      <c r="E126" s="77" t="str">
        <f t="shared" ca="1" si="28"/>
        <v/>
      </c>
      <c r="F126" s="137" t="str">
        <f t="shared" ca="1" si="29"/>
        <v/>
      </c>
      <c r="G126" s="139" t="str">
        <f t="shared" ca="1" si="30"/>
        <v/>
      </c>
      <c r="H126" s="77" t="str">
        <f t="shared" ca="1" si="31"/>
        <v/>
      </c>
      <c r="I126" s="137" t="str">
        <f t="shared" ca="1" si="32"/>
        <v/>
      </c>
      <c r="J126" s="139" t="str">
        <f t="shared" ca="1" si="33"/>
        <v/>
      </c>
      <c r="K126" s="77" t="str">
        <f t="shared" ca="1" si="34"/>
        <v/>
      </c>
      <c r="L126" s="137" t="str">
        <f t="shared" ca="1" si="35"/>
        <v/>
      </c>
      <c r="M126" s="139" t="str">
        <f t="shared" ca="1" si="36"/>
        <v/>
      </c>
      <c r="N126" s="77" t="str">
        <f t="shared" ca="1" si="37"/>
        <v/>
      </c>
      <c r="O126" s="137" t="str">
        <f t="shared" ca="1" si="38"/>
        <v/>
      </c>
    </row>
    <row r="127" spans="1:15" ht="16.5" customHeight="1">
      <c r="A127" s="121">
        <v>30</v>
      </c>
      <c r="B127" s="153" t="str">
        <f>TEXT(투자전략!$G$1+29, "[$-ko-KR]yyyy.mm.dd")</f>
        <v>2021.06.30</v>
      </c>
      <c r="C127" s="135" t="str">
        <f t="shared" ca="1" si="26"/>
        <v/>
      </c>
      <c r="D127" s="139" t="str">
        <f t="shared" ca="1" si="27"/>
        <v/>
      </c>
      <c r="E127" s="77" t="str">
        <f t="shared" ca="1" si="28"/>
        <v/>
      </c>
      <c r="F127" s="137" t="str">
        <f t="shared" ca="1" si="29"/>
        <v/>
      </c>
      <c r="G127" s="139" t="str">
        <f t="shared" ca="1" si="30"/>
        <v/>
      </c>
      <c r="H127" s="77" t="str">
        <f t="shared" ca="1" si="31"/>
        <v/>
      </c>
      <c r="I127" s="137" t="str">
        <f t="shared" ca="1" si="32"/>
        <v/>
      </c>
      <c r="J127" s="139" t="str">
        <f t="shared" ca="1" si="33"/>
        <v/>
      </c>
      <c r="K127" s="77" t="str">
        <f t="shared" ca="1" si="34"/>
        <v/>
      </c>
      <c r="L127" s="137" t="str">
        <f t="shared" ca="1" si="35"/>
        <v/>
      </c>
      <c r="M127" s="139" t="str">
        <f t="shared" ca="1" si="36"/>
        <v/>
      </c>
      <c r="N127" s="77" t="str">
        <f t="shared" ca="1" si="37"/>
        <v/>
      </c>
      <c r="O127" s="137" t="str">
        <f t="shared" ca="1" si="38"/>
        <v/>
      </c>
    </row>
    <row r="128" spans="1:15" ht="16.5" customHeight="1" thickBot="1">
      <c r="A128" s="121">
        <v>31</v>
      </c>
      <c r="B128" s="153" t="str">
        <f>TEXT(투자전략!$G$1+30, "[$-ko-KR]yyyy.mm.dd")</f>
        <v>2021.07.01</v>
      </c>
      <c r="C128" s="136" t="str">
        <f t="shared" ca="1" si="26"/>
        <v/>
      </c>
      <c r="D128" s="140" t="str">
        <f t="shared" ca="1" si="27"/>
        <v/>
      </c>
      <c r="E128" s="79" t="str">
        <f t="shared" ca="1" si="28"/>
        <v/>
      </c>
      <c r="F128" s="138" t="str">
        <f t="shared" ca="1" si="29"/>
        <v/>
      </c>
      <c r="G128" s="140" t="str">
        <f t="shared" ca="1" si="30"/>
        <v/>
      </c>
      <c r="H128" s="79" t="str">
        <f t="shared" ca="1" si="31"/>
        <v/>
      </c>
      <c r="I128" s="138" t="str">
        <f t="shared" ca="1" si="32"/>
        <v/>
      </c>
      <c r="J128" s="140" t="str">
        <f t="shared" ca="1" si="33"/>
        <v/>
      </c>
      <c r="K128" s="79" t="str">
        <f t="shared" ca="1" si="34"/>
        <v/>
      </c>
      <c r="L128" s="138" t="str">
        <f t="shared" ca="1" si="35"/>
        <v/>
      </c>
      <c r="M128" s="140" t="str">
        <f t="shared" ca="1" si="36"/>
        <v/>
      </c>
      <c r="N128" s="79" t="str">
        <f t="shared" ca="1" si="37"/>
        <v/>
      </c>
      <c r="O128" s="138" t="str">
        <f t="shared" ca="1" si="38"/>
        <v/>
      </c>
    </row>
    <row r="129" spans="1:15" ht="16.5" customHeight="1" thickBot="1">
      <c r="A129" s="211" t="s">
        <v>313</v>
      </c>
      <c r="B129" s="213"/>
      <c r="C129" s="132" t="s">
        <v>308</v>
      </c>
      <c r="D129" s="150" t="s">
        <v>309</v>
      </c>
      <c r="E129" s="151" t="s">
        <v>310</v>
      </c>
      <c r="F129" s="152" t="s">
        <v>311</v>
      </c>
      <c r="G129" s="150" t="s">
        <v>309</v>
      </c>
      <c r="H129" s="151" t="s">
        <v>310</v>
      </c>
      <c r="I129" s="152" t="s">
        <v>311</v>
      </c>
      <c r="J129" s="150" t="s">
        <v>309</v>
      </c>
      <c r="K129" s="151" t="s">
        <v>310</v>
      </c>
      <c r="L129" s="152" t="s">
        <v>311</v>
      </c>
      <c r="M129" s="150" t="s">
        <v>309</v>
      </c>
      <c r="N129" s="151" t="s">
        <v>310</v>
      </c>
      <c r="O129" s="152" t="s">
        <v>311</v>
      </c>
    </row>
    <row r="130" spans="1:15" ht="16.5" customHeight="1" thickBot="1">
      <c r="A130" s="204"/>
      <c r="B130" s="206"/>
      <c r="C130" s="136">
        <f ca="1">SUM(C98:C128)</f>
        <v>3000000</v>
      </c>
      <c r="D130" s="140">
        <f ca="1">SUM(D98:D128)</f>
        <v>3000000</v>
      </c>
      <c r="E130" s="79">
        <f ca="1">IFERROR(F130 / (SUM($C98:$C128) / COUNT($C98:$C128)), 0)</f>
        <v>0</v>
      </c>
      <c r="F130" s="138">
        <f ca="1">SUM(F98:F128)</f>
        <v>0</v>
      </c>
      <c r="G130" s="140">
        <f ca="1">SUM(G98:G128)</f>
        <v>3000000</v>
      </c>
      <c r="H130" s="79">
        <f ca="1">IFERROR(I130 / (SUM($C98:$C128) / COUNT($C98:$C128)), 0)</f>
        <v>0</v>
      </c>
      <c r="I130" s="138">
        <f ca="1">SUM(I98:I128)</f>
        <v>0</v>
      </c>
      <c r="J130" s="140">
        <f ca="1">SUM(J98:J128)</f>
        <v>3000000</v>
      </c>
      <c r="K130" s="79">
        <f ca="1">IFERROR(L130 / (SUM($C98:$C128) / COUNT($C98:$C128)), 0)</f>
        <v>0</v>
      </c>
      <c r="L130" s="138">
        <f ca="1">SUM(L98:L128)</f>
        <v>0</v>
      </c>
      <c r="M130" s="140">
        <f ca="1">SUM(M98:M128)</f>
        <v>3000000</v>
      </c>
      <c r="N130" s="79">
        <f ca="1">IFERROR(O130 / (SUM($C98:$C128) / COUNT($C98:$C128)), 0)</f>
        <v>0</v>
      </c>
      <c r="O130" s="138">
        <f ca="1">SUM(O98:O128)</f>
        <v>0</v>
      </c>
    </row>
    <row r="132" spans="1:15" ht="16.5" customHeight="1" thickBot="1"/>
    <row r="133" spans="1:15" ht="16.5" customHeight="1" thickBot="1">
      <c r="A133" s="183" t="str">
        <f>TEXT(투자전략!$G$1, "[$-ko-KR]yyyy년 mm월 ") &amp; "전일대비 상승률 Top20 월말결산"</f>
        <v>2021년 06월 전일대비 상승률 Top20 월말결산</v>
      </c>
      <c r="B133" s="184"/>
      <c r="C133" s="184"/>
      <c r="D133" s="184"/>
      <c r="E133" s="184"/>
      <c r="F133" s="184"/>
      <c r="G133" s="184"/>
      <c r="H133" s="184"/>
      <c r="I133" s="184"/>
      <c r="J133" s="184"/>
      <c r="K133" s="184"/>
      <c r="L133" s="184"/>
      <c r="M133" s="184"/>
      <c r="N133" s="184"/>
      <c r="O133" s="185"/>
    </row>
    <row r="134" spans="1:15" ht="16.5" customHeight="1" thickBot="1">
      <c r="A134" s="227" t="s">
        <v>314</v>
      </c>
      <c r="B134" s="204" t="s">
        <v>312</v>
      </c>
      <c r="C134" s="206"/>
      <c r="D134" s="204" t="s">
        <v>304</v>
      </c>
      <c r="E134" s="205"/>
      <c r="F134" s="206"/>
      <c r="G134" s="204" t="s">
        <v>305</v>
      </c>
      <c r="H134" s="205"/>
      <c r="I134" s="206"/>
      <c r="J134" s="204" t="s">
        <v>306</v>
      </c>
      <c r="K134" s="205"/>
      <c r="L134" s="206"/>
      <c r="M134" s="204" t="s">
        <v>307</v>
      </c>
      <c r="N134" s="205"/>
      <c r="O134" s="206"/>
    </row>
    <row r="135" spans="1:15" ht="16.5" customHeight="1" thickBot="1">
      <c r="A135" s="220"/>
      <c r="B135" s="154" t="s">
        <v>302</v>
      </c>
      <c r="C135" s="154" t="s">
        <v>42</v>
      </c>
      <c r="D135" s="121" t="s">
        <v>303</v>
      </c>
      <c r="E135" s="133" t="s">
        <v>40</v>
      </c>
      <c r="F135" s="156" t="s">
        <v>41</v>
      </c>
      <c r="G135" s="121" t="s">
        <v>303</v>
      </c>
      <c r="H135" s="133" t="s">
        <v>40</v>
      </c>
      <c r="I135" s="156" t="s">
        <v>41</v>
      </c>
      <c r="J135" s="121" t="s">
        <v>303</v>
      </c>
      <c r="K135" s="133" t="s">
        <v>40</v>
      </c>
      <c r="L135" s="156" t="s">
        <v>41</v>
      </c>
      <c r="M135" s="121" t="s">
        <v>303</v>
      </c>
      <c r="N135" s="133" t="s">
        <v>40</v>
      </c>
      <c r="O135" s="156" t="s">
        <v>41</v>
      </c>
    </row>
    <row r="136" spans="1:15" ht="16.5" customHeight="1">
      <c r="A136" s="154">
        <v>1</v>
      </c>
      <c r="B136" s="154" t="str">
        <f>TEXT(투자전략!$G$1+0, "[$-ko-KR]yyyy.mm.dd")</f>
        <v>2021.06.01</v>
      </c>
      <c r="C136" s="134">
        <f ca="1">IFERROR(COUNTA(INDIRECT($B136&amp;"!A98:A117")) * INDIRECT($B136&amp;"!B118"), "")</f>
        <v>3000000</v>
      </c>
      <c r="D136" s="142">
        <f ca="1">IFERROR($C136 * (1 + E136), "")</f>
        <v>3000000</v>
      </c>
      <c r="E136" s="76">
        <f ca="1">IFERROR(INDIRECT($B136&amp;"!E118"), "")</f>
        <v>0</v>
      </c>
      <c r="F136" s="141">
        <f ca="1">IFERROR(INDIRECT($B136&amp;"!F118"), "")</f>
        <v>0</v>
      </c>
      <c r="G136" s="142">
        <f ca="1">IFERROR($C136 * (1 + H136), "")</f>
        <v>3000000</v>
      </c>
      <c r="H136" s="76">
        <f ca="1">IFERROR(INDIRECT($B136&amp;"!H118"), "")</f>
        <v>0</v>
      </c>
      <c r="I136" s="141">
        <f ca="1">IFERROR(INDIRECT($B136&amp;"!I118"), "")</f>
        <v>0</v>
      </c>
      <c r="J136" s="142">
        <f ca="1">IFERROR($C136 * (1 + K136), "")</f>
        <v>3000000</v>
      </c>
      <c r="K136" s="76">
        <f ca="1">IFERROR(INDIRECT($B136&amp;"!K118"), "")</f>
        <v>0</v>
      </c>
      <c r="L136" s="141">
        <f ca="1">IFERROR(INDIRECT($B136&amp;"!L118"), "")</f>
        <v>0</v>
      </c>
      <c r="M136" s="142">
        <f ca="1">IFERROR($C136 * (1 + N136), "")</f>
        <v>3000000</v>
      </c>
      <c r="N136" s="76">
        <f ca="1">IFERROR(INDIRECT($B136&amp;"!N118"), "")</f>
        <v>0</v>
      </c>
      <c r="O136" s="141">
        <f ca="1">IFERROR(INDIRECT($B136&amp;"!O118"), "")</f>
        <v>0</v>
      </c>
    </row>
    <row r="137" spans="1:15" ht="16.5" customHeight="1">
      <c r="A137" s="153">
        <v>2</v>
      </c>
      <c r="B137" s="153" t="str">
        <f>TEXT(투자전략!$G$1+1, "[$-ko-KR]yyyy.mm.dd")</f>
        <v>2021.06.02</v>
      </c>
      <c r="C137" s="135" t="str">
        <f t="shared" ref="C137:C166" ca="1" si="39">IFERROR(COUNTA(INDIRECT($B137&amp;"!A98:A117")) * INDIRECT($B137&amp;"!B118"), "")</f>
        <v/>
      </c>
      <c r="D137" s="139" t="str">
        <f t="shared" ref="D137:D166" ca="1" si="40">IFERROR($C137 * (1 + E137), "")</f>
        <v/>
      </c>
      <c r="E137" s="77" t="str">
        <f t="shared" ref="E137:E166" ca="1" si="41">IFERROR(INDIRECT($B137&amp;"!E118"), "")</f>
        <v/>
      </c>
      <c r="F137" s="137" t="str">
        <f t="shared" ref="F137:F166" ca="1" si="42">IFERROR(INDIRECT($B137&amp;"!F118"), "")</f>
        <v/>
      </c>
      <c r="G137" s="139" t="str">
        <f t="shared" ref="G137:G166" ca="1" si="43">IFERROR($C137 * (1 + H137), "")</f>
        <v/>
      </c>
      <c r="H137" s="77" t="str">
        <f t="shared" ref="H137:H166" ca="1" si="44">IFERROR(INDIRECT($B137&amp;"!H118"), "")</f>
        <v/>
      </c>
      <c r="I137" s="137" t="str">
        <f t="shared" ref="I137:I166" ca="1" si="45">IFERROR(INDIRECT($B137&amp;"!I118"), "")</f>
        <v/>
      </c>
      <c r="J137" s="139" t="str">
        <f t="shared" ref="J137:J166" ca="1" si="46">IFERROR($C137 * (1 + K137), "")</f>
        <v/>
      </c>
      <c r="K137" s="77" t="str">
        <f t="shared" ref="K137:K166" ca="1" si="47">IFERROR(INDIRECT($B137&amp;"!K118"), "")</f>
        <v/>
      </c>
      <c r="L137" s="137" t="str">
        <f t="shared" ref="L137:L166" ca="1" si="48">IFERROR(INDIRECT($B137&amp;"!L118"), "")</f>
        <v/>
      </c>
      <c r="M137" s="139" t="str">
        <f t="shared" ref="M137:M166" ca="1" si="49">IFERROR($C137 * (1 + N137), "")</f>
        <v/>
      </c>
      <c r="N137" s="77" t="str">
        <f t="shared" ref="N137:N166" ca="1" si="50">IFERROR(INDIRECT($B137&amp;"!N118"), "")</f>
        <v/>
      </c>
      <c r="O137" s="137" t="str">
        <f t="shared" ref="O137:O166" ca="1" si="51">IFERROR(INDIRECT($B137&amp;"!O118"), "")</f>
        <v/>
      </c>
    </row>
    <row r="138" spans="1:15" ht="16.5" customHeight="1">
      <c r="A138" s="153">
        <v>3</v>
      </c>
      <c r="B138" s="153" t="str">
        <f>TEXT(투자전략!$G$1+2, "[$-ko-KR]yyyy.mm.dd")</f>
        <v>2021.06.03</v>
      </c>
      <c r="C138" s="135" t="str">
        <f t="shared" ca="1" si="39"/>
        <v/>
      </c>
      <c r="D138" s="139" t="str">
        <f t="shared" ca="1" si="40"/>
        <v/>
      </c>
      <c r="E138" s="77" t="str">
        <f t="shared" ca="1" si="41"/>
        <v/>
      </c>
      <c r="F138" s="137" t="str">
        <f t="shared" ca="1" si="42"/>
        <v/>
      </c>
      <c r="G138" s="139" t="str">
        <f t="shared" ca="1" si="43"/>
        <v/>
      </c>
      <c r="H138" s="77" t="str">
        <f t="shared" ca="1" si="44"/>
        <v/>
      </c>
      <c r="I138" s="137" t="str">
        <f t="shared" ca="1" si="45"/>
        <v/>
      </c>
      <c r="J138" s="139" t="str">
        <f t="shared" ca="1" si="46"/>
        <v/>
      </c>
      <c r="K138" s="77" t="str">
        <f t="shared" ca="1" si="47"/>
        <v/>
      </c>
      <c r="L138" s="137" t="str">
        <f t="shared" ca="1" si="48"/>
        <v/>
      </c>
      <c r="M138" s="139" t="str">
        <f t="shared" ca="1" si="49"/>
        <v/>
      </c>
      <c r="N138" s="77" t="str">
        <f t="shared" ca="1" si="50"/>
        <v/>
      </c>
      <c r="O138" s="137" t="str">
        <f t="shared" ca="1" si="51"/>
        <v/>
      </c>
    </row>
    <row r="139" spans="1:15" ht="16.5" customHeight="1">
      <c r="A139" s="153">
        <v>4</v>
      </c>
      <c r="B139" s="153" t="str">
        <f>TEXT(투자전략!$G$1+3, "[$-ko-KR]yyyy.mm.dd")</f>
        <v>2021.06.04</v>
      </c>
      <c r="C139" s="135" t="str">
        <f t="shared" ca="1" si="39"/>
        <v/>
      </c>
      <c r="D139" s="139" t="str">
        <f t="shared" ca="1" si="40"/>
        <v/>
      </c>
      <c r="E139" s="77" t="str">
        <f t="shared" ca="1" si="41"/>
        <v/>
      </c>
      <c r="F139" s="137" t="str">
        <f t="shared" ca="1" si="42"/>
        <v/>
      </c>
      <c r="G139" s="139" t="str">
        <f t="shared" ca="1" si="43"/>
        <v/>
      </c>
      <c r="H139" s="77" t="str">
        <f t="shared" ca="1" si="44"/>
        <v/>
      </c>
      <c r="I139" s="137" t="str">
        <f t="shared" ca="1" si="45"/>
        <v/>
      </c>
      <c r="J139" s="139" t="str">
        <f t="shared" ca="1" si="46"/>
        <v/>
      </c>
      <c r="K139" s="77" t="str">
        <f t="shared" ca="1" si="47"/>
        <v/>
      </c>
      <c r="L139" s="137" t="str">
        <f t="shared" ca="1" si="48"/>
        <v/>
      </c>
      <c r="M139" s="139" t="str">
        <f t="shared" ca="1" si="49"/>
        <v/>
      </c>
      <c r="N139" s="77" t="str">
        <f t="shared" ca="1" si="50"/>
        <v/>
      </c>
      <c r="O139" s="137" t="str">
        <f t="shared" ca="1" si="51"/>
        <v/>
      </c>
    </row>
    <row r="140" spans="1:15" ht="16.5" customHeight="1">
      <c r="A140" s="153">
        <v>5</v>
      </c>
      <c r="B140" s="153" t="str">
        <f>TEXT(투자전략!$G$1+4, "[$-ko-KR]yyyy.mm.dd")</f>
        <v>2021.06.05</v>
      </c>
      <c r="C140" s="135" t="str">
        <f t="shared" ca="1" si="39"/>
        <v/>
      </c>
      <c r="D140" s="139" t="str">
        <f t="shared" ca="1" si="40"/>
        <v/>
      </c>
      <c r="E140" s="77" t="str">
        <f t="shared" ca="1" si="41"/>
        <v/>
      </c>
      <c r="F140" s="137" t="str">
        <f t="shared" ca="1" si="42"/>
        <v/>
      </c>
      <c r="G140" s="139" t="str">
        <f t="shared" ca="1" si="43"/>
        <v/>
      </c>
      <c r="H140" s="77" t="str">
        <f t="shared" ca="1" si="44"/>
        <v/>
      </c>
      <c r="I140" s="137" t="str">
        <f t="shared" ca="1" si="45"/>
        <v/>
      </c>
      <c r="J140" s="139" t="str">
        <f t="shared" ca="1" si="46"/>
        <v/>
      </c>
      <c r="K140" s="77" t="str">
        <f t="shared" ca="1" si="47"/>
        <v/>
      </c>
      <c r="L140" s="137" t="str">
        <f t="shared" ca="1" si="48"/>
        <v/>
      </c>
      <c r="M140" s="139" t="str">
        <f t="shared" ca="1" si="49"/>
        <v/>
      </c>
      <c r="N140" s="77" t="str">
        <f t="shared" ca="1" si="50"/>
        <v/>
      </c>
      <c r="O140" s="137" t="str">
        <f t="shared" ca="1" si="51"/>
        <v/>
      </c>
    </row>
    <row r="141" spans="1:15" ht="16.5" customHeight="1">
      <c r="A141" s="153">
        <v>6</v>
      </c>
      <c r="B141" s="153" t="str">
        <f>TEXT(투자전략!$G$1+5, "[$-ko-KR]yyyy.mm.dd")</f>
        <v>2021.06.06</v>
      </c>
      <c r="C141" s="135" t="str">
        <f t="shared" ca="1" si="39"/>
        <v/>
      </c>
      <c r="D141" s="139" t="str">
        <f t="shared" ca="1" si="40"/>
        <v/>
      </c>
      <c r="E141" s="77" t="str">
        <f t="shared" ca="1" si="41"/>
        <v/>
      </c>
      <c r="F141" s="137" t="str">
        <f t="shared" ca="1" si="42"/>
        <v/>
      </c>
      <c r="G141" s="139" t="str">
        <f t="shared" ca="1" si="43"/>
        <v/>
      </c>
      <c r="H141" s="77" t="str">
        <f t="shared" ca="1" si="44"/>
        <v/>
      </c>
      <c r="I141" s="137" t="str">
        <f t="shared" ca="1" si="45"/>
        <v/>
      </c>
      <c r="J141" s="139" t="str">
        <f t="shared" ca="1" si="46"/>
        <v/>
      </c>
      <c r="K141" s="77" t="str">
        <f t="shared" ca="1" si="47"/>
        <v/>
      </c>
      <c r="L141" s="137" t="str">
        <f t="shared" ca="1" si="48"/>
        <v/>
      </c>
      <c r="M141" s="139" t="str">
        <f t="shared" ca="1" si="49"/>
        <v/>
      </c>
      <c r="N141" s="77" t="str">
        <f t="shared" ca="1" si="50"/>
        <v/>
      </c>
      <c r="O141" s="137" t="str">
        <f t="shared" ca="1" si="51"/>
        <v/>
      </c>
    </row>
    <row r="142" spans="1:15" ht="16.5" customHeight="1" thickBot="1">
      <c r="A142" s="155">
        <v>7</v>
      </c>
      <c r="B142" s="155" t="str">
        <f>TEXT(투자전략!$G$1+6, "[$-ko-KR]yyyy.mm.dd")</f>
        <v>2021.06.07</v>
      </c>
      <c r="C142" s="135" t="str">
        <f t="shared" ca="1" si="39"/>
        <v/>
      </c>
      <c r="D142" s="139" t="str">
        <f t="shared" ca="1" si="40"/>
        <v/>
      </c>
      <c r="E142" s="77" t="str">
        <f t="shared" ca="1" si="41"/>
        <v/>
      </c>
      <c r="F142" s="137" t="str">
        <f t="shared" ca="1" si="42"/>
        <v/>
      </c>
      <c r="G142" s="139" t="str">
        <f t="shared" ca="1" si="43"/>
        <v/>
      </c>
      <c r="H142" s="77" t="str">
        <f t="shared" ca="1" si="44"/>
        <v/>
      </c>
      <c r="I142" s="137" t="str">
        <f t="shared" ca="1" si="45"/>
        <v/>
      </c>
      <c r="J142" s="139" t="str">
        <f t="shared" ca="1" si="46"/>
        <v/>
      </c>
      <c r="K142" s="77" t="str">
        <f t="shared" ca="1" si="47"/>
        <v/>
      </c>
      <c r="L142" s="137" t="str">
        <f t="shared" ca="1" si="48"/>
        <v/>
      </c>
      <c r="M142" s="139" t="str">
        <f t="shared" ca="1" si="49"/>
        <v/>
      </c>
      <c r="N142" s="77" t="str">
        <f t="shared" ca="1" si="50"/>
        <v/>
      </c>
      <c r="O142" s="137" t="str">
        <f t="shared" ca="1" si="51"/>
        <v/>
      </c>
    </row>
    <row r="143" spans="1:15" ht="16.5" customHeight="1">
      <c r="A143" s="154">
        <v>8</v>
      </c>
      <c r="B143" s="154" t="str">
        <f>TEXT(투자전략!$G$1+7, "[$-ko-KR]yyyy.mm.dd")</f>
        <v>2021.06.08</v>
      </c>
      <c r="C143" s="134" t="str">
        <f t="shared" ca="1" si="39"/>
        <v/>
      </c>
      <c r="D143" s="142" t="str">
        <f t="shared" ca="1" si="40"/>
        <v/>
      </c>
      <c r="E143" s="76" t="str">
        <f t="shared" ca="1" si="41"/>
        <v/>
      </c>
      <c r="F143" s="141" t="str">
        <f t="shared" ca="1" si="42"/>
        <v/>
      </c>
      <c r="G143" s="142" t="str">
        <f t="shared" ca="1" si="43"/>
        <v/>
      </c>
      <c r="H143" s="76" t="str">
        <f t="shared" ca="1" si="44"/>
        <v/>
      </c>
      <c r="I143" s="141" t="str">
        <f t="shared" ca="1" si="45"/>
        <v/>
      </c>
      <c r="J143" s="142" t="str">
        <f t="shared" ca="1" si="46"/>
        <v/>
      </c>
      <c r="K143" s="76" t="str">
        <f t="shared" ca="1" si="47"/>
        <v/>
      </c>
      <c r="L143" s="141" t="str">
        <f t="shared" ca="1" si="48"/>
        <v/>
      </c>
      <c r="M143" s="142" t="str">
        <f t="shared" ca="1" si="49"/>
        <v/>
      </c>
      <c r="N143" s="76" t="str">
        <f t="shared" ca="1" si="50"/>
        <v/>
      </c>
      <c r="O143" s="141" t="str">
        <f t="shared" ca="1" si="51"/>
        <v/>
      </c>
    </row>
    <row r="144" spans="1:15" ht="16.5" customHeight="1">
      <c r="A144" s="153">
        <v>9</v>
      </c>
      <c r="B144" s="153" t="str">
        <f>TEXT(투자전략!$G$1+8, "[$-ko-KR]yyyy.mm.dd")</f>
        <v>2021.06.09</v>
      </c>
      <c r="C144" s="135" t="str">
        <f t="shared" ca="1" si="39"/>
        <v/>
      </c>
      <c r="D144" s="139" t="str">
        <f t="shared" ca="1" si="40"/>
        <v/>
      </c>
      <c r="E144" s="77" t="str">
        <f t="shared" ca="1" si="41"/>
        <v/>
      </c>
      <c r="F144" s="137" t="str">
        <f t="shared" ca="1" si="42"/>
        <v/>
      </c>
      <c r="G144" s="139" t="str">
        <f t="shared" ca="1" si="43"/>
        <v/>
      </c>
      <c r="H144" s="77" t="str">
        <f t="shared" ca="1" si="44"/>
        <v/>
      </c>
      <c r="I144" s="137" t="str">
        <f t="shared" ca="1" si="45"/>
        <v/>
      </c>
      <c r="J144" s="139" t="str">
        <f t="shared" ca="1" si="46"/>
        <v/>
      </c>
      <c r="K144" s="77" t="str">
        <f t="shared" ca="1" si="47"/>
        <v/>
      </c>
      <c r="L144" s="137" t="str">
        <f t="shared" ca="1" si="48"/>
        <v/>
      </c>
      <c r="M144" s="139" t="str">
        <f t="shared" ca="1" si="49"/>
        <v/>
      </c>
      <c r="N144" s="77" t="str">
        <f t="shared" ca="1" si="50"/>
        <v/>
      </c>
      <c r="O144" s="137" t="str">
        <f t="shared" ca="1" si="51"/>
        <v/>
      </c>
    </row>
    <row r="145" spans="1:15" ht="16.5" customHeight="1">
      <c r="A145" s="153">
        <v>10</v>
      </c>
      <c r="B145" s="153" t="str">
        <f>TEXT(투자전략!$G$1+9, "[$-ko-KR]yyyy.mm.dd")</f>
        <v>2021.06.10</v>
      </c>
      <c r="C145" s="135" t="str">
        <f t="shared" ca="1" si="39"/>
        <v/>
      </c>
      <c r="D145" s="139" t="str">
        <f t="shared" ca="1" si="40"/>
        <v/>
      </c>
      <c r="E145" s="77" t="str">
        <f t="shared" ca="1" si="41"/>
        <v/>
      </c>
      <c r="F145" s="137" t="str">
        <f t="shared" ca="1" si="42"/>
        <v/>
      </c>
      <c r="G145" s="139" t="str">
        <f t="shared" ca="1" si="43"/>
        <v/>
      </c>
      <c r="H145" s="77" t="str">
        <f t="shared" ca="1" si="44"/>
        <v/>
      </c>
      <c r="I145" s="137" t="str">
        <f t="shared" ca="1" si="45"/>
        <v/>
      </c>
      <c r="J145" s="139" t="str">
        <f t="shared" ca="1" si="46"/>
        <v/>
      </c>
      <c r="K145" s="77" t="str">
        <f t="shared" ca="1" si="47"/>
        <v/>
      </c>
      <c r="L145" s="137" t="str">
        <f t="shared" ca="1" si="48"/>
        <v/>
      </c>
      <c r="M145" s="139" t="str">
        <f t="shared" ca="1" si="49"/>
        <v/>
      </c>
      <c r="N145" s="77" t="str">
        <f t="shared" ca="1" si="50"/>
        <v/>
      </c>
      <c r="O145" s="137" t="str">
        <f t="shared" ca="1" si="51"/>
        <v/>
      </c>
    </row>
    <row r="146" spans="1:15" ht="16.5" customHeight="1">
      <c r="A146" s="153">
        <v>11</v>
      </c>
      <c r="B146" s="153" t="str">
        <f>TEXT(투자전략!$G$1+10, "[$-ko-KR]yyyy.mm.dd")</f>
        <v>2021.06.11</v>
      </c>
      <c r="C146" s="135" t="str">
        <f t="shared" ca="1" si="39"/>
        <v/>
      </c>
      <c r="D146" s="139" t="str">
        <f t="shared" ca="1" si="40"/>
        <v/>
      </c>
      <c r="E146" s="77" t="str">
        <f t="shared" ca="1" si="41"/>
        <v/>
      </c>
      <c r="F146" s="137" t="str">
        <f t="shared" ca="1" si="42"/>
        <v/>
      </c>
      <c r="G146" s="139" t="str">
        <f t="shared" ca="1" si="43"/>
        <v/>
      </c>
      <c r="H146" s="77" t="str">
        <f t="shared" ca="1" si="44"/>
        <v/>
      </c>
      <c r="I146" s="137" t="str">
        <f t="shared" ca="1" si="45"/>
        <v/>
      </c>
      <c r="J146" s="139" t="str">
        <f t="shared" ca="1" si="46"/>
        <v/>
      </c>
      <c r="K146" s="77" t="str">
        <f t="shared" ca="1" si="47"/>
        <v/>
      </c>
      <c r="L146" s="137" t="str">
        <f t="shared" ca="1" si="48"/>
        <v/>
      </c>
      <c r="M146" s="139" t="str">
        <f t="shared" ca="1" si="49"/>
        <v/>
      </c>
      <c r="N146" s="77" t="str">
        <f t="shared" ca="1" si="50"/>
        <v/>
      </c>
      <c r="O146" s="137" t="str">
        <f t="shared" ca="1" si="51"/>
        <v/>
      </c>
    </row>
    <row r="147" spans="1:15" ht="16.5" customHeight="1">
      <c r="A147" s="153">
        <v>12</v>
      </c>
      <c r="B147" s="153" t="str">
        <f>TEXT(투자전략!$G$1+11, "[$-ko-KR]yyyy.mm.dd")</f>
        <v>2021.06.12</v>
      </c>
      <c r="C147" s="135" t="str">
        <f t="shared" ca="1" si="39"/>
        <v/>
      </c>
      <c r="D147" s="139" t="str">
        <f t="shared" ca="1" si="40"/>
        <v/>
      </c>
      <c r="E147" s="77" t="str">
        <f t="shared" ca="1" si="41"/>
        <v/>
      </c>
      <c r="F147" s="137" t="str">
        <f t="shared" ca="1" si="42"/>
        <v/>
      </c>
      <c r="G147" s="139" t="str">
        <f t="shared" ca="1" si="43"/>
        <v/>
      </c>
      <c r="H147" s="77" t="str">
        <f t="shared" ca="1" si="44"/>
        <v/>
      </c>
      <c r="I147" s="137" t="str">
        <f t="shared" ca="1" si="45"/>
        <v/>
      </c>
      <c r="J147" s="139" t="str">
        <f t="shared" ca="1" si="46"/>
        <v/>
      </c>
      <c r="K147" s="77" t="str">
        <f t="shared" ca="1" si="47"/>
        <v/>
      </c>
      <c r="L147" s="137" t="str">
        <f t="shared" ca="1" si="48"/>
        <v/>
      </c>
      <c r="M147" s="139" t="str">
        <f t="shared" ca="1" si="49"/>
        <v/>
      </c>
      <c r="N147" s="77" t="str">
        <f t="shared" ca="1" si="50"/>
        <v/>
      </c>
      <c r="O147" s="137" t="str">
        <f t="shared" ca="1" si="51"/>
        <v/>
      </c>
    </row>
    <row r="148" spans="1:15" ht="16.5" customHeight="1">
      <c r="A148" s="153">
        <v>13</v>
      </c>
      <c r="B148" s="153" t="str">
        <f>TEXT(투자전략!$G$1+12, "[$-ko-KR]yyyy.mm.dd")</f>
        <v>2021.06.13</v>
      </c>
      <c r="C148" s="135" t="str">
        <f t="shared" ca="1" si="39"/>
        <v/>
      </c>
      <c r="D148" s="139" t="str">
        <f t="shared" ca="1" si="40"/>
        <v/>
      </c>
      <c r="E148" s="77" t="str">
        <f t="shared" ca="1" si="41"/>
        <v/>
      </c>
      <c r="F148" s="137" t="str">
        <f t="shared" ca="1" si="42"/>
        <v/>
      </c>
      <c r="G148" s="139" t="str">
        <f t="shared" ca="1" si="43"/>
        <v/>
      </c>
      <c r="H148" s="77" t="str">
        <f t="shared" ca="1" si="44"/>
        <v/>
      </c>
      <c r="I148" s="137" t="str">
        <f t="shared" ca="1" si="45"/>
        <v/>
      </c>
      <c r="J148" s="139" t="str">
        <f t="shared" ca="1" si="46"/>
        <v/>
      </c>
      <c r="K148" s="77" t="str">
        <f t="shared" ca="1" si="47"/>
        <v/>
      </c>
      <c r="L148" s="137" t="str">
        <f t="shared" ca="1" si="48"/>
        <v/>
      </c>
      <c r="M148" s="139" t="str">
        <f t="shared" ca="1" si="49"/>
        <v/>
      </c>
      <c r="N148" s="77" t="str">
        <f t="shared" ca="1" si="50"/>
        <v/>
      </c>
      <c r="O148" s="137" t="str">
        <f t="shared" ca="1" si="51"/>
        <v/>
      </c>
    </row>
    <row r="149" spans="1:15" ht="16.5" customHeight="1" thickBot="1">
      <c r="A149" s="155">
        <v>14</v>
      </c>
      <c r="B149" s="155" t="str">
        <f>TEXT(투자전략!$G$1+13, "[$-ko-KR]yyyy.mm.dd")</f>
        <v>2021.06.14</v>
      </c>
      <c r="C149" s="136" t="str">
        <f t="shared" ca="1" si="39"/>
        <v/>
      </c>
      <c r="D149" s="140" t="str">
        <f t="shared" ca="1" si="40"/>
        <v/>
      </c>
      <c r="E149" s="79" t="str">
        <f t="shared" ca="1" si="41"/>
        <v/>
      </c>
      <c r="F149" s="138" t="str">
        <f t="shared" ca="1" si="42"/>
        <v/>
      </c>
      <c r="G149" s="140" t="str">
        <f t="shared" ca="1" si="43"/>
        <v/>
      </c>
      <c r="H149" s="79" t="str">
        <f t="shared" ca="1" si="44"/>
        <v/>
      </c>
      <c r="I149" s="138" t="str">
        <f t="shared" ca="1" si="45"/>
        <v/>
      </c>
      <c r="J149" s="140" t="str">
        <f t="shared" ca="1" si="46"/>
        <v/>
      </c>
      <c r="K149" s="79" t="str">
        <f t="shared" ca="1" si="47"/>
        <v/>
      </c>
      <c r="L149" s="138" t="str">
        <f t="shared" ca="1" si="48"/>
        <v/>
      </c>
      <c r="M149" s="140" t="str">
        <f t="shared" ca="1" si="49"/>
        <v/>
      </c>
      <c r="N149" s="79" t="str">
        <f t="shared" ca="1" si="50"/>
        <v/>
      </c>
      <c r="O149" s="138" t="str">
        <f t="shared" ca="1" si="51"/>
        <v/>
      </c>
    </row>
    <row r="150" spans="1:15" ht="16.5" customHeight="1">
      <c r="A150" s="154">
        <v>15</v>
      </c>
      <c r="B150" s="154" t="str">
        <f>TEXT(투자전략!$G$1+14, "[$-ko-KR]yyyy.mm.dd")</f>
        <v>2021.06.15</v>
      </c>
      <c r="C150" s="135" t="str">
        <f t="shared" ca="1" si="39"/>
        <v/>
      </c>
      <c r="D150" s="139" t="str">
        <f t="shared" ca="1" si="40"/>
        <v/>
      </c>
      <c r="E150" s="77" t="str">
        <f t="shared" ca="1" si="41"/>
        <v/>
      </c>
      <c r="F150" s="137" t="str">
        <f t="shared" ca="1" si="42"/>
        <v/>
      </c>
      <c r="G150" s="139" t="str">
        <f t="shared" ca="1" si="43"/>
        <v/>
      </c>
      <c r="H150" s="77" t="str">
        <f t="shared" ca="1" si="44"/>
        <v/>
      </c>
      <c r="I150" s="137" t="str">
        <f t="shared" ca="1" si="45"/>
        <v/>
      </c>
      <c r="J150" s="139" t="str">
        <f t="shared" ca="1" si="46"/>
        <v/>
      </c>
      <c r="K150" s="77" t="str">
        <f t="shared" ca="1" si="47"/>
        <v/>
      </c>
      <c r="L150" s="137" t="str">
        <f t="shared" ca="1" si="48"/>
        <v/>
      </c>
      <c r="M150" s="139" t="str">
        <f t="shared" ca="1" si="49"/>
        <v/>
      </c>
      <c r="N150" s="77" t="str">
        <f t="shared" ca="1" si="50"/>
        <v/>
      </c>
      <c r="O150" s="137" t="str">
        <f t="shared" ca="1" si="51"/>
        <v/>
      </c>
    </row>
    <row r="151" spans="1:15" ht="16.5" customHeight="1">
      <c r="A151" s="153">
        <v>16</v>
      </c>
      <c r="B151" s="153" t="str">
        <f>TEXT(투자전략!$G$1+15, "[$-ko-KR]yyyy.mm.dd")</f>
        <v>2021.06.16</v>
      </c>
      <c r="C151" s="135" t="str">
        <f t="shared" ca="1" si="39"/>
        <v/>
      </c>
      <c r="D151" s="139" t="str">
        <f t="shared" ca="1" si="40"/>
        <v/>
      </c>
      <c r="E151" s="77" t="str">
        <f t="shared" ca="1" si="41"/>
        <v/>
      </c>
      <c r="F151" s="137" t="str">
        <f t="shared" ca="1" si="42"/>
        <v/>
      </c>
      <c r="G151" s="139" t="str">
        <f t="shared" ca="1" si="43"/>
        <v/>
      </c>
      <c r="H151" s="77" t="str">
        <f t="shared" ca="1" si="44"/>
        <v/>
      </c>
      <c r="I151" s="137" t="str">
        <f t="shared" ca="1" si="45"/>
        <v/>
      </c>
      <c r="J151" s="139" t="str">
        <f t="shared" ca="1" si="46"/>
        <v/>
      </c>
      <c r="K151" s="77" t="str">
        <f t="shared" ca="1" si="47"/>
        <v/>
      </c>
      <c r="L151" s="137" t="str">
        <f t="shared" ca="1" si="48"/>
        <v/>
      </c>
      <c r="M151" s="139" t="str">
        <f t="shared" ca="1" si="49"/>
        <v/>
      </c>
      <c r="N151" s="77" t="str">
        <f t="shared" ca="1" si="50"/>
        <v/>
      </c>
      <c r="O151" s="137" t="str">
        <f t="shared" ca="1" si="51"/>
        <v/>
      </c>
    </row>
    <row r="152" spans="1:15" ht="16.5" customHeight="1">
      <c r="A152" s="153">
        <v>17</v>
      </c>
      <c r="B152" s="153" t="str">
        <f>TEXT(투자전략!$G$1+16, "[$-ko-KR]yyyy.mm.dd")</f>
        <v>2021.06.17</v>
      </c>
      <c r="C152" s="135" t="str">
        <f t="shared" ca="1" si="39"/>
        <v/>
      </c>
      <c r="D152" s="139" t="str">
        <f t="shared" ca="1" si="40"/>
        <v/>
      </c>
      <c r="E152" s="77" t="str">
        <f t="shared" ca="1" si="41"/>
        <v/>
      </c>
      <c r="F152" s="137" t="str">
        <f t="shared" ca="1" si="42"/>
        <v/>
      </c>
      <c r="G152" s="139" t="str">
        <f t="shared" ca="1" si="43"/>
        <v/>
      </c>
      <c r="H152" s="77" t="str">
        <f t="shared" ca="1" si="44"/>
        <v/>
      </c>
      <c r="I152" s="137" t="str">
        <f t="shared" ca="1" si="45"/>
        <v/>
      </c>
      <c r="J152" s="139" t="str">
        <f t="shared" ca="1" si="46"/>
        <v/>
      </c>
      <c r="K152" s="77" t="str">
        <f t="shared" ca="1" si="47"/>
        <v/>
      </c>
      <c r="L152" s="137" t="str">
        <f t="shared" ca="1" si="48"/>
        <v/>
      </c>
      <c r="M152" s="139" t="str">
        <f t="shared" ca="1" si="49"/>
        <v/>
      </c>
      <c r="N152" s="77" t="str">
        <f t="shared" ca="1" si="50"/>
        <v/>
      </c>
      <c r="O152" s="137" t="str">
        <f t="shared" ca="1" si="51"/>
        <v/>
      </c>
    </row>
    <row r="153" spans="1:15" ht="16.5" customHeight="1">
      <c r="A153" s="153">
        <v>18</v>
      </c>
      <c r="B153" s="153" t="str">
        <f>TEXT(투자전략!$G$1+17, "[$-ko-KR]yyyy.mm.dd")</f>
        <v>2021.06.18</v>
      </c>
      <c r="C153" s="135" t="str">
        <f t="shared" ca="1" si="39"/>
        <v/>
      </c>
      <c r="D153" s="139" t="str">
        <f t="shared" ca="1" si="40"/>
        <v/>
      </c>
      <c r="E153" s="77" t="str">
        <f t="shared" ca="1" si="41"/>
        <v/>
      </c>
      <c r="F153" s="137" t="str">
        <f t="shared" ca="1" si="42"/>
        <v/>
      </c>
      <c r="G153" s="139" t="str">
        <f t="shared" ca="1" si="43"/>
        <v/>
      </c>
      <c r="H153" s="77" t="str">
        <f t="shared" ca="1" si="44"/>
        <v/>
      </c>
      <c r="I153" s="137" t="str">
        <f t="shared" ca="1" si="45"/>
        <v/>
      </c>
      <c r="J153" s="139" t="str">
        <f t="shared" ca="1" si="46"/>
        <v/>
      </c>
      <c r="K153" s="77" t="str">
        <f t="shared" ca="1" si="47"/>
        <v/>
      </c>
      <c r="L153" s="137" t="str">
        <f t="shared" ca="1" si="48"/>
        <v/>
      </c>
      <c r="M153" s="139" t="str">
        <f t="shared" ca="1" si="49"/>
        <v/>
      </c>
      <c r="N153" s="77" t="str">
        <f t="shared" ca="1" si="50"/>
        <v/>
      </c>
      <c r="O153" s="137" t="str">
        <f t="shared" ca="1" si="51"/>
        <v/>
      </c>
    </row>
    <row r="154" spans="1:15" ht="16.5" customHeight="1">
      <c r="A154" s="153">
        <v>19</v>
      </c>
      <c r="B154" s="153" t="str">
        <f>TEXT(투자전략!$G$1+18, "[$-ko-KR]yyyy.mm.dd")</f>
        <v>2021.06.19</v>
      </c>
      <c r="C154" s="135" t="str">
        <f t="shared" ca="1" si="39"/>
        <v/>
      </c>
      <c r="D154" s="139" t="str">
        <f t="shared" ca="1" si="40"/>
        <v/>
      </c>
      <c r="E154" s="77" t="str">
        <f t="shared" ca="1" si="41"/>
        <v/>
      </c>
      <c r="F154" s="137" t="str">
        <f t="shared" ca="1" si="42"/>
        <v/>
      </c>
      <c r="G154" s="139" t="str">
        <f t="shared" ca="1" si="43"/>
        <v/>
      </c>
      <c r="H154" s="77" t="str">
        <f t="shared" ca="1" si="44"/>
        <v/>
      </c>
      <c r="I154" s="137" t="str">
        <f t="shared" ca="1" si="45"/>
        <v/>
      </c>
      <c r="J154" s="139" t="str">
        <f t="shared" ca="1" si="46"/>
        <v/>
      </c>
      <c r="K154" s="77" t="str">
        <f t="shared" ca="1" si="47"/>
        <v/>
      </c>
      <c r="L154" s="137" t="str">
        <f t="shared" ca="1" si="48"/>
        <v/>
      </c>
      <c r="M154" s="139" t="str">
        <f t="shared" ca="1" si="49"/>
        <v/>
      </c>
      <c r="N154" s="77" t="str">
        <f t="shared" ca="1" si="50"/>
        <v/>
      </c>
      <c r="O154" s="137" t="str">
        <f t="shared" ca="1" si="51"/>
        <v/>
      </c>
    </row>
    <row r="155" spans="1:15" ht="16.5" customHeight="1">
      <c r="A155" s="153">
        <v>20</v>
      </c>
      <c r="B155" s="153" t="str">
        <f>TEXT(투자전략!$G$1+19, "[$-ko-KR]yyyy.mm.dd")</f>
        <v>2021.06.20</v>
      </c>
      <c r="C155" s="135" t="str">
        <f t="shared" ca="1" si="39"/>
        <v/>
      </c>
      <c r="D155" s="139" t="str">
        <f t="shared" ca="1" si="40"/>
        <v/>
      </c>
      <c r="E155" s="77" t="str">
        <f t="shared" ca="1" si="41"/>
        <v/>
      </c>
      <c r="F155" s="137" t="str">
        <f t="shared" ca="1" si="42"/>
        <v/>
      </c>
      <c r="G155" s="139" t="str">
        <f t="shared" ca="1" si="43"/>
        <v/>
      </c>
      <c r="H155" s="77" t="str">
        <f t="shared" ca="1" si="44"/>
        <v/>
      </c>
      <c r="I155" s="137" t="str">
        <f t="shared" ca="1" si="45"/>
        <v/>
      </c>
      <c r="J155" s="139" t="str">
        <f t="shared" ca="1" si="46"/>
        <v/>
      </c>
      <c r="K155" s="77" t="str">
        <f t="shared" ca="1" si="47"/>
        <v/>
      </c>
      <c r="L155" s="137" t="str">
        <f t="shared" ca="1" si="48"/>
        <v/>
      </c>
      <c r="M155" s="139" t="str">
        <f t="shared" ca="1" si="49"/>
        <v/>
      </c>
      <c r="N155" s="77" t="str">
        <f t="shared" ca="1" si="50"/>
        <v/>
      </c>
      <c r="O155" s="137" t="str">
        <f t="shared" ca="1" si="51"/>
        <v/>
      </c>
    </row>
    <row r="156" spans="1:15" ht="16.5" customHeight="1" thickBot="1">
      <c r="A156" s="155">
        <v>21</v>
      </c>
      <c r="B156" s="155" t="str">
        <f>TEXT(투자전략!$G$1+20, "[$-ko-KR]yyyy.mm.dd")</f>
        <v>2021.06.21</v>
      </c>
      <c r="C156" s="135" t="str">
        <f t="shared" ca="1" si="39"/>
        <v/>
      </c>
      <c r="D156" s="139" t="str">
        <f t="shared" ca="1" si="40"/>
        <v/>
      </c>
      <c r="E156" s="77" t="str">
        <f t="shared" ca="1" si="41"/>
        <v/>
      </c>
      <c r="F156" s="137" t="str">
        <f t="shared" ca="1" si="42"/>
        <v/>
      </c>
      <c r="G156" s="139" t="str">
        <f t="shared" ca="1" si="43"/>
        <v/>
      </c>
      <c r="H156" s="77" t="str">
        <f t="shared" ca="1" si="44"/>
        <v/>
      </c>
      <c r="I156" s="137" t="str">
        <f t="shared" ca="1" si="45"/>
        <v/>
      </c>
      <c r="J156" s="139" t="str">
        <f t="shared" ca="1" si="46"/>
        <v/>
      </c>
      <c r="K156" s="77" t="str">
        <f t="shared" ca="1" si="47"/>
        <v/>
      </c>
      <c r="L156" s="137" t="str">
        <f t="shared" ca="1" si="48"/>
        <v/>
      </c>
      <c r="M156" s="139" t="str">
        <f t="shared" ca="1" si="49"/>
        <v/>
      </c>
      <c r="N156" s="77" t="str">
        <f t="shared" ca="1" si="50"/>
        <v/>
      </c>
      <c r="O156" s="137" t="str">
        <f t="shared" ca="1" si="51"/>
        <v/>
      </c>
    </row>
    <row r="157" spans="1:15" ht="16.5" customHeight="1">
      <c r="A157" s="154">
        <v>22</v>
      </c>
      <c r="B157" s="154" t="str">
        <f>TEXT(투자전략!$G$1+21, "[$-ko-KR]yyyy.mm.dd")</f>
        <v>2021.06.22</v>
      </c>
      <c r="C157" s="134" t="str">
        <f t="shared" ca="1" si="39"/>
        <v/>
      </c>
      <c r="D157" s="142" t="str">
        <f t="shared" ca="1" si="40"/>
        <v/>
      </c>
      <c r="E157" s="76" t="str">
        <f t="shared" ca="1" si="41"/>
        <v/>
      </c>
      <c r="F157" s="141" t="str">
        <f t="shared" ca="1" si="42"/>
        <v/>
      </c>
      <c r="G157" s="142" t="str">
        <f t="shared" ca="1" si="43"/>
        <v/>
      </c>
      <c r="H157" s="76" t="str">
        <f t="shared" ca="1" si="44"/>
        <v/>
      </c>
      <c r="I157" s="141" t="str">
        <f t="shared" ca="1" si="45"/>
        <v/>
      </c>
      <c r="J157" s="142" t="str">
        <f t="shared" ca="1" si="46"/>
        <v/>
      </c>
      <c r="K157" s="76" t="str">
        <f t="shared" ca="1" si="47"/>
        <v/>
      </c>
      <c r="L157" s="141" t="str">
        <f t="shared" ca="1" si="48"/>
        <v/>
      </c>
      <c r="M157" s="142" t="str">
        <f t="shared" ca="1" si="49"/>
        <v/>
      </c>
      <c r="N157" s="76" t="str">
        <f t="shared" ca="1" si="50"/>
        <v/>
      </c>
      <c r="O157" s="141" t="str">
        <f t="shared" ca="1" si="51"/>
        <v/>
      </c>
    </row>
    <row r="158" spans="1:15" ht="16.5" customHeight="1">
      <c r="A158" s="153">
        <v>23</v>
      </c>
      <c r="B158" s="153" t="str">
        <f>TEXT(투자전략!$G$1+22, "[$-ko-KR]yyyy.mm.dd")</f>
        <v>2021.06.23</v>
      </c>
      <c r="C158" s="135" t="str">
        <f t="shared" ca="1" si="39"/>
        <v/>
      </c>
      <c r="D158" s="139" t="str">
        <f t="shared" ca="1" si="40"/>
        <v/>
      </c>
      <c r="E158" s="77" t="str">
        <f t="shared" ca="1" si="41"/>
        <v/>
      </c>
      <c r="F158" s="137" t="str">
        <f t="shared" ca="1" si="42"/>
        <v/>
      </c>
      <c r="G158" s="139" t="str">
        <f t="shared" ca="1" si="43"/>
        <v/>
      </c>
      <c r="H158" s="77" t="str">
        <f t="shared" ca="1" si="44"/>
        <v/>
      </c>
      <c r="I158" s="137" t="str">
        <f t="shared" ca="1" si="45"/>
        <v/>
      </c>
      <c r="J158" s="139" t="str">
        <f t="shared" ca="1" si="46"/>
        <v/>
      </c>
      <c r="K158" s="77" t="str">
        <f t="shared" ca="1" si="47"/>
        <v/>
      </c>
      <c r="L158" s="137" t="str">
        <f t="shared" ca="1" si="48"/>
        <v/>
      </c>
      <c r="M158" s="139" t="str">
        <f t="shared" ca="1" si="49"/>
        <v/>
      </c>
      <c r="N158" s="77" t="str">
        <f t="shared" ca="1" si="50"/>
        <v/>
      </c>
      <c r="O158" s="137" t="str">
        <f t="shared" ca="1" si="51"/>
        <v/>
      </c>
    </row>
    <row r="159" spans="1:15" ht="16.5" customHeight="1">
      <c r="A159" s="153">
        <v>24</v>
      </c>
      <c r="B159" s="153" t="str">
        <f>TEXT(투자전략!$G$1+23, "[$-ko-KR]yyyy.mm.dd")</f>
        <v>2021.06.24</v>
      </c>
      <c r="C159" s="135" t="str">
        <f t="shared" ca="1" si="39"/>
        <v/>
      </c>
      <c r="D159" s="139" t="str">
        <f t="shared" ca="1" si="40"/>
        <v/>
      </c>
      <c r="E159" s="77" t="str">
        <f t="shared" ca="1" si="41"/>
        <v/>
      </c>
      <c r="F159" s="137" t="str">
        <f t="shared" ca="1" si="42"/>
        <v/>
      </c>
      <c r="G159" s="139" t="str">
        <f t="shared" ca="1" si="43"/>
        <v/>
      </c>
      <c r="H159" s="77" t="str">
        <f t="shared" ca="1" si="44"/>
        <v/>
      </c>
      <c r="I159" s="137" t="str">
        <f t="shared" ca="1" si="45"/>
        <v/>
      </c>
      <c r="J159" s="139" t="str">
        <f t="shared" ca="1" si="46"/>
        <v/>
      </c>
      <c r="K159" s="77" t="str">
        <f t="shared" ca="1" si="47"/>
        <v/>
      </c>
      <c r="L159" s="137" t="str">
        <f t="shared" ca="1" si="48"/>
        <v/>
      </c>
      <c r="M159" s="139" t="str">
        <f t="shared" ca="1" si="49"/>
        <v/>
      </c>
      <c r="N159" s="77" t="str">
        <f t="shared" ca="1" si="50"/>
        <v/>
      </c>
      <c r="O159" s="137" t="str">
        <f t="shared" ca="1" si="51"/>
        <v/>
      </c>
    </row>
    <row r="160" spans="1:15" ht="16.5" customHeight="1">
      <c r="A160" s="153">
        <v>25</v>
      </c>
      <c r="B160" s="153" t="str">
        <f>TEXT(투자전략!$G$1+24, "[$-ko-KR]yyyy.mm.dd")</f>
        <v>2021.06.25</v>
      </c>
      <c r="C160" s="135" t="str">
        <f t="shared" ca="1" si="39"/>
        <v/>
      </c>
      <c r="D160" s="139" t="str">
        <f t="shared" ca="1" si="40"/>
        <v/>
      </c>
      <c r="E160" s="77" t="str">
        <f t="shared" ca="1" si="41"/>
        <v/>
      </c>
      <c r="F160" s="137" t="str">
        <f t="shared" ca="1" si="42"/>
        <v/>
      </c>
      <c r="G160" s="139" t="str">
        <f t="shared" ca="1" si="43"/>
        <v/>
      </c>
      <c r="H160" s="77" t="str">
        <f t="shared" ca="1" si="44"/>
        <v/>
      </c>
      <c r="I160" s="137" t="str">
        <f t="shared" ca="1" si="45"/>
        <v/>
      </c>
      <c r="J160" s="139" t="str">
        <f t="shared" ca="1" si="46"/>
        <v/>
      </c>
      <c r="K160" s="77" t="str">
        <f t="shared" ca="1" si="47"/>
        <v/>
      </c>
      <c r="L160" s="137" t="str">
        <f t="shared" ca="1" si="48"/>
        <v/>
      </c>
      <c r="M160" s="139" t="str">
        <f t="shared" ca="1" si="49"/>
        <v/>
      </c>
      <c r="N160" s="77" t="str">
        <f t="shared" ca="1" si="50"/>
        <v/>
      </c>
      <c r="O160" s="137" t="str">
        <f t="shared" ca="1" si="51"/>
        <v/>
      </c>
    </row>
    <row r="161" spans="1:15" ht="16.5" customHeight="1">
      <c r="A161" s="153">
        <v>26</v>
      </c>
      <c r="B161" s="153" t="str">
        <f>TEXT(투자전략!$G$1+25, "[$-ko-KR]yyyy.mm.dd")</f>
        <v>2021.06.26</v>
      </c>
      <c r="C161" s="135" t="str">
        <f t="shared" ca="1" si="39"/>
        <v/>
      </c>
      <c r="D161" s="139" t="str">
        <f t="shared" ca="1" si="40"/>
        <v/>
      </c>
      <c r="E161" s="77" t="str">
        <f t="shared" ca="1" si="41"/>
        <v/>
      </c>
      <c r="F161" s="137" t="str">
        <f t="shared" ca="1" si="42"/>
        <v/>
      </c>
      <c r="G161" s="139" t="str">
        <f t="shared" ca="1" si="43"/>
        <v/>
      </c>
      <c r="H161" s="77" t="str">
        <f t="shared" ca="1" si="44"/>
        <v/>
      </c>
      <c r="I161" s="137" t="str">
        <f t="shared" ca="1" si="45"/>
        <v/>
      </c>
      <c r="J161" s="139" t="str">
        <f t="shared" ca="1" si="46"/>
        <v/>
      </c>
      <c r="K161" s="77" t="str">
        <f t="shared" ca="1" si="47"/>
        <v/>
      </c>
      <c r="L161" s="137" t="str">
        <f t="shared" ca="1" si="48"/>
        <v/>
      </c>
      <c r="M161" s="139" t="str">
        <f t="shared" ca="1" si="49"/>
        <v/>
      </c>
      <c r="N161" s="77" t="str">
        <f t="shared" ca="1" si="50"/>
        <v/>
      </c>
      <c r="O161" s="137" t="str">
        <f t="shared" ca="1" si="51"/>
        <v/>
      </c>
    </row>
    <row r="162" spans="1:15" ht="16.5" customHeight="1">
      <c r="A162" s="153">
        <v>27</v>
      </c>
      <c r="B162" s="153" t="str">
        <f>TEXT(투자전략!$G$1+26, "[$-ko-KR]yyyy.mm.dd")</f>
        <v>2021.06.27</v>
      </c>
      <c r="C162" s="135" t="str">
        <f t="shared" ca="1" si="39"/>
        <v/>
      </c>
      <c r="D162" s="139" t="str">
        <f t="shared" ca="1" si="40"/>
        <v/>
      </c>
      <c r="E162" s="77" t="str">
        <f t="shared" ca="1" si="41"/>
        <v/>
      </c>
      <c r="F162" s="137" t="str">
        <f t="shared" ca="1" si="42"/>
        <v/>
      </c>
      <c r="G162" s="139" t="str">
        <f t="shared" ca="1" si="43"/>
        <v/>
      </c>
      <c r="H162" s="77" t="str">
        <f t="shared" ca="1" si="44"/>
        <v/>
      </c>
      <c r="I162" s="137" t="str">
        <f t="shared" ca="1" si="45"/>
        <v/>
      </c>
      <c r="J162" s="139" t="str">
        <f t="shared" ca="1" si="46"/>
        <v/>
      </c>
      <c r="K162" s="77" t="str">
        <f t="shared" ca="1" si="47"/>
        <v/>
      </c>
      <c r="L162" s="137" t="str">
        <f t="shared" ca="1" si="48"/>
        <v/>
      </c>
      <c r="M162" s="139" t="str">
        <f t="shared" ca="1" si="49"/>
        <v/>
      </c>
      <c r="N162" s="77" t="str">
        <f t="shared" ca="1" si="50"/>
        <v/>
      </c>
      <c r="O162" s="137" t="str">
        <f t="shared" ca="1" si="51"/>
        <v/>
      </c>
    </row>
    <row r="163" spans="1:15" ht="16.5" customHeight="1" thickBot="1">
      <c r="A163" s="155">
        <v>28</v>
      </c>
      <c r="B163" s="155" t="str">
        <f>TEXT(투자전략!$G$1+27, "[$-ko-KR]yyyy.mm.dd")</f>
        <v>2021.06.28</v>
      </c>
      <c r="C163" s="136" t="str">
        <f t="shared" ca="1" si="39"/>
        <v/>
      </c>
      <c r="D163" s="140" t="str">
        <f t="shared" ca="1" si="40"/>
        <v/>
      </c>
      <c r="E163" s="79" t="str">
        <f t="shared" ca="1" si="41"/>
        <v/>
      </c>
      <c r="F163" s="138" t="str">
        <f t="shared" ca="1" si="42"/>
        <v/>
      </c>
      <c r="G163" s="140" t="str">
        <f t="shared" ca="1" si="43"/>
        <v/>
      </c>
      <c r="H163" s="79" t="str">
        <f t="shared" ca="1" si="44"/>
        <v/>
      </c>
      <c r="I163" s="138" t="str">
        <f t="shared" ca="1" si="45"/>
        <v/>
      </c>
      <c r="J163" s="140" t="str">
        <f t="shared" ca="1" si="46"/>
        <v/>
      </c>
      <c r="K163" s="79" t="str">
        <f t="shared" ca="1" si="47"/>
        <v/>
      </c>
      <c r="L163" s="138" t="str">
        <f t="shared" ca="1" si="48"/>
        <v/>
      </c>
      <c r="M163" s="140" t="str">
        <f t="shared" ca="1" si="49"/>
        <v/>
      </c>
      <c r="N163" s="79" t="str">
        <f t="shared" ca="1" si="50"/>
        <v/>
      </c>
      <c r="O163" s="138" t="str">
        <f t="shared" ca="1" si="51"/>
        <v/>
      </c>
    </row>
    <row r="164" spans="1:15" ht="16.5" customHeight="1">
      <c r="A164" s="121">
        <v>29</v>
      </c>
      <c r="B164" s="154" t="str">
        <f>TEXT(투자전략!$G$1+28, "[$-ko-KR]yyyy.mm.dd")</f>
        <v>2021.06.29</v>
      </c>
      <c r="C164" s="135" t="str">
        <f t="shared" ca="1" si="39"/>
        <v/>
      </c>
      <c r="D164" s="139" t="str">
        <f t="shared" ca="1" si="40"/>
        <v/>
      </c>
      <c r="E164" s="77" t="str">
        <f t="shared" ca="1" si="41"/>
        <v/>
      </c>
      <c r="F164" s="137" t="str">
        <f t="shared" ca="1" si="42"/>
        <v/>
      </c>
      <c r="G164" s="139" t="str">
        <f t="shared" ca="1" si="43"/>
        <v/>
      </c>
      <c r="H164" s="77" t="str">
        <f t="shared" ca="1" si="44"/>
        <v/>
      </c>
      <c r="I164" s="137" t="str">
        <f t="shared" ca="1" si="45"/>
        <v/>
      </c>
      <c r="J164" s="139" t="str">
        <f t="shared" ca="1" si="46"/>
        <v/>
      </c>
      <c r="K164" s="77" t="str">
        <f t="shared" ca="1" si="47"/>
        <v/>
      </c>
      <c r="L164" s="137" t="str">
        <f t="shared" ca="1" si="48"/>
        <v/>
      </c>
      <c r="M164" s="139" t="str">
        <f t="shared" ca="1" si="49"/>
        <v/>
      </c>
      <c r="N164" s="77" t="str">
        <f t="shared" ca="1" si="50"/>
        <v/>
      </c>
      <c r="O164" s="137" t="str">
        <f t="shared" ca="1" si="51"/>
        <v/>
      </c>
    </row>
    <row r="165" spans="1:15" ht="16.5" customHeight="1">
      <c r="A165" s="121">
        <v>30</v>
      </c>
      <c r="B165" s="153" t="str">
        <f>TEXT(투자전략!$G$1+29, "[$-ko-KR]yyyy.mm.dd")</f>
        <v>2021.06.30</v>
      </c>
      <c r="C165" s="135" t="str">
        <f t="shared" ca="1" si="39"/>
        <v/>
      </c>
      <c r="D165" s="139" t="str">
        <f t="shared" ca="1" si="40"/>
        <v/>
      </c>
      <c r="E165" s="77" t="str">
        <f t="shared" ca="1" si="41"/>
        <v/>
      </c>
      <c r="F165" s="137" t="str">
        <f t="shared" ca="1" si="42"/>
        <v/>
      </c>
      <c r="G165" s="139" t="str">
        <f t="shared" ca="1" si="43"/>
        <v/>
      </c>
      <c r="H165" s="77" t="str">
        <f t="shared" ca="1" si="44"/>
        <v/>
      </c>
      <c r="I165" s="137" t="str">
        <f t="shared" ca="1" si="45"/>
        <v/>
      </c>
      <c r="J165" s="139" t="str">
        <f t="shared" ca="1" si="46"/>
        <v/>
      </c>
      <c r="K165" s="77" t="str">
        <f t="shared" ca="1" si="47"/>
        <v/>
      </c>
      <c r="L165" s="137" t="str">
        <f t="shared" ca="1" si="48"/>
        <v/>
      </c>
      <c r="M165" s="139" t="str">
        <f t="shared" ca="1" si="49"/>
        <v/>
      </c>
      <c r="N165" s="77" t="str">
        <f t="shared" ca="1" si="50"/>
        <v/>
      </c>
      <c r="O165" s="137" t="str">
        <f t="shared" ca="1" si="51"/>
        <v/>
      </c>
    </row>
    <row r="166" spans="1:15" ht="16.5" customHeight="1" thickBot="1">
      <c r="A166" s="121">
        <v>31</v>
      </c>
      <c r="B166" s="153" t="str">
        <f>TEXT(투자전략!$G$1+30, "[$-ko-KR]yyyy.mm.dd")</f>
        <v>2021.07.01</v>
      </c>
      <c r="C166" s="136" t="str">
        <f t="shared" ca="1" si="39"/>
        <v/>
      </c>
      <c r="D166" s="140" t="str">
        <f t="shared" ca="1" si="40"/>
        <v/>
      </c>
      <c r="E166" s="79" t="str">
        <f t="shared" ca="1" si="41"/>
        <v/>
      </c>
      <c r="F166" s="138" t="str">
        <f t="shared" ca="1" si="42"/>
        <v/>
      </c>
      <c r="G166" s="140" t="str">
        <f t="shared" ca="1" si="43"/>
        <v/>
      </c>
      <c r="H166" s="79" t="str">
        <f t="shared" ca="1" si="44"/>
        <v/>
      </c>
      <c r="I166" s="138" t="str">
        <f t="shared" ca="1" si="45"/>
        <v/>
      </c>
      <c r="J166" s="140" t="str">
        <f t="shared" ca="1" si="46"/>
        <v/>
      </c>
      <c r="K166" s="79" t="str">
        <f t="shared" ca="1" si="47"/>
        <v/>
      </c>
      <c r="L166" s="138" t="str">
        <f t="shared" ca="1" si="48"/>
        <v/>
      </c>
      <c r="M166" s="140" t="str">
        <f t="shared" ca="1" si="49"/>
        <v/>
      </c>
      <c r="N166" s="79" t="str">
        <f t="shared" ca="1" si="50"/>
        <v/>
      </c>
      <c r="O166" s="138" t="str">
        <f t="shared" ca="1" si="51"/>
        <v/>
      </c>
    </row>
    <row r="167" spans="1:15" ht="16.5" customHeight="1" thickBot="1">
      <c r="A167" s="211" t="s">
        <v>313</v>
      </c>
      <c r="B167" s="213"/>
      <c r="C167" s="132" t="s">
        <v>308</v>
      </c>
      <c r="D167" s="150" t="s">
        <v>309</v>
      </c>
      <c r="E167" s="151" t="s">
        <v>310</v>
      </c>
      <c r="F167" s="152" t="s">
        <v>311</v>
      </c>
      <c r="G167" s="150" t="s">
        <v>309</v>
      </c>
      <c r="H167" s="151" t="s">
        <v>310</v>
      </c>
      <c r="I167" s="152" t="s">
        <v>311</v>
      </c>
      <c r="J167" s="150" t="s">
        <v>309</v>
      </c>
      <c r="K167" s="151" t="s">
        <v>310</v>
      </c>
      <c r="L167" s="152" t="s">
        <v>311</v>
      </c>
      <c r="M167" s="150" t="s">
        <v>309</v>
      </c>
      <c r="N167" s="151" t="s">
        <v>310</v>
      </c>
      <c r="O167" s="152" t="s">
        <v>311</v>
      </c>
    </row>
    <row r="168" spans="1:15" ht="16.5" customHeight="1" thickBot="1">
      <c r="A168" s="204"/>
      <c r="B168" s="206"/>
      <c r="C168" s="136">
        <f ca="1">SUM(C136:C166)</f>
        <v>3000000</v>
      </c>
      <c r="D168" s="140">
        <f ca="1">SUM(D136:D166)</f>
        <v>3000000</v>
      </c>
      <c r="E168" s="79">
        <f ca="1">IFERROR(F168 / (SUM($C136:$C166) / COUNT($C136:$C166)), 0)</f>
        <v>0</v>
      </c>
      <c r="F168" s="138">
        <f ca="1">SUM(F136:F166)</f>
        <v>0</v>
      </c>
      <c r="G168" s="140">
        <f ca="1">SUM(G136:G166)</f>
        <v>3000000</v>
      </c>
      <c r="H168" s="79">
        <f ca="1">IFERROR(I168 / (SUM($C136:$C166) / COUNT($C136:$C166)), 0)</f>
        <v>0</v>
      </c>
      <c r="I168" s="138">
        <f ca="1">SUM(I136:I166)</f>
        <v>0</v>
      </c>
      <c r="J168" s="140">
        <f ca="1">SUM(J136:J166)</f>
        <v>3000000</v>
      </c>
      <c r="K168" s="79">
        <f ca="1">IFERROR(L168 / (SUM($C136:$C166) / COUNT($C136:$C166)), 0)</f>
        <v>0</v>
      </c>
      <c r="L168" s="138">
        <f ca="1">SUM(L136:L166)</f>
        <v>0</v>
      </c>
      <c r="M168" s="140">
        <f ca="1">SUM(M136:M166)</f>
        <v>3000000</v>
      </c>
      <c r="N168" s="79">
        <f ca="1">IFERROR(O168 / (SUM($C136:$C166) / COUNT($C136:$C166)), 0)</f>
        <v>0</v>
      </c>
      <c r="O168" s="138">
        <f ca="1">SUM(O136:O166)</f>
        <v>0</v>
      </c>
    </row>
    <row r="170" spans="1:15" ht="16.5" customHeight="1" thickBot="1"/>
    <row r="171" spans="1:15" ht="16.5" customHeight="1" thickBot="1">
      <c r="A171" s="183" t="str">
        <f>TEXT(투자전략!$G$1, "[$-ko-KR]yyyy년 mm월 ") &amp; "[엽전코인] 전일대비 상승률 Bottom20 월말결산"</f>
        <v>2021년 06월 [엽전코인] 전일대비 상승률 Bottom20 월말결산</v>
      </c>
      <c r="B171" s="184"/>
      <c r="C171" s="184"/>
      <c r="D171" s="184"/>
      <c r="E171" s="184"/>
      <c r="F171" s="184"/>
      <c r="G171" s="184"/>
      <c r="H171" s="184"/>
      <c r="I171" s="184"/>
      <c r="J171" s="184"/>
      <c r="K171" s="184"/>
      <c r="L171" s="184"/>
      <c r="M171" s="184"/>
      <c r="N171" s="184"/>
      <c r="O171" s="185"/>
    </row>
    <row r="172" spans="1:15" ht="16.5" customHeight="1" thickBot="1">
      <c r="A172" s="227" t="s">
        <v>314</v>
      </c>
      <c r="B172" s="204" t="s">
        <v>312</v>
      </c>
      <c r="C172" s="206"/>
      <c r="D172" s="204" t="s">
        <v>304</v>
      </c>
      <c r="E172" s="205"/>
      <c r="F172" s="206"/>
      <c r="G172" s="204" t="s">
        <v>305</v>
      </c>
      <c r="H172" s="205"/>
      <c r="I172" s="206"/>
      <c r="J172" s="204" t="s">
        <v>306</v>
      </c>
      <c r="K172" s="205"/>
      <c r="L172" s="206"/>
      <c r="M172" s="204" t="s">
        <v>307</v>
      </c>
      <c r="N172" s="205"/>
      <c r="O172" s="206"/>
    </row>
    <row r="173" spans="1:15" ht="16.5" customHeight="1" thickBot="1">
      <c r="A173" s="220"/>
      <c r="B173" s="154" t="s">
        <v>302</v>
      </c>
      <c r="C173" s="154" t="s">
        <v>42</v>
      </c>
      <c r="D173" s="121" t="s">
        <v>303</v>
      </c>
      <c r="E173" s="133" t="s">
        <v>40</v>
      </c>
      <c r="F173" s="156" t="s">
        <v>41</v>
      </c>
      <c r="G173" s="121" t="s">
        <v>303</v>
      </c>
      <c r="H173" s="133" t="s">
        <v>40</v>
      </c>
      <c r="I173" s="156" t="s">
        <v>41</v>
      </c>
      <c r="J173" s="121" t="s">
        <v>303</v>
      </c>
      <c r="K173" s="133" t="s">
        <v>40</v>
      </c>
      <c r="L173" s="156" t="s">
        <v>41</v>
      </c>
      <c r="M173" s="121" t="s">
        <v>303</v>
      </c>
      <c r="N173" s="133" t="s">
        <v>40</v>
      </c>
      <c r="O173" s="156" t="s">
        <v>41</v>
      </c>
    </row>
    <row r="174" spans="1:15" ht="16.5" customHeight="1">
      <c r="A174" s="154">
        <v>1</v>
      </c>
      <c r="B174" s="154" t="str">
        <f>TEXT(투자전략!$G$1+0, "[$-ko-KR]yyyy.mm.dd")</f>
        <v>2021.06.01</v>
      </c>
      <c r="C174" s="134">
        <f ca="1">IFERROR(COUNTA(INDIRECT($B174&amp;"!A125:A144")) * INDIRECT($B174&amp;"!B145"), "")</f>
        <v>3000000</v>
      </c>
      <c r="D174" s="142">
        <f ca="1">IFERROR($C174 * (1 + E174), "")</f>
        <v>3000000</v>
      </c>
      <c r="E174" s="76">
        <f ca="1">IFERROR(INDIRECT($B174&amp;"!E145"), "")</f>
        <v>0</v>
      </c>
      <c r="F174" s="141">
        <f ca="1">IFERROR(INDIRECT($B174&amp;"!F145"), "")</f>
        <v>0</v>
      </c>
      <c r="G174" s="142">
        <f ca="1">IFERROR($C174 * (1 + H174), "")</f>
        <v>3000000</v>
      </c>
      <c r="H174" s="76">
        <f ca="1">IFERROR(INDIRECT($B174&amp;"!H145"), "")</f>
        <v>0</v>
      </c>
      <c r="I174" s="141">
        <f ca="1">IFERROR(INDIRECT($B174&amp;"!I145"), "")</f>
        <v>0</v>
      </c>
      <c r="J174" s="142">
        <f ca="1">IFERROR($C174 * (1 + K174), "")</f>
        <v>3000000</v>
      </c>
      <c r="K174" s="76">
        <f ca="1">IFERROR(INDIRECT($B174&amp;"!K145"), "")</f>
        <v>0</v>
      </c>
      <c r="L174" s="141">
        <f ca="1">IFERROR(INDIRECT($B174&amp;"!L145"), "")</f>
        <v>0</v>
      </c>
      <c r="M174" s="142">
        <f ca="1">IFERROR($C174 * (1 + N174), "")</f>
        <v>3000000</v>
      </c>
      <c r="N174" s="76">
        <f ca="1">IFERROR(INDIRECT($B174&amp;"!N145"), "")</f>
        <v>0</v>
      </c>
      <c r="O174" s="141">
        <f ca="1">IFERROR(INDIRECT($B174&amp;"!O145"), "")</f>
        <v>0</v>
      </c>
    </row>
    <row r="175" spans="1:15" ht="16.5" customHeight="1">
      <c r="A175" s="153">
        <v>2</v>
      </c>
      <c r="B175" s="153" t="str">
        <f>TEXT(투자전략!$G$1+1, "[$-ko-KR]yyyy.mm.dd")</f>
        <v>2021.06.02</v>
      </c>
      <c r="C175" s="135" t="str">
        <f t="shared" ref="C175:C204" ca="1" si="52">IFERROR(COUNTA(INDIRECT($B175&amp;"!A125:A144")) * INDIRECT($B175&amp;"!B145"), "")</f>
        <v/>
      </c>
      <c r="D175" s="139" t="str">
        <f t="shared" ref="D175:D204" ca="1" si="53">IFERROR($C175 * (1 + E175), "")</f>
        <v/>
      </c>
      <c r="E175" s="77" t="str">
        <f t="shared" ref="E175:E204" ca="1" si="54">IFERROR(INDIRECT($B175&amp;"!E145"), "")</f>
        <v/>
      </c>
      <c r="F175" s="137" t="str">
        <f t="shared" ref="F175:F204" ca="1" si="55">IFERROR(INDIRECT($B175&amp;"!F145"), "")</f>
        <v/>
      </c>
      <c r="G175" s="139" t="str">
        <f t="shared" ref="G175:G204" ca="1" si="56">IFERROR($C175 * (1 + H175), "")</f>
        <v/>
      </c>
      <c r="H175" s="77" t="str">
        <f t="shared" ref="H175:H204" ca="1" si="57">IFERROR(INDIRECT($B175&amp;"!H145"), "")</f>
        <v/>
      </c>
      <c r="I175" s="137" t="str">
        <f t="shared" ref="I175:I204" ca="1" si="58">IFERROR(INDIRECT($B175&amp;"!I145"), "")</f>
        <v/>
      </c>
      <c r="J175" s="139" t="str">
        <f t="shared" ref="J175:J204" ca="1" si="59">IFERROR($C175 * (1 + K175), "")</f>
        <v/>
      </c>
      <c r="K175" s="77" t="str">
        <f t="shared" ref="K175:K204" ca="1" si="60">IFERROR(INDIRECT($B175&amp;"!K145"), "")</f>
        <v/>
      </c>
      <c r="L175" s="137" t="str">
        <f t="shared" ref="L175:L204" ca="1" si="61">IFERROR(INDIRECT($B175&amp;"!L145"), "")</f>
        <v/>
      </c>
      <c r="M175" s="139" t="str">
        <f t="shared" ref="M175:M204" ca="1" si="62">IFERROR($C175 * (1 + N175), "")</f>
        <v/>
      </c>
      <c r="N175" s="77" t="str">
        <f t="shared" ref="N175:N204" ca="1" si="63">IFERROR(INDIRECT($B175&amp;"!N145"), "")</f>
        <v/>
      </c>
      <c r="O175" s="137" t="str">
        <f t="shared" ref="O175:O204" ca="1" si="64">IFERROR(INDIRECT($B175&amp;"!O145"), "")</f>
        <v/>
      </c>
    </row>
    <row r="176" spans="1:15" ht="16.5" customHeight="1">
      <c r="A176" s="153">
        <v>3</v>
      </c>
      <c r="B176" s="153" t="str">
        <f>TEXT(투자전략!$G$1+2, "[$-ko-KR]yyyy.mm.dd")</f>
        <v>2021.06.03</v>
      </c>
      <c r="C176" s="135" t="str">
        <f t="shared" ca="1" si="52"/>
        <v/>
      </c>
      <c r="D176" s="139" t="str">
        <f t="shared" ca="1" si="53"/>
        <v/>
      </c>
      <c r="E176" s="77" t="str">
        <f t="shared" ca="1" si="54"/>
        <v/>
      </c>
      <c r="F176" s="137" t="str">
        <f t="shared" ca="1" si="55"/>
        <v/>
      </c>
      <c r="G176" s="139" t="str">
        <f t="shared" ca="1" si="56"/>
        <v/>
      </c>
      <c r="H176" s="77" t="str">
        <f t="shared" ca="1" si="57"/>
        <v/>
      </c>
      <c r="I176" s="137" t="str">
        <f t="shared" ca="1" si="58"/>
        <v/>
      </c>
      <c r="J176" s="139" t="str">
        <f t="shared" ca="1" si="59"/>
        <v/>
      </c>
      <c r="K176" s="77" t="str">
        <f t="shared" ca="1" si="60"/>
        <v/>
      </c>
      <c r="L176" s="137" t="str">
        <f t="shared" ca="1" si="61"/>
        <v/>
      </c>
      <c r="M176" s="139" t="str">
        <f t="shared" ca="1" si="62"/>
        <v/>
      </c>
      <c r="N176" s="77" t="str">
        <f t="shared" ca="1" si="63"/>
        <v/>
      </c>
      <c r="O176" s="137" t="str">
        <f t="shared" ca="1" si="64"/>
        <v/>
      </c>
    </row>
    <row r="177" spans="1:15" ht="16.5" customHeight="1">
      <c r="A177" s="153">
        <v>4</v>
      </c>
      <c r="B177" s="153" t="str">
        <f>TEXT(투자전략!$G$1+3, "[$-ko-KR]yyyy.mm.dd")</f>
        <v>2021.06.04</v>
      </c>
      <c r="C177" s="135" t="str">
        <f t="shared" ca="1" si="52"/>
        <v/>
      </c>
      <c r="D177" s="139" t="str">
        <f t="shared" ca="1" si="53"/>
        <v/>
      </c>
      <c r="E177" s="77" t="str">
        <f t="shared" ca="1" si="54"/>
        <v/>
      </c>
      <c r="F177" s="137" t="str">
        <f t="shared" ca="1" si="55"/>
        <v/>
      </c>
      <c r="G177" s="139" t="str">
        <f t="shared" ca="1" si="56"/>
        <v/>
      </c>
      <c r="H177" s="77" t="str">
        <f t="shared" ca="1" si="57"/>
        <v/>
      </c>
      <c r="I177" s="137" t="str">
        <f t="shared" ca="1" si="58"/>
        <v/>
      </c>
      <c r="J177" s="139" t="str">
        <f t="shared" ca="1" si="59"/>
        <v/>
      </c>
      <c r="K177" s="77" t="str">
        <f t="shared" ca="1" si="60"/>
        <v/>
      </c>
      <c r="L177" s="137" t="str">
        <f t="shared" ca="1" si="61"/>
        <v/>
      </c>
      <c r="M177" s="139" t="str">
        <f t="shared" ca="1" si="62"/>
        <v/>
      </c>
      <c r="N177" s="77" t="str">
        <f t="shared" ca="1" si="63"/>
        <v/>
      </c>
      <c r="O177" s="137" t="str">
        <f t="shared" ca="1" si="64"/>
        <v/>
      </c>
    </row>
    <row r="178" spans="1:15" ht="16.5" customHeight="1">
      <c r="A178" s="153">
        <v>5</v>
      </c>
      <c r="B178" s="153" t="str">
        <f>TEXT(투자전략!$G$1+4, "[$-ko-KR]yyyy.mm.dd")</f>
        <v>2021.06.05</v>
      </c>
      <c r="C178" s="135" t="str">
        <f t="shared" ca="1" si="52"/>
        <v/>
      </c>
      <c r="D178" s="139" t="str">
        <f t="shared" ca="1" si="53"/>
        <v/>
      </c>
      <c r="E178" s="77" t="str">
        <f t="shared" ca="1" si="54"/>
        <v/>
      </c>
      <c r="F178" s="137" t="str">
        <f t="shared" ca="1" si="55"/>
        <v/>
      </c>
      <c r="G178" s="139" t="str">
        <f t="shared" ca="1" si="56"/>
        <v/>
      </c>
      <c r="H178" s="77" t="str">
        <f t="shared" ca="1" si="57"/>
        <v/>
      </c>
      <c r="I178" s="137" t="str">
        <f t="shared" ca="1" si="58"/>
        <v/>
      </c>
      <c r="J178" s="139" t="str">
        <f t="shared" ca="1" si="59"/>
        <v/>
      </c>
      <c r="K178" s="77" t="str">
        <f t="shared" ca="1" si="60"/>
        <v/>
      </c>
      <c r="L178" s="137" t="str">
        <f t="shared" ca="1" si="61"/>
        <v/>
      </c>
      <c r="M178" s="139" t="str">
        <f t="shared" ca="1" si="62"/>
        <v/>
      </c>
      <c r="N178" s="77" t="str">
        <f t="shared" ca="1" si="63"/>
        <v/>
      </c>
      <c r="O178" s="137" t="str">
        <f t="shared" ca="1" si="64"/>
        <v/>
      </c>
    </row>
    <row r="179" spans="1:15" ht="16.5" customHeight="1">
      <c r="A179" s="153">
        <v>6</v>
      </c>
      <c r="B179" s="153" t="str">
        <f>TEXT(투자전략!$G$1+5, "[$-ko-KR]yyyy.mm.dd")</f>
        <v>2021.06.06</v>
      </c>
      <c r="C179" s="135" t="str">
        <f t="shared" ca="1" si="52"/>
        <v/>
      </c>
      <c r="D179" s="139" t="str">
        <f t="shared" ca="1" si="53"/>
        <v/>
      </c>
      <c r="E179" s="77" t="str">
        <f t="shared" ca="1" si="54"/>
        <v/>
      </c>
      <c r="F179" s="137" t="str">
        <f t="shared" ca="1" si="55"/>
        <v/>
      </c>
      <c r="G179" s="139" t="str">
        <f t="shared" ca="1" si="56"/>
        <v/>
      </c>
      <c r="H179" s="77" t="str">
        <f t="shared" ca="1" si="57"/>
        <v/>
      </c>
      <c r="I179" s="137" t="str">
        <f t="shared" ca="1" si="58"/>
        <v/>
      </c>
      <c r="J179" s="139" t="str">
        <f t="shared" ca="1" si="59"/>
        <v/>
      </c>
      <c r="K179" s="77" t="str">
        <f t="shared" ca="1" si="60"/>
        <v/>
      </c>
      <c r="L179" s="137" t="str">
        <f t="shared" ca="1" si="61"/>
        <v/>
      </c>
      <c r="M179" s="139" t="str">
        <f t="shared" ca="1" si="62"/>
        <v/>
      </c>
      <c r="N179" s="77" t="str">
        <f t="shared" ca="1" si="63"/>
        <v/>
      </c>
      <c r="O179" s="137" t="str">
        <f t="shared" ca="1" si="64"/>
        <v/>
      </c>
    </row>
    <row r="180" spans="1:15" ht="16.5" customHeight="1" thickBot="1">
      <c r="A180" s="155">
        <v>7</v>
      </c>
      <c r="B180" s="155" t="str">
        <f>TEXT(투자전략!$G$1+6, "[$-ko-KR]yyyy.mm.dd")</f>
        <v>2021.06.07</v>
      </c>
      <c r="C180" s="135" t="str">
        <f t="shared" ca="1" si="52"/>
        <v/>
      </c>
      <c r="D180" s="139" t="str">
        <f t="shared" ca="1" si="53"/>
        <v/>
      </c>
      <c r="E180" s="77" t="str">
        <f t="shared" ca="1" si="54"/>
        <v/>
      </c>
      <c r="F180" s="137" t="str">
        <f t="shared" ca="1" si="55"/>
        <v/>
      </c>
      <c r="G180" s="139" t="str">
        <f t="shared" ca="1" si="56"/>
        <v/>
      </c>
      <c r="H180" s="77" t="str">
        <f t="shared" ca="1" si="57"/>
        <v/>
      </c>
      <c r="I180" s="137" t="str">
        <f t="shared" ca="1" si="58"/>
        <v/>
      </c>
      <c r="J180" s="139" t="str">
        <f t="shared" ca="1" si="59"/>
        <v/>
      </c>
      <c r="K180" s="77" t="str">
        <f t="shared" ca="1" si="60"/>
        <v/>
      </c>
      <c r="L180" s="137" t="str">
        <f t="shared" ca="1" si="61"/>
        <v/>
      </c>
      <c r="M180" s="139" t="str">
        <f t="shared" ca="1" si="62"/>
        <v/>
      </c>
      <c r="N180" s="77" t="str">
        <f t="shared" ca="1" si="63"/>
        <v/>
      </c>
      <c r="O180" s="137" t="str">
        <f t="shared" ca="1" si="64"/>
        <v/>
      </c>
    </row>
    <row r="181" spans="1:15" ht="16.5" customHeight="1">
      <c r="A181" s="154">
        <v>8</v>
      </c>
      <c r="B181" s="154" t="str">
        <f>TEXT(투자전략!$G$1+7, "[$-ko-KR]yyyy.mm.dd")</f>
        <v>2021.06.08</v>
      </c>
      <c r="C181" s="134" t="str">
        <f t="shared" ca="1" si="52"/>
        <v/>
      </c>
      <c r="D181" s="142" t="str">
        <f t="shared" ca="1" si="53"/>
        <v/>
      </c>
      <c r="E181" s="76" t="str">
        <f t="shared" ca="1" si="54"/>
        <v/>
      </c>
      <c r="F181" s="141" t="str">
        <f t="shared" ca="1" si="55"/>
        <v/>
      </c>
      <c r="G181" s="142" t="str">
        <f t="shared" ca="1" si="56"/>
        <v/>
      </c>
      <c r="H181" s="76" t="str">
        <f t="shared" ca="1" si="57"/>
        <v/>
      </c>
      <c r="I181" s="141" t="str">
        <f t="shared" ca="1" si="58"/>
        <v/>
      </c>
      <c r="J181" s="142" t="str">
        <f t="shared" ca="1" si="59"/>
        <v/>
      </c>
      <c r="K181" s="76" t="str">
        <f t="shared" ca="1" si="60"/>
        <v/>
      </c>
      <c r="L181" s="141" t="str">
        <f t="shared" ca="1" si="61"/>
        <v/>
      </c>
      <c r="M181" s="142" t="str">
        <f t="shared" ca="1" si="62"/>
        <v/>
      </c>
      <c r="N181" s="76" t="str">
        <f t="shared" ca="1" si="63"/>
        <v/>
      </c>
      <c r="O181" s="141" t="str">
        <f t="shared" ca="1" si="64"/>
        <v/>
      </c>
    </row>
    <row r="182" spans="1:15" ht="16.5" customHeight="1">
      <c r="A182" s="153">
        <v>9</v>
      </c>
      <c r="B182" s="153" t="str">
        <f>TEXT(투자전략!$G$1+8, "[$-ko-KR]yyyy.mm.dd")</f>
        <v>2021.06.09</v>
      </c>
      <c r="C182" s="135" t="str">
        <f t="shared" ca="1" si="52"/>
        <v/>
      </c>
      <c r="D182" s="139" t="str">
        <f t="shared" ca="1" si="53"/>
        <v/>
      </c>
      <c r="E182" s="77" t="str">
        <f t="shared" ca="1" si="54"/>
        <v/>
      </c>
      <c r="F182" s="137" t="str">
        <f t="shared" ca="1" si="55"/>
        <v/>
      </c>
      <c r="G182" s="139" t="str">
        <f t="shared" ca="1" si="56"/>
        <v/>
      </c>
      <c r="H182" s="77" t="str">
        <f t="shared" ca="1" si="57"/>
        <v/>
      </c>
      <c r="I182" s="137" t="str">
        <f t="shared" ca="1" si="58"/>
        <v/>
      </c>
      <c r="J182" s="139" t="str">
        <f t="shared" ca="1" si="59"/>
        <v/>
      </c>
      <c r="K182" s="77" t="str">
        <f t="shared" ca="1" si="60"/>
        <v/>
      </c>
      <c r="L182" s="137" t="str">
        <f t="shared" ca="1" si="61"/>
        <v/>
      </c>
      <c r="M182" s="139" t="str">
        <f t="shared" ca="1" si="62"/>
        <v/>
      </c>
      <c r="N182" s="77" t="str">
        <f t="shared" ca="1" si="63"/>
        <v/>
      </c>
      <c r="O182" s="137" t="str">
        <f t="shared" ca="1" si="64"/>
        <v/>
      </c>
    </row>
    <row r="183" spans="1:15" ht="16.5" customHeight="1">
      <c r="A183" s="153">
        <v>10</v>
      </c>
      <c r="B183" s="153" t="str">
        <f>TEXT(투자전략!$G$1+9, "[$-ko-KR]yyyy.mm.dd")</f>
        <v>2021.06.10</v>
      </c>
      <c r="C183" s="135" t="str">
        <f t="shared" ca="1" si="52"/>
        <v/>
      </c>
      <c r="D183" s="139" t="str">
        <f t="shared" ca="1" si="53"/>
        <v/>
      </c>
      <c r="E183" s="77" t="str">
        <f t="shared" ca="1" si="54"/>
        <v/>
      </c>
      <c r="F183" s="137" t="str">
        <f t="shared" ca="1" si="55"/>
        <v/>
      </c>
      <c r="G183" s="139" t="str">
        <f t="shared" ca="1" si="56"/>
        <v/>
      </c>
      <c r="H183" s="77" t="str">
        <f t="shared" ca="1" si="57"/>
        <v/>
      </c>
      <c r="I183" s="137" t="str">
        <f t="shared" ca="1" si="58"/>
        <v/>
      </c>
      <c r="J183" s="139" t="str">
        <f t="shared" ca="1" si="59"/>
        <v/>
      </c>
      <c r="K183" s="77" t="str">
        <f t="shared" ca="1" si="60"/>
        <v/>
      </c>
      <c r="L183" s="137" t="str">
        <f t="shared" ca="1" si="61"/>
        <v/>
      </c>
      <c r="M183" s="139" t="str">
        <f t="shared" ca="1" si="62"/>
        <v/>
      </c>
      <c r="N183" s="77" t="str">
        <f t="shared" ca="1" si="63"/>
        <v/>
      </c>
      <c r="O183" s="137" t="str">
        <f t="shared" ca="1" si="64"/>
        <v/>
      </c>
    </row>
    <row r="184" spans="1:15" ht="16.5" customHeight="1">
      <c r="A184" s="153">
        <v>11</v>
      </c>
      <c r="B184" s="153" t="str">
        <f>TEXT(투자전략!$G$1+10, "[$-ko-KR]yyyy.mm.dd")</f>
        <v>2021.06.11</v>
      </c>
      <c r="C184" s="135" t="str">
        <f t="shared" ca="1" si="52"/>
        <v/>
      </c>
      <c r="D184" s="139" t="str">
        <f t="shared" ca="1" si="53"/>
        <v/>
      </c>
      <c r="E184" s="77" t="str">
        <f t="shared" ca="1" si="54"/>
        <v/>
      </c>
      <c r="F184" s="137" t="str">
        <f t="shared" ca="1" si="55"/>
        <v/>
      </c>
      <c r="G184" s="139" t="str">
        <f t="shared" ca="1" si="56"/>
        <v/>
      </c>
      <c r="H184" s="77" t="str">
        <f t="shared" ca="1" si="57"/>
        <v/>
      </c>
      <c r="I184" s="137" t="str">
        <f t="shared" ca="1" si="58"/>
        <v/>
      </c>
      <c r="J184" s="139" t="str">
        <f t="shared" ca="1" si="59"/>
        <v/>
      </c>
      <c r="K184" s="77" t="str">
        <f t="shared" ca="1" si="60"/>
        <v/>
      </c>
      <c r="L184" s="137" t="str">
        <f t="shared" ca="1" si="61"/>
        <v/>
      </c>
      <c r="M184" s="139" t="str">
        <f t="shared" ca="1" si="62"/>
        <v/>
      </c>
      <c r="N184" s="77" t="str">
        <f t="shared" ca="1" si="63"/>
        <v/>
      </c>
      <c r="O184" s="137" t="str">
        <f t="shared" ca="1" si="64"/>
        <v/>
      </c>
    </row>
    <row r="185" spans="1:15" ht="16.5" customHeight="1">
      <c r="A185" s="153">
        <v>12</v>
      </c>
      <c r="B185" s="153" t="str">
        <f>TEXT(투자전략!$G$1+11, "[$-ko-KR]yyyy.mm.dd")</f>
        <v>2021.06.12</v>
      </c>
      <c r="C185" s="135" t="str">
        <f t="shared" ca="1" si="52"/>
        <v/>
      </c>
      <c r="D185" s="139" t="str">
        <f t="shared" ca="1" si="53"/>
        <v/>
      </c>
      <c r="E185" s="77" t="str">
        <f t="shared" ca="1" si="54"/>
        <v/>
      </c>
      <c r="F185" s="137" t="str">
        <f t="shared" ca="1" si="55"/>
        <v/>
      </c>
      <c r="G185" s="139" t="str">
        <f t="shared" ca="1" si="56"/>
        <v/>
      </c>
      <c r="H185" s="77" t="str">
        <f t="shared" ca="1" si="57"/>
        <v/>
      </c>
      <c r="I185" s="137" t="str">
        <f t="shared" ca="1" si="58"/>
        <v/>
      </c>
      <c r="J185" s="139" t="str">
        <f t="shared" ca="1" si="59"/>
        <v/>
      </c>
      <c r="K185" s="77" t="str">
        <f t="shared" ca="1" si="60"/>
        <v/>
      </c>
      <c r="L185" s="137" t="str">
        <f t="shared" ca="1" si="61"/>
        <v/>
      </c>
      <c r="M185" s="139" t="str">
        <f t="shared" ca="1" si="62"/>
        <v/>
      </c>
      <c r="N185" s="77" t="str">
        <f t="shared" ca="1" si="63"/>
        <v/>
      </c>
      <c r="O185" s="137" t="str">
        <f t="shared" ca="1" si="64"/>
        <v/>
      </c>
    </row>
    <row r="186" spans="1:15" ht="16.5" customHeight="1">
      <c r="A186" s="153">
        <v>13</v>
      </c>
      <c r="B186" s="153" t="str">
        <f>TEXT(투자전략!$G$1+12, "[$-ko-KR]yyyy.mm.dd")</f>
        <v>2021.06.13</v>
      </c>
      <c r="C186" s="135" t="str">
        <f t="shared" ca="1" si="52"/>
        <v/>
      </c>
      <c r="D186" s="139" t="str">
        <f t="shared" ca="1" si="53"/>
        <v/>
      </c>
      <c r="E186" s="77" t="str">
        <f t="shared" ca="1" si="54"/>
        <v/>
      </c>
      <c r="F186" s="137" t="str">
        <f t="shared" ca="1" si="55"/>
        <v/>
      </c>
      <c r="G186" s="139" t="str">
        <f t="shared" ca="1" si="56"/>
        <v/>
      </c>
      <c r="H186" s="77" t="str">
        <f t="shared" ca="1" si="57"/>
        <v/>
      </c>
      <c r="I186" s="137" t="str">
        <f t="shared" ca="1" si="58"/>
        <v/>
      </c>
      <c r="J186" s="139" t="str">
        <f t="shared" ca="1" si="59"/>
        <v/>
      </c>
      <c r="K186" s="77" t="str">
        <f t="shared" ca="1" si="60"/>
        <v/>
      </c>
      <c r="L186" s="137" t="str">
        <f t="shared" ca="1" si="61"/>
        <v/>
      </c>
      <c r="M186" s="139" t="str">
        <f t="shared" ca="1" si="62"/>
        <v/>
      </c>
      <c r="N186" s="77" t="str">
        <f t="shared" ca="1" si="63"/>
        <v/>
      </c>
      <c r="O186" s="137" t="str">
        <f t="shared" ca="1" si="64"/>
        <v/>
      </c>
    </row>
    <row r="187" spans="1:15" ht="16.5" customHeight="1" thickBot="1">
      <c r="A187" s="155">
        <v>14</v>
      </c>
      <c r="B187" s="155" t="str">
        <f>TEXT(투자전략!$G$1+13, "[$-ko-KR]yyyy.mm.dd")</f>
        <v>2021.06.14</v>
      </c>
      <c r="C187" s="136" t="str">
        <f t="shared" ca="1" si="52"/>
        <v/>
      </c>
      <c r="D187" s="140" t="str">
        <f t="shared" ca="1" si="53"/>
        <v/>
      </c>
      <c r="E187" s="79" t="str">
        <f t="shared" ca="1" si="54"/>
        <v/>
      </c>
      <c r="F187" s="138" t="str">
        <f t="shared" ca="1" si="55"/>
        <v/>
      </c>
      <c r="G187" s="140" t="str">
        <f t="shared" ca="1" si="56"/>
        <v/>
      </c>
      <c r="H187" s="79" t="str">
        <f t="shared" ca="1" si="57"/>
        <v/>
      </c>
      <c r="I187" s="138" t="str">
        <f t="shared" ca="1" si="58"/>
        <v/>
      </c>
      <c r="J187" s="140" t="str">
        <f t="shared" ca="1" si="59"/>
        <v/>
      </c>
      <c r="K187" s="79" t="str">
        <f t="shared" ca="1" si="60"/>
        <v/>
      </c>
      <c r="L187" s="138" t="str">
        <f t="shared" ca="1" si="61"/>
        <v/>
      </c>
      <c r="M187" s="140" t="str">
        <f t="shared" ca="1" si="62"/>
        <v/>
      </c>
      <c r="N187" s="79" t="str">
        <f t="shared" ca="1" si="63"/>
        <v/>
      </c>
      <c r="O187" s="138" t="str">
        <f t="shared" ca="1" si="64"/>
        <v/>
      </c>
    </row>
    <row r="188" spans="1:15" ht="16.5" customHeight="1">
      <c r="A188" s="154">
        <v>15</v>
      </c>
      <c r="B188" s="154" t="str">
        <f>TEXT(투자전략!$G$1+14, "[$-ko-KR]yyyy.mm.dd")</f>
        <v>2021.06.15</v>
      </c>
      <c r="C188" s="135" t="str">
        <f t="shared" ca="1" si="52"/>
        <v/>
      </c>
      <c r="D188" s="139" t="str">
        <f t="shared" ca="1" si="53"/>
        <v/>
      </c>
      <c r="E188" s="77" t="str">
        <f t="shared" ca="1" si="54"/>
        <v/>
      </c>
      <c r="F188" s="137" t="str">
        <f t="shared" ca="1" si="55"/>
        <v/>
      </c>
      <c r="G188" s="139" t="str">
        <f t="shared" ca="1" si="56"/>
        <v/>
      </c>
      <c r="H188" s="77" t="str">
        <f t="shared" ca="1" si="57"/>
        <v/>
      </c>
      <c r="I188" s="137" t="str">
        <f t="shared" ca="1" si="58"/>
        <v/>
      </c>
      <c r="J188" s="139" t="str">
        <f t="shared" ca="1" si="59"/>
        <v/>
      </c>
      <c r="K188" s="77" t="str">
        <f t="shared" ca="1" si="60"/>
        <v/>
      </c>
      <c r="L188" s="137" t="str">
        <f t="shared" ca="1" si="61"/>
        <v/>
      </c>
      <c r="M188" s="139" t="str">
        <f t="shared" ca="1" si="62"/>
        <v/>
      </c>
      <c r="N188" s="77" t="str">
        <f t="shared" ca="1" si="63"/>
        <v/>
      </c>
      <c r="O188" s="137" t="str">
        <f t="shared" ca="1" si="64"/>
        <v/>
      </c>
    </row>
    <row r="189" spans="1:15" ht="16.5" customHeight="1">
      <c r="A189" s="153">
        <v>16</v>
      </c>
      <c r="B189" s="153" t="str">
        <f>TEXT(투자전략!$G$1+15, "[$-ko-KR]yyyy.mm.dd")</f>
        <v>2021.06.16</v>
      </c>
      <c r="C189" s="135" t="str">
        <f t="shared" ca="1" si="52"/>
        <v/>
      </c>
      <c r="D189" s="139" t="str">
        <f t="shared" ca="1" si="53"/>
        <v/>
      </c>
      <c r="E189" s="77" t="str">
        <f t="shared" ca="1" si="54"/>
        <v/>
      </c>
      <c r="F189" s="137" t="str">
        <f t="shared" ca="1" si="55"/>
        <v/>
      </c>
      <c r="G189" s="139" t="str">
        <f t="shared" ca="1" si="56"/>
        <v/>
      </c>
      <c r="H189" s="77" t="str">
        <f t="shared" ca="1" si="57"/>
        <v/>
      </c>
      <c r="I189" s="137" t="str">
        <f t="shared" ca="1" si="58"/>
        <v/>
      </c>
      <c r="J189" s="139" t="str">
        <f t="shared" ca="1" si="59"/>
        <v/>
      </c>
      <c r="K189" s="77" t="str">
        <f t="shared" ca="1" si="60"/>
        <v/>
      </c>
      <c r="L189" s="137" t="str">
        <f t="shared" ca="1" si="61"/>
        <v/>
      </c>
      <c r="M189" s="139" t="str">
        <f t="shared" ca="1" si="62"/>
        <v/>
      </c>
      <c r="N189" s="77" t="str">
        <f t="shared" ca="1" si="63"/>
        <v/>
      </c>
      <c r="O189" s="137" t="str">
        <f t="shared" ca="1" si="64"/>
        <v/>
      </c>
    </row>
    <row r="190" spans="1:15" ht="16.5" customHeight="1">
      <c r="A190" s="153">
        <v>17</v>
      </c>
      <c r="B190" s="153" t="str">
        <f>TEXT(투자전략!$G$1+16, "[$-ko-KR]yyyy.mm.dd")</f>
        <v>2021.06.17</v>
      </c>
      <c r="C190" s="135" t="str">
        <f t="shared" ca="1" si="52"/>
        <v/>
      </c>
      <c r="D190" s="139" t="str">
        <f t="shared" ca="1" si="53"/>
        <v/>
      </c>
      <c r="E190" s="77" t="str">
        <f t="shared" ca="1" si="54"/>
        <v/>
      </c>
      <c r="F190" s="137" t="str">
        <f t="shared" ca="1" si="55"/>
        <v/>
      </c>
      <c r="G190" s="139" t="str">
        <f t="shared" ca="1" si="56"/>
        <v/>
      </c>
      <c r="H190" s="77" t="str">
        <f t="shared" ca="1" si="57"/>
        <v/>
      </c>
      <c r="I190" s="137" t="str">
        <f t="shared" ca="1" si="58"/>
        <v/>
      </c>
      <c r="J190" s="139" t="str">
        <f t="shared" ca="1" si="59"/>
        <v/>
      </c>
      <c r="K190" s="77" t="str">
        <f t="shared" ca="1" si="60"/>
        <v/>
      </c>
      <c r="L190" s="137" t="str">
        <f t="shared" ca="1" si="61"/>
        <v/>
      </c>
      <c r="M190" s="139" t="str">
        <f t="shared" ca="1" si="62"/>
        <v/>
      </c>
      <c r="N190" s="77" t="str">
        <f t="shared" ca="1" si="63"/>
        <v/>
      </c>
      <c r="O190" s="137" t="str">
        <f t="shared" ca="1" si="64"/>
        <v/>
      </c>
    </row>
    <row r="191" spans="1:15" ht="16.5" customHeight="1">
      <c r="A191" s="153">
        <v>18</v>
      </c>
      <c r="B191" s="153" t="str">
        <f>TEXT(투자전략!$G$1+17, "[$-ko-KR]yyyy.mm.dd")</f>
        <v>2021.06.18</v>
      </c>
      <c r="C191" s="135" t="str">
        <f t="shared" ca="1" si="52"/>
        <v/>
      </c>
      <c r="D191" s="139" t="str">
        <f t="shared" ca="1" si="53"/>
        <v/>
      </c>
      <c r="E191" s="77" t="str">
        <f t="shared" ca="1" si="54"/>
        <v/>
      </c>
      <c r="F191" s="137" t="str">
        <f t="shared" ca="1" si="55"/>
        <v/>
      </c>
      <c r="G191" s="139" t="str">
        <f t="shared" ca="1" si="56"/>
        <v/>
      </c>
      <c r="H191" s="77" t="str">
        <f t="shared" ca="1" si="57"/>
        <v/>
      </c>
      <c r="I191" s="137" t="str">
        <f t="shared" ca="1" si="58"/>
        <v/>
      </c>
      <c r="J191" s="139" t="str">
        <f t="shared" ca="1" si="59"/>
        <v/>
      </c>
      <c r="K191" s="77" t="str">
        <f t="shared" ca="1" si="60"/>
        <v/>
      </c>
      <c r="L191" s="137" t="str">
        <f t="shared" ca="1" si="61"/>
        <v/>
      </c>
      <c r="M191" s="139" t="str">
        <f t="shared" ca="1" si="62"/>
        <v/>
      </c>
      <c r="N191" s="77" t="str">
        <f t="shared" ca="1" si="63"/>
        <v/>
      </c>
      <c r="O191" s="137" t="str">
        <f t="shared" ca="1" si="64"/>
        <v/>
      </c>
    </row>
    <row r="192" spans="1:15" ht="16.5" customHeight="1">
      <c r="A192" s="153">
        <v>19</v>
      </c>
      <c r="B192" s="153" t="str">
        <f>TEXT(투자전략!$G$1+18, "[$-ko-KR]yyyy.mm.dd")</f>
        <v>2021.06.19</v>
      </c>
      <c r="C192" s="135" t="str">
        <f t="shared" ca="1" si="52"/>
        <v/>
      </c>
      <c r="D192" s="139" t="str">
        <f t="shared" ca="1" si="53"/>
        <v/>
      </c>
      <c r="E192" s="77" t="str">
        <f t="shared" ca="1" si="54"/>
        <v/>
      </c>
      <c r="F192" s="137" t="str">
        <f t="shared" ca="1" si="55"/>
        <v/>
      </c>
      <c r="G192" s="139" t="str">
        <f t="shared" ca="1" si="56"/>
        <v/>
      </c>
      <c r="H192" s="77" t="str">
        <f t="shared" ca="1" si="57"/>
        <v/>
      </c>
      <c r="I192" s="137" t="str">
        <f t="shared" ca="1" si="58"/>
        <v/>
      </c>
      <c r="J192" s="139" t="str">
        <f t="shared" ca="1" si="59"/>
        <v/>
      </c>
      <c r="K192" s="77" t="str">
        <f t="shared" ca="1" si="60"/>
        <v/>
      </c>
      <c r="L192" s="137" t="str">
        <f t="shared" ca="1" si="61"/>
        <v/>
      </c>
      <c r="M192" s="139" t="str">
        <f t="shared" ca="1" si="62"/>
        <v/>
      </c>
      <c r="N192" s="77" t="str">
        <f t="shared" ca="1" si="63"/>
        <v/>
      </c>
      <c r="O192" s="137" t="str">
        <f t="shared" ca="1" si="64"/>
        <v/>
      </c>
    </row>
    <row r="193" spans="1:15" ht="16.5" customHeight="1">
      <c r="A193" s="153">
        <v>20</v>
      </c>
      <c r="B193" s="153" t="str">
        <f>TEXT(투자전략!$G$1+19, "[$-ko-KR]yyyy.mm.dd")</f>
        <v>2021.06.20</v>
      </c>
      <c r="C193" s="135" t="str">
        <f t="shared" ca="1" si="52"/>
        <v/>
      </c>
      <c r="D193" s="139" t="str">
        <f t="shared" ca="1" si="53"/>
        <v/>
      </c>
      <c r="E193" s="77" t="str">
        <f t="shared" ca="1" si="54"/>
        <v/>
      </c>
      <c r="F193" s="137" t="str">
        <f t="shared" ca="1" si="55"/>
        <v/>
      </c>
      <c r="G193" s="139" t="str">
        <f t="shared" ca="1" si="56"/>
        <v/>
      </c>
      <c r="H193" s="77" t="str">
        <f t="shared" ca="1" si="57"/>
        <v/>
      </c>
      <c r="I193" s="137" t="str">
        <f t="shared" ca="1" si="58"/>
        <v/>
      </c>
      <c r="J193" s="139" t="str">
        <f t="shared" ca="1" si="59"/>
        <v/>
      </c>
      <c r="K193" s="77" t="str">
        <f t="shared" ca="1" si="60"/>
        <v/>
      </c>
      <c r="L193" s="137" t="str">
        <f t="shared" ca="1" si="61"/>
        <v/>
      </c>
      <c r="M193" s="139" t="str">
        <f t="shared" ca="1" si="62"/>
        <v/>
      </c>
      <c r="N193" s="77" t="str">
        <f t="shared" ca="1" si="63"/>
        <v/>
      </c>
      <c r="O193" s="137" t="str">
        <f t="shared" ca="1" si="64"/>
        <v/>
      </c>
    </row>
    <row r="194" spans="1:15" ht="16.5" customHeight="1" thickBot="1">
      <c r="A194" s="155">
        <v>21</v>
      </c>
      <c r="B194" s="155" t="str">
        <f>TEXT(투자전략!$G$1+20, "[$-ko-KR]yyyy.mm.dd")</f>
        <v>2021.06.21</v>
      </c>
      <c r="C194" s="135" t="str">
        <f t="shared" ca="1" si="52"/>
        <v/>
      </c>
      <c r="D194" s="139" t="str">
        <f t="shared" ca="1" si="53"/>
        <v/>
      </c>
      <c r="E194" s="77" t="str">
        <f t="shared" ca="1" si="54"/>
        <v/>
      </c>
      <c r="F194" s="137" t="str">
        <f t="shared" ca="1" si="55"/>
        <v/>
      </c>
      <c r="G194" s="139" t="str">
        <f t="shared" ca="1" si="56"/>
        <v/>
      </c>
      <c r="H194" s="77" t="str">
        <f t="shared" ca="1" si="57"/>
        <v/>
      </c>
      <c r="I194" s="137" t="str">
        <f t="shared" ca="1" si="58"/>
        <v/>
      </c>
      <c r="J194" s="139" t="str">
        <f t="shared" ca="1" si="59"/>
        <v/>
      </c>
      <c r="K194" s="77" t="str">
        <f t="shared" ca="1" si="60"/>
        <v/>
      </c>
      <c r="L194" s="137" t="str">
        <f t="shared" ca="1" si="61"/>
        <v/>
      </c>
      <c r="M194" s="139" t="str">
        <f t="shared" ca="1" si="62"/>
        <v/>
      </c>
      <c r="N194" s="77" t="str">
        <f t="shared" ca="1" si="63"/>
        <v/>
      </c>
      <c r="O194" s="137" t="str">
        <f t="shared" ca="1" si="64"/>
        <v/>
      </c>
    </row>
    <row r="195" spans="1:15" ht="16.5" customHeight="1">
      <c r="A195" s="154">
        <v>22</v>
      </c>
      <c r="B195" s="154" t="str">
        <f>TEXT(투자전략!$G$1+21, "[$-ko-KR]yyyy.mm.dd")</f>
        <v>2021.06.22</v>
      </c>
      <c r="C195" s="134" t="str">
        <f t="shared" ca="1" si="52"/>
        <v/>
      </c>
      <c r="D195" s="142" t="str">
        <f t="shared" ca="1" si="53"/>
        <v/>
      </c>
      <c r="E195" s="76" t="str">
        <f t="shared" ca="1" si="54"/>
        <v/>
      </c>
      <c r="F195" s="141" t="str">
        <f t="shared" ca="1" si="55"/>
        <v/>
      </c>
      <c r="G195" s="142" t="str">
        <f t="shared" ca="1" si="56"/>
        <v/>
      </c>
      <c r="H195" s="76" t="str">
        <f t="shared" ca="1" si="57"/>
        <v/>
      </c>
      <c r="I195" s="141" t="str">
        <f t="shared" ca="1" si="58"/>
        <v/>
      </c>
      <c r="J195" s="142" t="str">
        <f t="shared" ca="1" si="59"/>
        <v/>
      </c>
      <c r="K195" s="76" t="str">
        <f t="shared" ca="1" si="60"/>
        <v/>
      </c>
      <c r="L195" s="141" t="str">
        <f t="shared" ca="1" si="61"/>
        <v/>
      </c>
      <c r="M195" s="142" t="str">
        <f t="shared" ca="1" si="62"/>
        <v/>
      </c>
      <c r="N195" s="76" t="str">
        <f t="shared" ca="1" si="63"/>
        <v/>
      </c>
      <c r="O195" s="141" t="str">
        <f t="shared" ca="1" si="64"/>
        <v/>
      </c>
    </row>
    <row r="196" spans="1:15" ht="16.5" customHeight="1">
      <c r="A196" s="153">
        <v>23</v>
      </c>
      <c r="B196" s="153" t="str">
        <f>TEXT(투자전략!$G$1+22, "[$-ko-KR]yyyy.mm.dd")</f>
        <v>2021.06.23</v>
      </c>
      <c r="C196" s="135" t="str">
        <f t="shared" ca="1" si="52"/>
        <v/>
      </c>
      <c r="D196" s="139" t="str">
        <f t="shared" ca="1" si="53"/>
        <v/>
      </c>
      <c r="E196" s="77" t="str">
        <f t="shared" ca="1" si="54"/>
        <v/>
      </c>
      <c r="F196" s="137" t="str">
        <f t="shared" ca="1" si="55"/>
        <v/>
      </c>
      <c r="G196" s="139" t="str">
        <f t="shared" ca="1" si="56"/>
        <v/>
      </c>
      <c r="H196" s="77" t="str">
        <f t="shared" ca="1" si="57"/>
        <v/>
      </c>
      <c r="I196" s="137" t="str">
        <f t="shared" ca="1" si="58"/>
        <v/>
      </c>
      <c r="J196" s="139" t="str">
        <f t="shared" ca="1" si="59"/>
        <v/>
      </c>
      <c r="K196" s="77" t="str">
        <f t="shared" ca="1" si="60"/>
        <v/>
      </c>
      <c r="L196" s="137" t="str">
        <f t="shared" ca="1" si="61"/>
        <v/>
      </c>
      <c r="M196" s="139" t="str">
        <f t="shared" ca="1" si="62"/>
        <v/>
      </c>
      <c r="N196" s="77" t="str">
        <f t="shared" ca="1" si="63"/>
        <v/>
      </c>
      <c r="O196" s="137" t="str">
        <f t="shared" ca="1" si="64"/>
        <v/>
      </c>
    </row>
    <row r="197" spans="1:15" ht="16.5" customHeight="1">
      <c r="A197" s="153">
        <v>24</v>
      </c>
      <c r="B197" s="153" t="str">
        <f>TEXT(투자전략!$G$1+23, "[$-ko-KR]yyyy.mm.dd")</f>
        <v>2021.06.24</v>
      </c>
      <c r="C197" s="135" t="str">
        <f t="shared" ca="1" si="52"/>
        <v/>
      </c>
      <c r="D197" s="139" t="str">
        <f t="shared" ca="1" si="53"/>
        <v/>
      </c>
      <c r="E197" s="77" t="str">
        <f t="shared" ca="1" si="54"/>
        <v/>
      </c>
      <c r="F197" s="137" t="str">
        <f t="shared" ca="1" si="55"/>
        <v/>
      </c>
      <c r="G197" s="139" t="str">
        <f t="shared" ca="1" si="56"/>
        <v/>
      </c>
      <c r="H197" s="77" t="str">
        <f t="shared" ca="1" si="57"/>
        <v/>
      </c>
      <c r="I197" s="137" t="str">
        <f t="shared" ca="1" si="58"/>
        <v/>
      </c>
      <c r="J197" s="139" t="str">
        <f t="shared" ca="1" si="59"/>
        <v/>
      </c>
      <c r="K197" s="77" t="str">
        <f t="shared" ca="1" si="60"/>
        <v/>
      </c>
      <c r="L197" s="137" t="str">
        <f t="shared" ca="1" si="61"/>
        <v/>
      </c>
      <c r="M197" s="139" t="str">
        <f t="shared" ca="1" si="62"/>
        <v/>
      </c>
      <c r="N197" s="77" t="str">
        <f t="shared" ca="1" si="63"/>
        <v/>
      </c>
      <c r="O197" s="137" t="str">
        <f t="shared" ca="1" si="64"/>
        <v/>
      </c>
    </row>
    <row r="198" spans="1:15" ht="16.5" customHeight="1">
      <c r="A198" s="153">
        <v>25</v>
      </c>
      <c r="B198" s="153" t="str">
        <f>TEXT(투자전략!$G$1+24, "[$-ko-KR]yyyy.mm.dd")</f>
        <v>2021.06.25</v>
      </c>
      <c r="C198" s="135" t="str">
        <f t="shared" ca="1" si="52"/>
        <v/>
      </c>
      <c r="D198" s="139" t="str">
        <f t="shared" ca="1" si="53"/>
        <v/>
      </c>
      <c r="E198" s="77" t="str">
        <f t="shared" ca="1" si="54"/>
        <v/>
      </c>
      <c r="F198" s="137" t="str">
        <f t="shared" ca="1" si="55"/>
        <v/>
      </c>
      <c r="G198" s="139" t="str">
        <f t="shared" ca="1" si="56"/>
        <v/>
      </c>
      <c r="H198" s="77" t="str">
        <f t="shared" ca="1" si="57"/>
        <v/>
      </c>
      <c r="I198" s="137" t="str">
        <f t="shared" ca="1" si="58"/>
        <v/>
      </c>
      <c r="J198" s="139" t="str">
        <f t="shared" ca="1" si="59"/>
        <v/>
      </c>
      <c r="K198" s="77" t="str">
        <f t="shared" ca="1" si="60"/>
        <v/>
      </c>
      <c r="L198" s="137" t="str">
        <f t="shared" ca="1" si="61"/>
        <v/>
      </c>
      <c r="M198" s="139" t="str">
        <f t="shared" ca="1" si="62"/>
        <v/>
      </c>
      <c r="N198" s="77" t="str">
        <f t="shared" ca="1" si="63"/>
        <v/>
      </c>
      <c r="O198" s="137" t="str">
        <f t="shared" ca="1" si="64"/>
        <v/>
      </c>
    </row>
    <row r="199" spans="1:15" ht="16.5" customHeight="1">
      <c r="A199" s="153">
        <v>26</v>
      </c>
      <c r="B199" s="153" t="str">
        <f>TEXT(투자전략!$G$1+25, "[$-ko-KR]yyyy.mm.dd")</f>
        <v>2021.06.26</v>
      </c>
      <c r="C199" s="135" t="str">
        <f t="shared" ca="1" si="52"/>
        <v/>
      </c>
      <c r="D199" s="139" t="str">
        <f t="shared" ca="1" si="53"/>
        <v/>
      </c>
      <c r="E199" s="77" t="str">
        <f t="shared" ca="1" si="54"/>
        <v/>
      </c>
      <c r="F199" s="137" t="str">
        <f t="shared" ca="1" si="55"/>
        <v/>
      </c>
      <c r="G199" s="139" t="str">
        <f t="shared" ca="1" si="56"/>
        <v/>
      </c>
      <c r="H199" s="77" t="str">
        <f t="shared" ca="1" si="57"/>
        <v/>
      </c>
      <c r="I199" s="137" t="str">
        <f t="shared" ca="1" si="58"/>
        <v/>
      </c>
      <c r="J199" s="139" t="str">
        <f t="shared" ca="1" si="59"/>
        <v/>
      </c>
      <c r="K199" s="77" t="str">
        <f t="shared" ca="1" si="60"/>
        <v/>
      </c>
      <c r="L199" s="137" t="str">
        <f t="shared" ca="1" si="61"/>
        <v/>
      </c>
      <c r="M199" s="139" t="str">
        <f t="shared" ca="1" si="62"/>
        <v/>
      </c>
      <c r="N199" s="77" t="str">
        <f t="shared" ca="1" si="63"/>
        <v/>
      </c>
      <c r="O199" s="137" t="str">
        <f t="shared" ca="1" si="64"/>
        <v/>
      </c>
    </row>
    <row r="200" spans="1:15" ht="16.5" customHeight="1">
      <c r="A200" s="153">
        <v>27</v>
      </c>
      <c r="B200" s="153" t="str">
        <f>TEXT(투자전략!$G$1+26, "[$-ko-KR]yyyy.mm.dd")</f>
        <v>2021.06.27</v>
      </c>
      <c r="C200" s="135" t="str">
        <f t="shared" ca="1" si="52"/>
        <v/>
      </c>
      <c r="D200" s="139" t="str">
        <f t="shared" ca="1" si="53"/>
        <v/>
      </c>
      <c r="E200" s="77" t="str">
        <f t="shared" ca="1" si="54"/>
        <v/>
      </c>
      <c r="F200" s="137" t="str">
        <f t="shared" ca="1" si="55"/>
        <v/>
      </c>
      <c r="G200" s="139" t="str">
        <f t="shared" ca="1" si="56"/>
        <v/>
      </c>
      <c r="H200" s="77" t="str">
        <f t="shared" ca="1" si="57"/>
        <v/>
      </c>
      <c r="I200" s="137" t="str">
        <f t="shared" ca="1" si="58"/>
        <v/>
      </c>
      <c r="J200" s="139" t="str">
        <f t="shared" ca="1" si="59"/>
        <v/>
      </c>
      <c r="K200" s="77" t="str">
        <f t="shared" ca="1" si="60"/>
        <v/>
      </c>
      <c r="L200" s="137" t="str">
        <f t="shared" ca="1" si="61"/>
        <v/>
      </c>
      <c r="M200" s="139" t="str">
        <f t="shared" ca="1" si="62"/>
        <v/>
      </c>
      <c r="N200" s="77" t="str">
        <f t="shared" ca="1" si="63"/>
        <v/>
      </c>
      <c r="O200" s="137" t="str">
        <f t="shared" ca="1" si="64"/>
        <v/>
      </c>
    </row>
    <row r="201" spans="1:15" ht="16.5" customHeight="1" thickBot="1">
      <c r="A201" s="155">
        <v>28</v>
      </c>
      <c r="B201" s="155" t="str">
        <f>TEXT(투자전략!$G$1+27, "[$-ko-KR]yyyy.mm.dd")</f>
        <v>2021.06.28</v>
      </c>
      <c r="C201" s="136" t="str">
        <f t="shared" ca="1" si="52"/>
        <v/>
      </c>
      <c r="D201" s="140" t="str">
        <f t="shared" ca="1" si="53"/>
        <v/>
      </c>
      <c r="E201" s="79" t="str">
        <f t="shared" ca="1" si="54"/>
        <v/>
      </c>
      <c r="F201" s="138" t="str">
        <f t="shared" ca="1" si="55"/>
        <v/>
      </c>
      <c r="G201" s="140" t="str">
        <f t="shared" ca="1" si="56"/>
        <v/>
      </c>
      <c r="H201" s="79" t="str">
        <f t="shared" ca="1" si="57"/>
        <v/>
      </c>
      <c r="I201" s="138" t="str">
        <f t="shared" ca="1" si="58"/>
        <v/>
      </c>
      <c r="J201" s="140" t="str">
        <f t="shared" ca="1" si="59"/>
        <v/>
      </c>
      <c r="K201" s="79" t="str">
        <f t="shared" ca="1" si="60"/>
        <v/>
      </c>
      <c r="L201" s="138" t="str">
        <f t="shared" ca="1" si="61"/>
        <v/>
      </c>
      <c r="M201" s="140" t="str">
        <f t="shared" ca="1" si="62"/>
        <v/>
      </c>
      <c r="N201" s="79" t="str">
        <f t="shared" ca="1" si="63"/>
        <v/>
      </c>
      <c r="O201" s="138" t="str">
        <f t="shared" ca="1" si="64"/>
        <v/>
      </c>
    </row>
    <row r="202" spans="1:15" ht="16.5" customHeight="1">
      <c r="A202" s="121">
        <v>29</v>
      </c>
      <c r="B202" s="154" t="str">
        <f>TEXT(투자전략!$G$1+28, "[$-ko-KR]yyyy.mm.dd")</f>
        <v>2021.06.29</v>
      </c>
      <c r="C202" s="135" t="str">
        <f t="shared" ca="1" si="52"/>
        <v/>
      </c>
      <c r="D202" s="139" t="str">
        <f t="shared" ca="1" si="53"/>
        <v/>
      </c>
      <c r="E202" s="77" t="str">
        <f t="shared" ca="1" si="54"/>
        <v/>
      </c>
      <c r="F202" s="137" t="str">
        <f t="shared" ca="1" si="55"/>
        <v/>
      </c>
      <c r="G202" s="139" t="str">
        <f t="shared" ca="1" si="56"/>
        <v/>
      </c>
      <c r="H202" s="77" t="str">
        <f t="shared" ca="1" si="57"/>
        <v/>
      </c>
      <c r="I202" s="137" t="str">
        <f t="shared" ca="1" si="58"/>
        <v/>
      </c>
      <c r="J202" s="139" t="str">
        <f t="shared" ca="1" si="59"/>
        <v/>
      </c>
      <c r="K202" s="77" t="str">
        <f t="shared" ca="1" si="60"/>
        <v/>
      </c>
      <c r="L202" s="137" t="str">
        <f t="shared" ca="1" si="61"/>
        <v/>
      </c>
      <c r="M202" s="139" t="str">
        <f t="shared" ca="1" si="62"/>
        <v/>
      </c>
      <c r="N202" s="77" t="str">
        <f t="shared" ca="1" si="63"/>
        <v/>
      </c>
      <c r="O202" s="137" t="str">
        <f t="shared" ca="1" si="64"/>
        <v/>
      </c>
    </row>
    <row r="203" spans="1:15" ht="16.5" customHeight="1">
      <c r="A203" s="121">
        <v>30</v>
      </c>
      <c r="B203" s="153" t="str">
        <f>TEXT(투자전략!$G$1+29, "[$-ko-KR]yyyy.mm.dd")</f>
        <v>2021.06.30</v>
      </c>
      <c r="C203" s="135" t="str">
        <f t="shared" ca="1" si="52"/>
        <v/>
      </c>
      <c r="D203" s="139" t="str">
        <f t="shared" ca="1" si="53"/>
        <v/>
      </c>
      <c r="E203" s="77" t="str">
        <f t="shared" ca="1" si="54"/>
        <v/>
      </c>
      <c r="F203" s="137" t="str">
        <f t="shared" ca="1" si="55"/>
        <v/>
      </c>
      <c r="G203" s="139" t="str">
        <f t="shared" ca="1" si="56"/>
        <v/>
      </c>
      <c r="H203" s="77" t="str">
        <f t="shared" ca="1" si="57"/>
        <v/>
      </c>
      <c r="I203" s="137" t="str">
        <f t="shared" ca="1" si="58"/>
        <v/>
      </c>
      <c r="J203" s="139" t="str">
        <f t="shared" ca="1" si="59"/>
        <v/>
      </c>
      <c r="K203" s="77" t="str">
        <f t="shared" ca="1" si="60"/>
        <v/>
      </c>
      <c r="L203" s="137" t="str">
        <f t="shared" ca="1" si="61"/>
        <v/>
      </c>
      <c r="M203" s="139" t="str">
        <f t="shared" ca="1" si="62"/>
        <v/>
      </c>
      <c r="N203" s="77" t="str">
        <f t="shared" ca="1" si="63"/>
        <v/>
      </c>
      <c r="O203" s="137" t="str">
        <f t="shared" ca="1" si="64"/>
        <v/>
      </c>
    </row>
    <row r="204" spans="1:15" ht="16.5" customHeight="1" thickBot="1">
      <c r="A204" s="121">
        <v>31</v>
      </c>
      <c r="B204" s="153" t="str">
        <f>TEXT(투자전략!$G$1+30, "[$-ko-KR]yyyy.mm.dd")</f>
        <v>2021.07.01</v>
      </c>
      <c r="C204" s="136" t="str">
        <f t="shared" ca="1" si="52"/>
        <v/>
      </c>
      <c r="D204" s="140" t="str">
        <f t="shared" ca="1" si="53"/>
        <v/>
      </c>
      <c r="E204" s="79" t="str">
        <f t="shared" ca="1" si="54"/>
        <v/>
      </c>
      <c r="F204" s="138" t="str">
        <f t="shared" ca="1" si="55"/>
        <v/>
      </c>
      <c r="G204" s="140" t="str">
        <f t="shared" ca="1" si="56"/>
        <v/>
      </c>
      <c r="H204" s="79" t="str">
        <f t="shared" ca="1" si="57"/>
        <v/>
      </c>
      <c r="I204" s="138" t="str">
        <f t="shared" ca="1" si="58"/>
        <v/>
      </c>
      <c r="J204" s="140" t="str">
        <f t="shared" ca="1" si="59"/>
        <v/>
      </c>
      <c r="K204" s="79" t="str">
        <f t="shared" ca="1" si="60"/>
        <v/>
      </c>
      <c r="L204" s="138" t="str">
        <f t="shared" ca="1" si="61"/>
        <v/>
      </c>
      <c r="M204" s="140" t="str">
        <f t="shared" ca="1" si="62"/>
        <v/>
      </c>
      <c r="N204" s="79" t="str">
        <f t="shared" ca="1" si="63"/>
        <v/>
      </c>
      <c r="O204" s="138" t="str">
        <f t="shared" ca="1" si="64"/>
        <v/>
      </c>
    </row>
    <row r="205" spans="1:15" ht="16.5" customHeight="1" thickBot="1">
      <c r="A205" s="211" t="s">
        <v>313</v>
      </c>
      <c r="B205" s="213"/>
      <c r="C205" s="132" t="s">
        <v>308</v>
      </c>
      <c r="D205" s="150" t="s">
        <v>309</v>
      </c>
      <c r="E205" s="151" t="s">
        <v>310</v>
      </c>
      <c r="F205" s="152" t="s">
        <v>311</v>
      </c>
      <c r="G205" s="150" t="s">
        <v>309</v>
      </c>
      <c r="H205" s="151" t="s">
        <v>310</v>
      </c>
      <c r="I205" s="152" t="s">
        <v>311</v>
      </c>
      <c r="J205" s="150" t="s">
        <v>309</v>
      </c>
      <c r="K205" s="151" t="s">
        <v>310</v>
      </c>
      <c r="L205" s="152" t="s">
        <v>311</v>
      </c>
      <c r="M205" s="150" t="s">
        <v>309</v>
      </c>
      <c r="N205" s="151" t="s">
        <v>310</v>
      </c>
      <c r="O205" s="152" t="s">
        <v>311</v>
      </c>
    </row>
    <row r="206" spans="1:15" ht="16.5" customHeight="1" thickBot="1">
      <c r="A206" s="204"/>
      <c r="B206" s="206"/>
      <c r="C206" s="136">
        <f ca="1">SUM(C174:C204)</f>
        <v>3000000</v>
      </c>
      <c r="D206" s="140">
        <f ca="1">SUM(D174:D204)</f>
        <v>3000000</v>
      </c>
      <c r="E206" s="79">
        <f ca="1">IFERROR(F206 / (SUM($C174:$C204) / COUNT($C174:$C204)), 0)</f>
        <v>0</v>
      </c>
      <c r="F206" s="138">
        <f ca="1">SUM(F174:F204)</f>
        <v>0</v>
      </c>
      <c r="G206" s="140">
        <f ca="1">SUM(G174:G204)</f>
        <v>3000000</v>
      </c>
      <c r="H206" s="79">
        <f ca="1">IFERROR(I206 / (SUM($C174:$C204) / COUNT($C174:$C204)), 0)</f>
        <v>0</v>
      </c>
      <c r="I206" s="138">
        <f ca="1">SUM(I174:I204)</f>
        <v>0</v>
      </c>
      <c r="J206" s="140">
        <f ca="1">SUM(J174:J204)</f>
        <v>3000000</v>
      </c>
      <c r="K206" s="79">
        <f ca="1">IFERROR(L206 / (SUM($C174:$C204) / COUNT($C174:$C204)), 0)</f>
        <v>0</v>
      </c>
      <c r="L206" s="138">
        <f ca="1">SUM(L174:L204)</f>
        <v>0</v>
      </c>
      <c r="M206" s="140">
        <f ca="1">SUM(M174:M204)</f>
        <v>3000000</v>
      </c>
      <c r="N206" s="79">
        <f ca="1">IFERROR(O206 / (SUM($C174:$C204) / COUNT($C174:$C204)), 0)</f>
        <v>0</v>
      </c>
      <c r="O206" s="138">
        <f ca="1">SUM(O174:O204)</f>
        <v>0</v>
      </c>
    </row>
    <row r="208" spans="1:15" ht="16.5" customHeight="1" thickBot="1"/>
    <row r="209" spans="1:15" ht="16.5" customHeight="1" thickBot="1">
      <c r="A209" s="183" t="str">
        <f>TEXT(투자전략!$G$1, "[$-ko-KR]yyyy년 mm월 ") &amp; "[동전코인] 전일대비 상승률 Bottom20 월말결산"</f>
        <v>2021년 06월 [동전코인] 전일대비 상승률 Bottom20 월말결산</v>
      </c>
      <c r="B209" s="184"/>
      <c r="C209" s="184"/>
      <c r="D209" s="184"/>
      <c r="E209" s="184"/>
      <c r="F209" s="184"/>
      <c r="G209" s="184"/>
      <c r="H209" s="184"/>
      <c r="I209" s="184"/>
      <c r="J209" s="184"/>
      <c r="K209" s="184"/>
      <c r="L209" s="184"/>
      <c r="M209" s="184"/>
      <c r="N209" s="184"/>
      <c r="O209" s="185"/>
    </row>
    <row r="210" spans="1:15" ht="16.5" customHeight="1" thickBot="1">
      <c r="A210" s="227" t="s">
        <v>314</v>
      </c>
      <c r="B210" s="204" t="s">
        <v>312</v>
      </c>
      <c r="C210" s="206"/>
      <c r="D210" s="204" t="s">
        <v>304</v>
      </c>
      <c r="E210" s="205"/>
      <c r="F210" s="206"/>
      <c r="G210" s="204" t="s">
        <v>305</v>
      </c>
      <c r="H210" s="205"/>
      <c r="I210" s="206"/>
      <c r="J210" s="204" t="s">
        <v>306</v>
      </c>
      <c r="K210" s="205"/>
      <c r="L210" s="206"/>
      <c r="M210" s="204" t="s">
        <v>307</v>
      </c>
      <c r="N210" s="205"/>
      <c r="O210" s="206"/>
    </row>
    <row r="211" spans="1:15" ht="16.5" customHeight="1" thickBot="1">
      <c r="A211" s="220"/>
      <c r="B211" s="154" t="s">
        <v>302</v>
      </c>
      <c r="C211" s="154" t="s">
        <v>42</v>
      </c>
      <c r="D211" s="121" t="s">
        <v>303</v>
      </c>
      <c r="E211" s="133" t="s">
        <v>40</v>
      </c>
      <c r="F211" s="156" t="s">
        <v>41</v>
      </c>
      <c r="G211" s="121" t="s">
        <v>303</v>
      </c>
      <c r="H211" s="133" t="s">
        <v>40</v>
      </c>
      <c r="I211" s="156" t="s">
        <v>41</v>
      </c>
      <c r="J211" s="121" t="s">
        <v>303</v>
      </c>
      <c r="K211" s="133" t="s">
        <v>40</v>
      </c>
      <c r="L211" s="156" t="s">
        <v>41</v>
      </c>
      <c r="M211" s="121" t="s">
        <v>303</v>
      </c>
      <c r="N211" s="133" t="s">
        <v>40</v>
      </c>
      <c r="O211" s="156" t="s">
        <v>41</v>
      </c>
    </row>
    <row r="212" spans="1:15" ht="16.5" customHeight="1">
      <c r="A212" s="154">
        <v>1</v>
      </c>
      <c r="B212" s="154" t="str">
        <f>TEXT(투자전략!$G$1+0, "[$-ko-KR]yyyy.mm.dd")</f>
        <v>2021.06.01</v>
      </c>
      <c r="C212" s="134">
        <f ca="1">IFERROR(COUNTA(INDIRECT($B212&amp;"!A152:A171")) * INDIRECT($B212&amp;"!B172"), "")</f>
        <v>3000000</v>
      </c>
      <c r="D212" s="142">
        <f ca="1">IFERROR($C212 * (1 + E212), "")</f>
        <v>3000000</v>
      </c>
      <c r="E212" s="76">
        <f ca="1">IFERROR(INDIRECT($B212&amp;"!E172"), "")</f>
        <v>0</v>
      </c>
      <c r="F212" s="141">
        <f ca="1">IFERROR(INDIRECT($B212&amp;"!F172"), "")</f>
        <v>0</v>
      </c>
      <c r="G212" s="142">
        <f ca="1">IFERROR($C212 * (1 + H212), "")</f>
        <v>3000000</v>
      </c>
      <c r="H212" s="76">
        <f ca="1">IFERROR(INDIRECT($B212&amp;"!H172"), "")</f>
        <v>0</v>
      </c>
      <c r="I212" s="141">
        <f ca="1">IFERROR(INDIRECT($B212&amp;"!I172"), "")</f>
        <v>0</v>
      </c>
      <c r="J212" s="142">
        <f ca="1">IFERROR($C212 * (1 + K212), "")</f>
        <v>3000000</v>
      </c>
      <c r="K212" s="76">
        <f ca="1">IFERROR(INDIRECT($B212&amp;"!K172"), "")</f>
        <v>0</v>
      </c>
      <c r="L212" s="141">
        <f ca="1">IFERROR(INDIRECT($B212&amp;"!L172"), "")</f>
        <v>0</v>
      </c>
      <c r="M212" s="142">
        <f ca="1">IFERROR($C212 * (1 + N212), "")</f>
        <v>3000000</v>
      </c>
      <c r="N212" s="76">
        <f ca="1">IFERROR(INDIRECT($B212&amp;"!N172"), "")</f>
        <v>0</v>
      </c>
      <c r="O212" s="141">
        <f ca="1">IFERROR(INDIRECT($B212&amp;"!O172"), "")</f>
        <v>0</v>
      </c>
    </row>
    <row r="213" spans="1:15" ht="16.5" customHeight="1">
      <c r="A213" s="153">
        <v>2</v>
      </c>
      <c r="B213" s="153" t="str">
        <f>TEXT(투자전략!$G$1+1, "[$-ko-KR]yyyy.mm.dd")</f>
        <v>2021.06.02</v>
      </c>
      <c r="C213" s="135" t="str">
        <f t="shared" ref="C213:C242" ca="1" si="65">IFERROR(COUNTA(INDIRECT($B213&amp;"!A152:A171")) * INDIRECT($B213&amp;"!B172"), "")</f>
        <v/>
      </c>
      <c r="D213" s="139" t="str">
        <f t="shared" ref="D213:D242" ca="1" si="66">IFERROR($C213 * (1 + E213), "")</f>
        <v/>
      </c>
      <c r="E213" s="77" t="str">
        <f t="shared" ref="E213:E242" ca="1" si="67">IFERROR(INDIRECT($B213&amp;"!E172"), "")</f>
        <v/>
      </c>
      <c r="F213" s="137" t="str">
        <f t="shared" ref="F213:F242" ca="1" si="68">IFERROR(INDIRECT($B213&amp;"!F172"), "")</f>
        <v/>
      </c>
      <c r="G213" s="139" t="str">
        <f t="shared" ref="G213:G242" ca="1" si="69">IFERROR($C213 * (1 + H213), "")</f>
        <v/>
      </c>
      <c r="H213" s="77" t="str">
        <f t="shared" ref="H213:H242" ca="1" si="70">IFERROR(INDIRECT($B213&amp;"!H172"), "")</f>
        <v/>
      </c>
      <c r="I213" s="137" t="str">
        <f t="shared" ref="I213:I242" ca="1" si="71">IFERROR(INDIRECT($B213&amp;"!I172"), "")</f>
        <v/>
      </c>
      <c r="J213" s="139" t="str">
        <f t="shared" ref="J213:J242" ca="1" si="72">IFERROR($C213 * (1 + K213), "")</f>
        <v/>
      </c>
      <c r="K213" s="77" t="str">
        <f t="shared" ref="K213:K242" ca="1" si="73">IFERROR(INDIRECT($B213&amp;"!K172"), "")</f>
        <v/>
      </c>
      <c r="L213" s="137" t="str">
        <f t="shared" ref="L213:L242" ca="1" si="74">IFERROR(INDIRECT($B213&amp;"!L172"), "")</f>
        <v/>
      </c>
      <c r="M213" s="139" t="str">
        <f t="shared" ref="M213:M242" ca="1" si="75">IFERROR($C213 * (1 + N213), "")</f>
        <v/>
      </c>
      <c r="N213" s="77" t="str">
        <f t="shared" ref="N213:N242" ca="1" si="76">IFERROR(INDIRECT($B213&amp;"!N172"), "")</f>
        <v/>
      </c>
      <c r="O213" s="137" t="str">
        <f t="shared" ref="O213:O242" ca="1" si="77">IFERROR(INDIRECT($B213&amp;"!O172"), "")</f>
        <v/>
      </c>
    </row>
    <row r="214" spans="1:15" ht="16.5" customHeight="1">
      <c r="A214" s="153">
        <v>3</v>
      </c>
      <c r="B214" s="153" t="str">
        <f>TEXT(투자전략!$G$1+2, "[$-ko-KR]yyyy.mm.dd")</f>
        <v>2021.06.03</v>
      </c>
      <c r="C214" s="135" t="str">
        <f t="shared" ca="1" si="65"/>
        <v/>
      </c>
      <c r="D214" s="139" t="str">
        <f t="shared" ca="1" si="66"/>
        <v/>
      </c>
      <c r="E214" s="77" t="str">
        <f t="shared" ca="1" si="67"/>
        <v/>
      </c>
      <c r="F214" s="137" t="str">
        <f t="shared" ca="1" si="68"/>
        <v/>
      </c>
      <c r="G214" s="139" t="str">
        <f t="shared" ca="1" si="69"/>
        <v/>
      </c>
      <c r="H214" s="77" t="str">
        <f t="shared" ca="1" si="70"/>
        <v/>
      </c>
      <c r="I214" s="137" t="str">
        <f t="shared" ca="1" si="71"/>
        <v/>
      </c>
      <c r="J214" s="139" t="str">
        <f t="shared" ca="1" si="72"/>
        <v/>
      </c>
      <c r="K214" s="77" t="str">
        <f t="shared" ca="1" si="73"/>
        <v/>
      </c>
      <c r="L214" s="137" t="str">
        <f t="shared" ca="1" si="74"/>
        <v/>
      </c>
      <c r="M214" s="139" t="str">
        <f t="shared" ca="1" si="75"/>
        <v/>
      </c>
      <c r="N214" s="77" t="str">
        <f t="shared" ca="1" si="76"/>
        <v/>
      </c>
      <c r="O214" s="137" t="str">
        <f t="shared" ca="1" si="77"/>
        <v/>
      </c>
    </row>
    <row r="215" spans="1:15" ht="16.5" customHeight="1">
      <c r="A215" s="153">
        <v>4</v>
      </c>
      <c r="B215" s="153" t="str">
        <f>TEXT(투자전략!$G$1+3, "[$-ko-KR]yyyy.mm.dd")</f>
        <v>2021.06.04</v>
      </c>
      <c r="C215" s="135" t="str">
        <f t="shared" ca="1" si="65"/>
        <v/>
      </c>
      <c r="D215" s="139" t="str">
        <f t="shared" ca="1" si="66"/>
        <v/>
      </c>
      <c r="E215" s="77" t="str">
        <f t="shared" ca="1" si="67"/>
        <v/>
      </c>
      <c r="F215" s="137" t="str">
        <f t="shared" ca="1" si="68"/>
        <v/>
      </c>
      <c r="G215" s="139" t="str">
        <f t="shared" ca="1" si="69"/>
        <v/>
      </c>
      <c r="H215" s="77" t="str">
        <f t="shared" ca="1" si="70"/>
        <v/>
      </c>
      <c r="I215" s="137" t="str">
        <f t="shared" ca="1" si="71"/>
        <v/>
      </c>
      <c r="J215" s="139" t="str">
        <f t="shared" ca="1" si="72"/>
        <v/>
      </c>
      <c r="K215" s="77" t="str">
        <f t="shared" ca="1" si="73"/>
        <v/>
      </c>
      <c r="L215" s="137" t="str">
        <f t="shared" ca="1" si="74"/>
        <v/>
      </c>
      <c r="M215" s="139" t="str">
        <f t="shared" ca="1" si="75"/>
        <v/>
      </c>
      <c r="N215" s="77" t="str">
        <f t="shared" ca="1" si="76"/>
        <v/>
      </c>
      <c r="O215" s="137" t="str">
        <f t="shared" ca="1" si="77"/>
        <v/>
      </c>
    </row>
    <row r="216" spans="1:15" ht="16.5" customHeight="1">
      <c r="A216" s="153">
        <v>5</v>
      </c>
      <c r="B216" s="153" t="str">
        <f>TEXT(투자전략!$G$1+4, "[$-ko-KR]yyyy.mm.dd")</f>
        <v>2021.06.05</v>
      </c>
      <c r="C216" s="135" t="str">
        <f t="shared" ca="1" si="65"/>
        <v/>
      </c>
      <c r="D216" s="139" t="str">
        <f t="shared" ca="1" si="66"/>
        <v/>
      </c>
      <c r="E216" s="77" t="str">
        <f t="shared" ca="1" si="67"/>
        <v/>
      </c>
      <c r="F216" s="137" t="str">
        <f t="shared" ca="1" si="68"/>
        <v/>
      </c>
      <c r="G216" s="139" t="str">
        <f t="shared" ca="1" si="69"/>
        <v/>
      </c>
      <c r="H216" s="77" t="str">
        <f t="shared" ca="1" si="70"/>
        <v/>
      </c>
      <c r="I216" s="137" t="str">
        <f t="shared" ca="1" si="71"/>
        <v/>
      </c>
      <c r="J216" s="139" t="str">
        <f t="shared" ca="1" si="72"/>
        <v/>
      </c>
      <c r="K216" s="77" t="str">
        <f t="shared" ca="1" si="73"/>
        <v/>
      </c>
      <c r="L216" s="137" t="str">
        <f t="shared" ca="1" si="74"/>
        <v/>
      </c>
      <c r="M216" s="139" t="str">
        <f t="shared" ca="1" si="75"/>
        <v/>
      </c>
      <c r="N216" s="77" t="str">
        <f t="shared" ca="1" si="76"/>
        <v/>
      </c>
      <c r="O216" s="137" t="str">
        <f t="shared" ca="1" si="77"/>
        <v/>
      </c>
    </row>
    <row r="217" spans="1:15" ht="16.5" customHeight="1">
      <c r="A217" s="153">
        <v>6</v>
      </c>
      <c r="B217" s="153" t="str">
        <f>TEXT(투자전략!$G$1+5, "[$-ko-KR]yyyy.mm.dd")</f>
        <v>2021.06.06</v>
      </c>
      <c r="C217" s="135" t="str">
        <f t="shared" ca="1" si="65"/>
        <v/>
      </c>
      <c r="D217" s="139" t="str">
        <f t="shared" ca="1" si="66"/>
        <v/>
      </c>
      <c r="E217" s="77" t="str">
        <f t="shared" ca="1" si="67"/>
        <v/>
      </c>
      <c r="F217" s="137" t="str">
        <f t="shared" ca="1" si="68"/>
        <v/>
      </c>
      <c r="G217" s="139" t="str">
        <f t="shared" ca="1" si="69"/>
        <v/>
      </c>
      <c r="H217" s="77" t="str">
        <f t="shared" ca="1" si="70"/>
        <v/>
      </c>
      <c r="I217" s="137" t="str">
        <f t="shared" ca="1" si="71"/>
        <v/>
      </c>
      <c r="J217" s="139" t="str">
        <f t="shared" ca="1" si="72"/>
        <v/>
      </c>
      <c r="K217" s="77" t="str">
        <f t="shared" ca="1" si="73"/>
        <v/>
      </c>
      <c r="L217" s="137" t="str">
        <f t="shared" ca="1" si="74"/>
        <v/>
      </c>
      <c r="M217" s="139" t="str">
        <f t="shared" ca="1" si="75"/>
        <v/>
      </c>
      <c r="N217" s="77" t="str">
        <f t="shared" ca="1" si="76"/>
        <v/>
      </c>
      <c r="O217" s="137" t="str">
        <f t="shared" ca="1" si="77"/>
        <v/>
      </c>
    </row>
    <row r="218" spans="1:15" ht="16.5" customHeight="1" thickBot="1">
      <c r="A218" s="155">
        <v>7</v>
      </c>
      <c r="B218" s="155" t="str">
        <f>TEXT(투자전략!$G$1+6, "[$-ko-KR]yyyy.mm.dd")</f>
        <v>2021.06.07</v>
      </c>
      <c r="C218" s="135" t="str">
        <f t="shared" ca="1" si="65"/>
        <v/>
      </c>
      <c r="D218" s="139" t="str">
        <f t="shared" ca="1" si="66"/>
        <v/>
      </c>
      <c r="E218" s="77" t="str">
        <f t="shared" ca="1" si="67"/>
        <v/>
      </c>
      <c r="F218" s="137" t="str">
        <f t="shared" ca="1" si="68"/>
        <v/>
      </c>
      <c r="G218" s="139" t="str">
        <f t="shared" ca="1" si="69"/>
        <v/>
      </c>
      <c r="H218" s="77" t="str">
        <f t="shared" ca="1" si="70"/>
        <v/>
      </c>
      <c r="I218" s="137" t="str">
        <f t="shared" ca="1" si="71"/>
        <v/>
      </c>
      <c r="J218" s="139" t="str">
        <f t="shared" ca="1" si="72"/>
        <v/>
      </c>
      <c r="K218" s="77" t="str">
        <f t="shared" ca="1" si="73"/>
        <v/>
      </c>
      <c r="L218" s="137" t="str">
        <f t="shared" ca="1" si="74"/>
        <v/>
      </c>
      <c r="M218" s="139" t="str">
        <f t="shared" ca="1" si="75"/>
        <v/>
      </c>
      <c r="N218" s="77" t="str">
        <f t="shared" ca="1" si="76"/>
        <v/>
      </c>
      <c r="O218" s="137" t="str">
        <f t="shared" ca="1" si="77"/>
        <v/>
      </c>
    </row>
    <row r="219" spans="1:15" ht="16.5" customHeight="1">
      <c r="A219" s="154">
        <v>8</v>
      </c>
      <c r="B219" s="154" t="str">
        <f>TEXT(투자전략!$G$1+7, "[$-ko-KR]yyyy.mm.dd")</f>
        <v>2021.06.08</v>
      </c>
      <c r="C219" s="134" t="str">
        <f t="shared" ca="1" si="65"/>
        <v/>
      </c>
      <c r="D219" s="142" t="str">
        <f t="shared" ca="1" si="66"/>
        <v/>
      </c>
      <c r="E219" s="76" t="str">
        <f t="shared" ca="1" si="67"/>
        <v/>
      </c>
      <c r="F219" s="141" t="str">
        <f t="shared" ca="1" si="68"/>
        <v/>
      </c>
      <c r="G219" s="142" t="str">
        <f t="shared" ca="1" si="69"/>
        <v/>
      </c>
      <c r="H219" s="76" t="str">
        <f t="shared" ca="1" si="70"/>
        <v/>
      </c>
      <c r="I219" s="141" t="str">
        <f t="shared" ca="1" si="71"/>
        <v/>
      </c>
      <c r="J219" s="142" t="str">
        <f t="shared" ca="1" si="72"/>
        <v/>
      </c>
      <c r="K219" s="76" t="str">
        <f t="shared" ca="1" si="73"/>
        <v/>
      </c>
      <c r="L219" s="141" t="str">
        <f t="shared" ca="1" si="74"/>
        <v/>
      </c>
      <c r="M219" s="142" t="str">
        <f t="shared" ca="1" si="75"/>
        <v/>
      </c>
      <c r="N219" s="76" t="str">
        <f t="shared" ca="1" si="76"/>
        <v/>
      </c>
      <c r="O219" s="141" t="str">
        <f t="shared" ca="1" si="77"/>
        <v/>
      </c>
    </row>
    <row r="220" spans="1:15" ht="16.5" customHeight="1">
      <c r="A220" s="153">
        <v>9</v>
      </c>
      <c r="B220" s="153" t="str">
        <f>TEXT(투자전략!$G$1+8, "[$-ko-KR]yyyy.mm.dd")</f>
        <v>2021.06.09</v>
      </c>
      <c r="C220" s="135" t="str">
        <f t="shared" ca="1" si="65"/>
        <v/>
      </c>
      <c r="D220" s="139" t="str">
        <f t="shared" ca="1" si="66"/>
        <v/>
      </c>
      <c r="E220" s="77" t="str">
        <f t="shared" ca="1" si="67"/>
        <v/>
      </c>
      <c r="F220" s="137" t="str">
        <f t="shared" ca="1" si="68"/>
        <v/>
      </c>
      <c r="G220" s="139" t="str">
        <f t="shared" ca="1" si="69"/>
        <v/>
      </c>
      <c r="H220" s="77" t="str">
        <f t="shared" ca="1" si="70"/>
        <v/>
      </c>
      <c r="I220" s="137" t="str">
        <f t="shared" ca="1" si="71"/>
        <v/>
      </c>
      <c r="J220" s="139" t="str">
        <f t="shared" ca="1" si="72"/>
        <v/>
      </c>
      <c r="K220" s="77" t="str">
        <f t="shared" ca="1" si="73"/>
        <v/>
      </c>
      <c r="L220" s="137" t="str">
        <f t="shared" ca="1" si="74"/>
        <v/>
      </c>
      <c r="M220" s="139" t="str">
        <f t="shared" ca="1" si="75"/>
        <v/>
      </c>
      <c r="N220" s="77" t="str">
        <f t="shared" ca="1" si="76"/>
        <v/>
      </c>
      <c r="O220" s="137" t="str">
        <f t="shared" ca="1" si="77"/>
        <v/>
      </c>
    </row>
    <row r="221" spans="1:15" ht="16.5" customHeight="1">
      <c r="A221" s="153">
        <v>10</v>
      </c>
      <c r="B221" s="153" t="str">
        <f>TEXT(투자전략!$G$1+9, "[$-ko-KR]yyyy.mm.dd")</f>
        <v>2021.06.10</v>
      </c>
      <c r="C221" s="135" t="str">
        <f t="shared" ca="1" si="65"/>
        <v/>
      </c>
      <c r="D221" s="139" t="str">
        <f t="shared" ca="1" si="66"/>
        <v/>
      </c>
      <c r="E221" s="77" t="str">
        <f t="shared" ca="1" si="67"/>
        <v/>
      </c>
      <c r="F221" s="137" t="str">
        <f t="shared" ca="1" si="68"/>
        <v/>
      </c>
      <c r="G221" s="139" t="str">
        <f t="shared" ca="1" si="69"/>
        <v/>
      </c>
      <c r="H221" s="77" t="str">
        <f t="shared" ca="1" si="70"/>
        <v/>
      </c>
      <c r="I221" s="137" t="str">
        <f t="shared" ca="1" si="71"/>
        <v/>
      </c>
      <c r="J221" s="139" t="str">
        <f t="shared" ca="1" si="72"/>
        <v/>
      </c>
      <c r="K221" s="77" t="str">
        <f t="shared" ca="1" si="73"/>
        <v/>
      </c>
      <c r="L221" s="137" t="str">
        <f t="shared" ca="1" si="74"/>
        <v/>
      </c>
      <c r="M221" s="139" t="str">
        <f t="shared" ca="1" si="75"/>
        <v/>
      </c>
      <c r="N221" s="77" t="str">
        <f t="shared" ca="1" si="76"/>
        <v/>
      </c>
      <c r="O221" s="137" t="str">
        <f t="shared" ca="1" si="77"/>
        <v/>
      </c>
    </row>
    <row r="222" spans="1:15" ht="16.5" customHeight="1">
      <c r="A222" s="153">
        <v>11</v>
      </c>
      <c r="B222" s="153" t="str">
        <f>TEXT(투자전략!$G$1+10, "[$-ko-KR]yyyy.mm.dd")</f>
        <v>2021.06.11</v>
      </c>
      <c r="C222" s="135" t="str">
        <f t="shared" ca="1" si="65"/>
        <v/>
      </c>
      <c r="D222" s="139" t="str">
        <f t="shared" ca="1" si="66"/>
        <v/>
      </c>
      <c r="E222" s="77" t="str">
        <f t="shared" ca="1" si="67"/>
        <v/>
      </c>
      <c r="F222" s="137" t="str">
        <f t="shared" ca="1" si="68"/>
        <v/>
      </c>
      <c r="G222" s="139" t="str">
        <f t="shared" ca="1" si="69"/>
        <v/>
      </c>
      <c r="H222" s="77" t="str">
        <f t="shared" ca="1" si="70"/>
        <v/>
      </c>
      <c r="I222" s="137" t="str">
        <f t="shared" ca="1" si="71"/>
        <v/>
      </c>
      <c r="J222" s="139" t="str">
        <f t="shared" ca="1" si="72"/>
        <v/>
      </c>
      <c r="K222" s="77" t="str">
        <f t="shared" ca="1" si="73"/>
        <v/>
      </c>
      <c r="L222" s="137" t="str">
        <f t="shared" ca="1" si="74"/>
        <v/>
      </c>
      <c r="M222" s="139" t="str">
        <f t="shared" ca="1" si="75"/>
        <v/>
      </c>
      <c r="N222" s="77" t="str">
        <f t="shared" ca="1" si="76"/>
        <v/>
      </c>
      <c r="O222" s="137" t="str">
        <f t="shared" ca="1" si="77"/>
        <v/>
      </c>
    </row>
    <row r="223" spans="1:15" ht="16.5" customHeight="1">
      <c r="A223" s="153">
        <v>12</v>
      </c>
      <c r="B223" s="153" t="str">
        <f>TEXT(투자전략!$G$1+11, "[$-ko-KR]yyyy.mm.dd")</f>
        <v>2021.06.12</v>
      </c>
      <c r="C223" s="135" t="str">
        <f t="shared" ca="1" si="65"/>
        <v/>
      </c>
      <c r="D223" s="139" t="str">
        <f t="shared" ca="1" si="66"/>
        <v/>
      </c>
      <c r="E223" s="77" t="str">
        <f t="shared" ca="1" si="67"/>
        <v/>
      </c>
      <c r="F223" s="137" t="str">
        <f t="shared" ca="1" si="68"/>
        <v/>
      </c>
      <c r="G223" s="139" t="str">
        <f t="shared" ca="1" si="69"/>
        <v/>
      </c>
      <c r="H223" s="77" t="str">
        <f t="shared" ca="1" si="70"/>
        <v/>
      </c>
      <c r="I223" s="137" t="str">
        <f t="shared" ca="1" si="71"/>
        <v/>
      </c>
      <c r="J223" s="139" t="str">
        <f t="shared" ca="1" si="72"/>
        <v/>
      </c>
      <c r="K223" s="77" t="str">
        <f t="shared" ca="1" si="73"/>
        <v/>
      </c>
      <c r="L223" s="137" t="str">
        <f t="shared" ca="1" si="74"/>
        <v/>
      </c>
      <c r="M223" s="139" t="str">
        <f t="shared" ca="1" si="75"/>
        <v/>
      </c>
      <c r="N223" s="77" t="str">
        <f t="shared" ca="1" si="76"/>
        <v/>
      </c>
      <c r="O223" s="137" t="str">
        <f t="shared" ca="1" si="77"/>
        <v/>
      </c>
    </row>
    <row r="224" spans="1:15" ht="16.5" customHeight="1">
      <c r="A224" s="153">
        <v>13</v>
      </c>
      <c r="B224" s="153" t="str">
        <f>TEXT(투자전략!$G$1+12, "[$-ko-KR]yyyy.mm.dd")</f>
        <v>2021.06.13</v>
      </c>
      <c r="C224" s="135" t="str">
        <f t="shared" ca="1" si="65"/>
        <v/>
      </c>
      <c r="D224" s="139" t="str">
        <f t="shared" ca="1" si="66"/>
        <v/>
      </c>
      <c r="E224" s="77" t="str">
        <f t="shared" ca="1" si="67"/>
        <v/>
      </c>
      <c r="F224" s="137" t="str">
        <f t="shared" ca="1" si="68"/>
        <v/>
      </c>
      <c r="G224" s="139" t="str">
        <f t="shared" ca="1" si="69"/>
        <v/>
      </c>
      <c r="H224" s="77" t="str">
        <f t="shared" ca="1" si="70"/>
        <v/>
      </c>
      <c r="I224" s="137" t="str">
        <f t="shared" ca="1" si="71"/>
        <v/>
      </c>
      <c r="J224" s="139" t="str">
        <f t="shared" ca="1" si="72"/>
        <v/>
      </c>
      <c r="K224" s="77" t="str">
        <f t="shared" ca="1" si="73"/>
        <v/>
      </c>
      <c r="L224" s="137" t="str">
        <f t="shared" ca="1" si="74"/>
        <v/>
      </c>
      <c r="M224" s="139" t="str">
        <f t="shared" ca="1" si="75"/>
        <v/>
      </c>
      <c r="N224" s="77" t="str">
        <f t="shared" ca="1" si="76"/>
        <v/>
      </c>
      <c r="O224" s="137" t="str">
        <f t="shared" ca="1" si="77"/>
        <v/>
      </c>
    </row>
    <row r="225" spans="1:15" ht="16.5" customHeight="1" thickBot="1">
      <c r="A225" s="155">
        <v>14</v>
      </c>
      <c r="B225" s="155" t="str">
        <f>TEXT(투자전략!$G$1+13, "[$-ko-KR]yyyy.mm.dd")</f>
        <v>2021.06.14</v>
      </c>
      <c r="C225" s="136" t="str">
        <f t="shared" ca="1" si="65"/>
        <v/>
      </c>
      <c r="D225" s="140" t="str">
        <f t="shared" ca="1" si="66"/>
        <v/>
      </c>
      <c r="E225" s="79" t="str">
        <f t="shared" ca="1" si="67"/>
        <v/>
      </c>
      <c r="F225" s="138" t="str">
        <f t="shared" ca="1" si="68"/>
        <v/>
      </c>
      <c r="G225" s="140" t="str">
        <f t="shared" ca="1" si="69"/>
        <v/>
      </c>
      <c r="H225" s="79" t="str">
        <f t="shared" ca="1" si="70"/>
        <v/>
      </c>
      <c r="I225" s="138" t="str">
        <f t="shared" ca="1" si="71"/>
        <v/>
      </c>
      <c r="J225" s="140" t="str">
        <f t="shared" ca="1" si="72"/>
        <v/>
      </c>
      <c r="K225" s="79" t="str">
        <f t="shared" ca="1" si="73"/>
        <v/>
      </c>
      <c r="L225" s="138" t="str">
        <f t="shared" ca="1" si="74"/>
        <v/>
      </c>
      <c r="M225" s="140" t="str">
        <f t="shared" ca="1" si="75"/>
        <v/>
      </c>
      <c r="N225" s="79" t="str">
        <f t="shared" ca="1" si="76"/>
        <v/>
      </c>
      <c r="O225" s="138" t="str">
        <f t="shared" ca="1" si="77"/>
        <v/>
      </c>
    </row>
    <row r="226" spans="1:15" ht="16.5" customHeight="1">
      <c r="A226" s="154">
        <v>15</v>
      </c>
      <c r="B226" s="154" t="str">
        <f>TEXT(투자전략!$G$1+14, "[$-ko-KR]yyyy.mm.dd")</f>
        <v>2021.06.15</v>
      </c>
      <c r="C226" s="135" t="str">
        <f t="shared" ca="1" si="65"/>
        <v/>
      </c>
      <c r="D226" s="139" t="str">
        <f t="shared" ca="1" si="66"/>
        <v/>
      </c>
      <c r="E226" s="77" t="str">
        <f t="shared" ca="1" si="67"/>
        <v/>
      </c>
      <c r="F226" s="137" t="str">
        <f t="shared" ca="1" si="68"/>
        <v/>
      </c>
      <c r="G226" s="139" t="str">
        <f t="shared" ca="1" si="69"/>
        <v/>
      </c>
      <c r="H226" s="77" t="str">
        <f t="shared" ca="1" si="70"/>
        <v/>
      </c>
      <c r="I226" s="137" t="str">
        <f t="shared" ca="1" si="71"/>
        <v/>
      </c>
      <c r="J226" s="139" t="str">
        <f t="shared" ca="1" si="72"/>
        <v/>
      </c>
      <c r="K226" s="77" t="str">
        <f t="shared" ca="1" si="73"/>
        <v/>
      </c>
      <c r="L226" s="137" t="str">
        <f t="shared" ca="1" si="74"/>
        <v/>
      </c>
      <c r="M226" s="139" t="str">
        <f t="shared" ca="1" si="75"/>
        <v/>
      </c>
      <c r="N226" s="77" t="str">
        <f t="shared" ca="1" si="76"/>
        <v/>
      </c>
      <c r="O226" s="137" t="str">
        <f t="shared" ca="1" si="77"/>
        <v/>
      </c>
    </row>
    <row r="227" spans="1:15" ht="16.5" customHeight="1">
      <c r="A227" s="153">
        <v>16</v>
      </c>
      <c r="B227" s="153" t="str">
        <f>TEXT(투자전략!$G$1+15, "[$-ko-KR]yyyy.mm.dd")</f>
        <v>2021.06.16</v>
      </c>
      <c r="C227" s="135" t="str">
        <f t="shared" ca="1" si="65"/>
        <v/>
      </c>
      <c r="D227" s="139" t="str">
        <f t="shared" ca="1" si="66"/>
        <v/>
      </c>
      <c r="E227" s="77" t="str">
        <f t="shared" ca="1" si="67"/>
        <v/>
      </c>
      <c r="F227" s="137" t="str">
        <f t="shared" ca="1" si="68"/>
        <v/>
      </c>
      <c r="G227" s="139" t="str">
        <f t="shared" ca="1" si="69"/>
        <v/>
      </c>
      <c r="H227" s="77" t="str">
        <f t="shared" ca="1" si="70"/>
        <v/>
      </c>
      <c r="I227" s="137" t="str">
        <f t="shared" ca="1" si="71"/>
        <v/>
      </c>
      <c r="J227" s="139" t="str">
        <f t="shared" ca="1" si="72"/>
        <v/>
      </c>
      <c r="K227" s="77" t="str">
        <f t="shared" ca="1" si="73"/>
        <v/>
      </c>
      <c r="L227" s="137" t="str">
        <f t="shared" ca="1" si="74"/>
        <v/>
      </c>
      <c r="M227" s="139" t="str">
        <f t="shared" ca="1" si="75"/>
        <v/>
      </c>
      <c r="N227" s="77" t="str">
        <f t="shared" ca="1" si="76"/>
        <v/>
      </c>
      <c r="O227" s="137" t="str">
        <f t="shared" ca="1" si="77"/>
        <v/>
      </c>
    </row>
    <row r="228" spans="1:15" ht="16.5" customHeight="1">
      <c r="A228" s="153">
        <v>17</v>
      </c>
      <c r="B228" s="153" t="str">
        <f>TEXT(투자전략!$G$1+16, "[$-ko-KR]yyyy.mm.dd")</f>
        <v>2021.06.17</v>
      </c>
      <c r="C228" s="135" t="str">
        <f t="shared" ca="1" si="65"/>
        <v/>
      </c>
      <c r="D228" s="139" t="str">
        <f t="shared" ca="1" si="66"/>
        <v/>
      </c>
      <c r="E228" s="77" t="str">
        <f t="shared" ca="1" si="67"/>
        <v/>
      </c>
      <c r="F228" s="137" t="str">
        <f t="shared" ca="1" si="68"/>
        <v/>
      </c>
      <c r="G228" s="139" t="str">
        <f t="shared" ca="1" si="69"/>
        <v/>
      </c>
      <c r="H228" s="77" t="str">
        <f t="shared" ca="1" si="70"/>
        <v/>
      </c>
      <c r="I228" s="137" t="str">
        <f t="shared" ca="1" si="71"/>
        <v/>
      </c>
      <c r="J228" s="139" t="str">
        <f t="shared" ca="1" si="72"/>
        <v/>
      </c>
      <c r="K228" s="77" t="str">
        <f t="shared" ca="1" si="73"/>
        <v/>
      </c>
      <c r="L228" s="137" t="str">
        <f t="shared" ca="1" si="74"/>
        <v/>
      </c>
      <c r="M228" s="139" t="str">
        <f t="shared" ca="1" si="75"/>
        <v/>
      </c>
      <c r="N228" s="77" t="str">
        <f t="shared" ca="1" si="76"/>
        <v/>
      </c>
      <c r="O228" s="137" t="str">
        <f t="shared" ca="1" si="77"/>
        <v/>
      </c>
    </row>
    <row r="229" spans="1:15" ht="16.5" customHeight="1">
      <c r="A229" s="153">
        <v>18</v>
      </c>
      <c r="B229" s="153" t="str">
        <f>TEXT(투자전략!$G$1+17, "[$-ko-KR]yyyy.mm.dd")</f>
        <v>2021.06.18</v>
      </c>
      <c r="C229" s="135" t="str">
        <f t="shared" ca="1" si="65"/>
        <v/>
      </c>
      <c r="D229" s="139" t="str">
        <f t="shared" ca="1" si="66"/>
        <v/>
      </c>
      <c r="E229" s="77" t="str">
        <f t="shared" ca="1" si="67"/>
        <v/>
      </c>
      <c r="F229" s="137" t="str">
        <f t="shared" ca="1" si="68"/>
        <v/>
      </c>
      <c r="G229" s="139" t="str">
        <f t="shared" ca="1" si="69"/>
        <v/>
      </c>
      <c r="H229" s="77" t="str">
        <f t="shared" ca="1" si="70"/>
        <v/>
      </c>
      <c r="I229" s="137" t="str">
        <f t="shared" ca="1" si="71"/>
        <v/>
      </c>
      <c r="J229" s="139" t="str">
        <f t="shared" ca="1" si="72"/>
        <v/>
      </c>
      <c r="K229" s="77" t="str">
        <f t="shared" ca="1" si="73"/>
        <v/>
      </c>
      <c r="L229" s="137" t="str">
        <f t="shared" ca="1" si="74"/>
        <v/>
      </c>
      <c r="M229" s="139" t="str">
        <f t="shared" ca="1" si="75"/>
        <v/>
      </c>
      <c r="N229" s="77" t="str">
        <f t="shared" ca="1" si="76"/>
        <v/>
      </c>
      <c r="O229" s="137" t="str">
        <f t="shared" ca="1" si="77"/>
        <v/>
      </c>
    </row>
    <row r="230" spans="1:15" ht="16.5" customHeight="1">
      <c r="A230" s="153">
        <v>19</v>
      </c>
      <c r="B230" s="153" t="str">
        <f>TEXT(투자전략!$G$1+18, "[$-ko-KR]yyyy.mm.dd")</f>
        <v>2021.06.19</v>
      </c>
      <c r="C230" s="135" t="str">
        <f t="shared" ca="1" si="65"/>
        <v/>
      </c>
      <c r="D230" s="139" t="str">
        <f t="shared" ca="1" si="66"/>
        <v/>
      </c>
      <c r="E230" s="77" t="str">
        <f t="shared" ca="1" si="67"/>
        <v/>
      </c>
      <c r="F230" s="137" t="str">
        <f t="shared" ca="1" si="68"/>
        <v/>
      </c>
      <c r="G230" s="139" t="str">
        <f t="shared" ca="1" si="69"/>
        <v/>
      </c>
      <c r="H230" s="77" t="str">
        <f t="shared" ca="1" si="70"/>
        <v/>
      </c>
      <c r="I230" s="137" t="str">
        <f t="shared" ca="1" si="71"/>
        <v/>
      </c>
      <c r="J230" s="139" t="str">
        <f t="shared" ca="1" si="72"/>
        <v/>
      </c>
      <c r="K230" s="77" t="str">
        <f t="shared" ca="1" si="73"/>
        <v/>
      </c>
      <c r="L230" s="137" t="str">
        <f t="shared" ca="1" si="74"/>
        <v/>
      </c>
      <c r="M230" s="139" t="str">
        <f t="shared" ca="1" si="75"/>
        <v/>
      </c>
      <c r="N230" s="77" t="str">
        <f t="shared" ca="1" si="76"/>
        <v/>
      </c>
      <c r="O230" s="137" t="str">
        <f t="shared" ca="1" si="77"/>
        <v/>
      </c>
    </row>
    <row r="231" spans="1:15" ht="16.5" customHeight="1">
      <c r="A231" s="153">
        <v>20</v>
      </c>
      <c r="B231" s="153" t="str">
        <f>TEXT(투자전략!$G$1+19, "[$-ko-KR]yyyy.mm.dd")</f>
        <v>2021.06.20</v>
      </c>
      <c r="C231" s="135" t="str">
        <f t="shared" ca="1" si="65"/>
        <v/>
      </c>
      <c r="D231" s="139" t="str">
        <f t="shared" ca="1" si="66"/>
        <v/>
      </c>
      <c r="E231" s="77" t="str">
        <f t="shared" ca="1" si="67"/>
        <v/>
      </c>
      <c r="F231" s="137" t="str">
        <f t="shared" ca="1" si="68"/>
        <v/>
      </c>
      <c r="G231" s="139" t="str">
        <f t="shared" ca="1" si="69"/>
        <v/>
      </c>
      <c r="H231" s="77" t="str">
        <f t="shared" ca="1" si="70"/>
        <v/>
      </c>
      <c r="I231" s="137" t="str">
        <f t="shared" ca="1" si="71"/>
        <v/>
      </c>
      <c r="J231" s="139" t="str">
        <f t="shared" ca="1" si="72"/>
        <v/>
      </c>
      <c r="K231" s="77" t="str">
        <f t="shared" ca="1" si="73"/>
        <v/>
      </c>
      <c r="L231" s="137" t="str">
        <f t="shared" ca="1" si="74"/>
        <v/>
      </c>
      <c r="M231" s="139" t="str">
        <f t="shared" ca="1" si="75"/>
        <v/>
      </c>
      <c r="N231" s="77" t="str">
        <f t="shared" ca="1" si="76"/>
        <v/>
      </c>
      <c r="O231" s="137" t="str">
        <f t="shared" ca="1" si="77"/>
        <v/>
      </c>
    </row>
    <row r="232" spans="1:15" ht="16.5" customHeight="1" thickBot="1">
      <c r="A232" s="155">
        <v>21</v>
      </c>
      <c r="B232" s="155" t="str">
        <f>TEXT(투자전략!$G$1+20, "[$-ko-KR]yyyy.mm.dd")</f>
        <v>2021.06.21</v>
      </c>
      <c r="C232" s="135" t="str">
        <f t="shared" ca="1" si="65"/>
        <v/>
      </c>
      <c r="D232" s="139" t="str">
        <f t="shared" ca="1" si="66"/>
        <v/>
      </c>
      <c r="E232" s="77" t="str">
        <f t="shared" ca="1" si="67"/>
        <v/>
      </c>
      <c r="F232" s="137" t="str">
        <f t="shared" ca="1" si="68"/>
        <v/>
      </c>
      <c r="G232" s="139" t="str">
        <f t="shared" ca="1" si="69"/>
        <v/>
      </c>
      <c r="H232" s="77" t="str">
        <f t="shared" ca="1" si="70"/>
        <v/>
      </c>
      <c r="I232" s="137" t="str">
        <f t="shared" ca="1" si="71"/>
        <v/>
      </c>
      <c r="J232" s="139" t="str">
        <f t="shared" ca="1" si="72"/>
        <v/>
      </c>
      <c r="K232" s="77" t="str">
        <f t="shared" ca="1" si="73"/>
        <v/>
      </c>
      <c r="L232" s="137" t="str">
        <f t="shared" ca="1" si="74"/>
        <v/>
      </c>
      <c r="M232" s="139" t="str">
        <f t="shared" ca="1" si="75"/>
        <v/>
      </c>
      <c r="N232" s="77" t="str">
        <f t="shared" ca="1" si="76"/>
        <v/>
      </c>
      <c r="O232" s="137" t="str">
        <f t="shared" ca="1" si="77"/>
        <v/>
      </c>
    </row>
    <row r="233" spans="1:15" ht="16.5" customHeight="1">
      <c r="A233" s="154">
        <v>22</v>
      </c>
      <c r="B233" s="154" t="str">
        <f>TEXT(투자전략!$G$1+21, "[$-ko-KR]yyyy.mm.dd")</f>
        <v>2021.06.22</v>
      </c>
      <c r="C233" s="134" t="str">
        <f t="shared" ca="1" si="65"/>
        <v/>
      </c>
      <c r="D233" s="142" t="str">
        <f t="shared" ca="1" si="66"/>
        <v/>
      </c>
      <c r="E233" s="76" t="str">
        <f t="shared" ca="1" si="67"/>
        <v/>
      </c>
      <c r="F233" s="141" t="str">
        <f t="shared" ca="1" si="68"/>
        <v/>
      </c>
      <c r="G233" s="142" t="str">
        <f t="shared" ca="1" si="69"/>
        <v/>
      </c>
      <c r="H233" s="76" t="str">
        <f t="shared" ca="1" si="70"/>
        <v/>
      </c>
      <c r="I233" s="141" t="str">
        <f t="shared" ca="1" si="71"/>
        <v/>
      </c>
      <c r="J233" s="142" t="str">
        <f t="shared" ca="1" si="72"/>
        <v/>
      </c>
      <c r="K233" s="76" t="str">
        <f t="shared" ca="1" si="73"/>
        <v/>
      </c>
      <c r="L233" s="141" t="str">
        <f t="shared" ca="1" si="74"/>
        <v/>
      </c>
      <c r="M233" s="142" t="str">
        <f t="shared" ca="1" si="75"/>
        <v/>
      </c>
      <c r="N233" s="76" t="str">
        <f t="shared" ca="1" si="76"/>
        <v/>
      </c>
      <c r="O233" s="141" t="str">
        <f t="shared" ca="1" si="77"/>
        <v/>
      </c>
    </row>
    <row r="234" spans="1:15" ht="16.5" customHeight="1">
      <c r="A234" s="153">
        <v>23</v>
      </c>
      <c r="B234" s="153" t="str">
        <f>TEXT(투자전략!$G$1+22, "[$-ko-KR]yyyy.mm.dd")</f>
        <v>2021.06.23</v>
      </c>
      <c r="C234" s="135" t="str">
        <f t="shared" ca="1" si="65"/>
        <v/>
      </c>
      <c r="D234" s="139" t="str">
        <f t="shared" ca="1" si="66"/>
        <v/>
      </c>
      <c r="E234" s="77" t="str">
        <f t="shared" ca="1" si="67"/>
        <v/>
      </c>
      <c r="F234" s="137" t="str">
        <f t="shared" ca="1" si="68"/>
        <v/>
      </c>
      <c r="G234" s="139" t="str">
        <f t="shared" ca="1" si="69"/>
        <v/>
      </c>
      <c r="H234" s="77" t="str">
        <f t="shared" ca="1" si="70"/>
        <v/>
      </c>
      <c r="I234" s="137" t="str">
        <f t="shared" ca="1" si="71"/>
        <v/>
      </c>
      <c r="J234" s="139" t="str">
        <f t="shared" ca="1" si="72"/>
        <v/>
      </c>
      <c r="K234" s="77" t="str">
        <f t="shared" ca="1" si="73"/>
        <v/>
      </c>
      <c r="L234" s="137" t="str">
        <f t="shared" ca="1" si="74"/>
        <v/>
      </c>
      <c r="M234" s="139" t="str">
        <f t="shared" ca="1" si="75"/>
        <v/>
      </c>
      <c r="N234" s="77" t="str">
        <f t="shared" ca="1" si="76"/>
        <v/>
      </c>
      <c r="O234" s="137" t="str">
        <f t="shared" ca="1" si="77"/>
        <v/>
      </c>
    </row>
    <row r="235" spans="1:15" ht="16.5" customHeight="1">
      <c r="A235" s="153">
        <v>24</v>
      </c>
      <c r="B235" s="153" t="str">
        <f>TEXT(투자전략!$G$1+23, "[$-ko-KR]yyyy.mm.dd")</f>
        <v>2021.06.24</v>
      </c>
      <c r="C235" s="135" t="str">
        <f t="shared" ca="1" si="65"/>
        <v/>
      </c>
      <c r="D235" s="139" t="str">
        <f t="shared" ca="1" si="66"/>
        <v/>
      </c>
      <c r="E235" s="77" t="str">
        <f t="shared" ca="1" si="67"/>
        <v/>
      </c>
      <c r="F235" s="137" t="str">
        <f t="shared" ca="1" si="68"/>
        <v/>
      </c>
      <c r="G235" s="139" t="str">
        <f t="shared" ca="1" si="69"/>
        <v/>
      </c>
      <c r="H235" s="77" t="str">
        <f t="shared" ca="1" si="70"/>
        <v/>
      </c>
      <c r="I235" s="137" t="str">
        <f t="shared" ca="1" si="71"/>
        <v/>
      </c>
      <c r="J235" s="139" t="str">
        <f t="shared" ca="1" si="72"/>
        <v/>
      </c>
      <c r="K235" s="77" t="str">
        <f t="shared" ca="1" si="73"/>
        <v/>
      </c>
      <c r="L235" s="137" t="str">
        <f t="shared" ca="1" si="74"/>
        <v/>
      </c>
      <c r="M235" s="139" t="str">
        <f t="shared" ca="1" si="75"/>
        <v/>
      </c>
      <c r="N235" s="77" t="str">
        <f t="shared" ca="1" si="76"/>
        <v/>
      </c>
      <c r="O235" s="137" t="str">
        <f t="shared" ca="1" si="77"/>
        <v/>
      </c>
    </row>
    <row r="236" spans="1:15" ht="16.5" customHeight="1">
      <c r="A236" s="153">
        <v>25</v>
      </c>
      <c r="B236" s="153" t="str">
        <f>TEXT(투자전략!$G$1+24, "[$-ko-KR]yyyy.mm.dd")</f>
        <v>2021.06.25</v>
      </c>
      <c r="C236" s="135" t="str">
        <f t="shared" ca="1" si="65"/>
        <v/>
      </c>
      <c r="D236" s="139" t="str">
        <f t="shared" ca="1" si="66"/>
        <v/>
      </c>
      <c r="E236" s="77" t="str">
        <f t="shared" ca="1" si="67"/>
        <v/>
      </c>
      <c r="F236" s="137" t="str">
        <f t="shared" ca="1" si="68"/>
        <v/>
      </c>
      <c r="G236" s="139" t="str">
        <f t="shared" ca="1" si="69"/>
        <v/>
      </c>
      <c r="H236" s="77" t="str">
        <f t="shared" ca="1" si="70"/>
        <v/>
      </c>
      <c r="I236" s="137" t="str">
        <f t="shared" ca="1" si="71"/>
        <v/>
      </c>
      <c r="J236" s="139" t="str">
        <f t="shared" ca="1" si="72"/>
        <v/>
      </c>
      <c r="K236" s="77" t="str">
        <f t="shared" ca="1" si="73"/>
        <v/>
      </c>
      <c r="L236" s="137" t="str">
        <f t="shared" ca="1" si="74"/>
        <v/>
      </c>
      <c r="M236" s="139" t="str">
        <f t="shared" ca="1" si="75"/>
        <v/>
      </c>
      <c r="N236" s="77" t="str">
        <f t="shared" ca="1" si="76"/>
        <v/>
      </c>
      <c r="O236" s="137" t="str">
        <f t="shared" ca="1" si="77"/>
        <v/>
      </c>
    </row>
    <row r="237" spans="1:15" ht="16.5" customHeight="1">
      <c r="A237" s="153">
        <v>26</v>
      </c>
      <c r="B237" s="153" t="str">
        <f>TEXT(투자전략!$G$1+25, "[$-ko-KR]yyyy.mm.dd")</f>
        <v>2021.06.26</v>
      </c>
      <c r="C237" s="135" t="str">
        <f t="shared" ca="1" si="65"/>
        <v/>
      </c>
      <c r="D237" s="139" t="str">
        <f t="shared" ca="1" si="66"/>
        <v/>
      </c>
      <c r="E237" s="77" t="str">
        <f t="shared" ca="1" si="67"/>
        <v/>
      </c>
      <c r="F237" s="137" t="str">
        <f t="shared" ca="1" si="68"/>
        <v/>
      </c>
      <c r="G237" s="139" t="str">
        <f t="shared" ca="1" si="69"/>
        <v/>
      </c>
      <c r="H237" s="77" t="str">
        <f t="shared" ca="1" si="70"/>
        <v/>
      </c>
      <c r="I237" s="137" t="str">
        <f t="shared" ca="1" si="71"/>
        <v/>
      </c>
      <c r="J237" s="139" t="str">
        <f t="shared" ca="1" si="72"/>
        <v/>
      </c>
      <c r="K237" s="77" t="str">
        <f t="shared" ca="1" si="73"/>
        <v/>
      </c>
      <c r="L237" s="137" t="str">
        <f t="shared" ca="1" si="74"/>
        <v/>
      </c>
      <c r="M237" s="139" t="str">
        <f t="shared" ca="1" si="75"/>
        <v/>
      </c>
      <c r="N237" s="77" t="str">
        <f t="shared" ca="1" si="76"/>
        <v/>
      </c>
      <c r="O237" s="137" t="str">
        <f t="shared" ca="1" si="77"/>
        <v/>
      </c>
    </row>
    <row r="238" spans="1:15" ht="16.5" customHeight="1">
      <c r="A238" s="153">
        <v>27</v>
      </c>
      <c r="B238" s="153" t="str">
        <f>TEXT(투자전략!$G$1+26, "[$-ko-KR]yyyy.mm.dd")</f>
        <v>2021.06.27</v>
      </c>
      <c r="C238" s="135" t="str">
        <f t="shared" ca="1" si="65"/>
        <v/>
      </c>
      <c r="D238" s="139" t="str">
        <f t="shared" ca="1" si="66"/>
        <v/>
      </c>
      <c r="E238" s="77" t="str">
        <f t="shared" ca="1" si="67"/>
        <v/>
      </c>
      <c r="F238" s="137" t="str">
        <f t="shared" ca="1" si="68"/>
        <v/>
      </c>
      <c r="G238" s="139" t="str">
        <f t="shared" ca="1" si="69"/>
        <v/>
      </c>
      <c r="H238" s="77" t="str">
        <f t="shared" ca="1" si="70"/>
        <v/>
      </c>
      <c r="I238" s="137" t="str">
        <f t="shared" ca="1" si="71"/>
        <v/>
      </c>
      <c r="J238" s="139" t="str">
        <f t="shared" ca="1" si="72"/>
        <v/>
      </c>
      <c r="K238" s="77" t="str">
        <f t="shared" ca="1" si="73"/>
        <v/>
      </c>
      <c r="L238" s="137" t="str">
        <f t="shared" ca="1" si="74"/>
        <v/>
      </c>
      <c r="M238" s="139" t="str">
        <f t="shared" ca="1" si="75"/>
        <v/>
      </c>
      <c r="N238" s="77" t="str">
        <f t="shared" ca="1" si="76"/>
        <v/>
      </c>
      <c r="O238" s="137" t="str">
        <f t="shared" ca="1" si="77"/>
        <v/>
      </c>
    </row>
    <row r="239" spans="1:15" ht="16.5" customHeight="1" thickBot="1">
      <c r="A239" s="155">
        <v>28</v>
      </c>
      <c r="B239" s="155" t="str">
        <f>TEXT(투자전략!$G$1+27, "[$-ko-KR]yyyy.mm.dd")</f>
        <v>2021.06.28</v>
      </c>
      <c r="C239" s="136" t="str">
        <f t="shared" ca="1" si="65"/>
        <v/>
      </c>
      <c r="D239" s="140" t="str">
        <f t="shared" ca="1" si="66"/>
        <v/>
      </c>
      <c r="E239" s="79" t="str">
        <f t="shared" ca="1" si="67"/>
        <v/>
      </c>
      <c r="F239" s="138" t="str">
        <f t="shared" ca="1" si="68"/>
        <v/>
      </c>
      <c r="G239" s="140" t="str">
        <f t="shared" ca="1" si="69"/>
        <v/>
      </c>
      <c r="H239" s="79" t="str">
        <f t="shared" ca="1" si="70"/>
        <v/>
      </c>
      <c r="I239" s="138" t="str">
        <f t="shared" ca="1" si="71"/>
        <v/>
      </c>
      <c r="J239" s="140" t="str">
        <f t="shared" ca="1" si="72"/>
        <v/>
      </c>
      <c r="K239" s="79" t="str">
        <f t="shared" ca="1" si="73"/>
        <v/>
      </c>
      <c r="L239" s="138" t="str">
        <f t="shared" ca="1" si="74"/>
        <v/>
      </c>
      <c r="M239" s="140" t="str">
        <f t="shared" ca="1" si="75"/>
        <v/>
      </c>
      <c r="N239" s="79" t="str">
        <f t="shared" ca="1" si="76"/>
        <v/>
      </c>
      <c r="O239" s="138" t="str">
        <f t="shared" ca="1" si="77"/>
        <v/>
      </c>
    </row>
    <row r="240" spans="1:15" ht="16.5" customHeight="1">
      <c r="A240" s="121">
        <v>29</v>
      </c>
      <c r="B240" s="154" t="str">
        <f>TEXT(투자전략!$G$1+28, "[$-ko-KR]yyyy.mm.dd")</f>
        <v>2021.06.29</v>
      </c>
      <c r="C240" s="135" t="str">
        <f t="shared" ca="1" si="65"/>
        <v/>
      </c>
      <c r="D240" s="139" t="str">
        <f t="shared" ca="1" si="66"/>
        <v/>
      </c>
      <c r="E240" s="77" t="str">
        <f t="shared" ca="1" si="67"/>
        <v/>
      </c>
      <c r="F240" s="137" t="str">
        <f t="shared" ca="1" si="68"/>
        <v/>
      </c>
      <c r="G240" s="139" t="str">
        <f t="shared" ca="1" si="69"/>
        <v/>
      </c>
      <c r="H240" s="77" t="str">
        <f t="shared" ca="1" si="70"/>
        <v/>
      </c>
      <c r="I240" s="137" t="str">
        <f t="shared" ca="1" si="71"/>
        <v/>
      </c>
      <c r="J240" s="139" t="str">
        <f t="shared" ca="1" si="72"/>
        <v/>
      </c>
      <c r="K240" s="77" t="str">
        <f t="shared" ca="1" si="73"/>
        <v/>
      </c>
      <c r="L240" s="137" t="str">
        <f t="shared" ca="1" si="74"/>
        <v/>
      </c>
      <c r="M240" s="139" t="str">
        <f t="shared" ca="1" si="75"/>
        <v/>
      </c>
      <c r="N240" s="77" t="str">
        <f t="shared" ca="1" si="76"/>
        <v/>
      </c>
      <c r="O240" s="137" t="str">
        <f t="shared" ca="1" si="77"/>
        <v/>
      </c>
    </row>
    <row r="241" spans="1:15" ht="16.5" customHeight="1">
      <c r="A241" s="121">
        <v>30</v>
      </c>
      <c r="B241" s="153" t="str">
        <f>TEXT(투자전략!$G$1+29, "[$-ko-KR]yyyy.mm.dd")</f>
        <v>2021.06.30</v>
      </c>
      <c r="C241" s="135" t="str">
        <f t="shared" ca="1" si="65"/>
        <v/>
      </c>
      <c r="D241" s="139" t="str">
        <f t="shared" ca="1" si="66"/>
        <v/>
      </c>
      <c r="E241" s="77" t="str">
        <f t="shared" ca="1" si="67"/>
        <v/>
      </c>
      <c r="F241" s="137" t="str">
        <f t="shared" ca="1" si="68"/>
        <v/>
      </c>
      <c r="G241" s="139" t="str">
        <f t="shared" ca="1" si="69"/>
        <v/>
      </c>
      <c r="H241" s="77" t="str">
        <f t="shared" ca="1" si="70"/>
        <v/>
      </c>
      <c r="I241" s="137" t="str">
        <f t="shared" ca="1" si="71"/>
        <v/>
      </c>
      <c r="J241" s="139" t="str">
        <f t="shared" ca="1" si="72"/>
        <v/>
      </c>
      <c r="K241" s="77" t="str">
        <f t="shared" ca="1" si="73"/>
        <v/>
      </c>
      <c r="L241" s="137" t="str">
        <f t="shared" ca="1" si="74"/>
        <v/>
      </c>
      <c r="M241" s="139" t="str">
        <f t="shared" ca="1" si="75"/>
        <v/>
      </c>
      <c r="N241" s="77" t="str">
        <f t="shared" ca="1" si="76"/>
        <v/>
      </c>
      <c r="O241" s="137" t="str">
        <f t="shared" ca="1" si="77"/>
        <v/>
      </c>
    </row>
    <row r="242" spans="1:15" ht="16.5" customHeight="1" thickBot="1">
      <c r="A242" s="121">
        <v>31</v>
      </c>
      <c r="B242" s="153" t="str">
        <f>TEXT(투자전략!$G$1+30, "[$-ko-KR]yyyy.mm.dd")</f>
        <v>2021.07.01</v>
      </c>
      <c r="C242" s="136" t="str">
        <f t="shared" ca="1" si="65"/>
        <v/>
      </c>
      <c r="D242" s="140" t="str">
        <f t="shared" ca="1" si="66"/>
        <v/>
      </c>
      <c r="E242" s="79" t="str">
        <f t="shared" ca="1" si="67"/>
        <v/>
      </c>
      <c r="F242" s="138" t="str">
        <f t="shared" ca="1" si="68"/>
        <v/>
      </c>
      <c r="G242" s="140" t="str">
        <f t="shared" ca="1" si="69"/>
        <v/>
      </c>
      <c r="H242" s="79" t="str">
        <f t="shared" ca="1" si="70"/>
        <v/>
      </c>
      <c r="I242" s="138" t="str">
        <f t="shared" ca="1" si="71"/>
        <v/>
      </c>
      <c r="J242" s="140" t="str">
        <f t="shared" ca="1" si="72"/>
        <v/>
      </c>
      <c r="K242" s="79" t="str">
        <f t="shared" ca="1" si="73"/>
        <v/>
      </c>
      <c r="L242" s="138" t="str">
        <f t="shared" ca="1" si="74"/>
        <v/>
      </c>
      <c r="M242" s="140" t="str">
        <f t="shared" ca="1" si="75"/>
        <v/>
      </c>
      <c r="N242" s="79" t="str">
        <f t="shared" ca="1" si="76"/>
        <v/>
      </c>
      <c r="O242" s="138" t="str">
        <f t="shared" ca="1" si="77"/>
        <v/>
      </c>
    </row>
    <row r="243" spans="1:15" ht="16.5" customHeight="1" thickBot="1">
      <c r="A243" s="211" t="s">
        <v>313</v>
      </c>
      <c r="B243" s="213"/>
      <c r="C243" s="132" t="s">
        <v>308</v>
      </c>
      <c r="D243" s="150" t="s">
        <v>309</v>
      </c>
      <c r="E243" s="151" t="s">
        <v>310</v>
      </c>
      <c r="F243" s="152" t="s">
        <v>311</v>
      </c>
      <c r="G243" s="150" t="s">
        <v>309</v>
      </c>
      <c r="H243" s="151" t="s">
        <v>310</v>
      </c>
      <c r="I243" s="152" t="s">
        <v>311</v>
      </c>
      <c r="J243" s="150" t="s">
        <v>309</v>
      </c>
      <c r="K243" s="151" t="s">
        <v>310</v>
      </c>
      <c r="L243" s="152" t="s">
        <v>311</v>
      </c>
      <c r="M243" s="150" t="s">
        <v>309</v>
      </c>
      <c r="N243" s="151" t="s">
        <v>310</v>
      </c>
      <c r="O243" s="152" t="s">
        <v>311</v>
      </c>
    </row>
    <row r="244" spans="1:15" ht="16.5" customHeight="1" thickBot="1">
      <c r="A244" s="204"/>
      <c r="B244" s="206"/>
      <c r="C244" s="136">
        <f ca="1">SUM(C212:C242)</f>
        <v>3000000</v>
      </c>
      <c r="D244" s="140">
        <f ca="1">SUM(D212:D242)</f>
        <v>3000000</v>
      </c>
      <c r="E244" s="79">
        <f ca="1">IFERROR(F244 / (SUM($C212:$C242) / COUNT($C212:$C242)), 0)</f>
        <v>0</v>
      </c>
      <c r="F244" s="138">
        <f ca="1">SUM(F212:F242)</f>
        <v>0</v>
      </c>
      <c r="G244" s="140">
        <f ca="1">SUM(G212:G242)</f>
        <v>3000000</v>
      </c>
      <c r="H244" s="79">
        <f ca="1">IFERROR(I244 / (SUM($C212:$C242) / COUNT($C212:$C242)), 0)</f>
        <v>0</v>
      </c>
      <c r="I244" s="138">
        <f ca="1">SUM(I212:I242)</f>
        <v>0</v>
      </c>
      <c r="J244" s="140">
        <f ca="1">SUM(J212:J242)</f>
        <v>3000000</v>
      </c>
      <c r="K244" s="79">
        <f ca="1">IFERROR(L244 / (SUM($C212:$C242) / COUNT($C212:$C242)), 0)</f>
        <v>0</v>
      </c>
      <c r="L244" s="138">
        <f ca="1">SUM(L212:L242)</f>
        <v>0</v>
      </c>
      <c r="M244" s="140">
        <f ca="1">SUM(M212:M242)</f>
        <v>3000000</v>
      </c>
      <c r="N244" s="79">
        <f ca="1">IFERROR(O244 / (SUM($C212:$C242) / COUNT($C212:$C242)), 0)</f>
        <v>0</v>
      </c>
      <c r="O244" s="138">
        <f ca="1">SUM(O212:O242)</f>
        <v>0</v>
      </c>
    </row>
    <row r="246" spans="1:15" ht="16.5" customHeight="1" thickBot="1"/>
    <row r="247" spans="1:15" ht="16.5" customHeight="1" thickBot="1">
      <c r="A247" s="183" t="str">
        <f>TEXT(투자전략!$G$1, "[$-ko-KR]yyyy년 mm월 ") &amp; "전일대비 상승률 Bottom20 월말결산"</f>
        <v>2021년 06월 전일대비 상승률 Bottom20 월말결산</v>
      </c>
      <c r="B247" s="184"/>
      <c r="C247" s="184"/>
      <c r="D247" s="184"/>
      <c r="E247" s="184"/>
      <c r="F247" s="184"/>
      <c r="G247" s="184"/>
      <c r="H247" s="184"/>
      <c r="I247" s="184"/>
      <c r="J247" s="184"/>
      <c r="K247" s="184"/>
      <c r="L247" s="184"/>
      <c r="M247" s="184"/>
      <c r="N247" s="184"/>
      <c r="O247" s="185"/>
    </row>
    <row r="248" spans="1:15" ht="16.5" customHeight="1" thickBot="1">
      <c r="A248" s="227" t="s">
        <v>314</v>
      </c>
      <c r="B248" s="204" t="s">
        <v>312</v>
      </c>
      <c r="C248" s="206"/>
      <c r="D248" s="204" t="s">
        <v>304</v>
      </c>
      <c r="E248" s="205"/>
      <c r="F248" s="206"/>
      <c r="G248" s="204" t="s">
        <v>305</v>
      </c>
      <c r="H248" s="205"/>
      <c r="I248" s="206"/>
      <c r="J248" s="204" t="s">
        <v>306</v>
      </c>
      <c r="K248" s="205"/>
      <c r="L248" s="206"/>
      <c r="M248" s="204" t="s">
        <v>307</v>
      </c>
      <c r="N248" s="205"/>
      <c r="O248" s="206"/>
    </row>
    <row r="249" spans="1:15" ht="16.5" customHeight="1" thickBot="1">
      <c r="A249" s="220"/>
      <c r="B249" s="154" t="s">
        <v>302</v>
      </c>
      <c r="C249" s="154" t="s">
        <v>42</v>
      </c>
      <c r="D249" s="121" t="s">
        <v>303</v>
      </c>
      <c r="E249" s="133" t="s">
        <v>40</v>
      </c>
      <c r="F249" s="156" t="s">
        <v>41</v>
      </c>
      <c r="G249" s="121" t="s">
        <v>303</v>
      </c>
      <c r="H249" s="133" t="s">
        <v>40</v>
      </c>
      <c r="I249" s="156" t="s">
        <v>41</v>
      </c>
      <c r="J249" s="121" t="s">
        <v>303</v>
      </c>
      <c r="K249" s="133" t="s">
        <v>40</v>
      </c>
      <c r="L249" s="156" t="s">
        <v>41</v>
      </c>
      <c r="M249" s="121" t="s">
        <v>303</v>
      </c>
      <c r="N249" s="133" t="s">
        <v>40</v>
      </c>
      <c r="O249" s="156" t="s">
        <v>41</v>
      </c>
    </row>
    <row r="250" spans="1:15" ht="16.5" customHeight="1">
      <c r="A250" s="154">
        <v>1</v>
      </c>
      <c r="B250" s="154" t="str">
        <f>TEXT(투자전략!$G$1+0, "[$-ko-KR]yyyy.mm.dd")</f>
        <v>2021.06.01</v>
      </c>
      <c r="C250" s="134">
        <f ca="1">IFERROR(COUNTA(INDIRECT($B250&amp;"!A179:A198")) * INDIRECT($B250&amp;"!B199"), "")</f>
        <v>3000000</v>
      </c>
      <c r="D250" s="142">
        <f ca="1">IFERROR($C250 * (1 + E250), "")</f>
        <v>3000000</v>
      </c>
      <c r="E250" s="76">
        <f ca="1">IFERROR(INDIRECT($B250&amp;"!E199"), "")</f>
        <v>0</v>
      </c>
      <c r="F250" s="141">
        <f ca="1">IFERROR(INDIRECT($B250&amp;"!F199"), "")</f>
        <v>0</v>
      </c>
      <c r="G250" s="142">
        <f ca="1">IFERROR($C250 * (1 + H250), "")</f>
        <v>3000000</v>
      </c>
      <c r="H250" s="76">
        <f ca="1">IFERROR(INDIRECT($B250&amp;"!H199"), "")</f>
        <v>0</v>
      </c>
      <c r="I250" s="141">
        <f ca="1">IFERROR(INDIRECT($B250&amp;"!I199"), "")</f>
        <v>0</v>
      </c>
      <c r="J250" s="142">
        <f ca="1">IFERROR($C250 * (1 + K250), "")</f>
        <v>3000000</v>
      </c>
      <c r="K250" s="76">
        <f ca="1">IFERROR(INDIRECT($B250&amp;"!K199"), "")</f>
        <v>0</v>
      </c>
      <c r="L250" s="141">
        <f ca="1">IFERROR(INDIRECT($B250&amp;"!L199"), "")</f>
        <v>0</v>
      </c>
      <c r="M250" s="142">
        <f ca="1">IFERROR($C250 * (1 + N250), "")</f>
        <v>3000000</v>
      </c>
      <c r="N250" s="76">
        <f ca="1">IFERROR(INDIRECT($B250&amp;"!N199"), "")</f>
        <v>0</v>
      </c>
      <c r="O250" s="141">
        <f ca="1">IFERROR(INDIRECT($B250&amp;"!O199"), "")</f>
        <v>0</v>
      </c>
    </row>
    <row r="251" spans="1:15" ht="16.5" customHeight="1">
      <c r="A251" s="153">
        <v>2</v>
      </c>
      <c r="B251" s="153" t="str">
        <f>TEXT(투자전략!$G$1+1, "[$-ko-KR]yyyy.mm.dd")</f>
        <v>2021.06.02</v>
      </c>
      <c r="C251" s="135" t="str">
        <f t="shared" ref="C251:C280" ca="1" si="78">IFERROR(COUNTA(INDIRECT($B251&amp;"!A179:A198")) * INDIRECT($B251&amp;"!B199"), "")</f>
        <v/>
      </c>
      <c r="D251" s="139" t="str">
        <f t="shared" ref="D251:D280" ca="1" si="79">IFERROR($C251 * (1 + E251), "")</f>
        <v/>
      </c>
      <c r="E251" s="77" t="str">
        <f t="shared" ref="E251:E280" ca="1" si="80">IFERROR(INDIRECT($B251&amp;"!E199"), "")</f>
        <v/>
      </c>
      <c r="F251" s="137" t="str">
        <f t="shared" ref="F251:F280" ca="1" si="81">IFERROR(INDIRECT($B251&amp;"!F199"), "")</f>
        <v/>
      </c>
      <c r="G251" s="139" t="str">
        <f t="shared" ref="G251:G280" ca="1" si="82">IFERROR($C251 * (1 + H251), "")</f>
        <v/>
      </c>
      <c r="H251" s="77" t="str">
        <f t="shared" ref="H251:H280" ca="1" si="83">IFERROR(INDIRECT($B251&amp;"!H199"), "")</f>
        <v/>
      </c>
      <c r="I251" s="137" t="str">
        <f t="shared" ref="I251:I280" ca="1" si="84">IFERROR(INDIRECT($B251&amp;"!I199"), "")</f>
        <v/>
      </c>
      <c r="J251" s="139" t="str">
        <f t="shared" ref="J251:J280" ca="1" si="85">IFERROR($C251 * (1 + K251), "")</f>
        <v/>
      </c>
      <c r="K251" s="77" t="str">
        <f t="shared" ref="K251:K280" ca="1" si="86">IFERROR(INDIRECT($B251&amp;"!K199"), "")</f>
        <v/>
      </c>
      <c r="L251" s="137" t="str">
        <f t="shared" ref="L251:L280" ca="1" si="87">IFERROR(INDIRECT($B251&amp;"!L199"), "")</f>
        <v/>
      </c>
      <c r="M251" s="139" t="str">
        <f t="shared" ref="M251:M280" ca="1" si="88">IFERROR($C251 * (1 + N251), "")</f>
        <v/>
      </c>
      <c r="N251" s="77" t="str">
        <f t="shared" ref="N251:N280" ca="1" si="89">IFERROR(INDIRECT($B251&amp;"!N199"), "")</f>
        <v/>
      </c>
      <c r="O251" s="137" t="str">
        <f t="shared" ref="O251:O280" ca="1" si="90">IFERROR(INDIRECT($B251&amp;"!O199"), "")</f>
        <v/>
      </c>
    </row>
    <row r="252" spans="1:15" ht="16.5" customHeight="1">
      <c r="A252" s="153">
        <v>3</v>
      </c>
      <c r="B252" s="153" t="str">
        <f>TEXT(투자전략!$G$1+2, "[$-ko-KR]yyyy.mm.dd")</f>
        <v>2021.06.03</v>
      </c>
      <c r="C252" s="135" t="str">
        <f t="shared" ca="1" si="78"/>
        <v/>
      </c>
      <c r="D252" s="139" t="str">
        <f t="shared" ca="1" si="79"/>
        <v/>
      </c>
      <c r="E252" s="77" t="str">
        <f t="shared" ca="1" si="80"/>
        <v/>
      </c>
      <c r="F252" s="137" t="str">
        <f t="shared" ca="1" si="81"/>
        <v/>
      </c>
      <c r="G252" s="139" t="str">
        <f t="shared" ca="1" si="82"/>
        <v/>
      </c>
      <c r="H252" s="77" t="str">
        <f t="shared" ca="1" si="83"/>
        <v/>
      </c>
      <c r="I252" s="137" t="str">
        <f t="shared" ca="1" si="84"/>
        <v/>
      </c>
      <c r="J252" s="139" t="str">
        <f t="shared" ca="1" si="85"/>
        <v/>
      </c>
      <c r="K252" s="77" t="str">
        <f t="shared" ca="1" si="86"/>
        <v/>
      </c>
      <c r="L252" s="137" t="str">
        <f t="shared" ca="1" si="87"/>
        <v/>
      </c>
      <c r="M252" s="139" t="str">
        <f t="shared" ca="1" si="88"/>
        <v/>
      </c>
      <c r="N252" s="77" t="str">
        <f t="shared" ca="1" si="89"/>
        <v/>
      </c>
      <c r="O252" s="137" t="str">
        <f t="shared" ca="1" si="90"/>
        <v/>
      </c>
    </row>
    <row r="253" spans="1:15" ht="16.5" customHeight="1">
      <c r="A253" s="153">
        <v>4</v>
      </c>
      <c r="B253" s="153" t="str">
        <f>TEXT(투자전략!$G$1+3, "[$-ko-KR]yyyy.mm.dd")</f>
        <v>2021.06.04</v>
      </c>
      <c r="C253" s="135" t="str">
        <f t="shared" ca="1" si="78"/>
        <v/>
      </c>
      <c r="D253" s="139" t="str">
        <f t="shared" ca="1" si="79"/>
        <v/>
      </c>
      <c r="E253" s="77" t="str">
        <f t="shared" ca="1" si="80"/>
        <v/>
      </c>
      <c r="F253" s="137" t="str">
        <f t="shared" ca="1" si="81"/>
        <v/>
      </c>
      <c r="G253" s="139" t="str">
        <f t="shared" ca="1" si="82"/>
        <v/>
      </c>
      <c r="H253" s="77" t="str">
        <f t="shared" ca="1" si="83"/>
        <v/>
      </c>
      <c r="I253" s="137" t="str">
        <f t="shared" ca="1" si="84"/>
        <v/>
      </c>
      <c r="J253" s="139" t="str">
        <f t="shared" ca="1" si="85"/>
        <v/>
      </c>
      <c r="K253" s="77" t="str">
        <f t="shared" ca="1" si="86"/>
        <v/>
      </c>
      <c r="L253" s="137" t="str">
        <f t="shared" ca="1" si="87"/>
        <v/>
      </c>
      <c r="M253" s="139" t="str">
        <f t="shared" ca="1" si="88"/>
        <v/>
      </c>
      <c r="N253" s="77" t="str">
        <f t="shared" ca="1" si="89"/>
        <v/>
      </c>
      <c r="O253" s="137" t="str">
        <f t="shared" ca="1" si="90"/>
        <v/>
      </c>
    </row>
    <row r="254" spans="1:15" ht="16.5" customHeight="1">
      <c r="A254" s="153">
        <v>5</v>
      </c>
      <c r="B254" s="153" t="str">
        <f>TEXT(투자전략!$G$1+4, "[$-ko-KR]yyyy.mm.dd")</f>
        <v>2021.06.05</v>
      </c>
      <c r="C254" s="135" t="str">
        <f t="shared" ca="1" si="78"/>
        <v/>
      </c>
      <c r="D254" s="139" t="str">
        <f t="shared" ca="1" si="79"/>
        <v/>
      </c>
      <c r="E254" s="77" t="str">
        <f t="shared" ca="1" si="80"/>
        <v/>
      </c>
      <c r="F254" s="137" t="str">
        <f t="shared" ca="1" si="81"/>
        <v/>
      </c>
      <c r="G254" s="139" t="str">
        <f t="shared" ca="1" si="82"/>
        <v/>
      </c>
      <c r="H254" s="77" t="str">
        <f t="shared" ca="1" si="83"/>
        <v/>
      </c>
      <c r="I254" s="137" t="str">
        <f t="shared" ca="1" si="84"/>
        <v/>
      </c>
      <c r="J254" s="139" t="str">
        <f t="shared" ca="1" si="85"/>
        <v/>
      </c>
      <c r="K254" s="77" t="str">
        <f t="shared" ca="1" si="86"/>
        <v/>
      </c>
      <c r="L254" s="137" t="str">
        <f t="shared" ca="1" si="87"/>
        <v/>
      </c>
      <c r="M254" s="139" t="str">
        <f t="shared" ca="1" si="88"/>
        <v/>
      </c>
      <c r="N254" s="77" t="str">
        <f t="shared" ca="1" si="89"/>
        <v/>
      </c>
      <c r="O254" s="137" t="str">
        <f t="shared" ca="1" si="90"/>
        <v/>
      </c>
    </row>
    <row r="255" spans="1:15" ht="16.5" customHeight="1">
      <c r="A255" s="153">
        <v>6</v>
      </c>
      <c r="B255" s="153" t="str">
        <f>TEXT(투자전략!$G$1+5, "[$-ko-KR]yyyy.mm.dd")</f>
        <v>2021.06.06</v>
      </c>
      <c r="C255" s="135" t="str">
        <f t="shared" ca="1" si="78"/>
        <v/>
      </c>
      <c r="D255" s="139" t="str">
        <f t="shared" ca="1" si="79"/>
        <v/>
      </c>
      <c r="E255" s="77" t="str">
        <f t="shared" ca="1" si="80"/>
        <v/>
      </c>
      <c r="F255" s="137" t="str">
        <f t="shared" ca="1" si="81"/>
        <v/>
      </c>
      <c r="G255" s="139" t="str">
        <f t="shared" ca="1" si="82"/>
        <v/>
      </c>
      <c r="H255" s="77" t="str">
        <f t="shared" ca="1" si="83"/>
        <v/>
      </c>
      <c r="I255" s="137" t="str">
        <f t="shared" ca="1" si="84"/>
        <v/>
      </c>
      <c r="J255" s="139" t="str">
        <f t="shared" ca="1" si="85"/>
        <v/>
      </c>
      <c r="K255" s="77" t="str">
        <f t="shared" ca="1" si="86"/>
        <v/>
      </c>
      <c r="L255" s="137" t="str">
        <f t="shared" ca="1" si="87"/>
        <v/>
      </c>
      <c r="M255" s="139" t="str">
        <f t="shared" ca="1" si="88"/>
        <v/>
      </c>
      <c r="N255" s="77" t="str">
        <f t="shared" ca="1" si="89"/>
        <v/>
      </c>
      <c r="O255" s="137" t="str">
        <f t="shared" ca="1" si="90"/>
        <v/>
      </c>
    </row>
    <row r="256" spans="1:15" ht="16.5" customHeight="1" thickBot="1">
      <c r="A256" s="155">
        <v>7</v>
      </c>
      <c r="B256" s="155" t="str">
        <f>TEXT(투자전략!$G$1+6, "[$-ko-KR]yyyy.mm.dd")</f>
        <v>2021.06.07</v>
      </c>
      <c r="C256" s="135" t="str">
        <f t="shared" ca="1" si="78"/>
        <v/>
      </c>
      <c r="D256" s="139" t="str">
        <f t="shared" ca="1" si="79"/>
        <v/>
      </c>
      <c r="E256" s="77" t="str">
        <f t="shared" ca="1" si="80"/>
        <v/>
      </c>
      <c r="F256" s="137" t="str">
        <f t="shared" ca="1" si="81"/>
        <v/>
      </c>
      <c r="G256" s="139" t="str">
        <f t="shared" ca="1" si="82"/>
        <v/>
      </c>
      <c r="H256" s="77" t="str">
        <f t="shared" ca="1" si="83"/>
        <v/>
      </c>
      <c r="I256" s="137" t="str">
        <f t="shared" ca="1" si="84"/>
        <v/>
      </c>
      <c r="J256" s="139" t="str">
        <f t="shared" ca="1" si="85"/>
        <v/>
      </c>
      <c r="K256" s="77" t="str">
        <f t="shared" ca="1" si="86"/>
        <v/>
      </c>
      <c r="L256" s="137" t="str">
        <f t="shared" ca="1" si="87"/>
        <v/>
      </c>
      <c r="M256" s="139" t="str">
        <f t="shared" ca="1" si="88"/>
        <v/>
      </c>
      <c r="N256" s="77" t="str">
        <f t="shared" ca="1" si="89"/>
        <v/>
      </c>
      <c r="O256" s="137" t="str">
        <f t="shared" ca="1" si="90"/>
        <v/>
      </c>
    </row>
    <row r="257" spans="1:15" ht="16.5" customHeight="1">
      <c r="A257" s="154">
        <v>8</v>
      </c>
      <c r="B257" s="154" t="str">
        <f>TEXT(투자전략!$G$1+7, "[$-ko-KR]yyyy.mm.dd")</f>
        <v>2021.06.08</v>
      </c>
      <c r="C257" s="134" t="str">
        <f t="shared" ca="1" si="78"/>
        <v/>
      </c>
      <c r="D257" s="142" t="str">
        <f t="shared" ca="1" si="79"/>
        <v/>
      </c>
      <c r="E257" s="76" t="str">
        <f t="shared" ca="1" si="80"/>
        <v/>
      </c>
      <c r="F257" s="141" t="str">
        <f t="shared" ca="1" si="81"/>
        <v/>
      </c>
      <c r="G257" s="142" t="str">
        <f t="shared" ca="1" si="82"/>
        <v/>
      </c>
      <c r="H257" s="76" t="str">
        <f t="shared" ca="1" si="83"/>
        <v/>
      </c>
      <c r="I257" s="141" t="str">
        <f t="shared" ca="1" si="84"/>
        <v/>
      </c>
      <c r="J257" s="142" t="str">
        <f t="shared" ca="1" si="85"/>
        <v/>
      </c>
      <c r="K257" s="76" t="str">
        <f t="shared" ca="1" si="86"/>
        <v/>
      </c>
      <c r="L257" s="141" t="str">
        <f t="shared" ca="1" si="87"/>
        <v/>
      </c>
      <c r="M257" s="142" t="str">
        <f t="shared" ca="1" si="88"/>
        <v/>
      </c>
      <c r="N257" s="76" t="str">
        <f t="shared" ca="1" si="89"/>
        <v/>
      </c>
      <c r="O257" s="141" t="str">
        <f t="shared" ca="1" si="90"/>
        <v/>
      </c>
    </row>
    <row r="258" spans="1:15" ht="16.5" customHeight="1">
      <c r="A258" s="153">
        <v>9</v>
      </c>
      <c r="B258" s="153" t="str">
        <f>TEXT(투자전략!$G$1+8, "[$-ko-KR]yyyy.mm.dd")</f>
        <v>2021.06.09</v>
      </c>
      <c r="C258" s="135" t="str">
        <f t="shared" ca="1" si="78"/>
        <v/>
      </c>
      <c r="D258" s="139" t="str">
        <f t="shared" ca="1" si="79"/>
        <v/>
      </c>
      <c r="E258" s="77" t="str">
        <f t="shared" ca="1" si="80"/>
        <v/>
      </c>
      <c r="F258" s="137" t="str">
        <f t="shared" ca="1" si="81"/>
        <v/>
      </c>
      <c r="G258" s="139" t="str">
        <f t="shared" ca="1" si="82"/>
        <v/>
      </c>
      <c r="H258" s="77" t="str">
        <f t="shared" ca="1" si="83"/>
        <v/>
      </c>
      <c r="I258" s="137" t="str">
        <f t="shared" ca="1" si="84"/>
        <v/>
      </c>
      <c r="J258" s="139" t="str">
        <f t="shared" ca="1" si="85"/>
        <v/>
      </c>
      <c r="K258" s="77" t="str">
        <f t="shared" ca="1" si="86"/>
        <v/>
      </c>
      <c r="L258" s="137" t="str">
        <f t="shared" ca="1" si="87"/>
        <v/>
      </c>
      <c r="M258" s="139" t="str">
        <f t="shared" ca="1" si="88"/>
        <v/>
      </c>
      <c r="N258" s="77" t="str">
        <f t="shared" ca="1" si="89"/>
        <v/>
      </c>
      <c r="O258" s="137" t="str">
        <f t="shared" ca="1" si="90"/>
        <v/>
      </c>
    </row>
    <row r="259" spans="1:15" ht="16.5" customHeight="1">
      <c r="A259" s="153">
        <v>10</v>
      </c>
      <c r="B259" s="153" t="str">
        <f>TEXT(투자전략!$G$1+9, "[$-ko-KR]yyyy.mm.dd")</f>
        <v>2021.06.10</v>
      </c>
      <c r="C259" s="135" t="str">
        <f t="shared" ca="1" si="78"/>
        <v/>
      </c>
      <c r="D259" s="139" t="str">
        <f t="shared" ca="1" si="79"/>
        <v/>
      </c>
      <c r="E259" s="77" t="str">
        <f t="shared" ca="1" si="80"/>
        <v/>
      </c>
      <c r="F259" s="137" t="str">
        <f t="shared" ca="1" si="81"/>
        <v/>
      </c>
      <c r="G259" s="139" t="str">
        <f t="shared" ca="1" si="82"/>
        <v/>
      </c>
      <c r="H259" s="77" t="str">
        <f t="shared" ca="1" si="83"/>
        <v/>
      </c>
      <c r="I259" s="137" t="str">
        <f t="shared" ca="1" si="84"/>
        <v/>
      </c>
      <c r="J259" s="139" t="str">
        <f t="shared" ca="1" si="85"/>
        <v/>
      </c>
      <c r="K259" s="77" t="str">
        <f t="shared" ca="1" si="86"/>
        <v/>
      </c>
      <c r="L259" s="137" t="str">
        <f t="shared" ca="1" si="87"/>
        <v/>
      </c>
      <c r="M259" s="139" t="str">
        <f t="shared" ca="1" si="88"/>
        <v/>
      </c>
      <c r="N259" s="77" t="str">
        <f t="shared" ca="1" si="89"/>
        <v/>
      </c>
      <c r="O259" s="137" t="str">
        <f t="shared" ca="1" si="90"/>
        <v/>
      </c>
    </row>
    <row r="260" spans="1:15" ht="16.5" customHeight="1">
      <c r="A260" s="153">
        <v>11</v>
      </c>
      <c r="B260" s="153" t="str">
        <f>TEXT(투자전략!$G$1+10, "[$-ko-KR]yyyy.mm.dd")</f>
        <v>2021.06.11</v>
      </c>
      <c r="C260" s="135" t="str">
        <f t="shared" ca="1" si="78"/>
        <v/>
      </c>
      <c r="D260" s="139" t="str">
        <f t="shared" ca="1" si="79"/>
        <v/>
      </c>
      <c r="E260" s="77" t="str">
        <f t="shared" ca="1" si="80"/>
        <v/>
      </c>
      <c r="F260" s="137" t="str">
        <f t="shared" ca="1" si="81"/>
        <v/>
      </c>
      <c r="G260" s="139" t="str">
        <f t="shared" ca="1" si="82"/>
        <v/>
      </c>
      <c r="H260" s="77" t="str">
        <f t="shared" ca="1" si="83"/>
        <v/>
      </c>
      <c r="I260" s="137" t="str">
        <f t="shared" ca="1" si="84"/>
        <v/>
      </c>
      <c r="J260" s="139" t="str">
        <f t="shared" ca="1" si="85"/>
        <v/>
      </c>
      <c r="K260" s="77" t="str">
        <f t="shared" ca="1" si="86"/>
        <v/>
      </c>
      <c r="L260" s="137" t="str">
        <f t="shared" ca="1" si="87"/>
        <v/>
      </c>
      <c r="M260" s="139" t="str">
        <f t="shared" ca="1" si="88"/>
        <v/>
      </c>
      <c r="N260" s="77" t="str">
        <f t="shared" ca="1" si="89"/>
        <v/>
      </c>
      <c r="O260" s="137" t="str">
        <f t="shared" ca="1" si="90"/>
        <v/>
      </c>
    </row>
    <row r="261" spans="1:15" ht="16.5" customHeight="1">
      <c r="A261" s="153">
        <v>12</v>
      </c>
      <c r="B261" s="153" t="str">
        <f>TEXT(투자전략!$G$1+11, "[$-ko-KR]yyyy.mm.dd")</f>
        <v>2021.06.12</v>
      </c>
      <c r="C261" s="135" t="str">
        <f t="shared" ca="1" si="78"/>
        <v/>
      </c>
      <c r="D261" s="139" t="str">
        <f t="shared" ca="1" si="79"/>
        <v/>
      </c>
      <c r="E261" s="77" t="str">
        <f t="shared" ca="1" si="80"/>
        <v/>
      </c>
      <c r="F261" s="137" t="str">
        <f t="shared" ca="1" si="81"/>
        <v/>
      </c>
      <c r="G261" s="139" t="str">
        <f t="shared" ca="1" si="82"/>
        <v/>
      </c>
      <c r="H261" s="77" t="str">
        <f t="shared" ca="1" si="83"/>
        <v/>
      </c>
      <c r="I261" s="137" t="str">
        <f t="shared" ca="1" si="84"/>
        <v/>
      </c>
      <c r="J261" s="139" t="str">
        <f t="shared" ca="1" si="85"/>
        <v/>
      </c>
      <c r="K261" s="77" t="str">
        <f t="shared" ca="1" si="86"/>
        <v/>
      </c>
      <c r="L261" s="137" t="str">
        <f t="shared" ca="1" si="87"/>
        <v/>
      </c>
      <c r="M261" s="139" t="str">
        <f t="shared" ca="1" si="88"/>
        <v/>
      </c>
      <c r="N261" s="77" t="str">
        <f t="shared" ca="1" si="89"/>
        <v/>
      </c>
      <c r="O261" s="137" t="str">
        <f t="shared" ca="1" si="90"/>
        <v/>
      </c>
    </row>
    <row r="262" spans="1:15" ht="16.5" customHeight="1">
      <c r="A262" s="153">
        <v>13</v>
      </c>
      <c r="B262" s="153" t="str">
        <f>TEXT(투자전략!$G$1+12, "[$-ko-KR]yyyy.mm.dd")</f>
        <v>2021.06.13</v>
      </c>
      <c r="C262" s="135" t="str">
        <f t="shared" ca="1" si="78"/>
        <v/>
      </c>
      <c r="D262" s="139" t="str">
        <f t="shared" ca="1" si="79"/>
        <v/>
      </c>
      <c r="E262" s="77" t="str">
        <f t="shared" ca="1" si="80"/>
        <v/>
      </c>
      <c r="F262" s="137" t="str">
        <f t="shared" ca="1" si="81"/>
        <v/>
      </c>
      <c r="G262" s="139" t="str">
        <f t="shared" ca="1" si="82"/>
        <v/>
      </c>
      <c r="H262" s="77" t="str">
        <f t="shared" ca="1" si="83"/>
        <v/>
      </c>
      <c r="I262" s="137" t="str">
        <f t="shared" ca="1" si="84"/>
        <v/>
      </c>
      <c r="J262" s="139" t="str">
        <f t="shared" ca="1" si="85"/>
        <v/>
      </c>
      <c r="K262" s="77" t="str">
        <f t="shared" ca="1" si="86"/>
        <v/>
      </c>
      <c r="L262" s="137" t="str">
        <f t="shared" ca="1" si="87"/>
        <v/>
      </c>
      <c r="M262" s="139" t="str">
        <f t="shared" ca="1" si="88"/>
        <v/>
      </c>
      <c r="N262" s="77" t="str">
        <f t="shared" ca="1" si="89"/>
        <v/>
      </c>
      <c r="O262" s="137" t="str">
        <f t="shared" ca="1" si="90"/>
        <v/>
      </c>
    </row>
    <row r="263" spans="1:15" ht="16.5" customHeight="1" thickBot="1">
      <c r="A263" s="155">
        <v>14</v>
      </c>
      <c r="B263" s="155" t="str">
        <f>TEXT(투자전략!$G$1+13, "[$-ko-KR]yyyy.mm.dd")</f>
        <v>2021.06.14</v>
      </c>
      <c r="C263" s="136" t="str">
        <f t="shared" ca="1" si="78"/>
        <v/>
      </c>
      <c r="D263" s="140" t="str">
        <f t="shared" ca="1" si="79"/>
        <v/>
      </c>
      <c r="E263" s="79" t="str">
        <f t="shared" ca="1" si="80"/>
        <v/>
      </c>
      <c r="F263" s="138" t="str">
        <f t="shared" ca="1" si="81"/>
        <v/>
      </c>
      <c r="G263" s="140" t="str">
        <f t="shared" ca="1" si="82"/>
        <v/>
      </c>
      <c r="H263" s="79" t="str">
        <f t="shared" ca="1" si="83"/>
        <v/>
      </c>
      <c r="I263" s="138" t="str">
        <f t="shared" ca="1" si="84"/>
        <v/>
      </c>
      <c r="J263" s="140" t="str">
        <f t="shared" ca="1" si="85"/>
        <v/>
      </c>
      <c r="K263" s="79" t="str">
        <f t="shared" ca="1" si="86"/>
        <v/>
      </c>
      <c r="L263" s="138" t="str">
        <f t="shared" ca="1" si="87"/>
        <v/>
      </c>
      <c r="M263" s="140" t="str">
        <f t="shared" ca="1" si="88"/>
        <v/>
      </c>
      <c r="N263" s="79" t="str">
        <f t="shared" ca="1" si="89"/>
        <v/>
      </c>
      <c r="O263" s="138" t="str">
        <f t="shared" ca="1" si="90"/>
        <v/>
      </c>
    </row>
    <row r="264" spans="1:15" ht="16.5" customHeight="1">
      <c r="A264" s="154">
        <v>15</v>
      </c>
      <c r="B264" s="154" t="str">
        <f>TEXT(투자전략!$G$1+14, "[$-ko-KR]yyyy.mm.dd")</f>
        <v>2021.06.15</v>
      </c>
      <c r="C264" s="135" t="str">
        <f t="shared" ca="1" si="78"/>
        <v/>
      </c>
      <c r="D264" s="139" t="str">
        <f t="shared" ca="1" si="79"/>
        <v/>
      </c>
      <c r="E264" s="77" t="str">
        <f t="shared" ca="1" si="80"/>
        <v/>
      </c>
      <c r="F264" s="137" t="str">
        <f t="shared" ca="1" si="81"/>
        <v/>
      </c>
      <c r="G264" s="139" t="str">
        <f t="shared" ca="1" si="82"/>
        <v/>
      </c>
      <c r="H264" s="77" t="str">
        <f t="shared" ca="1" si="83"/>
        <v/>
      </c>
      <c r="I264" s="137" t="str">
        <f t="shared" ca="1" si="84"/>
        <v/>
      </c>
      <c r="J264" s="139" t="str">
        <f t="shared" ca="1" si="85"/>
        <v/>
      </c>
      <c r="K264" s="77" t="str">
        <f t="shared" ca="1" si="86"/>
        <v/>
      </c>
      <c r="L264" s="137" t="str">
        <f t="shared" ca="1" si="87"/>
        <v/>
      </c>
      <c r="M264" s="139" t="str">
        <f t="shared" ca="1" si="88"/>
        <v/>
      </c>
      <c r="N264" s="77" t="str">
        <f t="shared" ca="1" si="89"/>
        <v/>
      </c>
      <c r="O264" s="137" t="str">
        <f t="shared" ca="1" si="90"/>
        <v/>
      </c>
    </row>
    <row r="265" spans="1:15" ht="16.5" customHeight="1">
      <c r="A265" s="153">
        <v>16</v>
      </c>
      <c r="B265" s="153" t="str">
        <f>TEXT(투자전략!$G$1+15, "[$-ko-KR]yyyy.mm.dd")</f>
        <v>2021.06.16</v>
      </c>
      <c r="C265" s="135" t="str">
        <f t="shared" ca="1" si="78"/>
        <v/>
      </c>
      <c r="D265" s="139" t="str">
        <f t="shared" ca="1" si="79"/>
        <v/>
      </c>
      <c r="E265" s="77" t="str">
        <f t="shared" ca="1" si="80"/>
        <v/>
      </c>
      <c r="F265" s="137" t="str">
        <f t="shared" ca="1" si="81"/>
        <v/>
      </c>
      <c r="G265" s="139" t="str">
        <f t="shared" ca="1" si="82"/>
        <v/>
      </c>
      <c r="H265" s="77" t="str">
        <f t="shared" ca="1" si="83"/>
        <v/>
      </c>
      <c r="I265" s="137" t="str">
        <f t="shared" ca="1" si="84"/>
        <v/>
      </c>
      <c r="J265" s="139" t="str">
        <f t="shared" ca="1" si="85"/>
        <v/>
      </c>
      <c r="K265" s="77" t="str">
        <f t="shared" ca="1" si="86"/>
        <v/>
      </c>
      <c r="L265" s="137" t="str">
        <f t="shared" ca="1" si="87"/>
        <v/>
      </c>
      <c r="M265" s="139" t="str">
        <f t="shared" ca="1" si="88"/>
        <v/>
      </c>
      <c r="N265" s="77" t="str">
        <f t="shared" ca="1" si="89"/>
        <v/>
      </c>
      <c r="O265" s="137" t="str">
        <f t="shared" ca="1" si="90"/>
        <v/>
      </c>
    </row>
    <row r="266" spans="1:15" ht="16.5" customHeight="1">
      <c r="A266" s="153">
        <v>17</v>
      </c>
      <c r="B266" s="153" t="str">
        <f>TEXT(투자전략!$G$1+16, "[$-ko-KR]yyyy.mm.dd")</f>
        <v>2021.06.17</v>
      </c>
      <c r="C266" s="135" t="str">
        <f t="shared" ca="1" si="78"/>
        <v/>
      </c>
      <c r="D266" s="139" t="str">
        <f t="shared" ca="1" si="79"/>
        <v/>
      </c>
      <c r="E266" s="77" t="str">
        <f t="shared" ca="1" si="80"/>
        <v/>
      </c>
      <c r="F266" s="137" t="str">
        <f t="shared" ca="1" si="81"/>
        <v/>
      </c>
      <c r="G266" s="139" t="str">
        <f t="shared" ca="1" si="82"/>
        <v/>
      </c>
      <c r="H266" s="77" t="str">
        <f t="shared" ca="1" si="83"/>
        <v/>
      </c>
      <c r="I266" s="137" t="str">
        <f t="shared" ca="1" si="84"/>
        <v/>
      </c>
      <c r="J266" s="139" t="str">
        <f t="shared" ca="1" si="85"/>
        <v/>
      </c>
      <c r="K266" s="77" t="str">
        <f t="shared" ca="1" si="86"/>
        <v/>
      </c>
      <c r="L266" s="137" t="str">
        <f t="shared" ca="1" si="87"/>
        <v/>
      </c>
      <c r="M266" s="139" t="str">
        <f t="shared" ca="1" si="88"/>
        <v/>
      </c>
      <c r="N266" s="77" t="str">
        <f t="shared" ca="1" si="89"/>
        <v/>
      </c>
      <c r="O266" s="137" t="str">
        <f t="shared" ca="1" si="90"/>
        <v/>
      </c>
    </row>
    <row r="267" spans="1:15" ht="16.5" customHeight="1">
      <c r="A267" s="153">
        <v>18</v>
      </c>
      <c r="B267" s="153" t="str">
        <f>TEXT(투자전략!$G$1+17, "[$-ko-KR]yyyy.mm.dd")</f>
        <v>2021.06.18</v>
      </c>
      <c r="C267" s="135" t="str">
        <f t="shared" ca="1" si="78"/>
        <v/>
      </c>
      <c r="D267" s="139" t="str">
        <f t="shared" ca="1" si="79"/>
        <v/>
      </c>
      <c r="E267" s="77" t="str">
        <f t="shared" ca="1" si="80"/>
        <v/>
      </c>
      <c r="F267" s="137" t="str">
        <f t="shared" ca="1" si="81"/>
        <v/>
      </c>
      <c r="G267" s="139" t="str">
        <f t="shared" ca="1" si="82"/>
        <v/>
      </c>
      <c r="H267" s="77" t="str">
        <f t="shared" ca="1" si="83"/>
        <v/>
      </c>
      <c r="I267" s="137" t="str">
        <f t="shared" ca="1" si="84"/>
        <v/>
      </c>
      <c r="J267" s="139" t="str">
        <f t="shared" ca="1" si="85"/>
        <v/>
      </c>
      <c r="K267" s="77" t="str">
        <f t="shared" ca="1" si="86"/>
        <v/>
      </c>
      <c r="L267" s="137" t="str">
        <f t="shared" ca="1" si="87"/>
        <v/>
      </c>
      <c r="M267" s="139" t="str">
        <f t="shared" ca="1" si="88"/>
        <v/>
      </c>
      <c r="N267" s="77" t="str">
        <f t="shared" ca="1" si="89"/>
        <v/>
      </c>
      <c r="O267" s="137" t="str">
        <f t="shared" ca="1" si="90"/>
        <v/>
      </c>
    </row>
    <row r="268" spans="1:15" ht="16.5" customHeight="1">
      <c r="A268" s="153">
        <v>19</v>
      </c>
      <c r="B268" s="153" t="str">
        <f>TEXT(투자전략!$G$1+18, "[$-ko-KR]yyyy.mm.dd")</f>
        <v>2021.06.19</v>
      </c>
      <c r="C268" s="135" t="str">
        <f t="shared" ca="1" si="78"/>
        <v/>
      </c>
      <c r="D268" s="139" t="str">
        <f t="shared" ca="1" si="79"/>
        <v/>
      </c>
      <c r="E268" s="77" t="str">
        <f t="shared" ca="1" si="80"/>
        <v/>
      </c>
      <c r="F268" s="137" t="str">
        <f t="shared" ca="1" si="81"/>
        <v/>
      </c>
      <c r="G268" s="139" t="str">
        <f t="shared" ca="1" si="82"/>
        <v/>
      </c>
      <c r="H268" s="77" t="str">
        <f t="shared" ca="1" si="83"/>
        <v/>
      </c>
      <c r="I268" s="137" t="str">
        <f t="shared" ca="1" si="84"/>
        <v/>
      </c>
      <c r="J268" s="139" t="str">
        <f t="shared" ca="1" si="85"/>
        <v/>
      </c>
      <c r="K268" s="77" t="str">
        <f t="shared" ca="1" si="86"/>
        <v/>
      </c>
      <c r="L268" s="137" t="str">
        <f t="shared" ca="1" si="87"/>
        <v/>
      </c>
      <c r="M268" s="139" t="str">
        <f t="shared" ca="1" si="88"/>
        <v/>
      </c>
      <c r="N268" s="77" t="str">
        <f t="shared" ca="1" si="89"/>
        <v/>
      </c>
      <c r="O268" s="137" t="str">
        <f t="shared" ca="1" si="90"/>
        <v/>
      </c>
    </row>
    <row r="269" spans="1:15" ht="16.5" customHeight="1">
      <c r="A269" s="153">
        <v>20</v>
      </c>
      <c r="B269" s="153" t="str">
        <f>TEXT(투자전략!$G$1+19, "[$-ko-KR]yyyy.mm.dd")</f>
        <v>2021.06.20</v>
      </c>
      <c r="C269" s="135" t="str">
        <f t="shared" ca="1" si="78"/>
        <v/>
      </c>
      <c r="D269" s="139" t="str">
        <f t="shared" ca="1" si="79"/>
        <v/>
      </c>
      <c r="E269" s="77" t="str">
        <f t="shared" ca="1" si="80"/>
        <v/>
      </c>
      <c r="F269" s="137" t="str">
        <f t="shared" ca="1" si="81"/>
        <v/>
      </c>
      <c r="G269" s="139" t="str">
        <f t="shared" ca="1" si="82"/>
        <v/>
      </c>
      <c r="H269" s="77" t="str">
        <f t="shared" ca="1" si="83"/>
        <v/>
      </c>
      <c r="I269" s="137" t="str">
        <f t="shared" ca="1" si="84"/>
        <v/>
      </c>
      <c r="J269" s="139" t="str">
        <f t="shared" ca="1" si="85"/>
        <v/>
      </c>
      <c r="K269" s="77" t="str">
        <f t="shared" ca="1" si="86"/>
        <v/>
      </c>
      <c r="L269" s="137" t="str">
        <f t="shared" ca="1" si="87"/>
        <v/>
      </c>
      <c r="M269" s="139" t="str">
        <f t="shared" ca="1" si="88"/>
        <v/>
      </c>
      <c r="N269" s="77" t="str">
        <f t="shared" ca="1" si="89"/>
        <v/>
      </c>
      <c r="O269" s="137" t="str">
        <f t="shared" ca="1" si="90"/>
        <v/>
      </c>
    </row>
    <row r="270" spans="1:15" ht="16.5" customHeight="1" thickBot="1">
      <c r="A270" s="155">
        <v>21</v>
      </c>
      <c r="B270" s="155" t="str">
        <f>TEXT(투자전략!$G$1+20, "[$-ko-KR]yyyy.mm.dd")</f>
        <v>2021.06.21</v>
      </c>
      <c r="C270" s="135" t="str">
        <f t="shared" ca="1" si="78"/>
        <v/>
      </c>
      <c r="D270" s="139" t="str">
        <f t="shared" ca="1" si="79"/>
        <v/>
      </c>
      <c r="E270" s="77" t="str">
        <f t="shared" ca="1" si="80"/>
        <v/>
      </c>
      <c r="F270" s="137" t="str">
        <f t="shared" ca="1" si="81"/>
        <v/>
      </c>
      <c r="G270" s="139" t="str">
        <f t="shared" ca="1" si="82"/>
        <v/>
      </c>
      <c r="H270" s="77" t="str">
        <f t="shared" ca="1" si="83"/>
        <v/>
      </c>
      <c r="I270" s="137" t="str">
        <f t="shared" ca="1" si="84"/>
        <v/>
      </c>
      <c r="J270" s="139" t="str">
        <f t="shared" ca="1" si="85"/>
        <v/>
      </c>
      <c r="K270" s="77" t="str">
        <f t="shared" ca="1" si="86"/>
        <v/>
      </c>
      <c r="L270" s="137" t="str">
        <f t="shared" ca="1" si="87"/>
        <v/>
      </c>
      <c r="M270" s="139" t="str">
        <f t="shared" ca="1" si="88"/>
        <v/>
      </c>
      <c r="N270" s="77" t="str">
        <f t="shared" ca="1" si="89"/>
        <v/>
      </c>
      <c r="O270" s="137" t="str">
        <f t="shared" ca="1" si="90"/>
        <v/>
      </c>
    </row>
    <row r="271" spans="1:15" ht="16.5" customHeight="1">
      <c r="A271" s="154">
        <v>22</v>
      </c>
      <c r="B271" s="154" t="str">
        <f>TEXT(투자전략!$G$1+21, "[$-ko-KR]yyyy.mm.dd")</f>
        <v>2021.06.22</v>
      </c>
      <c r="C271" s="134" t="str">
        <f t="shared" ca="1" si="78"/>
        <v/>
      </c>
      <c r="D271" s="142" t="str">
        <f t="shared" ca="1" si="79"/>
        <v/>
      </c>
      <c r="E271" s="76" t="str">
        <f t="shared" ca="1" si="80"/>
        <v/>
      </c>
      <c r="F271" s="141" t="str">
        <f t="shared" ca="1" si="81"/>
        <v/>
      </c>
      <c r="G271" s="142" t="str">
        <f t="shared" ca="1" si="82"/>
        <v/>
      </c>
      <c r="H271" s="76" t="str">
        <f t="shared" ca="1" si="83"/>
        <v/>
      </c>
      <c r="I271" s="141" t="str">
        <f t="shared" ca="1" si="84"/>
        <v/>
      </c>
      <c r="J271" s="142" t="str">
        <f t="shared" ca="1" si="85"/>
        <v/>
      </c>
      <c r="K271" s="76" t="str">
        <f t="shared" ca="1" si="86"/>
        <v/>
      </c>
      <c r="L271" s="141" t="str">
        <f t="shared" ca="1" si="87"/>
        <v/>
      </c>
      <c r="M271" s="142" t="str">
        <f t="shared" ca="1" si="88"/>
        <v/>
      </c>
      <c r="N271" s="76" t="str">
        <f t="shared" ca="1" si="89"/>
        <v/>
      </c>
      <c r="O271" s="141" t="str">
        <f t="shared" ca="1" si="90"/>
        <v/>
      </c>
    </row>
    <row r="272" spans="1:15" ht="16.5" customHeight="1">
      <c r="A272" s="153">
        <v>23</v>
      </c>
      <c r="B272" s="153" t="str">
        <f>TEXT(투자전략!$G$1+22, "[$-ko-KR]yyyy.mm.dd")</f>
        <v>2021.06.23</v>
      </c>
      <c r="C272" s="135" t="str">
        <f t="shared" ca="1" si="78"/>
        <v/>
      </c>
      <c r="D272" s="139" t="str">
        <f t="shared" ca="1" si="79"/>
        <v/>
      </c>
      <c r="E272" s="77" t="str">
        <f t="shared" ca="1" si="80"/>
        <v/>
      </c>
      <c r="F272" s="137" t="str">
        <f t="shared" ca="1" si="81"/>
        <v/>
      </c>
      <c r="G272" s="139" t="str">
        <f t="shared" ca="1" si="82"/>
        <v/>
      </c>
      <c r="H272" s="77" t="str">
        <f t="shared" ca="1" si="83"/>
        <v/>
      </c>
      <c r="I272" s="137" t="str">
        <f t="shared" ca="1" si="84"/>
        <v/>
      </c>
      <c r="J272" s="139" t="str">
        <f t="shared" ca="1" si="85"/>
        <v/>
      </c>
      <c r="K272" s="77" t="str">
        <f t="shared" ca="1" si="86"/>
        <v/>
      </c>
      <c r="L272" s="137" t="str">
        <f t="shared" ca="1" si="87"/>
        <v/>
      </c>
      <c r="M272" s="139" t="str">
        <f t="shared" ca="1" si="88"/>
        <v/>
      </c>
      <c r="N272" s="77" t="str">
        <f t="shared" ca="1" si="89"/>
        <v/>
      </c>
      <c r="O272" s="137" t="str">
        <f t="shared" ca="1" si="90"/>
        <v/>
      </c>
    </row>
    <row r="273" spans="1:15" ht="16.5" customHeight="1">
      <c r="A273" s="153">
        <v>24</v>
      </c>
      <c r="B273" s="153" t="str">
        <f>TEXT(투자전략!$G$1+23, "[$-ko-KR]yyyy.mm.dd")</f>
        <v>2021.06.24</v>
      </c>
      <c r="C273" s="135" t="str">
        <f t="shared" ca="1" si="78"/>
        <v/>
      </c>
      <c r="D273" s="139" t="str">
        <f t="shared" ca="1" si="79"/>
        <v/>
      </c>
      <c r="E273" s="77" t="str">
        <f t="shared" ca="1" si="80"/>
        <v/>
      </c>
      <c r="F273" s="137" t="str">
        <f t="shared" ca="1" si="81"/>
        <v/>
      </c>
      <c r="G273" s="139" t="str">
        <f t="shared" ca="1" si="82"/>
        <v/>
      </c>
      <c r="H273" s="77" t="str">
        <f t="shared" ca="1" si="83"/>
        <v/>
      </c>
      <c r="I273" s="137" t="str">
        <f t="shared" ca="1" si="84"/>
        <v/>
      </c>
      <c r="J273" s="139" t="str">
        <f t="shared" ca="1" si="85"/>
        <v/>
      </c>
      <c r="K273" s="77" t="str">
        <f t="shared" ca="1" si="86"/>
        <v/>
      </c>
      <c r="L273" s="137" t="str">
        <f t="shared" ca="1" si="87"/>
        <v/>
      </c>
      <c r="M273" s="139" t="str">
        <f t="shared" ca="1" si="88"/>
        <v/>
      </c>
      <c r="N273" s="77" t="str">
        <f t="shared" ca="1" si="89"/>
        <v/>
      </c>
      <c r="O273" s="137" t="str">
        <f t="shared" ca="1" si="90"/>
        <v/>
      </c>
    </row>
    <row r="274" spans="1:15" ht="16.5" customHeight="1">
      <c r="A274" s="153">
        <v>25</v>
      </c>
      <c r="B274" s="153" t="str">
        <f>TEXT(투자전략!$G$1+24, "[$-ko-KR]yyyy.mm.dd")</f>
        <v>2021.06.25</v>
      </c>
      <c r="C274" s="135" t="str">
        <f t="shared" ca="1" si="78"/>
        <v/>
      </c>
      <c r="D274" s="139" t="str">
        <f t="shared" ca="1" si="79"/>
        <v/>
      </c>
      <c r="E274" s="77" t="str">
        <f t="shared" ca="1" si="80"/>
        <v/>
      </c>
      <c r="F274" s="137" t="str">
        <f t="shared" ca="1" si="81"/>
        <v/>
      </c>
      <c r="G274" s="139" t="str">
        <f t="shared" ca="1" si="82"/>
        <v/>
      </c>
      <c r="H274" s="77" t="str">
        <f t="shared" ca="1" si="83"/>
        <v/>
      </c>
      <c r="I274" s="137" t="str">
        <f t="shared" ca="1" si="84"/>
        <v/>
      </c>
      <c r="J274" s="139" t="str">
        <f t="shared" ca="1" si="85"/>
        <v/>
      </c>
      <c r="K274" s="77" t="str">
        <f t="shared" ca="1" si="86"/>
        <v/>
      </c>
      <c r="L274" s="137" t="str">
        <f t="shared" ca="1" si="87"/>
        <v/>
      </c>
      <c r="M274" s="139" t="str">
        <f t="shared" ca="1" si="88"/>
        <v/>
      </c>
      <c r="N274" s="77" t="str">
        <f t="shared" ca="1" si="89"/>
        <v/>
      </c>
      <c r="O274" s="137" t="str">
        <f t="shared" ca="1" si="90"/>
        <v/>
      </c>
    </row>
    <row r="275" spans="1:15" ht="16.5" customHeight="1">
      <c r="A275" s="153">
        <v>26</v>
      </c>
      <c r="B275" s="153" t="str">
        <f>TEXT(투자전략!$G$1+25, "[$-ko-KR]yyyy.mm.dd")</f>
        <v>2021.06.26</v>
      </c>
      <c r="C275" s="135" t="str">
        <f t="shared" ca="1" si="78"/>
        <v/>
      </c>
      <c r="D275" s="139" t="str">
        <f t="shared" ca="1" si="79"/>
        <v/>
      </c>
      <c r="E275" s="77" t="str">
        <f t="shared" ca="1" si="80"/>
        <v/>
      </c>
      <c r="F275" s="137" t="str">
        <f t="shared" ca="1" si="81"/>
        <v/>
      </c>
      <c r="G275" s="139" t="str">
        <f t="shared" ca="1" si="82"/>
        <v/>
      </c>
      <c r="H275" s="77" t="str">
        <f t="shared" ca="1" si="83"/>
        <v/>
      </c>
      <c r="I275" s="137" t="str">
        <f t="shared" ca="1" si="84"/>
        <v/>
      </c>
      <c r="J275" s="139" t="str">
        <f t="shared" ca="1" si="85"/>
        <v/>
      </c>
      <c r="K275" s="77" t="str">
        <f t="shared" ca="1" si="86"/>
        <v/>
      </c>
      <c r="L275" s="137" t="str">
        <f t="shared" ca="1" si="87"/>
        <v/>
      </c>
      <c r="M275" s="139" t="str">
        <f t="shared" ca="1" si="88"/>
        <v/>
      </c>
      <c r="N275" s="77" t="str">
        <f t="shared" ca="1" si="89"/>
        <v/>
      </c>
      <c r="O275" s="137" t="str">
        <f t="shared" ca="1" si="90"/>
        <v/>
      </c>
    </row>
    <row r="276" spans="1:15" ht="16.5" customHeight="1">
      <c r="A276" s="153">
        <v>27</v>
      </c>
      <c r="B276" s="153" t="str">
        <f>TEXT(투자전략!$G$1+26, "[$-ko-KR]yyyy.mm.dd")</f>
        <v>2021.06.27</v>
      </c>
      <c r="C276" s="135" t="str">
        <f t="shared" ca="1" si="78"/>
        <v/>
      </c>
      <c r="D276" s="139" t="str">
        <f t="shared" ca="1" si="79"/>
        <v/>
      </c>
      <c r="E276" s="77" t="str">
        <f t="shared" ca="1" si="80"/>
        <v/>
      </c>
      <c r="F276" s="137" t="str">
        <f t="shared" ca="1" si="81"/>
        <v/>
      </c>
      <c r="G276" s="139" t="str">
        <f t="shared" ca="1" si="82"/>
        <v/>
      </c>
      <c r="H276" s="77" t="str">
        <f t="shared" ca="1" si="83"/>
        <v/>
      </c>
      <c r="I276" s="137" t="str">
        <f t="shared" ca="1" si="84"/>
        <v/>
      </c>
      <c r="J276" s="139" t="str">
        <f t="shared" ca="1" si="85"/>
        <v/>
      </c>
      <c r="K276" s="77" t="str">
        <f t="shared" ca="1" si="86"/>
        <v/>
      </c>
      <c r="L276" s="137" t="str">
        <f t="shared" ca="1" si="87"/>
        <v/>
      </c>
      <c r="M276" s="139" t="str">
        <f t="shared" ca="1" si="88"/>
        <v/>
      </c>
      <c r="N276" s="77" t="str">
        <f t="shared" ca="1" si="89"/>
        <v/>
      </c>
      <c r="O276" s="137" t="str">
        <f t="shared" ca="1" si="90"/>
        <v/>
      </c>
    </row>
    <row r="277" spans="1:15" ht="16.5" customHeight="1" thickBot="1">
      <c r="A277" s="155">
        <v>28</v>
      </c>
      <c r="B277" s="155" t="str">
        <f>TEXT(투자전략!$G$1+27, "[$-ko-KR]yyyy.mm.dd")</f>
        <v>2021.06.28</v>
      </c>
      <c r="C277" s="136" t="str">
        <f t="shared" ca="1" si="78"/>
        <v/>
      </c>
      <c r="D277" s="140" t="str">
        <f t="shared" ca="1" si="79"/>
        <v/>
      </c>
      <c r="E277" s="79" t="str">
        <f t="shared" ca="1" si="80"/>
        <v/>
      </c>
      <c r="F277" s="138" t="str">
        <f t="shared" ca="1" si="81"/>
        <v/>
      </c>
      <c r="G277" s="140" t="str">
        <f t="shared" ca="1" si="82"/>
        <v/>
      </c>
      <c r="H277" s="79" t="str">
        <f t="shared" ca="1" si="83"/>
        <v/>
      </c>
      <c r="I277" s="138" t="str">
        <f t="shared" ca="1" si="84"/>
        <v/>
      </c>
      <c r="J277" s="140" t="str">
        <f t="shared" ca="1" si="85"/>
        <v/>
      </c>
      <c r="K277" s="79" t="str">
        <f t="shared" ca="1" si="86"/>
        <v/>
      </c>
      <c r="L277" s="138" t="str">
        <f t="shared" ca="1" si="87"/>
        <v/>
      </c>
      <c r="M277" s="140" t="str">
        <f t="shared" ca="1" si="88"/>
        <v/>
      </c>
      <c r="N277" s="79" t="str">
        <f t="shared" ca="1" si="89"/>
        <v/>
      </c>
      <c r="O277" s="138" t="str">
        <f t="shared" ca="1" si="90"/>
        <v/>
      </c>
    </row>
    <row r="278" spans="1:15" ht="16.5" customHeight="1">
      <c r="A278" s="121">
        <v>29</v>
      </c>
      <c r="B278" s="154" t="str">
        <f>TEXT(투자전략!$G$1+28, "[$-ko-KR]yyyy.mm.dd")</f>
        <v>2021.06.29</v>
      </c>
      <c r="C278" s="135" t="str">
        <f t="shared" ca="1" si="78"/>
        <v/>
      </c>
      <c r="D278" s="139" t="str">
        <f t="shared" ca="1" si="79"/>
        <v/>
      </c>
      <c r="E278" s="77" t="str">
        <f t="shared" ca="1" si="80"/>
        <v/>
      </c>
      <c r="F278" s="137" t="str">
        <f t="shared" ca="1" si="81"/>
        <v/>
      </c>
      <c r="G278" s="139" t="str">
        <f t="shared" ca="1" si="82"/>
        <v/>
      </c>
      <c r="H278" s="77" t="str">
        <f t="shared" ca="1" si="83"/>
        <v/>
      </c>
      <c r="I278" s="137" t="str">
        <f t="shared" ca="1" si="84"/>
        <v/>
      </c>
      <c r="J278" s="139" t="str">
        <f t="shared" ca="1" si="85"/>
        <v/>
      </c>
      <c r="K278" s="77" t="str">
        <f t="shared" ca="1" si="86"/>
        <v/>
      </c>
      <c r="L278" s="137" t="str">
        <f t="shared" ca="1" si="87"/>
        <v/>
      </c>
      <c r="M278" s="139" t="str">
        <f t="shared" ca="1" si="88"/>
        <v/>
      </c>
      <c r="N278" s="77" t="str">
        <f t="shared" ca="1" si="89"/>
        <v/>
      </c>
      <c r="O278" s="137" t="str">
        <f t="shared" ca="1" si="90"/>
        <v/>
      </c>
    </row>
    <row r="279" spans="1:15" ht="16.5" customHeight="1">
      <c r="A279" s="121">
        <v>30</v>
      </c>
      <c r="B279" s="153" t="str">
        <f>TEXT(투자전략!$G$1+29, "[$-ko-KR]yyyy.mm.dd")</f>
        <v>2021.06.30</v>
      </c>
      <c r="C279" s="135" t="str">
        <f t="shared" ca="1" si="78"/>
        <v/>
      </c>
      <c r="D279" s="139" t="str">
        <f t="shared" ca="1" si="79"/>
        <v/>
      </c>
      <c r="E279" s="77" t="str">
        <f t="shared" ca="1" si="80"/>
        <v/>
      </c>
      <c r="F279" s="137" t="str">
        <f t="shared" ca="1" si="81"/>
        <v/>
      </c>
      <c r="G279" s="139" t="str">
        <f t="shared" ca="1" si="82"/>
        <v/>
      </c>
      <c r="H279" s="77" t="str">
        <f t="shared" ca="1" si="83"/>
        <v/>
      </c>
      <c r="I279" s="137" t="str">
        <f t="shared" ca="1" si="84"/>
        <v/>
      </c>
      <c r="J279" s="139" t="str">
        <f t="shared" ca="1" si="85"/>
        <v/>
      </c>
      <c r="K279" s="77" t="str">
        <f t="shared" ca="1" si="86"/>
        <v/>
      </c>
      <c r="L279" s="137" t="str">
        <f t="shared" ca="1" si="87"/>
        <v/>
      </c>
      <c r="M279" s="139" t="str">
        <f t="shared" ca="1" si="88"/>
        <v/>
      </c>
      <c r="N279" s="77" t="str">
        <f t="shared" ca="1" si="89"/>
        <v/>
      </c>
      <c r="O279" s="137" t="str">
        <f t="shared" ca="1" si="90"/>
        <v/>
      </c>
    </row>
    <row r="280" spans="1:15" ht="16.5" customHeight="1" thickBot="1">
      <c r="A280" s="121">
        <v>31</v>
      </c>
      <c r="B280" s="153" t="str">
        <f>TEXT(투자전략!$G$1+30, "[$-ko-KR]yyyy.mm.dd")</f>
        <v>2021.07.01</v>
      </c>
      <c r="C280" s="136" t="str">
        <f t="shared" ca="1" si="78"/>
        <v/>
      </c>
      <c r="D280" s="140" t="str">
        <f t="shared" ca="1" si="79"/>
        <v/>
      </c>
      <c r="E280" s="79" t="str">
        <f t="shared" ca="1" si="80"/>
        <v/>
      </c>
      <c r="F280" s="138" t="str">
        <f t="shared" ca="1" si="81"/>
        <v/>
      </c>
      <c r="G280" s="140" t="str">
        <f t="shared" ca="1" si="82"/>
        <v/>
      </c>
      <c r="H280" s="79" t="str">
        <f t="shared" ca="1" si="83"/>
        <v/>
      </c>
      <c r="I280" s="138" t="str">
        <f t="shared" ca="1" si="84"/>
        <v/>
      </c>
      <c r="J280" s="140" t="str">
        <f t="shared" ca="1" si="85"/>
        <v/>
      </c>
      <c r="K280" s="79" t="str">
        <f t="shared" ca="1" si="86"/>
        <v/>
      </c>
      <c r="L280" s="138" t="str">
        <f t="shared" ca="1" si="87"/>
        <v/>
      </c>
      <c r="M280" s="140" t="str">
        <f t="shared" ca="1" si="88"/>
        <v/>
      </c>
      <c r="N280" s="79" t="str">
        <f t="shared" ca="1" si="89"/>
        <v/>
      </c>
      <c r="O280" s="138" t="str">
        <f t="shared" ca="1" si="90"/>
        <v/>
      </c>
    </row>
    <row r="281" spans="1:15" ht="16.5" customHeight="1" thickBot="1">
      <c r="A281" s="211" t="s">
        <v>313</v>
      </c>
      <c r="B281" s="213"/>
      <c r="C281" s="132" t="s">
        <v>308</v>
      </c>
      <c r="D281" s="150" t="s">
        <v>309</v>
      </c>
      <c r="E281" s="151" t="s">
        <v>310</v>
      </c>
      <c r="F281" s="152" t="s">
        <v>311</v>
      </c>
      <c r="G281" s="150" t="s">
        <v>309</v>
      </c>
      <c r="H281" s="151" t="s">
        <v>310</v>
      </c>
      <c r="I281" s="152" t="s">
        <v>311</v>
      </c>
      <c r="J281" s="150" t="s">
        <v>309</v>
      </c>
      <c r="K281" s="151" t="s">
        <v>310</v>
      </c>
      <c r="L281" s="152" t="s">
        <v>311</v>
      </c>
      <c r="M281" s="150" t="s">
        <v>309</v>
      </c>
      <c r="N281" s="151" t="s">
        <v>310</v>
      </c>
      <c r="O281" s="152" t="s">
        <v>311</v>
      </c>
    </row>
    <row r="282" spans="1:15" ht="16.5" customHeight="1" thickBot="1">
      <c r="A282" s="204"/>
      <c r="B282" s="206"/>
      <c r="C282" s="136">
        <f ca="1">SUM(C250:C280)</f>
        <v>3000000</v>
      </c>
      <c r="D282" s="140">
        <f ca="1">SUM(D250:D280)</f>
        <v>3000000</v>
      </c>
      <c r="E282" s="79">
        <f ca="1">IFERROR(F282 / (SUM($C250:$C280) / COUNT($C250:$C280)), 0)</f>
        <v>0</v>
      </c>
      <c r="F282" s="138">
        <f ca="1">SUM(F250:F280)</f>
        <v>0</v>
      </c>
      <c r="G282" s="140">
        <f ca="1">SUM(G250:G280)</f>
        <v>3000000</v>
      </c>
      <c r="H282" s="79">
        <f ca="1">IFERROR(I282 / (SUM($C250:$C280) / COUNT($C250:$C280)), 0)</f>
        <v>0</v>
      </c>
      <c r="I282" s="138">
        <f ca="1">SUM(I250:I280)</f>
        <v>0</v>
      </c>
      <c r="J282" s="140">
        <f ca="1">SUM(J250:J280)</f>
        <v>3000000</v>
      </c>
      <c r="K282" s="79">
        <f ca="1">IFERROR(L282 / (SUM($C250:$C280) / COUNT($C250:$C280)), 0)</f>
        <v>0</v>
      </c>
      <c r="L282" s="138">
        <f ca="1">SUM(L250:L280)</f>
        <v>0</v>
      </c>
      <c r="M282" s="140">
        <f ca="1">SUM(M250:M280)</f>
        <v>3000000</v>
      </c>
      <c r="N282" s="79">
        <f ca="1">IFERROR(O282 / (SUM($C250:$C280) / COUNT($C250:$C280)), 0)</f>
        <v>0</v>
      </c>
      <c r="O282" s="138">
        <f ca="1">SUM(O250:O280)</f>
        <v>0</v>
      </c>
    </row>
  </sheetData>
  <mergeCells count="139">
    <mergeCell ref="A57:O57"/>
    <mergeCell ref="A58:A59"/>
    <mergeCell ref="B58:C58"/>
    <mergeCell ref="D58:F58"/>
    <mergeCell ref="G58:I58"/>
    <mergeCell ref="J58:L58"/>
    <mergeCell ref="M58:O58"/>
    <mergeCell ref="G5:I5"/>
    <mergeCell ref="G3:I3"/>
    <mergeCell ref="G4:I4"/>
    <mergeCell ref="D3:F3"/>
    <mergeCell ref="D4:F4"/>
    <mergeCell ref="D5:F5"/>
    <mergeCell ref="J3:L3"/>
    <mergeCell ref="J4:L4"/>
    <mergeCell ref="J20:L20"/>
    <mergeCell ref="G7:I7"/>
    <mergeCell ref="G8:I8"/>
    <mergeCell ref="G9:I9"/>
    <mergeCell ref="G6:I6"/>
    <mergeCell ref="D6:F6"/>
    <mergeCell ref="D7:F7"/>
    <mergeCell ref="A53:B54"/>
    <mergeCell ref="A19:O19"/>
    <mergeCell ref="A20:A21"/>
    <mergeCell ref="G12:I12"/>
    <mergeCell ref="M20:O20"/>
    <mergeCell ref="B20:C20"/>
    <mergeCell ref="G11:I11"/>
    <mergeCell ref="G10:I10"/>
    <mergeCell ref="D20:F20"/>
    <mergeCell ref="G20:I20"/>
    <mergeCell ref="A129:B130"/>
    <mergeCell ref="A13:A14"/>
    <mergeCell ref="D15:F15"/>
    <mergeCell ref="G15:I15"/>
    <mergeCell ref="J15:L15"/>
    <mergeCell ref="M15:O15"/>
    <mergeCell ref="A15:A16"/>
    <mergeCell ref="D14:F14"/>
    <mergeCell ref="G14:I14"/>
    <mergeCell ref="J14:L14"/>
    <mergeCell ref="M14:O14"/>
    <mergeCell ref="D13:F13"/>
    <mergeCell ref="G13:I13"/>
    <mergeCell ref="J13:L13"/>
    <mergeCell ref="M13:O13"/>
    <mergeCell ref="B13:C13"/>
    <mergeCell ref="A133:O133"/>
    <mergeCell ref="A134:A135"/>
    <mergeCell ref="B134:C134"/>
    <mergeCell ref="D134:F134"/>
    <mergeCell ref="G134:I134"/>
    <mergeCell ref="J134:L134"/>
    <mergeCell ref="M134:O134"/>
    <mergeCell ref="A91:B92"/>
    <mergeCell ref="A95:O95"/>
    <mergeCell ref="A96:A97"/>
    <mergeCell ref="B96:C96"/>
    <mergeCell ref="D96:F96"/>
    <mergeCell ref="G96:I96"/>
    <mergeCell ref="J96:L96"/>
    <mergeCell ref="M96:O96"/>
    <mergeCell ref="A205:B206"/>
    <mergeCell ref="A209:O209"/>
    <mergeCell ref="A210:A211"/>
    <mergeCell ref="B210:C210"/>
    <mergeCell ref="D210:F210"/>
    <mergeCell ref="G210:I210"/>
    <mergeCell ref="J210:L210"/>
    <mergeCell ref="M210:O210"/>
    <mergeCell ref="A167:B168"/>
    <mergeCell ref="A171:O171"/>
    <mergeCell ref="A172:A173"/>
    <mergeCell ref="B172:C172"/>
    <mergeCell ref="D172:F172"/>
    <mergeCell ref="G172:I172"/>
    <mergeCell ref="J172:L172"/>
    <mergeCell ref="M172:O172"/>
    <mergeCell ref="A281:B282"/>
    <mergeCell ref="A243:B244"/>
    <mergeCell ref="A247:O247"/>
    <mergeCell ref="A248:A249"/>
    <mergeCell ref="B248:C248"/>
    <mergeCell ref="D248:F248"/>
    <mergeCell ref="G248:I248"/>
    <mergeCell ref="J248:L248"/>
    <mergeCell ref="M248:O248"/>
    <mergeCell ref="A1:O1"/>
    <mergeCell ref="B3:C3"/>
    <mergeCell ref="B4:C4"/>
    <mergeCell ref="B5:C5"/>
    <mergeCell ref="B6:C6"/>
    <mergeCell ref="B7:C7"/>
    <mergeCell ref="B8:C8"/>
    <mergeCell ref="B9:C9"/>
    <mergeCell ref="B10:C10"/>
    <mergeCell ref="A2:C2"/>
    <mergeCell ref="J10:L10"/>
    <mergeCell ref="M3:O3"/>
    <mergeCell ref="M4:O4"/>
    <mergeCell ref="M5:O5"/>
    <mergeCell ref="M6:O6"/>
    <mergeCell ref="M7:O7"/>
    <mergeCell ref="M8:O8"/>
    <mergeCell ref="M9:O9"/>
    <mergeCell ref="M10:O10"/>
    <mergeCell ref="J5:L5"/>
    <mergeCell ref="J6:L6"/>
    <mergeCell ref="J7:L7"/>
    <mergeCell ref="J8:L8"/>
    <mergeCell ref="J9:L9"/>
    <mergeCell ref="A3:A4"/>
    <mergeCell ref="A5:A6"/>
    <mergeCell ref="A7:A8"/>
    <mergeCell ref="A9:A10"/>
    <mergeCell ref="A11:A12"/>
    <mergeCell ref="B11:C11"/>
    <mergeCell ref="J11:L11"/>
    <mergeCell ref="J12:L12"/>
    <mergeCell ref="M11:O11"/>
    <mergeCell ref="M12:O12"/>
    <mergeCell ref="D8:F8"/>
    <mergeCell ref="D9:F9"/>
    <mergeCell ref="D10:F10"/>
    <mergeCell ref="D11:F11"/>
    <mergeCell ref="D12:F12"/>
    <mergeCell ref="B12:C12"/>
    <mergeCell ref="B14:C14"/>
    <mergeCell ref="B15:C15"/>
    <mergeCell ref="B16:C16"/>
    <mergeCell ref="D16:F16"/>
    <mergeCell ref="G16:I16"/>
    <mergeCell ref="J16:L16"/>
    <mergeCell ref="M16:O16"/>
    <mergeCell ref="D2:F2"/>
    <mergeCell ref="G2:I2"/>
    <mergeCell ref="J2:L2"/>
    <mergeCell ref="M2:O2"/>
  </mergeCells>
  <phoneticPr fontId="1" type="noConversion"/>
  <conditionalFormatting sqref="D20:F21 E54:F54">
    <cfRule type="expression" dxfId="429" priority="323">
      <formula>$E$54 &gt; 0</formula>
    </cfRule>
    <cfRule type="expression" dxfId="428" priority="324">
      <formula>$E$54 = 0</formula>
    </cfRule>
    <cfRule type="expression" dxfId="427" priority="325">
      <formula>$E$54 &lt; 0</formula>
    </cfRule>
  </conditionalFormatting>
  <conditionalFormatting sqref="G20:I21 H54:I54">
    <cfRule type="expression" dxfId="426" priority="320">
      <formula>$H$54 &gt; 0</formula>
    </cfRule>
    <cfRule type="expression" dxfId="425" priority="321">
      <formula>$H$54 = 0</formula>
    </cfRule>
    <cfRule type="expression" dxfId="424" priority="322">
      <formula>$H$54 &lt; 0</formula>
    </cfRule>
  </conditionalFormatting>
  <conditionalFormatting sqref="J20:L21 K54:L54">
    <cfRule type="expression" dxfId="423" priority="317">
      <formula>$K$54 &gt; 0</formula>
    </cfRule>
    <cfRule type="expression" dxfId="422" priority="318">
      <formula>$K$54 = 0</formula>
    </cfRule>
    <cfRule type="expression" dxfId="421" priority="319">
      <formula>$K$54 &lt; 0</formula>
    </cfRule>
  </conditionalFormatting>
  <conditionalFormatting sqref="M20:O21 N54:O54">
    <cfRule type="expression" dxfId="420" priority="314">
      <formula>$N$54 &gt; 0</formula>
    </cfRule>
    <cfRule type="expression" dxfId="419" priority="315">
      <formula>$N$54 = 0</formula>
    </cfRule>
    <cfRule type="expression" dxfId="418" priority="316">
      <formula>$N$54 &lt; 0</formula>
    </cfRule>
  </conditionalFormatting>
  <conditionalFormatting sqref="D22:F52">
    <cfRule type="expression" dxfId="417" priority="299">
      <formula>AND($E22 &gt; 0, ISNUMBER($E22))</formula>
    </cfRule>
    <cfRule type="expression" dxfId="416" priority="300">
      <formula>AND($E22 = 0, ISNUMBER($E22))</formula>
    </cfRule>
    <cfRule type="expression" dxfId="415" priority="301">
      <formula>AND($E22 &lt; 0, ISNUMBER($E22))</formula>
    </cfRule>
  </conditionalFormatting>
  <conditionalFormatting sqref="G22:I52">
    <cfRule type="expression" dxfId="414" priority="296">
      <formula>AND($H22 &gt; 0, ISNUMBER($H22))</formula>
    </cfRule>
    <cfRule type="expression" dxfId="413" priority="297">
      <formula>AND($H22 = 0, ISNUMBER($H22))</formula>
    </cfRule>
    <cfRule type="expression" dxfId="412" priority="298">
      <formula>AND($H22 &lt; 0, ISNUMBER($H22))</formula>
    </cfRule>
  </conditionalFormatting>
  <conditionalFormatting sqref="J22:L52">
    <cfRule type="expression" dxfId="411" priority="293">
      <formula>AND($K22 &gt; 0, ISNUMBER($K22))</formula>
    </cfRule>
    <cfRule type="expression" dxfId="410" priority="294">
      <formula>AND($K22 = 0, ISNUMBER($K22))</formula>
    </cfRule>
    <cfRule type="expression" dxfId="409" priority="295">
      <formula>AND($K22 &lt; 0, ISNUMBER($K22))</formula>
    </cfRule>
  </conditionalFormatting>
  <conditionalFormatting sqref="M22:O52">
    <cfRule type="expression" dxfId="408" priority="290">
      <formula>AND($N22 &gt; 0, ISNUMBER($N22))</formula>
    </cfRule>
    <cfRule type="expression" dxfId="407" priority="291">
      <formula>AND($N22 = 0, ISNUMBER($N22))</formula>
    </cfRule>
    <cfRule type="expression" dxfId="406" priority="292">
      <formula>AND($N22 &lt; 0, ISNUMBER($N22))</formula>
    </cfRule>
  </conditionalFormatting>
  <conditionalFormatting sqref="D58:F59 E92:F92">
    <cfRule type="expression" dxfId="405" priority="287">
      <formula>$E$92 &gt; 0</formula>
    </cfRule>
    <cfRule type="expression" dxfId="404" priority="288">
      <formula>$E$92 = 0</formula>
    </cfRule>
    <cfRule type="expression" dxfId="403" priority="289">
      <formula>$E$92 &lt; 0</formula>
    </cfRule>
  </conditionalFormatting>
  <conditionalFormatting sqref="G58:I59 H92:I92">
    <cfRule type="expression" dxfId="402" priority="284">
      <formula>$H$92 &gt; 0</formula>
    </cfRule>
    <cfRule type="expression" dxfId="401" priority="285">
      <formula>$H$92 = 0</formula>
    </cfRule>
    <cfRule type="expression" dxfId="400" priority="286">
      <formula>$H$92 &lt; 0</formula>
    </cfRule>
  </conditionalFormatting>
  <conditionalFormatting sqref="J58:L59 K92:L92">
    <cfRule type="expression" dxfId="399" priority="281">
      <formula>$K$92 &gt; 0</formula>
    </cfRule>
    <cfRule type="expression" dxfId="398" priority="282">
      <formula>$K$92 = 0</formula>
    </cfRule>
    <cfRule type="expression" dxfId="397" priority="283">
      <formula>$K$92 &lt; 0</formula>
    </cfRule>
  </conditionalFormatting>
  <conditionalFormatting sqref="M58:O59 N92:O92">
    <cfRule type="expression" dxfId="396" priority="278">
      <formula>$N$92 &gt; 0</formula>
    </cfRule>
    <cfRule type="expression" dxfId="395" priority="279">
      <formula>$N$92 = 0</formula>
    </cfRule>
    <cfRule type="expression" dxfId="394" priority="280">
      <formula>$N$92 &lt; 0</formula>
    </cfRule>
  </conditionalFormatting>
  <conditionalFormatting sqref="D60:F90">
    <cfRule type="expression" dxfId="393" priority="275">
      <formula>AND($E60 &gt; 0, ISNUMBER($E60))</formula>
    </cfRule>
    <cfRule type="expression" dxfId="392" priority="276">
      <formula>AND($E60 = 0, ISNUMBER($E60))</formula>
    </cfRule>
    <cfRule type="expression" dxfId="391" priority="277">
      <formula>AND($E60 &lt; 0, ISNUMBER($E60))</formula>
    </cfRule>
  </conditionalFormatting>
  <conditionalFormatting sqref="G60:I90">
    <cfRule type="expression" dxfId="390" priority="272">
      <formula>AND($H60 &gt; 0, ISNUMBER($H60))</formula>
    </cfRule>
    <cfRule type="expression" dxfId="389" priority="273">
      <formula>AND($H60 = 0, ISNUMBER($H60))</formula>
    </cfRule>
    <cfRule type="expression" dxfId="388" priority="274">
      <formula>AND($H60 &lt; 0, ISNUMBER($H60))</formula>
    </cfRule>
  </conditionalFormatting>
  <conditionalFormatting sqref="J60:L90">
    <cfRule type="expression" dxfId="387" priority="269">
      <formula>AND($K60 &gt; 0, ISNUMBER($K60))</formula>
    </cfRule>
    <cfRule type="expression" dxfId="386" priority="270">
      <formula>AND($K60 = 0, ISNUMBER($K60))</formula>
    </cfRule>
    <cfRule type="expression" dxfId="385" priority="271">
      <formula>AND($K60 &lt; 0, ISNUMBER($K60))</formula>
    </cfRule>
  </conditionalFormatting>
  <conditionalFormatting sqref="M60:O90">
    <cfRule type="expression" dxfId="384" priority="266">
      <formula>AND($N60 &gt; 0, ISNUMBER($N60))</formula>
    </cfRule>
    <cfRule type="expression" dxfId="383" priority="267">
      <formula>AND($N60 = 0, ISNUMBER($N60))</formula>
    </cfRule>
    <cfRule type="expression" dxfId="382" priority="268">
      <formula>AND($N60 &lt; 0, ISNUMBER($N60))</formula>
    </cfRule>
  </conditionalFormatting>
  <conditionalFormatting sqref="D96:F97 E130:F130">
    <cfRule type="expression" dxfId="381" priority="263">
      <formula>$E$130 &gt; 0</formula>
    </cfRule>
    <cfRule type="expression" dxfId="380" priority="264">
      <formula>$E$130 = 0</formula>
    </cfRule>
    <cfRule type="expression" dxfId="379" priority="265">
      <formula>$E$130 &lt; 0</formula>
    </cfRule>
  </conditionalFormatting>
  <conditionalFormatting sqref="G96:I97 H130:I130">
    <cfRule type="expression" dxfId="378" priority="260">
      <formula>$H$130 &gt; 0</formula>
    </cfRule>
    <cfRule type="expression" dxfId="377" priority="261">
      <formula>$H$130 = 0</formula>
    </cfRule>
    <cfRule type="expression" dxfId="376" priority="262">
      <formula>$H$130 &lt; 0</formula>
    </cfRule>
  </conditionalFormatting>
  <conditionalFormatting sqref="J96:L97 K130:L130">
    <cfRule type="expression" dxfId="375" priority="257">
      <formula>$K$130 &gt; 0</formula>
    </cfRule>
    <cfRule type="expression" dxfId="374" priority="258">
      <formula>$K$130 = 0</formula>
    </cfRule>
    <cfRule type="expression" dxfId="373" priority="259">
      <formula>$K$130 &lt; 0</formula>
    </cfRule>
  </conditionalFormatting>
  <conditionalFormatting sqref="M96:O97 N130:O130">
    <cfRule type="expression" dxfId="372" priority="254">
      <formula>$N$130 &gt; 0</formula>
    </cfRule>
    <cfRule type="expression" dxfId="371" priority="255">
      <formula>$N$130 = 0</formula>
    </cfRule>
    <cfRule type="expression" dxfId="370" priority="256">
      <formula>$N$130 &lt; 0</formula>
    </cfRule>
  </conditionalFormatting>
  <conditionalFormatting sqref="D98:F128">
    <cfRule type="expression" dxfId="369" priority="251">
      <formula>AND($E98 &gt; 0, ISNUMBER($E98))</formula>
    </cfRule>
    <cfRule type="expression" dxfId="368" priority="252">
      <formula>AND($E98 = 0, ISNUMBER($E98))</formula>
    </cfRule>
    <cfRule type="expression" dxfId="367" priority="253">
      <formula>AND($E98 &lt; 0, ISNUMBER($E98))</formula>
    </cfRule>
  </conditionalFormatting>
  <conditionalFormatting sqref="G98:I128">
    <cfRule type="expression" dxfId="366" priority="248">
      <formula>AND($H98 &gt; 0, ISNUMBER($H98))</formula>
    </cfRule>
    <cfRule type="expression" dxfId="365" priority="249">
      <formula>AND($H98 = 0, ISNUMBER($H98))</formula>
    </cfRule>
    <cfRule type="expression" dxfId="364" priority="250">
      <formula>AND($H98 &lt; 0, ISNUMBER($H98))</formula>
    </cfRule>
  </conditionalFormatting>
  <conditionalFormatting sqref="J98:L128">
    <cfRule type="expression" dxfId="363" priority="245">
      <formula>AND($K98 &gt; 0, ISNUMBER($K98))</formula>
    </cfRule>
    <cfRule type="expression" dxfId="362" priority="246">
      <formula>AND($K98 = 0, ISNUMBER($K98))</formula>
    </cfRule>
    <cfRule type="expression" dxfId="361" priority="247">
      <formula>AND($K98 &lt; 0, ISNUMBER($K98))</formula>
    </cfRule>
  </conditionalFormatting>
  <conditionalFormatting sqref="M98:O128">
    <cfRule type="expression" dxfId="360" priority="242">
      <formula>AND($N98 &gt; 0, ISNUMBER($N98))</formula>
    </cfRule>
    <cfRule type="expression" dxfId="359" priority="243">
      <formula>AND($N98 = 0, ISNUMBER($N98))</formula>
    </cfRule>
    <cfRule type="expression" dxfId="358" priority="244">
      <formula>AND($N98 &lt; 0, ISNUMBER($N98))</formula>
    </cfRule>
  </conditionalFormatting>
  <conditionalFormatting sqref="D134:F135 E168:F168">
    <cfRule type="expression" dxfId="357" priority="239">
      <formula>$E$168 &gt; 0</formula>
    </cfRule>
    <cfRule type="expression" dxfId="356" priority="240">
      <formula>$E$168 = 0</formula>
    </cfRule>
    <cfRule type="expression" dxfId="355" priority="241">
      <formula>$E$168 &lt; 0</formula>
    </cfRule>
  </conditionalFormatting>
  <conditionalFormatting sqref="G134:I135 H168:I168">
    <cfRule type="expression" dxfId="354" priority="236">
      <formula>$H$168 &gt; 0</formula>
    </cfRule>
    <cfRule type="expression" dxfId="353" priority="237">
      <formula>$H$168 = 0</formula>
    </cfRule>
    <cfRule type="expression" dxfId="352" priority="238">
      <formula>$H$168 &lt; 0</formula>
    </cfRule>
  </conditionalFormatting>
  <conditionalFormatting sqref="J134:L135 K168:L168">
    <cfRule type="expression" dxfId="351" priority="233">
      <formula>$K$168 &gt; 0</formula>
    </cfRule>
    <cfRule type="expression" dxfId="350" priority="234">
      <formula>$K$168 = 0</formula>
    </cfRule>
    <cfRule type="expression" dxfId="349" priority="235">
      <formula>$K$168 &lt; 0</formula>
    </cfRule>
  </conditionalFormatting>
  <conditionalFormatting sqref="M134:O135 N168:O168">
    <cfRule type="expression" dxfId="348" priority="230">
      <formula>$N$168 &gt; 0</formula>
    </cfRule>
    <cfRule type="expression" dxfId="347" priority="231">
      <formula>$N$168 = 0</formula>
    </cfRule>
    <cfRule type="expression" dxfId="346" priority="232">
      <formula>$N$168 &lt; 0</formula>
    </cfRule>
  </conditionalFormatting>
  <conditionalFormatting sqref="D136:F166">
    <cfRule type="expression" dxfId="345" priority="227">
      <formula>AND($E136 &gt; 0, ISNUMBER($E136))</formula>
    </cfRule>
    <cfRule type="expression" dxfId="344" priority="228">
      <formula>AND($E136 = 0, ISNUMBER($E136))</formula>
    </cfRule>
    <cfRule type="expression" dxfId="343" priority="229">
      <formula>AND($E136 &lt; 0, ISNUMBER($E136))</formula>
    </cfRule>
  </conditionalFormatting>
  <conditionalFormatting sqref="G136:I166">
    <cfRule type="expression" dxfId="342" priority="224">
      <formula>AND($H136 &gt; 0, ISNUMBER($H136))</formula>
    </cfRule>
    <cfRule type="expression" dxfId="341" priority="225">
      <formula>AND($H136 = 0, ISNUMBER($H136))</formula>
    </cfRule>
    <cfRule type="expression" dxfId="340" priority="226">
      <formula>AND($H136 &lt; 0, ISNUMBER($H136))</formula>
    </cfRule>
  </conditionalFormatting>
  <conditionalFormatting sqref="J136:L166">
    <cfRule type="expression" dxfId="339" priority="221">
      <formula>AND($K136 &gt; 0, ISNUMBER($K136))</formula>
    </cfRule>
    <cfRule type="expression" dxfId="338" priority="222">
      <formula>AND($K136 = 0, ISNUMBER($K136))</formula>
    </cfRule>
    <cfRule type="expression" dxfId="337" priority="223">
      <formula>AND($K136 &lt; 0, ISNUMBER($K136))</formula>
    </cfRule>
  </conditionalFormatting>
  <conditionalFormatting sqref="M136:O166">
    <cfRule type="expression" dxfId="336" priority="218">
      <formula>AND($N136 &gt; 0, ISNUMBER($N136))</formula>
    </cfRule>
    <cfRule type="expression" dxfId="335" priority="219">
      <formula>AND($N136 = 0, ISNUMBER($N136))</formula>
    </cfRule>
    <cfRule type="expression" dxfId="334" priority="220">
      <formula>AND($N136 &lt; 0, ISNUMBER($N136))</formula>
    </cfRule>
  </conditionalFormatting>
  <conditionalFormatting sqref="D172:F173 E206:F206">
    <cfRule type="expression" dxfId="333" priority="215">
      <formula>$E$206 &gt; 0</formula>
    </cfRule>
    <cfRule type="expression" dxfId="332" priority="216">
      <formula>$E$206 = 0</formula>
    </cfRule>
    <cfRule type="expression" dxfId="331" priority="217">
      <formula>$E$206 &lt; 0</formula>
    </cfRule>
  </conditionalFormatting>
  <conditionalFormatting sqref="G172:I173 H206:I206">
    <cfRule type="expression" dxfId="330" priority="212">
      <formula>$H$206 &gt; 0</formula>
    </cfRule>
    <cfRule type="expression" dxfId="329" priority="213">
      <formula>$H$206 = 0</formula>
    </cfRule>
    <cfRule type="expression" dxfId="328" priority="214">
      <formula>$H$206 &lt; 0</formula>
    </cfRule>
  </conditionalFormatting>
  <conditionalFormatting sqref="J172:L173 K206:L206">
    <cfRule type="expression" dxfId="327" priority="209">
      <formula>$K$206 &gt; 0</formula>
    </cfRule>
    <cfRule type="expression" dxfId="326" priority="210">
      <formula>$K$206 = 0</formula>
    </cfRule>
    <cfRule type="expression" dxfId="325" priority="211">
      <formula>$K$206 &lt; 0</formula>
    </cfRule>
  </conditionalFormatting>
  <conditionalFormatting sqref="M172:O173 N206:O206">
    <cfRule type="expression" dxfId="324" priority="206">
      <formula>$N$206 &gt; 0</formula>
    </cfRule>
    <cfRule type="expression" dxfId="323" priority="207">
      <formula>$N$206 = 0</formula>
    </cfRule>
    <cfRule type="expression" dxfId="322" priority="208">
      <formula>$N$206 &lt; 0</formula>
    </cfRule>
  </conditionalFormatting>
  <conditionalFormatting sqref="D174:F204">
    <cfRule type="expression" dxfId="321" priority="203">
      <formula>AND($E174 &gt; 0, ISNUMBER($E174))</formula>
    </cfRule>
    <cfRule type="expression" dxfId="320" priority="204">
      <formula>AND($E174 = 0, ISNUMBER($E174))</formula>
    </cfRule>
    <cfRule type="expression" dxfId="319" priority="205">
      <formula>AND($E174 &lt; 0, ISNUMBER($E174))</formula>
    </cfRule>
  </conditionalFormatting>
  <conditionalFormatting sqref="G174:I204">
    <cfRule type="expression" dxfId="318" priority="200">
      <formula>AND($H174 &gt; 0, ISNUMBER($H174))</formula>
    </cfRule>
    <cfRule type="expression" dxfId="317" priority="201">
      <formula>AND($H174 = 0, ISNUMBER($H174))</formula>
    </cfRule>
    <cfRule type="expression" dxfId="316" priority="202">
      <formula>AND($H174 &lt; 0, ISNUMBER($H174))</formula>
    </cfRule>
  </conditionalFormatting>
  <conditionalFormatting sqref="J174:L204">
    <cfRule type="expression" dxfId="315" priority="197">
      <formula>AND($K174 &gt; 0, ISNUMBER($K174))</formula>
    </cfRule>
    <cfRule type="expression" dxfId="314" priority="198">
      <formula>AND($K174 = 0, ISNUMBER($K174))</formula>
    </cfRule>
    <cfRule type="expression" dxfId="313" priority="199">
      <formula>AND($K174 &lt; 0, ISNUMBER($K174))</formula>
    </cfRule>
  </conditionalFormatting>
  <conditionalFormatting sqref="M174:O204">
    <cfRule type="expression" dxfId="312" priority="194">
      <formula>AND($N174 &gt; 0, ISNUMBER($N174))</formula>
    </cfRule>
    <cfRule type="expression" dxfId="311" priority="195">
      <formula>AND($N174 = 0, ISNUMBER($N174))</formula>
    </cfRule>
    <cfRule type="expression" dxfId="310" priority="196">
      <formula>AND($N174 &lt; 0, ISNUMBER($N174))</formula>
    </cfRule>
  </conditionalFormatting>
  <conditionalFormatting sqref="D210:F211 E244:F244">
    <cfRule type="expression" dxfId="309" priority="191">
      <formula>$E$244 &gt; 0</formula>
    </cfRule>
    <cfRule type="expression" dxfId="308" priority="192">
      <formula>$E$244 = 0</formula>
    </cfRule>
    <cfRule type="expression" dxfId="307" priority="193">
      <formula>$E$244 &lt; 0</formula>
    </cfRule>
  </conditionalFormatting>
  <conditionalFormatting sqref="G210:I211 H244:I244">
    <cfRule type="expression" dxfId="306" priority="188">
      <formula>$H$244 &gt; 0</formula>
    </cfRule>
    <cfRule type="expression" dxfId="305" priority="189">
      <formula>$H$244 = 0</formula>
    </cfRule>
    <cfRule type="expression" dxfId="304" priority="190">
      <formula>$H$244 &lt; 0</formula>
    </cfRule>
  </conditionalFormatting>
  <conditionalFormatting sqref="J210:L211 K244:L244">
    <cfRule type="expression" dxfId="303" priority="185">
      <formula>$K$244 &gt; 0</formula>
    </cfRule>
    <cfRule type="expression" dxfId="302" priority="186">
      <formula>$K$244 = 0</formula>
    </cfRule>
    <cfRule type="expression" dxfId="301" priority="187">
      <formula>$K$244 &lt; 0</formula>
    </cfRule>
  </conditionalFormatting>
  <conditionalFormatting sqref="M210:O211 N244:O244">
    <cfRule type="expression" dxfId="300" priority="182">
      <formula>$N$244 &gt; 0</formula>
    </cfRule>
    <cfRule type="expression" dxfId="299" priority="183">
      <formula>$N$244 = 0</formula>
    </cfRule>
    <cfRule type="expression" dxfId="298" priority="184">
      <formula>$N$244 &lt; 0</formula>
    </cfRule>
  </conditionalFormatting>
  <conditionalFormatting sqref="D212:F242">
    <cfRule type="expression" dxfId="297" priority="179">
      <formula>AND($E212 &gt; 0, ISNUMBER($E212))</formula>
    </cfRule>
    <cfRule type="expression" dxfId="296" priority="180">
      <formula>AND($E212 = 0, ISNUMBER($E212))</formula>
    </cfRule>
    <cfRule type="expression" dxfId="295" priority="181">
      <formula>AND($E212 &lt; 0, ISNUMBER($E212))</formula>
    </cfRule>
  </conditionalFormatting>
  <conditionalFormatting sqref="G212:I242">
    <cfRule type="expression" dxfId="294" priority="176">
      <formula>AND($H212 &gt; 0, ISNUMBER($H212))</formula>
    </cfRule>
    <cfRule type="expression" dxfId="293" priority="177">
      <formula>AND($H212 = 0, ISNUMBER($H212))</formula>
    </cfRule>
    <cfRule type="expression" dxfId="292" priority="178">
      <formula>AND($H212 &lt; 0, ISNUMBER($H212))</formula>
    </cfRule>
  </conditionalFormatting>
  <conditionalFormatting sqref="J212:L242">
    <cfRule type="expression" dxfId="291" priority="173">
      <formula>AND($K212 &gt; 0, ISNUMBER($K212))</formula>
    </cfRule>
    <cfRule type="expression" dxfId="290" priority="174">
      <formula>AND($K212 = 0, ISNUMBER($K212))</formula>
    </cfRule>
    <cfRule type="expression" dxfId="289" priority="175">
      <formula>AND($K212 &lt; 0, ISNUMBER($K212))</formula>
    </cfRule>
  </conditionalFormatting>
  <conditionalFormatting sqref="M212:O242">
    <cfRule type="expression" dxfId="288" priority="170">
      <formula>AND($N212 &gt; 0, ISNUMBER($N212))</formula>
    </cfRule>
    <cfRule type="expression" dxfId="287" priority="171">
      <formula>AND($N212 = 0, ISNUMBER($N212))</formula>
    </cfRule>
    <cfRule type="expression" dxfId="286" priority="172">
      <formula>AND($N212 &lt; 0, ISNUMBER($N212))</formula>
    </cfRule>
  </conditionalFormatting>
  <conditionalFormatting sqref="D248:F249 E282:F282">
    <cfRule type="expression" dxfId="285" priority="167">
      <formula>$E$282 &gt; 0</formula>
    </cfRule>
    <cfRule type="expression" dxfId="284" priority="168">
      <formula>$E$282 = 0</formula>
    </cfRule>
    <cfRule type="expression" dxfId="283" priority="169">
      <formula>$E$282 &lt; 0</formula>
    </cfRule>
  </conditionalFormatting>
  <conditionalFormatting sqref="G248:I249 H282:I282">
    <cfRule type="expression" dxfId="282" priority="164">
      <formula>$H$282 &gt; 0</formula>
    </cfRule>
    <cfRule type="expression" dxfId="281" priority="165">
      <formula>$H$282 = 0</formula>
    </cfRule>
    <cfRule type="expression" dxfId="280" priority="166">
      <formula>$H$282 &lt; 0</formula>
    </cfRule>
  </conditionalFormatting>
  <conditionalFormatting sqref="J248:L249 K282:L282">
    <cfRule type="expression" dxfId="279" priority="161">
      <formula>$K$282 &gt; 0</formula>
    </cfRule>
    <cfRule type="expression" dxfId="278" priority="162">
      <formula>$K$282 = 0</formula>
    </cfRule>
    <cfRule type="expression" dxfId="277" priority="163">
      <formula>$K$282 &lt; 0</formula>
    </cfRule>
  </conditionalFormatting>
  <conditionalFormatting sqref="M248:O249 N282:O282">
    <cfRule type="expression" dxfId="276" priority="158">
      <formula>$N$282 &gt; 0</formula>
    </cfRule>
    <cfRule type="expression" dxfId="275" priority="159">
      <formula>$N$282 = 0</formula>
    </cfRule>
    <cfRule type="expression" dxfId="274" priority="160">
      <formula>$N$282 &lt; 0</formula>
    </cfRule>
  </conditionalFormatting>
  <conditionalFormatting sqref="D250:F280">
    <cfRule type="expression" dxfId="273" priority="155">
      <formula>AND($E250 &gt; 0, ISNUMBER($E250))</formula>
    </cfRule>
    <cfRule type="expression" dxfId="272" priority="156">
      <formula>AND($E250 = 0, ISNUMBER($E250))</formula>
    </cfRule>
    <cfRule type="expression" dxfId="271" priority="157">
      <formula>AND($E250 &lt; 0, ISNUMBER($E250))</formula>
    </cfRule>
  </conditionalFormatting>
  <conditionalFormatting sqref="G250:I280">
    <cfRule type="expression" dxfId="270" priority="152">
      <formula>AND($H250 &gt; 0, ISNUMBER($H250))</formula>
    </cfRule>
    <cfRule type="expression" dxfId="269" priority="153">
      <formula>AND($H250 = 0, ISNUMBER($H250))</formula>
    </cfRule>
    <cfRule type="expression" dxfId="268" priority="154">
      <formula>AND($H250 &lt; 0, ISNUMBER($H250))</formula>
    </cfRule>
  </conditionalFormatting>
  <conditionalFormatting sqref="J250:L280">
    <cfRule type="expression" dxfId="267" priority="149">
      <formula>AND($K250 &gt; 0, ISNUMBER($K250))</formula>
    </cfRule>
    <cfRule type="expression" dxfId="266" priority="150">
      <formula>AND($K250 = 0, ISNUMBER($K250))</formula>
    </cfRule>
    <cfRule type="expression" dxfId="265" priority="151">
      <formula>AND($K250 &lt; 0, ISNUMBER($K250))</formula>
    </cfRule>
  </conditionalFormatting>
  <conditionalFormatting sqref="M250:O280">
    <cfRule type="expression" dxfId="264" priority="146">
      <formula>AND($N250 &gt; 0, ISNUMBER($N250))</formula>
    </cfRule>
    <cfRule type="expression" dxfId="263" priority="147">
      <formula>AND($N250 = 0, ISNUMBER($N250))</formula>
    </cfRule>
    <cfRule type="expression" dxfId="262" priority="148">
      <formula>AND($N250 &lt; 0, ISNUMBER($N250))</formula>
    </cfRule>
  </conditionalFormatting>
  <conditionalFormatting sqref="D5:F6">
    <cfRule type="expression" dxfId="261" priority="143">
      <formula>$F$130 &gt; 0</formula>
    </cfRule>
    <cfRule type="expression" dxfId="260" priority="144">
      <formula>$F$130 = 0</formula>
    </cfRule>
    <cfRule type="expression" dxfId="259" priority="145">
      <formula>$F$130 &lt; 0</formula>
    </cfRule>
  </conditionalFormatting>
  <conditionalFormatting sqref="D7:F8">
    <cfRule type="expression" dxfId="258" priority="140">
      <formula>$F$206 &gt; 0</formula>
    </cfRule>
    <cfRule type="expression" dxfId="257" priority="141">
      <formula>$F$206 = 0</formula>
    </cfRule>
    <cfRule type="expression" dxfId="256" priority="142">
      <formula>$F$206 &lt; 0</formula>
    </cfRule>
  </conditionalFormatting>
  <conditionalFormatting sqref="D9:F10">
    <cfRule type="expression" dxfId="255" priority="137">
      <formula>$F$244 &gt; 0</formula>
    </cfRule>
    <cfRule type="expression" dxfId="254" priority="138">
      <formula>$F$244 = 0</formula>
    </cfRule>
    <cfRule type="expression" dxfId="253" priority="139">
      <formula>$F$244 &lt; 0</formula>
    </cfRule>
  </conditionalFormatting>
  <conditionalFormatting sqref="D11:F12">
    <cfRule type="expression" dxfId="252" priority="134">
      <formula>$F$168 &gt; 0</formula>
    </cfRule>
    <cfRule type="expression" dxfId="251" priority="135">
      <formula>$F$168 = 0</formula>
    </cfRule>
    <cfRule type="expression" dxfId="250" priority="136">
      <formula>$F$168 &lt; 0</formula>
    </cfRule>
  </conditionalFormatting>
  <conditionalFormatting sqref="D13:F14">
    <cfRule type="expression" dxfId="249" priority="92">
      <formula>$F$282 &gt; 0</formula>
    </cfRule>
    <cfRule type="expression" dxfId="248" priority="93">
      <formula>$F$282 = 0</formula>
    </cfRule>
    <cfRule type="expression" dxfId="247" priority="94">
      <formula>$F$282 &lt; 0</formula>
    </cfRule>
  </conditionalFormatting>
  <conditionalFormatting sqref="D15:F16">
    <cfRule type="expression" dxfId="246" priority="77">
      <formula>$F$54 &gt; 0</formula>
    </cfRule>
    <cfRule type="expression" dxfId="245" priority="78">
      <formula>$F$54 = 0</formula>
    </cfRule>
    <cfRule type="expression" dxfId="244" priority="79">
      <formula>$F$54 &lt; 0</formula>
    </cfRule>
  </conditionalFormatting>
  <conditionalFormatting sqref="G5:I6">
    <cfRule type="expression" dxfId="243" priority="65">
      <formula>$I$130 &gt; 0</formula>
    </cfRule>
    <cfRule type="expression" dxfId="242" priority="66">
      <formula>$I$130 = 0</formula>
    </cfRule>
    <cfRule type="expression" dxfId="241" priority="67">
      <formula>$I$130 &lt; 0</formula>
    </cfRule>
  </conditionalFormatting>
  <conditionalFormatting sqref="G7:I8">
    <cfRule type="expression" dxfId="240" priority="62">
      <formula>$I$206 &gt; 0</formula>
    </cfRule>
    <cfRule type="expression" dxfId="239" priority="63">
      <formula>$I$206 = 0</formula>
    </cfRule>
    <cfRule type="expression" dxfId="238" priority="64">
      <formula>$I$206 &lt; 0</formula>
    </cfRule>
  </conditionalFormatting>
  <conditionalFormatting sqref="G9:I10">
    <cfRule type="expression" dxfId="237" priority="59">
      <formula>$I$244 &gt; 0</formula>
    </cfRule>
    <cfRule type="expression" dxfId="236" priority="60">
      <formula>$I$244 = 0</formula>
    </cfRule>
    <cfRule type="expression" dxfId="235" priority="61">
      <formula>$I$244 &lt; 0</formula>
    </cfRule>
  </conditionalFormatting>
  <conditionalFormatting sqref="G11:I12">
    <cfRule type="expression" dxfId="234" priority="56">
      <formula>$I$168 &gt; 0</formula>
    </cfRule>
    <cfRule type="expression" dxfId="233" priority="57">
      <formula>$I$168 = 0</formula>
    </cfRule>
    <cfRule type="expression" dxfId="232" priority="58">
      <formula>$I$168 &lt; 0</formula>
    </cfRule>
  </conditionalFormatting>
  <conditionalFormatting sqref="G13:I14">
    <cfRule type="expression" dxfId="231" priority="53">
      <formula>$I$282 &gt; 0</formula>
    </cfRule>
    <cfRule type="expression" dxfId="230" priority="54">
      <formula>$I$282 = 0</formula>
    </cfRule>
    <cfRule type="expression" dxfId="229" priority="55">
      <formula>$I$282 &lt; 0</formula>
    </cfRule>
  </conditionalFormatting>
  <conditionalFormatting sqref="G15:I16">
    <cfRule type="expression" dxfId="228" priority="50">
      <formula>$I$54 &gt; 0</formula>
    </cfRule>
    <cfRule type="expression" dxfId="227" priority="51">
      <formula>$I$54 = 0</formula>
    </cfRule>
    <cfRule type="expression" dxfId="226" priority="52">
      <formula>$I$54 &lt; 0</formula>
    </cfRule>
  </conditionalFormatting>
  <conditionalFormatting sqref="J5:L6">
    <cfRule type="expression" dxfId="225" priority="47">
      <formula>$L$130 &gt; 0</formula>
    </cfRule>
    <cfRule type="expression" dxfId="224" priority="48">
      <formula>$L$130 = 0</formula>
    </cfRule>
    <cfRule type="expression" dxfId="223" priority="49">
      <formula>$L$130 &lt; 0</formula>
    </cfRule>
  </conditionalFormatting>
  <conditionalFormatting sqref="J7:L8">
    <cfRule type="expression" dxfId="222" priority="44">
      <formula>$L$206 &gt; 0</formula>
    </cfRule>
    <cfRule type="expression" dxfId="221" priority="45">
      <formula>$L$206 = 0</formula>
    </cfRule>
    <cfRule type="expression" dxfId="220" priority="46">
      <formula>$L$206 &lt; 0</formula>
    </cfRule>
  </conditionalFormatting>
  <conditionalFormatting sqref="J9:L10">
    <cfRule type="expression" dxfId="219" priority="41">
      <formula>$L$244 &gt; 0</formula>
    </cfRule>
    <cfRule type="expression" dxfId="218" priority="42">
      <formula>$L$244 = 0</formula>
    </cfRule>
    <cfRule type="expression" dxfId="217" priority="43">
      <formula>$L$244 &lt; 0</formula>
    </cfRule>
  </conditionalFormatting>
  <conditionalFormatting sqref="J11:L12">
    <cfRule type="expression" dxfId="216" priority="38">
      <formula>$L$168 &gt; 0</formula>
    </cfRule>
    <cfRule type="expression" dxfId="215" priority="39">
      <formula>$L$168 = 0</formula>
    </cfRule>
    <cfRule type="expression" dxfId="214" priority="40">
      <formula>$L$168 &lt; 0</formula>
    </cfRule>
  </conditionalFormatting>
  <conditionalFormatting sqref="J13:L14">
    <cfRule type="expression" dxfId="213" priority="35">
      <formula>$L$282 &gt; 0</formula>
    </cfRule>
    <cfRule type="expression" dxfId="212" priority="36">
      <formula>$L$282 = 0</formula>
    </cfRule>
    <cfRule type="expression" dxfId="211" priority="37">
      <formula>$L$282 &lt; 0</formula>
    </cfRule>
  </conditionalFormatting>
  <conditionalFormatting sqref="J15:L16">
    <cfRule type="expression" dxfId="210" priority="32">
      <formula>$L$54 &gt; 0</formula>
    </cfRule>
    <cfRule type="expression" dxfId="209" priority="33">
      <formula>$L$54 = 0</formula>
    </cfRule>
    <cfRule type="expression" dxfId="208" priority="34">
      <formula>$L$54 &lt; 0</formula>
    </cfRule>
  </conditionalFormatting>
  <conditionalFormatting sqref="M5:O6">
    <cfRule type="expression" dxfId="207" priority="29">
      <formula>$O$130 &gt; 0</formula>
    </cfRule>
    <cfRule type="expression" dxfId="206" priority="30">
      <formula>$O$130 = 0</formula>
    </cfRule>
    <cfRule type="expression" dxfId="205" priority="31">
      <formula>$O$130 &lt; 0</formula>
    </cfRule>
  </conditionalFormatting>
  <conditionalFormatting sqref="M7:O8">
    <cfRule type="expression" dxfId="204" priority="26">
      <formula>$O$206 &gt; 0</formula>
    </cfRule>
    <cfRule type="expression" dxfId="203" priority="27">
      <formula>$O$206 = 0</formula>
    </cfRule>
    <cfRule type="expression" dxfId="202" priority="28">
      <formula>$O$206 &lt; 0</formula>
    </cfRule>
  </conditionalFormatting>
  <conditionalFormatting sqref="M9:O10">
    <cfRule type="expression" dxfId="201" priority="23">
      <formula>$O$244 &gt; 0</formula>
    </cfRule>
    <cfRule type="expression" dxfId="200" priority="24">
      <formula>$O$244 = 0</formula>
    </cfRule>
    <cfRule type="expression" dxfId="199" priority="25">
      <formula>$O$244 &lt; 0</formula>
    </cfRule>
  </conditionalFormatting>
  <conditionalFormatting sqref="M11:O12">
    <cfRule type="expression" dxfId="198" priority="20">
      <formula>$O$168 &gt; 0</formula>
    </cfRule>
    <cfRule type="expression" dxfId="197" priority="21">
      <formula>$O$168 = 0</formula>
    </cfRule>
    <cfRule type="expression" dxfId="196" priority="22">
      <formula>$O$168 &lt; 0</formula>
    </cfRule>
  </conditionalFormatting>
  <conditionalFormatting sqref="M13:O14">
    <cfRule type="expression" dxfId="195" priority="17">
      <formula>$O$282 &gt; 0</formula>
    </cfRule>
    <cfRule type="expression" dxfId="194" priority="18">
      <formula>$O$282 = 0</formula>
    </cfRule>
    <cfRule type="expression" dxfId="193" priority="19">
      <formula>$O$282 &lt; 0</formula>
    </cfRule>
  </conditionalFormatting>
  <conditionalFormatting sqref="M15:O16">
    <cfRule type="expression" dxfId="192" priority="14">
      <formula>$O$54 &gt; 0</formula>
    </cfRule>
    <cfRule type="expression" dxfId="191" priority="15">
      <formula>$O$54 = 0</formula>
    </cfRule>
    <cfRule type="expression" dxfId="190" priority="16">
      <formula>$O$54 &lt; 0</formula>
    </cfRule>
  </conditionalFormatting>
  <conditionalFormatting sqref="D3:F4">
    <cfRule type="expression" dxfId="189" priority="13">
      <formula>$F$92 &lt; 0</formula>
    </cfRule>
    <cfRule type="expression" dxfId="188" priority="12">
      <formula>$F$92 = 0</formula>
    </cfRule>
    <cfRule type="expression" dxfId="187" priority="11">
      <formula>$F$92 &gt; 0</formula>
    </cfRule>
  </conditionalFormatting>
  <conditionalFormatting sqref="G3:I4">
    <cfRule type="expression" dxfId="186" priority="10">
      <formula>$I$92 &lt; 0</formula>
    </cfRule>
    <cfRule type="expression" dxfId="185" priority="9">
      <formula>$I$92 = 0</formula>
    </cfRule>
    <cfRule type="expression" dxfId="184" priority="8">
      <formula>$I$92 &gt; 0</formula>
    </cfRule>
  </conditionalFormatting>
  <conditionalFormatting sqref="J3:L4">
    <cfRule type="expression" dxfId="183" priority="5">
      <formula>$L$92 &gt; 0</formula>
    </cfRule>
    <cfRule type="expression" dxfId="182" priority="6">
      <formula>$L$92 = 0</formula>
    </cfRule>
    <cfRule type="expression" dxfId="181" priority="7">
      <formula>$L$92 &lt; 0</formula>
    </cfRule>
  </conditionalFormatting>
  <conditionalFormatting sqref="M3:O4">
    <cfRule type="expression" dxfId="180" priority="2">
      <formula>$O$92 &gt; 0</formula>
    </cfRule>
    <cfRule type="expression" dxfId="179" priority="3">
      <formula>$O$92 = 0</formula>
    </cfRule>
    <cfRule type="expression" dxfId="178" priority="4">
      <formula>$O$92 &lt; 0</formula>
    </cfRule>
  </conditionalFormatting>
  <conditionalFormatting sqref="A3:A16">
    <cfRule type="colorScale" priority="1">
      <colorScale>
        <cfvo type="min"/>
        <cfvo type="max"/>
        <color rgb="FFFF0000"/>
        <color rgb="FF0070C0"/>
      </colorScale>
    </cfRule>
  </conditionalFormatting>
  <pageMargins left="0.7" right="0.7" top="0.75" bottom="0.75" header="0.3" footer="0.3"/>
  <pageSetup paperSize="9" orientation="portrait" r:id="rId1"/>
  <ignoredErrors>
    <ignoredError sqref="A18:P18 A21:XFD1048576 B19:P19 P3:XFD13 P1:XFD1 S18:XFD18 S19:XFD19 A20:P20 S20:XFD20 B3:C14 B15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셀이동_월말결산_실거래종목">
                <anchor moveWithCells="1" sizeWithCells="1">
                  <from>
                    <xdr:col>15</xdr:col>
                    <xdr:colOff>685800</xdr:colOff>
                    <xdr:row>23</xdr:row>
                    <xdr:rowOff>0</xdr:rowOff>
                  </from>
                  <to>
                    <xdr:col>18</xdr:col>
                    <xdr:colOff>923925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셀이동_월말결산_엽전코인Top20">
                <anchor moveWithCells="1" sizeWithCells="1">
                  <from>
                    <xdr:col>15</xdr:col>
                    <xdr:colOff>685800</xdr:colOff>
                    <xdr:row>26</xdr:row>
                    <xdr:rowOff>0</xdr:rowOff>
                  </from>
                  <to>
                    <xdr:col>16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3" r:id="rId6" name="Button 3">
              <controlPr defaultSize="0" print="0" autoFill="0" autoPict="0" macro="[0]!셀이동_월말결산_동전코인Top20">
                <anchor moveWithCells="1" sizeWithCells="1">
                  <from>
                    <xdr:col>16</xdr:col>
                    <xdr:colOff>923925</xdr:colOff>
                    <xdr:row>26</xdr:row>
                    <xdr:rowOff>0</xdr:rowOff>
                  </from>
                  <to>
                    <xdr:col>17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4" r:id="rId7" name="Button 4">
              <controlPr defaultSize="0" print="0" autoFill="0" autoPict="0" macro="[0]!셀이동_월말결산_엽전코인Bottom20">
                <anchor moveWithCells="1" sizeWithCells="1">
                  <from>
                    <xdr:col>15</xdr:col>
                    <xdr:colOff>685800</xdr:colOff>
                    <xdr:row>29</xdr:row>
                    <xdr:rowOff>0</xdr:rowOff>
                  </from>
                  <to>
                    <xdr:col>16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5" r:id="rId8" name="Button 5">
              <controlPr defaultSize="0" print="0" autoFill="0" autoPict="0" macro="[0]!셀이동_월말결산_동전코인Bottom20">
                <anchor moveWithCells="1" sizeWithCells="1">
                  <from>
                    <xdr:col>16</xdr:col>
                    <xdr:colOff>923925</xdr:colOff>
                    <xdr:row>29</xdr:row>
                    <xdr:rowOff>0</xdr:rowOff>
                  </from>
                  <to>
                    <xdr:col>17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6" r:id="rId9" name="Button 6">
              <controlPr defaultSize="0" print="0" autoFill="0" autoPict="0" macro="[0]!셀이동_월말결산_전일대비상승률Top20">
                <anchor moveWithCells="1" sizeWithCells="1">
                  <from>
                    <xdr:col>17</xdr:col>
                    <xdr:colOff>923925</xdr:colOff>
                    <xdr:row>26</xdr:row>
                    <xdr:rowOff>0</xdr:rowOff>
                  </from>
                  <to>
                    <xdr:col>18</xdr:col>
                    <xdr:colOff>923925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7" r:id="rId10" name="Button 7">
              <controlPr defaultSize="0" print="0" autoFill="0" autoPict="0" macro="[0]!셀이동_월말결산_전일대비상승률Bottom20">
                <anchor moveWithCells="1" sizeWithCells="1">
                  <from>
                    <xdr:col>17</xdr:col>
                    <xdr:colOff>923925</xdr:colOff>
                    <xdr:row>29</xdr:row>
                    <xdr:rowOff>0</xdr:rowOff>
                  </from>
                  <to>
                    <xdr:col>18</xdr:col>
                    <xdr:colOff>923925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8" r:id="rId11" name="Button 8">
              <controlPr defaultSize="0" print="0" autoFill="0" autoPict="0" macro="[0]!셀이동_월말결산_처음으로">
                <anchor moveWithCells="1" sizeWithCells="1">
                  <from>
                    <xdr:col>15</xdr:col>
                    <xdr:colOff>685800</xdr:colOff>
                    <xdr:row>32</xdr:row>
                    <xdr:rowOff>0</xdr:rowOff>
                  </from>
                  <to>
                    <xdr:col>18</xdr:col>
                    <xdr:colOff>923925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9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19</xdr:col>
                    <xdr:colOff>0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0" r:id="rId13" name="Button 1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40</xdr:row>
                    <xdr:rowOff>0</xdr:rowOff>
                  </from>
                  <to>
                    <xdr:col>19</xdr:col>
                    <xdr:colOff>0</xdr:colOff>
                    <xdr:row>43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1" r:id="rId14" name="Button 1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43</xdr:row>
                    <xdr:rowOff>0</xdr:rowOff>
                  </from>
                  <to>
                    <xdr:col>19</xdr:col>
                    <xdr:colOff>0</xdr:colOff>
                    <xdr:row>46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3" r:id="rId15" name="Button 1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46</xdr:row>
                    <xdr:rowOff>0</xdr:rowOff>
                  </from>
                  <to>
                    <xdr:col>19</xdr:col>
                    <xdr:colOff>0</xdr:colOff>
                    <xdr:row>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2" r:id="rId16" name="Button 12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49</xdr:row>
                    <xdr:rowOff>0</xdr:rowOff>
                  </from>
                  <to>
                    <xdr:col>19</xdr:col>
                    <xdr:colOff>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4" r:id="rId17" name="Button 14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0</xdr:row>
                    <xdr:rowOff>0</xdr:rowOff>
                  </from>
                  <to>
                    <xdr:col>19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5" r:id="rId18" name="Button 15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3</xdr:row>
                    <xdr:rowOff>219075</xdr:rowOff>
                  </from>
                  <to>
                    <xdr:col>19</xdr:col>
                    <xdr:colOff>0</xdr:colOff>
                    <xdr:row>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6" r:id="rId19" name="Button 16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7</xdr:row>
                    <xdr:rowOff>0</xdr:rowOff>
                  </from>
                  <to>
                    <xdr:col>19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58" r:id="rId20" name="Button 18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10</xdr:row>
                    <xdr:rowOff>0</xdr:rowOff>
                  </from>
                  <to>
                    <xdr:col>19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19" r:id="rId21" name="Button 79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0" r:id="rId22" name="Button 80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63</xdr:row>
                    <xdr:rowOff>209550</xdr:rowOff>
                  </from>
                  <to>
                    <xdr:col>17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1" r:id="rId23" name="Button 81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63</xdr:row>
                    <xdr:rowOff>209550</xdr:rowOff>
                  </from>
                  <to>
                    <xdr:col>18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2" r:id="rId24" name="Button 82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66</xdr:row>
                    <xdr:rowOff>209550</xdr:rowOff>
                  </from>
                  <to>
                    <xdr:col>17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3" r:id="rId25" name="Button 83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66</xdr:row>
                    <xdr:rowOff>209550</xdr:rowOff>
                  </from>
                  <to>
                    <xdr:col>18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4" r:id="rId26" name="Button 84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63</xdr:row>
                    <xdr:rowOff>209550</xdr:rowOff>
                  </from>
                  <to>
                    <xdr:col>19</xdr:col>
                    <xdr:colOff>0</xdr:colOff>
                    <xdr:row>66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5" r:id="rId27" name="Button 85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66</xdr:row>
                    <xdr:rowOff>209550</xdr:rowOff>
                  </from>
                  <to>
                    <xdr:col>19</xdr:col>
                    <xdr:colOff>0</xdr:colOff>
                    <xdr:row>69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6" r:id="rId28" name="Button 86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70</xdr:row>
                    <xdr:rowOff>0</xdr:rowOff>
                  </from>
                  <to>
                    <xdr:col>19</xdr:col>
                    <xdr:colOff>0</xdr:colOff>
                    <xdr:row>73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7" r:id="rId29" name="Button 8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74</xdr:row>
                    <xdr:rowOff>209550</xdr:rowOff>
                  </from>
                  <to>
                    <xdr:col>19</xdr:col>
                    <xdr:colOff>0</xdr:colOff>
                    <xdr:row>77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8" r:id="rId30" name="Button 88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77</xdr:row>
                    <xdr:rowOff>209550</xdr:rowOff>
                  </from>
                  <to>
                    <xdr:col>19</xdr:col>
                    <xdr:colOff>0</xdr:colOff>
                    <xdr:row>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29" r:id="rId31" name="Button 89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80</xdr:row>
                    <xdr:rowOff>209550</xdr:rowOff>
                  </from>
                  <to>
                    <xdr:col>19</xdr:col>
                    <xdr:colOff>0</xdr:colOff>
                    <xdr:row>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0" r:id="rId32" name="Button 90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83</xdr:row>
                    <xdr:rowOff>209550</xdr:rowOff>
                  </from>
                  <to>
                    <xdr:col>19</xdr:col>
                    <xdr:colOff>0</xdr:colOff>
                    <xdr:row>86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1" r:id="rId33" name="Button 91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86</xdr:row>
                    <xdr:rowOff>209550</xdr:rowOff>
                  </from>
                  <to>
                    <xdr:col>19</xdr:col>
                    <xdr:colOff>0</xdr:colOff>
                    <xdr:row>89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2" r:id="rId34" name="Button 92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3" r:id="rId35" name="Button 93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101</xdr:row>
                    <xdr:rowOff>209550</xdr:rowOff>
                  </from>
                  <to>
                    <xdr:col>17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4" r:id="rId36" name="Button 94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101</xdr:row>
                    <xdr:rowOff>209550</xdr:rowOff>
                  </from>
                  <to>
                    <xdr:col>18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5" r:id="rId37" name="Button 95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104</xdr:row>
                    <xdr:rowOff>209550</xdr:rowOff>
                  </from>
                  <to>
                    <xdr:col>17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6" r:id="rId38" name="Button 96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104</xdr:row>
                    <xdr:rowOff>209550</xdr:rowOff>
                  </from>
                  <to>
                    <xdr:col>18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7" r:id="rId39" name="Button 97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101</xdr:row>
                    <xdr:rowOff>209550</xdr:rowOff>
                  </from>
                  <to>
                    <xdr:col>19</xdr:col>
                    <xdr:colOff>0</xdr:colOff>
                    <xdr:row>104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8" r:id="rId40" name="Button 98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104</xdr:row>
                    <xdr:rowOff>209550</xdr:rowOff>
                  </from>
                  <to>
                    <xdr:col>19</xdr:col>
                    <xdr:colOff>0</xdr:colOff>
                    <xdr:row>107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39" r:id="rId41" name="Button 99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108</xdr:row>
                    <xdr:rowOff>0</xdr:rowOff>
                  </from>
                  <to>
                    <xdr:col>19</xdr:col>
                    <xdr:colOff>0</xdr:colOff>
                    <xdr:row>111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0" r:id="rId42" name="Button 100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112</xdr:row>
                    <xdr:rowOff>209550</xdr:rowOff>
                  </from>
                  <to>
                    <xdr:col>19</xdr:col>
                    <xdr:colOff>0</xdr:colOff>
                    <xdr:row>115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1" r:id="rId43" name="Button 101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115</xdr:row>
                    <xdr:rowOff>209550</xdr:rowOff>
                  </from>
                  <to>
                    <xdr:col>19</xdr:col>
                    <xdr:colOff>0</xdr:colOff>
                    <xdr:row>118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2" r:id="rId44" name="Button 102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118</xdr:row>
                    <xdr:rowOff>209550</xdr:rowOff>
                  </from>
                  <to>
                    <xdr:col>19</xdr:col>
                    <xdr:colOff>0</xdr:colOff>
                    <xdr:row>121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3" r:id="rId45" name="Button 103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121</xdr:row>
                    <xdr:rowOff>209550</xdr:rowOff>
                  </from>
                  <to>
                    <xdr:col>19</xdr:col>
                    <xdr:colOff>0</xdr:colOff>
                    <xdr:row>124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4" r:id="rId46" name="Button 104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124</xdr:row>
                    <xdr:rowOff>209550</xdr:rowOff>
                  </from>
                  <to>
                    <xdr:col>19</xdr:col>
                    <xdr:colOff>0</xdr:colOff>
                    <xdr:row>127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5" r:id="rId47" name="Button 105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137</xdr:row>
                    <xdr:rowOff>0</xdr:rowOff>
                  </from>
                  <to>
                    <xdr:col>19</xdr:col>
                    <xdr:colOff>0</xdr:colOff>
                    <xdr:row>140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6" r:id="rId48" name="Button 106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139</xdr:row>
                    <xdr:rowOff>209550</xdr:rowOff>
                  </from>
                  <to>
                    <xdr:col>17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7" r:id="rId49" name="Button 107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139</xdr:row>
                    <xdr:rowOff>209550</xdr:rowOff>
                  </from>
                  <to>
                    <xdr:col>18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8" r:id="rId50" name="Button 108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142</xdr:row>
                    <xdr:rowOff>209550</xdr:rowOff>
                  </from>
                  <to>
                    <xdr:col>17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49" r:id="rId51" name="Button 109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142</xdr:row>
                    <xdr:rowOff>209550</xdr:rowOff>
                  </from>
                  <to>
                    <xdr:col>18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0" r:id="rId52" name="Button 110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139</xdr:row>
                    <xdr:rowOff>209550</xdr:rowOff>
                  </from>
                  <to>
                    <xdr:col>19</xdr:col>
                    <xdr:colOff>0</xdr:colOff>
                    <xdr:row>142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1" r:id="rId53" name="Button 111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142</xdr:row>
                    <xdr:rowOff>209550</xdr:rowOff>
                  </from>
                  <to>
                    <xdr:col>19</xdr:col>
                    <xdr:colOff>0</xdr:colOff>
                    <xdr:row>145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2" r:id="rId54" name="Button 112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146</xdr:row>
                    <xdr:rowOff>0</xdr:rowOff>
                  </from>
                  <to>
                    <xdr:col>19</xdr:col>
                    <xdr:colOff>0</xdr:colOff>
                    <xdr:row>149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3" r:id="rId55" name="Button 113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150</xdr:row>
                    <xdr:rowOff>209550</xdr:rowOff>
                  </from>
                  <to>
                    <xdr:col>19</xdr:col>
                    <xdr:colOff>0</xdr:colOff>
                    <xdr:row>153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4" r:id="rId56" name="Button 114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153</xdr:row>
                    <xdr:rowOff>209550</xdr:rowOff>
                  </from>
                  <to>
                    <xdr:col>19</xdr:col>
                    <xdr:colOff>0</xdr:colOff>
                    <xdr:row>156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5" r:id="rId57" name="Button 115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156</xdr:row>
                    <xdr:rowOff>209550</xdr:rowOff>
                  </from>
                  <to>
                    <xdr:col>19</xdr:col>
                    <xdr:colOff>0</xdr:colOff>
                    <xdr:row>159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6" r:id="rId58" name="Button 116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159</xdr:row>
                    <xdr:rowOff>209550</xdr:rowOff>
                  </from>
                  <to>
                    <xdr:col>19</xdr:col>
                    <xdr:colOff>0</xdr:colOff>
                    <xdr:row>162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7" r:id="rId59" name="Button 117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162</xdr:row>
                    <xdr:rowOff>209550</xdr:rowOff>
                  </from>
                  <to>
                    <xdr:col>19</xdr:col>
                    <xdr:colOff>0</xdr:colOff>
                    <xdr:row>165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8" r:id="rId60" name="Button 118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175</xdr:row>
                    <xdr:rowOff>0</xdr:rowOff>
                  </from>
                  <to>
                    <xdr:col>19</xdr:col>
                    <xdr:colOff>0</xdr:colOff>
                    <xdr:row>178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59" r:id="rId61" name="Button 119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177</xdr:row>
                    <xdr:rowOff>209550</xdr:rowOff>
                  </from>
                  <to>
                    <xdr:col>17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0" r:id="rId62" name="Button 120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177</xdr:row>
                    <xdr:rowOff>209550</xdr:rowOff>
                  </from>
                  <to>
                    <xdr:col>18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1" r:id="rId63" name="Button 121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180</xdr:row>
                    <xdr:rowOff>209550</xdr:rowOff>
                  </from>
                  <to>
                    <xdr:col>17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2" r:id="rId64" name="Button 122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180</xdr:row>
                    <xdr:rowOff>209550</xdr:rowOff>
                  </from>
                  <to>
                    <xdr:col>18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3" r:id="rId65" name="Button 123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177</xdr:row>
                    <xdr:rowOff>209550</xdr:rowOff>
                  </from>
                  <to>
                    <xdr:col>19</xdr:col>
                    <xdr:colOff>0</xdr:colOff>
                    <xdr:row>180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4" r:id="rId66" name="Button 124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180</xdr:row>
                    <xdr:rowOff>209550</xdr:rowOff>
                  </from>
                  <to>
                    <xdr:col>19</xdr:col>
                    <xdr:colOff>0</xdr:colOff>
                    <xdr:row>183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5" r:id="rId67" name="Button 125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184</xdr:row>
                    <xdr:rowOff>0</xdr:rowOff>
                  </from>
                  <to>
                    <xdr:col>19</xdr:col>
                    <xdr:colOff>0</xdr:colOff>
                    <xdr:row>187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6" r:id="rId68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188</xdr:row>
                    <xdr:rowOff>209550</xdr:rowOff>
                  </from>
                  <to>
                    <xdr:col>19</xdr:col>
                    <xdr:colOff>0</xdr:colOff>
                    <xdr:row>191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7" r:id="rId69" name="Button 127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191</xdr:row>
                    <xdr:rowOff>209550</xdr:rowOff>
                  </from>
                  <to>
                    <xdr:col>19</xdr:col>
                    <xdr:colOff>0</xdr:colOff>
                    <xdr:row>194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8" r:id="rId70" name="Button 128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194</xdr:row>
                    <xdr:rowOff>209550</xdr:rowOff>
                  </from>
                  <to>
                    <xdr:col>19</xdr:col>
                    <xdr:colOff>0</xdr:colOff>
                    <xdr:row>197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69" r:id="rId71" name="Button 129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197</xdr:row>
                    <xdr:rowOff>209550</xdr:rowOff>
                  </from>
                  <to>
                    <xdr:col>19</xdr:col>
                    <xdr:colOff>0</xdr:colOff>
                    <xdr:row>200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0" r:id="rId72" name="Button 130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200</xdr:row>
                    <xdr:rowOff>209550</xdr:rowOff>
                  </from>
                  <to>
                    <xdr:col>19</xdr:col>
                    <xdr:colOff>0</xdr:colOff>
                    <xdr:row>203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1" r:id="rId73" name="Button 131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213</xdr:row>
                    <xdr:rowOff>0</xdr:rowOff>
                  </from>
                  <to>
                    <xdr:col>19</xdr:col>
                    <xdr:colOff>0</xdr:colOff>
                    <xdr:row>216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2" r:id="rId74" name="Button 132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215</xdr:row>
                    <xdr:rowOff>209550</xdr:rowOff>
                  </from>
                  <to>
                    <xdr:col>17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3" r:id="rId75" name="Button 133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215</xdr:row>
                    <xdr:rowOff>209550</xdr:rowOff>
                  </from>
                  <to>
                    <xdr:col>18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4" r:id="rId76" name="Button 134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218</xdr:row>
                    <xdr:rowOff>209550</xdr:rowOff>
                  </from>
                  <to>
                    <xdr:col>17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5" r:id="rId77" name="Button 135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218</xdr:row>
                    <xdr:rowOff>209550</xdr:rowOff>
                  </from>
                  <to>
                    <xdr:col>18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6" r:id="rId78" name="Button 136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215</xdr:row>
                    <xdr:rowOff>209550</xdr:rowOff>
                  </from>
                  <to>
                    <xdr:col>19</xdr:col>
                    <xdr:colOff>0</xdr:colOff>
                    <xdr:row>218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7" r:id="rId79" name="Button 137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218</xdr:row>
                    <xdr:rowOff>209550</xdr:rowOff>
                  </from>
                  <to>
                    <xdr:col>19</xdr:col>
                    <xdr:colOff>0</xdr:colOff>
                    <xdr:row>221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8" r:id="rId80" name="Button 138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222</xdr:row>
                    <xdr:rowOff>0</xdr:rowOff>
                  </from>
                  <to>
                    <xdr:col>19</xdr:col>
                    <xdr:colOff>0</xdr:colOff>
                    <xdr:row>225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79" r:id="rId81" name="Button 13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226</xdr:row>
                    <xdr:rowOff>209550</xdr:rowOff>
                  </from>
                  <to>
                    <xdr:col>19</xdr:col>
                    <xdr:colOff>0</xdr:colOff>
                    <xdr:row>229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0" r:id="rId82" name="Button 140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229</xdr:row>
                    <xdr:rowOff>209550</xdr:rowOff>
                  </from>
                  <to>
                    <xdr:col>19</xdr:col>
                    <xdr:colOff>0</xdr:colOff>
                    <xdr:row>232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1" r:id="rId83" name="Button 141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232</xdr:row>
                    <xdr:rowOff>209550</xdr:rowOff>
                  </from>
                  <to>
                    <xdr:col>19</xdr:col>
                    <xdr:colOff>0</xdr:colOff>
                    <xdr:row>235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2" r:id="rId84" name="Button 142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235</xdr:row>
                    <xdr:rowOff>209550</xdr:rowOff>
                  </from>
                  <to>
                    <xdr:col>19</xdr:col>
                    <xdr:colOff>0</xdr:colOff>
                    <xdr:row>238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3" r:id="rId85" name="Button 143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238</xdr:row>
                    <xdr:rowOff>209550</xdr:rowOff>
                  </from>
                  <to>
                    <xdr:col>19</xdr:col>
                    <xdr:colOff>0</xdr:colOff>
                    <xdr:row>241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4" r:id="rId86" name="Button 144">
              <controlPr defaultSize="0" print="0" autoFill="0" autoPict="0" macro="[0]!셀이동_월말결산_실거래종목">
                <anchor moveWithCells="1" sizeWithCells="1">
                  <from>
                    <xdr:col>16</xdr:col>
                    <xdr:colOff>0</xdr:colOff>
                    <xdr:row>251</xdr:row>
                    <xdr:rowOff>0</xdr:rowOff>
                  </from>
                  <to>
                    <xdr:col>19</xdr:col>
                    <xdr:colOff>0</xdr:colOff>
                    <xdr:row>254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5" r:id="rId87" name="Button 145">
              <controlPr defaultSize="0" print="0" autoFill="0" autoPict="0" macro="[0]!셀이동_월말결산_엽전코인Top20">
                <anchor moveWithCells="1" sizeWithCells="1">
                  <from>
                    <xdr:col>16</xdr:col>
                    <xdr:colOff>0</xdr:colOff>
                    <xdr:row>253</xdr:row>
                    <xdr:rowOff>209550</xdr:rowOff>
                  </from>
                  <to>
                    <xdr:col>17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6" r:id="rId88" name="Button 146">
              <controlPr defaultSize="0" print="0" autoFill="0" autoPict="0" macro="[0]!셀이동_월말결산_동전코인Top20">
                <anchor moveWithCells="1" sizeWithCells="1">
                  <from>
                    <xdr:col>17</xdr:col>
                    <xdr:colOff>0</xdr:colOff>
                    <xdr:row>253</xdr:row>
                    <xdr:rowOff>209550</xdr:rowOff>
                  </from>
                  <to>
                    <xdr:col>18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7" r:id="rId89" name="Button 147">
              <controlPr defaultSize="0" print="0" autoFill="0" autoPict="0" macro="[0]!셀이동_월말결산_엽전코인Bottom20">
                <anchor moveWithCells="1" sizeWithCells="1">
                  <from>
                    <xdr:col>16</xdr:col>
                    <xdr:colOff>0</xdr:colOff>
                    <xdr:row>256</xdr:row>
                    <xdr:rowOff>209550</xdr:rowOff>
                  </from>
                  <to>
                    <xdr:col>17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8" r:id="rId90" name="Button 148">
              <controlPr defaultSize="0" print="0" autoFill="0" autoPict="0" macro="[0]!셀이동_월말결산_동전코인Bottom20">
                <anchor moveWithCells="1" sizeWithCells="1">
                  <from>
                    <xdr:col>17</xdr:col>
                    <xdr:colOff>0</xdr:colOff>
                    <xdr:row>256</xdr:row>
                    <xdr:rowOff>209550</xdr:rowOff>
                  </from>
                  <to>
                    <xdr:col>18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89" r:id="rId91" name="Button 149">
              <controlPr defaultSize="0" print="0" autoFill="0" autoPict="0" macro="[0]!셀이동_월말결산_전일대비상승률Top20">
                <anchor moveWithCells="1" sizeWithCells="1">
                  <from>
                    <xdr:col>18</xdr:col>
                    <xdr:colOff>0</xdr:colOff>
                    <xdr:row>253</xdr:row>
                    <xdr:rowOff>209550</xdr:rowOff>
                  </from>
                  <to>
                    <xdr:col>19</xdr:col>
                    <xdr:colOff>0</xdr:colOff>
                    <xdr:row>256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0" r:id="rId92" name="Button 150">
              <controlPr defaultSize="0" print="0" autoFill="0" autoPict="0" macro="[0]!셀이동_월말결산_전일대비상승률Bottom20">
                <anchor moveWithCells="1" sizeWithCells="1">
                  <from>
                    <xdr:col>18</xdr:col>
                    <xdr:colOff>0</xdr:colOff>
                    <xdr:row>256</xdr:row>
                    <xdr:rowOff>209550</xdr:rowOff>
                  </from>
                  <to>
                    <xdr:col>19</xdr:col>
                    <xdr:colOff>0</xdr:colOff>
                    <xdr:row>259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1" r:id="rId93" name="Button 151">
              <controlPr defaultSize="0" print="0" autoFill="0" autoPict="0" macro="[0]!셀이동_월말결산_처음으로">
                <anchor moveWithCells="1" sizeWithCells="1">
                  <from>
                    <xdr:col>16</xdr:col>
                    <xdr:colOff>0</xdr:colOff>
                    <xdr:row>260</xdr:row>
                    <xdr:rowOff>0</xdr:rowOff>
                  </from>
                  <to>
                    <xdr:col>19</xdr:col>
                    <xdr:colOff>0</xdr:colOff>
                    <xdr:row>263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2" r:id="rId94" name="Button 1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264</xdr:row>
                    <xdr:rowOff>209550</xdr:rowOff>
                  </from>
                  <to>
                    <xdr:col>19</xdr:col>
                    <xdr:colOff>0</xdr:colOff>
                    <xdr:row>267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3" r:id="rId95" name="Button 153">
              <controlPr defaultSize="0" print="0" autoFill="0" autoPict="0" macro="[0]!시트이동_현재가테이블">
                <anchor moveWithCells="1" sizeWithCells="1">
                  <from>
                    <xdr:col>16</xdr:col>
                    <xdr:colOff>0</xdr:colOff>
                    <xdr:row>267</xdr:row>
                    <xdr:rowOff>209550</xdr:rowOff>
                  </from>
                  <to>
                    <xdr:col>19</xdr:col>
                    <xdr:colOff>0</xdr:colOff>
                    <xdr:row>270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4" r:id="rId96" name="Button 154">
              <controlPr defaultSize="0" print="0" autoFill="0" autoPict="0" macro="[0]!시트이동_종목선정">
                <anchor moveWithCells="1" sizeWithCells="1">
                  <from>
                    <xdr:col>16</xdr:col>
                    <xdr:colOff>0</xdr:colOff>
                    <xdr:row>270</xdr:row>
                    <xdr:rowOff>209550</xdr:rowOff>
                  </from>
                  <to>
                    <xdr:col>19</xdr:col>
                    <xdr:colOff>0</xdr:colOff>
                    <xdr:row>273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5" r:id="rId97" name="Button 155">
              <controlPr defaultSize="0" print="0" autoFill="0" autoPict="0" macro="[0]!시트이동_월말결산">
                <anchor moveWithCells="1" sizeWithCells="1">
                  <from>
                    <xdr:col>16</xdr:col>
                    <xdr:colOff>0</xdr:colOff>
                    <xdr:row>273</xdr:row>
                    <xdr:rowOff>209550</xdr:rowOff>
                  </from>
                  <to>
                    <xdr:col>19</xdr:col>
                    <xdr:colOff>0</xdr:colOff>
                    <xdr:row>276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996" r:id="rId98" name="Button 156">
              <controlPr defaultSize="0" print="0" autoFill="0" autoPict="0" macro="[0]!시트이동_오늘날짜">
                <anchor moveWithCells="1" sizeWithCells="1">
                  <from>
                    <xdr:col>16</xdr:col>
                    <xdr:colOff>0</xdr:colOff>
                    <xdr:row>276</xdr:row>
                    <xdr:rowOff>209550</xdr:rowOff>
                  </from>
                  <to>
                    <xdr:col>19</xdr:col>
                    <xdr:colOff>0</xdr:colOff>
                    <xdr:row>279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381DE-183D-41A3-92E4-9F46AF5C8C9A}">
  <sheetPr codeName="Sheet6"/>
  <dimension ref="A1:S199"/>
  <sheetViews>
    <sheetView tabSelected="1" zoomScaleNormal="100" workbookViewId="0">
      <selection activeCell="A23" sqref="A23"/>
    </sheetView>
  </sheetViews>
  <sheetFormatPr defaultRowHeight="16.5"/>
  <cols>
    <col min="1" max="1" width="13" style="120" bestFit="1" customWidth="1"/>
    <col min="2" max="2" width="14.25" style="120" bestFit="1" customWidth="1"/>
    <col min="3" max="3" width="9.25" style="120" bestFit="1" customWidth="1"/>
    <col min="4" max="4" width="14.25" bestFit="1" customWidth="1"/>
    <col min="5" max="5" width="8.875" bestFit="1" customWidth="1"/>
    <col min="6" max="6" width="14.375" bestFit="1" customWidth="1"/>
    <col min="7" max="7" width="14.25" bestFit="1" customWidth="1"/>
    <col min="8" max="8" width="8.875" customWidth="1"/>
    <col min="9" max="9" width="11.625" customWidth="1"/>
    <col min="10" max="10" width="14.25" bestFit="1" customWidth="1"/>
    <col min="11" max="11" width="9.25" bestFit="1" customWidth="1"/>
    <col min="12" max="12" width="11.625" bestFit="1" customWidth="1"/>
    <col min="13" max="13" width="14.25" bestFit="1" customWidth="1"/>
    <col min="14" max="14" width="8.5" bestFit="1" customWidth="1"/>
    <col min="15" max="15" width="11.625" bestFit="1" customWidth="1"/>
    <col min="17" max="17" width="12.125" customWidth="1"/>
    <col min="18" max="18" width="12.125" bestFit="1" customWidth="1"/>
    <col min="19" max="19" width="12.125" customWidth="1"/>
  </cols>
  <sheetData>
    <row r="1" spans="1:19" ht="17.25" customHeight="1" thickBot="1">
      <c r="A1" s="183" t="s">
        <v>0</v>
      </c>
      <c r="B1" s="184"/>
      <c r="C1" s="184"/>
      <c r="D1" s="184"/>
      <c r="E1" s="184"/>
      <c r="F1" s="185"/>
      <c r="G1" s="214">
        <v>44348</v>
      </c>
      <c r="H1" s="215"/>
      <c r="I1" s="216"/>
      <c r="J1" s="183" t="s">
        <v>1</v>
      </c>
      <c r="K1" s="184"/>
      <c r="L1" s="184"/>
      <c r="M1" s="184"/>
      <c r="N1" s="184"/>
      <c r="O1" s="185"/>
      <c r="Q1" s="183" t="s">
        <v>2</v>
      </c>
      <c r="R1" s="185"/>
    </row>
    <row r="2" spans="1:19" ht="17.25" customHeight="1">
      <c r="A2" s="117" t="s">
        <v>3</v>
      </c>
      <c r="B2" s="217" t="s">
        <v>8</v>
      </c>
      <c r="C2" s="218"/>
      <c r="D2" s="218"/>
      <c r="E2" s="218"/>
      <c r="F2" s="219"/>
      <c r="G2" s="211" t="s">
        <v>46</v>
      </c>
      <c r="H2" s="212"/>
      <c r="I2" s="213"/>
      <c r="J2" s="1" t="s">
        <v>3</v>
      </c>
      <c r="K2" s="217" t="s">
        <v>350</v>
      </c>
      <c r="L2" s="218"/>
      <c r="M2" s="218"/>
      <c r="N2" s="218"/>
      <c r="O2" s="219"/>
      <c r="Q2" s="2" t="s">
        <v>6</v>
      </c>
      <c r="R2" s="3">
        <v>0.375</v>
      </c>
    </row>
    <row r="3" spans="1:19" ht="17.25" customHeight="1" thickBot="1">
      <c r="A3" s="118" t="s">
        <v>7</v>
      </c>
      <c r="B3" s="208" t="s">
        <v>358</v>
      </c>
      <c r="C3" s="209"/>
      <c r="D3" s="209"/>
      <c r="E3" s="209"/>
      <c r="F3" s="210"/>
      <c r="G3" s="204" t="str">
        <f>TEXT(IF(CHOOSE(8,$E$118,$F$118,$H$118,$I$118,$K$118,$L$118,$N$118,$O$118)&lt;&gt;0,CHOOSE(8,$E$118,$F$118,$H$118,$I$118,$K$118,$L$118,$N$118,$O$118),
IF(CHOOSE(6,$E$118,$F$118,$H$118,$I$118,$K$118,$L$118,$N$118,$O$118)&lt;&gt;0,CHOOSE(6,$E$118,$F$118,$H$118,$I$118,$K$118,$L$118,$N$118,$O$118),
IF(CHOOSE(4,$E$118,$F$118,$H$118,$I$118,$K$118,$L$118,$N$118,$O$118)&lt;&gt;0,CHOOSE(4,$E$118,$F$118,$H$118,$I$118,$K$118,$L$118,$N$118,$O$118),
CHOOSE(2,$E$118,$F$118,$H$118,$I$118,$K$118,$L$118,$N$118,$O$118)))), "#,##0") &amp; " KRW (" &amp;
TEXT(IF(CHOOSE(7,$E$118,$F$118,$H$118,$I$118,$K$118,$L$118,$N$118,$O$118)&lt;&gt;0,CHOOSE(7,$E$118,$F$118,$H$118,$I$118,$K$118,$L$118,$N$118,$O$118),
IF(CHOOSE(5,$E$118,$F$118,$H$118,$I$118,$K$118,$L$118,$N$118,$O$118)&lt;&gt;0,CHOOSE(5,$E$118,$F$118,$H$118,$I$118,$K$118,$L$118,$N$118,$O$118),
IF(CHOOSE(3,$E$118,$F$118,$H$118,$I$118,$K$118,$L$118,$N$118,$O$118)&lt;&gt;0,CHOOSE(3,$E$118,$F$118,$H$118,$I$118,$K$118,$L$118,$N$118,$O$118),
CHOOSE(1,$E$118,$F$118,$H$118,$I$118,$K$118,$L$118,$N$118,$O$118)))), "0.00%") &amp; ")"</f>
        <v>0 KRW (0.00%)</v>
      </c>
      <c r="H3" s="205"/>
      <c r="I3" s="206"/>
      <c r="J3" s="4" t="s">
        <v>7</v>
      </c>
      <c r="K3" s="208" t="s">
        <v>351</v>
      </c>
      <c r="L3" s="209"/>
      <c r="M3" s="209"/>
      <c r="N3" s="209"/>
      <c r="O3" s="210"/>
      <c r="Q3" s="2" t="s">
        <v>10</v>
      </c>
      <c r="R3" s="3">
        <v>0.79166666666666663</v>
      </c>
    </row>
    <row r="4" spans="1:19" ht="17.25" customHeight="1" thickBot="1">
      <c r="A4" s="118" t="s">
        <v>11</v>
      </c>
      <c r="B4" s="208" t="s">
        <v>16</v>
      </c>
      <c r="C4" s="209"/>
      <c r="D4" s="209"/>
      <c r="E4" s="209"/>
      <c r="F4" s="210"/>
      <c r="G4" s="211" t="s">
        <v>44</v>
      </c>
      <c r="H4" s="212"/>
      <c r="I4" s="213"/>
      <c r="J4" s="4" t="s">
        <v>11</v>
      </c>
      <c r="K4" s="208" t="s">
        <v>352</v>
      </c>
      <c r="L4" s="209"/>
      <c r="M4" s="209"/>
      <c r="N4" s="209"/>
      <c r="O4" s="210"/>
      <c r="Q4" s="65" t="s">
        <v>14</v>
      </c>
      <c r="R4" s="5">
        <v>0.95833333333333337</v>
      </c>
    </row>
    <row r="5" spans="1:19" ht="17.25" customHeight="1" thickBot="1">
      <c r="A5" s="118" t="s">
        <v>15</v>
      </c>
      <c r="B5" s="208" t="s">
        <v>349</v>
      </c>
      <c r="C5" s="209"/>
      <c r="D5" s="209"/>
      <c r="E5" s="209"/>
      <c r="F5" s="210"/>
      <c r="G5" s="204" t="str">
        <f>TEXT(IF(CHOOSE(8,$E$64,$F$64,$H$64,$I$64,$K$64,$L$64,$N$64,$O$64)&lt;&gt;0,CHOOSE(8,$E$64,$F$64,$H$64,$I$64,$K$64,$L$64,$N$64,$O$64),
IF(CHOOSE(6,$E$64,$F$64,$H$64,$I$64,$K$64,$L$64,$N$64,$O$64)&lt;&gt;0,CHOOSE(6,$E$64,$F$64,$H$64,$I$64,$K$64,$L$64,$N$64,$O$64),
IF(CHOOSE(4,$E$64,$F$64,$H$64,$I$64,$K$64,$L$64,$N$64,$O$64)&lt;&gt;0,CHOOSE(4,$E$64,$F$64,$H$64,$I$64,$K$64,$L$64,$N$64,$O$64),
CHOOSE(2,$E$64,$F$64,$H$64,$I$64,$K$64,$L$64,$N$64,$O$64)))), "#,##0") &amp; " KRW (" &amp;
TEXT(IF(CHOOSE(7,$E$64,$F$64,$H$64,$I$64,$K$64,$L$64,$N$64,$O$64)&lt;&gt;0,CHOOSE(7,$E$64,$F$64,$H$64,$I$64,$K$64,$L$64,$N$64,$O$64),
IF(CHOOSE(5,$E$64,$F$64,$H$64,$I$64,$K$64,$L$64,$N$64,$O$64)&lt;&gt;0,CHOOSE(5,$E$64,$F$64,$H$64,$I$64,$K$64,$L$64,$N$64,$O$64),
IF(CHOOSE(3,$E$64,$F$64,$H$64,$I$64,$K$64,$L$64,$N$64,$O$64)&lt;&gt;0,CHOOSE(3,$E$64,$F$64,$H$64,$I$64,$K$64,$L$64,$N$64,$O$64),
CHOOSE(1,$E$64,$F$64,$H$64,$I$64,$K$64,$L$64,$N$64,$O$64)))), "0.00%") &amp; ")"</f>
        <v>0 KRW (0.00%)</v>
      </c>
      <c r="H5" s="205"/>
      <c r="I5" s="206"/>
      <c r="J5" s="4" t="s">
        <v>15</v>
      </c>
      <c r="K5" s="208" t="s">
        <v>353</v>
      </c>
      <c r="L5" s="209"/>
      <c r="M5" s="209"/>
      <c r="N5" s="209"/>
      <c r="O5" s="210"/>
    </row>
    <row r="6" spans="1:19">
      <c r="A6" s="118" t="s">
        <v>18</v>
      </c>
      <c r="B6" s="208"/>
      <c r="C6" s="209"/>
      <c r="D6" s="209"/>
      <c r="E6" s="209"/>
      <c r="F6" s="210"/>
      <c r="G6" s="211" t="s">
        <v>45</v>
      </c>
      <c r="H6" s="212"/>
      <c r="I6" s="213"/>
      <c r="J6" s="4" t="s">
        <v>18</v>
      </c>
      <c r="K6" s="208" t="s">
        <v>354</v>
      </c>
      <c r="L6" s="209"/>
      <c r="M6" s="209"/>
      <c r="N6" s="209"/>
      <c r="O6" s="210"/>
    </row>
    <row r="7" spans="1:19" ht="17.25" thickBot="1">
      <c r="A7" s="118" t="s">
        <v>21</v>
      </c>
      <c r="B7" s="208"/>
      <c r="C7" s="209"/>
      <c r="D7" s="209"/>
      <c r="E7" s="209"/>
      <c r="F7" s="210"/>
      <c r="G7" s="204" t="str">
        <f>TEXT(IF(CHOOSE(8,$E$91,$F$91,$H$91,$I$91,$K$91,$L$91,$N$91,$O$91)&lt;&gt;0,CHOOSE(8,$E$91,$F$91,$H$91,$I$91,$K$91,$L$91,$N$91,$O$91),
IF(CHOOSE(6,$E$91,$F$91,$H$91,$I$91,$K$91,$L$91,$N$91,$O$91)&lt;&gt;0,CHOOSE(6,$E$91,$F$91,$H$91,$I$91,$K$91,$L$91,$N$91,$O$91),
IF(CHOOSE(4,$E$91,$F$91,$H$91,$I$91,$K$91,$L$91,$N$91,$O$91)&lt;&gt;0,CHOOSE(4,$E$91,$F$91,$H$91,$I$91,$K$91,$L$91,$N$91,$O$91),
CHOOSE(2,$E$91,$F$91,$H$91,$I$91,$K$91,$L$91,$N$91,$O$91)))), "#,##0") &amp; " KRW (" &amp;
TEXT(IF(CHOOSE(7,$E$91,$F$91,$H$91,$I$91,$K$91,$L$91,$N$91,$O$91)&lt;&gt;0,CHOOSE(7,$E$91,$F$91,$H$91,$I$91,$K$91,$L$91,$N$91,$O$91),
IF(CHOOSE(5,$E$91,$F$91,$H$91,$I$91,$K$91,$L$91,$N$91,$O$91)&lt;&gt;0,CHOOSE(5,$E$91,$F$91,$H$91,$I$91,$K$91,$L$91,$N$91,$O$91),
IF(CHOOSE(3,$E$91,$F$91,$H$91,$I$91,$K$91,$L$91,$N$91,$O$91)&lt;&gt;0,CHOOSE(3,$E$91,$F$91,$H$91,$I$91,$K$91,$L$91,$N$91,$O$91),
CHOOSE(1,$E$91,$F$91,$H$91,$I$91,$K$91,$L$91,$N$91,$O$91)))), "0.00%") &amp; ")"</f>
        <v>0 KRW (0.00%)</v>
      </c>
      <c r="H7" s="205"/>
      <c r="I7" s="206"/>
      <c r="J7" s="4" t="s">
        <v>21</v>
      </c>
      <c r="K7" s="208" t="s">
        <v>355</v>
      </c>
      <c r="L7" s="209"/>
      <c r="M7" s="209"/>
      <c r="N7" s="209"/>
      <c r="O7" s="210"/>
    </row>
    <row r="8" spans="1:19" ht="17.25" thickBot="1">
      <c r="A8" s="118" t="s">
        <v>24</v>
      </c>
      <c r="B8" s="208"/>
      <c r="C8" s="209"/>
      <c r="D8" s="209"/>
      <c r="E8" s="209"/>
      <c r="F8" s="210"/>
      <c r="G8" s="211" t="s">
        <v>285</v>
      </c>
      <c r="H8" s="212"/>
      <c r="I8" s="213"/>
      <c r="J8" s="4" t="s">
        <v>24</v>
      </c>
      <c r="K8" s="208"/>
      <c r="L8" s="209"/>
      <c r="M8" s="209"/>
      <c r="N8" s="209"/>
      <c r="O8" s="210"/>
      <c r="Q8" s="183" t="s">
        <v>27</v>
      </c>
      <c r="R8" s="185"/>
    </row>
    <row r="9" spans="1:19" ht="17.25" thickBot="1">
      <c r="A9" s="118" t="s">
        <v>28</v>
      </c>
      <c r="B9" s="208"/>
      <c r="C9" s="209"/>
      <c r="D9" s="209"/>
      <c r="E9" s="209"/>
      <c r="F9" s="210"/>
      <c r="G9" s="204" t="str">
        <f>TEXT(IF(CHOOSE(8,$E$199,$F$199,$H$199,$I$199,$K$199,$L$199,$N$199,$O$199)&lt;&gt;0,CHOOSE(8,$E$199,$F$199,$H$199,$I$199,$K$199,$L$199,$N$199,$O$199),
IF(CHOOSE(6,$E$199,$F$199,$H$199,$I$199,$K$199,$L$199,$N$199,$O$199)&lt;&gt;0,CHOOSE(6,$E$199,$F$199,$H$199,$I$199,$K$199,$L$199,$N$199,$O$199),
IF(CHOOSE(4,$E$199,$F$199,$H$199,$I$199,$K$199,$L$199,$N$199,$O$199)&lt;&gt;0,CHOOSE(4,$E$199,$F$199,$H$199,$I$199,$K$199,$L$199,$N$199,$O$199),
CHOOSE(2,$E$199,$F$199,$H$199,$I$199,$K$199,$L$199,$N$199,$O$199)))), "#,##0") &amp; " KRW (" &amp;
TEXT(IF(CHOOSE(7,$E$199,$F$199,$H$199,$I$199,$K$199,$L$199,$N$199,$O$199)&lt;&gt;0,CHOOSE(7,$E$199,$F$199,$H$199,$I$199,$K$199,$L$199,$N$199,$O$199),
IF(CHOOSE(5,$E$199,$F$199,$H$199,$I$199,$K$199,$L$199,$N$199,$O$199)&lt;&gt;0,CHOOSE(5,$E$199,$F$199,$H$199,$I$199,$K$199,$L$199,$N$199,$O$199),
IF(CHOOSE(3,$E$199,$F$199,$H$199,$I$199,$K$199,$L$199,$N$199,$O$199)&lt;&gt;0,CHOOSE(3,$E$199,$F$199,$H$199,$I$199,$K$199,$L$199,$N$199,$O$199),
CHOOSE(1,$E$199,$F$199,$H$199,$I$199,$K$199,$L$199,$N$199,$O$199)))), "0.00%") &amp; ")"</f>
        <v>0 KRW (0.00%)</v>
      </c>
      <c r="H9" s="205"/>
      <c r="I9" s="206"/>
      <c r="J9" s="4" t="s">
        <v>28</v>
      </c>
      <c r="K9" s="208"/>
      <c r="L9" s="209"/>
      <c r="M9" s="209"/>
      <c r="N9" s="209"/>
      <c r="O9" s="210"/>
      <c r="Q9" s="2" t="s">
        <v>29</v>
      </c>
      <c r="R9" s="6">
        <v>10</v>
      </c>
    </row>
    <row r="10" spans="1:19">
      <c r="A10" s="118" t="s">
        <v>30</v>
      </c>
      <c r="B10" s="208"/>
      <c r="C10" s="209"/>
      <c r="D10" s="209"/>
      <c r="E10" s="209"/>
      <c r="F10" s="210"/>
      <c r="G10" s="211" t="s">
        <v>47</v>
      </c>
      <c r="H10" s="212"/>
      <c r="I10" s="213"/>
      <c r="J10" s="4" t="s">
        <v>30</v>
      </c>
      <c r="K10" s="208" t="s">
        <v>356</v>
      </c>
      <c r="L10" s="209"/>
      <c r="M10" s="209"/>
      <c r="N10" s="209"/>
      <c r="O10" s="210"/>
      <c r="Q10" s="2" t="s">
        <v>31</v>
      </c>
      <c r="R10" s="6">
        <v>100</v>
      </c>
    </row>
    <row r="11" spans="1:19" ht="17.25" thickBot="1">
      <c r="A11" s="119" t="s">
        <v>32</v>
      </c>
      <c r="B11" s="201" t="s">
        <v>357</v>
      </c>
      <c r="C11" s="202"/>
      <c r="D11" s="202"/>
      <c r="E11" s="202"/>
      <c r="F11" s="203"/>
      <c r="G11" s="204" t="str">
        <f>TEXT(IF(CHOOSE(8,$E$37,$F$37,$H$37,$I$37,$K$37,$L$37,$N$37,$O$37)&lt;&gt;0,CHOOSE(8,$E$37,$F$37,$H$37,$I$37,$K$37,$L$37,$N$37,$O$37),
IF(CHOOSE(6,$E$37,$F$37,$H$37,$I$37,$K$37,$L$37,$N$37,$O$37)&lt;&gt;0,CHOOSE(6,$E$37,$F$37,$H$37,$I$37,$K$37,$L$37,$N$37,$O$37),
IF(CHOOSE(4,$E$37,$F$37,$H$37,$I$37,$K$37,$L$37,$N$37,$O$37)&lt;&gt;0,CHOOSE(4,$E$37,$F$37,$H$37,$I$37,$K$37,$L$37,$N$37,$O$37),
CHOOSE(2,$E$37,$F$37,$H$37,$I$37,$K$37,$L$37,$N$37,$O$37)))), "#,##0") &amp; " KRW (" &amp;
TEXT(IF(CHOOSE(7,$E$37,$F$37,$H$37,$I$37,$K$37,$L$37,$N$37,$O$37)&lt;&gt;0,CHOOSE(7,$E$37,$F$37,$H$37,$I$37,$K$37,$L$37,$N$37,$O$37),
IF(CHOOSE(5,$E$37,$F$37,$H$37,$I$37,$K$37,$L$37,$N$37,$O$37)&lt;&gt;0,CHOOSE(5,$E$37,$F$37,$H$37,$I$37,$K$37,$L$37,$N$37,$O$37),
IF(CHOOSE(3,$E$37,$F$37,$H$37,$I$37,$K$37,$L$37,$N$37,$O$37)&lt;&gt;0,CHOOSE(3,$E$37,$F$37,$H$37,$I$37,$K$37,$L$37,$N$37,$O$37),
CHOOSE(1,$E$37,$F$37,$H$37,$I$37,$K$37,$L$37,$N$37,$O$37)))), "0.00%") &amp; ")"</f>
        <v>0 KRW (0.00%)</v>
      </c>
      <c r="H11" s="205"/>
      <c r="I11" s="206"/>
      <c r="J11" s="7" t="s">
        <v>32</v>
      </c>
      <c r="K11" s="201" t="s">
        <v>348</v>
      </c>
      <c r="L11" s="202"/>
      <c r="M11" s="202"/>
      <c r="N11" s="202"/>
      <c r="O11" s="203"/>
      <c r="Q11" s="65" t="s">
        <v>33</v>
      </c>
      <c r="R11" s="8">
        <v>1000</v>
      </c>
    </row>
    <row r="12" spans="1:19" ht="17.25" thickBot="1"/>
    <row r="13" spans="1:19" ht="17.25" customHeight="1" thickBot="1">
      <c r="A13" s="183" t="s">
        <v>34</v>
      </c>
      <c r="B13" s="184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84"/>
      <c r="N13" s="184"/>
      <c r="O13" s="185"/>
      <c r="Q13" s="182"/>
      <c r="R13" s="182"/>
      <c r="S13" s="182"/>
    </row>
    <row r="14" spans="1:19" ht="17.25" customHeight="1" thickBot="1">
      <c r="A14" s="157" t="s">
        <v>35</v>
      </c>
      <c r="B14" s="183" t="s">
        <v>36</v>
      </c>
      <c r="C14" s="185"/>
      <c r="D14" s="183" t="s">
        <v>37</v>
      </c>
      <c r="E14" s="184"/>
      <c r="F14" s="185"/>
      <c r="G14" s="186">
        <f>_xlfn.IFNA(VLOOKUP(B14, 현재가테이블!$B$2:$D$200, 2, FALSE), "-")</f>
        <v>43214000</v>
      </c>
      <c r="H14" s="187"/>
      <c r="I14" s="188"/>
      <c r="J14" s="183" t="s">
        <v>38</v>
      </c>
      <c r="K14" s="184"/>
      <c r="L14" s="185"/>
      <c r="M14" s="189">
        <f>_xlfn.IFNA(VLOOKUP(B14, 현재가테이블!$B$2:$D$200, 3, FALSE), "-")</f>
        <v>8.5693770000000002E-4</v>
      </c>
      <c r="N14" s="190"/>
      <c r="O14" s="191"/>
      <c r="Q14" s="182"/>
      <c r="R14" s="182"/>
      <c r="S14" s="182"/>
    </row>
    <row r="15" spans="1:19" ht="17.25" customHeight="1" thickBot="1">
      <c r="A15" s="220" t="s">
        <v>39</v>
      </c>
      <c r="B15" s="221" t="str">
        <f>TEXT($G$1, "[$-ko-KR]yyyy-mm-dd(ddd) ") &amp; "오전 00:00"</f>
        <v>2021-06-01(화) 오전 00:00</v>
      </c>
      <c r="C15" s="222"/>
      <c r="D15" s="196" t="str">
        <f>TEXT($G$1, "[$-ko-KR]yyyy-mm-dd(ddd) ") &amp; "오후 14:00"</f>
        <v>2021-06-01(화) 오후 14:00</v>
      </c>
      <c r="E15" s="197"/>
      <c r="F15" s="198"/>
      <c r="G15" s="196" t="str">
        <f>TEXT($G$1, "[$-ko-KR]yyyy-mm-dd(ddd) ") &amp; "오후 19:00"</f>
        <v>2021-06-01(화) 오후 19:00</v>
      </c>
      <c r="H15" s="197"/>
      <c r="I15" s="198"/>
      <c r="J15" s="196" t="str">
        <f>TEXT($G$1, "[$-ko-KR]yyyy-mm-dd(ddd) ") &amp; "오후 21:00"</f>
        <v>2021-06-01(화) 오후 21:00</v>
      </c>
      <c r="K15" s="197"/>
      <c r="L15" s="198"/>
      <c r="M15" s="196" t="str">
        <f>TEXT($G$1+1, "[$-ko-KR]yyyy-mm-dd(ddd) ") &amp; "오전 00:00"</f>
        <v>2021-06-02(수) 오전 00:00</v>
      </c>
      <c r="N15" s="197"/>
      <c r="O15" s="198"/>
      <c r="Q15" s="182"/>
      <c r="R15" s="182"/>
      <c r="S15" s="182"/>
    </row>
    <row r="16" spans="1:19" ht="17.25" customHeight="1" thickBot="1">
      <c r="A16" s="220"/>
      <c r="B16" s="121" t="s">
        <v>37</v>
      </c>
      <c r="C16" s="122" t="s">
        <v>38</v>
      </c>
      <c r="D16" s="2" t="s">
        <v>37</v>
      </c>
      <c r="E16" s="10" t="s">
        <v>40</v>
      </c>
      <c r="F16" s="11" t="s">
        <v>41</v>
      </c>
      <c r="G16" s="158" t="s">
        <v>37</v>
      </c>
      <c r="H16" s="159" t="s">
        <v>40</v>
      </c>
      <c r="I16" s="160" t="s">
        <v>41</v>
      </c>
      <c r="J16" s="10" t="s">
        <v>37</v>
      </c>
      <c r="K16" s="10" t="s">
        <v>40</v>
      </c>
      <c r="L16" s="115" t="s">
        <v>41</v>
      </c>
      <c r="M16" s="2" t="s">
        <v>37</v>
      </c>
      <c r="N16" s="10" t="s">
        <v>40</v>
      </c>
      <c r="O16" s="66" t="s">
        <v>41</v>
      </c>
      <c r="Q16" s="172"/>
      <c r="R16" s="172"/>
      <c r="S16" s="172"/>
    </row>
    <row r="17" spans="1:19" ht="17.25" customHeight="1" thickBot="1">
      <c r="A17" s="243" t="s">
        <v>360</v>
      </c>
      <c r="B17" s="124">
        <f>IF(NOT(ISBLANK(_xlfn.IFNA(VLOOKUP($A17, $A$40:$O$199, 2, FALSE), ))), _xlfn.IFNA(VLOOKUP($A17, $A$40:$O$199, 2, FALSE), ), "")</f>
        <v>94.9</v>
      </c>
      <c r="C17" s="76">
        <f>IF(NOT(ISBLANK(_xlfn.IFNA(VLOOKUP($A17, $A$40:$O$199, 3, FALSE), ))), _xlfn.IFNA(VLOOKUP($A17, $A$40:$O$199, 3, FALSE), ), "")</f>
        <v>-2.9652351699999999E-2</v>
      </c>
      <c r="D17" s="13" t="str">
        <f>IF(NOT(ISBLANK(_xlfn.IFNA(VLOOKUP($A17, $A$40:$O$199, 4, FALSE), ))), _xlfn.IFNA(VLOOKUP($A17, $A$40:$O$199, 4, FALSE), ), "")</f>
        <v/>
      </c>
      <c r="E17" s="14" t="str">
        <f>IF(NOT(ISBLANK(_xlfn.IFNA(VLOOKUP($A17, $A$40:$O$199, 5, FALSE), ))), _xlfn.IFNA(VLOOKUP($A17, $A$40:$O$199, 5, FALSE), ), "")</f>
        <v/>
      </c>
      <c r="F17" s="16" t="str">
        <f>IF(NOT(ISBLANK(_xlfn.IFNA(VLOOKUP($A17, $A$40:$O$199, 6, FALSE), ))), _xlfn.IFNA(VLOOKUP($A17, $A$40:$O$199, 6, FALSE), ), "")</f>
        <v/>
      </c>
      <c r="G17" s="29" t="str">
        <f>IF(NOT(ISBLANK(_xlfn.IFNA(VLOOKUP($A17, $A$40:$O$199, 7, FALSE), ))), _xlfn.IFNA(VLOOKUP($A17, $A$40:$O$199, 7, FALSE), ), "")</f>
        <v/>
      </c>
      <c r="H17" s="14" t="str">
        <f>IF(NOT(ISBLANK(_xlfn.IFNA(VLOOKUP($A17, $A$40:$O$199, 8, FALSE), ))), _xlfn.IFNA(VLOOKUP($A17, $A$40:$O$199, 8, FALSE), ), "")</f>
        <v/>
      </c>
      <c r="I17" s="100" t="str">
        <f>IF(NOT(ISBLANK(_xlfn.IFNA(VLOOKUP($A17, $A$40:$O$199, 9, FALSE), ))), _xlfn.IFNA(VLOOKUP($A17, $A$40:$O$199, 9, FALSE), ), "")</f>
        <v/>
      </c>
      <c r="J17" s="13" t="str">
        <f>IF(NOT(ISBLANK(_xlfn.IFNA(VLOOKUP($A17, $A$40:$O$199, 10, FALSE), ))), _xlfn.IFNA(VLOOKUP($A17, $A$40:$O$199, 10, FALSE), ), "")</f>
        <v/>
      </c>
      <c r="K17" s="14" t="str">
        <f>IF(NOT(ISBLANK(_xlfn.IFNA(VLOOKUP($A17, $A$40:$O$199, 11, FALSE), ))), _xlfn.IFNA(VLOOKUP($A17, $A$40:$O$199, 11, FALSE), ), "")</f>
        <v/>
      </c>
      <c r="L17" s="16" t="str">
        <f>IF(NOT(ISBLANK(_xlfn.IFNA(VLOOKUP($A17, $A$40:$O$199, 12, FALSE), ))), _xlfn.IFNA(VLOOKUP($A17, $A$40:$O$199, 12, FALSE), ), "")</f>
        <v/>
      </c>
      <c r="M17" s="29" t="str">
        <f>IF(NOT(ISBLANK(_xlfn.IFNA(VLOOKUP($A17, $A$40:$O$199, 13, FALSE), ))), _xlfn.IFNA(VLOOKUP($A17, $A$40:$O$199, 13, FALSE), ), "")</f>
        <v/>
      </c>
      <c r="N17" s="14" t="str">
        <f>IF(NOT(ISBLANK(_xlfn.IFNA(VLOOKUP($A17, $A$40:$O$199, 14, FALSE), ))), _xlfn.IFNA(VLOOKUP($A17, $A$40:$O$199, 14, FALSE), ), "")</f>
        <v/>
      </c>
      <c r="O17" s="16" t="str">
        <f>IF(NOT(ISBLANK(_xlfn.IFNA(VLOOKUP($A17, $A$40:$O$199, 15, FALSE), ))), _xlfn.IFNA(VLOOKUP($A17, $A$40:$O$199, 15, FALSE), ), "")</f>
        <v/>
      </c>
      <c r="Q17" s="182"/>
      <c r="R17" s="182"/>
      <c r="S17" s="182"/>
    </row>
    <row r="18" spans="1:19" ht="17.25" customHeight="1" thickBot="1">
      <c r="A18" s="244" t="s">
        <v>361</v>
      </c>
      <c r="B18" s="126">
        <f t="shared" ref="B18:B36" si="0">IF(NOT(ISBLANK(_xlfn.IFNA(VLOOKUP($A18, $A$40:$O$199, 2, FALSE), ))), _xlfn.IFNA(VLOOKUP($A18, $A$40:$O$199, 2, FALSE), ), "")</f>
        <v>146</v>
      </c>
      <c r="C18" s="77">
        <f t="shared" ref="C18:C36" si="1">IF(NOT(ISBLANK(_xlfn.IFNA(VLOOKUP($A18, $A$40:$O$199, 3, FALSE), ))), _xlfn.IFNA(VLOOKUP($A18, $A$40:$O$199, 3, FALSE), ), "")</f>
        <v>7.35294118E-2</v>
      </c>
      <c r="D18" s="15" t="str">
        <f t="shared" ref="D18:D36" si="2">IF(NOT(ISBLANK(_xlfn.IFNA(VLOOKUP($A18, $A$40:$O$199, 4, FALSE), ))), _xlfn.IFNA(VLOOKUP($A18, $A$40:$O$199, 4, FALSE), ), "")</f>
        <v/>
      </c>
      <c r="E18" s="32" t="str">
        <f t="shared" ref="E18:E36" si="3">IF(NOT(ISBLANK(_xlfn.IFNA(VLOOKUP($A18, $A$40:$O$199, 5, FALSE), ))), _xlfn.IFNA(VLOOKUP($A18, $A$40:$O$199, 5, FALSE), ), "")</f>
        <v/>
      </c>
      <c r="F18" s="18" t="str">
        <f t="shared" ref="F18:F36" si="4">IF(NOT(ISBLANK(_xlfn.IFNA(VLOOKUP($A18, $A$40:$O$199, 6, FALSE), ))), _xlfn.IFNA(VLOOKUP($A18, $A$40:$O$199, 6, FALSE), ), "")</f>
        <v/>
      </c>
      <c r="G18" s="31" t="str">
        <f t="shared" ref="G18:G36" si="5">IF(NOT(ISBLANK(_xlfn.IFNA(VLOOKUP($A18, $A$40:$O$199, 7, FALSE), ))), _xlfn.IFNA(VLOOKUP($A18, $A$40:$O$199, 7, FALSE), ), "")</f>
        <v/>
      </c>
      <c r="H18" s="32" t="str">
        <f t="shared" ref="H18:H36" si="6">IF(NOT(ISBLANK(_xlfn.IFNA(VLOOKUP($A18, $A$40:$O$199, 8, FALSE), ))), _xlfn.IFNA(VLOOKUP($A18, $A$40:$O$199, 8, FALSE), ), "")</f>
        <v/>
      </c>
      <c r="I18" s="101" t="str">
        <f t="shared" ref="I18:I36" si="7">IF(NOT(ISBLANK(_xlfn.IFNA(VLOOKUP($A18, $A$40:$O$199, 9, FALSE), ))), _xlfn.IFNA(VLOOKUP($A18, $A$40:$O$199, 9, FALSE), ), "")</f>
        <v/>
      </c>
      <c r="J18" s="15" t="str">
        <f t="shared" ref="J18:J36" si="8">IF(NOT(ISBLANK(_xlfn.IFNA(VLOOKUP($A18, $A$40:$O$199, 10, FALSE), ))), _xlfn.IFNA(VLOOKUP($A18, $A$40:$O$199, 10, FALSE), ), "")</f>
        <v/>
      </c>
      <c r="K18" s="32" t="str">
        <f t="shared" ref="K18:K36" si="9">IF(NOT(ISBLANK(_xlfn.IFNA(VLOOKUP($A18, $A$40:$O$199, 11, FALSE), ))), _xlfn.IFNA(VLOOKUP($A18, $A$40:$O$199, 11, FALSE), ), "")</f>
        <v/>
      </c>
      <c r="L18" s="18" t="str">
        <f t="shared" ref="L18:L36" si="10">IF(NOT(ISBLANK(_xlfn.IFNA(VLOOKUP($A18, $A$40:$O$199, 12, FALSE), ))), _xlfn.IFNA(VLOOKUP($A18, $A$40:$O$199, 12, FALSE), ), "")</f>
        <v/>
      </c>
      <c r="M18" s="31" t="str">
        <f t="shared" ref="M18:M36" si="11">IF(NOT(ISBLANK(_xlfn.IFNA(VLOOKUP($A18, $A$40:$O$199, 13, FALSE), ))), _xlfn.IFNA(VLOOKUP($A18, $A$40:$O$199, 13, FALSE), ), "")</f>
        <v/>
      </c>
      <c r="N18" s="32" t="str">
        <f t="shared" ref="N18:N36" si="12">IF(NOT(ISBLANK(_xlfn.IFNA(VLOOKUP($A18, $A$40:$O$199, 14, FALSE), ))), _xlfn.IFNA(VLOOKUP($A18, $A$40:$O$199, 14, FALSE), ), "")</f>
        <v/>
      </c>
      <c r="O18" s="18" t="str">
        <f t="shared" ref="O18:O36" si="13">IF(NOT(ISBLANK(_xlfn.IFNA(VLOOKUP($A18, $A$40:$O$199, 15, FALSE), ))), _xlfn.IFNA(VLOOKUP($A18, $A$40:$O$199, 15, FALSE), ), "")</f>
        <v/>
      </c>
      <c r="Q18" s="182"/>
      <c r="R18" s="182"/>
      <c r="S18" s="182"/>
    </row>
    <row r="19" spans="1:19" ht="17.25" customHeight="1" thickBot="1">
      <c r="A19" s="244" t="s">
        <v>362</v>
      </c>
      <c r="B19" s="126">
        <f t="shared" si="0"/>
        <v>308</v>
      </c>
      <c r="C19" s="77">
        <f t="shared" si="1"/>
        <v>-5.8103975500000002E-2</v>
      </c>
      <c r="D19" s="15" t="str">
        <f t="shared" si="2"/>
        <v/>
      </c>
      <c r="E19" s="32" t="str">
        <f t="shared" si="3"/>
        <v/>
      </c>
      <c r="F19" s="18" t="str">
        <f t="shared" si="4"/>
        <v/>
      </c>
      <c r="G19" s="31" t="str">
        <f t="shared" si="5"/>
        <v/>
      </c>
      <c r="H19" s="32" t="str">
        <f t="shared" si="6"/>
        <v/>
      </c>
      <c r="I19" s="101" t="str">
        <f t="shared" si="7"/>
        <v/>
      </c>
      <c r="J19" s="15" t="str">
        <f t="shared" si="8"/>
        <v/>
      </c>
      <c r="K19" s="32" t="str">
        <f t="shared" si="9"/>
        <v/>
      </c>
      <c r="L19" s="18" t="str">
        <f t="shared" si="10"/>
        <v/>
      </c>
      <c r="M19" s="31" t="str">
        <f t="shared" si="11"/>
        <v/>
      </c>
      <c r="N19" s="32" t="str">
        <f t="shared" si="12"/>
        <v/>
      </c>
      <c r="O19" s="18" t="str">
        <f t="shared" si="13"/>
        <v/>
      </c>
      <c r="Q19" s="172"/>
      <c r="R19" s="172"/>
      <c r="S19" s="172"/>
    </row>
    <row r="20" spans="1:19" ht="17.25" customHeight="1" thickBot="1">
      <c r="A20" s="244" t="s">
        <v>363</v>
      </c>
      <c r="B20" s="126">
        <f t="shared" si="0"/>
        <v>161</v>
      </c>
      <c r="C20" s="77">
        <f t="shared" si="1"/>
        <v>-2.4242424200000001E-2</v>
      </c>
      <c r="D20" s="15" t="str">
        <f t="shared" si="2"/>
        <v/>
      </c>
      <c r="E20" s="32" t="str">
        <f t="shared" si="3"/>
        <v/>
      </c>
      <c r="F20" s="18" t="str">
        <f t="shared" si="4"/>
        <v/>
      </c>
      <c r="G20" s="31" t="str">
        <f t="shared" si="5"/>
        <v/>
      </c>
      <c r="H20" s="32" t="str">
        <f t="shared" si="6"/>
        <v/>
      </c>
      <c r="I20" s="101" t="str">
        <f t="shared" si="7"/>
        <v/>
      </c>
      <c r="J20" s="15" t="str">
        <f t="shared" si="8"/>
        <v/>
      </c>
      <c r="K20" s="32" t="str">
        <f t="shared" si="9"/>
        <v/>
      </c>
      <c r="L20" s="18" t="str">
        <f t="shared" si="10"/>
        <v/>
      </c>
      <c r="M20" s="31" t="str">
        <f t="shared" si="11"/>
        <v/>
      </c>
      <c r="N20" s="32" t="str">
        <f t="shared" si="12"/>
        <v/>
      </c>
      <c r="O20" s="18" t="str">
        <f t="shared" si="13"/>
        <v/>
      </c>
      <c r="Q20" s="172"/>
      <c r="R20" s="172"/>
      <c r="S20" s="172"/>
    </row>
    <row r="21" spans="1:19" ht="17.25" customHeight="1" thickBot="1">
      <c r="A21" s="245" t="s">
        <v>364</v>
      </c>
      <c r="B21" s="128">
        <f t="shared" si="0"/>
        <v>120</v>
      </c>
      <c r="C21" s="78">
        <f t="shared" si="1"/>
        <v>-0.04</v>
      </c>
      <c r="D21" s="20" t="str">
        <f t="shared" si="2"/>
        <v/>
      </c>
      <c r="E21" s="21" t="str">
        <f t="shared" si="3"/>
        <v/>
      </c>
      <c r="F21" s="22" t="str">
        <f t="shared" si="4"/>
        <v/>
      </c>
      <c r="G21" s="30" t="str">
        <f t="shared" si="5"/>
        <v/>
      </c>
      <c r="H21" s="21" t="str">
        <f t="shared" si="6"/>
        <v/>
      </c>
      <c r="I21" s="105" t="str">
        <f t="shared" si="7"/>
        <v/>
      </c>
      <c r="J21" s="20" t="str">
        <f t="shared" si="8"/>
        <v/>
      </c>
      <c r="K21" s="21" t="str">
        <f t="shared" si="9"/>
        <v/>
      </c>
      <c r="L21" s="22" t="str">
        <f t="shared" si="10"/>
        <v/>
      </c>
      <c r="M21" s="30" t="str">
        <f t="shared" si="11"/>
        <v/>
      </c>
      <c r="N21" s="21" t="str">
        <f t="shared" si="12"/>
        <v/>
      </c>
      <c r="O21" s="22" t="str">
        <f t="shared" si="13"/>
        <v/>
      </c>
      <c r="Q21" s="172"/>
      <c r="R21" s="172"/>
      <c r="S21" s="172"/>
    </row>
    <row r="22" spans="1:19" ht="17.25" customHeight="1" thickBot="1">
      <c r="A22" s="244" t="s">
        <v>365</v>
      </c>
      <c r="B22" s="129">
        <f t="shared" si="0"/>
        <v>77.900000000000006</v>
      </c>
      <c r="C22" s="80">
        <f t="shared" si="1"/>
        <v>-3.4696406399999997E-2</v>
      </c>
      <c r="D22" s="106" t="str">
        <f t="shared" si="2"/>
        <v/>
      </c>
      <c r="E22" s="107" t="str">
        <f t="shared" si="3"/>
        <v/>
      </c>
      <c r="F22" s="108" t="str">
        <f t="shared" si="4"/>
        <v/>
      </c>
      <c r="G22" s="109" t="str">
        <f t="shared" si="5"/>
        <v/>
      </c>
      <c r="H22" s="107" t="str">
        <f t="shared" si="6"/>
        <v/>
      </c>
      <c r="I22" s="110" t="str">
        <f t="shared" si="7"/>
        <v/>
      </c>
      <c r="J22" s="106" t="str">
        <f t="shared" si="8"/>
        <v/>
      </c>
      <c r="K22" s="107" t="str">
        <f t="shared" si="9"/>
        <v/>
      </c>
      <c r="L22" s="108" t="str">
        <f t="shared" si="10"/>
        <v/>
      </c>
      <c r="M22" s="109" t="str">
        <f t="shared" si="11"/>
        <v/>
      </c>
      <c r="N22" s="107" t="str">
        <f t="shared" si="12"/>
        <v/>
      </c>
      <c r="O22" s="108" t="str">
        <f t="shared" si="13"/>
        <v/>
      </c>
      <c r="Q22" s="172"/>
      <c r="R22" s="172"/>
      <c r="S22" s="172"/>
    </row>
    <row r="23" spans="1:19" ht="17.25" customHeight="1" thickBot="1">
      <c r="A23" s="125"/>
      <c r="B23" s="126" t="str">
        <f t="shared" si="0"/>
        <v/>
      </c>
      <c r="C23" s="77" t="str">
        <f t="shared" si="1"/>
        <v/>
      </c>
      <c r="D23" s="15" t="str">
        <f t="shared" si="2"/>
        <v/>
      </c>
      <c r="E23" s="32" t="str">
        <f t="shared" si="3"/>
        <v/>
      </c>
      <c r="F23" s="18" t="str">
        <f t="shared" si="4"/>
        <v/>
      </c>
      <c r="G23" s="31" t="str">
        <f t="shared" si="5"/>
        <v/>
      </c>
      <c r="H23" s="32" t="str">
        <f t="shared" si="6"/>
        <v/>
      </c>
      <c r="I23" s="101" t="str">
        <f t="shared" si="7"/>
        <v/>
      </c>
      <c r="J23" s="15" t="str">
        <f t="shared" si="8"/>
        <v/>
      </c>
      <c r="K23" s="32" t="str">
        <f t="shared" si="9"/>
        <v/>
      </c>
      <c r="L23" s="18" t="str">
        <f t="shared" si="10"/>
        <v/>
      </c>
      <c r="M23" s="31" t="str">
        <f t="shared" si="11"/>
        <v/>
      </c>
      <c r="N23" s="32" t="str">
        <f t="shared" si="12"/>
        <v/>
      </c>
      <c r="O23" s="18" t="str">
        <f t="shared" si="13"/>
        <v/>
      </c>
      <c r="Q23" s="172"/>
      <c r="R23" s="172"/>
      <c r="S23" s="172"/>
    </row>
    <row r="24" spans="1:19" ht="17.25" customHeight="1" thickBot="1">
      <c r="A24" s="125"/>
      <c r="B24" s="126" t="str">
        <f t="shared" si="0"/>
        <v/>
      </c>
      <c r="C24" s="77" t="str">
        <f t="shared" si="1"/>
        <v/>
      </c>
      <c r="D24" s="15" t="str">
        <f t="shared" si="2"/>
        <v/>
      </c>
      <c r="E24" s="32" t="str">
        <f t="shared" si="3"/>
        <v/>
      </c>
      <c r="F24" s="18" t="str">
        <f t="shared" si="4"/>
        <v/>
      </c>
      <c r="G24" s="31" t="str">
        <f t="shared" si="5"/>
        <v/>
      </c>
      <c r="H24" s="32" t="str">
        <f t="shared" si="6"/>
        <v/>
      </c>
      <c r="I24" s="101" t="str">
        <f t="shared" si="7"/>
        <v/>
      </c>
      <c r="J24" s="15" t="str">
        <f t="shared" si="8"/>
        <v/>
      </c>
      <c r="K24" s="32" t="str">
        <f t="shared" si="9"/>
        <v/>
      </c>
      <c r="L24" s="18" t="str">
        <f t="shared" si="10"/>
        <v/>
      </c>
      <c r="M24" s="31" t="str">
        <f t="shared" si="11"/>
        <v/>
      </c>
      <c r="N24" s="32" t="str">
        <f t="shared" si="12"/>
        <v/>
      </c>
      <c r="O24" s="18" t="str">
        <f t="shared" si="13"/>
        <v/>
      </c>
      <c r="Q24" s="172"/>
      <c r="R24" s="172"/>
      <c r="S24" s="172"/>
    </row>
    <row r="25" spans="1:19" ht="17.25" customHeight="1" thickBot="1">
      <c r="A25" s="125"/>
      <c r="B25" s="126" t="str">
        <f t="shared" si="0"/>
        <v/>
      </c>
      <c r="C25" s="77" t="str">
        <f t="shared" si="1"/>
        <v/>
      </c>
      <c r="D25" s="15" t="str">
        <f t="shared" si="2"/>
        <v/>
      </c>
      <c r="E25" s="32" t="str">
        <f t="shared" si="3"/>
        <v/>
      </c>
      <c r="F25" s="18" t="str">
        <f t="shared" si="4"/>
        <v/>
      </c>
      <c r="G25" s="31" t="str">
        <f t="shared" si="5"/>
        <v/>
      </c>
      <c r="H25" s="32" t="str">
        <f t="shared" si="6"/>
        <v/>
      </c>
      <c r="I25" s="101" t="str">
        <f t="shared" si="7"/>
        <v/>
      </c>
      <c r="J25" s="15" t="str">
        <f t="shared" si="8"/>
        <v/>
      </c>
      <c r="K25" s="32" t="str">
        <f t="shared" si="9"/>
        <v/>
      </c>
      <c r="L25" s="18" t="str">
        <f t="shared" si="10"/>
        <v/>
      </c>
      <c r="M25" s="31" t="str">
        <f t="shared" si="11"/>
        <v/>
      </c>
      <c r="N25" s="32" t="str">
        <f t="shared" si="12"/>
        <v/>
      </c>
      <c r="O25" s="18" t="str">
        <f t="shared" si="13"/>
        <v/>
      </c>
      <c r="Q25" s="33"/>
      <c r="R25" s="33"/>
    </row>
    <row r="26" spans="1:19" ht="17.25" customHeight="1" thickBot="1">
      <c r="A26" s="130"/>
      <c r="B26" s="131" t="str">
        <f t="shared" si="0"/>
        <v/>
      </c>
      <c r="C26" s="79" t="str">
        <f t="shared" si="1"/>
        <v/>
      </c>
      <c r="D26" s="24" t="str">
        <f t="shared" si="2"/>
        <v/>
      </c>
      <c r="E26" s="25" t="str">
        <f t="shared" si="3"/>
        <v/>
      </c>
      <c r="F26" s="104" t="str">
        <f t="shared" si="4"/>
        <v/>
      </c>
      <c r="G26" s="102" t="str">
        <f t="shared" si="5"/>
        <v/>
      </c>
      <c r="H26" s="25" t="str">
        <f t="shared" si="6"/>
        <v/>
      </c>
      <c r="I26" s="103" t="str">
        <f t="shared" si="7"/>
        <v/>
      </c>
      <c r="J26" s="24" t="str">
        <f t="shared" si="8"/>
        <v/>
      </c>
      <c r="K26" s="25" t="str">
        <f t="shared" si="9"/>
        <v/>
      </c>
      <c r="L26" s="104" t="str">
        <f t="shared" si="10"/>
        <v/>
      </c>
      <c r="M26" s="102" t="str">
        <f t="shared" si="11"/>
        <v/>
      </c>
      <c r="N26" s="25" t="str">
        <f t="shared" si="12"/>
        <v/>
      </c>
      <c r="O26" s="104" t="str">
        <f t="shared" si="13"/>
        <v/>
      </c>
      <c r="Q26" s="173"/>
      <c r="R26" s="174"/>
      <c r="S26" s="175"/>
    </row>
    <row r="27" spans="1:19" ht="17.25" customHeight="1">
      <c r="A27" s="123"/>
      <c r="B27" s="124" t="str">
        <f t="shared" si="0"/>
        <v/>
      </c>
      <c r="C27" s="76" t="str">
        <f t="shared" si="1"/>
        <v/>
      </c>
      <c r="D27" s="13" t="str">
        <f t="shared" si="2"/>
        <v/>
      </c>
      <c r="E27" s="14" t="str">
        <f t="shared" si="3"/>
        <v/>
      </c>
      <c r="F27" s="16" t="str">
        <f t="shared" si="4"/>
        <v/>
      </c>
      <c r="G27" s="29" t="str">
        <f t="shared" si="5"/>
        <v/>
      </c>
      <c r="H27" s="14" t="str">
        <f t="shared" si="6"/>
        <v/>
      </c>
      <c r="I27" s="100" t="str">
        <f t="shared" si="7"/>
        <v/>
      </c>
      <c r="J27" s="13" t="str">
        <f t="shared" si="8"/>
        <v/>
      </c>
      <c r="K27" s="14" t="str">
        <f t="shared" si="9"/>
        <v/>
      </c>
      <c r="L27" s="16" t="str">
        <f t="shared" si="10"/>
        <v/>
      </c>
      <c r="M27" s="29" t="str">
        <f t="shared" si="11"/>
        <v/>
      </c>
      <c r="N27" s="14" t="str">
        <f t="shared" si="12"/>
        <v/>
      </c>
      <c r="O27" s="16" t="str">
        <f t="shared" si="13"/>
        <v/>
      </c>
      <c r="Q27" s="176"/>
      <c r="R27" s="177"/>
      <c r="S27" s="178"/>
    </row>
    <row r="28" spans="1:19" ht="17.25" customHeight="1" thickBot="1">
      <c r="A28" s="125"/>
      <c r="B28" s="126" t="str">
        <f t="shared" si="0"/>
        <v/>
      </c>
      <c r="C28" s="77" t="str">
        <f t="shared" si="1"/>
        <v/>
      </c>
      <c r="D28" s="15" t="str">
        <f t="shared" si="2"/>
        <v/>
      </c>
      <c r="E28" s="32" t="str">
        <f t="shared" si="3"/>
        <v/>
      </c>
      <c r="F28" s="18" t="str">
        <f t="shared" si="4"/>
        <v/>
      </c>
      <c r="G28" s="31" t="str">
        <f t="shared" si="5"/>
        <v/>
      </c>
      <c r="H28" s="32" t="str">
        <f t="shared" si="6"/>
        <v/>
      </c>
      <c r="I28" s="101" t="str">
        <f t="shared" si="7"/>
        <v/>
      </c>
      <c r="J28" s="15" t="str">
        <f t="shared" si="8"/>
        <v/>
      </c>
      <c r="K28" s="32" t="str">
        <f t="shared" si="9"/>
        <v/>
      </c>
      <c r="L28" s="18" t="str">
        <f t="shared" si="10"/>
        <v/>
      </c>
      <c r="M28" s="31" t="str">
        <f t="shared" si="11"/>
        <v/>
      </c>
      <c r="N28" s="32" t="str">
        <f t="shared" si="12"/>
        <v/>
      </c>
      <c r="O28" s="18" t="str">
        <f t="shared" si="13"/>
        <v/>
      </c>
      <c r="Q28" s="179"/>
      <c r="R28" s="180"/>
      <c r="S28" s="181"/>
    </row>
    <row r="29" spans="1:19" ht="17.25" customHeight="1" thickBot="1">
      <c r="A29" s="125"/>
      <c r="B29" s="126" t="str">
        <f t="shared" si="0"/>
        <v/>
      </c>
      <c r="C29" s="77" t="str">
        <f t="shared" si="1"/>
        <v/>
      </c>
      <c r="D29" s="15" t="str">
        <f t="shared" si="2"/>
        <v/>
      </c>
      <c r="E29" s="32" t="str">
        <f t="shared" si="3"/>
        <v/>
      </c>
      <c r="F29" s="18" t="str">
        <f t="shared" si="4"/>
        <v/>
      </c>
      <c r="G29" s="31" t="str">
        <f t="shared" si="5"/>
        <v/>
      </c>
      <c r="H29" s="32" t="str">
        <f t="shared" si="6"/>
        <v/>
      </c>
      <c r="I29" s="101" t="str">
        <f t="shared" si="7"/>
        <v/>
      </c>
      <c r="J29" s="15" t="str">
        <f t="shared" si="8"/>
        <v/>
      </c>
      <c r="K29" s="32" t="str">
        <f t="shared" si="9"/>
        <v/>
      </c>
      <c r="L29" s="18" t="str">
        <f t="shared" si="10"/>
        <v/>
      </c>
      <c r="M29" s="31" t="str">
        <f t="shared" si="11"/>
        <v/>
      </c>
      <c r="N29" s="32" t="str">
        <f t="shared" si="12"/>
        <v/>
      </c>
      <c r="O29" s="18" t="str">
        <f t="shared" si="13"/>
        <v/>
      </c>
      <c r="Q29" s="172"/>
      <c r="R29" s="172"/>
      <c r="S29" s="172"/>
    </row>
    <row r="30" spans="1:19" ht="17.25" customHeight="1" thickBot="1">
      <c r="A30" s="125"/>
      <c r="B30" s="126" t="str">
        <f t="shared" si="0"/>
        <v/>
      </c>
      <c r="C30" s="77" t="str">
        <f t="shared" si="1"/>
        <v/>
      </c>
      <c r="D30" s="15" t="str">
        <f t="shared" si="2"/>
        <v/>
      </c>
      <c r="E30" s="32" t="str">
        <f t="shared" si="3"/>
        <v/>
      </c>
      <c r="F30" s="18" t="str">
        <f t="shared" si="4"/>
        <v/>
      </c>
      <c r="G30" s="31" t="str">
        <f t="shared" si="5"/>
        <v/>
      </c>
      <c r="H30" s="32" t="str">
        <f t="shared" si="6"/>
        <v/>
      </c>
      <c r="I30" s="101" t="str">
        <f t="shared" si="7"/>
        <v/>
      </c>
      <c r="J30" s="15" t="str">
        <f t="shared" si="8"/>
        <v/>
      </c>
      <c r="K30" s="32" t="str">
        <f t="shared" si="9"/>
        <v/>
      </c>
      <c r="L30" s="18" t="str">
        <f t="shared" si="10"/>
        <v/>
      </c>
      <c r="M30" s="31" t="str">
        <f t="shared" si="11"/>
        <v/>
      </c>
      <c r="N30" s="32" t="str">
        <f t="shared" si="12"/>
        <v/>
      </c>
      <c r="O30" s="18" t="str">
        <f t="shared" si="13"/>
        <v/>
      </c>
      <c r="Q30" s="182"/>
      <c r="R30" s="182"/>
      <c r="S30" s="182"/>
    </row>
    <row r="31" spans="1:19" ht="17.25" customHeight="1" thickBot="1">
      <c r="A31" s="127"/>
      <c r="B31" s="128" t="str">
        <f t="shared" si="0"/>
        <v/>
      </c>
      <c r="C31" s="78" t="str">
        <f t="shared" si="1"/>
        <v/>
      </c>
      <c r="D31" s="20" t="str">
        <f t="shared" si="2"/>
        <v/>
      </c>
      <c r="E31" s="21" t="str">
        <f t="shared" si="3"/>
        <v/>
      </c>
      <c r="F31" s="22" t="str">
        <f t="shared" si="4"/>
        <v/>
      </c>
      <c r="G31" s="30" t="str">
        <f t="shared" si="5"/>
        <v/>
      </c>
      <c r="H31" s="21" t="str">
        <f t="shared" si="6"/>
        <v/>
      </c>
      <c r="I31" s="105" t="str">
        <f t="shared" si="7"/>
        <v/>
      </c>
      <c r="J31" s="20" t="str">
        <f t="shared" si="8"/>
        <v/>
      </c>
      <c r="K31" s="21" t="str">
        <f t="shared" si="9"/>
        <v/>
      </c>
      <c r="L31" s="22" t="str">
        <f t="shared" si="10"/>
        <v/>
      </c>
      <c r="M31" s="30" t="str">
        <f t="shared" si="11"/>
        <v/>
      </c>
      <c r="N31" s="21" t="str">
        <f t="shared" si="12"/>
        <v/>
      </c>
      <c r="O31" s="22" t="str">
        <f t="shared" si="13"/>
        <v/>
      </c>
      <c r="Q31" s="182"/>
      <c r="R31" s="182"/>
      <c r="S31" s="182"/>
    </row>
    <row r="32" spans="1:19" ht="17.25" customHeight="1" thickBot="1">
      <c r="A32" s="125"/>
      <c r="B32" s="129" t="str">
        <f t="shared" si="0"/>
        <v/>
      </c>
      <c r="C32" s="80" t="str">
        <f t="shared" si="1"/>
        <v/>
      </c>
      <c r="D32" s="106" t="str">
        <f t="shared" si="2"/>
        <v/>
      </c>
      <c r="E32" s="107" t="str">
        <f t="shared" si="3"/>
        <v/>
      </c>
      <c r="F32" s="108" t="str">
        <f t="shared" si="4"/>
        <v/>
      </c>
      <c r="G32" s="109" t="str">
        <f t="shared" si="5"/>
        <v/>
      </c>
      <c r="H32" s="107" t="str">
        <f t="shared" si="6"/>
        <v/>
      </c>
      <c r="I32" s="110" t="str">
        <f t="shared" si="7"/>
        <v/>
      </c>
      <c r="J32" s="106" t="str">
        <f t="shared" si="8"/>
        <v/>
      </c>
      <c r="K32" s="107" t="str">
        <f t="shared" si="9"/>
        <v/>
      </c>
      <c r="L32" s="108" t="str">
        <f t="shared" si="10"/>
        <v/>
      </c>
      <c r="M32" s="109" t="str">
        <f t="shared" si="11"/>
        <v/>
      </c>
      <c r="N32" s="107" t="str">
        <f t="shared" si="12"/>
        <v/>
      </c>
      <c r="O32" s="108" t="str">
        <f t="shared" si="13"/>
        <v/>
      </c>
      <c r="Q32" s="172"/>
      <c r="R32" s="172"/>
      <c r="S32" s="172"/>
    </row>
    <row r="33" spans="1:19" ht="17.25" customHeight="1" thickBot="1">
      <c r="A33" s="125"/>
      <c r="B33" s="126" t="str">
        <f t="shared" si="0"/>
        <v/>
      </c>
      <c r="C33" s="77" t="str">
        <f t="shared" si="1"/>
        <v/>
      </c>
      <c r="D33" s="15" t="str">
        <f t="shared" si="2"/>
        <v/>
      </c>
      <c r="E33" s="32" t="str">
        <f t="shared" si="3"/>
        <v/>
      </c>
      <c r="F33" s="18" t="str">
        <f t="shared" si="4"/>
        <v/>
      </c>
      <c r="G33" s="31" t="str">
        <f t="shared" si="5"/>
        <v/>
      </c>
      <c r="H33" s="32" t="str">
        <f t="shared" si="6"/>
        <v/>
      </c>
      <c r="I33" s="101" t="str">
        <f t="shared" si="7"/>
        <v/>
      </c>
      <c r="J33" s="15" t="str">
        <f t="shared" si="8"/>
        <v/>
      </c>
      <c r="K33" s="32" t="str">
        <f t="shared" si="9"/>
        <v/>
      </c>
      <c r="L33" s="18" t="str">
        <f t="shared" si="10"/>
        <v/>
      </c>
      <c r="M33" s="31" t="str">
        <f t="shared" si="11"/>
        <v/>
      </c>
      <c r="N33" s="32" t="str">
        <f t="shared" si="12"/>
        <v/>
      </c>
      <c r="O33" s="18" t="str">
        <f t="shared" si="13"/>
        <v/>
      </c>
      <c r="Q33" s="172"/>
      <c r="R33" s="172"/>
      <c r="S33" s="172"/>
    </row>
    <row r="34" spans="1:19" ht="17.25" customHeight="1" thickBot="1">
      <c r="A34" s="125"/>
      <c r="B34" s="126" t="str">
        <f t="shared" si="0"/>
        <v/>
      </c>
      <c r="C34" s="77" t="str">
        <f t="shared" si="1"/>
        <v/>
      </c>
      <c r="D34" s="15" t="str">
        <f t="shared" si="2"/>
        <v/>
      </c>
      <c r="E34" s="32" t="str">
        <f t="shared" si="3"/>
        <v/>
      </c>
      <c r="F34" s="18" t="str">
        <f t="shared" si="4"/>
        <v/>
      </c>
      <c r="G34" s="31" t="str">
        <f t="shared" si="5"/>
        <v/>
      </c>
      <c r="H34" s="32" t="str">
        <f t="shared" si="6"/>
        <v/>
      </c>
      <c r="I34" s="101" t="str">
        <f t="shared" si="7"/>
        <v/>
      </c>
      <c r="J34" s="15" t="str">
        <f t="shared" si="8"/>
        <v/>
      </c>
      <c r="K34" s="32" t="str">
        <f t="shared" si="9"/>
        <v/>
      </c>
      <c r="L34" s="18" t="str">
        <f t="shared" si="10"/>
        <v/>
      </c>
      <c r="M34" s="31" t="str">
        <f t="shared" si="11"/>
        <v/>
      </c>
      <c r="N34" s="32" t="str">
        <f t="shared" si="12"/>
        <v/>
      </c>
      <c r="O34" s="18" t="str">
        <f t="shared" si="13"/>
        <v/>
      </c>
      <c r="Q34" s="172"/>
      <c r="R34" s="172"/>
      <c r="S34" s="172"/>
    </row>
    <row r="35" spans="1:19" ht="17.25" customHeight="1">
      <c r="A35" s="125"/>
      <c r="B35" s="126" t="str">
        <f t="shared" si="0"/>
        <v/>
      </c>
      <c r="C35" s="77" t="str">
        <f t="shared" si="1"/>
        <v/>
      </c>
      <c r="D35" s="15" t="str">
        <f t="shared" si="2"/>
        <v/>
      </c>
      <c r="E35" s="32" t="str">
        <f t="shared" si="3"/>
        <v/>
      </c>
      <c r="F35" s="18" t="str">
        <f t="shared" si="4"/>
        <v/>
      </c>
      <c r="G35" s="31" t="str">
        <f t="shared" si="5"/>
        <v/>
      </c>
      <c r="H35" s="32" t="str">
        <f t="shared" si="6"/>
        <v/>
      </c>
      <c r="I35" s="101" t="str">
        <f t="shared" si="7"/>
        <v/>
      </c>
      <c r="J35" s="15" t="str">
        <f t="shared" si="8"/>
        <v/>
      </c>
      <c r="K35" s="32" t="str">
        <f t="shared" si="9"/>
        <v/>
      </c>
      <c r="L35" s="18" t="str">
        <f t="shared" si="10"/>
        <v/>
      </c>
      <c r="M35" s="31" t="str">
        <f t="shared" si="11"/>
        <v/>
      </c>
      <c r="N35" s="32" t="str">
        <f t="shared" si="12"/>
        <v/>
      </c>
      <c r="O35" s="18" t="str">
        <f t="shared" si="13"/>
        <v/>
      </c>
      <c r="Q35" s="161"/>
      <c r="R35" s="162"/>
      <c r="S35" s="163"/>
    </row>
    <row r="36" spans="1:19" ht="17.25" customHeight="1" thickBot="1">
      <c r="A36" s="130"/>
      <c r="B36" s="131" t="str">
        <f t="shared" si="0"/>
        <v/>
      </c>
      <c r="C36" s="79" t="str">
        <f t="shared" si="1"/>
        <v/>
      </c>
      <c r="D36" s="24" t="str">
        <f t="shared" si="2"/>
        <v/>
      </c>
      <c r="E36" s="25" t="str">
        <f t="shared" si="3"/>
        <v/>
      </c>
      <c r="F36" s="104" t="str">
        <f t="shared" si="4"/>
        <v/>
      </c>
      <c r="G36" s="102" t="str">
        <f t="shared" si="5"/>
        <v/>
      </c>
      <c r="H36" s="25" t="str">
        <f t="shared" si="6"/>
        <v/>
      </c>
      <c r="I36" s="103" t="str">
        <f t="shared" si="7"/>
        <v/>
      </c>
      <c r="J36" s="24" t="str">
        <f t="shared" si="8"/>
        <v/>
      </c>
      <c r="K36" s="25" t="str">
        <f t="shared" si="9"/>
        <v/>
      </c>
      <c r="L36" s="104" t="str">
        <f t="shared" si="10"/>
        <v/>
      </c>
      <c r="M36" s="102" t="str">
        <f t="shared" si="11"/>
        <v/>
      </c>
      <c r="N36" s="25" t="str">
        <f t="shared" si="12"/>
        <v/>
      </c>
      <c r="O36" s="104" t="str">
        <f t="shared" si="13"/>
        <v/>
      </c>
      <c r="Q36" s="164"/>
      <c r="R36" s="165"/>
      <c r="S36" s="166"/>
    </row>
    <row r="37" spans="1:19" ht="17.25" customHeight="1" thickBot="1">
      <c r="A37" s="132" t="s">
        <v>42</v>
      </c>
      <c r="B37" s="225">
        <v>150000</v>
      </c>
      <c r="C37" s="226"/>
      <c r="D37" s="26" t="s">
        <v>43</v>
      </c>
      <c r="E37" s="27">
        <f>IF(COUNT(E17:E36), SUM(E17:E36) / COUNT(E17:E36), 0)</f>
        <v>0</v>
      </c>
      <c r="F37" s="28">
        <f>SUM(F17:F36)</f>
        <v>0</v>
      </c>
      <c r="G37" s="26" t="s">
        <v>43</v>
      </c>
      <c r="H37" s="27">
        <f>IF(COUNT(H17:H36), SUM(H17:H36) / COUNT(H17:H36), 0)</f>
        <v>0</v>
      </c>
      <c r="I37" s="28">
        <f>SUM(I17:I36)</f>
        <v>0</v>
      </c>
      <c r="J37" s="26" t="s">
        <v>43</v>
      </c>
      <c r="K37" s="27">
        <f>IF(COUNT(K17:K36), SUM(K17:K36) / COUNT(K17:K36), 0)</f>
        <v>0</v>
      </c>
      <c r="L37" s="28">
        <f>SUM(L17:L36)</f>
        <v>0</v>
      </c>
      <c r="M37" s="26" t="s">
        <v>43</v>
      </c>
      <c r="N37" s="27">
        <f>IF(COUNT(N17:N36), SUM(N17:N36) / COUNT(N17:N36), 0)</f>
        <v>0</v>
      </c>
      <c r="O37" s="28">
        <f>SUM(O17:O36)</f>
        <v>0</v>
      </c>
      <c r="Q37" s="167"/>
      <c r="R37" s="168"/>
      <c r="S37" s="169"/>
    </row>
    <row r="38" spans="1:19" ht="17.25" customHeight="1"/>
    <row r="39" spans="1:19" ht="17.25" customHeight="1" thickBot="1"/>
    <row r="40" spans="1:19" ht="17.25" customHeight="1" thickBot="1">
      <c r="A40" s="183" t="s">
        <v>44</v>
      </c>
      <c r="B40" s="184"/>
      <c r="C40" s="184"/>
      <c r="D40" s="184"/>
      <c r="E40" s="184"/>
      <c r="F40" s="184"/>
      <c r="G40" s="184"/>
      <c r="H40" s="184"/>
      <c r="I40" s="184"/>
      <c r="J40" s="184"/>
      <c r="K40" s="184"/>
      <c r="L40" s="184"/>
      <c r="M40" s="184"/>
      <c r="N40" s="184"/>
      <c r="O40" s="185"/>
      <c r="Q40" s="182"/>
      <c r="R40" s="182"/>
      <c r="S40" s="182"/>
    </row>
    <row r="41" spans="1:19" ht="17.25" customHeight="1" thickBot="1">
      <c r="A41" s="157" t="s">
        <v>297</v>
      </c>
      <c r="B41" s="183" t="s">
        <v>49</v>
      </c>
      <c r="C41" s="185"/>
      <c r="D41" s="183" t="s">
        <v>58</v>
      </c>
      <c r="E41" s="184"/>
      <c r="F41" s="185"/>
      <c r="G41" s="186">
        <f>_xlfn.IFNA(VLOOKUP(B41, 현재가테이블!$B$2:$D$200, 2, FALSE), "-")</f>
        <v>43214000</v>
      </c>
      <c r="H41" s="187"/>
      <c r="I41" s="188"/>
      <c r="J41" s="183" t="s">
        <v>59</v>
      </c>
      <c r="K41" s="184"/>
      <c r="L41" s="185"/>
      <c r="M41" s="189">
        <f>_xlfn.IFNA(VLOOKUP(B41, 현재가테이블!$B$2:$D$200, 3, FALSE), "-")</f>
        <v>8.5693770000000002E-4</v>
      </c>
      <c r="N41" s="190"/>
      <c r="O41" s="191"/>
      <c r="Q41" s="182"/>
      <c r="R41" s="182"/>
      <c r="S41" s="182"/>
    </row>
    <row r="42" spans="1:19" ht="17.25" customHeight="1" thickBot="1">
      <c r="A42" s="227" t="s">
        <v>55</v>
      </c>
      <c r="B42" s="223" t="str">
        <f>TEXT($G$1, "[$-ko-KR]yyyy-mm-dd(ddd) ") &amp; "오전 00:00"</f>
        <v>2021-06-01(화) 오전 00:00</v>
      </c>
      <c r="C42" s="224"/>
      <c r="D42" s="196" t="str">
        <f>TEXT($G$1, "[$-ko-KR]yyyy-mm-dd(ddd) ") &amp; "오후 14:00"</f>
        <v>2021-06-01(화) 오후 14:00</v>
      </c>
      <c r="E42" s="197"/>
      <c r="F42" s="198"/>
      <c r="G42" s="196" t="str">
        <f>TEXT($G$1, "[$-ko-KR]yyyy-mm-dd(ddd) ") &amp; "오후 19:00"</f>
        <v>2021-06-01(화) 오후 19:00</v>
      </c>
      <c r="H42" s="197"/>
      <c r="I42" s="198"/>
      <c r="J42" s="196" t="str">
        <f>TEXT($G$1, "[$-ko-KR]yyyy-mm-dd(ddd) ") &amp; "오후 21:00"</f>
        <v>2021-06-01(화) 오후 21:00</v>
      </c>
      <c r="K42" s="197"/>
      <c r="L42" s="198"/>
      <c r="M42" s="196" t="str">
        <f>TEXT($G$1+1, "[$-ko-KR]yyyy-mm-dd(ddd) ") &amp; "오전 00:00"</f>
        <v>2021-06-02(수) 오전 00:00</v>
      </c>
      <c r="N42" s="197"/>
      <c r="O42" s="198"/>
      <c r="Q42" s="182"/>
      <c r="R42" s="182"/>
      <c r="S42" s="182"/>
    </row>
    <row r="43" spans="1:19" ht="17.25" customHeight="1" thickBot="1">
      <c r="A43" s="228"/>
      <c r="B43" s="121" t="s">
        <v>58</v>
      </c>
      <c r="C43" s="122" t="s">
        <v>59</v>
      </c>
      <c r="D43" s="2" t="s">
        <v>58</v>
      </c>
      <c r="E43" s="10" t="s">
        <v>298</v>
      </c>
      <c r="F43" s="11" t="s">
        <v>299</v>
      </c>
      <c r="G43" s="158" t="s">
        <v>58</v>
      </c>
      <c r="H43" s="159" t="s">
        <v>298</v>
      </c>
      <c r="I43" s="160" t="s">
        <v>299</v>
      </c>
      <c r="J43" s="10" t="s">
        <v>58</v>
      </c>
      <c r="K43" s="10" t="s">
        <v>298</v>
      </c>
      <c r="L43" s="115" t="s">
        <v>299</v>
      </c>
      <c r="M43" s="2" t="s">
        <v>58</v>
      </c>
      <c r="N43" s="10" t="s">
        <v>298</v>
      </c>
      <c r="O43" s="66" t="s">
        <v>299</v>
      </c>
      <c r="Q43" s="172"/>
      <c r="R43" s="172"/>
      <c r="S43" s="172"/>
    </row>
    <row r="44" spans="1:19" ht="17.25" customHeight="1" thickBot="1">
      <c r="A44" s="123" t="s">
        <v>126</v>
      </c>
      <c r="B44" s="124">
        <v>29.9</v>
      </c>
      <c r="C44" s="76">
        <v>2.74914089E-2</v>
      </c>
      <c r="D44" s="13"/>
      <c r="E44" s="14" t="str">
        <f>IF(ISNUMBER(D44), (D44 - $B44) / $B44, "")</f>
        <v/>
      </c>
      <c r="F44" s="16" t="str">
        <f>IF(ISNUMBER(D44), $B64 * E44, "")</f>
        <v/>
      </c>
      <c r="G44" s="29"/>
      <c r="H44" s="14" t="str">
        <f>IF(ISNUMBER(G44), (G44 - $B44) / $B44, "")</f>
        <v/>
      </c>
      <c r="I44" s="100" t="str">
        <f>IF(ISNUMBER(G44), $B64 * H44, "")</f>
        <v/>
      </c>
      <c r="J44" s="13"/>
      <c r="K44" s="14" t="str">
        <f>IF(ISNUMBER(J44), (J44 - $B44) / $B44, "")</f>
        <v/>
      </c>
      <c r="L44" s="16" t="str">
        <f>IF(ISNUMBER(J44), $B64 * K44, "")</f>
        <v/>
      </c>
      <c r="M44" s="29"/>
      <c r="N44" s="14" t="str">
        <f>IF(ISNUMBER(M44), (M44 - $B44) / $B44, "")</f>
        <v/>
      </c>
      <c r="O44" s="16" t="str">
        <f>IF(ISNUMBER(M44), $B64 * N44, "")</f>
        <v/>
      </c>
      <c r="Q44" s="182"/>
      <c r="R44" s="182"/>
      <c r="S44" s="182"/>
    </row>
    <row r="45" spans="1:19" ht="17.25" customHeight="1" thickBot="1">
      <c r="A45" s="125" t="s">
        <v>278</v>
      </c>
      <c r="B45" s="126">
        <v>78.5</v>
      </c>
      <c r="C45" s="77">
        <v>1.9480519500000001E-2</v>
      </c>
      <c r="D45" s="15"/>
      <c r="E45" s="32" t="str">
        <f t="shared" ref="E45:E48" si="14">IF(ISNUMBER(D45), (D45 - $B45) / $B45, "")</f>
        <v/>
      </c>
      <c r="F45" s="18" t="str">
        <f>IF(ISNUMBER(D45), $B64 * E45, "")</f>
        <v/>
      </c>
      <c r="G45" s="31"/>
      <c r="H45" s="32" t="str">
        <f t="shared" ref="H45:H48" si="15">IF(ISNUMBER(G45), (G45 - $B45) / $B45, "")</f>
        <v/>
      </c>
      <c r="I45" s="101" t="str">
        <f>IF(ISNUMBER(G45), $B64 * H45, "")</f>
        <v/>
      </c>
      <c r="J45" s="15"/>
      <c r="K45" s="32" t="str">
        <f t="shared" ref="K45:K48" si="16">IF(ISNUMBER(J45), (J45 - $B45) / $B45, "")</f>
        <v/>
      </c>
      <c r="L45" s="18" t="str">
        <f>IF(ISNUMBER(J45), $B64 * K45, "")</f>
        <v/>
      </c>
      <c r="M45" s="31"/>
      <c r="N45" s="32" t="str">
        <f t="shared" ref="N45:N48" si="17">IF(ISNUMBER(M45), (M45 - $B45) / $B45, "")</f>
        <v/>
      </c>
      <c r="O45" s="18" t="str">
        <f>IF(ISNUMBER(M45), $B64 * N45, "")</f>
        <v/>
      </c>
      <c r="Q45" s="182"/>
      <c r="R45" s="182"/>
      <c r="S45" s="182"/>
    </row>
    <row r="46" spans="1:19" ht="17.25" customHeight="1" thickBot="1">
      <c r="A46" s="125" t="s">
        <v>156</v>
      </c>
      <c r="B46" s="126">
        <v>88.1</v>
      </c>
      <c r="C46" s="77">
        <v>9.1638029999999999E-3</v>
      </c>
      <c r="D46" s="15"/>
      <c r="E46" s="32" t="str">
        <f t="shared" si="14"/>
        <v/>
      </c>
      <c r="F46" s="18" t="str">
        <f>IF(ISNUMBER(D46), $B64 * E46, "")</f>
        <v/>
      </c>
      <c r="G46" s="31"/>
      <c r="H46" s="32" t="str">
        <f t="shared" si="15"/>
        <v/>
      </c>
      <c r="I46" s="101" t="str">
        <f>IF(ISNUMBER(G46), $B64 * H46, "")</f>
        <v/>
      </c>
      <c r="J46" s="15"/>
      <c r="K46" s="32" t="str">
        <f t="shared" si="16"/>
        <v/>
      </c>
      <c r="L46" s="18" t="str">
        <f>IF(ISNUMBER(J46), $B64 * K46, "")</f>
        <v/>
      </c>
      <c r="M46" s="31"/>
      <c r="N46" s="32" t="str">
        <f t="shared" si="17"/>
        <v/>
      </c>
      <c r="O46" s="18" t="str">
        <f>IF(ISNUMBER(M46), $B64 * N46, "")</f>
        <v/>
      </c>
      <c r="Q46" s="172"/>
      <c r="R46" s="172"/>
      <c r="S46" s="172"/>
    </row>
    <row r="47" spans="1:19" ht="17.25" customHeight="1" thickBot="1">
      <c r="A47" s="125" t="s">
        <v>122</v>
      </c>
      <c r="B47" s="126">
        <v>71.599999999999994</v>
      </c>
      <c r="C47" s="77">
        <v>7.0323488000000002E-3</v>
      </c>
      <c r="D47" s="15"/>
      <c r="E47" s="32" t="str">
        <f t="shared" si="14"/>
        <v/>
      </c>
      <c r="F47" s="18" t="str">
        <f>IF(ISNUMBER(D47), $B64 * E47, "")</f>
        <v/>
      </c>
      <c r="G47" s="31"/>
      <c r="H47" s="32" t="str">
        <f t="shared" si="15"/>
        <v/>
      </c>
      <c r="I47" s="101" t="str">
        <f>IF(ISNUMBER(G47), $B64 * H47, "")</f>
        <v/>
      </c>
      <c r="J47" s="15"/>
      <c r="K47" s="32" t="str">
        <f t="shared" si="16"/>
        <v/>
      </c>
      <c r="L47" s="18" t="str">
        <f>IF(ISNUMBER(J47), $B64 * K47, "")</f>
        <v/>
      </c>
      <c r="M47" s="31"/>
      <c r="N47" s="32" t="str">
        <f t="shared" si="17"/>
        <v/>
      </c>
      <c r="O47" s="18" t="str">
        <f>IF(ISNUMBER(M47), $B64 * N47, "")</f>
        <v/>
      </c>
      <c r="Q47" s="172"/>
      <c r="R47" s="172"/>
      <c r="S47" s="172"/>
    </row>
    <row r="48" spans="1:19" ht="17.25" customHeight="1" thickBot="1">
      <c r="A48" s="127" t="s">
        <v>65</v>
      </c>
      <c r="B48" s="128">
        <v>36.9</v>
      </c>
      <c r="C48" s="78">
        <v>2.7173913000000001E-3</v>
      </c>
      <c r="D48" s="20"/>
      <c r="E48" s="21" t="str">
        <f t="shared" si="14"/>
        <v/>
      </c>
      <c r="F48" s="22" t="str">
        <f>IF(ISNUMBER(D48), $B64 * E48, "")</f>
        <v/>
      </c>
      <c r="G48" s="30"/>
      <c r="H48" s="21" t="str">
        <f t="shared" si="15"/>
        <v/>
      </c>
      <c r="I48" s="105" t="str">
        <f>IF(ISNUMBER(G48), $B64 * H48, "")</f>
        <v/>
      </c>
      <c r="J48" s="20"/>
      <c r="K48" s="21" t="str">
        <f t="shared" si="16"/>
        <v/>
      </c>
      <c r="L48" s="22" t="str">
        <f>IF(ISNUMBER(J48), $B64 * K48, "")</f>
        <v/>
      </c>
      <c r="M48" s="30"/>
      <c r="N48" s="21" t="str">
        <f t="shared" si="17"/>
        <v/>
      </c>
      <c r="O48" s="22" t="str">
        <f>IF(ISNUMBER(M48), $B64 * N48, "")</f>
        <v/>
      </c>
      <c r="Q48" s="172"/>
      <c r="R48" s="172"/>
      <c r="S48" s="172"/>
    </row>
    <row r="49" spans="1:19" ht="17.25" customHeight="1" thickBot="1">
      <c r="A49" s="125" t="s">
        <v>222</v>
      </c>
      <c r="B49" s="129">
        <v>11.8</v>
      </c>
      <c r="C49" s="80">
        <v>0</v>
      </c>
      <c r="D49" s="106"/>
      <c r="E49" s="107" t="str">
        <f>IF(ISNUMBER(D49), (D49 - $B49) / $B49, "")</f>
        <v/>
      </c>
      <c r="F49" s="108" t="str">
        <f>IF(ISNUMBER(D49), $B64 * E49, "")</f>
        <v/>
      </c>
      <c r="G49" s="109"/>
      <c r="H49" s="107" t="str">
        <f>IF(ISNUMBER(G49), (G49 - $B49) / $B49, "")</f>
        <v/>
      </c>
      <c r="I49" s="110" t="str">
        <f>IF(ISNUMBER(G49), $B64 * H49, "")</f>
        <v/>
      </c>
      <c r="J49" s="106"/>
      <c r="K49" s="107" t="str">
        <f>IF(ISNUMBER(J49), (J49 - $B49) / $B49, "")</f>
        <v/>
      </c>
      <c r="L49" s="108" t="str">
        <f>IF(ISNUMBER(J49), $B64 * K49, "")</f>
        <v/>
      </c>
      <c r="M49" s="109"/>
      <c r="N49" s="107" t="str">
        <f>IF(ISNUMBER(M49), (M49 - $B49) / $B49, "")</f>
        <v/>
      </c>
      <c r="O49" s="108" t="str">
        <f>IF(ISNUMBER(M49), $B64 * N49, "")</f>
        <v/>
      </c>
      <c r="Q49" s="172"/>
      <c r="R49" s="172"/>
      <c r="S49" s="172"/>
    </row>
    <row r="50" spans="1:19" ht="17.25" customHeight="1" thickBot="1">
      <c r="A50" s="125" t="s">
        <v>260</v>
      </c>
      <c r="B50" s="126">
        <v>80.900000000000006</v>
      </c>
      <c r="C50" s="77">
        <v>-6.1425061000000003E-3</v>
      </c>
      <c r="D50" s="15"/>
      <c r="E50" s="32" t="str">
        <f t="shared" ref="E50:E53" si="18">IF(ISNUMBER(D50), (D50 - $B50) / $B50, "")</f>
        <v/>
      </c>
      <c r="F50" s="18" t="str">
        <f>IF(ISNUMBER(D50), $B64 * E50, "")</f>
        <v/>
      </c>
      <c r="G50" s="31"/>
      <c r="H50" s="32" t="str">
        <f t="shared" ref="H50:H53" si="19">IF(ISNUMBER(G50), (G50 - $B50) / $B50, "")</f>
        <v/>
      </c>
      <c r="I50" s="101" t="str">
        <f>IF(ISNUMBER(G50), $B64 * H50, "")</f>
        <v/>
      </c>
      <c r="J50" s="15"/>
      <c r="K50" s="32" t="str">
        <f t="shared" ref="K50:K53" si="20">IF(ISNUMBER(J50), (J50 - $B50) / $B50, "")</f>
        <v/>
      </c>
      <c r="L50" s="18" t="str">
        <f>IF(ISNUMBER(J50), $B64 * K50, "")</f>
        <v/>
      </c>
      <c r="M50" s="31"/>
      <c r="N50" s="32" t="str">
        <f t="shared" ref="N50:N53" si="21">IF(ISNUMBER(M50), (M50 - $B50) / $B50, "")</f>
        <v/>
      </c>
      <c r="O50" s="18" t="str">
        <f>IF(ISNUMBER(M50), $B64 * N50, "")</f>
        <v/>
      </c>
      <c r="Q50" s="172"/>
      <c r="R50" s="172"/>
      <c r="S50" s="172"/>
    </row>
    <row r="51" spans="1:19" ht="17.25" customHeight="1" thickBot="1">
      <c r="A51" s="125" t="s">
        <v>100</v>
      </c>
      <c r="B51" s="126">
        <v>4.37</v>
      </c>
      <c r="C51" s="77">
        <v>-1.13122172E-2</v>
      </c>
      <c r="D51" s="15"/>
      <c r="E51" s="32" t="str">
        <f t="shared" si="18"/>
        <v/>
      </c>
      <c r="F51" s="18" t="str">
        <f>IF(ISNUMBER(D51), $B64 * E51, "")</f>
        <v/>
      </c>
      <c r="G51" s="31"/>
      <c r="H51" s="32" t="str">
        <f t="shared" si="19"/>
        <v/>
      </c>
      <c r="I51" s="101" t="str">
        <f>IF(ISNUMBER(G51), $B64 * H51, "")</f>
        <v/>
      </c>
      <c r="J51" s="15"/>
      <c r="K51" s="32" t="str">
        <f t="shared" si="20"/>
        <v/>
      </c>
      <c r="L51" s="18" t="str">
        <f>IF(ISNUMBER(J51), $B64 * K51, "")</f>
        <v/>
      </c>
      <c r="M51" s="31"/>
      <c r="N51" s="32" t="str">
        <f t="shared" si="21"/>
        <v/>
      </c>
      <c r="O51" s="18" t="str">
        <f>IF(ISNUMBER(M51), $B64 * N51, "")</f>
        <v/>
      </c>
      <c r="Q51" s="172"/>
      <c r="R51" s="172"/>
      <c r="S51" s="172"/>
    </row>
    <row r="52" spans="1:19" ht="17.25" customHeight="1" thickBot="1">
      <c r="A52" s="125" t="s">
        <v>154</v>
      </c>
      <c r="B52" s="126">
        <v>11</v>
      </c>
      <c r="C52" s="77">
        <v>-1.7857142900000001E-2</v>
      </c>
      <c r="D52" s="15"/>
      <c r="E52" s="32" t="str">
        <f t="shared" si="18"/>
        <v/>
      </c>
      <c r="F52" s="18" t="str">
        <f>IF(ISNUMBER(D52), $B64 * E52, "")</f>
        <v/>
      </c>
      <c r="G52" s="31"/>
      <c r="H52" s="32" t="str">
        <f t="shared" si="19"/>
        <v/>
      </c>
      <c r="I52" s="101" t="str">
        <f>IF(ISNUMBER(G52), $B64 * H52, "")</f>
        <v/>
      </c>
      <c r="J52" s="15"/>
      <c r="K52" s="32" t="str">
        <f t="shared" si="20"/>
        <v/>
      </c>
      <c r="L52" s="18" t="str">
        <f>IF(ISNUMBER(J52), $B64 * K52, "")</f>
        <v/>
      </c>
      <c r="M52" s="31"/>
      <c r="N52" s="32" t="str">
        <f t="shared" si="21"/>
        <v/>
      </c>
      <c r="O52" s="18" t="str">
        <f>IF(ISNUMBER(M52), $B64 * N52, "")</f>
        <v/>
      </c>
      <c r="Q52" s="33"/>
      <c r="R52" s="33"/>
    </row>
    <row r="53" spans="1:19" ht="17.25" customHeight="1" thickBot="1">
      <c r="A53" s="130" t="s">
        <v>152</v>
      </c>
      <c r="B53" s="131">
        <v>20.3</v>
      </c>
      <c r="C53" s="79">
        <v>-1.93236715E-2</v>
      </c>
      <c r="D53" s="24"/>
      <c r="E53" s="25" t="str">
        <f t="shared" si="18"/>
        <v/>
      </c>
      <c r="F53" s="104" t="str">
        <f>IF(ISNUMBER(D53), $B64 * E53, "")</f>
        <v/>
      </c>
      <c r="G53" s="102"/>
      <c r="H53" s="25" t="str">
        <f t="shared" si="19"/>
        <v/>
      </c>
      <c r="I53" s="103" t="str">
        <f>IF(ISNUMBER(G53), $B64 * H53, "")</f>
        <v/>
      </c>
      <c r="J53" s="24"/>
      <c r="K53" s="25" t="str">
        <f t="shared" si="20"/>
        <v/>
      </c>
      <c r="L53" s="104" t="str">
        <f>IF(ISNUMBER(J53), $B64 * K53, "")</f>
        <v/>
      </c>
      <c r="M53" s="102"/>
      <c r="N53" s="25" t="str">
        <f t="shared" si="21"/>
        <v/>
      </c>
      <c r="O53" s="104" t="str">
        <f>IF(ISNUMBER(M53), $B64 * N53, "")</f>
        <v/>
      </c>
      <c r="Q53" s="173"/>
      <c r="R53" s="174"/>
      <c r="S53" s="175"/>
    </row>
    <row r="54" spans="1:19" ht="17.25" customHeight="1">
      <c r="A54" s="123" t="s">
        <v>196</v>
      </c>
      <c r="B54" s="124">
        <v>11.5</v>
      </c>
      <c r="C54" s="76">
        <v>-2.54237288E-2</v>
      </c>
      <c r="D54" s="13"/>
      <c r="E54" s="14" t="str">
        <f>IF(ISNUMBER(D54), (D54 - $B54) / $B54, "")</f>
        <v/>
      </c>
      <c r="F54" s="16" t="str">
        <f>IF(ISNUMBER(D54), $B64 * E54, "")</f>
        <v/>
      </c>
      <c r="G54" s="29"/>
      <c r="H54" s="14" t="str">
        <f>IF(ISNUMBER(G54), (G54 - $B54) / $B54, "")</f>
        <v/>
      </c>
      <c r="I54" s="100" t="str">
        <f>IF(ISNUMBER(G54), $B64 * H54, "")</f>
        <v/>
      </c>
      <c r="J54" s="13"/>
      <c r="K54" s="14" t="str">
        <f>IF(ISNUMBER(J54), (J54 - $B54) / $B54, "")</f>
        <v/>
      </c>
      <c r="L54" s="16" t="str">
        <f>IF(ISNUMBER(J54), $B64 * K54, "")</f>
        <v/>
      </c>
      <c r="M54" s="29"/>
      <c r="N54" s="14" t="str">
        <f>IF(ISNUMBER(M54), (M54 - $B54) / $B54, "")</f>
        <v/>
      </c>
      <c r="O54" s="16" t="str">
        <f>IF(ISNUMBER(M54), $B64 * N54, "")</f>
        <v/>
      </c>
      <c r="Q54" s="176"/>
      <c r="R54" s="177"/>
      <c r="S54" s="178"/>
    </row>
    <row r="55" spans="1:19" ht="17.25" customHeight="1" thickBot="1">
      <c r="A55" s="125" t="s">
        <v>198</v>
      </c>
      <c r="B55" s="126">
        <v>16.8</v>
      </c>
      <c r="C55" s="77">
        <v>-2.89017341E-2</v>
      </c>
      <c r="D55" s="15"/>
      <c r="E55" s="32" t="str">
        <f t="shared" ref="E55:E58" si="22">IF(ISNUMBER(D55), (D55 - $B55) / $B55, "")</f>
        <v/>
      </c>
      <c r="F55" s="18" t="str">
        <f>IF(ISNUMBER(D55), $B64 * E55, "")</f>
        <v/>
      </c>
      <c r="G55" s="31"/>
      <c r="H55" s="32" t="str">
        <f t="shared" ref="H55:H58" si="23">IF(ISNUMBER(G55), (G55 - $B55) / $B55, "")</f>
        <v/>
      </c>
      <c r="I55" s="101" t="str">
        <f>IF(ISNUMBER(G55), $B64 * H55, "")</f>
        <v/>
      </c>
      <c r="J55" s="15"/>
      <c r="K55" s="32" t="str">
        <f t="shared" ref="K55:K58" si="24">IF(ISNUMBER(J55), (J55 - $B55) / $B55, "")</f>
        <v/>
      </c>
      <c r="L55" s="18" t="str">
        <f>IF(ISNUMBER(J55), $B64 * K55, "")</f>
        <v/>
      </c>
      <c r="M55" s="31"/>
      <c r="N55" s="32" t="str">
        <f t="shared" ref="N55:N58" si="25">IF(ISNUMBER(M55), (M55 - $B55) / $B55, "")</f>
        <v/>
      </c>
      <c r="O55" s="18" t="str">
        <f>IF(ISNUMBER(M55), $B64 * N55, "")</f>
        <v/>
      </c>
      <c r="Q55" s="179"/>
      <c r="R55" s="180"/>
      <c r="S55" s="181"/>
    </row>
    <row r="56" spans="1:19" ht="17.25" customHeight="1" thickBot="1">
      <c r="A56" s="125" t="s">
        <v>134</v>
      </c>
      <c r="B56" s="126">
        <v>94.9</v>
      </c>
      <c r="C56" s="77">
        <v>-2.9652351699999999E-2</v>
      </c>
      <c r="D56" s="15"/>
      <c r="E56" s="32" t="str">
        <f t="shared" si="22"/>
        <v/>
      </c>
      <c r="F56" s="18" t="str">
        <f>IF(ISNUMBER(D56), $B64 * E56, "")</f>
        <v/>
      </c>
      <c r="G56" s="31"/>
      <c r="H56" s="32" t="str">
        <f t="shared" si="23"/>
        <v/>
      </c>
      <c r="I56" s="101" t="str">
        <f>IF(ISNUMBER(G56), $B64 * H56, "")</f>
        <v/>
      </c>
      <c r="J56" s="15"/>
      <c r="K56" s="32" t="str">
        <f t="shared" si="24"/>
        <v/>
      </c>
      <c r="L56" s="18" t="str">
        <f>IF(ISNUMBER(J56), $B64 * K56, "")</f>
        <v/>
      </c>
      <c r="M56" s="31"/>
      <c r="N56" s="32" t="str">
        <f t="shared" si="25"/>
        <v/>
      </c>
      <c r="O56" s="18" t="str">
        <f>IF(ISNUMBER(M56), $B64 * N56, "")</f>
        <v/>
      </c>
      <c r="Q56" s="172"/>
      <c r="R56" s="172"/>
      <c r="S56" s="172"/>
    </row>
    <row r="57" spans="1:19" ht="17.25" customHeight="1" thickBot="1">
      <c r="A57" s="125" t="s">
        <v>214</v>
      </c>
      <c r="B57" s="126">
        <v>14.1</v>
      </c>
      <c r="C57" s="77">
        <v>-3.4246575299999998E-2</v>
      </c>
      <c r="D57" s="15"/>
      <c r="E57" s="32" t="str">
        <f t="shared" si="22"/>
        <v/>
      </c>
      <c r="F57" s="18" t="str">
        <f>IF(ISNUMBER(D57), $B64 * E57, "")</f>
        <v/>
      </c>
      <c r="G57" s="31"/>
      <c r="H57" s="32" t="str">
        <f t="shared" si="23"/>
        <v/>
      </c>
      <c r="I57" s="101" t="str">
        <f>IF(ISNUMBER(G57), $B64 * H57, "")</f>
        <v/>
      </c>
      <c r="J57" s="15"/>
      <c r="K57" s="32" t="str">
        <f t="shared" si="24"/>
        <v/>
      </c>
      <c r="L57" s="18" t="str">
        <f>IF(ISNUMBER(J57), $B64 * K57, "")</f>
        <v/>
      </c>
      <c r="M57" s="31"/>
      <c r="N57" s="32" t="str">
        <f t="shared" si="25"/>
        <v/>
      </c>
      <c r="O57" s="18" t="str">
        <f>IF(ISNUMBER(M57), $B64 * N57, "")</f>
        <v/>
      </c>
      <c r="Q57" s="182"/>
      <c r="R57" s="182"/>
      <c r="S57" s="182"/>
    </row>
    <row r="58" spans="1:19" ht="17.25" customHeight="1" thickBot="1">
      <c r="A58" s="127" t="s">
        <v>212</v>
      </c>
      <c r="B58" s="128">
        <v>77.900000000000006</v>
      </c>
      <c r="C58" s="78">
        <v>-3.4696406399999997E-2</v>
      </c>
      <c r="D58" s="20"/>
      <c r="E58" s="21" t="str">
        <f t="shared" si="22"/>
        <v/>
      </c>
      <c r="F58" s="22" t="str">
        <f>IF(ISNUMBER(D58), $B64 * E58, "")</f>
        <v/>
      </c>
      <c r="G58" s="30"/>
      <c r="H58" s="21" t="str">
        <f t="shared" si="23"/>
        <v/>
      </c>
      <c r="I58" s="105" t="str">
        <f>IF(ISNUMBER(G58), $B64 * H58, "")</f>
        <v/>
      </c>
      <c r="J58" s="20"/>
      <c r="K58" s="21" t="str">
        <f t="shared" si="24"/>
        <v/>
      </c>
      <c r="L58" s="22" t="str">
        <f>IF(ISNUMBER(J58), $B64 * K58, "")</f>
        <v/>
      </c>
      <c r="M58" s="30"/>
      <c r="N58" s="21" t="str">
        <f t="shared" si="25"/>
        <v/>
      </c>
      <c r="O58" s="22" t="str">
        <f>IF(ISNUMBER(M58), $B64 * N58, "")</f>
        <v/>
      </c>
      <c r="Q58" s="182"/>
      <c r="R58" s="182"/>
      <c r="S58" s="182"/>
    </row>
    <row r="59" spans="1:19" ht="17.25" customHeight="1" thickBot="1">
      <c r="A59" s="125" t="s">
        <v>186</v>
      </c>
      <c r="B59" s="129">
        <v>13.4</v>
      </c>
      <c r="C59" s="80">
        <v>-3.5971222999999997E-2</v>
      </c>
      <c r="D59" s="106"/>
      <c r="E59" s="107" t="str">
        <f>IF(ISNUMBER(D59), (D59 - $B59) / $B59, "")</f>
        <v/>
      </c>
      <c r="F59" s="108" t="str">
        <f>IF(ISNUMBER(D59), $B64 * E59, "")</f>
        <v/>
      </c>
      <c r="G59" s="109"/>
      <c r="H59" s="107" t="str">
        <f>IF(ISNUMBER(G59), (G59 - $B59) / $B59, "")</f>
        <v/>
      </c>
      <c r="I59" s="110" t="str">
        <f>IF(ISNUMBER(G59), $B64 * H59, "")</f>
        <v/>
      </c>
      <c r="J59" s="106"/>
      <c r="K59" s="107" t="str">
        <f>IF(ISNUMBER(J59), (J59 - $B59) / $B59, "")</f>
        <v/>
      </c>
      <c r="L59" s="108" t="str">
        <f>IF(ISNUMBER(J59), $B64 * K59, "")</f>
        <v/>
      </c>
      <c r="M59" s="109"/>
      <c r="N59" s="107" t="str">
        <f>IF(ISNUMBER(M59), (M59 - $B59) / $B59, "")</f>
        <v/>
      </c>
      <c r="O59" s="108" t="str">
        <f>IF(ISNUMBER(M59), $B64 * N59, "")</f>
        <v/>
      </c>
      <c r="Q59" s="172"/>
      <c r="R59" s="172"/>
      <c r="S59" s="172"/>
    </row>
    <row r="60" spans="1:19" ht="17.25" customHeight="1" thickBot="1">
      <c r="A60" s="125" t="s">
        <v>228</v>
      </c>
      <c r="B60" s="126">
        <v>10.7</v>
      </c>
      <c r="C60" s="77">
        <v>-3.6036036E-2</v>
      </c>
      <c r="D60" s="15"/>
      <c r="E60" s="32" t="str">
        <f t="shared" ref="E60:E63" si="26">IF(ISNUMBER(D60), (D60 - $B60) / $B60, "")</f>
        <v/>
      </c>
      <c r="F60" s="18" t="str">
        <f>IF(ISNUMBER(D60), $B64 * E60, "")</f>
        <v/>
      </c>
      <c r="G60" s="31"/>
      <c r="H60" s="32" t="str">
        <f t="shared" ref="H60:H63" si="27">IF(ISNUMBER(G60), (G60 - $B60) / $B60, "")</f>
        <v/>
      </c>
      <c r="I60" s="101" t="str">
        <f>IF(ISNUMBER(G60), $B64 * H60, "")</f>
        <v/>
      </c>
      <c r="J60" s="15"/>
      <c r="K60" s="32" t="str">
        <f t="shared" ref="K60:K63" si="28">IF(ISNUMBER(J60), (J60 - $B60) / $B60, "")</f>
        <v/>
      </c>
      <c r="L60" s="18" t="str">
        <f>IF(ISNUMBER(J60), $B64 * K60, "")</f>
        <v/>
      </c>
      <c r="M60" s="31"/>
      <c r="N60" s="32" t="str">
        <f t="shared" ref="N60:N63" si="29">IF(ISNUMBER(M60), (M60 - $B60) / $B60, "")</f>
        <v/>
      </c>
      <c r="O60" s="18" t="str">
        <f>IF(ISNUMBER(M60), $B64 * N60, "")</f>
        <v/>
      </c>
      <c r="Q60" s="172"/>
      <c r="R60" s="172"/>
      <c r="S60" s="172"/>
    </row>
    <row r="61" spans="1:19" ht="17.25" customHeight="1" thickBot="1">
      <c r="A61" s="125" t="s">
        <v>236</v>
      </c>
      <c r="B61" s="126">
        <v>52.2</v>
      </c>
      <c r="C61" s="77">
        <v>-3.6900369000000002E-2</v>
      </c>
      <c r="D61" s="15"/>
      <c r="E61" s="32" t="str">
        <f t="shared" si="26"/>
        <v/>
      </c>
      <c r="F61" s="18" t="str">
        <f>IF(ISNUMBER(D61), $B64 * E61, "")</f>
        <v/>
      </c>
      <c r="G61" s="31"/>
      <c r="H61" s="32" t="str">
        <f t="shared" si="27"/>
        <v/>
      </c>
      <c r="I61" s="101" t="str">
        <f>IF(ISNUMBER(G61), $B64 * H61, "")</f>
        <v/>
      </c>
      <c r="J61" s="15"/>
      <c r="K61" s="32" t="str">
        <f t="shared" si="28"/>
        <v/>
      </c>
      <c r="L61" s="18" t="str">
        <f>IF(ISNUMBER(J61), $B64 * K61, "")</f>
        <v/>
      </c>
      <c r="M61" s="31"/>
      <c r="N61" s="32" t="str">
        <f t="shared" si="29"/>
        <v/>
      </c>
      <c r="O61" s="18" t="str">
        <f>IF(ISNUMBER(M61), $B64 * N61, "")</f>
        <v/>
      </c>
      <c r="Q61" s="172"/>
      <c r="R61" s="172"/>
      <c r="S61" s="172"/>
    </row>
    <row r="62" spans="1:19" ht="17.25" customHeight="1">
      <c r="A62" s="125" t="s">
        <v>266</v>
      </c>
      <c r="B62" s="126">
        <v>58.5</v>
      </c>
      <c r="C62" s="77">
        <v>-3.78289474E-2</v>
      </c>
      <c r="D62" s="15"/>
      <c r="E62" s="32" t="str">
        <f t="shared" si="26"/>
        <v/>
      </c>
      <c r="F62" s="18" t="str">
        <f>IF(ISNUMBER(D62), $B64 * E62, "")</f>
        <v/>
      </c>
      <c r="G62" s="31"/>
      <c r="H62" s="32" t="str">
        <f t="shared" si="27"/>
        <v/>
      </c>
      <c r="I62" s="101" t="str">
        <f>IF(ISNUMBER(G62), $B64 * H62, "")</f>
        <v/>
      </c>
      <c r="J62" s="15"/>
      <c r="K62" s="32" t="str">
        <f t="shared" si="28"/>
        <v/>
      </c>
      <c r="L62" s="18" t="str">
        <f>IF(ISNUMBER(J62), $B64 * K62, "")</f>
        <v/>
      </c>
      <c r="M62" s="31"/>
      <c r="N62" s="32" t="str">
        <f t="shared" si="29"/>
        <v/>
      </c>
      <c r="O62" s="18" t="str">
        <f>IF(ISNUMBER(M62), $B64 * N62, "")</f>
        <v/>
      </c>
      <c r="Q62" s="161"/>
      <c r="R62" s="162"/>
      <c r="S62" s="163"/>
    </row>
    <row r="63" spans="1:19" ht="17.25" customHeight="1" thickBot="1">
      <c r="A63" s="130" t="s">
        <v>254</v>
      </c>
      <c r="B63" s="131">
        <v>52.2</v>
      </c>
      <c r="C63" s="79">
        <v>-3.8674033099999998E-2</v>
      </c>
      <c r="D63" s="24"/>
      <c r="E63" s="25" t="str">
        <f t="shared" si="26"/>
        <v/>
      </c>
      <c r="F63" s="104" t="str">
        <f>IF(ISNUMBER(D63), $B64 * E63, "")</f>
        <v/>
      </c>
      <c r="G63" s="102"/>
      <c r="H63" s="25" t="str">
        <f t="shared" si="27"/>
        <v/>
      </c>
      <c r="I63" s="103" t="str">
        <f>IF(ISNUMBER(G63), $B64 * H63, "")</f>
        <v/>
      </c>
      <c r="J63" s="24"/>
      <c r="K63" s="25" t="str">
        <f t="shared" si="28"/>
        <v/>
      </c>
      <c r="L63" s="104" t="str">
        <f>IF(ISNUMBER(J63), $B64 * K63, "")</f>
        <v/>
      </c>
      <c r="M63" s="102"/>
      <c r="N63" s="25" t="str">
        <f t="shared" si="29"/>
        <v/>
      </c>
      <c r="O63" s="104" t="str">
        <f>IF(ISNUMBER(M63), $B64 * N63, "")</f>
        <v/>
      </c>
      <c r="Q63" s="164"/>
      <c r="R63" s="165"/>
      <c r="S63" s="166"/>
    </row>
    <row r="64" spans="1:19" ht="17.25" customHeight="1" thickBot="1">
      <c r="A64" s="132" t="s">
        <v>300</v>
      </c>
      <c r="B64" s="225">
        <f>$B$37</f>
        <v>150000</v>
      </c>
      <c r="C64" s="226"/>
      <c r="D64" s="26" t="s">
        <v>301</v>
      </c>
      <c r="E64" s="27">
        <f>IF(COUNT(E44:E63), SUM(E44:E63) / COUNT(E44:E63), 0)</f>
        <v>0</v>
      </c>
      <c r="F64" s="28">
        <f>SUM(F44:F63)</f>
        <v>0</v>
      </c>
      <c r="G64" s="26" t="s">
        <v>301</v>
      </c>
      <c r="H64" s="27">
        <f>IF(COUNT(H44:H63), SUM(H44:H63) / COUNT(H44:H63), 0)</f>
        <v>0</v>
      </c>
      <c r="I64" s="28">
        <f>SUM(I44:I63)</f>
        <v>0</v>
      </c>
      <c r="J64" s="26" t="s">
        <v>301</v>
      </c>
      <c r="K64" s="27">
        <f>IF(COUNT(K44:K63), SUM(K44:K63) / COUNT(K44:K63), 0)</f>
        <v>0</v>
      </c>
      <c r="L64" s="28">
        <f>SUM(L44:L63)</f>
        <v>0</v>
      </c>
      <c r="M64" s="26" t="s">
        <v>301</v>
      </c>
      <c r="N64" s="27">
        <f>IF(COUNT(N44:N63), SUM(N44:N63) / COUNT(N44:N63), 0)</f>
        <v>0</v>
      </c>
      <c r="O64" s="28">
        <f>SUM(O44:O63)</f>
        <v>0</v>
      </c>
      <c r="Q64" s="167"/>
      <c r="R64" s="168"/>
      <c r="S64" s="169"/>
    </row>
    <row r="65" spans="1:19" ht="17.25" customHeight="1"/>
    <row r="66" spans="1:19" ht="17.25" customHeight="1" thickBot="1"/>
    <row r="67" spans="1:19" ht="17.25" thickBot="1">
      <c r="A67" s="183" t="s">
        <v>45</v>
      </c>
      <c r="B67" s="184"/>
      <c r="C67" s="184"/>
      <c r="D67" s="184"/>
      <c r="E67" s="184"/>
      <c r="F67" s="184"/>
      <c r="G67" s="184"/>
      <c r="H67" s="184"/>
      <c r="I67" s="184"/>
      <c r="J67" s="184"/>
      <c r="K67" s="184"/>
      <c r="L67" s="184"/>
      <c r="M67" s="184"/>
      <c r="N67" s="184"/>
      <c r="O67" s="185"/>
      <c r="Q67" s="182"/>
      <c r="R67" s="182"/>
      <c r="S67" s="182"/>
    </row>
    <row r="68" spans="1:19" ht="17.25" thickBot="1">
      <c r="A68" s="157" t="s">
        <v>297</v>
      </c>
      <c r="B68" s="183" t="s">
        <v>49</v>
      </c>
      <c r="C68" s="185"/>
      <c r="D68" s="183" t="s">
        <v>58</v>
      </c>
      <c r="E68" s="184"/>
      <c r="F68" s="185"/>
      <c r="G68" s="186">
        <f>_xlfn.IFNA(VLOOKUP(B68, 현재가테이블!$B$2:$D$200, 2, FALSE), "-")</f>
        <v>43214000</v>
      </c>
      <c r="H68" s="187"/>
      <c r="I68" s="188"/>
      <c r="J68" s="183" t="s">
        <v>59</v>
      </c>
      <c r="K68" s="184"/>
      <c r="L68" s="185"/>
      <c r="M68" s="189">
        <f>_xlfn.IFNA(VLOOKUP(B68, 현재가테이블!$B$2:$D$200, 3, FALSE), "-")</f>
        <v>8.5693770000000002E-4</v>
      </c>
      <c r="N68" s="190"/>
      <c r="O68" s="191"/>
      <c r="Q68" s="182"/>
      <c r="R68" s="182"/>
      <c r="S68" s="182"/>
    </row>
    <row r="69" spans="1:19" ht="17.25" thickBot="1">
      <c r="A69" s="227" t="s">
        <v>55</v>
      </c>
      <c r="B69" s="223" t="str">
        <f>TEXT($G$1, "[$-ko-KR]yyyy-mm-dd(ddd) ") &amp; "오전 00:00"</f>
        <v>2021-06-01(화) 오전 00:00</v>
      </c>
      <c r="C69" s="224"/>
      <c r="D69" s="196" t="str">
        <f>TEXT($G$1, "[$-ko-KR]yyyy-mm-dd(ddd) ") &amp; "오후 14:00"</f>
        <v>2021-06-01(화) 오후 14:00</v>
      </c>
      <c r="E69" s="197"/>
      <c r="F69" s="198"/>
      <c r="G69" s="196" t="str">
        <f>TEXT($G$1, "[$-ko-KR]yyyy-mm-dd(ddd) ") &amp; "오후 19:00"</f>
        <v>2021-06-01(화) 오후 19:00</v>
      </c>
      <c r="H69" s="197"/>
      <c r="I69" s="198"/>
      <c r="J69" s="196" t="str">
        <f>TEXT($G$1, "[$-ko-KR]yyyy-mm-dd(ddd) ") &amp; "오후 21:00"</f>
        <v>2021-06-01(화) 오후 21:00</v>
      </c>
      <c r="K69" s="197"/>
      <c r="L69" s="198"/>
      <c r="M69" s="196" t="str">
        <f>TEXT($G$1+1, "[$-ko-KR]yyyy-mm-dd(ddd) ") &amp; "오전 00:00"</f>
        <v>2021-06-02(수) 오전 00:00</v>
      </c>
      <c r="N69" s="197"/>
      <c r="O69" s="198"/>
      <c r="Q69" s="182"/>
      <c r="R69" s="182"/>
      <c r="S69" s="182"/>
    </row>
    <row r="70" spans="1:19" ht="17.25" thickBot="1">
      <c r="A70" s="228"/>
      <c r="B70" s="121" t="s">
        <v>58</v>
      </c>
      <c r="C70" s="122" t="s">
        <v>59</v>
      </c>
      <c r="D70" s="2" t="s">
        <v>58</v>
      </c>
      <c r="E70" s="10" t="s">
        <v>298</v>
      </c>
      <c r="F70" s="11" t="s">
        <v>299</v>
      </c>
      <c r="G70" s="158" t="s">
        <v>58</v>
      </c>
      <c r="H70" s="159" t="s">
        <v>298</v>
      </c>
      <c r="I70" s="160" t="s">
        <v>299</v>
      </c>
      <c r="J70" s="10" t="s">
        <v>58</v>
      </c>
      <c r="K70" s="10" t="s">
        <v>298</v>
      </c>
      <c r="L70" s="115" t="s">
        <v>299</v>
      </c>
      <c r="M70" s="2" t="s">
        <v>58</v>
      </c>
      <c r="N70" s="10" t="s">
        <v>298</v>
      </c>
      <c r="O70" s="66" t="s">
        <v>299</v>
      </c>
      <c r="Q70" s="172"/>
      <c r="R70" s="172"/>
      <c r="S70" s="172"/>
    </row>
    <row r="71" spans="1:19" ht="17.25" thickBot="1">
      <c r="A71" s="123" t="s">
        <v>120</v>
      </c>
      <c r="B71" s="124">
        <v>146</v>
      </c>
      <c r="C71" s="76">
        <v>7.35294118E-2</v>
      </c>
      <c r="D71" s="13"/>
      <c r="E71" s="14" t="str">
        <f>IF(ISNUMBER(D71), (D71 - $B71) / $B71, "")</f>
        <v/>
      </c>
      <c r="F71" s="16" t="str">
        <f>IF(ISNUMBER(D71), $B91 * E71, "")</f>
        <v/>
      </c>
      <c r="G71" s="29"/>
      <c r="H71" s="14" t="str">
        <f>IF(ISNUMBER(G71), (G71 - $B71) / $B71, "")</f>
        <v/>
      </c>
      <c r="I71" s="100" t="str">
        <f>IF(ISNUMBER(G71), $B91 * H71, "")</f>
        <v/>
      </c>
      <c r="J71" s="13"/>
      <c r="K71" s="14" t="str">
        <f>IF(ISNUMBER(J71), (J71 - $B71) / $B71, "")</f>
        <v/>
      </c>
      <c r="L71" s="16" t="str">
        <f>IF(ISNUMBER(J71), $B91 * K71, "")</f>
        <v/>
      </c>
      <c r="M71" s="29"/>
      <c r="N71" s="14" t="str">
        <f>IF(ISNUMBER(M71), (M71 - $B71) / $B71, "")</f>
        <v/>
      </c>
      <c r="O71" s="16" t="str">
        <f>IF(ISNUMBER(M71), $B91 * N71, "")</f>
        <v/>
      </c>
      <c r="Q71" s="182"/>
      <c r="R71" s="182"/>
      <c r="S71" s="182"/>
    </row>
    <row r="72" spans="1:19" ht="17.25" thickBot="1">
      <c r="A72" s="125" t="s">
        <v>132</v>
      </c>
      <c r="B72" s="126">
        <v>139</v>
      </c>
      <c r="C72" s="77">
        <v>6.10687023E-2</v>
      </c>
      <c r="D72" s="15"/>
      <c r="E72" s="32" t="str">
        <f t="shared" ref="E72:E75" si="30">IF(ISNUMBER(D72), (D72 - $B72) / $B72, "")</f>
        <v/>
      </c>
      <c r="F72" s="18" t="str">
        <f>IF(ISNUMBER(D72), $B91 * E72, "")</f>
        <v/>
      </c>
      <c r="G72" s="31"/>
      <c r="H72" s="32" t="str">
        <f t="shared" ref="H72:H75" si="31">IF(ISNUMBER(G72), (G72 - $B72) / $B72, "")</f>
        <v/>
      </c>
      <c r="I72" s="101" t="str">
        <f>IF(ISNUMBER(G72), $B91 * H72, "")</f>
        <v/>
      </c>
      <c r="J72" s="15"/>
      <c r="K72" s="32" t="str">
        <f t="shared" ref="K72:K75" si="32">IF(ISNUMBER(J72), (J72 - $B72) / $B72, "")</f>
        <v/>
      </c>
      <c r="L72" s="18" t="str">
        <f>IF(ISNUMBER(J72), $B91 * K72, "")</f>
        <v/>
      </c>
      <c r="M72" s="31"/>
      <c r="N72" s="32" t="str">
        <f t="shared" ref="N72:N75" si="33">IF(ISNUMBER(M72), (M72 - $B72) / $B72, "")</f>
        <v/>
      </c>
      <c r="O72" s="18" t="str">
        <f>IF(ISNUMBER(M72), $B91 * N72, "")</f>
        <v/>
      </c>
      <c r="Q72" s="182"/>
      <c r="R72" s="182"/>
      <c r="S72" s="182"/>
    </row>
    <row r="73" spans="1:19" ht="17.25" thickBot="1">
      <c r="A73" s="125" t="s">
        <v>148</v>
      </c>
      <c r="B73" s="126">
        <v>125</v>
      </c>
      <c r="C73" s="77">
        <v>3.3057851200000002E-2</v>
      </c>
      <c r="D73" s="15"/>
      <c r="E73" s="32" t="str">
        <f t="shared" si="30"/>
        <v/>
      </c>
      <c r="F73" s="18" t="str">
        <f>IF(ISNUMBER(D73), $B91 * E73, "")</f>
        <v/>
      </c>
      <c r="G73" s="31"/>
      <c r="H73" s="32" t="str">
        <f t="shared" si="31"/>
        <v/>
      </c>
      <c r="I73" s="101" t="str">
        <f>IF(ISNUMBER(G73), $B91 * H73, "")</f>
        <v/>
      </c>
      <c r="J73" s="15"/>
      <c r="K73" s="32" t="str">
        <f t="shared" si="32"/>
        <v/>
      </c>
      <c r="L73" s="18" t="str">
        <f>IF(ISNUMBER(J73), $B91 * K73, "")</f>
        <v/>
      </c>
      <c r="M73" s="31"/>
      <c r="N73" s="32" t="str">
        <f t="shared" si="33"/>
        <v/>
      </c>
      <c r="O73" s="18" t="str">
        <f>IF(ISNUMBER(M73), $B91 * N73, "")</f>
        <v/>
      </c>
      <c r="Q73" s="172"/>
      <c r="R73" s="172"/>
      <c r="S73" s="172"/>
    </row>
    <row r="74" spans="1:19" ht="17.25" thickBot="1">
      <c r="A74" s="125" t="s">
        <v>168</v>
      </c>
      <c r="B74" s="126">
        <v>107</v>
      </c>
      <c r="C74" s="77">
        <v>2.88461538E-2</v>
      </c>
      <c r="D74" s="15"/>
      <c r="E74" s="32" t="str">
        <f t="shared" si="30"/>
        <v/>
      </c>
      <c r="F74" s="18" t="str">
        <f>IF(ISNUMBER(D74), $B91 * E74, "")</f>
        <v/>
      </c>
      <c r="G74" s="31"/>
      <c r="H74" s="32" t="str">
        <f t="shared" si="31"/>
        <v/>
      </c>
      <c r="I74" s="101" t="str">
        <f>IF(ISNUMBER(G74), $B91 * H74, "")</f>
        <v/>
      </c>
      <c r="J74" s="15"/>
      <c r="K74" s="32" t="str">
        <f t="shared" si="32"/>
        <v/>
      </c>
      <c r="L74" s="18" t="str">
        <f>IF(ISNUMBER(J74), $B91 * K74, "")</f>
        <v/>
      </c>
      <c r="M74" s="31"/>
      <c r="N74" s="32" t="str">
        <f t="shared" si="33"/>
        <v/>
      </c>
      <c r="O74" s="18" t="str">
        <f>IF(ISNUMBER(M74), $B91 * N74, "")</f>
        <v/>
      </c>
      <c r="Q74" s="172"/>
      <c r="R74" s="172"/>
      <c r="S74" s="172"/>
    </row>
    <row r="75" spans="1:19" ht="17.25" thickBot="1">
      <c r="A75" s="127" t="s">
        <v>51</v>
      </c>
      <c r="B75" s="128">
        <v>465</v>
      </c>
      <c r="C75" s="78">
        <v>2.1978022E-2</v>
      </c>
      <c r="D75" s="20"/>
      <c r="E75" s="21" t="str">
        <f t="shared" si="30"/>
        <v/>
      </c>
      <c r="F75" s="22" t="str">
        <f>IF(ISNUMBER(D75), $B91 * E75, "")</f>
        <v/>
      </c>
      <c r="G75" s="30"/>
      <c r="H75" s="21" t="str">
        <f t="shared" si="31"/>
        <v/>
      </c>
      <c r="I75" s="105" t="str">
        <f>IF(ISNUMBER(G75), $B91 * H75, "")</f>
        <v/>
      </c>
      <c r="J75" s="20"/>
      <c r="K75" s="21" t="str">
        <f t="shared" si="32"/>
        <v/>
      </c>
      <c r="L75" s="22" t="str">
        <f>IF(ISNUMBER(J75), $B91 * K75, "")</f>
        <v/>
      </c>
      <c r="M75" s="30"/>
      <c r="N75" s="21" t="str">
        <f t="shared" si="33"/>
        <v/>
      </c>
      <c r="O75" s="22" t="str">
        <f>IF(ISNUMBER(M75), $B91 * N75, "")</f>
        <v/>
      </c>
      <c r="Q75" s="172"/>
      <c r="R75" s="172"/>
      <c r="S75" s="172"/>
    </row>
    <row r="76" spans="1:19" ht="17.25" thickBot="1">
      <c r="A76" s="125" t="s">
        <v>142</v>
      </c>
      <c r="B76" s="129">
        <v>376</v>
      </c>
      <c r="C76" s="80">
        <v>1.6216216200000001E-2</v>
      </c>
      <c r="D76" s="106"/>
      <c r="E76" s="107" t="str">
        <f>IF(ISNUMBER(D76), (D76 - $B76) / $B76, "")</f>
        <v/>
      </c>
      <c r="F76" s="108" t="str">
        <f>IF(ISNUMBER(D76), $B91 * E76, "")</f>
        <v/>
      </c>
      <c r="G76" s="109"/>
      <c r="H76" s="107" t="str">
        <f>IF(ISNUMBER(G76), (G76 - $B76) / $B76, "")</f>
        <v/>
      </c>
      <c r="I76" s="110" t="str">
        <f>IF(ISNUMBER(G76), $B91 * H76, "")</f>
        <v/>
      </c>
      <c r="J76" s="106"/>
      <c r="K76" s="107" t="str">
        <f>IF(ISNUMBER(J76), (J76 - $B76) / $B76, "")</f>
        <v/>
      </c>
      <c r="L76" s="108" t="str">
        <f>IF(ISNUMBER(J76), $B91 * K76, "")</f>
        <v/>
      </c>
      <c r="M76" s="109"/>
      <c r="N76" s="107" t="str">
        <f>IF(ISNUMBER(M76), (M76 - $B76) / $B76, "")</f>
        <v/>
      </c>
      <c r="O76" s="108" t="str">
        <f>IF(ISNUMBER(M76), $B91 * N76, "")</f>
        <v/>
      </c>
      <c r="Q76" s="172"/>
      <c r="R76" s="172"/>
      <c r="S76" s="172"/>
    </row>
    <row r="77" spans="1:19" ht="17.25" thickBot="1">
      <c r="A77" s="125" t="s">
        <v>136</v>
      </c>
      <c r="B77" s="126">
        <v>130</v>
      </c>
      <c r="C77" s="77">
        <v>1.5625E-2</v>
      </c>
      <c r="D77" s="15"/>
      <c r="E77" s="32" t="str">
        <f t="shared" ref="E77:E80" si="34">IF(ISNUMBER(D77), (D77 - $B77) / $B77, "")</f>
        <v/>
      </c>
      <c r="F77" s="18" t="str">
        <f>IF(ISNUMBER(D77), $B91 * E77, "")</f>
        <v/>
      </c>
      <c r="G77" s="31"/>
      <c r="H77" s="32" t="str">
        <f t="shared" ref="H77:H80" si="35">IF(ISNUMBER(G77), (G77 - $B77) / $B77, "")</f>
        <v/>
      </c>
      <c r="I77" s="101" t="str">
        <f>IF(ISNUMBER(G77), $B91 * H77, "")</f>
        <v/>
      </c>
      <c r="J77" s="15"/>
      <c r="K77" s="32" t="str">
        <f t="shared" ref="K77:K80" si="36">IF(ISNUMBER(J77), (J77 - $B77) / $B77, "")</f>
        <v/>
      </c>
      <c r="L77" s="18" t="str">
        <f>IF(ISNUMBER(J77), $B91 * K77, "")</f>
        <v/>
      </c>
      <c r="M77" s="31"/>
      <c r="N77" s="32" t="str">
        <f t="shared" ref="N77:N80" si="37">IF(ISNUMBER(M77), (M77 - $B77) / $B77, "")</f>
        <v/>
      </c>
      <c r="O77" s="18" t="str">
        <f>IF(ISNUMBER(M77), $B91 * N77, "")</f>
        <v/>
      </c>
      <c r="Q77" s="172"/>
      <c r="R77" s="172"/>
      <c r="S77" s="172"/>
    </row>
    <row r="78" spans="1:19" ht="17.25" thickBot="1">
      <c r="A78" s="125" t="s">
        <v>80</v>
      </c>
      <c r="B78" s="126">
        <v>870</v>
      </c>
      <c r="C78" s="77">
        <v>1.51691949E-2</v>
      </c>
      <c r="D78" s="15"/>
      <c r="E78" s="32" t="str">
        <f t="shared" si="34"/>
        <v/>
      </c>
      <c r="F78" s="18" t="str">
        <f>IF(ISNUMBER(D78), $B91 * E78, "")</f>
        <v/>
      </c>
      <c r="G78" s="31"/>
      <c r="H78" s="32" t="str">
        <f t="shared" si="35"/>
        <v/>
      </c>
      <c r="I78" s="101" t="str">
        <f>IF(ISNUMBER(G78), $B91 * H78, "")</f>
        <v/>
      </c>
      <c r="J78" s="15"/>
      <c r="K78" s="32" t="str">
        <f t="shared" si="36"/>
        <v/>
      </c>
      <c r="L78" s="18" t="str">
        <f>IF(ISNUMBER(J78), $B91 * K78, "")</f>
        <v/>
      </c>
      <c r="M78" s="31"/>
      <c r="N78" s="32" t="str">
        <f t="shared" si="37"/>
        <v/>
      </c>
      <c r="O78" s="18" t="str">
        <f>IF(ISNUMBER(M78), $B91 * N78, "")</f>
        <v/>
      </c>
      <c r="Q78" s="172"/>
      <c r="R78" s="172"/>
      <c r="S78" s="172"/>
    </row>
    <row r="79" spans="1:19" ht="17.25" thickBot="1">
      <c r="A79" s="125" t="s">
        <v>230</v>
      </c>
      <c r="B79" s="126">
        <v>116</v>
      </c>
      <c r="C79" s="77">
        <v>8.6956522000000008E-3</v>
      </c>
      <c r="D79" s="15"/>
      <c r="E79" s="32" t="str">
        <f t="shared" si="34"/>
        <v/>
      </c>
      <c r="F79" s="18" t="str">
        <f>IF(ISNUMBER(D79), $B91 * E79, "")</f>
        <v/>
      </c>
      <c r="G79" s="31"/>
      <c r="H79" s="32" t="str">
        <f t="shared" si="35"/>
        <v/>
      </c>
      <c r="I79" s="101" t="str">
        <f>IF(ISNUMBER(G79), $B91 * H79, "")</f>
        <v/>
      </c>
      <c r="J79" s="15"/>
      <c r="K79" s="32" t="str">
        <f t="shared" si="36"/>
        <v/>
      </c>
      <c r="L79" s="18" t="str">
        <f>IF(ISNUMBER(J79), $B91 * K79, "")</f>
        <v/>
      </c>
      <c r="M79" s="31"/>
      <c r="N79" s="32" t="str">
        <f t="shared" si="37"/>
        <v/>
      </c>
      <c r="O79" s="18" t="str">
        <f>IF(ISNUMBER(M79), $B91 * N79, "")</f>
        <v/>
      </c>
      <c r="Q79" s="33"/>
      <c r="R79" s="33"/>
    </row>
    <row r="80" spans="1:19" ht="17.25" thickBot="1">
      <c r="A80" s="130" t="s">
        <v>61</v>
      </c>
      <c r="B80" s="131">
        <v>953</v>
      </c>
      <c r="C80" s="79">
        <v>5.2742615999999999E-3</v>
      </c>
      <c r="D80" s="24"/>
      <c r="E80" s="25" t="str">
        <f t="shared" si="34"/>
        <v/>
      </c>
      <c r="F80" s="104" t="str">
        <f>IF(ISNUMBER(D80), $B91 * E80, "")</f>
        <v/>
      </c>
      <c r="G80" s="102"/>
      <c r="H80" s="25" t="str">
        <f t="shared" si="35"/>
        <v/>
      </c>
      <c r="I80" s="103" t="str">
        <f>IF(ISNUMBER(G80), $B91 * H80, "")</f>
        <v/>
      </c>
      <c r="J80" s="24"/>
      <c r="K80" s="25" t="str">
        <f t="shared" si="36"/>
        <v/>
      </c>
      <c r="L80" s="104" t="str">
        <f>IF(ISNUMBER(J80), $B91 * K80, "")</f>
        <v/>
      </c>
      <c r="M80" s="102"/>
      <c r="N80" s="25" t="str">
        <f t="shared" si="37"/>
        <v/>
      </c>
      <c r="O80" s="104" t="str">
        <f>IF(ISNUMBER(M80), $B91 * N80, "")</f>
        <v/>
      </c>
      <c r="Q80" s="173"/>
      <c r="R80" s="174"/>
      <c r="S80" s="175"/>
    </row>
    <row r="81" spans="1:19">
      <c r="A81" s="123" t="s">
        <v>57</v>
      </c>
      <c r="B81" s="124">
        <v>222</v>
      </c>
      <c r="C81" s="76">
        <v>4.5248869000000004E-3</v>
      </c>
      <c r="D81" s="13"/>
      <c r="E81" s="14" t="str">
        <f>IF(ISNUMBER(D81), (D81 - $B81) / $B81, "")</f>
        <v/>
      </c>
      <c r="F81" s="16" t="str">
        <f>IF(ISNUMBER(D81), $B91 * E81, "")</f>
        <v/>
      </c>
      <c r="G81" s="29"/>
      <c r="H81" s="14" t="str">
        <f>IF(ISNUMBER(G81), (G81 - $B81) / $B81, "")</f>
        <v/>
      </c>
      <c r="I81" s="100" t="str">
        <f>IF(ISNUMBER(G81), $B91 * H81, "")</f>
        <v/>
      </c>
      <c r="J81" s="13"/>
      <c r="K81" s="14" t="str">
        <f>IF(ISNUMBER(J81), (J81 - $B81) / $B81, "")</f>
        <v/>
      </c>
      <c r="L81" s="16" t="str">
        <f>IF(ISNUMBER(J81), $B91 * K81, "")</f>
        <v/>
      </c>
      <c r="M81" s="29"/>
      <c r="N81" s="14" t="str">
        <f>IF(ISNUMBER(M81), (M81 - $B81) / $B81, "")</f>
        <v/>
      </c>
      <c r="O81" s="16" t="str">
        <f>IF(ISNUMBER(M81), $B91 * N81, "")</f>
        <v/>
      </c>
      <c r="Q81" s="176"/>
      <c r="R81" s="177"/>
      <c r="S81" s="178"/>
    </row>
    <row r="82" spans="1:19" ht="17.25" thickBot="1">
      <c r="A82" s="125" t="s">
        <v>296</v>
      </c>
      <c r="B82" s="126">
        <v>365</v>
      </c>
      <c r="C82" s="77">
        <v>-2.7322404000000001E-3</v>
      </c>
      <c r="D82" s="15"/>
      <c r="E82" s="32" t="str">
        <f t="shared" ref="E82:E85" si="38">IF(ISNUMBER(D82), (D82 - $B82) / $B82, "")</f>
        <v/>
      </c>
      <c r="F82" s="18" t="str">
        <f>IF(ISNUMBER(D82), $B91 * E82, "")</f>
        <v/>
      </c>
      <c r="G82" s="31"/>
      <c r="H82" s="32" t="str">
        <f t="shared" ref="H82:H85" si="39">IF(ISNUMBER(G82), (G82 - $B82) / $B82, "")</f>
        <v/>
      </c>
      <c r="I82" s="101" t="str">
        <f>IF(ISNUMBER(G82), $B91 * H82, "")</f>
        <v/>
      </c>
      <c r="J82" s="15"/>
      <c r="K82" s="32" t="str">
        <f t="shared" ref="K82:K85" si="40">IF(ISNUMBER(J82), (J82 - $B82) / $B82, "")</f>
        <v/>
      </c>
      <c r="L82" s="18" t="str">
        <f>IF(ISNUMBER(J82), $B91 * K82, "")</f>
        <v/>
      </c>
      <c r="M82" s="31"/>
      <c r="N82" s="32" t="str">
        <f t="shared" ref="N82:N85" si="41">IF(ISNUMBER(M82), (M82 - $B82) / $B82, "")</f>
        <v/>
      </c>
      <c r="O82" s="18" t="str">
        <f>IF(ISNUMBER(M82), $B91 * N82, "")</f>
        <v/>
      </c>
      <c r="Q82" s="179"/>
      <c r="R82" s="180"/>
      <c r="S82" s="181"/>
    </row>
    <row r="83" spans="1:19" ht="17.25" thickBot="1">
      <c r="A83" s="125" t="s">
        <v>270</v>
      </c>
      <c r="B83" s="126">
        <v>350</v>
      </c>
      <c r="C83" s="77">
        <v>-2.8490028000000001E-3</v>
      </c>
      <c r="D83" s="15"/>
      <c r="E83" s="32" t="str">
        <f t="shared" si="38"/>
        <v/>
      </c>
      <c r="F83" s="18" t="str">
        <f>IF(ISNUMBER(D83), $B91 * E83, "")</f>
        <v/>
      </c>
      <c r="G83" s="31"/>
      <c r="H83" s="32" t="str">
        <f t="shared" si="39"/>
        <v/>
      </c>
      <c r="I83" s="101" t="str">
        <f>IF(ISNUMBER(G83), $B91 * H83, "")</f>
        <v/>
      </c>
      <c r="J83" s="15"/>
      <c r="K83" s="32" t="str">
        <f t="shared" si="40"/>
        <v/>
      </c>
      <c r="L83" s="18" t="str">
        <f>IF(ISNUMBER(J83), $B91 * K83, "")</f>
        <v/>
      </c>
      <c r="M83" s="31"/>
      <c r="N83" s="32" t="str">
        <f t="shared" si="41"/>
        <v/>
      </c>
      <c r="O83" s="18" t="str">
        <f>IF(ISNUMBER(M83), $B91 * N83, "")</f>
        <v/>
      </c>
      <c r="Q83" s="172"/>
      <c r="R83" s="172"/>
      <c r="S83" s="172"/>
    </row>
    <row r="84" spans="1:19" ht="17.25" thickBot="1">
      <c r="A84" s="125" t="s">
        <v>54</v>
      </c>
      <c r="B84" s="126">
        <v>264</v>
      </c>
      <c r="C84" s="77">
        <v>-3.7735848999999998E-3</v>
      </c>
      <c r="D84" s="15"/>
      <c r="E84" s="32" t="str">
        <f t="shared" si="38"/>
        <v/>
      </c>
      <c r="F84" s="18" t="str">
        <f>IF(ISNUMBER(D84), $B91 * E84, "")</f>
        <v/>
      </c>
      <c r="G84" s="31"/>
      <c r="H84" s="32" t="str">
        <f t="shared" si="39"/>
        <v/>
      </c>
      <c r="I84" s="101" t="str">
        <f>IF(ISNUMBER(G84), $B91 * H84, "")</f>
        <v/>
      </c>
      <c r="J84" s="15"/>
      <c r="K84" s="32" t="str">
        <f t="shared" si="40"/>
        <v/>
      </c>
      <c r="L84" s="18" t="str">
        <f>IF(ISNUMBER(J84), $B91 * K84, "")</f>
        <v/>
      </c>
      <c r="M84" s="31"/>
      <c r="N84" s="32" t="str">
        <f t="shared" si="41"/>
        <v/>
      </c>
      <c r="O84" s="18" t="str">
        <f>IF(ISNUMBER(M84), $B91 * N84, "")</f>
        <v/>
      </c>
      <c r="Q84" s="182"/>
      <c r="R84" s="182"/>
      <c r="S84" s="182"/>
    </row>
    <row r="85" spans="1:19" ht="17.25" thickBot="1">
      <c r="A85" s="127" t="s">
        <v>88</v>
      </c>
      <c r="B85" s="128">
        <v>324</v>
      </c>
      <c r="C85" s="78">
        <v>-1.2195121999999999E-2</v>
      </c>
      <c r="D85" s="20"/>
      <c r="E85" s="21" t="str">
        <f t="shared" si="38"/>
        <v/>
      </c>
      <c r="F85" s="22" t="str">
        <f>IF(ISNUMBER(D85), $B91 * E85, "")</f>
        <v/>
      </c>
      <c r="G85" s="30"/>
      <c r="H85" s="21" t="str">
        <f t="shared" si="39"/>
        <v/>
      </c>
      <c r="I85" s="105" t="str">
        <f>IF(ISNUMBER(G85), $B91 * H85, "")</f>
        <v/>
      </c>
      <c r="J85" s="20"/>
      <c r="K85" s="21" t="str">
        <f t="shared" si="40"/>
        <v/>
      </c>
      <c r="L85" s="22" t="str">
        <f>IF(ISNUMBER(J85), $B91 * K85, "")</f>
        <v/>
      </c>
      <c r="M85" s="30"/>
      <c r="N85" s="21" t="str">
        <f t="shared" si="41"/>
        <v/>
      </c>
      <c r="O85" s="22" t="str">
        <f>IF(ISNUMBER(M85), $B91 * N85, "")</f>
        <v/>
      </c>
      <c r="Q85" s="182"/>
      <c r="R85" s="182"/>
      <c r="S85" s="182"/>
    </row>
    <row r="86" spans="1:19" ht="17.25" thickBot="1">
      <c r="A86" s="125" t="s">
        <v>174</v>
      </c>
      <c r="B86" s="129">
        <v>197</v>
      </c>
      <c r="C86" s="80">
        <v>-1.4999999999999999E-2</v>
      </c>
      <c r="D86" s="106"/>
      <c r="E86" s="107" t="str">
        <f>IF(ISNUMBER(D86), (D86 - $B86) / $B86, "")</f>
        <v/>
      </c>
      <c r="F86" s="108" t="str">
        <f>IF(ISNUMBER(D86), $B91 * E86, "")</f>
        <v/>
      </c>
      <c r="G86" s="109"/>
      <c r="H86" s="107" t="str">
        <f>IF(ISNUMBER(G86), (G86 - $B86) / $B86, "")</f>
        <v/>
      </c>
      <c r="I86" s="110" t="str">
        <f>IF(ISNUMBER(G86), $B91 * H86, "")</f>
        <v/>
      </c>
      <c r="J86" s="106"/>
      <c r="K86" s="107" t="str">
        <f>IF(ISNUMBER(J86), (J86 - $B86) / $B86, "")</f>
        <v/>
      </c>
      <c r="L86" s="108" t="str">
        <f>IF(ISNUMBER(J86), $B91 * K86, "")</f>
        <v/>
      </c>
      <c r="M86" s="109"/>
      <c r="N86" s="107" t="str">
        <f>IF(ISNUMBER(M86), (M86 - $B86) / $B86, "")</f>
        <v/>
      </c>
      <c r="O86" s="108" t="str">
        <f>IF(ISNUMBER(M86), $B91 * N86, "")</f>
        <v/>
      </c>
      <c r="Q86" s="172"/>
      <c r="R86" s="172"/>
      <c r="S86" s="172"/>
    </row>
    <row r="87" spans="1:19" ht="17.25" thickBot="1">
      <c r="A87" s="125" t="s">
        <v>262</v>
      </c>
      <c r="B87" s="126">
        <v>638</v>
      </c>
      <c r="C87" s="77">
        <v>-1.54320988E-2</v>
      </c>
      <c r="D87" s="15"/>
      <c r="E87" s="32" t="str">
        <f t="shared" ref="E87:E90" si="42">IF(ISNUMBER(D87), (D87 - $B87) / $B87, "")</f>
        <v/>
      </c>
      <c r="F87" s="18" t="str">
        <f>IF(ISNUMBER(D87), $B91 * E87, "")</f>
        <v/>
      </c>
      <c r="G87" s="31"/>
      <c r="H87" s="32" t="str">
        <f t="shared" ref="H87:H90" si="43">IF(ISNUMBER(G87), (G87 - $B87) / $B87, "")</f>
        <v/>
      </c>
      <c r="I87" s="101" t="str">
        <f>IF(ISNUMBER(G87), $B91 * H87, "")</f>
        <v/>
      </c>
      <c r="J87" s="15"/>
      <c r="K87" s="32" t="str">
        <f t="shared" ref="K87:K90" si="44">IF(ISNUMBER(J87), (J87 - $B87) / $B87, "")</f>
        <v/>
      </c>
      <c r="L87" s="18" t="str">
        <f>IF(ISNUMBER(J87), $B91 * K87, "")</f>
        <v/>
      </c>
      <c r="M87" s="31"/>
      <c r="N87" s="32" t="str">
        <f t="shared" ref="N87:N90" si="45">IF(ISNUMBER(M87), (M87 - $B87) / $B87, "")</f>
        <v/>
      </c>
      <c r="O87" s="18" t="str">
        <f>IF(ISNUMBER(M87), $B91 * N87, "")</f>
        <v/>
      </c>
      <c r="Q87" s="172"/>
      <c r="R87" s="172"/>
      <c r="S87" s="172"/>
    </row>
    <row r="88" spans="1:19" ht="17.25" thickBot="1">
      <c r="A88" s="125" t="s">
        <v>128</v>
      </c>
      <c r="B88" s="126">
        <v>375</v>
      </c>
      <c r="C88" s="77">
        <v>-1.5748031499999999E-2</v>
      </c>
      <c r="D88" s="15"/>
      <c r="E88" s="32" t="str">
        <f t="shared" si="42"/>
        <v/>
      </c>
      <c r="F88" s="18" t="str">
        <f>IF(ISNUMBER(D88), $B91 * E88, "")</f>
        <v/>
      </c>
      <c r="G88" s="31"/>
      <c r="H88" s="32" t="str">
        <f t="shared" si="43"/>
        <v/>
      </c>
      <c r="I88" s="101" t="str">
        <f>IF(ISNUMBER(G88), $B91 * H88, "")</f>
        <v/>
      </c>
      <c r="J88" s="15"/>
      <c r="K88" s="32" t="str">
        <f t="shared" si="44"/>
        <v/>
      </c>
      <c r="L88" s="18" t="str">
        <f>IF(ISNUMBER(J88), $B91 * K88, "")</f>
        <v/>
      </c>
      <c r="M88" s="31"/>
      <c r="N88" s="32" t="str">
        <f t="shared" si="45"/>
        <v/>
      </c>
      <c r="O88" s="18" t="str">
        <f>IF(ISNUMBER(M88), $B91 * N88, "")</f>
        <v/>
      </c>
      <c r="Q88" s="172"/>
      <c r="R88" s="172"/>
      <c r="S88" s="172"/>
    </row>
    <row r="89" spans="1:19">
      <c r="A89" s="125" t="s">
        <v>116</v>
      </c>
      <c r="B89" s="126">
        <v>376</v>
      </c>
      <c r="C89" s="77">
        <v>-2.08333333E-2</v>
      </c>
      <c r="D89" s="15"/>
      <c r="E89" s="32" t="str">
        <f t="shared" si="42"/>
        <v/>
      </c>
      <c r="F89" s="18" t="str">
        <f>IF(ISNUMBER(D89), $B91 * E89, "")</f>
        <v/>
      </c>
      <c r="G89" s="31"/>
      <c r="H89" s="32" t="str">
        <f t="shared" si="43"/>
        <v/>
      </c>
      <c r="I89" s="101" t="str">
        <f>IF(ISNUMBER(G89), $B91 * H89, "")</f>
        <v/>
      </c>
      <c r="J89" s="15"/>
      <c r="K89" s="32" t="str">
        <f t="shared" si="44"/>
        <v/>
      </c>
      <c r="L89" s="18" t="str">
        <f>IF(ISNUMBER(J89), $B91 * K89, "")</f>
        <v/>
      </c>
      <c r="M89" s="31"/>
      <c r="N89" s="32" t="str">
        <f t="shared" si="45"/>
        <v/>
      </c>
      <c r="O89" s="18" t="str">
        <f>IF(ISNUMBER(M89), $B91 * N89, "")</f>
        <v/>
      </c>
      <c r="Q89" s="161"/>
      <c r="R89" s="162"/>
      <c r="S89" s="163"/>
    </row>
    <row r="90" spans="1:19" ht="17.25" thickBot="1">
      <c r="A90" s="130" t="s">
        <v>82</v>
      </c>
      <c r="B90" s="131">
        <v>987</v>
      </c>
      <c r="C90" s="79">
        <v>-2.27722772E-2</v>
      </c>
      <c r="D90" s="24"/>
      <c r="E90" s="25" t="str">
        <f t="shared" si="42"/>
        <v/>
      </c>
      <c r="F90" s="104" t="str">
        <f>IF(ISNUMBER(D90), $B91 * E90, "")</f>
        <v/>
      </c>
      <c r="G90" s="102"/>
      <c r="H90" s="25" t="str">
        <f t="shared" si="43"/>
        <v/>
      </c>
      <c r="I90" s="103" t="str">
        <f>IF(ISNUMBER(G90), $B91 * H90, "")</f>
        <v/>
      </c>
      <c r="J90" s="24"/>
      <c r="K90" s="25" t="str">
        <f t="shared" si="44"/>
        <v/>
      </c>
      <c r="L90" s="104" t="str">
        <f>IF(ISNUMBER(J90), $B91 * K90, "")</f>
        <v/>
      </c>
      <c r="M90" s="102"/>
      <c r="N90" s="25" t="str">
        <f t="shared" si="45"/>
        <v/>
      </c>
      <c r="O90" s="104" t="str">
        <f>IF(ISNUMBER(M90), $B91 * N90, "")</f>
        <v/>
      </c>
      <c r="Q90" s="164"/>
      <c r="R90" s="165"/>
      <c r="S90" s="166"/>
    </row>
    <row r="91" spans="1:19" ht="17.25" thickBot="1">
      <c r="A91" s="132" t="s">
        <v>300</v>
      </c>
      <c r="B91" s="225">
        <f>$B$37</f>
        <v>150000</v>
      </c>
      <c r="C91" s="226"/>
      <c r="D91" s="26" t="s">
        <v>301</v>
      </c>
      <c r="E91" s="27">
        <f>IF(COUNT(E71:E90), SUM(E71:E90) / COUNT(E71:E90), 0)</f>
        <v>0</v>
      </c>
      <c r="F91" s="28">
        <f>SUM(F71:F90)</f>
        <v>0</v>
      </c>
      <c r="G91" s="26" t="s">
        <v>301</v>
      </c>
      <c r="H91" s="27">
        <f>IF(COUNT(H71:H90), SUM(H71:H90) / COUNT(H71:H90), 0)</f>
        <v>0</v>
      </c>
      <c r="I91" s="28">
        <f>SUM(I71:I90)</f>
        <v>0</v>
      </c>
      <c r="J91" s="26" t="s">
        <v>301</v>
      </c>
      <c r="K91" s="27">
        <f>IF(COUNT(K71:K90), SUM(K71:K90) / COUNT(K71:K90), 0)</f>
        <v>0</v>
      </c>
      <c r="L91" s="28">
        <f>SUM(L71:L90)</f>
        <v>0</v>
      </c>
      <c r="M91" s="26" t="s">
        <v>301</v>
      </c>
      <c r="N91" s="27">
        <f>IF(COUNT(N71:N90), SUM(N71:N90) / COUNT(N71:N90), 0)</f>
        <v>0</v>
      </c>
      <c r="O91" s="28">
        <f>SUM(O71:O90)</f>
        <v>0</v>
      </c>
      <c r="Q91" s="167"/>
      <c r="R91" s="168"/>
      <c r="S91" s="169"/>
    </row>
    <row r="93" spans="1:19" ht="17.25" thickBot="1"/>
    <row r="94" spans="1:19" ht="17.25" thickBot="1">
      <c r="A94" s="183" t="s">
        <v>46</v>
      </c>
      <c r="B94" s="184"/>
      <c r="C94" s="184"/>
      <c r="D94" s="184"/>
      <c r="E94" s="184"/>
      <c r="F94" s="184"/>
      <c r="G94" s="184"/>
      <c r="H94" s="184"/>
      <c r="I94" s="184"/>
      <c r="J94" s="184"/>
      <c r="K94" s="184"/>
      <c r="L94" s="184"/>
      <c r="M94" s="184"/>
      <c r="N94" s="184"/>
      <c r="O94" s="185"/>
      <c r="Q94" s="182"/>
      <c r="R94" s="182"/>
      <c r="S94" s="182"/>
    </row>
    <row r="95" spans="1:19" ht="17.25" thickBot="1">
      <c r="A95" s="157" t="s">
        <v>297</v>
      </c>
      <c r="B95" s="183" t="s">
        <v>49</v>
      </c>
      <c r="C95" s="185"/>
      <c r="D95" s="183" t="s">
        <v>58</v>
      </c>
      <c r="E95" s="184"/>
      <c r="F95" s="185"/>
      <c r="G95" s="186">
        <f>_xlfn.IFNA(VLOOKUP(B95, 현재가테이블!$B$2:$D$200, 2, FALSE), "-")</f>
        <v>43214000</v>
      </c>
      <c r="H95" s="187"/>
      <c r="I95" s="188"/>
      <c r="J95" s="183" t="s">
        <v>59</v>
      </c>
      <c r="K95" s="184"/>
      <c r="L95" s="185"/>
      <c r="M95" s="189">
        <f>_xlfn.IFNA(VLOOKUP(B95, 현재가테이블!$B$2:$D$200, 3, FALSE), "-")</f>
        <v>8.5693770000000002E-4</v>
      </c>
      <c r="N95" s="190"/>
      <c r="O95" s="191"/>
      <c r="Q95" s="182"/>
      <c r="R95" s="182"/>
      <c r="S95" s="182"/>
    </row>
    <row r="96" spans="1:19" ht="17.25" thickBot="1">
      <c r="A96" s="227" t="s">
        <v>55</v>
      </c>
      <c r="B96" s="223" t="str">
        <f>TEXT($G$1, "[$-ko-KR]yyyy-mm-dd(ddd) ") &amp; "오전 00:00"</f>
        <v>2021-06-01(화) 오전 00:00</v>
      </c>
      <c r="C96" s="224"/>
      <c r="D96" s="196" t="str">
        <f>TEXT($G$1, "[$-ko-KR]yyyy-mm-dd(ddd) ") &amp; "오후 14:00"</f>
        <v>2021-06-01(화) 오후 14:00</v>
      </c>
      <c r="E96" s="197"/>
      <c r="F96" s="198"/>
      <c r="G96" s="196" t="str">
        <f>TEXT($G$1, "[$-ko-KR]yyyy-mm-dd(ddd) ") &amp; "오후 19:00"</f>
        <v>2021-06-01(화) 오후 19:00</v>
      </c>
      <c r="H96" s="197"/>
      <c r="I96" s="198"/>
      <c r="J96" s="196" t="str">
        <f>TEXT($G$1, "[$-ko-KR]yyyy-mm-dd(ddd) ") &amp; "오후 21:00"</f>
        <v>2021-06-01(화) 오후 21:00</v>
      </c>
      <c r="K96" s="197"/>
      <c r="L96" s="198"/>
      <c r="M96" s="196" t="str">
        <f>TEXT($G$1+1, "[$-ko-KR]yyyy-mm-dd(ddd) ") &amp; "오전 00:00"</f>
        <v>2021-06-02(수) 오전 00:00</v>
      </c>
      <c r="N96" s="197"/>
      <c r="O96" s="198"/>
      <c r="Q96" s="182"/>
      <c r="R96" s="182"/>
      <c r="S96" s="182"/>
    </row>
    <row r="97" spans="1:19" ht="17.25" thickBot="1">
      <c r="A97" s="228"/>
      <c r="B97" s="121" t="s">
        <v>58</v>
      </c>
      <c r="C97" s="122" t="s">
        <v>59</v>
      </c>
      <c r="D97" s="2" t="s">
        <v>58</v>
      </c>
      <c r="E97" s="10" t="s">
        <v>298</v>
      </c>
      <c r="F97" s="11" t="s">
        <v>299</v>
      </c>
      <c r="G97" s="158" t="s">
        <v>58</v>
      </c>
      <c r="H97" s="159" t="s">
        <v>298</v>
      </c>
      <c r="I97" s="160" t="s">
        <v>299</v>
      </c>
      <c r="J97" s="10" t="s">
        <v>58</v>
      </c>
      <c r="K97" s="10" t="s">
        <v>298</v>
      </c>
      <c r="L97" s="115" t="s">
        <v>299</v>
      </c>
      <c r="M97" s="2" t="s">
        <v>58</v>
      </c>
      <c r="N97" s="10" t="s">
        <v>298</v>
      </c>
      <c r="O97" s="66" t="s">
        <v>299</v>
      </c>
      <c r="Q97" s="172"/>
      <c r="R97" s="172"/>
      <c r="S97" s="172"/>
    </row>
    <row r="98" spans="1:19" ht="17.25" thickBot="1">
      <c r="A98" s="123" t="s">
        <v>92</v>
      </c>
      <c r="B98" s="124">
        <v>1180</v>
      </c>
      <c r="C98" s="76">
        <v>7.7625570800000002E-2</v>
      </c>
      <c r="D98" s="13"/>
      <c r="E98" s="14" t="str">
        <f>IF(ISNUMBER(D98), (D98 - $B98) / $B98, "")</f>
        <v/>
      </c>
      <c r="F98" s="16" t="str">
        <f>IF(ISNUMBER(D98), $B118 * E98, "")</f>
        <v/>
      </c>
      <c r="G98" s="29"/>
      <c r="H98" s="14" t="str">
        <f>IF(ISNUMBER(G98), (G98 - $B98) / $B98, "")</f>
        <v/>
      </c>
      <c r="I98" s="100" t="str">
        <f>IF(ISNUMBER(G98), $B118 * H98, "")</f>
        <v/>
      </c>
      <c r="J98" s="13"/>
      <c r="K98" s="14" t="str">
        <f>IF(ISNUMBER(J98), (J98 - $B98) / $B98, "")</f>
        <v/>
      </c>
      <c r="L98" s="16" t="str">
        <f>IF(ISNUMBER(J98), $B118 * K98, "")</f>
        <v/>
      </c>
      <c r="M98" s="29"/>
      <c r="N98" s="14" t="str">
        <f>IF(ISNUMBER(M98), (M98 - $B98) / $B98, "")</f>
        <v/>
      </c>
      <c r="O98" s="16" t="str">
        <f>IF(ISNUMBER(M98), $B118 * N98, "")</f>
        <v/>
      </c>
      <c r="Q98" s="182"/>
      <c r="R98" s="182"/>
      <c r="S98" s="182"/>
    </row>
    <row r="99" spans="1:19" ht="17.25" thickBot="1">
      <c r="A99" s="125" t="s">
        <v>120</v>
      </c>
      <c r="B99" s="126">
        <v>146</v>
      </c>
      <c r="C99" s="77">
        <v>7.35294118E-2</v>
      </c>
      <c r="D99" s="15"/>
      <c r="E99" s="32" t="str">
        <f t="shared" ref="E99:E102" si="46">IF(ISNUMBER(D99), (D99 - $B99) / $B99, "")</f>
        <v/>
      </c>
      <c r="F99" s="18" t="str">
        <f>IF(ISNUMBER(D99), $B118 * E99, "")</f>
        <v/>
      </c>
      <c r="G99" s="31"/>
      <c r="H99" s="32" t="str">
        <f t="shared" ref="H99:H102" si="47">IF(ISNUMBER(G99), (G99 - $B99) / $B99, "")</f>
        <v/>
      </c>
      <c r="I99" s="101" t="str">
        <f>IF(ISNUMBER(G99), $B118 * H99, "")</f>
        <v/>
      </c>
      <c r="J99" s="15"/>
      <c r="K99" s="32" t="str">
        <f t="shared" ref="K99:K102" si="48">IF(ISNUMBER(J99), (J99 - $B99) / $B99, "")</f>
        <v/>
      </c>
      <c r="L99" s="18" t="str">
        <f>IF(ISNUMBER(J99), $B118 * K99, "")</f>
        <v/>
      </c>
      <c r="M99" s="31"/>
      <c r="N99" s="32" t="str">
        <f t="shared" ref="N99:N102" si="49">IF(ISNUMBER(M99), (M99 - $B99) / $B99, "")</f>
        <v/>
      </c>
      <c r="O99" s="18" t="str">
        <f>IF(ISNUMBER(M99), $B118 * N99, "")</f>
        <v/>
      </c>
      <c r="Q99" s="182"/>
      <c r="R99" s="182"/>
      <c r="S99" s="182"/>
    </row>
    <row r="100" spans="1:19" ht="17.25" thickBot="1">
      <c r="A100" s="125" t="s">
        <v>132</v>
      </c>
      <c r="B100" s="126">
        <v>139</v>
      </c>
      <c r="C100" s="77">
        <v>6.10687023E-2</v>
      </c>
      <c r="D100" s="15"/>
      <c r="E100" s="32" t="str">
        <f t="shared" si="46"/>
        <v/>
      </c>
      <c r="F100" s="18" t="str">
        <f>IF(ISNUMBER(D100), $B118 * E100, "")</f>
        <v/>
      </c>
      <c r="G100" s="31"/>
      <c r="H100" s="32" t="str">
        <f t="shared" si="47"/>
        <v/>
      </c>
      <c r="I100" s="101" t="str">
        <f>IF(ISNUMBER(G100), $B118 * H100, "")</f>
        <v/>
      </c>
      <c r="J100" s="15"/>
      <c r="K100" s="32" t="str">
        <f t="shared" si="48"/>
        <v/>
      </c>
      <c r="L100" s="18" t="str">
        <f>IF(ISNUMBER(J100), $B118 * K100, "")</f>
        <v/>
      </c>
      <c r="M100" s="31"/>
      <c r="N100" s="32" t="str">
        <f t="shared" si="49"/>
        <v/>
      </c>
      <c r="O100" s="18" t="str">
        <f>IF(ISNUMBER(M100), $B118 * N100, "")</f>
        <v/>
      </c>
      <c r="Q100" s="172"/>
      <c r="R100" s="172"/>
      <c r="S100" s="172"/>
    </row>
    <row r="101" spans="1:19" ht="17.25" thickBot="1">
      <c r="A101" s="125" t="s">
        <v>76</v>
      </c>
      <c r="B101" s="126">
        <v>34270</v>
      </c>
      <c r="C101" s="77">
        <v>5.2518427499999999E-2</v>
      </c>
      <c r="D101" s="15"/>
      <c r="E101" s="32" t="str">
        <f t="shared" si="46"/>
        <v/>
      </c>
      <c r="F101" s="18" t="str">
        <f>IF(ISNUMBER(D101), $B118 * E101, "")</f>
        <v/>
      </c>
      <c r="G101" s="31"/>
      <c r="H101" s="32" t="str">
        <f t="shared" si="47"/>
        <v/>
      </c>
      <c r="I101" s="101" t="str">
        <f>IF(ISNUMBER(G101), $B118 * H101, "")</f>
        <v/>
      </c>
      <c r="J101" s="15"/>
      <c r="K101" s="32" t="str">
        <f t="shared" si="48"/>
        <v/>
      </c>
      <c r="L101" s="18" t="str">
        <f>IF(ISNUMBER(J101), $B118 * K101, "")</f>
        <v/>
      </c>
      <c r="M101" s="31"/>
      <c r="N101" s="32" t="str">
        <f t="shared" si="49"/>
        <v/>
      </c>
      <c r="O101" s="18" t="str">
        <f>IF(ISNUMBER(M101), $B118 * N101, "")</f>
        <v/>
      </c>
      <c r="Q101" s="172"/>
      <c r="R101" s="172"/>
      <c r="S101" s="172"/>
    </row>
    <row r="102" spans="1:19" ht="17.25" thickBot="1">
      <c r="A102" s="127" t="s">
        <v>96</v>
      </c>
      <c r="B102" s="128">
        <v>3015000</v>
      </c>
      <c r="C102" s="78">
        <v>4.1450777199999997E-2</v>
      </c>
      <c r="D102" s="20"/>
      <c r="E102" s="21" t="str">
        <f t="shared" si="46"/>
        <v/>
      </c>
      <c r="F102" s="22" t="str">
        <f>IF(ISNUMBER(D102), $B118 * E102, "")</f>
        <v/>
      </c>
      <c r="G102" s="30"/>
      <c r="H102" s="21" t="str">
        <f t="shared" si="47"/>
        <v/>
      </c>
      <c r="I102" s="105" t="str">
        <f>IF(ISNUMBER(G102), $B118 * H102, "")</f>
        <v/>
      </c>
      <c r="J102" s="20"/>
      <c r="K102" s="21" t="str">
        <f t="shared" si="48"/>
        <v/>
      </c>
      <c r="L102" s="22" t="str">
        <f>IF(ISNUMBER(J102), $B118 * K102, "")</f>
        <v/>
      </c>
      <c r="M102" s="30"/>
      <c r="N102" s="21" t="str">
        <f t="shared" si="49"/>
        <v/>
      </c>
      <c r="O102" s="22" t="str">
        <f>IF(ISNUMBER(M102), $B118 * N102, "")</f>
        <v/>
      </c>
      <c r="Q102" s="172"/>
      <c r="R102" s="172"/>
      <c r="S102" s="172"/>
    </row>
    <row r="103" spans="1:19" ht="17.25" thickBot="1">
      <c r="A103" s="125" t="s">
        <v>158</v>
      </c>
      <c r="B103" s="129">
        <v>5720</v>
      </c>
      <c r="C103" s="80">
        <v>0.04</v>
      </c>
      <c r="D103" s="106"/>
      <c r="E103" s="107" t="str">
        <f>IF(ISNUMBER(D103), (D103 - $B103) / $B103, "")</f>
        <v/>
      </c>
      <c r="F103" s="108" t="str">
        <f>IF(ISNUMBER(D103), $B118 * E103, "")</f>
        <v/>
      </c>
      <c r="G103" s="109"/>
      <c r="H103" s="107" t="str">
        <f>IF(ISNUMBER(G103), (G103 - $B103) / $B103, "")</f>
        <v/>
      </c>
      <c r="I103" s="110" t="str">
        <f>IF(ISNUMBER(G103), $B118 * H103, "")</f>
        <v/>
      </c>
      <c r="J103" s="106"/>
      <c r="K103" s="107" t="str">
        <f>IF(ISNUMBER(J103), (J103 - $B103) / $B103, "")</f>
        <v/>
      </c>
      <c r="L103" s="108" t="str">
        <f>IF(ISNUMBER(J103), $B118 * K103, "")</f>
        <v/>
      </c>
      <c r="M103" s="109"/>
      <c r="N103" s="107" t="str">
        <f>IF(ISNUMBER(M103), (M103 - $B103) / $B103, "")</f>
        <v/>
      </c>
      <c r="O103" s="108" t="str">
        <f>IF(ISNUMBER(M103), $B118 * N103, "")</f>
        <v/>
      </c>
      <c r="Q103" s="172"/>
      <c r="R103" s="172"/>
      <c r="S103" s="172"/>
    </row>
    <row r="104" spans="1:19" ht="17.25" thickBot="1">
      <c r="A104" s="125" t="s">
        <v>74</v>
      </c>
      <c r="B104" s="126">
        <v>15830</v>
      </c>
      <c r="C104" s="77">
        <v>3.6673215500000002E-2</v>
      </c>
      <c r="D104" s="15"/>
      <c r="E104" s="32" t="str">
        <f t="shared" ref="E104:E107" si="50">IF(ISNUMBER(D104), (D104 - $B104) / $B104, "")</f>
        <v/>
      </c>
      <c r="F104" s="18" t="str">
        <f>IF(ISNUMBER(D104), $B118 * E104, "")</f>
        <v/>
      </c>
      <c r="G104" s="31"/>
      <c r="H104" s="32" t="str">
        <f t="shared" ref="H104:H107" si="51">IF(ISNUMBER(G104), (G104 - $B104) / $B104, "")</f>
        <v/>
      </c>
      <c r="I104" s="101" t="str">
        <f>IF(ISNUMBER(G104), $B118 * H104, "")</f>
        <v/>
      </c>
      <c r="J104" s="15"/>
      <c r="K104" s="32" t="str">
        <f t="shared" ref="K104:K107" si="52">IF(ISNUMBER(J104), (J104 - $B104) / $B104, "")</f>
        <v/>
      </c>
      <c r="L104" s="18" t="str">
        <f>IF(ISNUMBER(J104), $B118 * K104, "")</f>
        <v/>
      </c>
      <c r="M104" s="31"/>
      <c r="N104" s="32" t="str">
        <f t="shared" ref="N104:N107" si="53">IF(ISNUMBER(M104), (M104 - $B104) / $B104, "")</f>
        <v/>
      </c>
      <c r="O104" s="18" t="str">
        <f>IF(ISNUMBER(M104), $B118 * N104, "")</f>
        <v/>
      </c>
      <c r="Q104" s="172"/>
      <c r="R104" s="172"/>
      <c r="S104" s="172"/>
    </row>
    <row r="105" spans="1:19" ht="17.25" thickBot="1">
      <c r="A105" s="125" t="s">
        <v>148</v>
      </c>
      <c r="B105" s="126">
        <v>125</v>
      </c>
      <c r="C105" s="77">
        <v>3.3057851200000002E-2</v>
      </c>
      <c r="D105" s="15"/>
      <c r="E105" s="32" t="str">
        <f t="shared" si="50"/>
        <v/>
      </c>
      <c r="F105" s="18" t="str">
        <f>IF(ISNUMBER(D105), $B118 * E105, "")</f>
        <v/>
      </c>
      <c r="G105" s="31"/>
      <c r="H105" s="32" t="str">
        <f t="shared" si="51"/>
        <v/>
      </c>
      <c r="I105" s="101" t="str">
        <f>IF(ISNUMBER(G105), $B118 * H105, "")</f>
        <v/>
      </c>
      <c r="J105" s="15"/>
      <c r="K105" s="32" t="str">
        <f t="shared" si="52"/>
        <v/>
      </c>
      <c r="L105" s="18" t="str">
        <f>IF(ISNUMBER(J105), $B118 * K105, "")</f>
        <v/>
      </c>
      <c r="M105" s="31"/>
      <c r="N105" s="32" t="str">
        <f t="shared" si="53"/>
        <v/>
      </c>
      <c r="O105" s="18" t="str">
        <f>IF(ISNUMBER(M105), $B118 * N105, "")</f>
        <v/>
      </c>
      <c r="Q105" s="172"/>
      <c r="R105" s="172"/>
      <c r="S105" s="172"/>
    </row>
    <row r="106" spans="1:19" ht="17.25" thickBot="1">
      <c r="A106" s="125" t="s">
        <v>130</v>
      </c>
      <c r="B106" s="126">
        <v>213200</v>
      </c>
      <c r="C106" s="77">
        <v>3.14465409E-2</v>
      </c>
      <c r="D106" s="15"/>
      <c r="E106" s="32" t="str">
        <f t="shared" si="50"/>
        <v/>
      </c>
      <c r="F106" s="18" t="str">
        <f>IF(ISNUMBER(D106), $B118 * E106, "")</f>
        <v/>
      </c>
      <c r="G106" s="31"/>
      <c r="H106" s="32" t="str">
        <f t="shared" si="51"/>
        <v/>
      </c>
      <c r="I106" s="101" t="str">
        <f>IF(ISNUMBER(G106), $B118 * H106, "")</f>
        <v/>
      </c>
      <c r="J106" s="15"/>
      <c r="K106" s="32" t="str">
        <f t="shared" si="52"/>
        <v/>
      </c>
      <c r="L106" s="18" t="str">
        <f>IF(ISNUMBER(J106), $B118 * K106, "")</f>
        <v/>
      </c>
      <c r="M106" s="31"/>
      <c r="N106" s="32" t="str">
        <f t="shared" si="53"/>
        <v/>
      </c>
      <c r="O106" s="18" t="str">
        <f>IF(ISNUMBER(M106), $B118 * N106, "")</f>
        <v/>
      </c>
      <c r="Q106" s="33"/>
      <c r="R106" s="33"/>
    </row>
    <row r="107" spans="1:19" ht="17.25" thickBot="1">
      <c r="A107" s="130" t="s">
        <v>168</v>
      </c>
      <c r="B107" s="131">
        <v>107</v>
      </c>
      <c r="C107" s="79">
        <v>2.88461538E-2</v>
      </c>
      <c r="D107" s="24"/>
      <c r="E107" s="25" t="str">
        <f t="shared" si="50"/>
        <v/>
      </c>
      <c r="F107" s="104" t="str">
        <f>IF(ISNUMBER(D107), $B118 * E107, "")</f>
        <v/>
      </c>
      <c r="G107" s="102"/>
      <c r="H107" s="25" t="str">
        <f t="shared" si="51"/>
        <v/>
      </c>
      <c r="I107" s="103" t="str">
        <f>IF(ISNUMBER(G107), $B118 * H107, "")</f>
        <v/>
      </c>
      <c r="J107" s="24"/>
      <c r="K107" s="25" t="str">
        <f t="shared" si="52"/>
        <v/>
      </c>
      <c r="L107" s="104" t="str">
        <f>IF(ISNUMBER(J107), $B118 * K107, "")</f>
        <v/>
      </c>
      <c r="M107" s="102"/>
      <c r="N107" s="25" t="str">
        <f t="shared" si="53"/>
        <v/>
      </c>
      <c r="O107" s="104" t="str">
        <f>IF(ISNUMBER(M107), $B118 * N107, "")</f>
        <v/>
      </c>
      <c r="Q107" s="173"/>
      <c r="R107" s="174"/>
      <c r="S107" s="175"/>
    </row>
    <row r="108" spans="1:19">
      <c r="A108" s="123" t="s">
        <v>118</v>
      </c>
      <c r="B108" s="124">
        <v>4065</v>
      </c>
      <c r="C108" s="76">
        <v>2.7812895099999999E-2</v>
      </c>
      <c r="D108" s="13"/>
      <c r="E108" s="14" t="str">
        <f>IF(ISNUMBER(D108), (D108 - $B108) / $B108, "")</f>
        <v/>
      </c>
      <c r="F108" s="16" t="str">
        <f>IF(ISNUMBER(D108), $B118 * E108, "")</f>
        <v/>
      </c>
      <c r="G108" s="29"/>
      <c r="H108" s="14" t="str">
        <f>IF(ISNUMBER(G108), (G108 - $B108) / $B108, "")</f>
        <v/>
      </c>
      <c r="I108" s="100" t="str">
        <f>IF(ISNUMBER(G108), $B118 * H108, "")</f>
        <v/>
      </c>
      <c r="J108" s="13"/>
      <c r="K108" s="14" t="str">
        <f>IF(ISNUMBER(J108), (J108 - $B108) / $B108, "")</f>
        <v/>
      </c>
      <c r="L108" s="16" t="str">
        <f>IF(ISNUMBER(J108), $B118 * K108, "")</f>
        <v/>
      </c>
      <c r="M108" s="29"/>
      <c r="N108" s="14" t="str">
        <f>IF(ISNUMBER(M108), (M108 - $B108) / $B108, "")</f>
        <v/>
      </c>
      <c r="O108" s="16" t="str">
        <f>IF(ISNUMBER(M108), $B118 * N108, "")</f>
        <v/>
      </c>
      <c r="Q108" s="176"/>
      <c r="R108" s="177"/>
      <c r="S108" s="178"/>
    </row>
    <row r="109" spans="1:19" ht="17.25" thickBot="1">
      <c r="A109" s="125" t="s">
        <v>126</v>
      </c>
      <c r="B109" s="126">
        <v>29.9</v>
      </c>
      <c r="C109" s="77">
        <v>2.74914089E-2</v>
      </c>
      <c r="D109" s="15"/>
      <c r="E109" s="32" t="str">
        <f t="shared" ref="E109:E112" si="54">IF(ISNUMBER(D109), (D109 - $B109) / $B109, "")</f>
        <v/>
      </c>
      <c r="F109" s="18" t="str">
        <f>IF(ISNUMBER(D109), $B118 * E109, "")</f>
        <v/>
      </c>
      <c r="G109" s="31"/>
      <c r="H109" s="32" t="str">
        <f t="shared" ref="H109:H112" si="55">IF(ISNUMBER(G109), (G109 - $B109) / $B109, "")</f>
        <v/>
      </c>
      <c r="I109" s="101" t="str">
        <f>IF(ISNUMBER(G109), $B118 * H109, "")</f>
        <v/>
      </c>
      <c r="J109" s="15"/>
      <c r="K109" s="32" t="str">
        <f t="shared" ref="K109:K112" si="56">IF(ISNUMBER(J109), (J109 - $B109) / $B109, "")</f>
        <v/>
      </c>
      <c r="L109" s="18" t="str">
        <f>IF(ISNUMBER(J109), $B118 * K109, "")</f>
        <v/>
      </c>
      <c r="M109" s="31"/>
      <c r="N109" s="32" t="str">
        <f t="shared" ref="N109:N112" si="57">IF(ISNUMBER(M109), (M109 - $B109) / $B109, "")</f>
        <v/>
      </c>
      <c r="O109" s="18" t="str">
        <f>IF(ISNUMBER(M109), $B118 * N109, "")</f>
        <v/>
      </c>
      <c r="Q109" s="179"/>
      <c r="R109" s="180"/>
      <c r="S109" s="181"/>
    </row>
    <row r="110" spans="1:19" ht="17.25" thickBot="1">
      <c r="A110" s="125" t="s">
        <v>166</v>
      </c>
      <c r="B110" s="126">
        <v>1270</v>
      </c>
      <c r="C110" s="77">
        <v>2.4193548400000001E-2</v>
      </c>
      <c r="D110" s="15"/>
      <c r="E110" s="32" t="str">
        <f t="shared" si="54"/>
        <v/>
      </c>
      <c r="F110" s="18" t="str">
        <f>IF(ISNUMBER(D110), $B118 * E110, "")</f>
        <v/>
      </c>
      <c r="G110" s="31"/>
      <c r="H110" s="32" t="str">
        <f t="shared" si="55"/>
        <v/>
      </c>
      <c r="I110" s="101" t="str">
        <f>IF(ISNUMBER(G110), $B118 * H110, "")</f>
        <v/>
      </c>
      <c r="J110" s="15"/>
      <c r="K110" s="32" t="str">
        <f t="shared" si="56"/>
        <v/>
      </c>
      <c r="L110" s="18" t="str">
        <f>IF(ISNUMBER(J110), $B118 * K110, "")</f>
        <v/>
      </c>
      <c r="M110" s="31"/>
      <c r="N110" s="32" t="str">
        <f t="shared" si="57"/>
        <v/>
      </c>
      <c r="O110" s="18" t="str">
        <f>IF(ISNUMBER(M110), $B118 * N110, "")</f>
        <v/>
      </c>
      <c r="Q110" s="172"/>
      <c r="R110" s="172"/>
      <c r="S110" s="172"/>
    </row>
    <row r="111" spans="1:19" ht="17.25" thickBot="1">
      <c r="A111" s="125" t="s">
        <v>98</v>
      </c>
      <c r="B111" s="126">
        <v>4070</v>
      </c>
      <c r="C111" s="77">
        <v>2.2613065299999999E-2</v>
      </c>
      <c r="D111" s="15"/>
      <c r="E111" s="32" t="str">
        <f t="shared" si="54"/>
        <v/>
      </c>
      <c r="F111" s="18" t="str">
        <f>IF(ISNUMBER(D111), $B118 * E111, "")</f>
        <v/>
      </c>
      <c r="G111" s="31"/>
      <c r="H111" s="32" t="str">
        <f t="shared" si="55"/>
        <v/>
      </c>
      <c r="I111" s="101" t="str">
        <f>IF(ISNUMBER(G111), $B118 * H111, "")</f>
        <v/>
      </c>
      <c r="J111" s="15"/>
      <c r="K111" s="32" t="str">
        <f t="shared" si="56"/>
        <v/>
      </c>
      <c r="L111" s="18" t="str">
        <f>IF(ISNUMBER(J111), $B118 * K111, "")</f>
        <v/>
      </c>
      <c r="M111" s="31"/>
      <c r="N111" s="32" t="str">
        <f t="shared" si="57"/>
        <v/>
      </c>
      <c r="O111" s="18" t="str">
        <f>IF(ISNUMBER(M111), $B118 * N111, "")</f>
        <v/>
      </c>
      <c r="Q111" s="182"/>
      <c r="R111" s="182"/>
      <c r="S111" s="182"/>
    </row>
    <row r="112" spans="1:19" ht="17.25" thickBot="1">
      <c r="A112" s="127" t="s">
        <v>51</v>
      </c>
      <c r="B112" s="128">
        <v>465</v>
      </c>
      <c r="C112" s="78">
        <v>2.1978022E-2</v>
      </c>
      <c r="D112" s="20"/>
      <c r="E112" s="21" t="str">
        <f t="shared" si="54"/>
        <v/>
      </c>
      <c r="F112" s="22" t="str">
        <f>IF(ISNUMBER(D112), $B118 * E112, "")</f>
        <v/>
      </c>
      <c r="G112" s="30"/>
      <c r="H112" s="21" t="str">
        <f t="shared" si="55"/>
        <v/>
      </c>
      <c r="I112" s="105" t="str">
        <f>IF(ISNUMBER(G112), $B118 * H112, "")</f>
        <v/>
      </c>
      <c r="J112" s="20"/>
      <c r="K112" s="21" t="str">
        <f t="shared" si="56"/>
        <v/>
      </c>
      <c r="L112" s="22" t="str">
        <f>IF(ISNUMBER(J112), $B118 * K112, "")</f>
        <v/>
      </c>
      <c r="M112" s="30"/>
      <c r="N112" s="21" t="str">
        <f t="shared" si="57"/>
        <v/>
      </c>
      <c r="O112" s="22" t="str">
        <f>IF(ISNUMBER(M112), $B118 * N112, "")</f>
        <v/>
      </c>
      <c r="Q112" s="182"/>
      <c r="R112" s="182"/>
      <c r="S112" s="182"/>
    </row>
    <row r="113" spans="1:19" ht="17.25" thickBot="1">
      <c r="A113" s="125" t="s">
        <v>140</v>
      </c>
      <c r="B113" s="129">
        <v>1945</v>
      </c>
      <c r="C113" s="80">
        <v>2.0997375299999999E-2</v>
      </c>
      <c r="D113" s="106"/>
      <c r="E113" s="107" t="str">
        <f>IF(ISNUMBER(D113), (D113 - $B113) / $B113, "")</f>
        <v/>
      </c>
      <c r="F113" s="108" t="str">
        <f>IF(ISNUMBER(D113), $B118 * E113, "")</f>
        <v/>
      </c>
      <c r="G113" s="109"/>
      <c r="H113" s="107" t="str">
        <f>IF(ISNUMBER(G113), (G113 - $B113) / $B113, "")</f>
        <v/>
      </c>
      <c r="I113" s="110" t="str">
        <f>IF(ISNUMBER(G113), $B118 * H113, "")</f>
        <v/>
      </c>
      <c r="J113" s="106"/>
      <c r="K113" s="107" t="str">
        <f>IF(ISNUMBER(J113), (J113 - $B113) / $B113, "")</f>
        <v/>
      </c>
      <c r="L113" s="108" t="str">
        <f>IF(ISNUMBER(J113), $B118 * K113, "")</f>
        <v/>
      </c>
      <c r="M113" s="109"/>
      <c r="N113" s="107" t="str">
        <f>IF(ISNUMBER(M113), (M113 - $B113) / $B113, "")</f>
        <v/>
      </c>
      <c r="O113" s="108" t="str">
        <f>IF(ISNUMBER(M113), $B118 * N113, "")</f>
        <v/>
      </c>
      <c r="Q113" s="172"/>
      <c r="R113" s="172"/>
      <c r="S113" s="172"/>
    </row>
    <row r="114" spans="1:19" ht="17.25" thickBot="1">
      <c r="A114" s="125" t="s">
        <v>278</v>
      </c>
      <c r="B114" s="126">
        <v>78.5</v>
      </c>
      <c r="C114" s="77">
        <v>1.9480519500000001E-2</v>
      </c>
      <c r="D114" s="15"/>
      <c r="E114" s="32" t="str">
        <f t="shared" ref="E114:E117" si="58">IF(ISNUMBER(D114), (D114 - $B114) / $B114, "")</f>
        <v/>
      </c>
      <c r="F114" s="18" t="str">
        <f>IF(ISNUMBER(D114), $B118 * E114, "")</f>
        <v/>
      </c>
      <c r="G114" s="31"/>
      <c r="H114" s="32" t="str">
        <f t="shared" ref="H114:H117" si="59">IF(ISNUMBER(G114), (G114 - $B114) / $B114, "")</f>
        <v/>
      </c>
      <c r="I114" s="101" t="str">
        <f>IF(ISNUMBER(G114), $B118 * H114, "")</f>
        <v/>
      </c>
      <c r="J114" s="15"/>
      <c r="K114" s="32" t="str">
        <f t="shared" ref="K114:K117" si="60">IF(ISNUMBER(J114), (J114 - $B114) / $B114, "")</f>
        <v/>
      </c>
      <c r="L114" s="18" t="str">
        <f>IF(ISNUMBER(J114), $B118 * K114, "")</f>
        <v/>
      </c>
      <c r="M114" s="31"/>
      <c r="N114" s="32" t="str">
        <f t="shared" ref="N114:N117" si="61">IF(ISNUMBER(M114), (M114 - $B114) / $B114, "")</f>
        <v/>
      </c>
      <c r="O114" s="18" t="str">
        <f>IF(ISNUMBER(M114), $B118 * N114, "")</f>
        <v/>
      </c>
      <c r="Q114" s="172"/>
      <c r="R114" s="172"/>
      <c r="S114" s="172"/>
    </row>
    <row r="115" spans="1:19" ht="17.25" thickBot="1">
      <c r="A115" s="125" t="s">
        <v>84</v>
      </c>
      <c r="B115" s="126">
        <v>1945</v>
      </c>
      <c r="C115" s="77">
        <v>1.83246073E-2</v>
      </c>
      <c r="D115" s="15"/>
      <c r="E115" s="32" t="str">
        <f t="shared" si="58"/>
        <v/>
      </c>
      <c r="F115" s="18" t="str">
        <f>IF(ISNUMBER(D115), $B118 * E115, "")</f>
        <v/>
      </c>
      <c r="G115" s="31"/>
      <c r="H115" s="32" t="str">
        <f t="shared" si="59"/>
        <v/>
      </c>
      <c r="I115" s="101" t="str">
        <f>IF(ISNUMBER(G115), $B118 * H115, "")</f>
        <v/>
      </c>
      <c r="J115" s="15"/>
      <c r="K115" s="32" t="str">
        <f t="shared" si="60"/>
        <v/>
      </c>
      <c r="L115" s="18" t="str">
        <f>IF(ISNUMBER(J115), $B118 * K115, "")</f>
        <v/>
      </c>
      <c r="M115" s="31"/>
      <c r="N115" s="32" t="str">
        <f t="shared" si="61"/>
        <v/>
      </c>
      <c r="O115" s="18" t="str">
        <f>IF(ISNUMBER(M115), $B118 * N115, "")</f>
        <v/>
      </c>
      <c r="Q115" s="172"/>
      <c r="R115" s="172"/>
      <c r="S115" s="172"/>
    </row>
    <row r="116" spans="1:19">
      <c r="A116" s="125" t="s">
        <v>106</v>
      </c>
      <c r="B116" s="126">
        <v>1155</v>
      </c>
      <c r="C116" s="77">
        <v>1.76211454E-2</v>
      </c>
      <c r="D116" s="15"/>
      <c r="E116" s="32" t="str">
        <f t="shared" si="58"/>
        <v/>
      </c>
      <c r="F116" s="18" t="str">
        <f>IF(ISNUMBER(D116), $B118 * E116, "")</f>
        <v/>
      </c>
      <c r="G116" s="31"/>
      <c r="H116" s="32" t="str">
        <f t="shared" si="59"/>
        <v/>
      </c>
      <c r="I116" s="101" t="str">
        <f>IF(ISNUMBER(G116), $B118 * H116, "")</f>
        <v/>
      </c>
      <c r="J116" s="15"/>
      <c r="K116" s="32" t="str">
        <f t="shared" si="60"/>
        <v/>
      </c>
      <c r="L116" s="18" t="str">
        <f>IF(ISNUMBER(J116), $B118 * K116, "")</f>
        <v/>
      </c>
      <c r="M116" s="31"/>
      <c r="N116" s="32" t="str">
        <f t="shared" si="61"/>
        <v/>
      </c>
      <c r="O116" s="18" t="str">
        <f>IF(ISNUMBER(M116), $B118 * N116, "")</f>
        <v/>
      </c>
      <c r="Q116" s="161"/>
      <c r="R116" s="162"/>
      <c r="S116" s="163"/>
    </row>
    <row r="117" spans="1:19" ht="17.25" thickBot="1">
      <c r="A117" s="130" t="s">
        <v>142</v>
      </c>
      <c r="B117" s="131">
        <v>376</v>
      </c>
      <c r="C117" s="79">
        <v>1.6216216200000001E-2</v>
      </c>
      <c r="D117" s="24"/>
      <c r="E117" s="25" t="str">
        <f t="shared" si="58"/>
        <v/>
      </c>
      <c r="F117" s="104" t="str">
        <f>IF(ISNUMBER(D117), $B118 * E117, "")</f>
        <v/>
      </c>
      <c r="G117" s="102"/>
      <c r="H117" s="25" t="str">
        <f t="shared" si="59"/>
        <v/>
      </c>
      <c r="I117" s="103" t="str">
        <f>IF(ISNUMBER(G117), $B118 * H117, "")</f>
        <v/>
      </c>
      <c r="J117" s="24"/>
      <c r="K117" s="25" t="str">
        <f t="shared" si="60"/>
        <v/>
      </c>
      <c r="L117" s="104" t="str">
        <f>IF(ISNUMBER(J117), $B118 * K117, "")</f>
        <v/>
      </c>
      <c r="M117" s="102"/>
      <c r="N117" s="25" t="str">
        <f t="shared" si="61"/>
        <v/>
      </c>
      <c r="O117" s="104" t="str">
        <f>IF(ISNUMBER(M117), $B118 * N117, "")</f>
        <v/>
      </c>
      <c r="Q117" s="164"/>
      <c r="R117" s="165"/>
      <c r="S117" s="166"/>
    </row>
    <row r="118" spans="1:19" ht="17.25" thickBot="1">
      <c r="A118" s="132" t="s">
        <v>300</v>
      </c>
      <c r="B118" s="225">
        <f>$B$37</f>
        <v>150000</v>
      </c>
      <c r="C118" s="226"/>
      <c r="D118" s="26" t="s">
        <v>301</v>
      </c>
      <c r="E118" s="27">
        <f>IF(COUNT(E98:E117), SUM(E98:E117) / COUNT(E98:E117), 0)</f>
        <v>0</v>
      </c>
      <c r="F118" s="28">
        <f>SUM(F98:F117)</f>
        <v>0</v>
      </c>
      <c r="G118" s="26" t="s">
        <v>301</v>
      </c>
      <c r="H118" s="27">
        <f>IF(COUNT(H98:H117), SUM(H98:H117) / COUNT(H98:H117), 0)</f>
        <v>0</v>
      </c>
      <c r="I118" s="28">
        <f>SUM(I98:I117)</f>
        <v>0</v>
      </c>
      <c r="J118" s="26" t="s">
        <v>301</v>
      </c>
      <c r="K118" s="27">
        <f>IF(COUNT(K98:K117), SUM(K98:K117) / COUNT(K98:K117), 0)</f>
        <v>0</v>
      </c>
      <c r="L118" s="28">
        <f>SUM(L98:L117)</f>
        <v>0</v>
      </c>
      <c r="M118" s="26" t="s">
        <v>301</v>
      </c>
      <c r="N118" s="27">
        <f>IF(COUNT(N98:N117), SUM(N98:N117) / COUNT(N98:N117), 0)</f>
        <v>0</v>
      </c>
      <c r="O118" s="28">
        <f>SUM(O98:O117)</f>
        <v>0</v>
      </c>
      <c r="Q118" s="167"/>
      <c r="R118" s="168"/>
      <c r="S118" s="169"/>
    </row>
    <row r="120" spans="1:19" ht="17.25" thickBot="1"/>
    <row r="121" spans="1:19" ht="17.25" thickBot="1">
      <c r="A121" s="183" t="s">
        <v>288</v>
      </c>
      <c r="B121" s="184"/>
      <c r="C121" s="184"/>
      <c r="D121" s="184"/>
      <c r="E121" s="184"/>
      <c r="F121" s="184"/>
      <c r="G121" s="184"/>
      <c r="H121" s="184"/>
      <c r="I121" s="184"/>
      <c r="J121" s="184"/>
      <c r="K121" s="184"/>
      <c r="L121" s="184"/>
      <c r="M121" s="184"/>
      <c r="N121" s="184"/>
      <c r="O121" s="185"/>
      <c r="Q121" s="182"/>
      <c r="R121" s="182"/>
      <c r="S121" s="182"/>
    </row>
    <row r="122" spans="1:19" ht="17.25" thickBot="1">
      <c r="A122" s="157" t="s">
        <v>297</v>
      </c>
      <c r="B122" s="183" t="s">
        <v>49</v>
      </c>
      <c r="C122" s="185"/>
      <c r="D122" s="183" t="s">
        <v>58</v>
      </c>
      <c r="E122" s="184"/>
      <c r="F122" s="185"/>
      <c r="G122" s="186">
        <f>_xlfn.IFNA(VLOOKUP(B122, 현재가테이블!$B$2:$D$200, 2, FALSE), "-")</f>
        <v>43214000</v>
      </c>
      <c r="H122" s="187"/>
      <c r="I122" s="188"/>
      <c r="J122" s="183" t="s">
        <v>59</v>
      </c>
      <c r="K122" s="184"/>
      <c r="L122" s="185"/>
      <c r="M122" s="189">
        <f>_xlfn.IFNA(VLOOKUP(B122, 현재가테이블!$B$2:$D$200, 3, FALSE), "-")</f>
        <v>8.5693770000000002E-4</v>
      </c>
      <c r="N122" s="190"/>
      <c r="O122" s="191"/>
      <c r="Q122" s="182"/>
      <c r="R122" s="182"/>
      <c r="S122" s="182"/>
    </row>
    <row r="123" spans="1:19" ht="17.25" thickBot="1">
      <c r="A123" s="227" t="s">
        <v>55</v>
      </c>
      <c r="B123" s="223" t="str">
        <f>TEXT($G$1, "[$-ko-KR]yyyy-mm-dd(ddd) ") &amp; "오전 00:00"</f>
        <v>2021-06-01(화) 오전 00:00</v>
      </c>
      <c r="C123" s="224"/>
      <c r="D123" s="196" t="str">
        <f>TEXT($G$1, "[$-ko-KR]yyyy-mm-dd(ddd) ") &amp; "오후 14:00"</f>
        <v>2021-06-01(화) 오후 14:00</v>
      </c>
      <c r="E123" s="197"/>
      <c r="F123" s="198"/>
      <c r="G123" s="196" t="str">
        <f>TEXT($G$1, "[$-ko-KR]yyyy-mm-dd(ddd) ") &amp; "오후 19:00"</f>
        <v>2021-06-01(화) 오후 19:00</v>
      </c>
      <c r="H123" s="197"/>
      <c r="I123" s="198"/>
      <c r="J123" s="196" t="str">
        <f>TEXT($G$1, "[$-ko-KR]yyyy-mm-dd(ddd) ") &amp; "오후 21:00"</f>
        <v>2021-06-01(화) 오후 21:00</v>
      </c>
      <c r="K123" s="197"/>
      <c r="L123" s="198"/>
      <c r="M123" s="196" t="str">
        <f>TEXT($G$1+1, "[$-ko-KR]yyyy-mm-dd(ddd) ") &amp; "오전 00:00"</f>
        <v>2021-06-02(수) 오전 00:00</v>
      </c>
      <c r="N123" s="197"/>
      <c r="O123" s="198"/>
      <c r="Q123" s="182"/>
      <c r="R123" s="182"/>
      <c r="S123" s="182"/>
    </row>
    <row r="124" spans="1:19" ht="17.25" thickBot="1">
      <c r="A124" s="228"/>
      <c r="B124" s="121" t="s">
        <v>58</v>
      </c>
      <c r="C124" s="122" t="s">
        <v>59</v>
      </c>
      <c r="D124" s="2" t="s">
        <v>58</v>
      </c>
      <c r="E124" s="10" t="s">
        <v>298</v>
      </c>
      <c r="F124" s="11" t="s">
        <v>299</v>
      </c>
      <c r="G124" s="158" t="s">
        <v>58</v>
      </c>
      <c r="H124" s="159" t="s">
        <v>298</v>
      </c>
      <c r="I124" s="160" t="s">
        <v>299</v>
      </c>
      <c r="J124" s="10" t="s">
        <v>58</v>
      </c>
      <c r="K124" s="10" t="s">
        <v>298</v>
      </c>
      <c r="L124" s="115" t="s">
        <v>299</v>
      </c>
      <c r="M124" s="2" t="s">
        <v>58</v>
      </c>
      <c r="N124" s="10" t="s">
        <v>298</v>
      </c>
      <c r="O124" s="66" t="s">
        <v>299</v>
      </c>
      <c r="Q124" s="172"/>
      <c r="R124" s="172"/>
      <c r="S124" s="172"/>
    </row>
    <row r="125" spans="1:19" ht="17.25" thickBot="1">
      <c r="A125" s="123" t="s">
        <v>260</v>
      </c>
      <c r="B125" s="124">
        <v>80.900000000000006</v>
      </c>
      <c r="C125" s="76">
        <v>-6.1425061000000003E-3</v>
      </c>
      <c r="D125" s="13"/>
      <c r="E125" s="14" t="str">
        <f>IF(ISNUMBER(D125), (D125 - $B125) / $B125, "")</f>
        <v/>
      </c>
      <c r="F125" s="16" t="str">
        <f>IF(ISNUMBER(D125), $B145 * E125, "")</f>
        <v/>
      </c>
      <c r="G125" s="29"/>
      <c r="H125" s="14" t="str">
        <f>IF(ISNUMBER(G125), (G125 - $B125) / $B125, "")</f>
        <v/>
      </c>
      <c r="I125" s="100" t="str">
        <f>IF(ISNUMBER(G125), $B145 * H125, "")</f>
        <v/>
      </c>
      <c r="J125" s="13"/>
      <c r="K125" s="14" t="str">
        <f>IF(ISNUMBER(J125), (J125 - $B125) / $B125, "")</f>
        <v/>
      </c>
      <c r="L125" s="16" t="str">
        <f>IF(ISNUMBER(J125), $B145 * K125, "")</f>
        <v/>
      </c>
      <c r="M125" s="29"/>
      <c r="N125" s="14" t="str">
        <f>IF(ISNUMBER(M125), (M125 - $B125) / $B125, "")</f>
        <v/>
      </c>
      <c r="O125" s="16" t="str">
        <f>IF(ISNUMBER(M125), $B145 * N125, "")</f>
        <v/>
      </c>
      <c r="Q125" s="182"/>
      <c r="R125" s="182"/>
      <c r="S125" s="182"/>
    </row>
    <row r="126" spans="1:19" ht="17.25" thickBot="1">
      <c r="A126" s="125" t="s">
        <v>100</v>
      </c>
      <c r="B126" s="126">
        <v>4.37</v>
      </c>
      <c r="C126" s="77">
        <v>-1.13122172E-2</v>
      </c>
      <c r="D126" s="15"/>
      <c r="E126" s="32" t="str">
        <f t="shared" ref="E126:E129" si="62">IF(ISNUMBER(D126), (D126 - $B126) / $B126, "")</f>
        <v/>
      </c>
      <c r="F126" s="18" t="str">
        <f>IF(ISNUMBER(D126), $B145 * E126, "")</f>
        <v/>
      </c>
      <c r="G126" s="31"/>
      <c r="H126" s="32" t="str">
        <f t="shared" ref="H126:H129" si="63">IF(ISNUMBER(G126), (G126 - $B126) / $B126, "")</f>
        <v/>
      </c>
      <c r="I126" s="101" t="str">
        <f>IF(ISNUMBER(G126), $B145 * H126, "")</f>
        <v/>
      </c>
      <c r="J126" s="15"/>
      <c r="K126" s="32" t="str">
        <f t="shared" ref="K126:K129" si="64">IF(ISNUMBER(J126), (J126 - $B126) / $B126, "")</f>
        <v/>
      </c>
      <c r="L126" s="18" t="str">
        <f>IF(ISNUMBER(J126), $B145 * K126, "")</f>
        <v/>
      </c>
      <c r="M126" s="31"/>
      <c r="N126" s="32" t="str">
        <f t="shared" ref="N126:N129" si="65">IF(ISNUMBER(M126), (M126 - $B126) / $B126, "")</f>
        <v/>
      </c>
      <c r="O126" s="18" t="str">
        <f>IF(ISNUMBER(M126), $B145 * N126, "")</f>
        <v/>
      </c>
      <c r="Q126" s="182"/>
      <c r="R126" s="182"/>
      <c r="S126" s="182"/>
    </row>
    <row r="127" spans="1:19" ht="17.25" thickBot="1">
      <c r="A127" s="125" t="s">
        <v>154</v>
      </c>
      <c r="B127" s="126">
        <v>11</v>
      </c>
      <c r="C127" s="77">
        <v>-1.7857142900000001E-2</v>
      </c>
      <c r="D127" s="15"/>
      <c r="E127" s="32" t="str">
        <f t="shared" si="62"/>
        <v/>
      </c>
      <c r="F127" s="18" t="str">
        <f>IF(ISNUMBER(D127), $B145 * E127, "")</f>
        <v/>
      </c>
      <c r="G127" s="31"/>
      <c r="H127" s="32" t="str">
        <f t="shared" si="63"/>
        <v/>
      </c>
      <c r="I127" s="101" t="str">
        <f>IF(ISNUMBER(G127), $B145 * H127, "")</f>
        <v/>
      </c>
      <c r="J127" s="15"/>
      <c r="K127" s="32" t="str">
        <f t="shared" si="64"/>
        <v/>
      </c>
      <c r="L127" s="18" t="str">
        <f>IF(ISNUMBER(J127), $B145 * K127, "")</f>
        <v/>
      </c>
      <c r="M127" s="31"/>
      <c r="N127" s="32" t="str">
        <f t="shared" si="65"/>
        <v/>
      </c>
      <c r="O127" s="18" t="str">
        <f>IF(ISNUMBER(M127), $B145 * N127, "")</f>
        <v/>
      </c>
      <c r="Q127" s="172"/>
      <c r="R127" s="172"/>
      <c r="S127" s="172"/>
    </row>
    <row r="128" spans="1:19" ht="17.25" thickBot="1">
      <c r="A128" s="125" t="s">
        <v>152</v>
      </c>
      <c r="B128" s="126">
        <v>20.3</v>
      </c>
      <c r="C128" s="77">
        <v>-1.93236715E-2</v>
      </c>
      <c r="D128" s="15"/>
      <c r="E128" s="32" t="str">
        <f t="shared" si="62"/>
        <v/>
      </c>
      <c r="F128" s="18" t="str">
        <f>IF(ISNUMBER(D128), $B145 * E128, "")</f>
        <v/>
      </c>
      <c r="G128" s="31"/>
      <c r="H128" s="32" t="str">
        <f t="shared" si="63"/>
        <v/>
      </c>
      <c r="I128" s="101" t="str">
        <f>IF(ISNUMBER(G128), $B145 * H128, "")</f>
        <v/>
      </c>
      <c r="J128" s="15"/>
      <c r="K128" s="32" t="str">
        <f t="shared" si="64"/>
        <v/>
      </c>
      <c r="L128" s="18" t="str">
        <f>IF(ISNUMBER(J128), $B145 * K128, "")</f>
        <v/>
      </c>
      <c r="M128" s="31"/>
      <c r="N128" s="32" t="str">
        <f t="shared" si="65"/>
        <v/>
      </c>
      <c r="O128" s="18" t="str">
        <f>IF(ISNUMBER(M128), $B145 * N128, "")</f>
        <v/>
      </c>
      <c r="Q128" s="172"/>
      <c r="R128" s="172"/>
      <c r="S128" s="172"/>
    </row>
    <row r="129" spans="1:19" ht="17.25" thickBot="1">
      <c r="A129" s="127" t="s">
        <v>196</v>
      </c>
      <c r="B129" s="128">
        <v>11.5</v>
      </c>
      <c r="C129" s="78">
        <v>-2.54237288E-2</v>
      </c>
      <c r="D129" s="20"/>
      <c r="E129" s="21" t="str">
        <f t="shared" si="62"/>
        <v/>
      </c>
      <c r="F129" s="22" t="str">
        <f>IF(ISNUMBER(D129), $B145 * E129, "")</f>
        <v/>
      </c>
      <c r="G129" s="30"/>
      <c r="H129" s="21" t="str">
        <f t="shared" si="63"/>
        <v/>
      </c>
      <c r="I129" s="105" t="str">
        <f>IF(ISNUMBER(G129), $B145 * H129, "")</f>
        <v/>
      </c>
      <c r="J129" s="20"/>
      <c r="K129" s="21" t="str">
        <f t="shared" si="64"/>
        <v/>
      </c>
      <c r="L129" s="22" t="str">
        <f>IF(ISNUMBER(J129), $B145 * K129, "")</f>
        <v/>
      </c>
      <c r="M129" s="30"/>
      <c r="N129" s="21" t="str">
        <f t="shared" si="65"/>
        <v/>
      </c>
      <c r="O129" s="22" t="str">
        <f>IF(ISNUMBER(M129), $B145 * N129, "")</f>
        <v/>
      </c>
      <c r="Q129" s="172"/>
      <c r="R129" s="172"/>
      <c r="S129" s="172"/>
    </row>
    <row r="130" spans="1:19" ht="17.25" thickBot="1">
      <c r="A130" s="125" t="s">
        <v>198</v>
      </c>
      <c r="B130" s="129">
        <v>16.8</v>
      </c>
      <c r="C130" s="80">
        <v>-2.89017341E-2</v>
      </c>
      <c r="D130" s="106"/>
      <c r="E130" s="107" t="str">
        <f>IF(ISNUMBER(D130), (D130 - $B130) / $B130, "")</f>
        <v/>
      </c>
      <c r="F130" s="108" t="str">
        <f>IF(ISNUMBER(D130), $B145 * E130, "")</f>
        <v/>
      </c>
      <c r="G130" s="109"/>
      <c r="H130" s="107" t="str">
        <f>IF(ISNUMBER(G130), (G130 - $B130) / $B130, "")</f>
        <v/>
      </c>
      <c r="I130" s="110" t="str">
        <f>IF(ISNUMBER(G130), $B145 * H130, "")</f>
        <v/>
      </c>
      <c r="J130" s="106"/>
      <c r="K130" s="107" t="str">
        <f>IF(ISNUMBER(J130), (J130 - $B130) / $B130, "")</f>
        <v/>
      </c>
      <c r="L130" s="108" t="str">
        <f>IF(ISNUMBER(J130), $B145 * K130, "")</f>
        <v/>
      </c>
      <c r="M130" s="109"/>
      <c r="N130" s="107" t="str">
        <f>IF(ISNUMBER(M130), (M130 - $B130) / $B130, "")</f>
        <v/>
      </c>
      <c r="O130" s="108" t="str">
        <f>IF(ISNUMBER(M130), $B145 * N130, "")</f>
        <v/>
      </c>
      <c r="Q130" s="172"/>
      <c r="R130" s="172"/>
      <c r="S130" s="172"/>
    </row>
    <row r="131" spans="1:19" ht="17.25" thickBot="1">
      <c r="A131" s="125" t="s">
        <v>134</v>
      </c>
      <c r="B131" s="126">
        <v>94.9</v>
      </c>
      <c r="C131" s="77">
        <v>-2.9652351699999999E-2</v>
      </c>
      <c r="D131" s="15"/>
      <c r="E131" s="32" t="str">
        <f t="shared" ref="E131:E134" si="66">IF(ISNUMBER(D131), (D131 - $B131) / $B131, "")</f>
        <v/>
      </c>
      <c r="F131" s="18" t="str">
        <f>IF(ISNUMBER(D131), $B145 * E131, "")</f>
        <v/>
      </c>
      <c r="G131" s="31"/>
      <c r="H131" s="32" t="str">
        <f t="shared" ref="H131:H134" si="67">IF(ISNUMBER(G131), (G131 - $B131) / $B131, "")</f>
        <v/>
      </c>
      <c r="I131" s="101" t="str">
        <f>IF(ISNUMBER(G131), $B145 * H131, "")</f>
        <v/>
      </c>
      <c r="J131" s="15"/>
      <c r="K131" s="32" t="str">
        <f t="shared" ref="K131:K134" si="68">IF(ISNUMBER(J131), (J131 - $B131) / $B131, "")</f>
        <v/>
      </c>
      <c r="L131" s="18" t="str">
        <f>IF(ISNUMBER(J131), $B145 * K131, "")</f>
        <v/>
      </c>
      <c r="M131" s="31"/>
      <c r="N131" s="32" t="str">
        <f t="shared" ref="N131:N134" si="69">IF(ISNUMBER(M131), (M131 - $B131) / $B131, "")</f>
        <v/>
      </c>
      <c r="O131" s="18" t="str">
        <f>IF(ISNUMBER(M131), $B145 * N131, "")</f>
        <v/>
      </c>
      <c r="Q131" s="172"/>
      <c r="R131" s="172"/>
      <c r="S131" s="172"/>
    </row>
    <row r="132" spans="1:19" ht="17.25" thickBot="1">
      <c r="A132" s="125" t="s">
        <v>214</v>
      </c>
      <c r="B132" s="126">
        <v>14.1</v>
      </c>
      <c r="C132" s="77">
        <v>-3.4246575299999998E-2</v>
      </c>
      <c r="D132" s="15"/>
      <c r="E132" s="32" t="str">
        <f t="shared" si="66"/>
        <v/>
      </c>
      <c r="F132" s="18" t="str">
        <f>IF(ISNUMBER(D132), $B145 * E132, "")</f>
        <v/>
      </c>
      <c r="G132" s="31"/>
      <c r="H132" s="32" t="str">
        <f t="shared" si="67"/>
        <v/>
      </c>
      <c r="I132" s="101" t="str">
        <f>IF(ISNUMBER(G132), $B145 * H132, "")</f>
        <v/>
      </c>
      <c r="J132" s="15"/>
      <c r="K132" s="32" t="str">
        <f t="shared" si="68"/>
        <v/>
      </c>
      <c r="L132" s="18" t="str">
        <f>IF(ISNUMBER(J132), $B145 * K132, "")</f>
        <v/>
      </c>
      <c r="M132" s="31"/>
      <c r="N132" s="32" t="str">
        <f t="shared" si="69"/>
        <v/>
      </c>
      <c r="O132" s="18" t="str">
        <f>IF(ISNUMBER(M132), $B145 * N132, "")</f>
        <v/>
      </c>
      <c r="Q132" s="172"/>
      <c r="R132" s="172"/>
      <c r="S132" s="172"/>
    </row>
    <row r="133" spans="1:19" ht="17.25" thickBot="1">
      <c r="A133" s="125" t="s">
        <v>212</v>
      </c>
      <c r="B133" s="126">
        <v>77.900000000000006</v>
      </c>
      <c r="C133" s="77">
        <v>-3.4696406399999997E-2</v>
      </c>
      <c r="D133" s="15"/>
      <c r="E133" s="32" t="str">
        <f t="shared" si="66"/>
        <v/>
      </c>
      <c r="F133" s="18" t="str">
        <f>IF(ISNUMBER(D133), $B145 * E133, "")</f>
        <v/>
      </c>
      <c r="G133" s="31"/>
      <c r="H133" s="32" t="str">
        <f t="shared" si="67"/>
        <v/>
      </c>
      <c r="I133" s="101" t="str">
        <f>IF(ISNUMBER(G133), $B145 * H133, "")</f>
        <v/>
      </c>
      <c r="J133" s="15"/>
      <c r="K133" s="32" t="str">
        <f t="shared" si="68"/>
        <v/>
      </c>
      <c r="L133" s="18" t="str">
        <f>IF(ISNUMBER(J133), $B145 * K133, "")</f>
        <v/>
      </c>
      <c r="M133" s="31"/>
      <c r="N133" s="32" t="str">
        <f t="shared" si="69"/>
        <v/>
      </c>
      <c r="O133" s="18" t="str">
        <f>IF(ISNUMBER(M133), $B145 * N133, "")</f>
        <v/>
      </c>
      <c r="Q133" s="33"/>
      <c r="R133" s="33"/>
    </row>
    <row r="134" spans="1:19" ht="17.25" thickBot="1">
      <c r="A134" s="130" t="s">
        <v>186</v>
      </c>
      <c r="B134" s="131">
        <v>13.4</v>
      </c>
      <c r="C134" s="79">
        <v>-3.5971222999999997E-2</v>
      </c>
      <c r="D134" s="24"/>
      <c r="E134" s="25" t="str">
        <f t="shared" si="66"/>
        <v/>
      </c>
      <c r="F134" s="104" t="str">
        <f>IF(ISNUMBER(D134), $B145 * E134, "")</f>
        <v/>
      </c>
      <c r="G134" s="102"/>
      <c r="H134" s="25" t="str">
        <f t="shared" si="67"/>
        <v/>
      </c>
      <c r="I134" s="103" t="str">
        <f>IF(ISNUMBER(G134), $B145 * H134, "")</f>
        <v/>
      </c>
      <c r="J134" s="24"/>
      <c r="K134" s="25" t="str">
        <f t="shared" si="68"/>
        <v/>
      </c>
      <c r="L134" s="104" t="str">
        <f>IF(ISNUMBER(J134), $B145 * K134, "")</f>
        <v/>
      </c>
      <c r="M134" s="102"/>
      <c r="N134" s="25" t="str">
        <f t="shared" si="69"/>
        <v/>
      </c>
      <c r="O134" s="104" t="str">
        <f>IF(ISNUMBER(M134), $B145 * N134, "")</f>
        <v/>
      </c>
      <c r="Q134" s="173"/>
      <c r="R134" s="174"/>
      <c r="S134" s="175"/>
    </row>
    <row r="135" spans="1:19">
      <c r="A135" s="123" t="s">
        <v>228</v>
      </c>
      <c r="B135" s="124">
        <v>10.7</v>
      </c>
      <c r="C135" s="76">
        <v>-3.6036036E-2</v>
      </c>
      <c r="D135" s="13"/>
      <c r="E135" s="14" t="str">
        <f>IF(ISNUMBER(D135), (D135 - $B135) / $B135, "")</f>
        <v/>
      </c>
      <c r="F135" s="16" t="str">
        <f>IF(ISNUMBER(D135), $B145 * E135, "")</f>
        <v/>
      </c>
      <c r="G135" s="29"/>
      <c r="H135" s="14" t="str">
        <f>IF(ISNUMBER(G135), (G135 - $B135) / $B135, "")</f>
        <v/>
      </c>
      <c r="I135" s="100" t="str">
        <f>IF(ISNUMBER(G135), $B145 * H135, "")</f>
        <v/>
      </c>
      <c r="J135" s="13"/>
      <c r="K135" s="14" t="str">
        <f>IF(ISNUMBER(J135), (J135 - $B135) / $B135, "")</f>
        <v/>
      </c>
      <c r="L135" s="16" t="str">
        <f>IF(ISNUMBER(J135), $B145 * K135, "")</f>
        <v/>
      </c>
      <c r="M135" s="29"/>
      <c r="N135" s="14" t="str">
        <f>IF(ISNUMBER(M135), (M135 - $B135) / $B135, "")</f>
        <v/>
      </c>
      <c r="O135" s="16" t="str">
        <f>IF(ISNUMBER(M135), $B145 * N135, "")</f>
        <v/>
      </c>
      <c r="Q135" s="176"/>
      <c r="R135" s="177"/>
      <c r="S135" s="178"/>
    </row>
    <row r="136" spans="1:19" ht="17.25" thickBot="1">
      <c r="A136" s="125" t="s">
        <v>236</v>
      </c>
      <c r="B136" s="126">
        <v>52.2</v>
      </c>
      <c r="C136" s="77">
        <v>-3.6900369000000002E-2</v>
      </c>
      <c r="D136" s="15"/>
      <c r="E136" s="32" t="str">
        <f t="shared" ref="E136:E139" si="70">IF(ISNUMBER(D136), (D136 - $B136) / $B136, "")</f>
        <v/>
      </c>
      <c r="F136" s="18" t="str">
        <f>IF(ISNUMBER(D136), $B145 * E136, "")</f>
        <v/>
      </c>
      <c r="G136" s="31"/>
      <c r="H136" s="32" t="str">
        <f t="shared" ref="H136:H139" si="71">IF(ISNUMBER(G136), (G136 - $B136) / $B136, "")</f>
        <v/>
      </c>
      <c r="I136" s="101" t="str">
        <f>IF(ISNUMBER(G136), $B145 * H136, "")</f>
        <v/>
      </c>
      <c r="J136" s="15"/>
      <c r="K136" s="32" t="str">
        <f t="shared" ref="K136:K139" si="72">IF(ISNUMBER(J136), (J136 - $B136) / $B136, "")</f>
        <v/>
      </c>
      <c r="L136" s="18" t="str">
        <f>IF(ISNUMBER(J136), $B145 * K136, "")</f>
        <v/>
      </c>
      <c r="M136" s="31"/>
      <c r="N136" s="32" t="str">
        <f t="shared" ref="N136:N139" si="73">IF(ISNUMBER(M136), (M136 - $B136) / $B136, "")</f>
        <v/>
      </c>
      <c r="O136" s="18" t="str">
        <f>IF(ISNUMBER(M136), $B145 * N136, "")</f>
        <v/>
      </c>
      <c r="Q136" s="179"/>
      <c r="R136" s="180"/>
      <c r="S136" s="181"/>
    </row>
    <row r="137" spans="1:19" ht="17.25" thickBot="1">
      <c r="A137" s="125" t="s">
        <v>266</v>
      </c>
      <c r="B137" s="126">
        <v>58.5</v>
      </c>
      <c r="C137" s="77">
        <v>-3.78289474E-2</v>
      </c>
      <c r="D137" s="15"/>
      <c r="E137" s="32" t="str">
        <f t="shared" si="70"/>
        <v/>
      </c>
      <c r="F137" s="18" t="str">
        <f>IF(ISNUMBER(D137), $B145 * E137, "")</f>
        <v/>
      </c>
      <c r="G137" s="31"/>
      <c r="H137" s="32" t="str">
        <f t="shared" si="71"/>
        <v/>
      </c>
      <c r="I137" s="101" t="str">
        <f>IF(ISNUMBER(G137), $B145 * H137, "")</f>
        <v/>
      </c>
      <c r="J137" s="15"/>
      <c r="K137" s="32" t="str">
        <f t="shared" si="72"/>
        <v/>
      </c>
      <c r="L137" s="18" t="str">
        <f>IF(ISNUMBER(J137), $B145 * K137, "")</f>
        <v/>
      </c>
      <c r="M137" s="31"/>
      <c r="N137" s="32" t="str">
        <f t="shared" si="73"/>
        <v/>
      </c>
      <c r="O137" s="18" t="str">
        <f>IF(ISNUMBER(M137), $B145 * N137, "")</f>
        <v/>
      </c>
      <c r="Q137" s="172"/>
      <c r="R137" s="172"/>
      <c r="S137" s="172"/>
    </row>
    <row r="138" spans="1:19" ht="17.25" thickBot="1">
      <c r="A138" s="125" t="s">
        <v>254</v>
      </c>
      <c r="B138" s="126">
        <v>52.2</v>
      </c>
      <c r="C138" s="77">
        <v>-3.8674033099999998E-2</v>
      </c>
      <c r="D138" s="15"/>
      <c r="E138" s="32" t="str">
        <f t="shared" si="70"/>
        <v/>
      </c>
      <c r="F138" s="18" t="str">
        <f>IF(ISNUMBER(D138), $B145 * E138, "")</f>
        <v/>
      </c>
      <c r="G138" s="31"/>
      <c r="H138" s="32" t="str">
        <f t="shared" si="71"/>
        <v/>
      </c>
      <c r="I138" s="101" t="str">
        <f>IF(ISNUMBER(G138), $B145 * H138, "")</f>
        <v/>
      </c>
      <c r="J138" s="15"/>
      <c r="K138" s="32" t="str">
        <f t="shared" si="72"/>
        <v/>
      </c>
      <c r="L138" s="18" t="str">
        <f>IF(ISNUMBER(J138), $B145 * K138, "")</f>
        <v/>
      </c>
      <c r="M138" s="31"/>
      <c r="N138" s="32" t="str">
        <f t="shared" si="73"/>
        <v/>
      </c>
      <c r="O138" s="18" t="str">
        <f>IF(ISNUMBER(M138), $B145 * N138, "")</f>
        <v/>
      </c>
      <c r="Q138" s="182"/>
      <c r="R138" s="182"/>
      <c r="S138" s="182"/>
    </row>
    <row r="139" spans="1:19" ht="17.25" thickBot="1">
      <c r="A139" s="127" t="s">
        <v>264</v>
      </c>
      <c r="B139" s="128">
        <v>88.7</v>
      </c>
      <c r="C139" s="78">
        <v>-3.90032503E-2</v>
      </c>
      <c r="D139" s="20"/>
      <c r="E139" s="21" t="str">
        <f t="shared" si="70"/>
        <v/>
      </c>
      <c r="F139" s="22" t="str">
        <f>IF(ISNUMBER(D139), $B145 * E139, "")</f>
        <v/>
      </c>
      <c r="G139" s="30"/>
      <c r="H139" s="21" t="str">
        <f t="shared" si="71"/>
        <v/>
      </c>
      <c r="I139" s="105" t="str">
        <f>IF(ISNUMBER(G139), $B145 * H139, "")</f>
        <v/>
      </c>
      <c r="J139" s="20"/>
      <c r="K139" s="21" t="str">
        <f t="shared" si="72"/>
        <v/>
      </c>
      <c r="L139" s="22" t="str">
        <f>IF(ISNUMBER(J139), $B145 * K139, "")</f>
        <v/>
      </c>
      <c r="M139" s="30"/>
      <c r="N139" s="21" t="str">
        <f t="shared" si="73"/>
        <v/>
      </c>
      <c r="O139" s="22" t="str">
        <f>IF(ISNUMBER(M139), $B145 * N139, "")</f>
        <v/>
      </c>
      <c r="Q139" s="182"/>
      <c r="R139" s="182"/>
      <c r="S139" s="182"/>
    </row>
    <row r="140" spans="1:19" ht="17.25" thickBot="1">
      <c r="A140" s="125" t="s">
        <v>218</v>
      </c>
      <c r="B140" s="129">
        <v>16.600000000000001</v>
      </c>
      <c r="C140" s="80">
        <v>-4.0462427699999998E-2</v>
      </c>
      <c r="D140" s="106"/>
      <c r="E140" s="107" t="str">
        <f>IF(ISNUMBER(D140), (D140 - $B140) / $B140, "")</f>
        <v/>
      </c>
      <c r="F140" s="108" t="str">
        <f>IF(ISNUMBER(D140), $B145 * E140, "")</f>
        <v/>
      </c>
      <c r="G140" s="109"/>
      <c r="H140" s="107" t="str">
        <f>IF(ISNUMBER(G140), (G140 - $B140) / $B140, "")</f>
        <v/>
      </c>
      <c r="I140" s="110" t="str">
        <f>IF(ISNUMBER(G140), $B145 * H140, "")</f>
        <v/>
      </c>
      <c r="J140" s="106"/>
      <c r="K140" s="107" t="str">
        <f>IF(ISNUMBER(J140), (J140 - $B140) / $B140, "")</f>
        <v/>
      </c>
      <c r="L140" s="108" t="str">
        <f>IF(ISNUMBER(J140), $B145 * K140, "")</f>
        <v/>
      </c>
      <c r="M140" s="109"/>
      <c r="N140" s="107" t="str">
        <f>IF(ISNUMBER(M140), (M140 - $B140) / $B140, "")</f>
        <v/>
      </c>
      <c r="O140" s="108" t="str">
        <f>IF(ISNUMBER(M140), $B145 * N140, "")</f>
        <v/>
      </c>
      <c r="Q140" s="172"/>
      <c r="R140" s="172"/>
      <c r="S140" s="172"/>
    </row>
    <row r="141" spans="1:19" ht="17.25" thickBot="1">
      <c r="A141" s="125" t="s">
        <v>72</v>
      </c>
      <c r="B141" s="126">
        <v>20.100000000000001</v>
      </c>
      <c r="C141" s="77">
        <v>-4.2857142899999999E-2</v>
      </c>
      <c r="D141" s="15"/>
      <c r="E141" s="32" t="str">
        <f t="shared" ref="E141:E144" si="74">IF(ISNUMBER(D141), (D141 - $B141) / $B141, "")</f>
        <v/>
      </c>
      <c r="F141" s="18" t="str">
        <f>IF(ISNUMBER(D141), $B145 * E141, "")</f>
        <v/>
      </c>
      <c r="G141" s="31"/>
      <c r="H141" s="32" t="str">
        <f t="shared" ref="H141:H144" si="75">IF(ISNUMBER(G141), (G141 - $B141) / $B141, "")</f>
        <v/>
      </c>
      <c r="I141" s="101" t="str">
        <f>IF(ISNUMBER(G141), $B145 * H141, "")</f>
        <v/>
      </c>
      <c r="J141" s="15"/>
      <c r="K141" s="32" t="str">
        <f t="shared" ref="K141:K144" si="76">IF(ISNUMBER(J141), (J141 - $B141) / $B141, "")</f>
        <v/>
      </c>
      <c r="L141" s="18" t="str">
        <f>IF(ISNUMBER(J141), $B145 * K141, "")</f>
        <v/>
      </c>
      <c r="M141" s="31"/>
      <c r="N141" s="32" t="str">
        <f t="shared" ref="N141:N144" si="77">IF(ISNUMBER(M141), (M141 - $B141) / $B141, "")</f>
        <v/>
      </c>
      <c r="O141" s="18" t="str">
        <f>IF(ISNUMBER(M141), $B145 * N141, "")</f>
        <v/>
      </c>
      <c r="Q141" s="172"/>
      <c r="R141" s="172"/>
      <c r="S141" s="172"/>
    </row>
    <row r="142" spans="1:19" ht="17.25" thickBot="1">
      <c r="A142" s="125" t="s">
        <v>220</v>
      </c>
      <c r="B142" s="126">
        <v>10.7</v>
      </c>
      <c r="C142" s="77">
        <v>-4.4642857100000002E-2</v>
      </c>
      <c r="D142" s="15"/>
      <c r="E142" s="32" t="str">
        <f t="shared" si="74"/>
        <v/>
      </c>
      <c r="F142" s="18" t="str">
        <f>IF(ISNUMBER(D142), $B145 * E142, "")</f>
        <v/>
      </c>
      <c r="G142" s="31"/>
      <c r="H142" s="32" t="str">
        <f t="shared" si="75"/>
        <v/>
      </c>
      <c r="I142" s="101" t="str">
        <f>IF(ISNUMBER(G142), $B145 * H142, "")</f>
        <v/>
      </c>
      <c r="J142" s="15"/>
      <c r="K142" s="32" t="str">
        <f t="shared" si="76"/>
        <v/>
      </c>
      <c r="L142" s="18" t="str">
        <f>IF(ISNUMBER(J142), $B145 * K142, "")</f>
        <v/>
      </c>
      <c r="M142" s="31"/>
      <c r="N142" s="32" t="str">
        <f t="shared" si="77"/>
        <v/>
      </c>
      <c r="O142" s="18" t="str">
        <f>IF(ISNUMBER(M142), $B145 * N142, "")</f>
        <v/>
      </c>
      <c r="Q142" s="172"/>
      <c r="R142" s="172"/>
      <c r="S142" s="172"/>
    </row>
    <row r="143" spans="1:19">
      <c r="A143" s="125" t="s">
        <v>268</v>
      </c>
      <c r="B143" s="126">
        <v>52.7</v>
      </c>
      <c r="C143" s="77">
        <v>-4.5289855099999998E-2</v>
      </c>
      <c r="D143" s="15"/>
      <c r="E143" s="32" t="str">
        <f t="shared" si="74"/>
        <v/>
      </c>
      <c r="F143" s="18" t="str">
        <f>IF(ISNUMBER(D143), $B145 * E143, "")</f>
        <v/>
      </c>
      <c r="G143" s="31"/>
      <c r="H143" s="32" t="str">
        <f t="shared" si="75"/>
        <v/>
      </c>
      <c r="I143" s="101" t="str">
        <f>IF(ISNUMBER(G143), $B145 * H143, "")</f>
        <v/>
      </c>
      <c r="J143" s="15"/>
      <c r="K143" s="32" t="str">
        <f t="shared" si="76"/>
        <v/>
      </c>
      <c r="L143" s="18" t="str">
        <f>IF(ISNUMBER(J143), $B145 * K143, "")</f>
        <v/>
      </c>
      <c r="M143" s="31"/>
      <c r="N143" s="32" t="str">
        <f t="shared" si="77"/>
        <v/>
      </c>
      <c r="O143" s="18" t="str">
        <f>IF(ISNUMBER(M143), $B145 * N143, "")</f>
        <v/>
      </c>
      <c r="Q143" s="161"/>
      <c r="R143" s="162"/>
      <c r="S143" s="163"/>
    </row>
    <row r="144" spans="1:19" ht="17.25" thickBot="1">
      <c r="A144" s="130" t="s">
        <v>172</v>
      </c>
      <c r="B144" s="131">
        <v>14.7</v>
      </c>
      <c r="C144" s="79">
        <v>-5.1612903199999997E-2</v>
      </c>
      <c r="D144" s="24"/>
      <c r="E144" s="25" t="str">
        <f t="shared" si="74"/>
        <v/>
      </c>
      <c r="F144" s="104" t="str">
        <f>IF(ISNUMBER(D144), $B145 * E144, "")</f>
        <v/>
      </c>
      <c r="G144" s="102"/>
      <c r="H144" s="25" t="str">
        <f t="shared" si="75"/>
        <v/>
      </c>
      <c r="I144" s="103" t="str">
        <f>IF(ISNUMBER(G144), $B145 * H144, "")</f>
        <v/>
      </c>
      <c r="J144" s="24"/>
      <c r="K144" s="25" t="str">
        <f t="shared" si="76"/>
        <v/>
      </c>
      <c r="L144" s="104" t="str">
        <f>IF(ISNUMBER(J144), $B145 * K144, "")</f>
        <v/>
      </c>
      <c r="M144" s="102"/>
      <c r="N144" s="25" t="str">
        <f t="shared" si="77"/>
        <v/>
      </c>
      <c r="O144" s="104" t="str">
        <f>IF(ISNUMBER(M144), $B145 * N144, "")</f>
        <v/>
      </c>
      <c r="Q144" s="164"/>
      <c r="R144" s="165"/>
      <c r="S144" s="166"/>
    </row>
    <row r="145" spans="1:19" ht="17.25" thickBot="1">
      <c r="A145" s="132" t="s">
        <v>300</v>
      </c>
      <c r="B145" s="225">
        <f>$B$37</f>
        <v>150000</v>
      </c>
      <c r="C145" s="226"/>
      <c r="D145" s="26" t="s">
        <v>301</v>
      </c>
      <c r="E145" s="27">
        <f>IF(COUNT(E125:E144), SUM(E125:E144) / COUNT(E125:E144), 0)</f>
        <v>0</v>
      </c>
      <c r="F145" s="28">
        <f>SUM(F125:F144)</f>
        <v>0</v>
      </c>
      <c r="G145" s="26" t="s">
        <v>301</v>
      </c>
      <c r="H145" s="27">
        <f>IF(COUNT(H125:H144), SUM(H125:H144) / COUNT(H125:H144), 0)</f>
        <v>0</v>
      </c>
      <c r="I145" s="28">
        <f>SUM(I125:I144)</f>
        <v>0</v>
      </c>
      <c r="J145" s="26" t="s">
        <v>301</v>
      </c>
      <c r="K145" s="27">
        <f>IF(COUNT(K125:K144), SUM(K125:K144) / COUNT(K125:K144), 0)</f>
        <v>0</v>
      </c>
      <c r="L145" s="28">
        <f>SUM(L125:L144)</f>
        <v>0</v>
      </c>
      <c r="M145" s="26" t="s">
        <v>301</v>
      </c>
      <c r="N145" s="27">
        <f>IF(COUNT(N125:N144), SUM(N125:N144) / COUNT(N125:N144), 0)</f>
        <v>0</v>
      </c>
      <c r="O145" s="28">
        <f>SUM(O125:O144)</f>
        <v>0</v>
      </c>
      <c r="Q145" s="167"/>
      <c r="R145" s="168"/>
      <c r="S145" s="169"/>
    </row>
    <row r="147" spans="1:19" ht="17.25" thickBot="1"/>
    <row r="148" spans="1:19" ht="17.25" thickBot="1">
      <c r="A148" s="183" t="s">
        <v>289</v>
      </c>
      <c r="B148" s="184"/>
      <c r="C148" s="184"/>
      <c r="D148" s="184"/>
      <c r="E148" s="184"/>
      <c r="F148" s="184"/>
      <c r="G148" s="184"/>
      <c r="H148" s="184"/>
      <c r="I148" s="184"/>
      <c r="J148" s="184"/>
      <c r="K148" s="184"/>
      <c r="L148" s="184"/>
      <c r="M148" s="184"/>
      <c r="N148" s="184"/>
      <c r="O148" s="185"/>
      <c r="Q148" s="182"/>
      <c r="R148" s="182"/>
      <c r="S148" s="182"/>
    </row>
    <row r="149" spans="1:19" ht="17.25" thickBot="1">
      <c r="A149" s="157" t="s">
        <v>297</v>
      </c>
      <c r="B149" s="183" t="s">
        <v>49</v>
      </c>
      <c r="C149" s="185"/>
      <c r="D149" s="183" t="s">
        <v>58</v>
      </c>
      <c r="E149" s="184"/>
      <c r="F149" s="185"/>
      <c r="G149" s="186">
        <f>_xlfn.IFNA(VLOOKUP(B149, 현재가테이블!$B$2:$D$200, 2, FALSE), "-")</f>
        <v>43214000</v>
      </c>
      <c r="H149" s="187"/>
      <c r="I149" s="188"/>
      <c r="J149" s="183" t="s">
        <v>59</v>
      </c>
      <c r="K149" s="184"/>
      <c r="L149" s="185"/>
      <c r="M149" s="189">
        <f>_xlfn.IFNA(VLOOKUP(B149, 현재가테이블!$B$2:$D$200, 3, FALSE), "-")</f>
        <v>8.5693770000000002E-4</v>
      </c>
      <c r="N149" s="190"/>
      <c r="O149" s="191"/>
      <c r="Q149" s="182"/>
      <c r="R149" s="182"/>
      <c r="S149" s="182"/>
    </row>
    <row r="150" spans="1:19" ht="17.25" thickBot="1">
      <c r="A150" s="227" t="s">
        <v>55</v>
      </c>
      <c r="B150" s="223" t="str">
        <f>TEXT($G$1, "[$-ko-KR]yyyy-mm-dd(ddd) ") &amp; "오전 00:00"</f>
        <v>2021-06-01(화) 오전 00:00</v>
      </c>
      <c r="C150" s="224"/>
      <c r="D150" s="196" t="str">
        <f>TEXT($G$1, "[$-ko-KR]yyyy-mm-dd(ddd) ") &amp; "오후 14:00"</f>
        <v>2021-06-01(화) 오후 14:00</v>
      </c>
      <c r="E150" s="197"/>
      <c r="F150" s="198"/>
      <c r="G150" s="196" t="str">
        <f>TEXT($G$1, "[$-ko-KR]yyyy-mm-dd(ddd) ") &amp; "오후 19:00"</f>
        <v>2021-06-01(화) 오후 19:00</v>
      </c>
      <c r="H150" s="197"/>
      <c r="I150" s="198"/>
      <c r="J150" s="196" t="str">
        <f>TEXT($G$1, "[$-ko-KR]yyyy-mm-dd(ddd) ") &amp; "오후 21:00"</f>
        <v>2021-06-01(화) 오후 21:00</v>
      </c>
      <c r="K150" s="197"/>
      <c r="L150" s="198"/>
      <c r="M150" s="196" t="str">
        <f>TEXT($G$1+1, "[$-ko-KR]yyyy-mm-dd(ddd) ") &amp; "오전 00:00"</f>
        <v>2021-06-02(수) 오전 00:00</v>
      </c>
      <c r="N150" s="197"/>
      <c r="O150" s="198"/>
      <c r="Q150" s="182"/>
      <c r="R150" s="182"/>
      <c r="S150" s="182"/>
    </row>
    <row r="151" spans="1:19" ht="17.25" thickBot="1">
      <c r="A151" s="228"/>
      <c r="B151" s="121" t="s">
        <v>58</v>
      </c>
      <c r="C151" s="122" t="s">
        <v>59</v>
      </c>
      <c r="D151" s="2" t="s">
        <v>58</v>
      </c>
      <c r="E151" s="10" t="s">
        <v>298</v>
      </c>
      <c r="F151" s="11" t="s">
        <v>299</v>
      </c>
      <c r="G151" s="158" t="s">
        <v>58</v>
      </c>
      <c r="H151" s="159" t="s">
        <v>298</v>
      </c>
      <c r="I151" s="160" t="s">
        <v>299</v>
      </c>
      <c r="J151" s="10" t="s">
        <v>58</v>
      </c>
      <c r="K151" s="10" t="s">
        <v>298</v>
      </c>
      <c r="L151" s="115" t="s">
        <v>299</v>
      </c>
      <c r="M151" s="2" t="s">
        <v>58</v>
      </c>
      <c r="N151" s="10" t="s">
        <v>298</v>
      </c>
      <c r="O151" s="66" t="s">
        <v>299</v>
      </c>
      <c r="Q151" s="172"/>
      <c r="R151" s="172"/>
      <c r="S151" s="172"/>
    </row>
    <row r="152" spans="1:19" ht="17.25" thickBot="1">
      <c r="A152" s="123" t="s">
        <v>112</v>
      </c>
      <c r="B152" s="124">
        <v>161</v>
      </c>
      <c r="C152" s="76">
        <v>-2.4242424200000001E-2</v>
      </c>
      <c r="D152" s="13"/>
      <c r="E152" s="14" t="str">
        <f>IF(ISNUMBER(D152), (D152 - $B152) / $B152, "")</f>
        <v/>
      </c>
      <c r="F152" s="16" t="str">
        <f>IF(ISNUMBER(D152), $B172 * E152, "")</f>
        <v/>
      </c>
      <c r="G152" s="29"/>
      <c r="H152" s="14" t="str">
        <f>IF(ISNUMBER(G152), (G152 - $B152) / $B152, "")</f>
        <v/>
      </c>
      <c r="I152" s="100" t="str">
        <f>IF(ISNUMBER(G152), $B172 * H152, "")</f>
        <v/>
      </c>
      <c r="J152" s="13"/>
      <c r="K152" s="14" t="str">
        <f>IF(ISNUMBER(J152), (J152 - $B152) / $B152, "")</f>
        <v/>
      </c>
      <c r="L152" s="16" t="str">
        <f>IF(ISNUMBER(J152), $B172 * K152, "")</f>
        <v/>
      </c>
      <c r="M152" s="29"/>
      <c r="N152" s="14" t="str">
        <f>IF(ISNUMBER(M152), (M152 - $B152) / $B152, "")</f>
        <v/>
      </c>
      <c r="O152" s="16" t="str">
        <f>IF(ISNUMBER(M152), $B172 * N152, "")</f>
        <v/>
      </c>
      <c r="Q152" s="182"/>
      <c r="R152" s="182"/>
      <c r="S152" s="182"/>
    </row>
    <row r="153" spans="1:19" ht="17.25" thickBot="1">
      <c r="A153" s="125" t="s">
        <v>216</v>
      </c>
      <c r="B153" s="126">
        <v>287</v>
      </c>
      <c r="C153" s="77">
        <v>-3.0405405399999998E-2</v>
      </c>
      <c r="D153" s="15"/>
      <c r="E153" s="32" t="str">
        <f t="shared" ref="E153:E156" si="78">IF(ISNUMBER(D153), (D153 - $B153) / $B153, "")</f>
        <v/>
      </c>
      <c r="F153" s="18" t="str">
        <f>IF(ISNUMBER(D153), $B172 * E153, "")</f>
        <v/>
      </c>
      <c r="G153" s="31"/>
      <c r="H153" s="32" t="str">
        <f t="shared" ref="H153:H156" si="79">IF(ISNUMBER(G153), (G153 - $B153) / $B153, "")</f>
        <v/>
      </c>
      <c r="I153" s="101" t="str">
        <f>IF(ISNUMBER(G153), $B172 * H153, "")</f>
        <v/>
      </c>
      <c r="J153" s="15"/>
      <c r="K153" s="32" t="str">
        <f t="shared" ref="K153:K156" si="80">IF(ISNUMBER(J153), (J153 - $B153) / $B153, "")</f>
        <v/>
      </c>
      <c r="L153" s="18" t="str">
        <f>IF(ISNUMBER(J153), $B172 * K153, "")</f>
        <v/>
      </c>
      <c r="M153" s="31"/>
      <c r="N153" s="32" t="str">
        <f t="shared" ref="N153:N156" si="81">IF(ISNUMBER(M153), (M153 - $B153) / $B153, "")</f>
        <v/>
      </c>
      <c r="O153" s="18" t="str">
        <f>IF(ISNUMBER(M153), $B172 * N153, "")</f>
        <v/>
      </c>
      <c r="Q153" s="182"/>
      <c r="R153" s="182"/>
      <c r="S153" s="182"/>
    </row>
    <row r="154" spans="1:19" ht="17.25" thickBot="1">
      <c r="A154" s="125" t="s">
        <v>182</v>
      </c>
      <c r="B154" s="126">
        <v>293</v>
      </c>
      <c r="C154" s="77">
        <v>-3.3003300300000003E-2</v>
      </c>
      <c r="D154" s="15"/>
      <c r="E154" s="32" t="str">
        <f t="shared" si="78"/>
        <v/>
      </c>
      <c r="F154" s="18" t="str">
        <f>IF(ISNUMBER(D154), $B172 * E154, "")</f>
        <v/>
      </c>
      <c r="G154" s="31"/>
      <c r="H154" s="32" t="str">
        <f t="shared" si="79"/>
        <v/>
      </c>
      <c r="I154" s="101" t="str">
        <f>IF(ISNUMBER(G154), $B172 * H154, "")</f>
        <v/>
      </c>
      <c r="J154" s="15"/>
      <c r="K154" s="32" t="str">
        <f t="shared" si="80"/>
        <v/>
      </c>
      <c r="L154" s="18" t="str">
        <f>IF(ISNUMBER(J154), $B172 * K154, "")</f>
        <v/>
      </c>
      <c r="M154" s="31"/>
      <c r="N154" s="32" t="str">
        <f t="shared" si="81"/>
        <v/>
      </c>
      <c r="O154" s="18" t="str">
        <f>IF(ISNUMBER(M154), $B172 * N154, "")</f>
        <v/>
      </c>
      <c r="Q154" s="172"/>
      <c r="R154" s="172"/>
      <c r="S154" s="172"/>
    </row>
    <row r="155" spans="1:19" ht="17.25" thickBot="1">
      <c r="A155" s="125" t="s">
        <v>256</v>
      </c>
      <c r="B155" s="126">
        <v>174</v>
      </c>
      <c r="C155" s="77">
        <v>-3.3333333299999997E-2</v>
      </c>
      <c r="D155" s="15"/>
      <c r="E155" s="32" t="str">
        <f t="shared" si="78"/>
        <v/>
      </c>
      <c r="F155" s="18" t="str">
        <f>IF(ISNUMBER(D155), $B172 * E155, "")</f>
        <v/>
      </c>
      <c r="G155" s="31"/>
      <c r="H155" s="32" t="str">
        <f t="shared" si="79"/>
        <v/>
      </c>
      <c r="I155" s="101" t="str">
        <f>IF(ISNUMBER(G155), $B172 * H155, "")</f>
        <v/>
      </c>
      <c r="J155" s="15"/>
      <c r="K155" s="32" t="str">
        <f t="shared" si="80"/>
        <v/>
      </c>
      <c r="L155" s="18" t="str">
        <f>IF(ISNUMBER(J155), $B172 * K155, "")</f>
        <v/>
      </c>
      <c r="M155" s="31"/>
      <c r="N155" s="32" t="str">
        <f t="shared" si="81"/>
        <v/>
      </c>
      <c r="O155" s="18" t="str">
        <f>IF(ISNUMBER(M155), $B172 * N155, "")</f>
        <v/>
      </c>
      <c r="Q155" s="172"/>
      <c r="R155" s="172"/>
      <c r="S155" s="172"/>
    </row>
    <row r="156" spans="1:19" ht="17.25" thickBot="1">
      <c r="A156" s="127" t="s">
        <v>250</v>
      </c>
      <c r="B156" s="128">
        <v>115</v>
      </c>
      <c r="C156" s="78">
        <v>-3.3613445399999997E-2</v>
      </c>
      <c r="D156" s="20"/>
      <c r="E156" s="21" t="str">
        <f t="shared" si="78"/>
        <v/>
      </c>
      <c r="F156" s="22" t="str">
        <f>IF(ISNUMBER(D156), $B172 * E156, "")</f>
        <v/>
      </c>
      <c r="G156" s="30"/>
      <c r="H156" s="21" t="str">
        <f t="shared" si="79"/>
        <v/>
      </c>
      <c r="I156" s="105" t="str">
        <f>IF(ISNUMBER(G156), $B172 * H156, "")</f>
        <v/>
      </c>
      <c r="J156" s="20"/>
      <c r="K156" s="21" t="str">
        <f t="shared" si="80"/>
        <v/>
      </c>
      <c r="L156" s="22" t="str">
        <f>IF(ISNUMBER(J156), $B172 * K156, "")</f>
        <v/>
      </c>
      <c r="M156" s="30"/>
      <c r="N156" s="21" t="str">
        <f t="shared" si="81"/>
        <v/>
      </c>
      <c r="O156" s="22" t="str">
        <f>IF(ISNUMBER(M156), $B172 * N156, "")</f>
        <v/>
      </c>
      <c r="Q156" s="172"/>
      <c r="R156" s="172"/>
      <c r="S156" s="172"/>
    </row>
    <row r="157" spans="1:19" ht="17.25" thickBot="1">
      <c r="A157" s="125" t="s">
        <v>282</v>
      </c>
      <c r="B157" s="129">
        <v>113</v>
      </c>
      <c r="C157" s="80">
        <v>-3.4188034200000002E-2</v>
      </c>
      <c r="D157" s="106"/>
      <c r="E157" s="107" t="str">
        <f>IF(ISNUMBER(D157), (D157 - $B157) / $B157, "")</f>
        <v/>
      </c>
      <c r="F157" s="108" t="str">
        <f>IF(ISNUMBER(D157), $B172 * E157, "")</f>
        <v/>
      </c>
      <c r="G157" s="109"/>
      <c r="H157" s="107" t="str">
        <f>IF(ISNUMBER(G157), (G157 - $B157) / $B157, "")</f>
        <v/>
      </c>
      <c r="I157" s="110" t="str">
        <f>IF(ISNUMBER(G157), $B172 * H157, "")</f>
        <v/>
      </c>
      <c r="J157" s="106"/>
      <c r="K157" s="107" t="str">
        <f>IF(ISNUMBER(J157), (J157 - $B157) / $B157, "")</f>
        <v/>
      </c>
      <c r="L157" s="108" t="str">
        <f>IF(ISNUMBER(J157), $B172 * K157, "")</f>
        <v/>
      </c>
      <c r="M157" s="109"/>
      <c r="N157" s="107" t="str">
        <f>IF(ISNUMBER(M157), (M157 - $B157) / $B157, "")</f>
        <v/>
      </c>
      <c r="O157" s="108" t="str">
        <f>IF(ISNUMBER(M157), $B172 * N157, "")</f>
        <v/>
      </c>
      <c r="Q157" s="172"/>
      <c r="R157" s="172"/>
      <c r="S157" s="172"/>
    </row>
    <row r="158" spans="1:19" ht="17.25" thickBot="1">
      <c r="A158" s="125" t="s">
        <v>284</v>
      </c>
      <c r="B158" s="126">
        <v>251</v>
      </c>
      <c r="C158" s="77">
        <v>-3.46153846E-2</v>
      </c>
      <c r="D158" s="15"/>
      <c r="E158" s="32" t="str">
        <f t="shared" ref="E158:E161" si="82">IF(ISNUMBER(D158), (D158 - $B158) / $B158, "")</f>
        <v/>
      </c>
      <c r="F158" s="18" t="str">
        <f>IF(ISNUMBER(D158), $B172 * E158, "")</f>
        <v/>
      </c>
      <c r="G158" s="31"/>
      <c r="H158" s="32" t="str">
        <f t="shared" ref="H158:H161" si="83">IF(ISNUMBER(G158), (G158 - $B158) / $B158, "")</f>
        <v/>
      </c>
      <c r="I158" s="101" t="str">
        <f>IF(ISNUMBER(G158), $B172 * H158, "")</f>
        <v/>
      </c>
      <c r="J158" s="15"/>
      <c r="K158" s="32" t="str">
        <f t="shared" ref="K158:K161" si="84">IF(ISNUMBER(J158), (J158 - $B158) / $B158, "")</f>
        <v/>
      </c>
      <c r="L158" s="18" t="str">
        <f>IF(ISNUMBER(J158), $B172 * K158, "")</f>
        <v/>
      </c>
      <c r="M158" s="31"/>
      <c r="N158" s="32" t="str">
        <f t="shared" ref="N158:N161" si="85">IF(ISNUMBER(M158), (M158 - $B158) / $B158, "")</f>
        <v/>
      </c>
      <c r="O158" s="18" t="str">
        <f>IF(ISNUMBER(M158), $B172 * N158, "")</f>
        <v/>
      </c>
      <c r="Q158" s="172"/>
      <c r="R158" s="172"/>
      <c r="S158" s="172"/>
    </row>
    <row r="159" spans="1:19" ht="17.25" thickBot="1">
      <c r="A159" s="125" t="s">
        <v>208</v>
      </c>
      <c r="B159" s="126">
        <v>331</v>
      </c>
      <c r="C159" s="77">
        <v>-3.4985422699999998E-2</v>
      </c>
      <c r="D159" s="15"/>
      <c r="E159" s="32" t="str">
        <f t="shared" si="82"/>
        <v/>
      </c>
      <c r="F159" s="18" t="str">
        <f>IF(ISNUMBER(D159), $B172 * E159, "")</f>
        <v/>
      </c>
      <c r="G159" s="31"/>
      <c r="H159" s="32" t="str">
        <f t="shared" si="83"/>
        <v/>
      </c>
      <c r="I159" s="101" t="str">
        <f>IF(ISNUMBER(G159), $B172 * H159, "")</f>
        <v/>
      </c>
      <c r="J159" s="15"/>
      <c r="K159" s="32" t="str">
        <f t="shared" si="84"/>
        <v/>
      </c>
      <c r="L159" s="18" t="str">
        <f>IF(ISNUMBER(J159), $B172 * K159, "")</f>
        <v/>
      </c>
      <c r="M159" s="31"/>
      <c r="N159" s="32" t="str">
        <f t="shared" si="85"/>
        <v/>
      </c>
      <c r="O159" s="18" t="str">
        <f>IF(ISNUMBER(M159), $B172 * N159, "")</f>
        <v/>
      </c>
      <c r="Q159" s="172"/>
      <c r="R159" s="172"/>
      <c r="S159" s="172"/>
    </row>
    <row r="160" spans="1:19" ht="17.25" thickBot="1">
      <c r="A160" s="125" t="s">
        <v>170</v>
      </c>
      <c r="B160" s="126">
        <v>290</v>
      </c>
      <c r="C160" s="77">
        <v>-3.6544850500000003E-2</v>
      </c>
      <c r="D160" s="15"/>
      <c r="E160" s="32" t="str">
        <f t="shared" si="82"/>
        <v/>
      </c>
      <c r="F160" s="18" t="str">
        <f>IF(ISNUMBER(D160), $B172 * E160, "")</f>
        <v/>
      </c>
      <c r="G160" s="31"/>
      <c r="H160" s="32" t="str">
        <f t="shared" si="83"/>
        <v/>
      </c>
      <c r="I160" s="101" t="str">
        <f>IF(ISNUMBER(G160), $B172 * H160, "")</f>
        <v/>
      </c>
      <c r="J160" s="15"/>
      <c r="K160" s="32" t="str">
        <f t="shared" si="84"/>
        <v/>
      </c>
      <c r="L160" s="18" t="str">
        <f>IF(ISNUMBER(J160), $B172 * K160, "")</f>
        <v/>
      </c>
      <c r="M160" s="31"/>
      <c r="N160" s="32" t="str">
        <f t="shared" si="85"/>
        <v/>
      </c>
      <c r="O160" s="18" t="str">
        <f>IF(ISNUMBER(M160), $B172 * N160, "")</f>
        <v/>
      </c>
      <c r="Q160" s="33"/>
      <c r="R160" s="33"/>
    </row>
    <row r="161" spans="1:19" ht="17.25" thickBot="1">
      <c r="A161" s="130" t="s">
        <v>200</v>
      </c>
      <c r="B161" s="131">
        <v>209</v>
      </c>
      <c r="C161" s="79">
        <v>-3.68663594E-2</v>
      </c>
      <c r="D161" s="24"/>
      <c r="E161" s="25" t="str">
        <f t="shared" si="82"/>
        <v/>
      </c>
      <c r="F161" s="104" t="str">
        <f>IF(ISNUMBER(D161), $B172 * E161, "")</f>
        <v/>
      </c>
      <c r="G161" s="102"/>
      <c r="H161" s="25" t="str">
        <f t="shared" si="83"/>
        <v/>
      </c>
      <c r="I161" s="103" t="str">
        <f>IF(ISNUMBER(G161), $B172 * H161, "")</f>
        <v/>
      </c>
      <c r="J161" s="24"/>
      <c r="K161" s="25" t="str">
        <f t="shared" si="84"/>
        <v/>
      </c>
      <c r="L161" s="104" t="str">
        <f>IF(ISNUMBER(J161), $B172 * K161, "")</f>
        <v/>
      </c>
      <c r="M161" s="102"/>
      <c r="N161" s="25" t="str">
        <f t="shared" si="85"/>
        <v/>
      </c>
      <c r="O161" s="104" t="str">
        <f>IF(ISNUMBER(M161), $B172 * N161, "")</f>
        <v/>
      </c>
      <c r="Q161" s="173"/>
      <c r="R161" s="174"/>
      <c r="S161" s="175"/>
    </row>
    <row r="162" spans="1:19">
      <c r="A162" s="123" t="s">
        <v>258</v>
      </c>
      <c r="B162" s="124">
        <v>494</v>
      </c>
      <c r="C162" s="76">
        <v>-3.7037037000000002E-2</v>
      </c>
      <c r="D162" s="13"/>
      <c r="E162" s="14" t="str">
        <f>IF(ISNUMBER(D162), (D162 - $B162) / $B162, "")</f>
        <v/>
      </c>
      <c r="F162" s="16" t="str">
        <f>IF(ISNUMBER(D162), $B172 * E162, "")</f>
        <v/>
      </c>
      <c r="G162" s="29"/>
      <c r="H162" s="14" t="str">
        <f>IF(ISNUMBER(G162), (G162 - $B162) / $B162, "")</f>
        <v/>
      </c>
      <c r="I162" s="100" t="str">
        <f>IF(ISNUMBER(G162), $B172 * H162, "")</f>
        <v/>
      </c>
      <c r="J162" s="13"/>
      <c r="K162" s="14" t="str">
        <f>IF(ISNUMBER(J162), (J162 - $B162) / $B162, "")</f>
        <v/>
      </c>
      <c r="L162" s="16" t="str">
        <f>IF(ISNUMBER(J162), $B172 * K162, "")</f>
        <v/>
      </c>
      <c r="M162" s="29"/>
      <c r="N162" s="14" t="str">
        <f>IF(ISNUMBER(M162), (M162 - $B162) / $B162, "")</f>
        <v/>
      </c>
      <c r="O162" s="16" t="str">
        <f>IF(ISNUMBER(M162), $B172 * N162, "")</f>
        <v/>
      </c>
      <c r="Q162" s="176"/>
      <c r="R162" s="177"/>
      <c r="S162" s="178"/>
    </row>
    <row r="163" spans="1:19" ht="17.25" thickBot="1">
      <c r="A163" s="125" t="s">
        <v>240</v>
      </c>
      <c r="B163" s="126">
        <v>124</v>
      </c>
      <c r="C163" s="77">
        <v>-3.8759689899999998E-2</v>
      </c>
      <c r="D163" s="15"/>
      <c r="E163" s="32" t="str">
        <f t="shared" ref="E163:E166" si="86">IF(ISNUMBER(D163), (D163 - $B163) / $B163, "")</f>
        <v/>
      </c>
      <c r="F163" s="18" t="str">
        <f>IF(ISNUMBER(D163), $B172 * E163, "")</f>
        <v/>
      </c>
      <c r="G163" s="31"/>
      <c r="H163" s="32" t="str">
        <f t="shared" ref="H163:H166" si="87">IF(ISNUMBER(G163), (G163 - $B163) / $B163, "")</f>
        <v/>
      </c>
      <c r="I163" s="101" t="str">
        <f>IF(ISNUMBER(G163), $B172 * H163, "")</f>
        <v/>
      </c>
      <c r="J163" s="15"/>
      <c r="K163" s="32" t="str">
        <f t="shared" ref="K163:K166" si="88">IF(ISNUMBER(J163), (J163 - $B163) / $B163, "")</f>
        <v/>
      </c>
      <c r="L163" s="18" t="str">
        <f>IF(ISNUMBER(J163), $B172 * K163, "")</f>
        <v/>
      </c>
      <c r="M163" s="31"/>
      <c r="N163" s="32" t="str">
        <f t="shared" ref="N163:N166" si="89">IF(ISNUMBER(M163), (M163 - $B163) / $B163, "")</f>
        <v/>
      </c>
      <c r="O163" s="18" t="str">
        <f>IF(ISNUMBER(M163), $B172 * N163, "")</f>
        <v/>
      </c>
      <c r="Q163" s="179"/>
      <c r="R163" s="180"/>
      <c r="S163" s="181"/>
    </row>
    <row r="164" spans="1:19" ht="17.25" thickBot="1">
      <c r="A164" s="125" t="s">
        <v>202</v>
      </c>
      <c r="B164" s="126">
        <v>120</v>
      </c>
      <c r="C164" s="77">
        <v>-0.04</v>
      </c>
      <c r="D164" s="15"/>
      <c r="E164" s="32" t="str">
        <f t="shared" si="86"/>
        <v/>
      </c>
      <c r="F164" s="18" t="str">
        <f>IF(ISNUMBER(D164), $B172 * E164, "")</f>
        <v/>
      </c>
      <c r="G164" s="31"/>
      <c r="H164" s="32" t="str">
        <f t="shared" si="87"/>
        <v/>
      </c>
      <c r="I164" s="101" t="str">
        <f>IF(ISNUMBER(G164), $B172 * H164, "")</f>
        <v/>
      </c>
      <c r="J164" s="15"/>
      <c r="K164" s="32" t="str">
        <f t="shared" si="88"/>
        <v/>
      </c>
      <c r="L164" s="18" t="str">
        <f>IF(ISNUMBER(J164), $B172 * K164, "")</f>
        <v/>
      </c>
      <c r="M164" s="31"/>
      <c r="N164" s="32" t="str">
        <f t="shared" si="89"/>
        <v/>
      </c>
      <c r="O164" s="18" t="str">
        <f>IF(ISNUMBER(M164), $B172 * N164, "")</f>
        <v/>
      </c>
      <c r="Q164" s="172"/>
      <c r="R164" s="172"/>
      <c r="S164" s="172"/>
    </row>
    <row r="165" spans="1:19" ht="17.25" thickBot="1">
      <c r="A165" s="125" t="s">
        <v>232</v>
      </c>
      <c r="B165" s="126">
        <v>113</v>
      </c>
      <c r="C165" s="77">
        <v>-4.23728814E-2</v>
      </c>
      <c r="D165" s="15"/>
      <c r="E165" s="32" t="str">
        <f t="shared" si="86"/>
        <v/>
      </c>
      <c r="F165" s="18" t="str">
        <f>IF(ISNUMBER(D165), $B172 * E165, "")</f>
        <v/>
      </c>
      <c r="G165" s="31"/>
      <c r="H165" s="32" t="str">
        <f t="shared" si="87"/>
        <v/>
      </c>
      <c r="I165" s="101" t="str">
        <f>IF(ISNUMBER(G165), $B172 * H165, "")</f>
        <v/>
      </c>
      <c r="J165" s="15"/>
      <c r="K165" s="32" t="str">
        <f t="shared" si="88"/>
        <v/>
      </c>
      <c r="L165" s="18" t="str">
        <f>IF(ISNUMBER(J165), $B172 * K165, "")</f>
        <v/>
      </c>
      <c r="M165" s="31"/>
      <c r="N165" s="32" t="str">
        <f t="shared" si="89"/>
        <v/>
      </c>
      <c r="O165" s="18" t="str">
        <f>IF(ISNUMBER(M165), $B172 * N165, "")</f>
        <v/>
      </c>
      <c r="Q165" s="182"/>
      <c r="R165" s="182"/>
      <c r="S165" s="182"/>
    </row>
    <row r="166" spans="1:19" ht="17.25" thickBot="1">
      <c r="A166" s="127" t="s">
        <v>226</v>
      </c>
      <c r="B166" s="128">
        <v>291</v>
      </c>
      <c r="C166" s="78">
        <v>-4.2763157900000001E-2</v>
      </c>
      <c r="D166" s="20"/>
      <c r="E166" s="21" t="str">
        <f t="shared" si="86"/>
        <v/>
      </c>
      <c r="F166" s="22" t="str">
        <f>IF(ISNUMBER(D166), $B172 * E166, "")</f>
        <v/>
      </c>
      <c r="G166" s="30"/>
      <c r="H166" s="21" t="str">
        <f t="shared" si="87"/>
        <v/>
      </c>
      <c r="I166" s="105" t="str">
        <f>IF(ISNUMBER(G166), $B172 * H166, "")</f>
        <v/>
      </c>
      <c r="J166" s="20"/>
      <c r="K166" s="21" t="str">
        <f t="shared" si="88"/>
        <v/>
      </c>
      <c r="L166" s="22" t="str">
        <f>IF(ISNUMBER(J166), $B172 * K166, "")</f>
        <v/>
      </c>
      <c r="M166" s="30"/>
      <c r="N166" s="21" t="str">
        <f t="shared" si="89"/>
        <v/>
      </c>
      <c r="O166" s="22" t="str">
        <f>IF(ISNUMBER(M166), $B172 * N166, "")</f>
        <v/>
      </c>
      <c r="Q166" s="182"/>
      <c r="R166" s="182"/>
      <c r="S166" s="182"/>
    </row>
    <row r="167" spans="1:19" ht="17.25" thickBot="1">
      <c r="A167" s="125" t="s">
        <v>210</v>
      </c>
      <c r="B167" s="129">
        <v>131</v>
      </c>
      <c r="C167" s="80">
        <v>-4.3795620399999999E-2</v>
      </c>
      <c r="D167" s="106"/>
      <c r="E167" s="107" t="str">
        <f>IF(ISNUMBER(D167), (D167 - $B167) / $B167, "")</f>
        <v/>
      </c>
      <c r="F167" s="108" t="str">
        <f>IF(ISNUMBER(D167), $B172 * E167, "")</f>
        <v/>
      </c>
      <c r="G167" s="109"/>
      <c r="H167" s="107" t="str">
        <f>IF(ISNUMBER(G167), (G167 - $B167) / $B167, "")</f>
        <v/>
      </c>
      <c r="I167" s="110" t="str">
        <f>IF(ISNUMBER(G167), $B172 * H167, "")</f>
        <v/>
      </c>
      <c r="J167" s="106"/>
      <c r="K167" s="107" t="str">
        <f>IF(ISNUMBER(J167), (J167 - $B167) / $B167, "")</f>
        <v/>
      </c>
      <c r="L167" s="108" t="str">
        <f>IF(ISNUMBER(J167), $B172 * K167, "")</f>
        <v/>
      </c>
      <c r="M167" s="109"/>
      <c r="N167" s="107" t="str">
        <f>IF(ISNUMBER(M167), (M167 - $B167) / $B167, "")</f>
        <v/>
      </c>
      <c r="O167" s="108" t="str">
        <f>IF(ISNUMBER(M167), $B172 * N167, "")</f>
        <v/>
      </c>
      <c r="Q167" s="172"/>
      <c r="R167" s="172"/>
      <c r="S167" s="172"/>
    </row>
    <row r="168" spans="1:19" ht="17.25" thickBot="1">
      <c r="A168" s="125" t="s">
        <v>234</v>
      </c>
      <c r="B168" s="126">
        <v>845</v>
      </c>
      <c r="C168" s="77">
        <v>-4.4117647099999997E-2</v>
      </c>
      <c r="D168" s="15"/>
      <c r="E168" s="32" t="str">
        <f t="shared" ref="E168:E171" si="90">IF(ISNUMBER(D168), (D168 - $B168) / $B168, "")</f>
        <v/>
      </c>
      <c r="F168" s="18" t="str">
        <f>IF(ISNUMBER(D168), $B172 * E168, "")</f>
        <v/>
      </c>
      <c r="G168" s="31"/>
      <c r="H168" s="32" t="str">
        <f t="shared" ref="H168:H171" si="91">IF(ISNUMBER(G168), (G168 - $B168) / $B168, "")</f>
        <v/>
      </c>
      <c r="I168" s="101" t="str">
        <f>IF(ISNUMBER(G168), $B172 * H168, "")</f>
        <v/>
      </c>
      <c r="J168" s="15"/>
      <c r="K168" s="32" t="str">
        <f t="shared" ref="K168:K171" si="92">IF(ISNUMBER(J168), (J168 - $B168) / $B168, "")</f>
        <v/>
      </c>
      <c r="L168" s="18" t="str">
        <f>IF(ISNUMBER(J168), $B172 * K168, "")</f>
        <v/>
      </c>
      <c r="M168" s="31"/>
      <c r="N168" s="32" t="str">
        <f t="shared" ref="N168:N171" si="93">IF(ISNUMBER(M168), (M168 - $B168) / $B168, "")</f>
        <v/>
      </c>
      <c r="O168" s="18" t="str">
        <f>IF(ISNUMBER(M168), $B172 * N168, "")</f>
        <v/>
      </c>
      <c r="Q168" s="172"/>
      <c r="R168" s="172"/>
      <c r="S168" s="172"/>
    </row>
    <row r="169" spans="1:19" ht="17.25" thickBot="1">
      <c r="A169" s="125" t="s">
        <v>252</v>
      </c>
      <c r="B169" s="126">
        <v>303</v>
      </c>
      <c r="C169" s="77">
        <v>-4.4164037900000001E-2</v>
      </c>
      <c r="D169" s="15"/>
      <c r="E169" s="32" t="str">
        <f t="shared" si="90"/>
        <v/>
      </c>
      <c r="F169" s="18" t="str">
        <f>IF(ISNUMBER(D169), $B172 * E169, "")</f>
        <v/>
      </c>
      <c r="G169" s="31"/>
      <c r="H169" s="32" t="str">
        <f t="shared" si="91"/>
        <v/>
      </c>
      <c r="I169" s="101" t="str">
        <f>IF(ISNUMBER(G169), $B172 * H169, "")</f>
        <v/>
      </c>
      <c r="J169" s="15"/>
      <c r="K169" s="32" t="str">
        <f t="shared" si="92"/>
        <v/>
      </c>
      <c r="L169" s="18" t="str">
        <f>IF(ISNUMBER(J169), $B172 * K169, "")</f>
        <v/>
      </c>
      <c r="M169" s="31"/>
      <c r="N169" s="32" t="str">
        <f t="shared" si="93"/>
        <v/>
      </c>
      <c r="O169" s="18" t="str">
        <f>IF(ISNUMBER(M169), $B172 * N169, "")</f>
        <v/>
      </c>
      <c r="Q169" s="172"/>
      <c r="R169" s="172"/>
      <c r="S169" s="172"/>
    </row>
    <row r="170" spans="1:19">
      <c r="A170" s="125" t="s">
        <v>238</v>
      </c>
      <c r="B170" s="126">
        <v>191</v>
      </c>
      <c r="C170" s="77">
        <v>-4.4999999999999998E-2</v>
      </c>
      <c r="D170" s="15"/>
      <c r="E170" s="32" t="str">
        <f t="shared" si="90"/>
        <v/>
      </c>
      <c r="F170" s="18" t="str">
        <f>IF(ISNUMBER(D170), $B172 * E170, "")</f>
        <v/>
      </c>
      <c r="G170" s="31"/>
      <c r="H170" s="32" t="str">
        <f t="shared" si="91"/>
        <v/>
      </c>
      <c r="I170" s="101" t="str">
        <f>IF(ISNUMBER(G170), $B172 * H170, "")</f>
        <v/>
      </c>
      <c r="J170" s="15"/>
      <c r="K170" s="32" t="str">
        <f t="shared" si="92"/>
        <v/>
      </c>
      <c r="L170" s="18" t="str">
        <f>IF(ISNUMBER(J170), $B172 * K170, "")</f>
        <v/>
      </c>
      <c r="M170" s="31"/>
      <c r="N170" s="32" t="str">
        <f t="shared" si="93"/>
        <v/>
      </c>
      <c r="O170" s="18" t="str">
        <f>IF(ISNUMBER(M170), $B172 * N170, "")</f>
        <v/>
      </c>
      <c r="Q170" s="161"/>
      <c r="R170" s="162"/>
      <c r="S170" s="163"/>
    </row>
    <row r="171" spans="1:19" ht="17.25" thickBot="1">
      <c r="A171" s="130" t="s">
        <v>246</v>
      </c>
      <c r="B171" s="131">
        <v>308</v>
      </c>
      <c r="C171" s="79">
        <v>-5.8103975500000002E-2</v>
      </c>
      <c r="D171" s="24"/>
      <c r="E171" s="25" t="str">
        <f t="shared" si="90"/>
        <v/>
      </c>
      <c r="F171" s="104" t="str">
        <f>IF(ISNUMBER(D171), $B172 * E171, "")</f>
        <v/>
      </c>
      <c r="G171" s="102"/>
      <c r="H171" s="25" t="str">
        <f t="shared" si="91"/>
        <v/>
      </c>
      <c r="I171" s="103" t="str">
        <f>IF(ISNUMBER(G171), $B172 * H171, "")</f>
        <v/>
      </c>
      <c r="J171" s="24"/>
      <c r="K171" s="25" t="str">
        <f t="shared" si="92"/>
        <v/>
      </c>
      <c r="L171" s="104" t="str">
        <f>IF(ISNUMBER(J171), $B172 * K171, "")</f>
        <v/>
      </c>
      <c r="M171" s="102"/>
      <c r="N171" s="25" t="str">
        <f t="shared" si="93"/>
        <v/>
      </c>
      <c r="O171" s="104" t="str">
        <f>IF(ISNUMBER(M171), $B172 * N171, "")</f>
        <v/>
      </c>
      <c r="Q171" s="164"/>
      <c r="R171" s="165"/>
      <c r="S171" s="166"/>
    </row>
    <row r="172" spans="1:19" ht="17.25" thickBot="1">
      <c r="A172" s="132" t="s">
        <v>300</v>
      </c>
      <c r="B172" s="225">
        <f>$B$37</f>
        <v>150000</v>
      </c>
      <c r="C172" s="226"/>
      <c r="D172" s="26" t="s">
        <v>301</v>
      </c>
      <c r="E172" s="27">
        <f>IF(COUNT(E152:E171), SUM(E152:E171) / COUNT(E152:E171), 0)</f>
        <v>0</v>
      </c>
      <c r="F172" s="28">
        <f>SUM(F152:F171)</f>
        <v>0</v>
      </c>
      <c r="G172" s="26" t="s">
        <v>301</v>
      </c>
      <c r="H172" s="27">
        <f>IF(COUNT(H152:H171), SUM(H152:H171) / COUNT(H152:H171), 0)</f>
        <v>0</v>
      </c>
      <c r="I172" s="28">
        <f>SUM(I152:I171)</f>
        <v>0</v>
      </c>
      <c r="J172" s="26" t="s">
        <v>301</v>
      </c>
      <c r="K172" s="27">
        <f>IF(COUNT(K152:K171), SUM(K152:K171) / COUNT(K152:K171), 0)</f>
        <v>0</v>
      </c>
      <c r="L172" s="28">
        <f>SUM(L152:L171)</f>
        <v>0</v>
      </c>
      <c r="M172" s="26" t="s">
        <v>301</v>
      </c>
      <c r="N172" s="27">
        <f>IF(COUNT(N152:N171), SUM(N152:N171) / COUNT(N152:N171), 0)</f>
        <v>0</v>
      </c>
      <c r="O172" s="28">
        <f>SUM(O152:O171)</f>
        <v>0</v>
      </c>
      <c r="Q172" s="167"/>
      <c r="R172" s="168"/>
      <c r="S172" s="169"/>
    </row>
    <row r="174" spans="1:19" ht="17.25" thickBot="1"/>
    <row r="175" spans="1:19" ht="17.25" thickBot="1">
      <c r="A175" s="183" t="s">
        <v>285</v>
      </c>
      <c r="B175" s="184"/>
      <c r="C175" s="184"/>
      <c r="D175" s="184"/>
      <c r="E175" s="184"/>
      <c r="F175" s="184"/>
      <c r="G175" s="184"/>
      <c r="H175" s="184"/>
      <c r="I175" s="184"/>
      <c r="J175" s="184"/>
      <c r="K175" s="184"/>
      <c r="L175" s="184"/>
      <c r="M175" s="184"/>
      <c r="N175" s="184"/>
      <c r="O175" s="185"/>
      <c r="Q175" s="182"/>
      <c r="R175" s="182"/>
      <c r="S175" s="182"/>
    </row>
    <row r="176" spans="1:19" ht="17.25" thickBot="1">
      <c r="A176" s="157" t="s">
        <v>297</v>
      </c>
      <c r="B176" s="183" t="s">
        <v>49</v>
      </c>
      <c r="C176" s="185"/>
      <c r="D176" s="183" t="s">
        <v>58</v>
      </c>
      <c r="E176" s="184"/>
      <c r="F176" s="185"/>
      <c r="G176" s="186">
        <f>_xlfn.IFNA(VLOOKUP(B176, 현재가테이블!$B$2:$D$200, 2, FALSE), "-")</f>
        <v>43214000</v>
      </c>
      <c r="H176" s="187"/>
      <c r="I176" s="188"/>
      <c r="J176" s="183" t="s">
        <v>59</v>
      </c>
      <c r="K176" s="184"/>
      <c r="L176" s="185"/>
      <c r="M176" s="189">
        <f>_xlfn.IFNA(VLOOKUP(B176, 현재가테이블!$B$2:$D$200, 3, FALSE), "-")</f>
        <v>8.5693770000000002E-4</v>
      </c>
      <c r="N176" s="190"/>
      <c r="O176" s="191"/>
      <c r="Q176" s="182"/>
      <c r="R176" s="182"/>
      <c r="S176" s="182"/>
    </row>
    <row r="177" spans="1:19" ht="17.25" thickBot="1">
      <c r="A177" s="227" t="s">
        <v>55</v>
      </c>
      <c r="B177" s="223" t="str">
        <f>TEXT($G$1, "[$-ko-KR]yyyy-mm-dd(ddd) ") &amp; "오전 00:00"</f>
        <v>2021-06-01(화) 오전 00:00</v>
      </c>
      <c r="C177" s="224"/>
      <c r="D177" s="196" t="str">
        <f>TEXT($G$1, "[$-ko-KR]yyyy-mm-dd(ddd) ") &amp; "오후 14:00"</f>
        <v>2021-06-01(화) 오후 14:00</v>
      </c>
      <c r="E177" s="197"/>
      <c r="F177" s="198"/>
      <c r="G177" s="196" t="str">
        <f>TEXT($G$1, "[$-ko-KR]yyyy-mm-dd(ddd) ") &amp; "오후 19:00"</f>
        <v>2021-06-01(화) 오후 19:00</v>
      </c>
      <c r="H177" s="197"/>
      <c r="I177" s="198"/>
      <c r="J177" s="196" t="str">
        <f>TEXT($G$1, "[$-ko-KR]yyyy-mm-dd(ddd) ") &amp; "오후 21:00"</f>
        <v>2021-06-01(화) 오후 21:00</v>
      </c>
      <c r="K177" s="197"/>
      <c r="L177" s="198"/>
      <c r="M177" s="196" t="str">
        <f>TEXT($G$1+1, "[$-ko-KR]yyyy-mm-dd(ddd) ") &amp; "오전 00:00"</f>
        <v>2021-06-02(수) 오전 00:00</v>
      </c>
      <c r="N177" s="197"/>
      <c r="O177" s="198"/>
      <c r="Q177" s="182"/>
      <c r="R177" s="182"/>
      <c r="S177" s="182"/>
    </row>
    <row r="178" spans="1:19" ht="17.25" thickBot="1">
      <c r="A178" s="228"/>
      <c r="B178" s="121" t="s">
        <v>58</v>
      </c>
      <c r="C178" s="122" t="s">
        <v>59</v>
      </c>
      <c r="D178" s="2" t="s">
        <v>58</v>
      </c>
      <c r="E178" s="10" t="s">
        <v>298</v>
      </c>
      <c r="F178" s="11" t="s">
        <v>299</v>
      </c>
      <c r="G178" s="158" t="s">
        <v>58</v>
      </c>
      <c r="H178" s="159" t="s">
        <v>298</v>
      </c>
      <c r="I178" s="160" t="s">
        <v>299</v>
      </c>
      <c r="J178" s="10" t="s">
        <v>58</v>
      </c>
      <c r="K178" s="10" t="s">
        <v>298</v>
      </c>
      <c r="L178" s="115" t="s">
        <v>299</v>
      </c>
      <c r="M178" s="2" t="s">
        <v>58</v>
      </c>
      <c r="N178" s="10" t="s">
        <v>298</v>
      </c>
      <c r="O178" s="66" t="s">
        <v>299</v>
      </c>
      <c r="Q178" s="172"/>
      <c r="R178" s="172"/>
      <c r="S178" s="172"/>
    </row>
    <row r="179" spans="1:19" ht="17.25" thickBot="1">
      <c r="A179" s="123" t="s">
        <v>202</v>
      </c>
      <c r="B179" s="124">
        <v>120</v>
      </c>
      <c r="C179" s="76">
        <v>-0.04</v>
      </c>
      <c r="D179" s="13"/>
      <c r="E179" s="14" t="str">
        <f>IF(ISNUMBER(D179), (D179 - $B179) / $B179, "")</f>
        <v/>
      </c>
      <c r="F179" s="16" t="str">
        <f>IF(ISNUMBER(D179), $B199 * E179, "")</f>
        <v/>
      </c>
      <c r="G179" s="29"/>
      <c r="H179" s="14" t="str">
        <f>IF(ISNUMBER(G179), (G179 - $B179) / $B179, "")</f>
        <v/>
      </c>
      <c r="I179" s="100" t="str">
        <f>IF(ISNUMBER(G179), $B199 * H179, "")</f>
        <v/>
      </c>
      <c r="J179" s="13"/>
      <c r="K179" s="14" t="str">
        <f>IF(ISNUMBER(J179), (J179 - $B179) / $B179, "")</f>
        <v/>
      </c>
      <c r="L179" s="16" t="str">
        <f>IF(ISNUMBER(J179), $B199 * K179, "")</f>
        <v/>
      </c>
      <c r="M179" s="29"/>
      <c r="N179" s="14" t="str">
        <f>IF(ISNUMBER(M179), (M179 - $B179) / $B179, "")</f>
        <v/>
      </c>
      <c r="O179" s="16" t="str">
        <f>IF(ISNUMBER(M179), $B199 * N179, "")</f>
        <v/>
      </c>
      <c r="Q179" s="182"/>
      <c r="R179" s="182"/>
      <c r="S179" s="182"/>
    </row>
    <row r="180" spans="1:19" ht="17.25" thickBot="1">
      <c r="A180" s="125" t="s">
        <v>67</v>
      </c>
      <c r="B180" s="126">
        <v>5470</v>
      </c>
      <c r="C180" s="77">
        <v>-4.0350877200000003E-2</v>
      </c>
      <c r="D180" s="15"/>
      <c r="E180" s="32" t="str">
        <f t="shared" ref="E180:E183" si="94">IF(ISNUMBER(D180), (D180 - $B180) / $B180, "")</f>
        <v/>
      </c>
      <c r="F180" s="18" t="str">
        <f>IF(ISNUMBER(D180), $B199 * E180, "")</f>
        <v/>
      </c>
      <c r="G180" s="31"/>
      <c r="H180" s="32" t="str">
        <f t="shared" ref="H180:H183" si="95">IF(ISNUMBER(G180), (G180 - $B180) / $B180, "")</f>
        <v/>
      </c>
      <c r="I180" s="101" t="str">
        <f>IF(ISNUMBER(G180), $B199 * H180, "")</f>
        <v/>
      </c>
      <c r="J180" s="15"/>
      <c r="K180" s="32" t="str">
        <f t="shared" ref="K180:K183" si="96">IF(ISNUMBER(J180), (J180 - $B180) / $B180, "")</f>
        <v/>
      </c>
      <c r="L180" s="18" t="str">
        <f>IF(ISNUMBER(J180), $B199 * K180, "")</f>
        <v/>
      </c>
      <c r="M180" s="31"/>
      <c r="N180" s="32" t="str">
        <f t="shared" ref="N180:N183" si="97">IF(ISNUMBER(M180), (M180 - $B180) / $B180, "")</f>
        <v/>
      </c>
      <c r="O180" s="18" t="str">
        <f>IF(ISNUMBER(M180), $B199 * N180, "")</f>
        <v/>
      </c>
      <c r="Q180" s="182"/>
      <c r="R180" s="182"/>
      <c r="S180" s="182"/>
    </row>
    <row r="181" spans="1:19" ht="17.25" thickBot="1">
      <c r="A181" s="125" t="s">
        <v>218</v>
      </c>
      <c r="B181" s="126">
        <v>16.600000000000001</v>
      </c>
      <c r="C181" s="77">
        <v>-4.0462427699999998E-2</v>
      </c>
      <c r="D181" s="15"/>
      <c r="E181" s="32" t="str">
        <f t="shared" si="94"/>
        <v/>
      </c>
      <c r="F181" s="18" t="str">
        <f>IF(ISNUMBER(D181), $B199 * E181, "")</f>
        <v/>
      </c>
      <c r="G181" s="31"/>
      <c r="H181" s="32" t="str">
        <f t="shared" si="95"/>
        <v/>
      </c>
      <c r="I181" s="101" t="str">
        <f>IF(ISNUMBER(G181), $B199 * H181, "")</f>
        <v/>
      </c>
      <c r="J181" s="15"/>
      <c r="K181" s="32" t="str">
        <f t="shared" si="96"/>
        <v/>
      </c>
      <c r="L181" s="18" t="str">
        <f>IF(ISNUMBER(J181), $B199 * K181, "")</f>
        <v/>
      </c>
      <c r="M181" s="31"/>
      <c r="N181" s="32" t="str">
        <f t="shared" si="97"/>
        <v/>
      </c>
      <c r="O181" s="18" t="str">
        <f>IF(ISNUMBER(M181), $B199 * N181, "")</f>
        <v/>
      </c>
      <c r="Q181" s="172"/>
      <c r="R181" s="172"/>
      <c r="S181" s="172"/>
    </row>
    <row r="182" spans="1:19" ht="17.25" thickBot="1">
      <c r="A182" s="125" t="s">
        <v>232</v>
      </c>
      <c r="B182" s="126">
        <v>113</v>
      </c>
      <c r="C182" s="77">
        <v>-4.23728814E-2</v>
      </c>
      <c r="D182" s="15"/>
      <c r="E182" s="32" t="str">
        <f t="shared" si="94"/>
        <v/>
      </c>
      <c r="F182" s="18" t="str">
        <f>IF(ISNUMBER(D182), $B199 * E182, "")</f>
        <v/>
      </c>
      <c r="G182" s="31"/>
      <c r="H182" s="32" t="str">
        <f t="shared" si="95"/>
        <v/>
      </c>
      <c r="I182" s="101" t="str">
        <f>IF(ISNUMBER(G182), $B199 * H182, "")</f>
        <v/>
      </c>
      <c r="J182" s="15"/>
      <c r="K182" s="32" t="str">
        <f t="shared" si="96"/>
        <v/>
      </c>
      <c r="L182" s="18" t="str">
        <f>IF(ISNUMBER(J182), $B199 * K182, "")</f>
        <v/>
      </c>
      <c r="M182" s="31"/>
      <c r="N182" s="32" t="str">
        <f t="shared" si="97"/>
        <v/>
      </c>
      <c r="O182" s="18" t="str">
        <f>IF(ISNUMBER(M182), $B199 * N182, "")</f>
        <v/>
      </c>
      <c r="Q182" s="172"/>
      <c r="R182" s="172"/>
      <c r="S182" s="172"/>
    </row>
    <row r="183" spans="1:19" ht="17.25" thickBot="1">
      <c r="A183" s="127" t="s">
        <v>226</v>
      </c>
      <c r="B183" s="128">
        <v>291</v>
      </c>
      <c r="C183" s="78">
        <v>-4.2763157900000001E-2</v>
      </c>
      <c r="D183" s="20"/>
      <c r="E183" s="21" t="str">
        <f t="shared" si="94"/>
        <v/>
      </c>
      <c r="F183" s="22" t="str">
        <f>IF(ISNUMBER(D183), $B199 * E183, "")</f>
        <v/>
      </c>
      <c r="G183" s="30"/>
      <c r="H183" s="21" t="str">
        <f t="shared" si="95"/>
        <v/>
      </c>
      <c r="I183" s="105" t="str">
        <f>IF(ISNUMBER(G183), $B199 * H183, "")</f>
        <v/>
      </c>
      <c r="J183" s="20"/>
      <c r="K183" s="21" t="str">
        <f t="shared" si="96"/>
        <v/>
      </c>
      <c r="L183" s="22" t="str">
        <f>IF(ISNUMBER(J183), $B199 * K183, "")</f>
        <v/>
      </c>
      <c r="M183" s="30"/>
      <c r="N183" s="21" t="str">
        <f t="shared" si="97"/>
        <v/>
      </c>
      <c r="O183" s="22" t="str">
        <f>IF(ISNUMBER(M183), $B199 * N183, "")</f>
        <v/>
      </c>
      <c r="Q183" s="172"/>
      <c r="R183" s="172"/>
      <c r="S183" s="172"/>
    </row>
    <row r="184" spans="1:19" ht="17.25" thickBot="1">
      <c r="A184" s="125" t="s">
        <v>72</v>
      </c>
      <c r="B184" s="129">
        <v>20.100000000000001</v>
      </c>
      <c r="C184" s="80">
        <v>-4.2857142899999999E-2</v>
      </c>
      <c r="D184" s="106"/>
      <c r="E184" s="107" t="str">
        <f>IF(ISNUMBER(D184), (D184 - $B184) / $B184, "")</f>
        <v/>
      </c>
      <c r="F184" s="108" t="str">
        <f>IF(ISNUMBER(D184), $B199 * E184, "")</f>
        <v/>
      </c>
      <c r="G184" s="109"/>
      <c r="H184" s="107" t="str">
        <f>IF(ISNUMBER(G184), (G184 - $B184) / $B184, "")</f>
        <v/>
      </c>
      <c r="I184" s="110" t="str">
        <f>IF(ISNUMBER(G184), $B199 * H184, "")</f>
        <v/>
      </c>
      <c r="J184" s="106"/>
      <c r="K184" s="107" t="str">
        <f>IF(ISNUMBER(J184), (J184 - $B184) / $B184, "")</f>
        <v/>
      </c>
      <c r="L184" s="108" t="str">
        <f>IF(ISNUMBER(J184), $B199 * K184, "")</f>
        <v/>
      </c>
      <c r="M184" s="109"/>
      <c r="N184" s="107" t="str">
        <f>IF(ISNUMBER(M184), (M184 - $B184) / $B184, "")</f>
        <v/>
      </c>
      <c r="O184" s="108" t="str">
        <f>IF(ISNUMBER(M184), $B199 * N184, "")</f>
        <v/>
      </c>
      <c r="Q184" s="172"/>
      <c r="R184" s="172"/>
      <c r="S184" s="172"/>
    </row>
    <row r="185" spans="1:19" ht="17.25" thickBot="1">
      <c r="A185" s="125" t="s">
        <v>194</v>
      </c>
      <c r="B185" s="126">
        <v>8400</v>
      </c>
      <c r="C185" s="77">
        <v>-4.3280182200000003E-2</v>
      </c>
      <c r="D185" s="15"/>
      <c r="E185" s="32" t="str">
        <f t="shared" ref="E185:E188" si="98">IF(ISNUMBER(D185), (D185 - $B185) / $B185, "")</f>
        <v/>
      </c>
      <c r="F185" s="18" t="str">
        <f>IF(ISNUMBER(D185), $B199 * E185, "")</f>
        <v/>
      </c>
      <c r="G185" s="31"/>
      <c r="H185" s="32" t="str">
        <f t="shared" ref="H185:H188" si="99">IF(ISNUMBER(G185), (G185 - $B185) / $B185, "")</f>
        <v/>
      </c>
      <c r="I185" s="101" t="str">
        <f>IF(ISNUMBER(G185), $B199 * H185, "")</f>
        <v/>
      </c>
      <c r="J185" s="15"/>
      <c r="K185" s="32" t="str">
        <f t="shared" ref="K185:K188" si="100">IF(ISNUMBER(J185), (J185 - $B185) / $B185, "")</f>
        <v/>
      </c>
      <c r="L185" s="18" t="str">
        <f>IF(ISNUMBER(J185), $B199 * K185, "")</f>
        <v/>
      </c>
      <c r="M185" s="31"/>
      <c r="N185" s="32" t="str">
        <f t="shared" ref="N185:N188" si="101">IF(ISNUMBER(M185), (M185 - $B185) / $B185, "")</f>
        <v/>
      </c>
      <c r="O185" s="18" t="str">
        <f>IF(ISNUMBER(M185), $B199 * N185, "")</f>
        <v/>
      </c>
      <c r="Q185" s="172"/>
      <c r="R185" s="172"/>
      <c r="S185" s="172"/>
    </row>
    <row r="186" spans="1:19" ht="17.25" thickBot="1">
      <c r="A186" s="125" t="s">
        <v>210</v>
      </c>
      <c r="B186" s="126">
        <v>131</v>
      </c>
      <c r="C186" s="77">
        <v>-4.3795620399999999E-2</v>
      </c>
      <c r="D186" s="15"/>
      <c r="E186" s="32" t="str">
        <f t="shared" si="98"/>
        <v/>
      </c>
      <c r="F186" s="18" t="str">
        <f>IF(ISNUMBER(D186), $B199 * E186, "")</f>
        <v/>
      </c>
      <c r="G186" s="31"/>
      <c r="H186" s="32" t="str">
        <f t="shared" si="99"/>
        <v/>
      </c>
      <c r="I186" s="101" t="str">
        <f>IF(ISNUMBER(G186), $B199 * H186, "")</f>
        <v/>
      </c>
      <c r="J186" s="15"/>
      <c r="K186" s="32" t="str">
        <f t="shared" si="100"/>
        <v/>
      </c>
      <c r="L186" s="18" t="str">
        <f>IF(ISNUMBER(J186), $B199 * K186, "")</f>
        <v/>
      </c>
      <c r="M186" s="31"/>
      <c r="N186" s="32" t="str">
        <f t="shared" si="101"/>
        <v/>
      </c>
      <c r="O186" s="18" t="str">
        <f>IF(ISNUMBER(M186), $B199 * N186, "")</f>
        <v/>
      </c>
      <c r="Q186" s="172"/>
      <c r="R186" s="172"/>
      <c r="S186" s="172"/>
    </row>
    <row r="187" spans="1:19" ht="17.25" thickBot="1">
      <c r="A187" s="125" t="s">
        <v>280</v>
      </c>
      <c r="B187" s="126">
        <v>1085</v>
      </c>
      <c r="C187" s="77">
        <v>-4.4052863400000003E-2</v>
      </c>
      <c r="D187" s="15"/>
      <c r="E187" s="32" t="str">
        <f t="shared" si="98"/>
        <v/>
      </c>
      <c r="F187" s="18" t="str">
        <f>IF(ISNUMBER(D187), $B199 * E187, "")</f>
        <v/>
      </c>
      <c r="G187" s="31"/>
      <c r="H187" s="32" t="str">
        <f t="shared" si="99"/>
        <v/>
      </c>
      <c r="I187" s="101" t="str">
        <f>IF(ISNUMBER(G187), $B199 * H187, "")</f>
        <v/>
      </c>
      <c r="J187" s="15"/>
      <c r="K187" s="32" t="str">
        <f t="shared" si="100"/>
        <v/>
      </c>
      <c r="L187" s="18" t="str">
        <f>IF(ISNUMBER(J187), $B199 * K187, "")</f>
        <v/>
      </c>
      <c r="M187" s="31"/>
      <c r="N187" s="32" t="str">
        <f t="shared" si="101"/>
        <v/>
      </c>
      <c r="O187" s="18" t="str">
        <f>IF(ISNUMBER(M187), $B199 * N187, "")</f>
        <v/>
      </c>
      <c r="Q187" s="33"/>
      <c r="R187" s="33"/>
    </row>
    <row r="188" spans="1:19" ht="17.25" thickBot="1">
      <c r="A188" s="130" t="s">
        <v>234</v>
      </c>
      <c r="B188" s="131">
        <v>845</v>
      </c>
      <c r="C188" s="79">
        <v>-4.4117647099999997E-2</v>
      </c>
      <c r="D188" s="24"/>
      <c r="E188" s="25" t="str">
        <f t="shared" si="98"/>
        <v/>
      </c>
      <c r="F188" s="104" t="str">
        <f>IF(ISNUMBER(D188), $B199 * E188, "")</f>
        <v/>
      </c>
      <c r="G188" s="102"/>
      <c r="H188" s="25" t="str">
        <f t="shared" si="99"/>
        <v/>
      </c>
      <c r="I188" s="103" t="str">
        <f>IF(ISNUMBER(G188), $B199 * H188, "")</f>
        <v/>
      </c>
      <c r="J188" s="24"/>
      <c r="K188" s="25" t="str">
        <f t="shared" si="100"/>
        <v/>
      </c>
      <c r="L188" s="104" t="str">
        <f>IF(ISNUMBER(J188), $B199 * K188, "")</f>
        <v/>
      </c>
      <c r="M188" s="102"/>
      <c r="N188" s="25" t="str">
        <f t="shared" si="101"/>
        <v/>
      </c>
      <c r="O188" s="104" t="str">
        <f>IF(ISNUMBER(M188), $B199 * N188, "")</f>
        <v/>
      </c>
      <c r="Q188" s="173"/>
      <c r="R188" s="174"/>
      <c r="S188" s="175"/>
    </row>
    <row r="189" spans="1:19">
      <c r="A189" s="123" t="s">
        <v>252</v>
      </c>
      <c r="B189" s="124">
        <v>303</v>
      </c>
      <c r="C189" s="76">
        <v>-4.4164037900000001E-2</v>
      </c>
      <c r="D189" s="13"/>
      <c r="E189" s="14" t="str">
        <f>IF(ISNUMBER(D189), (D189 - $B189) / $B189, "")</f>
        <v/>
      </c>
      <c r="F189" s="16" t="str">
        <f>IF(ISNUMBER(D189), $B199 * E189, "")</f>
        <v/>
      </c>
      <c r="G189" s="29"/>
      <c r="H189" s="14" t="str">
        <f>IF(ISNUMBER(G189), (G189 - $B189) / $B189, "")</f>
        <v/>
      </c>
      <c r="I189" s="100" t="str">
        <f>IF(ISNUMBER(G189), $B199 * H189, "")</f>
        <v/>
      </c>
      <c r="J189" s="13"/>
      <c r="K189" s="14" t="str">
        <f>IF(ISNUMBER(J189), (J189 - $B189) / $B189, "")</f>
        <v/>
      </c>
      <c r="L189" s="16" t="str">
        <f>IF(ISNUMBER(J189), $B199 * K189, "")</f>
        <v/>
      </c>
      <c r="M189" s="29"/>
      <c r="N189" s="14" t="str">
        <f>IF(ISNUMBER(M189), (M189 - $B189) / $B189, "")</f>
        <v/>
      </c>
      <c r="O189" s="16" t="str">
        <f>IF(ISNUMBER(M189), $B199 * N189, "")</f>
        <v/>
      </c>
      <c r="Q189" s="176"/>
      <c r="R189" s="177"/>
      <c r="S189" s="178"/>
    </row>
    <row r="190" spans="1:19" ht="17.25" thickBot="1">
      <c r="A190" s="125" t="s">
        <v>220</v>
      </c>
      <c r="B190" s="126">
        <v>10.7</v>
      </c>
      <c r="C190" s="77">
        <v>-4.4642857100000002E-2</v>
      </c>
      <c r="D190" s="15"/>
      <c r="E190" s="32" t="str">
        <f t="shared" ref="E190:E193" si="102">IF(ISNUMBER(D190), (D190 - $B190) / $B190, "")</f>
        <v/>
      </c>
      <c r="F190" s="18" t="str">
        <f>IF(ISNUMBER(D190), $B199 * E190, "")</f>
        <v/>
      </c>
      <c r="G190" s="31"/>
      <c r="H190" s="32" t="str">
        <f t="shared" ref="H190:H193" si="103">IF(ISNUMBER(G190), (G190 - $B190) / $B190, "")</f>
        <v/>
      </c>
      <c r="I190" s="101" t="str">
        <f>IF(ISNUMBER(G190), $B199 * H190, "")</f>
        <v/>
      </c>
      <c r="J190" s="15"/>
      <c r="K190" s="32" t="str">
        <f t="shared" ref="K190:K193" si="104">IF(ISNUMBER(J190), (J190 - $B190) / $B190, "")</f>
        <v/>
      </c>
      <c r="L190" s="18" t="str">
        <f>IF(ISNUMBER(J190), $B199 * K190, "")</f>
        <v/>
      </c>
      <c r="M190" s="31"/>
      <c r="N190" s="32" t="str">
        <f t="shared" ref="N190:N193" si="105">IF(ISNUMBER(M190), (M190 - $B190) / $B190, "")</f>
        <v/>
      </c>
      <c r="O190" s="18" t="str">
        <f>IF(ISNUMBER(M190), $B199 * N190, "")</f>
        <v/>
      </c>
      <c r="Q190" s="179"/>
      <c r="R190" s="180"/>
      <c r="S190" s="181"/>
    </row>
    <row r="191" spans="1:19" ht="17.25" thickBot="1">
      <c r="A191" s="125" t="s">
        <v>238</v>
      </c>
      <c r="B191" s="126">
        <v>191</v>
      </c>
      <c r="C191" s="77">
        <v>-4.4999999999999998E-2</v>
      </c>
      <c r="D191" s="15"/>
      <c r="E191" s="32" t="str">
        <f t="shared" si="102"/>
        <v/>
      </c>
      <c r="F191" s="18" t="str">
        <f>IF(ISNUMBER(D191), $B199 * E191, "")</f>
        <v/>
      </c>
      <c r="G191" s="31"/>
      <c r="H191" s="32" t="str">
        <f t="shared" si="103"/>
        <v/>
      </c>
      <c r="I191" s="101" t="str">
        <f>IF(ISNUMBER(G191), $B199 * H191, "")</f>
        <v/>
      </c>
      <c r="J191" s="15"/>
      <c r="K191" s="32" t="str">
        <f t="shared" si="104"/>
        <v/>
      </c>
      <c r="L191" s="18" t="str">
        <f>IF(ISNUMBER(J191), $B199 * K191, "")</f>
        <v/>
      </c>
      <c r="M191" s="31"/>
      <c r="N191" s="32" t="str">
        <f t="shared" si="105"/>
        <v/>
      </c>
      <c r="O191" s="18" t="str">
        <f>IF(ISNUMBER(M191), $B199 * N191, "")</f>
        <v/>
      </c>
      <c r="Q191" s="172"/>
      <c r="R191" s="172"/>
      <c r="S191" s="172"/>
    </row>
    <row r="192" spans="1:19" ht="17.25" thickBot="1">
      <c r="A192" s="125" t="s">
        <v>164</v>
      </c>
      <c r="B192" s="126">
        <v>15480</v>
      </c>
      <c r="C192" s="77">
        <v>-4.5033929700000003E-2</v>
      </c>
      <c r="D192" s="15"/>
      <c r="E192" s="32" t="str">
        <f t="shared" si="102"/>
        <v/>
      </c>
      <c r="F192" s="18" t="str">
        <f>IF(ISNUMBER(D192), $B199 * E192, "")</f>
        <v/>
      </c>
      <c r="G192" s="31"/>
      <c r="H192" s="32" t="str">
        <f t="shared" si="103"/>
        <v/>
      </c>
      <c r="I192" s="101" t="str">
        <f>IF(ISNUMBER(G192), $B199 * H192, "")</f>
        <v/>
      </c>
      <c r="J192" s="15"/>
      <c r="K192" s="32" t="str">
        <f t="shared" si="104"/>
        <v/>
      </c>
      <c r="L192" s="18" t="str">
        <f>IF(ISNUMBER(J192), $B199 * K192, "")</f>
        <v/>
      </c>
      <c r="M192" s="31"/>
      <c r="N192" s="32" t="str">
        <f t="shared" si="105"/>
        <v/>
      </c>
      <c r="O192" s="18" t="str">
        <f>IF(ISNUMBER(M192), $B199 * N192, "")</f>
        <v/>
      </c>
      <c r="Q192" s="182"/>
      <c r="R192" s="182"/>
      <c r="S192" s="182"/>
    </row>
    <row r="193" spans="1:19" ht="17.25" thickBot="1">
      <c r="A193" s="127" t="s">
        <v>268</v>
      </c>
      <c r="B193" s="128">
        <v>52.7</v>
      </c>
      <c r="C193" s="78">
        <v>-4.5289855099999998E-2</v>
      </c>
      <c r="D193" s="20"/>
      <c r="E193" s="21" t="str">
        <f t="shared" si="102"/>
        <v/>
      </c>
      <c r="F193" s="22" t="str">
        <f>IF(ISNUMBER(D193), $B199 * E193, "")</f>
        <v/>
      </c>
      <c r="G193" s="30"/>
      <c r="H193" s="21" t="str">
        <f t="shared" si="103"/>
        <v/>
      </c>
      <c r="I193" s="105" t="str">
        <f>IF(ISNUMBER(G193), $B199 * H193, "")</f>
        <v/>
      </c>
      <c r="J193" s="20"/>
      <c r="K193" s="21" t="str">
        <f t="shared" si="104"/>
        <v/>
      </c>
      <c r="L193" s="22" t="str">
        <f>IF(ISNUMBER(J193), $B199 * K193, "")</f>
        <v/>
      </c>
      <c r="M193" s="30"/>
      <c r="N193" s="21" t="str">
        <f t="shared" si="105"/>
        <v/>
      </c>
      <c r="O193" s="22" t="str">
        <f>IF(ISNUMBER(M193), $B199 * N193, "")</f>
        <v/>
      </c>
      <c r="Q193" s="182"/>
      <c r="R193" s="182"/>
      <c r="S193" s="182"/>
    </row>
    <row r="194" spans="1:19" ht="17.25" thickBot="1">
      <c r="A194" s="125" t="s">
        <v>124</v>
      </c>
      <c r="B194" s="129">
        <v>3880</v>
      </c>
      <c r="C194" s="80">
        <v>-4.9019607799999997E-2</v>
      </c>
      <c r="D194" s="106"/>
      <c r="E194" s="107" t="str">
        <f>IF(ISNUMBER(D194), (D194 - $B194) / $B194, "")</f>
        <v/>
      </c>
      <c r="F194" s="108" t="str">
        <f>IF(ISNUMBER(D194), $B199 * E194, "")</f>
        <v/>
      </c>
      <c r="G194" s="109"/>
      <c r="H194" s="107" t="str">
        <f>IF(ISNUMBER(G194), (G194 - $B194) / $B194, "")</f>
        <v/>
      </c>
      <c r="I194" s="110" t="str">
        <f>IF(ISNUMBER(G194), $B199 * H194, "")</f>
        <v/>
      </c>
      <c r="J194" s="106"/>
      <c r="K194" s="107" t="str">
        <f>IF(ISNUMBER(J194), (J194 - $B194) / $B194, "")</f>
        <v/>
      </c>
      <c r="L194" s="108" t="str">
        <f>IF(ISNUMBER(J194), $B199 * K194, "")</f>
        <v/>
      </c>
      <c r="M194" s="109"/>
      <c r="N194" s="107" t="str">
        <f>IF(ISNUMBER(M194), (M194 - $B194) / $B194, "")</f>
        <v/>
      </c>
      <c r="O194" s="108" t="str">
        <f>IF(ISNUMBER(M194), $B199 * N194, "")</f>
        <v/>
      </c>
      <c r="Q194" s="172"/>
      <c r="R194" s="172"/>
      <c r="S194" s="172"/>
    </row>
    <row r="195" spans="1:19" ht="17.25" thickBot="1">
      <c r="A195" s="125" t="s">
        <v>172</v>
      </c>
      <c r="B195" s="126">
        <v>14.7</v>
      </c>
      <c r="C195" s="77">
        <v>-5.1612903199999997E-2</v>
      </c>
      <c r="D195" s="15"/>
      <c r="E195" s="32" t="str">
        <f t="shared" ref="E195:E198" si="106">IF(ISNUMBER(D195), (D195 - $B195) / $B195, "")</f>
        <v/>
      </c>
      <c r="F195" s="18" t="str">
        <f>IF(ISNUMBER(D195), $B199 * E195, "")</f>
        <v/>
      </c>
      <c r="G195" s="31"/>
      <c r="H195" s="32" t="str">
        <f t="shared" ref="H195:H198" si="107">IF(ISNUMBER(G195), (G195 - $B195) / $B195, "")</f>
        <v/>
      </c>
      <c r="I195" s="101" t="str">
        <f>IF(ISNUMBER(G195), $B199 * H195, "")</f>
        <v/>
      </c>
      <c r="J195" s="15"/>
      <c r="K195" s="32" t="str">
        <f t="shared" ref="K195:K198" si="108">IF(ISNUMBER(J195), (J195 - $B195) / $B195, "")</f>
        <v/>
      </c>
      <c r="L195" s="18" t="str">
        <f>IF(ISNUMBER(J195), $B199 * K195, "")</f>
        <v/>
      </c>
      <c r="M195" s="31"/>
      <c r="N195" s="32" t="str">
        <f t="shared" ref="N195:N198" si="109">IF(ISNUMBER(M195), (M195 - $B195) / $B195, "")</f>
        <v/>
      </c>
      <c r="O195" s="18" t="str">
        <f>IF(ISNUMBER(M195), $B199 * N195, "")</f>
        <v/>
      </c>
      <c r="Q195" s="172"/>
      <c r="R195" s="172"/>
      <c r="S195" s="172"/>
    </row>
    <row r="196" spans="1:19" ht="17.25" thickBot="1">
      <c r="A196" s="125" t="s">
        <v>192</v>
      </c>
      <c r="B196" s="126">
        <v>1190</v>
      </c>
      <c r="C196" s="77">
        <v>-5.1792828700000001E-2</v>
      </c>
      <c r="D196" s="15"/>
      <c r="E196" s="32" t="str">
        <f t="shared" si="106"/>
        <v/>
      </c>
      <c r="F196" s="18" t="str">
        <f>IF(ISNUMBER(D196), $B199 * E196, "")</f>
        <v/>
      </c>
      <c r="G196" s="31"/>
      <c r="H196" s="32" t="str">
        <f t="shared" si="107"/>
        <v/>
      </c>
      <c r="I196" s="101" t="str">
        <f>IF(ISNUMBER(G196), $B199 * H196, "")</f>
        <v/>
      </c>
      <c r="J196" s="15"/>
      <c r="K196" s="32" t="str">
        <f t="shared" si="108"/>
        <v/>
      </c>
      <c r="L196" s="18" t="str">
        <f>IF(ISNUMBER(J196), $B199 * K196, "")</f>
        <v/>
      </c>
      <c r="M196" s="31"/>
      <c r="N196" s="32" t="str">
        <f t="shared" si="109"/>
        <v/>
      </c>
      <c r="O196" s="18" t="str">
        <f>IF(ISNUMBER(M196), $B199 * N196, "")</f>
        <v/>
      </c>
      <c r="Q196" s="172"/>
      <c r="R196" s="172"/>
      <c r="S196" s="172"/>
    </row>
    <row r="197" spans="1:19">
      <c r="A197" s="125" t="s">
        <v>274</v>
      </c>
      <c r="B197" s="126">
        <v>9700</v>
      </c>
      <c r="C197" s="77">
        <v>-5.7337220600000002E-2</v>
      </c>
      <c r="D197" s="15"/>
      <c r="E197" s="32" t="str">
        <f t="shared" si="106"/>
        <v/>
      </c>
      <c r="F197" s="18" t="str">
        <f>IF(ISNUMBER(D197), $B199 * E197, "")</f>
        <v/>
      </c>
      <c r="G197" s="31"/>
      <c r="H197" s="32" t="str">
        <f t="shared" si="107"/>
        <v/>
      </c>
      <c r="I197" s="101" t="str">
        <f>IF(ISNUMBER(G197), $B199 * H197, "")</f>
        <v/>
      </c>
      <c r="J197" s="15"/>
      <c r="K197" s="32" t="str">
        <f t="shared" si="108"/>
        <v/>
      </c>
      <c r="L197" s="18" t="str">
        <f>IF(ISNUMBER(J197), $B199 * K197, "")</f>
        <v/>
      </c>
      <c r="M197" s="31"/>
      <c r="N197" s="32" t="str">
        <f t="shared" si="109"/>
        <v/>
      </c>
      <c r="O197" s="18" t="str">
        <f>IF(ISNUMBER(M197), $B199 * N197, "")</f>
        <v/>
      </c>
      <c r="Q197" s="161"/>
      <c r="R197" s="162"/>
      <c r="S197" s="163"/>
    </row>
    <row r="198" spans="1:19" ht="17.25" thickBot="1">
      <c r="A198" s="130" t="s">
        <v>246</v>
      </c>
      <c r="B198" s="131">
        <v>308</v>
      </c>
      <c r="C198" s="79">
        <v>-5.8103975500000002E-2</v>
      </c>
      <c r="D198" s="24"/>
      <c r="E198" s="25" t="str">
        <f t="shared" si="106"/>
        <v/>
      </c>
      <c r="F198" s="104" t="str">
        <f>IF(ISNUMBER(D198), $B199 * E198, "")</f>
        <v/>
      </c>
      <c r="G198" s="102"/>
      <c r="H198" s="25" t="str">
        <f t="shared" si="107"/>
        <v/>
      </c>
      <c r="I198" s="103" t="str">
        <f>IF(ISNUMBER(G198), $B199 * H198, "")</f>
        <v/>
      </c>
      <c r="J198" s="24"/>
      <c r="K198" s="25" t="str">
        <f t="shared" si="108"/>
        <v/>
      </c>
      <c r="L198" s="104" t="str">
        <f>IF(ISNUMBER(J198), $B199 * K198, "")</f>
        <v/>
      </c>
      <c r="M198" s="102"/>
      <c r="N198" s="25" t="str">
        <f t="shared" si="109"/>
        <v/>
      </c>
      <c r="O198" s="104" t="str">
        <f>IF(ISNUMBER(M198), $B199 * N198, "")</f>
        <v/>
      </c>
      <c r="Q198" s="164"/>
      <c r="R198" s="165"/>
      <c r="S198" s="166"/>
    </row>
    <row r="199" spans="1:19" ht="17.25" thickBot="1">
      <c r="A199" s="132" t="s">
        <v>300</v>
      </c>
      <c r="B199" s="225">
        <f>$B$37</f>
        <v>150000</v>
      </c>
      <c r="C199" s="226"/>
      <c r="D199" s="26" t="s">
        <v>301</v>
      </c>
      <c r="E199" s="27">
        <f>IF(COUNT(E179:E198), SUM(E179:E198) / COUNT(E179:E198), 0)</f>
        <v>0</v>
      </c>
      <c r="F199" s="28">
        <f>SUM(F179:F198)</f>
        <v>0</v>
      </c>
      <c r="G199" s="26" t="s">
        <v>301</v>
      </c>
      <c r="H199" s="27">
        <f>IF(COUNT(H179:H198), SUM(H179:H198) / COUNT(H179:H198), 0)</f>
        <v>0</v>
      </c>
      <c r="I199" s="28">
        <f>SUM(I179:I198)</f>
        <v>0</v>
      </c>
      <c r="J199" s="26" t="s">
        <v>301</v>
      </c>
      <c r="K199" s="27">
        <f>IF(COUNT(K179:K198), SUM(K179:K198) / COUNT(K179:K198), 0)</f>
        <v>0</v>
      </c>
      <c r="L199" s="28">
        <f>SUM(L179:L198)</f>
        <v>0</v>
      </c>
      <c r="M199" s="26" t="s">
        <v>301</v>
      </c>
      <c r="N199" s="27">
        <f>IF(COUNT(N179:N198), SUM(N179:N198) / COUNT(N179:N198), 0)</f>
        <v>0</v>
      </c>
      <c r="O199" s="28">
        <f>SUM(O179:O198)</f>
        <v>0</v>
      </c>
      <c r="Q199" s="167"/>
      <c r="R199" s="168"/>
      <c r="S199" s="169"/>
    </row>
  </sheetData>
  <mergeCells count="266">
    <mergeCell ref="Q194:Q196"/>
    <mergeCell ref="R194:R196"/>
    <mergeCell ref="S194:S196"/>
    <mergeCell ref="Q197:S199"/>
    <mergeCell ref="B199:C199"/>
    <mergeCell ref="Q184:Q186"/>
    <mergeCell ref="R184:R186"/>
    <mergeCell ref="S184:S186"/>
    <mergeCell ref="Q188:S190"/>
    <mergeCell ref="Q191:Q193"/>
    <mergeCell ref="R191:R193"/>
    <mergeCell ref="S191:S193"/>
    <mergeCell ref="Q178:Q180"/>
    <mergeCell ref="R178:R180"/>
    <mergeCell ref="S178:S180"/>
    <mergeCell ref="Q181:Q183"/>
    <mergeCell ref="R181:R183"/>
    <mergeCell ref="S181:S183"/>
    <mergeCell ref="D176:F176"/>
    <mergeCell ref="G176:I176"/>
    <mergeCell ref="J176:L176"/>
    <mergeCell ref="M176:O176"/>
    <mergeCell ref="A177:A178"/>
    <mergeCell ref="B177:C177"/>
    <mergeCell ref="D177:F177"/>
    <mergeCell ref="G177:I177"/>
    <mergeCell ref="J177:L177"/>
    <mergeCell ref="M177:O177"/>
    <mergeCell ref="Q167:Q169"/>
    <mergeCell ref="R167:R169"/>
    <mergeCell ref="S167:S169"/>
    <mergeCell ref="Q170:S172"/>
    <mergeCell ref="B172:C172"/>
    <mergeCell ref="A175:O175"/>
    <mergeCell ref="Q175:Q177"/>
    <mergeCell ref="R175:R177"/>
    <mergeCell ref="S175:S177"/>
    <mergeCell ref="B176:C176"/>
    <mergeCell ref="Q157:Q159"/>
    <mergeCell ref="R157:R159"/>
    <mergeCell ref="S157:S159"/>
    <mergeCell ref="Q161:S163"/>
    <mergeCell ref="Q164:Q166"/>
    <mergeCell ref="R164:R166"/>
    <mergeCell ref="S164:S166"/>
    <mergeCell ref="Q151:Q153"/>
    <mergeCell ref="R151:R153"/>
    <mergeCell ref="S151:S153"/>
    <mergeCell ref="Q154:Q156"/>
    <mergeCell ref="R154:R156"/>
    <mergeCell ref="S154:S156"/>
    <mergeCell ref="D149:F149"/>
    <mergeCell ref="G149:I149"/>
    <mergeCell ref="J149:L149"/>
    <mergeCell ref="M149:O149"/>
    <mergeCell ref="A150:A151"/>
    <mergeCell ref="B150:C150"/>
    <mergeCell ref="D150:F150"/>
    <mergeCell ref="G150:I150"/>
    <mergeCell ref="J150:L150"/>
    <mergeCell ref="M150:O150"/>
    <mergeCell ref="Q140:Q142"/>
    <mergeCell ref="R140:R142"/>
    <mergeCell ref="S140:S142"/>
    <mergeCell ref="Q143:S145"/>
    <mergeCell ref="B145:C145"/>
    <mergeCell ref="A148:O148"/>
    <mergeCell ref="Q148:Q150"/>
    <mergeCell ref="R148:R150"/>
    <mergeCell ref="S148:S150"/>
    <mergeCell ref="B149:C149"/>
    <mergeCell ref="Q130:Q132"/>
    <mergeCell ref="R130:R132"/>
    <mergeCell ref="S130:S132"/>
    <mergeCell ref="Q134:S136"/>
    <mergeCell ref="Q137:Q139"/>
    <mergeCell ref="R137:R139"/>
    <mergeCell ref="S137:S139"/>
    <mergeCell ref="Q124:Q126"/>
    <mergeCell ref="R124:R126"/>
    <mergeCell ref="S124:S126"/>
    <mergeCell ref="Q127:Q129"/>
    <mergeCell ref="R127:R129"/>
    <mergeCell ref="S127:S129"/>
    <mergeCell ref="D122:F122"/>
    <mergeCell ref="G122:I122"/>
    <mergeCell ref="J122:L122"/>
    <mergeCell ref="M122:O122"/>
    <mergeCell ref="A123:A124"/>
    <mergeCell ref="B123:C123"/>
    <mergeCell ref="D123:F123"/>
    <mergeCell ref="G123:I123"/>
    <mergeCell ref="J123:L123"/>
    <mergeCell ref="M123:O123"/>
    <mergeCell ref="Q113:Q115"/>
    <mergeCell ref="R113:R115"/>
    <mergeCell ref="S113:S115"/>
    <mergeCell ref="Q116:S118"/>
    <mergeCell ref="B118:C118"/>
    <mergeCell ref="A121:O121"/>
    <mergeCell ref="Q121:Q123"/>
    <mergeCell ref="R121:R123"/>
    <mergeCell ref="S121:S123"/>
    <mergeCell ref="B122:C122"/>
    <mergeCell ref="Q103:Q105"/>
    <mergeCell ref="R103:R105"/>
    <mergeCell ref="S103:S105"/>
    <mergeCell ref="Q107:S109"/>
    <mergeCell ref="Q110:Q112"/>
    <mergeCell ref="R110:R112"/>
    <mergeCell ref="S110:S112"/>
    <mergeCell ref="Q97:Q99"/>
    <mergeCell ref="R97:R99"/>
    <mergeCell ref="S97:S99"/>
    <mergeCell ref="Q100:Q102"/>
    <mergeCell ref="R100:R102"/>
    <mergeCell ref="S100:S102"/>
    <mergeCell ref="D95:F95"/>
    <mergeCell ref="G95:I95"/>
    <mergeCell ref="J95:L95"/>
    <mergeCell ref="M95:O95"/>
    <mergeCell ref="A96:A97"/>
    <mergeCell ref="B96:C96"/>
    <mergeCell ref="D96:F96"/>
    <mergeCell ref="G96:I96"/>
    <mergeCell ref="J96:L96"/>
    <mergeCell ref="M96:O96"/>
    <mergeCell ref="Q86:Q88"/>
    <mergeCell ref="R86:R88"/>
    <mergeCell ref="S86:S88"/>
    <mergeCell ref="Q89:S91"/>
    <mergeCell ref="B91:C91"/>
    <mergeCell ref="A94:O94"/>
    <mergeCell ref="Q94:Q96"/>
    <mergeCell ref="R94:R96"/>
    <mergeCell ref="S94:S96"/>
    <mergeCell ref="B95:C95"/>
    <mergeCell ref="Q76:Q78"/>
    <mergeCell ref="R76:R78"/>
    <mergeCell ref="S76:S78"/>
    <mergeCell ref="Q80:S82"/>
    <mergeCell ref="Q83:Q85"/>
    <mergeCell ref="R83:R85"/>
    <mergeCell ref="S83:S85"/>
    <mergeCell ref="Q70:Q72"/>
    <mergeCell ref="R70:R72"/>
    <mergeCell ref="S70:S72"/>
    <mergeCell ref="Q73:Q75"/>
    <mergeCell ref="R73:R75"/>
    <mergeCell ref="S73:S75"/>
    <mergeCell ref="D68:F68"/>
    <mergeCell ref="G68:I68"/>
    <mergeCell ref="J68:L68"/>
    <mergeCell ref="M68:O68"/>
    <mergeCell ref="A69:A70"/>
    <mergeCell ref="B69:C69"/>
    <mergeCell ref="D69:F69"/>
    <mergeCell ref="G69:I69"/>
    <mergeCell ref="J69:L69"/>
    <mergeCell ref="M69:O69"/>
    <mergeCell ref="Q59:Q61"/>
    <mergeCell ref="R59:R61"/>
    <mergeCell ref="S59:S61"/>
    <mergeCell ref="Q62:S64"/>
    <mergeCell ref="B64:C64"/>
    <mergeCell ref="A67:O67"/>
    <mergeCell ref="Q67:Q69"/>
    <mergeCell ref="R67:R69"/>
    <mergeCell ref="S67:S69"/>
    <mergeCell ref="B68:C68"/>
    <mergeCell ref="Q49:Q51"/>
    <mergeCell ref="R49:R51"/>
    <mergeCell ref="S49:S51"/>
    <mergeCell ref="Q53:S55"/>
    <mergeCell ref="Q56:Q58"/>
    <mergeCell ref="R56:R58"/>
    <mergeCell ref="S56:S58"/>
    <mergeCell ref="Q43:Q45"/>
    <mergeCell ref="R43:R45"/>
    <mergeCell ref="S43:S45"/>
    <mergeCell ref="Q46:Q48"/>
    <mergeCell ref="R46:R48"/>
    <mergeCell ref="S46:S48"/>
    <mergeCell ref="M41:O41"/>
    <mergeCell ref="A42:A43"/>
    <mergeCell ref="B42:C42"/>
    <mergeCell ref="D42:F42"/>
    <mergeCell ref="G42:I42"/>
    <mergeCell ref="J42:L42"/>
    <mergeCell ref="M42:O42"/>
    <mergeCell ref="Q35:S37"/>
    <mergeCell ref="B37:C37"/>
    <mergeCell ref="A40:O40"/>
    <mergeCell ref="Q40:Q42"/>
    <mergeCell ref="R40:R42"/>
    <mergeCell ref="S40:S42"/>
    <mergeCell ref="B41:C41"/>
    <mergeCell ref="D41:F41"/>
    <mergeCell ref="G41:I41"/>
    <mergeCell ref="J41:L41"/>
    <mergeCell ref="Q26:S28"/>
    <mergeCell ref="Q29:Q31"/>
    <mergeCell ref="R29:R31"/>
    <mergeCell ref="S29:S31"/>
    <mergeCell ref="Q32:Q34"/>
    <mergeCell ref="R32:R34"/>
    <mergeCell ref="S32:S34"/>
    <mergeCell ref="S16:S18"/>
    <mergeCell ref="Q19:Q21"/>
    <mergeCell ref="R19:R21"/>
    <mergeCell ref="S19:S21"/>
    <mergeCell ref="Q22:Q24"/>
    <mergeCell ref="R22:R24"/>
    <mergeCell ref="S22:S24"/>
    <mergeCell ref="S13:S15"/>
    <mergeCell ref="B14:C14"/>
    <mergeCell ref="D14:F14"/>
    <mergeCell ref="G14:I14"/>
    <mergeCell ref="J14:L14"/>
    <mergeCell ref="M14:O14"/>
    <mergeCell ref="B15:C15"/>
    <mergeCell ref="D15:F15"/>
    <mergeCell ref="G15:I15"/>
    <mergeCell ref="J15:L15"/>
    <mergeCell ref="B11:F11"/>
    <mergeCell ref="G11:I11"/>
    <mergeCell ref="K11:O11"/>
    <mergeCell ref="A13:O13"/>
    <mergeCell ref="Q13:Q15"/>
    <mergeCell ref="R13:R15"/>
    <mergeCell ref="A15:A16"/>
    <mergeCell ref="M15:O15"/>
    <mergeCell ref="Q16:Q18"/>
    <mergeCell ref="R16:R18"/>
    <mergeCell ref="Q8:R8"/>
    <mergeCell ref="B9:F9"/>
    <mergeCell ref="G9:I9"/>
    <mergeCell ref="K9:O9"/>
    <mergeCell ref="B10:F10"/>
    <mergeCell ref="G10:I10"/>
    <mergeCell ref="K10:O10"/>
    <mergeCell ref="B7:F7"/>
    <mergeCell ref="G7:I7"/>
    <mergeCell ref="K7:O7"/>
    <mergeCell ref="B8:F8"/>
    <mergeCell ref="G8:I8"/>
    <mergeCell ref="K8:O8"/>
    <mergeCell ref="B5:F5"/>
    <mergeCell ref="G5:I5"/>
    <mergeCell ref="K5:O5"/>
    <mergeCell ref="B6:F6"/>
    <mergeCell ref="G6:I6"/>
    <mergeCell ref="K6:O6"/>
    <mergeCell ref="B3:F3"/>
    <mergeCell ref="G3:I3"/>
    <mergeCell ref="K3:O3"/>
    <mergeCell ref="B4:F4"/>
    <mergeCell ref="G4:I4"/>
    <mergeCell ref="K4:O4"/>
    <mergeCell ref="A1:F1"/>
    <mergeCell ref="G1:I1"/>
    <mergeCell ref="J1:O1"/>
    <mergeCell ref="Q1:R1"/>
    <mergeCell ref="B2:F2"/>
    <mergeCell ref="G2:I2"/>
    <mergeCell ref="K2:O2"/>
  </mergeCells>
  <phoneticPr fontId="1" type="noConversion"/>
  <conditionalFormatting sqref="G2:I3">
    <cfRule type="expression" dxfId="177" priority="177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CHOOSE(2,$E$118,$F$118,$H$118,$I$118,$K$118,$L$118,$N$118,$O$118))))&gt;0</formula>
    </cfRule>
    <cfRule type="expression" dxfId="176" priority="178">
      <formula>IF(CHOOSE(8,$E$118,$F$118,$H$118,$I$118,$K$118,$L$118,$N$118,$O$118)&lt;&gt;0,CHOOSE(8,$E$118,$F$118,$H$118,$I$118,$K$118,$L$118,$N$118,$O$118), IF(CHOOSE(6,$E$118,$F$118,$H$118,$I$118,$K$118,$L$118,$N$118,$O$118)&lt;&gt;0,CHOOSE(6,$E$118,$F$118,$H$118,$I$118,$K$118,$L$118,$N$118,$O$118), IF(CHOOSE(4,$E$118,$F$118,$H$118,$I$118,$K$118,$L$118,$N$118,$O$118)&lt;&gt;0,CHOOSE(4,$E$118,$F$118,$H$118,$I$118,$K$118,$L$118,$N$118,$O$118), CHOOSE(2,$E$118,$F$118,$H$118,$I$118,$K$118,$L$118,$N$118,$O$118))))&lt;0</formula>
    </cfRule>
  </conditionalFormatting>
  <conditionalFormatting sqref="G4:I5">
    <cfRule type="expression" dxfId="175" priority="175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CHOOSE(2,$E$64,$F$64,$H$64,$I$64,$K$64,$L$64,$N$64,$O$64))))&gt;0</formula>
    </cfRule>
    <cfRule type="expression" dxfId="174" priority="176">
      <formula>IF(CHOOSE(8,$E$64,$F$64,$H$64,$I$64,$K$64,$L$64,$N$64,$O$64)&lt;&gt;0,CHOOSE(8,$E$64,$F$64,$H$64,$I$64,$K$64,$L$64,$N$64,$O$64), IF(CHOOSE(6,$E$64,$F$64,$H$64,$I$64,$K$64,$L$64,$N$64,$O$64)&lt;&gt;0,CHOOSE(6,$E$64,$F$64,$H$64,$I$64,$K$64,$L$64,$N$64,$O$64), IF(CHOOSE(4,$E$64,$F$64,$H$64,$I$64,$K$64,$L$64,$N$64,$O$64)&lt;&gt;0,CHOOSE(4,$E$64,$F$64,$H$64,$I$64,$K$64,$L$64,$N$64,$O$64), CHOOSE(2,$E$64,$F$64,$H$64,$I$64,$K$64,$L$64,$N$64,$O$64))))&lt;0</formula>
    </cfRule>
  </conditionalFormatting>
  <conditionalFormatting sqref="G6:I7">
    <cfRule type="expression" dxfId="173" priority="173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CHOOSE(2,$E$91,$F$91,$H$91,$I$91,$K$91,$L$91,$N$91,$O$91))))&gt;0</formula>
    </cfRule>
    <cfRule type="expression" dxfId="172" priority="174">
      <formula>IF(CHOOSE(8,$E$91,$F$91,$H$91,$I$91,$K$91,$L$91,$N$91,$O$91)&lt;&gt;0,CHOOSE(8,$E$91,$F$91,$H$91,$I$91,$K$91,$L$91,$N$91,$O$91), IF(CHOOSE(6,$E$91,$F$91,$H$91,$I$91,$K$91,$L$91,$N$91,$O$91)&lt;&gt;0,CHOOSE(6,$E$91,$F$91,$H$91,$I$91,$K$91,$L$91,$N$91,$O$91), IF(CHOOSE(4,$E$91,$F$91,$H$91,$I$91,$K$91,$L$91,$N$91,$O$91)&lt;&gt;0,CHOOSE(4,$E$91,$F$91,$H$91,$I$91,$K$91,$L$91,$N$91,$O$91), CHOOSE(2,$E$91,$F$91,$H$91,$I$91,$K$91,$L$91,$N$91,$O$91))))&lt;0</formula>
    </cfRule>
  </conditionalFormatting>
  <conditionalFormatting sqref="G8:I9">
    <cfRule type="expression" dxfId="171" priority="171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CHOOSE(2,$E$199,$F$199,$H$199,$I$199,$K$199,$L$199,$N$199,$O$199))))&gt;0</formula>
    </cfRule>
    <cfRule type="expression" dxfId="170" priority="172">
      <formula>IF(CHOOSE(8,$E$199,$F$199,$H$199,$I$199,$K$199,$L$199,$N$199,$O$199)&lt;&gt;0,CHOOSE(8,$E$199,$F$199,$H$199,$I$199,$K$199,$L$199,$N$199,$O$199), IF(CHOOSE(6,$E$199,$F$199,$H$199,$I$199,$K$199,$L$199,$N$199,$O$199)&lt;&gt;0,CHOOSE(6,$E$199,$F$199,$H$199,$I$199,$K$199,$L$199,$N$199,$O$199), IF(CHOOSE(4,$E$199,$F$199,$H$199,$I$199,$K$199,$L$199,$N$199,$O$199)&lt;&gt;0,CHOOSE(4,$E$199,$F$199,$H$199,$I$199,$K$199,$L$199,$N$199,$O$199), CHOOSE(2,$E$199,$F$199,$H$199,$I$199,$K$199,$L$199,$N$199,$O$199))))&lt;0</formula>
    </cfRule>
  </conditionalFormatting>
  <conditionalFormatting sqref="G10:I11">
    <cfRule type="expression" dxfId="169" priority="169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CHOOSE(2,$E$37,$F$37,$H$37,$I$37,$K$37,$L$37,$N$37,$O$37))))&gt;0</formula>
    </cfRule>
    <cfRule type="expression" dxfId="168" priority="170">
      <formula>IF(CHOOSE(8,$E$37,$F$37,$H$37,$I$37,$K$37,$L$37,$N$37,$O$37)&lt;&gt;0,CHOOSE(8,$E$37,$F$37,$H$37,$I$37,$K$37,$L$37,$N$37,$O$37), IF(CHOOSE(6,$E$37,$F$37,$H$37,$I$37,$K$37,$L$37,$N$37,$O$37)&lt;&gt;0,CHOOSE(6,$E$37,$F$37,$H$37,$I$37,$K$37,$L$37,$N$37,$O$37), IF(CHOOSE(4,$E$37,$F$37,$H$37,$I$37,$K$37,$L$37,$N$37,$O$37)&lt;&gt;0,CHOOSE(4,$E$37,$F$37,$H$37,$I$37,$K$37,$L$37,$N$37,$O$37), CHOOSE(2,$E$37,$F$37,$H$37,$I$37,$K$37,$L$37,$N$37,$O$37))))&lt;0</formula>
    </cfRule>
  </conditionalFormatting>
  <conditionalFormatting sqref="A17:C36 M17:O36">
    <cfRule type="expression" dxfId="167" priority="157">
      <formula>AND($N17 &gt; 0, ISNUMBER($N17))</formula>
    </cfRule>
    <cfRule type="expression" dxfId="166" priority="158">
      <formula>AND($N17 = 0 * ISNUMBER($N17))</formula>
    </cfRule>
    <cfRule type="expression" dxfId="165" priority="159">
      <formula>AND($N17 &lt; 0, ISNUMBER($N17))</formula>
    </cfRule>
  </conditionalFormatting>
  <conditionalFormatting sqref="A17:F36">
    <cfRule type="expression" dxfId="164" priority="166">
      <formula>AND($E17 &gt; 0, ISNUMBER($E17))</formula>
    </cfRule>
    <cfRule type="expression" dxfId="163" priority="167">
      <formula>AND($E17 = 0 * ISNUMBER($E17))</formula>
    </cfRule>
    <cfRule type="expression" dxfId="162" priority="168">
      <formula>AND($E17 &lt; 0, ISNUMBER($E17))</formula>
    </cfRule>
  </conditionalFormatting>
  <conditionalFormatting sqref="A17:C36 G17:I36">
    <cfRule type="expression" dxfId="161" priority="163">
      <formula>AND($H17 &gt; 0, ISNUMBER($H17))</formula>
    </cfRule>
    <cfRule type="expression" dxfId="160" priority="164">
      <formula>AND($H17 = 0 * ISNUMBER($H17))</formula>
    </cfRule>
    <cfRule type="expression" dxfId="159" priority="165">
      <formula>AND($H17 &lt; 0, ISNUMBER($H17))</formula>
    </cfRule>
  </conditionalFormatting>
  <conditionalFormatting sqref="A17:C36 J17:L36">
    <cfRule type="expression" dxfId="158" priority="160">
      <formula>AND($K17 &gt; 0, ISNUMBER($K17))</formula>
    </cfRule>
    <cfRule type="expression" dxfId="157" priority="161">
      <formula>AND($K17 = 0 * ISNUMBER($K17))</formula>
    </cfRule>
    <cfRule type="expression" dxfId="156" priority="162">
      <formula>AND($K17 &lt; 0, ISNUMBER($K17))</formula>
    </cfRule>
  </conditionalFormatting>
  <conditionalFormatting sqref="D15:F16 E37:F37">
    <cfRule type="expression" dxfId="155" priority="154">
      <formula>$E$37 &gt; 0</formula>
    </cfRule>
    <cfRule type="expression" dxfId="154" priority="155">
      <formula>$E$37 = 0</formula>
    </cfRule>
    <cfRule type="expression" dxfId="153" priority="156">
      <formula>$E$37 &lt; 0</formula>
    </cfRule>
  </conditionalFormatting>
  <conditionalFormatting sqref="G15:I16 H37:I37">
    <cfRule type="expression" dxfId="152" priority="151">
      <formula>$H$37 &gt; 0</formula>
    </cfRule>
    <cfRule type="expression" dxfId="151" priority="152">
      <formula>$H$37 = 0</formula>
    </cfRule>
    <cfRule type="expression" dxfId="150" priority="153">
      <formula>$H$37 &lt; 0</formula>
    </cfRule>
  </conditionalFormatting>
  <conditionalFormatting sqref="J15:L16 K37:L37">
    <cfRule type="expression" dxfId="149" priority="148">
      <formula>$K$37 &gt; 0</formula>
    </cfRule>
    <cfRule type="expression" dxfId="148" priority="149">
      <formula>$K$37 = 0</formula>
    </cfRule>
    <cfRule type="expression" dxfId="147" priority="150">
      <formula>$K$37 &lt; 0</formula>
    </cfRule>
  </conditionalFormatting>
  <conditionalFormatting sqref="M15:O16 N37:O37">
    <cfRule type="expression" dxfId="146" priority="145">
      <formula>$N$37 &gt; 0</formula>
    </cfRule>
    <cfRule type="expression" dxfId="145" priority="146">
      <formula>$N$37 = 0</formula>
    </cfRule>
    <cfRule type="expression" dxfId="144" priority="147">
      <formula>$N$37 &lt; 0</formula>
    </cfRule>
  </conditionalFormatting>
  <conditionalFormatting sqref="A44:C63 M44:O63">
    <cfRule type="expression" dxfId="143" priority="133">
      <formula>AND($N44 &gt; 0, ISNUMBER($N44))</formula>
    </cfRule>
    <cfRule type="expression" dxfId="142" priority="134">
      <formula>AND($N44 = 0 * ISNUMBER($N44))</formula>
    </cfRule>
    <cfRule type="expression" dxfId="141" priority="135">
      <formula>AND($N44 &lt; 0, ISNUMBER($N44))</formula>
    </cfRule>
  </conditionalFormatting>
  <conditionalFormatting sqref="A44:F63">
    <cfRule type="expression" dxfId="140" priority="142">
      <formula>AND($E44 &gt; 0, ISNUMBER($E44))</formula>
    </cfRule>
    <cfRule type="expression" dxfId="139" priority="143">
      <formula>AND($E44 = 0 * ISNUMBER($E44))</formula>
    </cfRule>
    <cfRule type="expression" dxfId="138" priority="144">
      <formula>AND($E44 &lt; 0, ISNUMBER($E44))</formula>
    </cfRule>
  </conditionalFormatting>
  <conditionalFormatting sqref="A44:C63 G44:I63">
    <cfRule type="expression" dxfId="137" priority="139">
      <formula>AND($H44 &gt; 0, ISNUMBER($H44))</formula>
    </cfRule>
    <cfRule type="expression" dxfId="136" priority="140">
      <formula>AND($H44 = 0 * ISNUMBER($H44))</formula>
    </cfRule>
    <cfRule type="expression" dxfId="135" priority="141">
      <formula>AND($H44 &lt; 0, ISNUMBER($H44))</formula>
    </cfRule>
  </conditionalFormatting>
  <conditionalFormatting sqref="A44:C63 J44:L63">
    <cfRule type="expression" dxfId="134" priority="136">
      <formula>AND($K44 &gt; 0, ISNUMBER($K44))</formula>
    </cfRule>
    <cfRule type="expression" dxfId="133" priority="137">
      <formula>AND($K44 = 0 * ISNUMBER($K44))</formula>
    </cfRule>
    <cfRule type="expression" dxfId="132" priority="138">
      <formula>AND($K44 &lt; 0, ISNUMBER($K44))</formula>
    </cfRule>
  </conditionalFormatting>
  <conditionalFormatting sqref="D42:F43 E64:F64">
    <cfRule type="expression" dxfId="131" priority="130">
      <formula>$E$64 &gt; 0</formula>
    </cfRule>
    <cfRule type="expression" dxfId="130" priority="131">
      <formula>$E$64 = 0</formula>
    </cfRule>
    <cfRule type="expression" dxfId="129" priority="132">
      <formula>$E$64 &lt; 0</formula>
    </cfRule>
  </conditionalFormatting>
  <conditionalFormatting sqref="G42:I43 H64:I64">
    <cfRule type="expression" dxfId="128" priority="127">
      <formula>$H$64 &gt; 0</formula>
    </cfRule>
    <cfRule type="expression" dxfId="127" priority="128">
      <formula>$H$64 = 0</formula>
    </cfRule>
    <cfRule type="expression" dxfId="126" priority="129">
      <formula>$H$64 &lt; 0</formula>
    </cfRule>
  </conditionalFormatting>
  <conditionalFormatting sqref="J42:L43 K64:L64">
    <cfRule type="expression" dxfId="125" priority="124">
      <formula>$K$64 &gt; 0</formula>
    </cfRule>
    <cfRule type="expression" dxfId="124" priority="125">
      <formula>$K$64 = 0</formula>
    </cfRule>
    <cfRule type="expression" dxfId="123" priority="126">
      <formula>$K$64 &lt; 0</formula>
    </cfRule>
  </conditionalFormatting>
  <conditionalFormatting sqref="M42:O43 N64:O64">
    <cfRule type="expression" dxfId="122" priority="121">
      <formula>$N$64 &gt; 0</formula>
    </cfRule>
    <cfRule type="expression" dxfId="121" priority="122">
      <formula>$N$64 = 0</formula>
    </cfRule>
    <cfRule type="expression" dxfId="120" priority="123">
      <formula>$N$64 &lt; 0</formula>
    </cfRule>
  </conditionalFormatting>
  <conditionalFormatting sqref="A71:C90 M71:O90">
    <cfRule type="expression" dxfId="119" priority="109">
      <formula>AND($N71 &gt; 0, ISNUMBER($N71))</formula>
    </cfRule>
    <cfRule type="expression" dxfId="118" priority="110">
      <formula>AND($N71 = 0 * ISNUMBER($N71))</formula>
    </cfRule>
    <cfRule type="expression" dxfId="117" priority="111">
      <formula>AND($N71 &lt; 0, ISNUMBER($N71))</formula>
    </cfRule>
  </conditionalFormatting>
  <conditionalFormatting sqref="A71:F90">
    <cfRule type="expression" dxfId="116" priority="118">
      <formula>AND($E71 &gt; 0, ISNUMBER($E71))</formula>
    </cfRule>
    <cfRule type="expression" dxfId="115" priority="119">
      <formula>AND($E71 = 0 * ISNUMBER($E71))</formula>
    </cfRule>
    <cfRule type="expression" dxfId="114" priority="120">
      <formula>AND($E71 &lt; 0, ISNUMBER($E71))</formula>
    </cfRule>
  </conditionalFormatting>
  <conditionalFormatting sqref="A71:C90 G71:I90">
    <cfRule type="expression" dxfId="113" priority="115">
      <formula>AND($H71 &gt; 0, ISNUMBER($H71))</formula>
    </cfRule>
    <cfRule type="expression" dxfId="112" priority="116">
      <formula>AND($H71 = 0 * ISNUMBER($H71))</formula>
    </cfRule>
    <cfRule type="expression" dxfId="111" priority="117">
      <formula>AND($H71 &lt; 0, ISNUMBER($H71))</formula>
    </cfRule>
  </conditionalFormatting>
  <conditionalFormatting sqref="A71:C90 J71:L90">
    <cfRule type="expression" dxfId="110" priority="112">
      <formula>AND($K71 &gt; 0, ISNUMBER($K71))</formula>
    </cfRule>
    <cfRule type="expression" dxfId="109" priority="113">
      <formula>AND($K71 = 0 * ISNUMBER($K71))</formula>
    </cfRule>
    <cfRule type="expression" dxfId="108" priority="114">
      <formula>AND($K71 &lt; 0, ISNUMBER($K71))</formula>
    </cfRule>
  </conditionalFormatting>
  <conditionalFormatting sqref="D69:F70 E91:F91">
    <cfRule type="expression" dxfId="107" priority="106">
      <formula>$E$91 &gt; 0</formula>
    </cfRule>
    <cfRule type="expression" dxfId="106" priority="107">
      <formula>$E$91 = 0</formula>
    </cfRule>
    <cfRule type="expression" dxfId="105" priority="108">
      <formula>$E$91 &lt; 0</formula>
    </cfRule>
  </conditionalFormatting>
  <conditionalFormatting sqref="G69:I70 H91:I91">
    <cfRule type="expression" dxfId="104" priority="103">
      <formula>$H$91 &gt; 0</formula>
    </cfRule>
    <cfRule type="expression" dxfId="103" priority="104">
      <formula>$H$91 = 0</formula>
    </cfRule>
    <cfRule type="expression" dxfId="102" priority="105">
      <formula>$H$91 &lt; 0</formula>
    </cfRule>
  </conditionalFormatting>
  <conditionalFormatting sqref="J69:L70 K91:L91">
    <cfRule type="expression" dxfId="101" priority="100">
      <formula>$K$91 &gt; 0</formula>
    </cfRule>
    <cfRule type="expression" dxfId="100" priority="101">
      <formula>$K$91 = 0</formula>
    </cfRule>
    <cfRule type="expression" dxfId="99" priority="102">
      <formula>$K$91 &lt; 0</formula>
    </cfRule>
  </conditionalFormatting>
  <conditionalFormatting sqref="M69:O70 N91:O91">
    <cfRule type="expression" dxfId="98" priority="97">
      <formula>$N$91 &gt; 0</formula>
    </cfRule>
    <cfRule type="expression" dxfId="97" priority="98">
      <formula>$N$91 = 0</formula>
    </cfRule>
    <cfRule type="expression" dxfId="96" priority="99">
      <formula>$N$91 &lt; 0</formula>
    </cfRule>
  </conditionalFormatting>
  <conditionalFormatting sqref="A98:C117 M98:O117">
    <cfRule type="expression" dxfId="95" priority="85">
      <formula>AND($N98 &gt; 0, ISNUMBER($N98))</formula>
    </cfRule>
    <cfRule type="expression" dxfId="94" priority="86">
      <formula>AND($N98 = 0 * ISNUMBER($N98))</formula>
    </cfRule>
    <cfRule type="expression" dxfId="93" priority="87">
      <formula>AND($N98 &lt; 0, ISNUMBER($N98))</formula>
    </cfRule>
  </conditionalFormatting>
  <conditionalFormatting sqref="A98:F117">
    <cfRule type="expression" dxfId="92" priority="94">
      <formula>AND($E98 &gt; 0, ISNUMBER($E98))</formula>
    </cfRule>
    <cfRule type="expression" dxfId="91" priority="95">
      <formula>AND($E98 = 0 * ISNUMBER($E98))</formula>
    </cfRule>
    <cfRule type="expression" dxfId="90" priority="96">
      <formula>AND($E98 &lt; 0, ISNUMBER($E98))</formula>
    </cfRule>
  </conditionalFormatting>
  <conditionalFormatting sqref="A98:C117 G98:I117">
    <cfRule type="expression" dxfId="89" priority="91">
      <formula>AND($H98 &gt; 0, ISNUMBER($H98))</formula>
    </cfRule>
    <cfRule type="expression" dxfId="88" priority="92">
      <formula>AND($H98 = 0 * ISNUMBER($H98))</formula>
    </cfRule>
    <cfRule type="expression" dxfId="87" priority="93">
      <formula>AND($H98 &lt; 0, ISNUMBER($H98))</formula>
    </cfRule>
  </conditionalFormatting>
  <conditionalFormatting sqref="A98:C117 J98:L117">
    <cfRule type="expression" dxfId="86" priority="88">
      <formula>AND($K98 &gt; 0, ISNUMBER($K98))</formula>
    </cfRule>
    <cfRule type="expression" dxfId="85" priority="89">
      <formula>AND($K98 = 0 * ISNUMBER($K98))</formula>
    </cfRule>
    <cfRule type="expression" dxfId="84" priority="90">
      <formula>AND($K98 &lt; 0, ISNUMBER($K98))</formula>
    </cfRule>
  </conditionalFormatting>
  <conditionalFormatting sqref="D96:F97 E118:F118">
    <cfRule type="expression" dxfId="83" priority="82">
      <formula>$E$118 &gt; 0</formula>
    </cfRule>
    <cfRule type="expression" dxfId="82" priority="83">
      <formula>$E$118 = 0</formula>
    </cfRule>
    <cfRule type="expression" dxfId="81" priority="84">
      <formula>$E$118 &lt; 0</formula>
    </cfRule>
  </conditionalFormatting>
  <conditionalFormatting sqref="G96:I97 H118:I118">
    <cfRule type="expression" dxfId="80" priority="79">
      <formula>$H$118 &gt; 0</formula>
    </cfRule>
    <cfRule type="expression" dxfId="79" priority="80">
      <formula>$H$118 = 0</formula>
    </cfRule>
    <cfRule type="expression" dxfId="78" priority="81">
      <formula>$H$118 &lt; 0</formula>
    </cfRule>
  </conditionalFormatting>
  <conditionalFormatting sqref="J96:L97 K118:L118">
    <cfRule type="expression" dxfId="77" priority="76">
      <formula>$K$118 &gt; 0</formula>
    </cfRule>
    <cfRule type="expression" dxfId="76" priority="77">
      <formula>$K$118 = 0</formula>
    </cfRule>
    <cfRule type="expression" dxfId="75" priority="78">
      <formula>$K$118 &lt; 0</formula>
    </cfRule>
  </conditionalFormatting>
  <conditionalFormatting sqref="M96:O97 N118:O118">
    <cfRule type="expression" dxfId="74" priority="73">
      <formula>$N$118 &gt; 0</formula>
    </cfRule>
    <cfRule type="expression" dxfId="73" priority="74">
      <formula>$N$118 = 0</formula>
    </cfRule>
    <cfRule type="expression" dxfId="72" priority="75">
      <formula>$N$118 &lt; 0</formula>
    </cfRule>
  </conditionalFormatting>
  <conditionalFormatting sqref="A125:C144 M125:O144">
    <cfRule type="expression" dxfId="71" priority="61">
      <formula>AND($N125 &gt; 0, ISNUMBER($N125))</formula>
    </cfRule>
    <cfRule type="expression" dxfId="70" priority="62">
      <formula>AND($N125 = 0 * ISNUMBER($N125))</formula>
    </cfRule>
    <cfRule type="expression" dxfId="69" priority="63">
      <formula>AND($N125 &lt; 0, ISNUMBER($N125))</formula>
    </cfRule>
  </conditionalFormatting>
  <conditionalFormatting sqref="A125:F144">
    <cfRule type="expression" dxfId="68" priority="70">
      <formula>AND($E125 &gt; 0, ISNUMBER($E125))</formula>
    </cfRule>
    <cfRule type="expression" dxfId="67" priority="71">
      <formula>AND($E125 = 0 * ISNUMBER($E125))</formula>
    </cfRule>
    <cfRule type="expression" dxfId="66" priority="72">
      <formula>AND($E125 &lt; 0, ISNUMBER($E125))</formula>
    </cfRule>
  </conditionalFormatting>
  <conditionalFormatting sqref="A125:C144 G125:I144">
    <cfRule type="expression" dxfId="65" priority="67">
      <formula>AND($H125 &gt; 0, ISNUMBER($H125))</formula>
    </cfRule>
    <cfRule type="expression" dxfId="64" priority="68">
      <formula>AND($H125 = 0 * ISNUMBER($H125))</formula>
    </cfRule>
    <cfRule type="expression" dxfId="63" priority="69">
      <formula>AND($H125 &lt; 0, ISNUMBER($H125))</formula>
    </cfRule>
  </conditionalFormatting>
  <conditionalFormatting sqref="A125:C144 J125:L144">
    <cfRule type="expression" dxfId="62" priority="64">
      <formula>AND($K125 &gt; 0, ISNUMBER($K125))</formula>
    </cfRule>
    <cfRule type="expression" dxfId="61" priority="65">
      <formula>AND($K125 = 0 * ISNUMBER($K125))</formula>
    </cfRule>
    <cfRule type="expression" dxfId="60" priority="66">
      <formula>AND($K125 &lt; 0, ISNUMBER($K125))</formula>
    </cfRule>
  </conditionalFormatting>
  <conditionalFormatting sqref="D123:F124 E145:F145">
    <cfRule type="expression" dxfId="59" priority="58">
      <formula>$E$145 &gt; 0</formula>
    </cfRule>
    <cfRule type="expression" dxfId="58" priority="59">
      <formula>$E$145 = 0</formula>
    </cfRule>
    <cfRule type="expression" dxfId="57" priority="60">
      <formula>$E$145 &lt; 0</formula>
    </cfRule>
  </conditionalFormatting>
  <conditionalFormatting sqref="G123:I124 H145:I145">
    <cfRule type="expression" dxfId="56" priority="55">
      <formula>$H$145 &gt; 0</formula>
    </cfRule>
    <cfRule type="expression" dxfId="55" priority="56">
      <formula>$H$145 = 0</formula>
    </cfRule>
    <cfRule type="expression" dxfId="54" priority="57">
      <formula>$H$145 &lt; 0</formula>
    </cfRule>
  </conditionalFormatting>
  <conditionalFormatting sqref="J123:L124 K145:L145">
    <cfRule type="expression" dxfId="53" priority="52">
      <formula>$K$145 &gt; 0</formula>
    </cfRule>
    <cfRule type="expression" dxfId="52" priority="53">
      <formula>$K$145 = 0</formula>
    </cfRule>
    <cfRule type="expression" dxfId="51" priority="54">
      <formula>$K$145 &lt; 0</formula>
    </cfRule>
  </conditionalFormatting>
  <conditionalFormatting sqref="M123:O124 N145:O145">
    <cfRule type="expression" dxfId="50" priority="49">
      <formula>$N$145 &gt; 0</formula>
    </cfRule>
    <cfRule type="expression" dxfId="49" priority="50">
      <formula>$N$145 = 0</formula>
    </cfRule>
    <cfRule type="expression" dxfId="48" priority="51">
      <formula>$N$145 &lt; 0</formula>
    </cfRule>
  </conditionalFormatting>
  <conditionalFormatting sqref="A152:C171 M152:O171">
    <cfRule type="expression" dxfId="47" priority="37">
      <formula>AND($N152 &gt; 0, ISNUMBER($N152))</formula>
    </cfRule>
    <cfRule type="expression" dxfId="46" priority="38">
      <formula>AND($N152 = 0 * ISNUMBER($N152))</formula>
    </cfRule>
    <cfRule type="expression" dxfId="45" priority="39">
      <formula>AND($N152 &lt; 0, ISNUMBER($N152))</formula>
    </cfRule>
  </conditionalFormatting>
  <conditionalFormatting sqref="A152:F171">
    <cfRule type="expression" dxfId="44" priority="46">
      <formula>AND($E152 &gt; 0, ISNUMBER($E152))</formula>
    </cfRule>
    <cfRule type="expression" dxfId="43" priority="47">
      <formula>AND($E152 = 0 * ISNUMBER($E152))</formula>
    </cfRule>
    <cfRule type="expression" dxfId="42" priority="48">
      <formula>AND($E152 &lt; 0, ISNUMBER($E152))</formula>
    </cfRule>
  </conditionalFormatting>
  <conditionalFormatting sqref="A152:C171 G152:I171">
    <cfRule type="expression" dxfId="41" priority="43">
      <formula>AND($H152 &gt; 0, ISNUMBER($H152))</formula>
    </cfRule>
    <cfRule type="expression" dxfId="40" priority="44">
      <formula>AND($H152 = 0 * ISNUMBER($H152))</formula>
    </cfRule>
    <cfRule type="expression" dxfId="39" priority="45">
      <formula>AND($H152 &lt; 0, ISNUMBER($H152))</formula>
    </cfRule>
  </conditionalFormatting>
  <conditionalFormatting sqref="A152:C171 J152:L171">
    <cfRule type="expression" dxfId="38" priority="40">
      <formula>AND($K152 &gt; 0, ISNUMBER($K152))</formula>
    </cfRule>
    <cfRule type="expression" dxfId="37" priority="41">
      <formula>AND($K152 = 0 * ISNUMBER($K152))</formula>
    </cfRule>
    <cfRule type="expression" dxfId="36" priority="42">
      <formula>AND($K152 &lt; 0, ISNUMBER($K152))</formula>
    </cfRule>
  </conditionalFormatting>
  <conditionalFormatting sqref="D150:F151 E172:F172">
    <cfRule type="expression" dxfId="35" priority="34">
      <formula>$E$172 &gt; 0</formula>
    </cfRule>
    <cfRule type="expression" dxfId="34" priority="35">
      <formula>$E$172 = 0</formula>
    </cfRule>
    <cfRule type="expression" dxfId="33" priority="36">
      <formula>$E$172 &lt; 0</formula>
    </cfRule>
  </conditionalFormatting>
  <conditionalFormatting sqref="G150:I151 H172:I172">
    <cfRule type="expression" dxfId="32" priority="31">
      <formula>$H$172 &gt; 0</formula>
    </cfRule>
    <cfRule type="expression" dxfId="31" priority="32">
      <formula>$H$172 = 0</formula>
    </cfRule>
    <cfRule type="expression" dxfId="30" priority="33">
      <formula>$H$172 &lt; 0</formula>
    </cfRule>
  </conditionalFormatting>
  <conditionalFormatting sqref="J150:L151 K172:L172">
    <cfRule type="expression" dxfId="29" priority="28">
      <formula>$K$172 &gt; 0</formula>
    </cfRule>
    <cfRule type="expression" dxfId="28" priority="29">
      <formula>$K$172 = 0</formula>
    </cfRule>
    <cfRule type="expression" dxfId="27" priority="30">
      <formula>$K$172 &lt; 0</formula>
    </cfRule>
  </conditionalFormatting>
  <conditionalFormatting sqref="M150:O151 N172:O172">
    <cfRule type="expression" dxfId="26" priority="25">
      <formula>$N$172 &gt; 0</formula>
    </cfRule>
    <cfRule type="expression" dxfId="25" priority="26">
      <formula>$N$172 = 0</formula>
    </cfRule>
    <cfRule type="expression" dxfId="24" priority="27">
      <formula>$N$172 &lt; 0</formula>
    </cfRule>
  </conditionalFormatting>
  <conditionalFormatting sqref="A179:C198 M179:O198">
    <cfRule type="expression" dxfId="23" priority="13">
      <formula>AND($N179 &gt; 0, ISNUMBER($N179))</formula>
    </cfRule>
    <cfRule type="expression" dxfId="22" priority="14">
      <formula>AND($N179 = 0 * ISNUMBER($N179))</formula>
    </cfRule>
    <cfRule type="expression" dxfId="21" priority="15">
      <formula>AND($N179 &lt; 0, ISNUMBER($N179))</formula>
    </cfRule>
  </conditionalFormatting>
  <conditionalFormatting sqref="A179:F198">
    <cfRule type="expression" dxfId="20" priority="22">
      <formula>AND($E179 &gt; 0, ISNUMBER($E179))</formula>
    </cfRule>
    <cfRule type="expression" dxfId="19" priority="23">
      <formula>AND($E179 = 0 * ISNUMBER($E179))</formula>
    </cfRule>
    <cfRule type="expression" dxfId="18" priority="24">
      <formula>AND($E179 &lt; 0, ISNUMBER($E179))</formula>
    </cfRule>
  </conditionalFormatting>
  <conditionalFormatting sqref="A179:C198 G179:I198">
    <cfRule type="expression" dxfId="17" priority="19">
      <formula>AND($H179 &gt; 0, ISNUMBER($H179))</formula>
    </cfRule>
    <cfRule type="expression" dxfId="16" priority="20">
      <formula>AND($H179 = 0 * ISNUMBER($H179))</formula>
    </cfRule>
    <cfRule type="expression" dxfId="15" priority="21">
      <formula>AND($H179 &lt; 0, ISNUMBER($H179))</formula>
    </cfRule>
  </conditionalFormatting>
  <conditionalFormatting sqref="A179:C198 J179:L198">
    <cfRule type="expression" dxfId="14" priority="16">
      <formula>AND($K179 &gt; 0, ISNUMBER($K179))</formula>
    </cfRule>
    <cfRule type="expression" dxfId="13" priority="17">
      <formula>AND($K179 = 0 * ISNUMBER($K179))</formula>
    </cfRule>
    <cfRule type="expression" dxfId="12" priority="18">
      <formula>AND($K179 &lt; 0, ISNUMBER($K179))</formula>
    </cfRule>
  </conditionalFormatting>
  <conditionalFormatting sqref="D177:F178 E199:F199">
    <cfRule type="expression" dxfId="11" priority="10">
      <formula>$E$199 &gt; 0</formula>
    </cfRule>
    <cfRule type="expression" dxfId="10" priority="11">
      <formula>$E$199 = 0</formula>
    </cfRule>
    <cfRule type="expression" dxfId="9" priority="12">
      <formula>$E$199 &lt; 0</formula>
    </cfRule>
  </conditionalFormatting>
  <conditionalFormatting sqref="G177:I178 H199:I199">
    <cfRule type="expression" dxfId="8" priority="7">
      <formula>$H$199 &gt; 0</formula>
    </cfRule>
    <cfRule type="expression" dxfId="7" priority="8">
      <formula>$H$199 = 0</formula>
    </cfRule>
    <cfRule type="expression" dxfId="6" priority="9">
      <formula>$H$199 &lt; 0</formula>
    </cfRule>
  </conditionalFormatting>
  <conditionalFormatting sqref="J177:L178 K199:L199">
    <cfRule type="expression" dxfId="5" priority="4">
      <formula>$K$199 &gt; 0</formula>
    </cfRule>
    <cfRule type="expression" dxfId="4" priority="5">
      <formula>$K$199 = 0</formula>
    </cfRule>
    <cfRule type="expression" dxfId="3" priority="6">
      <formula>$K$199 &lt; 0</formula>
    </cfRule>
  </conditionalFormatting>
  <conditionalFormatting sqref="M177:O178 N199:O199">
    <cfRule type="expression" dxfId="2" priority="1">
      <formula>$N$199 &gt; 0</formula>
    </cfRule>
    <cfRule type="expression" dxfId="1" priority="2">
      <formula>$N$199 = 0</formula>
    </cfRule>
    <cfRule type="expression" dxfId="0" priority="3">
      <formula>$N$199 &lt; 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6865" r:id="rId4" name="Button 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25</xdr:row>
                    <xdr:rowOff>0</xdr:rowOff>
                  </from>
                  <to>
                    <xdr:col>19</xdr:col>
                    <xdr:colOff>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6" r:id="rId5" name="Button 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17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7" r:id="rId6" name="Button 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28</xdr:row>
                    <xdr:rowOff>0</xdr:rowOff>
                  </from>
                  <to>
                    <xdr:col>18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8" r:id="rId7" name="Button 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17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69" r:id="rId8" name="Button 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31</xdr:row>
                    <xdr:rowOff>0</xdr:rowOff>
                  </from>
                  <to>
                    <xdr:col>18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0" r:id="rId9" name="Button 6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28</xdr:row>
                    <xdr:rowOff>0</xdr:rowOff>
                  </from>
                  <to>
                    <xdr:col>19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1" r:id="rId10" name="Button 7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31</xdr:row>
                    <xdr:rowOff>0</xdr:rowOff>
                  </from>
                  <to>
                    <xdr:col>19</xdr:col>
                    <xdr:colOff>0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2" r:id="rId11" name="Button 8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19</xdr:col>
                    <xdr:colOff>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3" r:id="rId12" name="Button 9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4" r:id="rId13" name="Button 10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</xdr:row>
                    <xdr:rowOff>0</xdr:rowOff>
                  </from>
                  <to>
                    <xdr:col>18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5" r:id="rId14" name="Button 11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</xdr:row>
                    <xdr:rowOff>0</xdr:rowOff>
                  </from>
                  <to>
                    <xdr:col>19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6" r:id="rId15" name="Button 12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</xdr:row>
                    <xdr:rowOff>0</xdr:rowOff>
                  </from>
                  <to>
                    <xdr:col>17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7" r:id="rId16" name="Button 13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</xdr:row>
                    <xdr:rowOff>0</xdr:rowOff>
                  </from>
                  <to>
                    <xdr:col>18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8" r:id="rId17" name="Button 14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19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79" r:id="rId18" name="Button 15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</xdr:row>
                    <xdr:rowOff>0</xdr:rowOff>
                  </from>
                  <to>
                    <xdr:col>17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0" r:id="rId19" name="Button 16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</xdr:row>
                    <xdr:rowOff>0</xdr:rowOff>
                  </from>
                  <to>
                    <xdr:col>18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1" r:id="rId20" name="Button 17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</xdr:row>
                    <xdr:rowOff>0</xdr:rowOff>
                  </from>
                  <to>
                    <xdr:col>19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2" r:id="rId21" name="Button 18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21</xdr:row>
                    <xdr:rowOff>0</xdr:rowOff>
                  </from>
                  <to>
                    <xdr:col>17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3" r:id="rId22" name="Button 19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21</xdr:row>
                    <xdr:rowOff>0</xdr:rowOff>
                  </from>
                  <to>
                    <xdr:col>18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4" r:id="rId23" name="Button 20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21</xdr:row>
                    <xdr:rowOff>0</xdr:rowOff>
                  </from>
                  <to>
                    <xdr:col>19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5" r:id="rId24" name="Button 2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52</xdr:row>
                    <xdr:rowOff>0</xdr:rowOff>
                  </from>
                  <to>
                    <xdr:col>19</xdr:col>
                    <xdr:colOff>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6" r:id="rId25" name="Button 2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55</xdr:row>
                    <xdr:rowOff>0</xdr:rowOff>
                  </from>
                  <to>
                    <xdr:col>17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7" r:id="rId26" name="Button 2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55</xdr:row>
                    <xdr:rowOff>0</xdr:rowOff>
                  </from>
                  <to>
                    <xdr:col>18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8" r:id="rId27" name="Button 2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58</xdr:row>
                    <xdr:rowOff>0</xdr:rowOff>
                  </from>
                  <to>
                    <xdr:col>17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89" r:id="rId28" name="Button 2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58</xdr:row>
                    <xdr:rowOff>0</xdr:rowOff>
                  </from>
                  <to>
                    <xdr:col>18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0" r:id="rId29" name="Button 26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79</xdr:row>
                    <xdr:rowOff>0</xdr:rowOff>
                  </from>
                  <to>
                    <xdr:col>19</xdr:col>
                    <xdr:colOff>0</xdr:colOff>
                    <xdr:row>82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1" r:id="rId30" name="Button 27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82</xdr:row>
                    <xdr:rowOff>9525</xdr:rowOff>
                  </from>
                  <to>
                    <xdr:col>17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2" r:id="rId31" name="Button 28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82</xdr:row>
                    <xdr:rowOff>9525</xdr:rowOff>
                  </from>
                  <to>
                    <xdr:col>18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3" r:id="rId32" name="Button 29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85</xdr:row>
                    <xdr:rowOff>9525</xdr:rowOff>
                  </from>
                  <to>
                    <xdr:col>17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4" r:id="rId33" name="Button 30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85</xdr:row>
                    <xdr:rowOff>9525</xdr:rowOff>
                  </from>
                  <to>
                    <xdr:col>18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5" r:id="rId34" name="Button 31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106</xdr:row>
                    <xdr:rowOff>0</xdr:rowOff>
                  </from>
                  <to>
                    <xdr:col>19</xdr:col>
                    <xdr:colOff>0</xdr:colOff>
                    <xdr:row>109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6" r:id="rId35" name="Button 32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109</xdr:row>
                    <xdr:rowOff>9525</xdr:rowOff>
                  </from>
                  <to>
                    <xdr:col>17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7" r:id="rId36" name="Button 33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109</xdr:row>
                    <xdr:rowOff>9525</xdr:rowOff>
                  </from>
                  <to>
                    <xdr:col>18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8" r:id="rId37" name="Button 34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112</xdr:row>
                    <xdr:rowOff>9525</xdr:rowOff>
                  </from>
                  <to>
                    <xdr:col>17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899" r:id="rId38" name="Button 35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112</xdr:row>
                    <xdr:rowOff>9525</xdr:rowOff>
                  </from>
                  <to>
                    <xdr:col>18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0" r:id="rId39" name="Button 3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93</xdr:row>
                    <xdr:rowOff>0</xdr:rowOff>
                  </from>
                  <to>
                    <xdr:col>17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1" r:id="rId40" name="Button 3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133</xdr:row>
                    <xdr:rowOff>0</xdr:rowOff>
                  </from>
                  <to>
                    <xdr:col>19</xdr:col>
                    <xdr:colOff>0</xdr:colOff>
                    <xdr:row>136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2" r:id="rId41" name="Button 3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136</xdr:row>
                    <xdr:rowOff>9525</xdr:rowOff>
                  </from>
                  <to>
                    <xdr:col>17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3" r:id="rId42" name="Button 3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136</xdr:row>
                    <xdr:rowOff>9525</xdr:rowOff>
                  </from>
                  <to>
                    <xdr:col>18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4" r:id="rId43" name="Button 4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139</xdr:row>
                    <xdr:rowOff>9525</xdr:rowOff>
                  </from>
                  <to>
                    <xdr:col>17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5" r:id="rId44" name="Button 4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139</xdr:row>
                    <xdr:rowOff>9525</xdr:rowOff>
                  </from>
                  <to>
                    <xdr:col>18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6" r:id="rId45" name="Button 42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160</xdr:row>
                    <xdr:rowOff>0</xdr:rowOff>
                  </from>
                  <to>
                    <xdr:col>19</xdr:col>
                    <xdr:colOff>0</xdr:colOff>
                    <xdr:row>163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7" r:id="rId46" name="Button 43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163</xdr:row>
                    <xdr:rowOff>9525</xdr:rowOff>
                  </from>
                  <to>
                    <xdr:col>17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8" r:id="rId47" name="Button 44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163</xdr:row>
                    <xdr:rowOff>9525</xdr:rowOff>
                  </from>
                  <to>
                    <xdr:col>18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09" r:id="rId48" name="Button 45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166</xdr:row>
                    <xdr:rowOff>9525</xdr:rowOff>
                  </from>
                  <to>
                    <xdr:col>17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0" r:id="rId49" name="Button 46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166</xdr:row>
                    <xdr:rowOff>9525</xdr:rowOff>
                  </from>
                  <to>
                    <xdr:col>18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1" r:id="rId50" name="Button 47">
              <controlPr defaultSize="0" print="0" autoFill="0" autoPict="0" macro="[0]!셀이동_실거래종목">
                <anchor moveWithCells="1" sizeWithCells="1">
                  <from>
                    <xdr:col>16</xdr:col>
                    <xdr:colOff>0</xdr:colOff>
                    <xdr:row>187</xdr:row>
                    <xdr:rowOff>0</xdr:rowOff>
                  </from>
                  <to>
                    <xdr:col>19</xdr:col>
                    <xdr:colOff>0</xdr:colOff>
                    <xdr:row>190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2" r:id="rId51" name="Button 48">
              <controlPr defaultSize="0" print="0" autoFill="0" autoPict="0" macro="[0]!셀이동_엽전코인Top20">
                <anchor moveWithCells="1" sizeWithCells="1">
                  <from>
                    <xdr:col>16</xdr:col>
                    <xdr:colOff>0</xdr:colOff>
                    <xdr:row>190</xdr:row>
                    <xdr:rowOff>9525</xdr:rowOff>
                  </from>
                  <to>
                    <xdr:col>17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3" r:id="rId52" name="Button 49">
              <controlPr defaultSize="0" print="0" autoFill="0" autoPict="0" macro="[0]!셀이동_동전코인Top20">
                <anchor moveWithCells="1" sizeWithCells="1">
                  <from>
                    <xdr:col>17</xdr:col>
                    <xdr:colOff>0</xdr:colOff>
                    <xdr:row>190</xdr:row>
                    <xdr:rowOff>9525</xdr:rowOff>
                  </from>
                  <to>
                    <xdr:col>18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4" r:id="rId53" name="Button 50">
              <controlPr defaultSize="0" print="0" autoFill="0" autoPict="0" macro="[0]!셀이동_엽전코인Bottom20">
                <anchor moveWithCells="1" sizeWithCells="1">
                  <from>
                    <xdr:col>16</xdr:col>
                    <xdr:colOff>0</xdr:colOff>
                    <xdr:row>193</xdr:row>
                    <xdr:rowOff>9525</xdr:rowOff>
                  </from>
                  <to>
                    <xdr:col>17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5" r:id="rId54" name="Button 51">
              <controlPr defaultSize="0" print="0" autoFill="0" autoPict="0" macro="[0]!셀이동_동전코인Bottom20">
                <anchor moveWithCells="1" sizeWithCells="1">
                  <from>
                    <xdr:col>17</xdr:col>
                    <xdr:colOff>0</xdr:colOff>
                    <xdr:row>193</xdr:row>
                    <xdr:rowOff>9525</xdr:rowOff>
                  </from>
                  <to>
                    <xdr:col>18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6" r:id="rId55" name="Button 52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39</xdr:row>
                    <xdr:rowOff>0</xdr:rowOff>
                  </from>
                  <to>
                    <xdr:col>17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7" r:id="rId56" name="Button 53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39</xdr:row>
                    <xdr:rowOff>0</xdr:rowOff>
                  </from>
                  <to>
                    <xdr:col>18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8" r:id="rId57" name="Button 54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39</xdr:row>
                    <xdr:rowOff>0</xdr:rowOff>
                  </from>
                  <to>
                    <xdr:col>19</xdr:col>
                    <xdr:colOff>0</xdr:colOff>
                    <xdr:row>42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19" r:id="rId58" name="Button 55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42</xdr:row>
                    <xdr:rowOff>0</xdr:rowOff>
                  </from>
                  <to>
                    <xdr:col>17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0" r:id="rId59" name="Button 56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42</xdr:row>
                    <xdr:rowOff>0</xdr:rowOff>
                  </from>
                  <to>
                    <xdr:col>18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1" r:id="rId60" name="Button 57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42</xdr:row>
                    <xdr:rowOff>0</xdr:rowOff>
                  </from>
                  <to>
                    <xdr:col>19</xdr:col>
                    <xdr:colOff>0</xdr:colOff>
                    <xdr:row>45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2" r:id="rId61" name="Button 58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45</xdr:row>
                    <xdr:rowOff>0</xdr:rowOff>
                  </from>
                  <to>
                    <xdr:col>17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3" r:id="rId62" name="Button 59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45</xdr:row>
                    <xdr:rowOff>0</xdr:rowOff>
                  </from>
                  <to>
                    <xdr:col>18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4" r:id="rId63" name="Button 60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45</xdr:row>
                    <xdr:rowOff>0</xdr:rowOff>
                  </from>
                  <to>
                    <xdr:col>19</xdr:col>
                    <xdr:colOff>0</xdr:colOff>
                    <xdr:row>48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5" r:id="rId64" name="Button 61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48</xdr:row>
                    <xdr:rowOff>0</xdr:rowOff>
                  </from>
                  <to>
                    <xdr:col>17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6" r:id="rId65" name="Button 62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48</xdr:row>
                    <xdr:rowOff>0</xdr:rowOff>
                  </from>
                  <to>
                    <xdr:col>18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7" r:id="rId66" name="Button 63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48</xdr:row>
                    <xdr:rowOff>0</xdr:rowOff>
                  </from>
                  <to>
                    <xdr:col>19</xdr:col>
                    <xdr:colOff>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8" r:id="rId67" name="Button 64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55</xdr:row>
                    <xdr:rowOff>0</xdr:rowOff>
                  </from>
                  <to>
                    <xdr:col>19</xdr:col>
                    <xdr:colOff>0</xdr:colOff>
                    <xdr:row>58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29" r:id="rId68" name="Button 65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58</xdr:row>
                    <xdr:rowOff>0</xdr:rowOff>
                  </from>
                  <to>
                    <xdr:col>19</xdr:col>
                    <xdr:colOff>0</xdr:colOff>
                    <xdr:row>61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0" r:id="rId69" name="Button 66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61</xdr:row>
                    <xdr:rowOff>0</xdr:rowOff>
                  </from>
                  <to>
                    <xdr:col>19</xdr:col>
                    <xdr:colOff>0</xdr:colOff>
                    <xdr:row>64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1" r:id="rId70" name="Button 67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66</xdr:row>
                    <xdr:rowOff>0</xdr:rowOff>
                  </from>
                  <to>
                    <xdr:col>17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2" r:id="rId71" name="Button 68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66</xdr:row>
                    <xdr:rowOff>0</xdr:rowOff>
                  </from>
                  <to>
                    <xdr:col>18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3" r:id="rId72" name="Button 69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66</xdr:row>
                    <xdr:rowOff>0</xdr:rowOff>
                  </from>
                  <to>
                    <xdr:col>19</xdr:col>
                    <xdr:colOff>0</xdr:colOff>
                    <xdr:row>69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4" r:id="rId73" name="Button 70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69</xdr:row>
                    <xdr:rowOff>0</xdr:rowOff>
                  </from>
                  <to>
                    <xdr:col>17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5" r:id="rId74" name="Button 71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69</xdr:row>
                    <xdr:rowOff>0</xdr:rowOff>
                  </from>
                  <to>
                    <xdr:col>18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6" r:id="rId75" name="Button 72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69</xdr:row>
                    <xdr:rowOff>0</xdr:rowOff>
                  </from>
                  <to>
                    <xdr:col>19</xdr:col>
                    <xdr:colOff>0</xdr:colOff>
                    <xdr:row>72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7" r:id="rId76" name="Button 73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72</xdr:row>
                    <xdr:rowOff>0</xdr:rowOff>
                  </from>
                  <to>
                    <xdr:col>17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8" r:id="rId77" name="Button 74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72</xdr:row>
                    <xdr:rowOff>0</xdr:rowOff>
                  </from>
                  <to>
                    <xdr:col>18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39" r:id="rId78" name="Button 75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72</xdr:row>
                    <xdr:rowOff>0</xdr:rowOff>
                  </from>
                  <to>
                    <xdr:col>19</xdr:col>
                    <xdr:colOff>0</xdr:colOff>
                    <xdr:row>75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0" r:id="rId79" name="Button 76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75</xdr:row>
                    <xdr:rowOff>0</xdr:rowOff>
                  </from>
                  <to>
                    <xdr:col>17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1" r:id="rId80" name="Button 77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75</xdr:row>
                    <xdr:rowOff>0</xdr:rowOff>
                  </from>
                  <to>
                    <xdr:col>18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2" r:id="rId81" name="Button 78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75</xdr:row>
                    <xdr:rowOff>0</xdr:rowOff>
                  </from>
                  <to>
                    <xdr:col>19</xdr:col>
                    <xdr:colOff>0</xdr:colOff>
                    <xdr:row>78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3" r:id="rId82" name="Button 79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82</xdr:row>
                    <xdr:rowOff>9525</xdr:rowOff>
                  </from>
                  <to>
                    <xdr:col>19</xdr:col>
                    <xdr:colOff>0</xdr:colOff>
                    <xdr:row>85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4" r:id="rId83" name="Button 80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85</xdr:row>
                    <xdr:rowOff>9525</xdr:rowOff>
                  </from>
                  <to>
                    <xdr:col>19</xdr:col>
                    <xdr:colOff>0</xdr:colOff>
                    <xdr:row>88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5" r:id="rId84" name="Button 81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88</xdr:row>
                    <xdr:rowOff>9525</xdr:rowOff>
                  </from>
                  <to>
                    <xdr:col>19</xdr:col>
                    <xdr:colOff>0</xdr:colOff>
                    <xdr:row>91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6" r:id="rId85" name="Button 8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93</xdr:row>
                    <xdr:rowOff>0</xdr:rowOff>
                  </from>
                  <to>
                    <xdr:col>18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7" r:id="rId86" name="Button 8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93</xdr:row>
                    <xdr:rowOff>0</xdr:rowOff>
                  </from>
                  <to>
                    <xdr:col>19</xdr:col>
                    <xdr:colOff>0</xdr:colOff>
                    <xdr:row>96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8" r:id="rId87" name="Button 8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96</xdr:row>
                    <xdr:rowOff>0</xdr:rowOff>
                  </from>
                  <to>
                    <xdr:col>17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49" r:id="rId88" name="Button 8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96</xdr:row>
                    <xdr:rowOff>0</xdr:rowOff>
                  </from>
                  <to>
                    <xdr:col>18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0" r:id="rId89" name="Button 8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96</xdr:row>
                    <xdr:rowOff>0</xdr:rowOff>
                  </from>
                  <to>
                    <xdr:col>19</xdr:col>
                    <xdr:colOff>0</xdr:colOff>
                    <xdr:row>99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1" r:id="rId90" name="Button 8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99</xdr:row>
                    <xdr:rowOff>0</xdr:rowOff>
                  </from>
                  <to>
                    <xdr:col>17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2" r:id="rId91" name="Button 8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99</xdr:row>
                    <xdr:rowOff>0</xdr:rowOff>
                  </from>
                  <to>
                    <xdr:col>18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3" r:id="rId92" name="Button 8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99</xdr:row>
                    <xdr:rowOff>0</xdr:rowOff>
                  </from>
                  <to>
                    <xdr:col>19</xdr:col>
                    <xdr:colOff>0</xdr:colOff>
                    <xdr:row>102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4" r:id="rId93" name="Button 9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102</xdr:row>
                    <xdr:rowOff>0</xdr:rowOff>
                  </from>
                  <to>
                    <xdr:col>17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5" r:id="rId94" name="Button 9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102</xdr:row>
                    <xdr:rowOff>0</xdr:rowOff>
                  </from>
                  <to>
                    <xdr:col>18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6" r:id="rId95" name="Button 9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102</xdr:row>
                    <xdr:rowOff>0</xdr:rowOff>
                  </from>
                  <to>
                    <xdr:col>19</xdr:col>
                    <xdr:colOff>0</xdr:colOff>
                    <xdr:row>105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7" r:id="rId96" name="Button 9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109</xdr:row>
                    <xdr:rowOff>9525</xdr:rowOff>
                  </from>
                  <to>
                    <xdr:col>19</xdr:col>
                    <xdr:colOff>0</xdr:colOff>
                    <xdr:row>112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8" r:id="rId97" name="Button 9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112</xdr:row>
                    <xdr:rowOff>9525</xdr:rowOff>
                  </from>
                  <to>
                    <xdr:col>19</xdr:col>
                    <xdr:colOff>0</xdr:colOff>
                    <xdr:row>115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59" r:id="rId98" name="Button 9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115</xdr:row>
                    <xdr:rowOff>9525</xdr:rowOff>
                  </from>
                  <to>
                    <xdr:col>19</xdr:col>
                    <xdr:colOff>0</xdr:colOff>
                    <xdr:row>118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0" r:id="rId99" name="Button 9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120</xdr:row>
                    <xdr:rowOff>0</xdr:rowOff>
                  </from>
                  <to>
                    <xdr:col>17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1" r:id="rId100" name="Button 9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120</xdr:row>
                    <xdr:rowOff>0</xdr:rowOff>
                  </from>
                  <to>
                    <xdr:col>18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2" r:id="rId101" name="Button 9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120</xdr:row>
                    <xdr:rowOff>0</xdr:rowOff>
                  </from>
                  <to>
                    <xdr:col>19</xdr:col>
                    <xdr:colOff>0</xdr:colOff>
                    <xdr:row>123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3" r:id="rId102" name="Button 9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123</xdr:row>
                    <xdr:rowOff>0</xdr:rowOff>
                  </from>
                  <to>
                    <xdr:col>17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4" r:id="rId103" name="Button 10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123</xdr:row>
                    <xdr:rowOff>0</xdr:rowOff>
                  </from>
                  <to>
                    <xdr:col>18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5" r:id="rId104" name="Button 10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123</xdr:row>
                    <xdr:rowOff>0</xdr:rowOff>
                  </from>
                  <to>
                    <xdr:col>19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6" r:id="rId105" name="Button 10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126</xdr:row>
                    <xdr:rowOff>0</xdr:rowOff>
                  </from>
                  <to>
                    <xdr:col>17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7" r:id="rId106" name="Button 10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126</xdr:row>
                    <xdr:rowOff>0</xdr:rowOff>
                  </from>
                  <to>
                    <xdr:col>18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8" r:id="rId107" name="Button 10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126</xdr:row>
                    <xdr:rowOff>0</xdr:rowOff>
                  </from>
                  <to>
                    <xdr:col>19</xdr:col>
                    <xdr:colOff>0</xdr:colOff>
                    <xdr:row>129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69" r:id="rId108" name="Button 10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129</xdr:row>
                    <xdr:rowOff>0</xdr:rowOff>
                  </from>
                  <to>
                    <xdr:col>17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0" r:id="rId109" name="Button 10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129</xdr:row>
                    <xdr:rowOff>0</xdr:rowOff>
                  </from>
                  <to>
                    <xdr:col>18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1" r:id="rId110" name="Button 10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129</xdr:row>
                    <xdr:rowOff>0</xdr:rowOff>
                  </from>
                  <to>
                    <xdr:col>19</xdr:col>
                    <xdr:colOff>0</xdr:colOff>
                    <xdr:row>132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2" r:id="rId111" name="Button 10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136</xdr:row>
                    <xdr:rowOff>9525</xdr:rowOff>
                  </from>
                  <to>
                    <xdr:col>19</xdr:col>
                    <xdr:colOff>0</xdr:colOff>
                    <xdr:row>139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3" r:id="rId112" name="Button 10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139</xdr:row>
                    <xdr:rowOff>9525</xdr:rowOff>
                  </from>
                  <to>
                    <xdr:col>19</xdr:col>
                    <xdr:colOff>0</xdr:colOff>
                    <xdr:row>142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4" r:id="rId113" name="Button 11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142</xdr:row>
                    <xdr:rowOff>9525</xdr:rowOff>
                  </from>
                  <to>
                    <xdr:col>19</xdr:col>
                    <xdr:colOff>0</xdr:colOff>
                    <xdr:row>145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5" r:id="rId114" name="Button 111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147</xdr:row>
                    <xdr:rowOff>0</xdr:rowOff>
                  </from>
                  <to>
                    <xdr:col>17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6" r:id="rId115" name="Button 112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147</xdr:row>
                    <xdr:rowOff>0</xdr:rowOff>
                  </from>
                  <to>
                    <xdr:col>18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7" r:id="rId116" name="Button 113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147</xdr:row>
                    <xdr:rowOff>0</xdr:rowOff>
                  </from>
                  <to>
                    <xdr:col>19</xdr:col>
                    <xdr:colOff>0</xdr:colOff>
                    <xdr:row>150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8" r:id="rId117" name="Button 114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150</xdr:row>
                    <xdr:rowOff>0</xdr:rowOff>
                  </from>
                  <to>
                    <xdr:col>17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79" r:id="rId118" name="Button 115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150</xdr:row>
                    <xdr:rowOff>0</xdr:rowOff>
                  </from>
                  <to>
                    <xdr:col>18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0" r:id="rId119" name="Button 116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150</xdr:row>
                    <xdr:rowOff>0</xdr:rowOff>
                  </from>
                  <to>
                    <xdr:col>19</xdr:col>
                    <xdr:colOff>0</xdr:colOff>
                    <xdr:row>153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1" r:id="rId120" name="Button 117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153</xdr:row>
                    <xdr:rowOff>0</xdr:rowOff>
                  </from>
                  <to>
                    <xdr:col>17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2" r:id="rId121" name="Button 118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153</xdr:row>
                    <xdr:rowOff>0</xdr:rowOff>
                  </from>
                  <to>
                    <xdr:col>18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3" r:id="rId122" name="Button 119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153</xdr:row>
                    <xdr:rowOff>0</xdr:rowOff>
                  </from>
                  <to>
                    <xdr:col>19</xdr:col>
                    <xdr:colOff>0</xdr:colOff>
                    <xdr:row>156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4" r:id="rId123" name="Button 120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156</xdr:row>
                    <xdr:rowOff>0</xdr:rowOff>
                  </from>
                  <to>
                    <xdr:col>17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5" r:id="rId124" name="Button 121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156</xdr:row>
                    <xdr:rowOff>0</xdr:rowOff>
                  </from>
                  <to>
                    <xdr:col>18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6" r:id="rId125" name="Button 122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156</xdr:row>
                    <xdr:rowOff>0</xdr:rowOff>
                  </from>
                  <to>
                    <xdr:col>19</xdr:col>
                    <xdr:colOff>0</xdr:colOff>
                    <xdr:row>159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7" r:id="rId126" name="Button 123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163</xdr:row>
                    <xdr:rowOff>9525</xdr:rowOff>
                  </from>
                  <to>
                    <xdr:col>19</xdr:col>
                    <xdr:colOff>0</xdr:colOff>
                    <xdr:row>166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8" r:id="rId127" name="Button 124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166</xdr:row>
                    <xdr:rowOff>9525</xdr:rowOff>
                  </from>
                  <to>
                    <xdr:col>19</xdr:col>
                    <xdr:colOff>0</xdr:colOff>
                    <xdr:row>169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89" r:id="rId128" name="Button 125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169</xdr:row>
                    <xdr:rowOff>9525</xdr:rowOff>
                  </from>
                  <to>
                    <xdr:col>19</xdr:col>
                    <xdr:colOff>0</xdr:colOff>
                    <xdr:row>172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0" r:id="rId129" name="Button 126">
              <controlPr defaultSize="0" print="0" autoFill="0" autoPict="0" macro="[0]!시트이동_투자전략">
                <anchor moveWithCells="1" sizeWithCells="1">
                  <from>
                    <xdr:col>16</xdr:col>
                    <xdr:colOff>0</xdr:colOff>
                    <xdr:row>174</xdr:row>
                    <xdr:rowOff>0</xdr:rowOff>
                  </from>
                  <to>
                    <xdr:col>17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1" r:id="rId130" name="Button 127">
              <controlPr defaultSize="0" print="0" autoFill="0" autoPict="0" macro="[0]!시트이동_현재가테이블">
                <anchor moveWithCells="1" sizeWithCells="1">
                  <from>
                    <xdr:col>17</xdr:col>
                    <xdr:colOff>0</xdr:colOff>
                    <xdr:row>174</xdr:row>
                    <xdr:rowOff>0</xdr:rowOff>
                  </from>
                  <to>
                    <xdr:col>18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2" r:id="rId131" name="Button 128">
              <controlPr defaultSize="0" print="0" autoFill="0" autoPict="0" macro="[0]!시트이동_종목선정">
                <anchor moveWithCells="1" sizeWithCells="1">
                  <from>
                    <xdr:col>18</xdr:col>
                    <xdr:colOff>0</xdr:colOff>
                    <xdr:row>174</xdr:row>
                    <xdr:rowOff>0</xdr:rowOff>
                  </from>
                  <to>
                    <xdr:col>19</xdr:col>
                    <xdr:colOff>0</xdr:colOff>
                    <xdr:row>177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3" r:id="rId132" name="Button 129">
              <controlPr defaultSize="0" print="0" autoFill="0" autoPict="0" macro="[0]!붙여넣기_1차현재가">
                <anchor moveWithCells="1" sizeWithCells="1">
                  <from>
                    <xdr:col>16</xdr:col>
                    <xdr:colOff>0</xdr:colOff>
                    <xdr:row>177</xdr:row>
                    <xdr:rowOff>0</xdr:rowOff>
                  </from>
                  <to>
                    <xdr:col>17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4" r:id="rId133" name="Button 130">
              <controlPr defaultSize="0" print="0" autoFill="0" autoPict="0" macro="[0]!붙여넣기_2차현재가">
                <anchor moveWithCells="1" sizeWithCells="1">
                  <from>
                    <xdr:col>17</xdr:col>
                    <xdr:colOff>0</xdr:colOff>
                    <xdr:row>177</xdr:row>
                    <xdr:rowOff>0</xdr:rowOff>
                  </from>
                  <to>
                    <xdr:col>18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5" r:id="rId134" name="Button 131">
              <controlPr defaultSize="0" print="0" autoFill="0" autoPict="0" macro="[0]!붙여넣기_3차현재가">
                <anchor moveWithCells="1" sizeWithCells="1">
                  <from>
                    <xdr:col>18</xdr:col>
                    <xdr:colOff>0</xdr:colOff>
                    <xdr:row>177</xdr:row>
                    <xdr:rowOff>0</xdr:rowOff>
                  </from>
                  <to>
                    <xdr:col>19</xdr:col>
                    <xdr:colOff>0</xdr:colOff>
                    <xdr:row>180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6" r:id="rId135" name="Button 132">
              <controlPr defaultSize="0" print="0" autoFill="0" autoPict="0" macro="[0]!초기화_1차현재가">
                <anchor moveWithCells="1" sizeWithCells="1">
                  <from>
                    <xdr:col>16</xdr:col>
                    <xdr:colOff>0</xdr:colOff>
                    <xdr:row>180</xdr:row>
                    <xdr:rowOff>0</xdr:rowOff>
                  </from>
                  <to>
                    <xdr:col>17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7" r:id="rId136" name="Button 133">
              <controlPr defaultSize="0" print="0" autoFill="0" autoPict="0" macro="[0]!초기화_2차현재가">
                <anchor moveWithCells="1" sizeWithCells="1">
                  <from>
                    <xdr:col>17</xdr:col>
                    <xdr:colOff>0</xdr:colOff>
                    <xdr:row>180</xdr:row>
                    <xdr:rowOff>0</xdr:rowOff>
                  </from>
                  <to>
                    <xdr:col>18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8" r:id="rId137" name="Button 134">
              <controlPr defaultSize="0" print="0" autoFill="0" autoPict="0" macro="[0]!초기화_3차현재가">
                <anchor moveWithCells="1" sizeWithCells="1">
                  <from>
                    <xdr:col>18</xdr:col>
                    <xdr:colOff>0</xdr:colOff>
                    <xdr:row>180</xdr:row>
                    <xdr:rowOff>0</xdr:rowOff>
                  </from>
                  <to>
                    <xdr:col>19</xdr:col>
                    <xdr:colOff>0</xdr:colOff>
                    <xdr:row>183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6999" r:id="rId138" name="Button 135">
              <controlPr defaultSize="0" print="0" autoFill="0" autoPict="0" macro="[0]!붙여넣기_4차현재가">
                <anchor moveWithCells="1" sizeWithCells="1">
                  <from>
                    <xdr:col>16</xdr:col>
                    <xdr:colOff>0</xdr:colOff>
                    <xdr:row>183</xdr:row>
                    <xdr:rowOff>0</xdr:rowOff>
                  </from>
                  <to>
                    <xdr:col>17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0" r:id="rId139" name="Button 136">
              <controlPr defaultSize="0" print="0" autoFill="0" autoPict="0" macro="[0]!초기화_4차현재가">
                <anchor moveWithCells="1" sizeWithCells="1">
                  <from>
                    <xdr:col>17</xdr:col>
                    <xdr:colOff>0</xdr:colOff>
                    <xdr:row>183</xdr:row>
                    <xdr:rowOff>0</xdr:rowOff>
                  </from>
                  <to>
                    <xdr:col>18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1" r:id="rId140" name="Button 137">
              <controlPr defaultSize="0" print="0" autoFill="0" autoPict="0" macro="[0]!시트이동_월말결산">
                <anchor moveWithCells="1" sizeWithCells="1">
                  <from>
                    <xdr:col>18</xdr:col>
                    <xdr:colOff>0</xdr:colOff>
                    <xdr:row>183</xdr:row>
                    <xdr:rowOff>0</xdr:rowOff>
                  </from>
                  <to>
                    <xdr:col>19</xdr:col>
                    <xdr:colOff>0</xdr:colOff>
                    <xdr:row>186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2" r:id="rId141" name="Button 138">
              <controlPr defaultSize="0" print="0" autoFill="0" autoPict="0" macro="[0]!셀이동_전일대비상승률Top20">
                <anchor moveWithCells="1" sizeWithCells="1">
                  <from>
                    <xdr:col>18</xdr:col>
                    <xdr:colOff>0</xdr:colOff>
                    <xdr:row>190</xdr:row>
                    <xdr:rowOff>9525</xdr:rowOff>
                  </from>
                  <to>
                    <xdr:col>19</xdr:col>
                    <xdr:colOff>0</xdr:colOff>
                    <xdr:row>193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3" r:id="rId142" name="Button 139">
              <controlPr defaultSize="0" print="0" autoFill="0" autoPict="0" macro="[0]!셀이동_전일대비상승률Bottom20">
                <anchor moveWithCells="1" sizeWithCells="1">
                  <from>
                    <xdr:col>18</xdr:col>
                    <xdr:colOff>0</xdr:colOff>
                    <xdr:row>193</xdr:row>
                    <xdr:rowOff>9525</xdr:rowOff>
                  </from>
                  <to>
                    <xdr:col>19</xdr:col>
                    <xdr:colOff>0</xdr:colOff>
                    <xdr:row>196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04" r:id="rId143" name="Button 140">
              <controlPr defaultSize="0" print="0" autoFill="0" autoPict="0" macro="[0]!셀이동_처음으로">
                <anchor moveWithCells="1" sizeWithCells="1">
                  <from>
                    <xdr:col>16</xdr:col>
                    <xdr:colOff>0</xdr:colOff>
                    <xdr:row>196</xdr:row>
                    <xdr:rowOff>9525</xdr:rowOff>
                  </from>
                  <to>
                    <xdr:col>19</xdr:col>
                    <xdr:colOff>0</xdr:colOff>
                    <xdr:row>199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투자전략(조건부서식초기화)</vt:lpstr>
      <vt:lpstr>투자전략</vt:lpstr>
      <vt:lpstr>현재가테이블</vt:lpstr>
      <vt:lpstr>종목선정</vt:lpstr>
      <vt:lpstr>월말결산</vt:lpstr>
      <vt:lpstr>2021.06.01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JoSihun</dc:creator>
  <cp:lastModifiedBy>JoSihun</cp:lastModifiedBy>
  <dcterms:created xsi:type="dcterms:W3CDTF">2021-04-11T14:11:55Z</dcterms:created>
  <dcterms:modified xsi:type="dcterms:W3CDTF">2021-05-31T15:10:58Z</dcterms:modified>
</cp:coreProperties>
</file>