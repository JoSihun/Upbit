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DB22F4D-4E73-44CC-9464-FA7E69D918B5}" xr6:coauthVersionLast="47" xr6:coauthVersionMax="47" xr10:uidLastSave="{00000000-0000-0000-0000-000000000000}"/>
  <bookViews>
    <workbookView xWindow="-120" yWindow="-120" windowWidth="29040" windowHeight="15840" firstSheet="2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L188" i="27"/>
  <c r="K188" i="27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O180" i="27"/>
  <c r="N180" i="27"/>
  <c r="K180" i="27"/>
  <c r="L180" i="27" s="1"/>
  <c r="I180" i="27"/>
  <c r="H180" i="27"/>
  <c r="F180" i="27"/>
  <c r="E180" i="27"/>
  <c r="O179" i="27"/>
  <c r="O199" i="27" s="1"/>
  <c r="N179" i="27"/>
  <c r="N199" i="27" s="1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K171" i="27"/>
  <c r="L171" i="27" s="1"/>
  <c r="H171" i="27"/>
  <c r="I171" i="27" s="1"/>
  <c r="F171" i="27"/>
  <c r="E171" i="27"/>
  <c r="O170" i="27"/>
  <c r="N170" i="27"/>
  <c r="K170" i="27"/>
  <c r="L170" i="27" s="1"/>
  <c r="L21" i="27" s="1"/>
  <c r="H170" i="27"/>
  <c r="I170" i="27" s="1"/>
  <c r="I21" i="27" s="1"/>
  <c r="F170" i="27"/>
  <c r="F21" i="27" s="1"/>
  <c r="E170" i="27"/>
  <c r="O169" i="27"/>
  <c r="N169" i="27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O167" i="27"/>
  <c r="N167" i="27"/>
  <c r="K167" i="27"/>
  <c r="L167" i="27" s="1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O165" i="27"/>
  <c r="N165" i="27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O163" i="27"/>
  <c r="N163" i="27"/>
  <c r="K163" i="27"/>
  <c r="L163" i="27" s="1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O159" i="27"/>
  <c r="N159" i="27"/>
  <c r="K159" i="27"/>
  <c r="L159" i="27" s="1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O155" i="27"/>
  <c r="N155" i="27"/>
  <c r="K155" i="27"/>
  <c r="L155" i="27" s="1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O152" i="27"/>
  <c r="O172" i="27" s="1"/>
  <c r="N152" i="27"/>
  <c r="N172" i="27" s="1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O142" i="27"/>
  <c r="N142" i="27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O139" i="27"/>
  <c r="N139" i="27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O137" i="27"/>
  <c r="N137" i="27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O135" i="27"/>
  <c r="N135" i="27"/>
  <c r="K135" i="27"/>
  <c r="L135" i="27" s="1"/>
  <c r="H135" i="27"/>
  <c r="I135" i="27" s="1"/>
  <c r="E135" i="27"/>
  <c r="F135" i="27" s="1"/>
  <c r="O134" i="27"/>
  <c r="N134" i="27"/>
  <c r="L134" i="27"/>
  <c r="K134" i="27"/>
  <c r="I134" i="27"/>
  <c r="H134" i="27"/>
  <c r="E134" i="27"/>
  <c r="F134" i="27" s="1"/>
  <c r="O133" i="27"/>
  <c r="N133" i="27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O130" i="27"/>
  <c r="N130" i="27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O128" i="27"/>
  <c r="N128" i="27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O126" i="27"/>
  <c r="N126" i="27"/>
  <c r="K126" i="27"/>
  <c r="L126" i="27" s="1"/>
  <c r="I126" i="27"/>
  <c r="H126" i="27"/>
  <c r="E126" i="27"/>
  <c r="F126" i="27" s="1"/>
  <c r="O125" i="27"/>
  <c r="O145" i="27" s="1"/>
  <c r="N125" i="27"/>
  <c r="N145" i="27" s="1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O105" i="27"/>
  <c r="N105" i="27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O118" i="27" s="1"/>
  <c r="N98" i="27"/>
  <c r="N118" i="27" s="1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O89" i="27"/>
  <c r="N89" i="27"/>
  <c r="L89" i="27"/>
  <c r="K89" i="27"/>
  <c r="I89" i="27"/>
  <c r="H89" i="27"/>
  <c r="E89" i="27"/>
  <c r="F89" i="27" s="1"/>
  <c r="O88" i="27"/>
  <c r="N88" i="27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O82" i="27"/>
  <c r="N82" i="27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O80" i="27"/>
  <c r="N80" i="27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O78" i="27"/>
  <c r="N78" i="27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O76" i="27"/>
  <c r="N76" i="27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O74" i="27"/>
  <c r="N74" i="27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O72" i="27"/>
  <c r="N72" i="27"/>
  <c r="L72" i="27"/>
  <c r="K72" i="27"/>
  <c r="H72" i="27"/>
  <c r="I72" i="27" s="1"/>
  <c r="E72" i="27"/>
  <c r="F72" i="27" s="1"/>
  <c r="O71" i="27"/>
  <c r="O91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E63" i="27"/>
  <c r="F63" i="27" s="1"/>
  <c r="O62" i="27"/>
  <c r="N62" i="27"/>
  <c r="K62" i="27"/>
  <c r="L62" i="27" s="1"/>
  <c r="I62" i="27"/>
  <c r="H62" i="27"/>
  <c r="E62" i="27"/>
  <c r="F62" i="27" s="1"/>
  <c r="O61" i="27"/>
  <c r="N61" i="27"/>
  <c r="L61" i="27"/>
  <c r="K61" i="27"/>
  <c r="H61" i="27"/>
  <c r="I61" i="27" s="1"/>
  <c r="I18" i="27" s="1"/>
  <c r="E61" i="27"/>
  <c r="F61" i="27" s="1"/>
  <c r="F18" i="27" s="1"/>
  <c r="O60" i="27"/>
  <c r="N60" i="27"/>
  <c r="L60" i="27"/>
  <c r="K60" i="27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L58" i="27"/>
  <c r="K58" i="27"/>
  <c r="I58" i="27"/>
  <c r="H58" i="27"/>
  <c r="E58" i="27"/>
  <c r="F58" i="27" s="1"/>
  <c r="O57" i="27"/>
  <c r="N57" i="27"/>
  <c r="L57" i="27"/>
  <c r="K57" i="27"/>
  <c r="H57" i="27"/>
  <c r="I57" i="27" s="1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O53" i="27"/>
  <c r="N53" i="27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O48" i="27"/>
  <c r="N48" i="27"/>
  <c r="L48" i="27"/>
  <c r="K48" i="27"/>
  <c r="I48" i="27"/>
  <c r="H48" i="27"/>
  <c r="E48" i="27"/>
  <c r="F48" i="27" s="1"/>
  <c r="O47" i="27"/>
  <c r="N47" i="27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O45" i="27"/>
  <c r="N45" i="27"/>
  <c r="K45" i="27"/>
  <c r="L45" i="27" s="1"/>
  <c r="H45" i="27"/>
  <c r="I45" i="27" s="1"/>
  <c r="E45" i="27"/>
  <c r="F45" i="27" s="1"/>
  <c r="O44" i="27"/>
  <c r="O64" i="27" s="1"/>
  <c r="N44" i="27"/>
  <c r="N64" i="27" s="1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O19" i="27"/>
  <c r="N19" i="27"/>
  <c r="M19" i="27"/>
  <c r="L19" i="27"/>
  <c r="K19" i="27"/>
  <c r="J19" i="27"/>
  <c r="G19" i="27"/>
  <c r="E19" i="27"/>
  <c r="D19" i="27"/>
  <c r="C19" i="27"/>
  <c r="B19" i="27"/>
  <c r="O18" i="27"/>
  <c r="N18" i="27"/>
  <c r="M18" i="27"/>
  <c r="L18" i="27"/>
  <c r="K18" i="27"/>
  <c r="J18" i="27"/>
  <c r="H18" i="27"/>
  <c r="G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27" l="1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O37" i="27"/>
  <c r="E37" i="27"/>
  <c r="L37" i="27"/>
  <c r="I37" i="27"/>
  <c r="G3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26" l="1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12" i="9"/>
  <c r="K59" i="3"/>
  <c r="K238" i="9"/>
  <c r="E125" i="9"/>
  <c r="L160" i="9"/>
  <c r="H75" i="9"/>
  <c r="C43" i="9"/>
  <c r="L163" i="9"/>
  <c r="H107" i="9"/>
  <c r="O176" i="9"/>
  <c r="N51" i="9"/>
  <c r="N110" i="9"/>
  <c r="N277" i="9"/>
  <c r="I82" i="9"/>
  <c r="K58" i="3"/>
  <c r="N219" i="9"/>
  <c r="H35" i="9"/>
  <c r="H162" i="9"/>
  <c r="K17" i="3"/>
  <c r="I143" i="9"/>
  <c r="F25" i="9"/>
  <c r="N44" i="9"/>
  <c r="O73" i="3"/>
  <c r="O202" i="9"/>
  <c r="H138" i="9"/>
  <c r="F68" i="9"/>
  <c r="O44" i="9"/>
  <c r="N34" i="9"/>
  <c r="H212" i="9"/>
  <c r="L152" i="9"/>
  <c r="N148" i="9"/>
  <c r="F118" i="9"/>
  <c r="H148" i="9"/>
  <c r="C118" i="9"/>
  <c r="O186" i="9"/>
  <c r="F220" i="9"/>
  <c r="N112" i="9"/>
  <c r="F275" i="9"/>
  <c r="N99" i="9"/>
  <c r="K221" i="9"/>
  <c r="L66" i="9"/>
  <c r="I220" i="9"/>
  <c r="C38" i="9"/>
  <c r="N271" i="9"/>
  <c r="E88" i="9"/>
  <c r="I261" i="9"/>
  <c r="H220" i="9"/>
  <c r="L196" i="9"/>
  <c r="I85" i="9"/>
  <c r="E223" i="9"/>
  <c r="E66" i="9"/>
  <c r="F187" i="9"/>
  <c r="L99" i="9"/>
  <c r="N269" i="9"/>
  <c r="F156" i="9"/>
  <c r="F250" i="9"/>
  <c r="C124" i="9"/>
  <c r="O138" i="9"/>
  <c r="E166" i="9"/>
  <c r="O58" i="3"/>
  <c r="O157" i="9"/>
  <c r="I262" i="9"/>
  <c r="I76" i="9"/>
  <c r="H181" i="9"/>
  <c r="I23" i="9"/>
  <c r="H83" i="9"/>
  <c r="O85" i="9"/>
  <c r="O161" i="9"/>
  <c r="E274" i="9"/>
  <c r="O35" i="3"/>
  <c r="N229" i="9"/>
  <c r="L274" i="9"/>
  <c r="H51" i="9"/>
  <c r="L33" i="9"/>
  <c r="N117" i="9"/>
  <c r="N106" i="9"/>
  <c r="H87" i="9"/>
  <c r="E190" i="9"/>
  <c r="K189" i="9"/>
  <c r="N179" i="9"/>
  <c r="F47" i="9"/>
  <c r="C76" i="9"/>
  <c r="H120" i="9"/>
  <c r="I224" i="9"/>
  <c r="I47" i="9"/>
  <c r="L38" i="9"/>
  <c r="K145" i="9"/>
  <c r="E198" i="9"/>
  <c r="E150" i="9"/>
  <c r="H267" i="9"/>
  <c r="F261" i="9"/>
  <c r="N256" i="9"/>
  <c r="N35" i="9"/>
  <c r="I60" i="9"/>
  <c r="F235" i="9"/>
  <c r="C265" i="9"/>
  <c r="F166" i="9"/>
  <c r="K262" i="9"/>
  <c r="I107" i="9"/>
  <c r="O66" i="9"/>
  <c r="K50" i="9"/>
  <c r="O261" i="9"/>
  <c r="I88" i="9"/>
  <c r="O38" i="9"/>
  <c r="K11" i="5"/>
  <c r="H272" i="9"/>
  <c r="C119" i="9"/>
  <c r="I179" i="9"/>
  <c r="I46" i="9"/>
  <c r="H74" i="9"/>
  <c r="K187" i="9"/>
  <c r="K74" i="3"/>
  <c r="L228" i="9"/>
  <c r="C27" i="9"/>
  <c r="K41" i="9"/>
  <c r="C42" i="9"/>
  <c r="K100" i="9"/>
  <c r="E276" i="9"/>
  <c r="O174" i="9"/>
  <c r="C140" i="9"/>
  <c r="K176" i="9"/>
  <c r="I67" i="9"/>
  <c r="N73" i="9"/>
  <c r="H103" i="9"/>
  <c r="O152" i="9"/>
  <c r="H193" i="9"/>
  <c r="H108" i="9"/>
  <c r="F90" i="9"/>
  <c r="O185" i="9"/>
  <c r="C214" i="9"/>
  <c r="E23" i="9"/>
  <c r="C196" i="9"/>
  <c r="I184" i="9"/>
  <c r="E41" i="9"/>
  <c r="C142" i="9"/>
  <c r="H100" i="9"/>
  <c r="E110" i="9"/>
  <c r="H31" i="9"/>
  <c r="O111" i="9"/>
  <c r="C176" i="9"/>
  <c r="L23" i="9"/>
  <c r="O164" i="9"/>
  <c r="K239" i="9"/>
  <c r="E25" i="9"/>
  <c r="E74" i="9"/>
  <c r="N197" i="9"/>
  <c r="F39" i="9"/>
  <c r="I153" i="9"/>
  <c r="I39" i="9"/>
  <c r="I242" i="9"/>
  <c r="H266" i="9"/>
  <c r="E70" i="9"/>
  <c r="G74" i="3"/>
  <c r="C223" i="9"/>
  <c r="L39" i="9"/>
  <c r="G58" i="3"/>
  <c r="I102" i="9"/>
  <c r="F29" i="9"/>
  <c r="I152" i="9"/>
  <c r="L251" i="9"/>
  <c r="C215" i="9"/>
  <c r="C262" i="9"/>
  <c r="O49" i="9"/>
  <c r="O30" i="9"/>
  <c r="C156" i="9"/>
  <c r="F60" i="9"/>
  <c r="N235" i="9"/>
  <c r="F229" i="9"/>
  <c r="K60" i="9"/>
  <c r="O204" i="9"/>
  <c r="E230" i="9"/>
  <c r="K223" i="9"/>
  <c r="L254" i="9"/>
  <c r="F258" i="9"/>
  <c r="N184" i="9"/>
  <c r="I98" i="9"/>
  <c r="O214" i="9"/>
  <c r="O268" i="9"/>
  <c r="F127" i="9"/>
  <c r="K144" i="9"/>
  <c r="F107" i="9"/>
  <c r="E146" i="9"/>
  <c r="O200" i="9"/>
  <c r="F23" i="9"/>
  <c r="E235" i="9"/>
  <c r="C227" i="9"/>
  <c r="K36" i="3"/>
  <c r="L136" i="9"/>
  <c r="O39" i="3"/>
  <c r="L76" i="9"/>
  <c r="O67" i="3"/>
  <c r="I174" i="9"/>
  <c r="L71" i="9"/>
  <c r="N160" i="9"/>
  <c r="H99" i="9"/>
  <c r="C235" i="9"/>
  <c r="N198" i="9"/>
  <c r="K62" i="3"/>
  <c r="C50" i="9"/>
  <c r="L242" i="9"/>
  <c r="C198" i="9"/>
  <c r="H218" i="9"/>
  <c r="H258" i="9"/>
  <c r="E278" i="9"/>
  <c r="F140" i="9"/>
  <c r="C159" i="9"/>
  <c r="I241" i="9"/>
  <c r="F30" i="9"/>
  <c r="F165" i="9"/>
  <c r="F122" i="9"/>
  <c r="E183" i="9"/>
  <c r="K256" i="9"/>
  <c r="E193" i="9"/>
  <c r="E85" i="9"/>
  <c r="G46" i="3"/>
  <c r="K182" i="9"/>
  <c r="L229" i="9"/>
  <c r="F86" i="9"/>
  <c r="N177" i="9"/>
  <c r="L73" i="9"/>
  <c r="O203" i="9"/>
  <c r="N217" i="9"/>
  <c r="O76" i="9"/>
  <c r="O269" i="9"/>
  <c r="N86" i="9"/>
  <c r="E250" i="9"/>
  <c r="K186" i="9"/>
  <c r="N109" i="9"/>
  <c r="I71" i="9"/>
  <c r="H229" i="9"/>
  <c r="H124" i="9"/>
  <c r="K108" i="9"/>
  <c r="C162" i="9"/>
  <c r="I219" i="9"/>
  <c r="K218" i="9"/>
  <c r="K143" i="9"/>
  <c r="H123" i="9"/>
  <c r="E83" i="9"/>
  <c r="L191" i="9"/>
  <c r="F265" i="9"/>
  <c r="H47" i="9"/>
  <c r="L70" i="9"/>
  <c r="I87" i="9"/>
  <c r="L189" i="9"/>
  <c r="C62" i="9"/>
  <c r="H38" i="9"/>
  <c r="E154" i="9"/>
  <c r="K125" i="9"/>
  <c r="F78" i="9"/>
  <c r="I22" i="9"/>
  <c r="I62" i="9"/>
  <c r="I256" i="9"/>
  <c r="N72" i="9"/>
  <c r="K33" i="9"/>
  <c r="F51" i="9"/>
  <c r="N202" i="9"/>
  <c r="H204" i="9"/>
  <c r="O280" i="9"/>
  <c r="C84" i="9"/>
  <c r="I124" i="9"/>
  <c r="O109" i="9"/>
  <c r="E237" i="9"/>
  <c r="F45" i="9"/>
  <c r="O124" i="9"/>
  <c r="L179" i="9"/>
  <c r="I240" i="9"/>
  <c r="I216" i="9"/>
  <c r="F48" i="9"/>
  <c r="L52" i="9"/>
  <c r="C202" i="9"/>
  <c r="N139" i="9"/>
  <c r="F157" i="9"/>
  <c r="C70" i="9"/>
  <c r="H157" i="9"/>
  <c r="L218" i="9"/>
  <c r="N241" i="9"/>
  <c r="O50" i="9"/>
  <c r="O147" i="9"/>
  <c r="H271" i="9"/>
  <c r="E114" i="9"/>
  <c r="H50" i="9"/>
  <c r="E27" i="9"/>
  <c r="H62" i="9"/>
  <c r="H263" i="9"/>
  <c r="E144" i="9"/>
  <c r="C73" i="9"/>
  <c r="L143" i="9"/>
  <c r="N30" i="9"/>
  <c r="L174" i="9"/>
  <c r="E81" i="9"/>
  <c r="C125" i="9"/>
  <c r="H37" i="9"/>
  <c r="C44" i="9"/>
  <c r="C178" i="9"/>
  <c r="H196" i="9"/>
  <c r="N165" i="9"/>
  <c r="O71" i="9"/>
  <c r="E222" i="9"/>
  <c r="O42" i="3"/>
  <c r="H44" i="9"/>
  <c r="O67" i="9"/>
  <c r="N46" i="9"/>
  <c r="H111" i="9"/>
  <c r="I279" i="9"/>
  <c r="L141" i="9"/>
  <c r="H119" i="9"/>
  <c r="H36" i="9"/>
  <c r="N270" i="9"/>
  <c r="K23" i="3"/>
  <c r="E145" i="9"/>
  <c r="L123" i="9"/>
  <c r="O120" i="9"/>
  <c r="H109" i="9"/>
  <c r="E185" i="9"/>
  <c r="I182" i="9"/>
  <c r="H186" i="9"/>
  <c r="O71" i="3"/>
  <c r="F240" i="9"/>
  <c r="O128" i="9"/>
  <c r="O60" i="9"/>
  <c r="K117" i="9"/>
  <c r="C34" i="9"/>
  <c r="H68" i="9"/>
  <c r="F179" i="9"/>
  <c r="O182" i="9"/>
  <c r="K48" i="3"/>
  <c r="L110" i="9"/>
  <c r="O260" i="9"/>
  <c r="I250" i="9"/>
  <c r="I115" i="9"/>
  <c r="L111" i="9"/>
  <c r="O126" i="9"/>
  <c r="O213" i="9"/>
  <c r="C253" i="9"/>
  <c r="K231" i="9"/>
  <c r="K75" i="9"/>
  <c r="N188" i="9"/>
  <c r="O51" i="9"/>
  <c r="E137" i="9"/>
  <c r="F84" i="9"/>
  <c r="L175" i="9"/>
  <c r="E64" i="9"/>
  <c r="K105" i="9"/>
  <c r="K101" i="9"/>
  <c r="K22" i="5"/>
  <c r="H224" i="9"/>
  <c r="K159" i="9"/>
  <c r="I99" i="9"/>
  <c r="H66" i="9"/>
  <c r="G49" i="3"/>
  <c r="O52" i="9"/>
  <c r="K179" i="9"/>
  <c r="K61" i="3"/>
  <c r="E229" i="9"/>
  <c r="C275" i="9"/>
  <c r="F212" i="9"/>
  <c r="I266" i="9"/>
  <c r="E192" i="9"/>
  <c r="I227" i="9"/>
  <c r="H260" i="9"/>
  <c r="E45" i="9"/>
  <c r="L117" i="9"/>
  <c r="E67" i="9"/>
  <c r="F82" i="9"/>
  <c r="K56" i="3"/>
  <c r="K174" i="9"/>
  <c r="F242" i="9"/>
  <c r="N29" i="9"/>
  <c r="O145" i="9"/>
  <c r="K36" i="9"/>
  <c r="K27" i="9"/>
  <c r="F71" i="9"/>
  <c r="E232" i="9"/>
  <c r="F153" i="9"/>
  <c r="K274" i="9"/>
  <c r="F268" i="9"/>
  <c r="N49" i="9"/>
  <c r="I80" i="9"/>
  <c r="L262" i="9"/>
  <c r="E227" i="9"/>
  <c r="L103" i="9"/>
  <c r="K126" i="9"/>
  <c r="K40" i="9"/>
  <c r="N215" i="9"/>
  <c r="F199" i="9"/>
  <c r="O22" i="9"/>
  <c r="I183" i="9"/>
  <c r="I111" i="9"/>
  <c r="F146" i="9"/>
  <c r="I272" i="9"/>
  <c r="O241" i="9"/>
  <c r="N76" i="9"/>
  <c r="H28" i="9"/>
  <c r="N280" i="9"/>
  <c r="L109" i="9"/>
  <c r="K70" i="9"/>
  <c r="I120" i="9"/>
  <c r="K35" i="3"/>
  <c r="L108" i="9"/>
  <c r="K215" i="9"/>
  <c r="L188" i="9"/>
  <c r="L253" i="9"/>
  <c r="H32" i="9"/>
  <c r="O47" i="3"/>
  <c r="H70" i="9"/>
  <c r="E48" i="9"/>
  <c r="H153" i="9"/>
  <c r="K67" i="3"/>
  <c r="N227" i="9"/>
  <c r="N222" i="9"/>
  <c r="O63" i="9"/>
  <c r="K70" i="3"/>
  <c r="K17" i="5"/>
  <c r="N158" i="9"/>
  <c r="K80" i="9"/>
  <c r="F214" i="9"/>
  <c r="N151" i="9"/>
  <c r="F160" i="9"/>
  <c r="O258" i="9"/>
  <c r="K32" i="3"/>
  <c r="L233" i="9"/>
  <c r="K195" i="9"/>
  <c r="K13" i="3"/>
  <c r="E188" i="9"/>
  <c r="N108" i="9"/>
  <c r="O201" i="9"/>
  <c r="I140" i="9"/>
  <c r="N162" i="9"/>
  <c r="F215" i="9"/>
  <c r="C236" i="9"/>
  <c r="H101" i="9"/>
  <c r="K38" i="9"/>
  <c r="L161" i="9"/>
  <c r="O255" i="9"/>
  <c r="I263" i="9"/>
  <c r="H231" i="9"/>
  <c r="C77" i="9"/>
  <c r="N242" i="9"/>
  <c r="O69" i="3"/>
  <c r="E80" i="9"/>
  <c r="C116" i="9"/>
  <c r="I144" i="9"/>
  <c r="N174" i="9"/>
  <c r="N182" i="9"/>
  <c r="O56" i="3"/>
  <c r="F251" i="9"/>
  <c r="C226" i="9"/>
  <c r="H152" i="9"/>
  <c r="N239" i="9"/>
  <c r="O259" i="9"/>
  <c r="K83" i="9"/>
  <c r="N238" i="9"/>
  <c r="E30" i="9"/>
  <c r="F200" i="9"/>
  <c r="O187" i="9"/>
  <c r="C216" i="9"/>
  <c r="K10" i="5"/>
  <c r="E24" i="9"/>
  <c r="I25" i="9"/>
  <c r="O32" i="9"/>
  <c r="L240" i="9"/>
  <c r="H216" i="9"/>
  <c r="N274" i="9"/>
  <c r="C49" i="9"/>
  <c r="I44" i="9"/>
  <c r="L44" i="9"/>
  <c r="E65" i="9"/>
  <c r="I201" i="9"/>
  <c r="F226" i="9"/>
  <c r="K141" i="9"/>
  <c r="O101" i="9"/>
  <c r="O26" i="9"/>
  <c r="C37" i="9"/>
  <c r="G48" i="3"/>
  <c r="K267" i="9"/>
  <c r="I178" i="9"/>
  <c r="E259" i="9"/>
  <c r="F213" i="9"/>
  <c r="L273" i="9"/>
  <c r="O78" i="9"/>
  <c r="F227" i="9"/>
  <c r="N156" i="9"/>
  <c r="E228" i="9"/>
  <c r="E189" i="9"/>
  <c r="O80" i="9"/>
  <c r="H137" i="9"/>
  <c r="I215" i="9"/>
  <c r="O218" i="9"/>
  <c r="K203" i="9"/>
  <c r="N236" i="9"/>
  <c r="F99" i="9"/>
  <c r="H42" i="9"/>
  <c r="H225" i="9"/>
  <c r="C195" i="9"/>
  <c r="C180" i="9"/>
  <c r="H40" i="9"/>
  <c r="K123" i="9"/>
  <c r="F75" i="9"/>
  <c r="F83" i="9"/>
  <c r="C175" i="9"/>
  <c r="C151" i="9"/>
  <c r="K127" i="9"/>
  <c r="N102" i="9"/>
  <c r="I166" i="9"/>
  <c r="I63" i="9"/>
  <c r="N45" i="9"/>
  <c r="K50" i="3"/>
  <c r="L217" i="9"/>
  <c r="H140" i="9"/>
  <c r="E273" i="9"/>
  <c r="K106" i="9"/>
  <c r="F87" i="9"/>
  <c r="K151" i="9"/>
  <c r="L125" i="9"/>
  <c r="K163" i="9"/>
  <c r="L276" i="9"/>
  <c r="K152" i="9"/>
  <c r="L138" i="9"/>
  <c r="I106" i="9"/>
  <c r="I235" i="9"/>
  <c r="E220" i="9"/>
  <c r="K41" i="3"/>
  <c r="E84" i="9"/>
  <c r="N142" i="9"/>
  <c r="F103" i="9"/>
  <c r="H277" i="9"/>
  <c r="K197" i="9"/>
  <c r="H256" i="9"/>
  <c r="O43" i="3"/>
  <c r="C186" i="9"/>
  <c r="K68" i="3"/>
  <c r="L236" i="9"/>
  <c r="K84" i="9"/>
  <c r="C212" i="9"/>
  <c r="O232" i="9"/>
  <c r="F203" i="9"/>
  <c r="F102" i="9"/>
  <c r="F104" i="9"/>
  <c r="H268" i="9"/>
  <c r="N200" i="9"/>
  <c r="O114" i="9"/>
  <c r="F108" i="9"/>
  <c r="E231" i="9"/>
  <c r="O198" i="9"/>
  <c r="L60" i="9"/>
  <c r="C123" i="9"/>
  <c r="N79" i="9"/>
  <c r="O77" i="9"/>
  <c r="L266" i="9"/>
  <c r="E216" i="9"/>
  <c r="E225" i="9"/>
  <c r="F136" i="9"/>
  <c r="K138" i="9"/>
  <c r="L89" i="9"/>
  <c r="H41" i="9"/>
  <c r="K188" i="9"/>
  <c r="N157" i="9"/>
  <c r="C270" i="9"/>
  <c r="E103" i="9"/>
  <c r="L81" i="9"/>
  <c r="I252" i="9"/>
  <c r="H69" i="9"/>
  <c r="H202" i="9"/>
  <c r="L51" i="9"/>
  <c r="E251" i="9"/>
  <c r="K78" i="9"/>
  <c r="E271" i="9"/>
  <c r="I218" i="9"/>
  <c r="L85" i="9"/>
  <c r="I238" i="9"/>
  <c r="O106" i="9"/>
  <c r="L106" i="9"/>
  <c r="L241" i="9"/>
  <c r="H106" i="9"/>
  <c r="E218" i="9"/>
  <c r="H164" i="9"/>
  <c r="E264" i="9"/>
  <c r="I230" i="9"/>
  <c r="H142" i="9"/>
  <c r="O72" i="3"/>
  <c r="L258" i="9"/>
  <c r="H160" i="9"/>
  <c r="O212" i="9"/>
  <c r="O229" i="9"/>
  <c r="N24" i="9"/>
  <c r="F88" i="9"/>
  <c r="N43" i="9"/>
  <c r="L112" i="9"/>
  <c r="L61" i="9"/>
  <c r="I214" i="9"/>
  <c r="H86" i="9"/>
  <c r="L270" i="9"/>
  <c r="G63" i="3"/>
  <c r="N121" i="9"/>
  <c r="K71" i="9"/>
  <c r="F230" i="9"/>
  <c r="K118" i="9"/>
  <c r="C148" i="9"/>
  <c r="K178" i="9"/>
  <c r="K180" i="9"/>
  <c r="O90" i="9"/>
  <c r="H144" i="9"/>
  <c r="H126" i="9"/>
  <c r="O279" i="9"/>
  <c r="N214" i="9"/>
  <c r="C100" i="9"/>
  <c r="G45" i="3"/>
  <c r="E221" i="9"/>
  <c r="I176" i="9"/>
  <c r="E265" i="9"/>
  <c r="E128" i="9"/>
  <c r="I136" i="9"/>
  <c r="E159" i="9"/>
  <c r="I189" i="9"/>
  <c r="F125" i="9"/>
  <c r="E152" i="9"/>
  <c r="F22" i="9"/>
  <c r="K124" i="9"/>
  <c r="K21" i="5"/>
  <c r="E82" i="9"/>
  <c r="K240" i="9"/>
  <c r="H22" i="9"/>
  <c r="I49" i="9"/>
  <c r="H254" i="9"/>
  <c r="L256" i="9"/>
  <c r="N90" i="9"/>
  <c r="K16" i="5"/>
  <c r="N267" i="9"/>
  <c r="I36" i="9"/>
  <c r="O37" i="9"/>
  <c r="K82" i="9"/>
  <c r="F259" i="9"/>
  <c r="N218" i="9"/>
  <c r="F223" i="9"/>
  <c r="C163" i="9"/>
  <c r="E226" i="9"/>
  <c r="K49" i="9"/>
  <c r="G43" i="3"/>
  <c r="O42" i="9"/>
  <c r="F143" i="9"/>
  <c r="G47" i="3"/>
  <c r="H85" i="9"/>
  <c r="C255" i="9"/>
  <c r="H195" i="9"/>
  <c r="O160" i="9"/>
  <c r="E101" i="9"/>
  <c r="C141" i="9"/>
  <c r="F105" i="9"/>
  <c r="F198" i="9"/>
  <c r="L137" i="9"/>
  <c r="O65" i="3"/>
  <c r="C200" i="9"/>
  <c r="L84" i="9"/>
  <c r="H114" i="9"/>
  <c r="K255" i="9"/>
  <c r="H29" i="9"/>
  <c r="L87" i="9"/>
  <c r="C177" i="9"/>
  <c r="N164" i="9"/>
  <c r="N187" i="9"/>
  <c r="K217" i="9"/>
  <c r="F49" i="9"/>
  <c r="C271" i="9"/>
  <c r="K254" i="9"/>
  <c r="H71" i="9"/>
  <c r="F67" i="9"/>
  <c r="F126" i="9"/>
  <c r="E160" i="9"/>
  <c r="L197" i="9"/>
  <c r="L257" i="9"/>
  <c r="N223" i="9"/>
  <c r="I114" i="9"/>
  <c r="H235" i="9"/>
  <c r="K6" i="3"/>
  <c r="F24" i="9"/>
  <c r="H117" i="9"/>
  <c r="E239" i="9"/>
  <c r="C238" i="9"/>
  <c r="C219" i="9"/>
  <c r="E102" i="9"/>
  <c r="L98" i="9"/>
  <c r="N104" i="9"/>
  <c r="E199" i="9"/>
  <c r="F111" i="9"/>
  <c r="C102" i="9"/>
  <c r="H200" i="9"/>
  <c r="F221" i="9"/>
  <c r="F197" i="9"/>
  <c r="I158" i="9"/>
  <c r="C143" i="9"/>
  <c r="H191" i="9"/>
  <c r="H222" i="9"/>
  <c r="K196" i="9"/>
  <c r="F44" i="9"/>
  <c r="E157" i="9"/>
  <c r="N183" i="9"/>
  <c r="O103" i="9"/>
  <c r="I24" i="9"/>
  <c r="F271" i="9"/>
  <c r="E136" i="9"/>
  <c r="O41" i="3"/>
  <c r="E270" i="9"/>
  <c r="H151" i="9"/>
  <c r="H165" i="9"/>
  <c r="F65" i="9"/>
  <c r="C79" i="9"/>
  <c r="K268" i="9"/>
  <c r="O238" i="9"/>
  <c r="F190" i="9"/>
  <c r="L260" i="9"/>
  <c r="C230" i="9"/>
  <c r="L230" i="9"/>
  <c r="N152" i="9"/>
  <c r="F149" i="9"/>
  <c r="N114" i="9"/>
  <c r="E141" i="9"/>
  <c r="I65" i="9"/>
  <c r="L252" i="9"/>
  <c r="K257" i="9"/>
  <c r="C146" i="9"/>
  <c r="N196" i="9"/>
  <c r="E233" i="9"/>
  <c r="F257" i="9"/>
  <c r="L153" i="9"/>
  <c r="K8" i="3"/>
  <c r="C99" i="9"/>
  <c r="K193" i="9"/>
  <c r="O48" i="3"/>
  <c r="L50" i="9"/>
  <c r="I275" i="9"/>
  <c r="H72" i="9"/>
  <c r="C225" i="9"/>
  <c r="O140" i="9"/>
  <c r="F204" i="9"/>
  <c r="N67" i="9"/>
  <c r="L22" i="9"/>
  <c r="N127" i="9"/>
  <c r="O236" i="9"/>
  <c r="O251" i="9"/>
  <c r="N36" i="9"/>
  <c r="G41" i="3"/>
  <c r="F256" i="9"/>
  <c r="E47" i="9"/>
  <c r="O63" i="3"/>
  <c r="E202" i="9"/>
  <c r="I175" i="9"/>
  <c r="C190" i="9"/>
  <c r="O68" i="3"/>
  <c r="O31" i="9"/>
  <c r="O217" i="9"/>
  <c r="I180" i="9"/>
  <c r="K156" i="9"/>
  <c r="L164" i="9"/>
  <c r="C161" i="9"/>
  <c r="F255" i="9"/>
  <c r="H146" i="9"/>
  <c r="F101" i="9"/>
  <c r="C251" i="9"/>
  <c r="O104" i="9"/>
  <c r="F176" i="9"/>
  <c r="I276" i="9"/>
  <c r="H24" i="9"/>
  <c r="C41" i="9"/>
  <c r="L224" i="9"/>
  <c r="H265" i="9"/>
  <c r="L148" i="9"/>
  <c r="I222" i="9"/>
  <c r="N212" i="9"/>
  <c r="I269" i="9"/>
  <c r="I108" i="9"/>
  <c r="F116" i="9"/>
  <c r="L80" i="9"/>
  <c r="H253" i="9"/>
  <c r="N88" i="9"/>
  <c r="I122" i="9"/>
  <c r="O74" i="9"/>
  <c r="I190" i="9"/>
  <c r="O98" i="9"/>
  <c r="N252" i="9"/>
  <c r="L185" i="9"/>
  <c r="O233" i="9"/>
  <c r="E162" i="9"/>
  <c r="K14" i="5"/>
  <c r="L31" i="9"/>
  <c r="K73" i="3"/>
  <c r="E234" i="9"/>
  <c r="F41" i="9"/>
  <c r="O199" i="9"/>
  <c r="N230" i="9"/>
  <c r="C85" i="9"/>
  <c r="O49" i="3"/>
  <c r="N140" i="9"/>
  <c r="F191" i="9"/>
  <c r="K73" i="9"/>
  <c r="K104" i="9"/>
  <c r="N124" i="9"/>
  <c r="H275" i="9"/>
  <c r="L193" i="9"/>
  <c r="E37" i="9"/>
  <c r="C22" i="9"/>
  <c r="F231" i="9"/>
  <c r="I112" i="9"/>
  <c r="K113" i="9"/>
  <c r="K270" i="9"/>
  <c r="L219" i="9"/>
  <c r="I161" i="9"/>
  <c r="E90" i="9"/>
  <c r="E280" i="9"/>
  <c r="N260" i="9"/>
  <c r="O108" i="9"/>
  <c r="L62" i="9"/>
  <c r="K146" i="9"/>
  <c r="K228" i="9"/>
  <c r="C160" i="9"/>
  <c r="N262" i="9"/>
  <c r="K265" i="9"/>
  <c r="I255" i="9"/>
  <c r="K237" i="9"/>
  <c r="E119" i="9"/>
  <c r="K63" i="3"/>
  <c r="K222" i="9"/>
  <c r="O189" i="9"/>
  <c r="F124" i="9"/>
  <c r="K147" i="9"/>
  <c r="H156" i="9"/>
  <c r="O39" i="9"/>
  <c r="N259" i="9"/>
  <c r="N25" i="9"/>
  <c r="F228" i="9"/>
  <c r="N193" i="9"/>
  <c r="L190" i="9"/>
  <c r="H61" i="9"/>
  <c r="I113" i="9"/>
  <c r="O40" i="9"/>
  <c r="I41" i="9"/>
  <c r="I229" i="9"/>
  <c r="L159" i="9"/>
  <c r="H25" i="9"/>
  <c r="K8" i="5"/>
  <c r="K102" i="9"/>
  <c r="E73" i="9"/>
  <c r="F238" i="9"/>
  <c r="H280" i="9"/>
  <c r="G44" i="3"/>
  <c r="O219" i="9"/>
  <c r="O116" i="9"/>
  <c r="L271" i="9"/>
  <c r="C277" i="9"/>
  <c r="O163" i="9"/>
  <c r="I64" i="9"/>
  <c r="H261" i="9"/>
  <c r="H27" i="9"/>
  <c r="E142" i="9"/>
  <c r="C274" i="9"/>
  <c r="L268" i="9"/>
  <c r="K112" i="9"/>
  <c r="E164" i="9"/>
  <c r="N186" i="9"/>
  <c r="I101" i="9"/>
  <c r="F277" i="9"/>
  <c r="L178" i="9"/>
  <c r="E50" i="9"/>
  <c r="K40" i="3"/>
  <c r="L277" i="9"/>
  <c r="I198" i="9"/>
  <c r="L156" i="9"/>
  <c r="E34" i="9"/>
  <c r="N161" i="9"/>
  <c r="E176" i="9"/>
  <c r="O38" i="3"/>
  <c r="O65" i="9"/>
  <c r="L100" i="9"/>
  <c r="K233" i="9"/>
  <c r="H26" i="9"/>
  <c r="E121" i="9"/>
  <c r="I119" i="9"/>
  <c r="L263" i="9"/>
  <c r="K62" i="9"/>
  <c r="K122" i="9"/>
  <c r="I231" i="9"/>
  <c r="L195" i="9"/>
  <c r="C138" i="9"/>
  <c r="E196" i="9"/>
  <c r="K20" i="3"/>
  <c r="H176" i="9"/>
  <c r="F148" i="9"/>
  <c r="G67" i="3"/>
  <c r="N65" i="9"/>
  <c r="E79" i="9"/>
  <c r="O28" i="9"/>
  <c r="O99" i="9"/>
  <c r="K15" i="3"/>
  <c r="N228" i="9"/>
  <c r="F147" i="9"/>
  <c r="H214" i="9"/>
  <c r="E52" i="9"/>
  <c r="E49" i="9"/>
  <c r="L250" i="9"/>
  <c r="E69" i="9"/>
  <c r="E147" i="9"/>
  <c r="K139" i="9"/>
  <c r="C63" i="9"/>
  <c r="C165" i="9"/>
  <c r="K234" i="9"/>
  <c r="L144" i="9"/>
  <c r="F98" i="9"/>
  <c r="O123" i="9"/>
  <c r="I48" i="9"/>
  <c r="H122" i="9"/>
  <c r="L280" i="9"/>
  <c r="K69" i="9"/>
  <c r="K164" i="9"/>
  <c r="O74" i="3"/>
  <c r="C155" i="9"/>
  <c r="C199" i="9"/>
  <c r="I164" i="9"/>
  <c r="H189" i="9"/>
  <c r="H252" i="9"/>
  <c r="K45" i="9"/>
  <c r="F263" i="9"/>
  <c r="O36" i="9"/>
  <c r="C109" i="9"/>
  <c r="F276" i="9"/>
  <c r="N194" i="9"/>
  <c r="I43" i="9"/>
  <c r="N154" i="9"/>
  <c r="K79" i="9"/>
  <c r="O262" i="9"/>
  <c r="L264" i="9"/>
  <c r="O278" i="9"/>
  <c r="O239" i="9"/>
  <c r="E31" i="9"/>
  <c r="E213" i="9"/>
  <c r="K153" i="9"/>
  <c r="O100" i="9"/>
  <c r="N226" i="9"/>
  <c r="E107" i="9"/>
  <c r="O273" i="9"/>
  <c r="H73" i="9"/>
  <c r="I79" i="9"/>
  <c r="K116" i="9"/>
  <c r="O25" i="9"/>
  <c r="L267" i="9"/>
  <c r="L72" i="9"/>
  <c r="K160" i="9"/>
  <c r="E200" i="9"/>
  <c r="O250" i="9"/>
  <c r="I100" i="9"/>
  <c r="L166" i="9"/>
  <c r="E139" i="9"/>
  <c r="E126" i="9"/>
  <c r="E71" i="9"/>
  <c r="O46" i="9"/>
  <c r="C239" i="9"/>
  <c r="I116" i="9"/>
  <c r="N122" i="9"/>
  <c r="N115" i="9"/>
  <c r="K279" i="9"/>
  <c r="L126" i="9"/>
  <c r="I29" i="9"/>
  <c r="C221" i="9"/>
  <c r="N233" i="9"/>
  <c r="K224" i="9"/>
  <c r="I35" i="9"/>
  <c r="H159" i="9"/>
  <c r="C87" i="9"/>
  <c r="I277" i="9"/>
  <c r="I254" i="9"/>
  <c r="O40" i="3"/>
  <c r="O88" i="9"/>
  <c r="F252" i="9"/>
  <c r="L25" i="9"/>
  <c r="L227" i="9"/>
  <c r="C204" i="9"/>
  <c r="N204" i="9"/>
  <c r="H139" i="9"/>
  <c r="K29" i="9"/>
  <c r="F184" i="9"/>
  <c r="N31" i="9"/>
  <c r="H118" i="9"/>
  <c r="I105" i="9"/>
  <c r="O275" i="9"/>
  <c r="H190" i="9"/>
  <c r="C28" i="9"/>
  <c r="K45" i="3"/>
  <c r="F123" i="9"/>
  <c r="I223" i="9"/>
  <c r="O112" i="9"/>
  <c r="O237" i="9"/>
  <c r="O181" i="9"/>
  <c r="K154" i="9"/>
  <c r="L232" i="9"/>
  <c r="F26" i="9"/>
  <c r="G32" i="3"/>
  <c r="K242" i="9"/>
  <c r="H33" i="9"/>
  <c r="N213" i="9"/>
  <c r="L121" i="9"/>
  <c r="H188" i="9"/>
  <c r="F193" i="9"/>
  <c r="F254" i="9"/>
  <c r="N52" i="9"/>
  <c r="F66" i="9"/>
  <c r="O119" i="9"/>
  <c r="K214" i="9"/>
  <c r="E238" i="9"/>
  <c r="F35" i="9"/>
  <c r="C26" i="9"/>
  <c r="H77" i="9"/>
  <c r="H48" i="9"/>
  <c r="E143" i="9"/>
  <c r="H185" i="9"/>
  <c r="N276" i="9"/>
  <c r="E117" i="9"/>
  <c r="N180" i="9"/>
  <c r="K161" i="9"/>
  <c r="L261" i="9"/>
  <c r="L238" i="9"/>
  <c r="E174" i="9"/>
  <c r="N63" i="9"/>
  <c r="K33" i="3"/>
  <c r="K109" i="9"/>
  <c r="E98" i="9"/>
  <c r="K19" i="5"/>
  <c r="N220" i="9"/>
  <c r="I259" i="9"/>
  <c r="H273" i="9"/>
  <c r="C185" i="9"/>
  <c r="L40" i="9"/>
  <c r="L30" i="9"/>
  <c r="K272" i="9"/>
  <c r="L200" i="9"/>
  <c r="I265" i="9"/>
  <c r="E106" i="9"/>
  <c r="E105" i="9"/>
  <c r="I26" i="9"/>
  <c r="K194" i="9"/>
  <c r="I204" i="9"/>
  <c r="F236" i="9"/>
  <c r="K150" i="9"/>
  <c r="O33" i="3"/>
  <c r="E28" i="9"/>
  <c r="O83" i="9"/>
  <c r="L201" i="9"/>
  <c r="C24" i="9"/>
  <c r="L78" i="9"/>
  <c r="I81" i="9"/>
  <c r="H238" i="9"/>
  <c r="H150" i="9"/>
  <c r="F239" i="9"/>
  <c r="O158" i="9"/>
  <c r="F188" i="9"/>
  <c r="K52" i="9"/>
  <c r="N60" i="9"/>
  <c r="N64" i="9"/>
  <c r="C122" i="9"/>
  <c r="O50" i="3"/>
  <c r="K212" i="9"/>
  <c r="O271" i="9"/>
  <c r="O24" i="9"/>
  <c r="F196" i="9"/>
  <c r="C266" i="9"/>
  <c r="K200" i="9"/>
  <c r="C157" i="9"/>
  <c r="H128" i="9"/>
  <c r="F272" i="9"/>
  <c r="K148" i="9"/>
  <c r="O75" i="9"/>
  <c r="I236" i="9"/>
  <c r="F158" i="9"/>
  <c r="E138" i="9"/>
  <c r="C136" i="9"/>
  <c r="L212" i="9"/>
  <c r="E116" i="9"/>
  <c r="O121" i="9"/>
  <c r="C158" i="9"/>
  <c r="K9" i="3"/>
  <c r="F37" i="9"/>
  <c r="C120" i="9"/>
  <c r="E42" i="9"/>
  <c r="I267" i="9"/>
  <c r="E268" i="9"/>
  <c r="I163" i="9"/>
  <c r="N199" i="9"/>
  <c r="N32" i="9"/>
  <c r="H187" i="9"/>
  <c r="F80" i="9"/>
  <c r="O234" i="9"/>
  <c r="H255" i="9"/>
  <c r="H240" i="9"/>
  <c r="E123" i="9"/>
  <c r="G38" i="3"/>
  <c r="C150" i="9"/>
  <c r="I118" i="9"/>
  <c r="C110" i="9"/>
  <c r="C127" i="9"/>
  <c r="K31" i="9"/>
  <c r="K64" i="3"/>
  <c r="G73" i="3"/>
  <c r="L213" i="9"/>
  <c r="O254" i="9"/>
  <c r="I33" i="9"/>
  <c r="N150" i="9"/>
  <c r="H198" i="9"/>
  <c r="C258" i="9"/>
  <c r="E279" i="9"/>
  <c r="F233" i="9"/>
  <c r="N232" i="9"/>
  <c r="K280" i="9"/>
  <c r="L29" i="9"/>
  <c r="O68" i="9"/>
  <c r="N153" i="9"/>
  <c r="L122" i="9"/>
  <c r="L272" i="9"/>
  <c r="L47" i="9"/>
  <c r="E179" i="9"/>
  <c r="L154" i="9"/>
  <c r="O43" i="9"/>
  <c r="G69" i="3"/>
  <c r="H236" i="9"/>
  <c r="L124" i="9"/>
  <c r="E75" i="9"/>
  <c r="I221" i="9"/>
  <c r="I187" i="9"/>
  <c r="K25" i="5"/>
  <c r="N123" i="9"/>
  <c r="K89" i="9"/>
  <c r="N71" i="9"/>
  <c r="E51" i="9"/>
  <c r="K6" i="5"/>
  <c r="I274" i="9"/>
  <c r="O148" i="9"/>
  <c r="K21" i="3"/>
  <c r="C192" i="9"/>
  <c r="I66" i="9"/>
  <c r="O107" i="9"/>
  <c r="N103" i="9"/>
  <c r="H257" i="9"/>
  <c r="E262" i="9"/>
  <c r="C111" i="9"/>
  <c r="I149" i="9"/>
  <c r="H84" i="9"/>
  <c r="I126" i="9"/>
  <c r="O191" i="9"/>
  <c r="K43" i="3"/>
  <c r="K42" i="9"/>
  <c r="E194" i="9"/>
  <c r="I34" i="9"/>
  <c r="G56" i="3"/>
  <c r="N48" i="9"/>
  <c r="I278" i="9"/>
  <c r="H270" i="9"/>
  <c r="L79" i="9"/>
  <c r="O179" i="9"/>
  <c r="F178" i="9"/>
  <c r="F142" i="9"/>
  <c r="E181" i="9"/>
  <c r="F194" i="9"/>
  <c r="C182" i="9"/>
  <c r="N144" i="9"/>
  <c r="O136" i="9"/>
  <c r="O62" i="9"/>
  <c r="F43" i="9"/>
  <c r="F100" i="9"/>
  <c r="E76" i="9"/>
  <c r="F113" i="9"/>
  <c r="L45" i="9"/>
  <c r="K86" i="9"/>
  <c r="I162" i="9"/>
  <c r="K26" i="9"/>
  <c r="F151" i="9"/>
  <c r="H203" i="9"/>
  <c r="O159" i="9"/>
  <c r="O228" i="9"/>
  <c r="L48" i="9"/>
  <c r="C121" i="9"/>
  <c r="E120" i="9"/>
  <c r="N225" i="9"/>
  <c r="K65" i="9"/>
  <c r="H121" i="9"/>
  <c r="C72" i="9"/>
  <c r="K46" i="9"/>
  <c r="E35" i="9"/>
  <c r="L278" i="9"/>
  <c r="F144" i="9"/>
  <c r="E184" i="9"/>
  <c r="I128" i="9"/>
  <c r="H174" i="9"/>
  <c r="F85" i="9"/>
  <c r="K42" i="3"/>
  <c r="H115" i="9"/>
  <c r="K192" i="9"/>
  <c r="N163" i="9"/>
  <c r="H46" i="9"/>
  <c r="H278" i="9"/>
  <c r="F52" i="9"/>
  <c r="O272" i="9"/>
  <c r="I185" i="9"/>
  <c r="K16" i="3"/>
  <c r="H264" i="9"/>
  <c r="F152" i="9"/>
  <c r="I217" i="9"/>
  <c r="L216" i="9"/>
  <c r="O177" i="9"/>
  <c r="N84" i="9"/>
  <c r="E240" i="9"/>
  <c r="H49" i="9"/>
  <c r="E68" i="9"/>
  <c r="C240" i="9"/>
  <c r="L198" i="9"/>
  <c r="O115" i="9"/>
  <c r="F162" i="9"/>
  <c r="C184" i="9"/>
  <c r="L234" i="9"/>
  <c r="N224" i="9"/>
  <c r="H105" i="9"/>
  <c r="C117" i="9"/>
  <c r="H112" i="9"/>
  <c r="F137" i="9"/>
  <c r="O231" i="9"/>
  <c r="L235" i="9"/>
  <c r="I177" i="9"/>
  <c r="I188" i="9"/>
  <c r="O224" i="9"/>
  <c r="O155" i="9"/>
  <c r="C139" i="9"/>
  <c r="C80" i="9"/>
  <c r="H197" i="9"/>
  <c r="E87" i="9"/>
  <c r="E140" i="9"/>
  <c r="O82" i="9"/>
  <c r="F216" i="9"/>
  <c r="E62" i="9"/>
  <c r="O117" i="9"/>
  <c r="E104" i="9"/>
  <c r="K25" i="9"/>
  <c r="O220" i="9"/>
  <c r="N147" i="9"/>
  <c r="N166" i="9"/>
  <c r="I186" i="9"/>
  <c r="F234" i="9"/>
  <c r="N75" i="9"/>
  <c r="F192" i="9"/>
  <c r="N268" i="9"/>
  <c r="O216" i="9"/>
  <c r="I148" i="9"/>
  <c r="E275" i="9"/>
  <c r="C241" i="9"/>
  <c r="L186" i="9"/>
  <c r="E217" i="9"/>
  <c r="L221" i="9"/>
  <c r="L239" i="9"/>
  <c r="E99" i="9"/>
  <c r="H221" i="9"/>
  <c r="O23" i="9"/>
  <c r="C252" i="9"/>
  <c r="N257" i="9"/>
  <c r="I70" i="9"/>
  <c r="K258" i="9"/>
  <c r="K66" i="9"/>
  <c r="G33" i="3"/>
  <c r="C68" i="9"/>
  <c r="K23" i="5"/>
  <c r="I30" i="9"/>
  <c r="H219" i="9"/>
  <c r="N272" i="9"/>
  <c r="F174" i="9"/>
  <c r="L86" i="9"/>
  <c r="G72" i="3"/>
  <c r="K128" i="9"/>
  <c r="N111" i="9"/>
  <c r="C153" i="9"/>
  <c r="K216" i="9"/>
  <c r="L202" i="9"/>
  <c r="C103" i="9"/>
  <c r="F121" i="9"/>
  <c r="N87" i="9"/>
  <c r="C188" i="9"/>
  <c r="F72" i="9"/>
  <c r="O151" i="9"/>
  <c r="I27" i="9"/>
  <c r="C174" i="9"/>
  <c r="H180" i="9"/>
  <c r="N27" i="9"/>
  <c r="L64" i="9"/>
  <c r="C145" i="9"/>
  <c r="N221" i="9"/>
  <c r="H52" i="9"/>
  <c r="K199" i="9"/>
  <c r="E148" i="9"/>
  <c r="L226" i="9"/>
  <c r="E161" i="9"/>
  <c r="K184" i="9"/>
  <c r="N105" i="9"/>
  <c r="I159" i="9"/>
  <c r="E191" i="9"/>
  <c r="C89" i="9"/>
  <c r="C166" i="9"/>
  <c r="I68" i="9"/>
  <c r="C115" i="9"/>
  <c r="L237" i="9"/>
  <c r="L162" i="9"/>
  <c r="I251" i="9"/>
  <c r="E61" i="9"/>
  <c r="K31" i="3"/>
  <c r="E63" i="9"/>
  <c r="K12" i="5"/>
  <c r="F89" i="9"/>
  <c r="N28" i="9"/>
  <c r="N69" i="9"/>
  <c r="I193" i="9"/>
  <c r="H141" i="9"/>
  <c r="L150" i="9"/>
  <c r="F38" i="9"/>
  <c r="L27" i="9"/>
  <c r="L90" i="9"/>
  <c r="I83" i="9"/>
  <c r="K76" i="9"/>
  <c r="O263" i="9"/>
  <c r="H237" i="9"/>
  <c r="L279" i="9"/>
  <c r="E112" i="9"/>
  <c r="C40" i="9"/>
  <c r="F117" i="9"/>
  <c r="E215" i="9"/>
  <c r="C201" i="9"/>
  <c r="E38" i="9"/>
  <c r="L214" i="9"/>
  <c r="F114" i="9"/>
  <c r="C48" i="9"/>
  <c r="O162" i="9"/>
  <c r="N37" i="9"/>
  <c r="F154" i="9"/>
  <c r="E180" i="9"/>
  <c r="N176" i="9"/>
  <c r="K63" i="9"/>
  <c r="I228" i="9"/>
  <c r="E118" i="9"/>
  <c r="K37" i="9"/>
  <c r="I110" i="9"/>
  <c r="N278" i="9"/>
  <c r="O118" i="9"/>
  <c r="E255" i="9"/>
  <c r="O230" i="9"/>
  <c r="K30" i="9"/>
  <c r="C222" i="9"/>
  <c r="C126" i="9"/>
  <c r="N143" i="9"/>
  <c r="C30" i="9"/>
  <c r="E214" i="9"/>
  <c r="E40" i="9"/>
  <c r="O180" i="9"/>
  <c r="L146" i="9"/>
  <c r="E108" i="9"/>
  <c r="F180" i="9"/>
  <c r="C45" i="9"/>
  <c r="K166" i="9"/>
  <c r="C193" i="9"/>
  <c r="O73" i="9"/>
  <c r="I52" i="9"/>
  <c r="G57" i="3"/>
  <c r="E267" i="9"/>
  <c r="L63" i="9"/>
  <c r="C263" i="9"/>
  <c r="K227" i="9"/>
  <c r="K136" i="9"/>
  <c r="I84" i="9"/>
  <c r="K67" i="9"/>
  <c r="I37" i="9"/>
  <c r="H67" i="9"/>
  <c r="H89" i="9"/>
  <c r="N78" i="9"/>
  <c r="N136" i="9"/>
  <c r="L127" i="9"/>
  <c r="C152" i="9"/>
  <c r="I237" i="9"/>
  <c r="H145" i="9"/>
  <c r="O154" i="9"/>
  <c r="F224" i="9"/>
  <c r="G37" i="3"/>
  <c r="N145" i="9"/>
  <c r="N251" i="9"/>
  <c r="N98" i="9"/>
  <c r="L149" i="9"/>
  <c r="I69" i="9"/>
  <c r="N258" i="9"/>
  <c r="L114" i="9"/>
  <c r="F225" i="9"/>
  <c r="L67" i="9"/>
  <c r="K35" i="9"/>
  <c r="E257" i="9"/>
  <c r="L75" i="9"/>
  <c r="N23" i="9"/>
  <c r="F273" i="9"/>
  <c r="C101" i="9"/>
  <c r="C65" i="9"/>
  <c r="L128" i="9"/>
  <c r="K24" i="9"/>
  <c r="N181" i="9"/>
  <c r="H78" i="9"/>
  <c r="E182" i="9"/>
  <c r="F150" i="9"/>
  <c r="I103" i="9"/>
  <c r="F164" i="9"/>
  <c r="C108" i="9"/>
  <c r="L107" i="9"/>
  <c r="O45" i="3"/>
  <c r="N125" i="9"/>
  <c r="H223" i="9"/>
  <c r="N47" i="9"/>
  <c r="H241" i="9"/>
  <c r="O62" i="3"/>
  <c r="F264" i="9"/>
  <c r="E258" i="9"/>
  <c r="E203" i="9"/>
  <c r="O70" i="9"/>
  <c r="C233" i="9"/>
  <c r="H143" i="9"/>
  <c r="N62" i="9"/>
  <c r="O141" i="9"/>
  <c r="K120" i="9"/>
  <c r="E32" i="9"/>
  <c r="O89" i="9"/>
  <c r="E266" i="9"/>
  <c r="N100" i="9"/>
  <c r="H279" i="9"/>
  <c r="O221" i="9"/>
  <c r="K185" i="9"/>
  <c r="K39" i="3"/>
  <c r="H194" i="9"/>
  <c r="I199" i="9"/>
  <c r="L116" i="9"/>
  <c r="E153" i="9"/>
  <c r="C256" i="9"/>
  <c r="G68" i="3"/>
  <c r="L105" i="9"/>
  <c r="F185" i="9"/>
  <c r="H23" i="9"/>
  <c r="O84" i="9"/>
  <c r="O127" i="9"/>
  <c r="C82" i="9"/>
  <c r="C25" i="9"/>
  <c r="K7" i="5"/>
  <c r="N190" i="9"/>
  <c r="F189" i="9"/>
  <c r="L119" i="9"/>
  <c r="O41" i="9"/>
  <c r="K264" i="9"/>
  <c r="L176" i="9"/>
  <c r="K110" i="9"/>
  <c r="O277" i="9"/>
  <c r="O47" i="9"/>
  <c r="N264" i="9"/>
  <c r="F201" i="9"/>
  <c r="L225" i="9"/>
  <c r="C104" i="9"/>
  <c r="O45" i="9"/>
  <c r="N42" i="9"/>
  <c r="H113" i="9"/>
  <c r="I72" i="9"/>
  <c r="F280" i="9"/>
  <c r="O193" i="9"/>
  <c r="H76" i="9"/>
  <c r="E155" i="9"/>
  <c r="I78" i="9"/>
  <c r="E195" i="9"/>
  <c r="E127" i="9"/>
  <c r="F139" i="9"/>
  <c r="F217" i="9"/>
  <c r="O137" i="9"/>
  <c r="O196" i="9"/>
  <c r="K60" i="3"/>
  <c r="F183" i="9"/>
  <c r="K28" i="9"/>
  <c r="E113" i="9"/>
  <c r="O102" i="9"/>
  <c r="O184" i="9"/>
  <c r="L46" i="9"/>
  <c r="F50" i="9"/>
  <c r="K253" i="9"/>
  <c r="N195" i="9"/>
  <c r="K276" i="9"/>
  <c r="F218" i="9"/>
  <c r="G66" i="3"/>
  <c r="O143" i="9"/>
  <c r="O252" i="9"/>
  <c r="L102" i="9"/>
  <c r="L35" i="9"/>
  <c r="N40" i="9"/>
  <c r="O31" i="3"/>
  <c r="N254" i="9"/>
  <c r="I155" i="9"/>
  <c r="L222" i="9"/>
  <c r="L165" i="9"/>
  <c r="F260" i="9"/>
  <c r="F186" i="9"/>
  <c r="K81" i="9"/>
  <c r="O60" i="3"/>
  <c r="K22" i="3"/>
  <c r="K72" i="9"/>
  <c r="F110" i="9"/>
  <c r="F181" i="9"/>
  <c r="I45" i="9"/>
  <c r="O125" i="9"/>
  <c r="I226" i="9"/>
  <c r="F62" i="9"/>
  <c r="O266" i="9"/>
  <c r="F202" i="9"/>
  <c r="G70" i="3"/>
  <c r="F36" i="9"/>
  <c r="H215" i="9"/>
  <c r="I125" i="9"/>
  <c r="C267" i="9"/>
  <c r="C213" i="9"/>
  <c r="K34" i="3"/>
  <c r="I51" i="9"/>
  <c r="K64" i="9"/>
  <c r="L115" i="9"/>
  <c r="N107" i="9"/>
  <c r="O81" i="9"/>
  <c r="H233" i="9"/>
  <c r="K51" i="9"/>
  <c r="I234" i="9"/>
  <c r="L183" i="9"/>
  <c r="H136" i="9"/>
  <c r="H98" i="9"/>
  <c r="O149" i="9"/>
  <c r="C181" i="9"/>
  <c r="K119" i="9"/>
  <c r="I225" i="9"/>
  <c r="E60" i="9"/>
  <c r="N120" i="9"/>
  <c r="E263" i="9"/>
  <c r="N33" i="9"/>
  <c r="K43" i="9"/>
  <c r="L101" i="9"/>
  <c r="N118" i="9"/>
  <c r="C279" i="9"/>
  <c r="H242" i="9"/>
  <c r="H179" i="9"/>
  <c r="O195" i="9"/>
  <c r="O235" i="9"/>
  <c r="F63" i="9"/>
  <c r="C86" i="9"/>
  <c r="F74" i="9"/>
  <c r="C187" i="9"/>
  <c r="I28" i="9"/>
  <c r="H110" i="9"/>
  <c r="G50" i="3"/>
  <c r="E253" i="9"/>
  <c r="H63" i="9"/>
  <c r="O175" i="9"/>
  <c r="I127" i="9"/>
  <c r="N255" i="9"/>
  <c r="F267" i="9"/>
  <c r="I192" i="9"/>
  <c r="N250" i="9"/>
  <c r="I32" i="9"/>
  <c r="C35" i="9"/>
  <c r="C273" i="9"/>
  <c r="N68" i="9"/>
  <c r="C105" i="9"/>
  <c r="K12" i="3"/>
  <c r="N146" i="9"/>
  <c r="E252" i="9"/>
  <c r="H262" i="9"/>
  <c r="O27" i="9"/>
  <c r="C83" i="9"/>
  <c r="E224" i="9"/>
  <c r="G40" i="3"/>
  <c r="K24" i="5"/>
  <c r="F219" i="9"/>
  <c r="H234" i="9"/>
  <c r="K275" i="9"/>
  <c r="I271" i="9"/>
  <c r="E111" i="9"/>
  <c r="H127" i="9"/>
  <c r="I253" i="9"/>
  <c r="N275" i="9"/>
  <c r="N26" i="9"/>
  <c r="K34" i="9"/>
  <c r="N85" i="9"/>
  <c r="O36" i="3"/>
  <c r="C191" i="9"/>
  <c r="F32" i="9"/>
  <c r="O122" i="9"/>
  <c r="I147" i="9"/>
  <c r="F175" i="9"/>
  <c r="E165" i="9"/>
  <c r="C33" i="9"/>
  <c r="I181" i="9"/>
  <c r="E197" i="9"/>
  <c r="N81" i="9"/>
  <c r="O166" i="9"/>
  <c r="N159" i="9"/>
  <c r="C64" i="9"/>
  <c r="K266" i="9"/>
  <c r="K13" i="5"/>
  <c r="H228" i="9"/>
  <c r="H199" i="9"/>
  <c r="O44" i="3"/>
  <c r="F274" i="9"/>
  <c r="N191" i="9"/>
  <c r="C32" i="9"/>
  <c r="F33" i="9"/>
  <c r="K23" i="9"/>
  <c r="F253" i="9"/>
  <c r="E72" i="9"/>
  <c r="N41" i="9"/>
  <c r="K9" i="5"/>
  <c r="H175" i="9"/>
  <c r="C88" i="9"/>
  <c r="E100" i="9"/>
  <c r="E115" i="9"/>
  <c r="K162" i="9"/>
  <c r="E178" i="9"/>
  <c r="L220" i="9"/>
  <c r="L275" i="9"/>
  <c r="O227" i="9"/>
  <c r="L199" i="9"/>
  <c r="C147" i="9"/>
  <c r="O253" i="9"/>
  <c r="N240" i="9"/>
  <c r="K226" i="9"/>
  <c r="K263" i="9"/>
  <c r="H155" i="9"/>
  <c r="H163" i="9"/>
  <c r="L28" i="9"/>
  <c r="K65" i="3"/>
  <c r="E151" i="9"/>
  <c r="E163" i="9"/>
  <c r="K190" i="9"/>
  <c r="O178" i="9"/>
  <c r="K98" i="9"/>
  <c r="K11" i="3"/>
  <c r="I258" i="9"/>
  <c r="I156" i="9"/>
  <c r="N175" i="9"/>
  <c r="L113" i="9"/>
  <c r="F79" i="9"/>
  <c r="I212" i="9"/>
  <c r="C52" i="9"/>
  <c r="N138" i="9"/>
  <c r="K90" i="9"/>
  <c r="N253" i="9"/>
  <c r="C71" i="9"/>
  <c r="H259" i="9"/>
  <c r="G31" i="3"/>
  <c r="K75" i="3"/>
  <c r="I138" i="9"/>
  <c r="E201" i="9"/>
  <c r="O240" i="9"/>
  <c r="C69" i="9"/>
  <c r="F34" i="9"/>
  <c r="E187" i="9"/>
  <c r="O267" i="9"/>
  <c r="L36" i="9"/>
  <c r="K155" i="9"/>
  <c r="F120" i="9"/>
  <c r="O156" i="9"/>
  <c r="E177" i="9"/>
  <c r="H161" i="9"/>
  <c r="L187" i="9"/>
  <c r="K260" i="9"/>
  <c r="H158" i="9"/>
  <c r="H192" i="9"/>
  <c r="L192" i="9"/>
  <c r="H226" i="9"/>
  <c r="O190" i="9"/>
  <c r="E149" i="9"/>
  <c r="E158" i="9"/>
  <c r="L177" i="9"/>
  <c r="C36" i="9"/>
  <c r="F155" i="9"/>
  <c r="I137" i="9"/>
  <c r="H39" i="9"/>
  <c r="F266" i="9"/>
  <c r="C75" i="9"/>
  <c r="G36" i="3"/>
  <c r="F109" i="9"/>
  <c r="L151" i="9"/>
  <c r="K183" i="9"/>
  <c r="G60" i="3"/>
  <c r="I38" i="9"/>
  <c r="C107" i="9"/>
  <c r="I260" i="9"/>
  <c r="H102" i="9"/>
  <c r="C220" i="9"/>
  <c r="K47" i="9"/>
  <c r="C179" i="9"/>
  <c r="F119" i="9"/>
  <c r="L68" i="9"/>
  <c r="I31" i="9"/>
  <c r="C276" i="9"/>
  <c r="I264" i="9"/>
  <c r="F237" i="9"/>
  <c r="E260" i="9"/>
  <c r="K37" i="3"/>
  <c r="K252" i="9"/>
  <c r="K251" i="9"/>
  <c r="O29" i="9"/>
  <c r="C60" i="9"/>
  <c r="O79" i="9"/>
  <c r="K74" i="9"/>
  <c r="K71" i="3"/>
  <c r="I213" i="9"/>
  <c r="K204" i="9"/>
  <c r="L158" i="9"/>
  <c r="I123" i="9"/>
  <c r="O72" i="9"/>
  <c r="O192" i="9"/>
  <c r="O57" i="3"/>
  <c r="I109" i="9"/>
  <c r="O188" i="9"/>
  <c r="L140" i="9"/>
  <c r="K18" i="5"/>
  <c r="L42" i="9"/>
  <c r="I202" i="9"/>
  <c r="O257" i="9"/>
  <c r="H274" i="9"/>
  <c r="I233" i="9"/>
  <c r="N155" i="9"/>
  <c r="H80" i="9"/>
  <c r="I200" i="9"/>
  <c r="E277" i="9"/>
  <c r="K103" i="9"/>
  <c r="I77" i="9"/>
  <c r="I117" i="9"/>
  <c r="H64" i="9"/>
  <c r="I121" i="9"/>
  <c r="K44" i="9"/>
  <c r="C114" i="9"/>
  <c r="N201" i="9"/>
  <c r="K261" i="9"/>
  <c r="K165" i="9"/>
  <c r="G75" i="3"/>
  <c r="C224" i="9"/>
  <c r="F112" i="9"/>
  <c r="C113" i="9"/>
  <c r="N89" i="9"/>
  <c r="K77" i="9"/>
  <c r="C128" i="9"/>
  <c r="I191" i="9"/>
  <c r="C189" i="9"/>
  <c r="C46" i="9"/>
  <c r="F138" i="9"/>
  <c r="H116" i="9"/>
  <c r="L34" i="9"/>
  <c r="I197" i="9"/>
  <c r="F40" i="9"/>
  <c r="I86" i="9"/>
  <c r="N234" i="9"/>
  <c r="C23" i="9"/>
  <c r="C29" i="9"/>
  <c r="K85" i="9"/>
  <c r="L269" i="9"/>
  <c r="C144" i="9"/>
  <c r="N266" i="9"/>
  <c r="O226" i="9"/>
  <c r="K7" i="3"/>
  <c r="G62" i="3"/>
  <c r="K114" i="9"/>
  <c r="K46" i="3"/>
  <c r="K24" i="3"/>
  <c r="H183" i="9"/>
  <c r="C61" i="9"/>
  <c r="C217" i="9"/>
  <c r="K158" i="9"/>
  <c r="K235" i="9"/>
  <c r="O75" i="3"/>
  <c r="K278" i="9"/>
  <c r="K259" i="9"/>
  <c r="K88" i="9"/>
  <c r="H177" i="9"/>
  <c r="O153" i="9"/>
  <c r="C229" i="9"/>
  <c r="C183" i="9"/>
  <c r="F241" i="9"/>
  <c r="K229" i="9"/>
  <c r="O87" i="9"/>
  <c r="C264" i="9"/>
  <c r="N273" i="9"/>
  <c r="K241" i="9"/>
  <c r="I61" i="9"/>
  <c r="G64" i="3"/>
  <c r="E78" i="9"/>
  <c r="I75" i="9"/>
  <c r="F61" i="9"/>
  <c r="L37" i="9"/>
  <c r="H182" i="9"/>
  <c r="G65" i="3"/>
  <c r="O70" i="3"/>
  <c r="N77" i="9"/>
  <c r="H30" i="9"/>
  <c r="I104" i="9"/>
  <c r="F28" i="9"/>
  <c r="I40" i="9"/>
  <c r="L120" i="9"/>
  <c r="C31" i="9"/>
  <c r="H60" i="9"/>
  <c r="N203" i="9"/>
  <c r="E26" i="9"/>
  <c r="L65" i="9"/>
  <c r="L77" i="9"/>
  <c r="L104" i="9"/>
  <c r="O197" i="9"/>
  <c r="O64" i="3"/>
  <c r="I146" i="9"/>
  <c r="N192" i="9"/>
  <c r="H250" i="9"/>
  <c r="L69" i="9"/>
  <c r="I89" i="9"/>
  <c r="K175" i="9"/>
  <c r="O183" i="9"/>
  <c r="F145" i="9"/>
  <c r="I268" i="9"/>
  <c r="N113" i="9"/>
  <c r="O276" i="9"/>
  <c r="L142" i="9"/>
  <c r="L49" i="9"/>
  <c r="L223" i="9"/>
  <c r="K49" i="3"/>
  <c r="F46" i="9"/>
  <c r="H45" i="9"/>
  <c r="L74" i="9"/>
  <c r="C47" i="9"/>
  <c r="I42" i="9"/>
  <c r="H147" i="9"/>
  <c r="G71" i="3"/>
  <c r="K230" i="9"/>
  <c r="E254" i="9"/>
  <c r="F278" i="9"/>
  <c r="N237" i="9"/>
  <c r="K48" i="9"/>
  <c r="N261" i="9"/>
  <c r="O146" i="9"/>
  <c r="L181" i="9"/>
  <c r="E109" i="9"/>
  <c r="O61" i="9"/>
  <c r="N265" i="9"/>
  <c r="C280" i="9"/>
  <c r="K47" i="3"/>
  <c r="G39" i="3"/>
  <c r="L155" i="9"/>
  <c r="I139" i="9"/>
  <c r="E261" i="9"/>
  <c r="C66" i="9"/>
  <c r="O264" i="9"/>
  <c r="N39" i="9"/>
  <c r="I160" i="9"/>
  <c r="F42" i="9"/>
  <c r="F106" i="9"/>
  <c r="L194" i="9"/>
  <c r="I90" i="9"/>
  <c r="K202" i="9"/>
  <c r="I50" i="9"/>
  <c r="F195" i="9"/>
  <c r="C218" i="9"/>
  <c r="F159" i="9"/>
  <c r="E122" i="9"/>
  <c r="I165" i="9"/>
  <c r="H82" i="9"/>
  <c r="K191" i="9"/>
  <c r="K25" i="3"/>
  <c r="C67" i="9"/>
  <c r="F232" i="9"/>
  <c r="O37" i="3"/>
  <c r="I141" i="9"/>
  <c r="E43" i="9"/>
  <c r="O61" i="3"/>
  <c r="K115" i="9"/>
  <c r="L259" i="9"/>
  <c r="G34" i="3"/>
  <c r="C39" i="9"/>
  <c r="O33" i="9"/>
  <c r="N231" i="9"/>
  <c r="G61" i="3"/>
  <c r="F76" i="9"/>
  <c r="G35" i="3"/>
  <c r="O242" i="9"/>
  <c r="K269" i="9"/>
  <c r="H104" i="9"/>
  <c r="K87" i="9"/>
  <c r="H125" i="9"/>
  <c r="F31" i="9"/>
  <c r="H154" i="9"/>
  <c r="F222" i="9"/>
  <c r="E124" i="9"/>
  <c r="O223" i="9"/>
  <c r="I150" i="9"/>
  <c r="C231" i="9"/>
  <c r="L32" i="9"/>
  <c r="N66" i="9"/>
  <c r="E77" i="9"/>
  <c r="K72" i="3"/>
  <c r="C260" i="9"/>
  <c r="N38" i="9"/>
  <c r="N74" i="9"/>
  <c r="N80" i="9"/>
  <c r="F182" i="9"/>
  <c r="I73" i="9"/>
  <c r="N22" i="9"/>
  <c r="K213" i="9"/>
  <c r="O86" i="9"/>
  <c r="N128" i="9"/>
  <c r="E236" i="9"/>
  <c r="L147" i="9"/>
  <c r="H269" i="9"/>
  <c r="H184" i="9"/>
  <c r="O46" i="3"/>
  <c r="C203" i="9"/>
  <c r="E256" i="9"/>
  <c r="F279" i="9"/>
  <c r="K277" i="9"/>
  <c r="L24" i="9"/>
  <c r="N149" i="9"/>
  <c r="K57" i="3"/>
  <c r="H34" i="9"/>
  <c r="E156" i="9"/>
  <c r="N178" i="9"/>
  <c r="C81" i="9"/>
  <c r="F269" i="9"/>
  <c r="K22" i="9"/>
  <c r="H90" i="9"/>
  <c r="K201" i="9"/>
  <c r="K236" i="9"/>
  <c r="K68" i="9"/>
  <c r="K18" i="3"/>
  <c r="F270" i="9"/>
  <c r="E29" i="9"/>
  <c r="I145" i="9"/>
  <c r="C112" i="9"/>
  <c r="G59" i="3"/>
  <c r="K157" i="9"/>
  <c r="L82" i="9"/>
  <c r="E204" i="9"/>
  <c r="K225" i="9"/>
  <c r="H276" i="9"/>
  <c r="G42" i="3"/>
  <c r="C228" i="9"/>
  <c r="C74" i="9"/>
  <c r="L88" i="9"/>
  <c r="L204" i="9"/>
  <c r="L157" i="9"/>
  <c r="L83" i="9"/>
  <c r="H217" i="9"/>
  <c r="C98" i="9"/>
  <c r="K181" i="9"/>
  <c r="I157" i="9"/>
  <c r="H232" i="9"/>
  <c r="C154" i="9"/>
  <c r="O150" i="9"/>
  <c r="K20" i="5"/>
  <c r="C149" i="9"/>
  <c r="N101" i="9"/>
  <c r="C237" i="9"/>
  <c r="H65" i="9"/>
  <c r="L118" i="9"/>
  <c r="E36" i="9"/>
  <c r="I195" i="9"/>
  <c r="O110" i="9"/>
  <c r="O144" i="9"/>
  <c r="L139" i="9"/>
  <c r="O194" i="9"/>
  <c r="I280" i="9"/>
  <c r="K142" i="9"/>
  <c r="H213" i="9"/>
  <c r="C272" i="9"/>
  <c r="O64" i="9"/>
  <c r="E241" i="9"/>
  <c r="N185" i="9"/>
  <c r="F64" i="9"/>
  <c r="C106" i="9"/>
  <c r="O48" i="9"/>
  <c r="I74" i="9"/>
  <c r="F69" i="9"/>
  <c r="K19" i="3"/>
  <c r="K149" i="9"/>
  <c r="K15" i="5"/>
  <c r="E269" i="9"/>
  <c r="C78" i="9"/>
  <c r="K220" i="9"/>
  <c r="N70" i="9"/>
  <c r="C259" i="9"/>
  <c r="L26" i="9"/>
  <c r="H149" i="9"/>
  <c r="E46" i="9"/>
  <c r="C137" i="9"/>
  <c r="H166" i="9"/>
  <c r="E272" i="9"/>
  <c r="L184" i="9"/>
  <c r="K38" i="3"/>
  <c r="O34" i="3"/>
  <c r="C232" i="9"/>
  <c r="K177" i="9"/>
  <c r="H79" i="9"/>
  <c r="E22" i="9"/>
  <c r="F27" i="9"/>
  <c r="F161" i="9"/>
  <c r="C254" i="9"/>
  <c r="I196" i="9"/>
  <c r="N263" i="9"/>
  <c r="O225" i="9"/>
  <c r="K140" i="9"/>
  <c r="H81" i="9"/>
  <c r="H88" i="9"/>
  <c r="K137" i="9"/>
  <c r="N50" i="9"/>
  <c r="H201" i="9"/>
  <c r="N141" i="9"/>
  <c r="O165" i="9"/>
  <c r="H43" i="9"/>
  <c r="E33" i="9"/>
  <c r="K271" i="9"/>
  <c r="E89" i="9"/>
  <c r="E186" i="9"/>
  <c r="C90" i="9"/>
  <c r="K250" i="9"/>
  <c r="F141" i="9"/>
  <c r="L265" i="9"/>
  <c r="C261" i="9"/>
  <c r="C268" i="9"/>
  <c r="N83" i="9"/>
  <c r="N61" i="9"/>
  <c r="L182" i="9"/>
  <c r="O35" i="9"/>
  <c r="F177" i="9"/>
  <c r="K32" i="9"/>
  <c r="L215" i="9"/>
  <c r="K273" i="9"/>
  <c r="I257" i="9"/>
  <c r="O215" i="9"/>
  <c r="C51" i="9"/>
  <c r="L255" i="9"/>
  <c r="O222" i="9"/>
  <c r="I239" i="9"/>
  <c r="N279" i="9"/>
  <c r="O69" i="9"/>
  <c r="C269" i="9"/>
  <c r="L203" i="9"/>
  <c r="H230" i="9"/>
  <c r="K232" i="9"/>
  <c r="E39" i="9"/>
  <c r="K61" i="9"/>
  <c r="C197" i="9"/>
  <c r="K99" i="9"/>
  <c r="K44" i="3"/>
  <c r="I142" i="9"/>
  <c r="I270" i="9"/>
  <c r="C278" i="9"/>
  <c r="C257" i="9"/>
  <c r="O105" i="9"/>
  <c r="K39" i="9"/>
  <c r="O66" i="3"/>
  <c r="L43" i="9"/>
  <c r="H227" i="9"/>
  <c r="L180" i="9"/>
  <c r="C242" i="9"/>
  <c r="O256" i="9"/>
  <c r="E242" i="9"/>
  <c r="K219" i="9"/>
  <c r="I151" i="9"/>
  <c r="I194" i="9"/>
  <c r="F115" i="9"/>
  <c r="H239" i="9"/>
  <c r="L231" i="9"/>
  <c r="O270" i="9"/>
  <c r="N189" i="9"/>
  <c r="N82" i="9"/>
  <c r="K66" i="3"/>
  <c r="O59" i="3"/>
  <c r="O32" i="3"/>
  <c r="C250" i="9"/>
  <c r="F262" i="9"/>
  <c r="I154" i="9"/>
  <c r="O142" i="9"/>
  <c r="O139" i="9"/>
  <c r="E86" i="9"/>
  <c r="E44" i="9"/>
  <c r="O274" i="9"/>
  <c r="K14" i="3"/>
  <c r="F128" i="9"/>
  <c r="E175" i="9"/>
  <c r="C164" i="9"/>
  <c r="I203" i="9"/>
  <c r="L41" i="9"/>
  <c r="I273" i="9"/>
  <c r="F73" i="9"/>
  <c r="N137" i="9"/>
  <c r="C194" i="9"/>
  <c r="E219" i="9"/>
  <c r="N119" i="9"/>
  <c r="C234" i="9"/>
  <c r="I232" i="9"/>
  <c r="H178" i="9"/>
  <c r="N116" i="9"/>
  <c r="K107" i="9"/>
  <c r="N216" i="9"/>
  <c r="F163" i="9"/>
  <c r="K198" i="9"/>
  <c r="F77" i="9"/>
  <c r="K111" i="9"/>
  <c r="N126" i="9"/>
  <c r="O113" i="9"/>
  <c r="F81" i="9"/>
  <c r="K10" i="3"/>
  <c r="L145" i="9"/>
  <c r="O265" i="9"/>
  <c r="K69" i="3"/>
  <c r="K121" i="9"/>
  <c r="H251" i="9"/>
  <c r="O34" i="9"/>
  <c r="F70" i="9"/>
  <c r="N69" i="3" l="1"/>
  <c r="M69" i="3"/>
  <c r="L69" i="3"/>
  <c r="M10" i="3"/>
  <c r="L10" i="3"/>
  <c r="N10" i="3"/>
  <c r="G234" i="9"/>
  <c r="D234" i="9"/>
  <c r="J234" i="9"/>
  <c r="M234" i="9"/>
  <c r="J194" i="9"/>
  <c r="M194" i="9"/>
  <c r="D194" i="9"/>
  <c r="G194" i="9"/>
  <c r="D164" i="9"/>
  <c r="M164" i="9"/>
  <c r="G164" i="9"/>
  <c r="J164" i="9"/>
  <c r="M14" i="3"/>
  <c r="L14" i="3"/>
  <c r="N14" i="3"/>
  <c r="G250" i="9"/>
  <c r="C282" i="9"/>
  <c r="J250" i="9"/>
  <c r="M250" i="9"/>
  <c r="D250" i="9"/>
  <c r="R32" i="3"/>
  <c r="P32" i="3"/>
  <c r="Q32" i="3"/>
  <c r="R59" i="3"/>
  <c r="P59" i="3"/>
  <c r="Q59" i="3"/>
  <c r="L66" i="3"/>
  <c r="M66" i="3"/>
  <c r="N66" i="3"/>
  <c r="G242" i="9"/>
  <c r="D242" i="9"/>
  <c r="J242" i="9"/>
  <c r="M242" i="9"/>
  <c r="R66" i="3"/>
  <c r="Q66" i="3"/>
  <c r="P66" i="3"/>
  <c r="D257" i="9"/>
  <c r="J257" i="9"/>
  <c r="M257" i="9"/>
  <c r="G257" i="9"/>
  <c r="D278" i="9"/>
  <c r="J278" i="9"/>
  <c r="G278" i="9"/>
  <c r="M278" i="9"/>
  <c r="N44" i="3"/>
  <c r="L44" i="3"/>
  <c r="M44" i="3"/>
  <c r="G197" i="9"/>
  <c r="M197" i="9"/>
  <c r="J197" i="9"/>
  <c r="D197" i="9"/>
  <c r="G269" i="9"/>
  <c r="D269" i="9"/>
  <c r="J269" i="9"/>
  <c r="M269" i="9"/>
  <c r="M51" i="9"/>
  <c r="G51" i="9"/>
  <c r="J51" i="9"/>
  <c r="D51" i="9"/>
  <c r="D268" i="9"/>
  <c r="J268" i="9"/>
  <c r="G268" i="9"/>
  <c r="M268" i="9"/>
  <c r="M261" i="9"/>
  <c r="G261" i="9"/>
  <c r="D261" i="9"/>
  <c r="J261" i="9"/>
  <c r="J90" i="9"/>
  <c r="G90" i="9"/>
  <c r="D90" i="9"/>
  <c r="M90" i="9"/>
  <c r="J254" i="9"/>
  <c r="D254" i="9"/>
  <c r="G254" i="9"/>
  <c r="M254" i="9"/>
  <c r="G232" i="9"/>
  <c r="J232" i="9"/>
  <c r="M232" i="9"/>
  <c r="D232" i="9"/>
  <c r="Q34" i="3"/>
  <c r="R34" i="3"/>
  <c r="P34" i="3"/>
  <c r="M38" i="3"/>
  <c r="L38" i="3"/>
  <c r="N38" i="3"/>
  <c r="G137" i="9"/>
  <c r="J137" i="9"/>
  <c r="M137" i="9"/>
  <c r="D137" i="9"/>
  <c r="G259" i="9"/>
  <c r="M259" i="9"/>
  <c r="D259" i="9"/>
  <c r="J259" i="9"/>
  <c r="D78" i="9"/>
  <c r="M78" i="9"/>
  <c r="J78" i="9"/>
  <c r="G78" i="9"/>
  <c r="M15" i="5"/>
  <c r="L15" i="5"/>
  <c r="N15" i="5"/>
  <c r="N19" i="3"/>
  <c r="L19" i="3"/>
  <c r="M19" i="3"/>
  <c r="M106" i="9"/>
  <c r="G106" i="9"/>
  <c r="J106" i="9"/>
  <c r="D106" i="9"/>
  <c r="D272" i="9"/>
  <c r="G272" i="9"/>
  <c r="J272" i="9"/>
  <c r="M272" i="9"/>
  <c r="G237" i="9"/>
  <c r="D237" i="9"/>
  <c r="J237" i="9"/>
  <c r="M237" i="9"/>
  <c r="D149" i="9"/>
  <c r="J149" i="9"/>
  <c r="G149" i="9"/>
  <c r="M149" i="9"/>
  <c r="M20" i="5"/>
  <c r="L20" i="5"/>
  <c r="N20" i="5"/>
  <c r="G154" i="9"/>
  <c r="D154" i="9"/>
  <c r="J154" i="9"/>
  <c r="M154" i="9"/>
  <c r="D98" i="9"/>
  <c r="J98" i="9"/>
  <c r="G98" i="9"/>
  <c r="C130" i="9"/>
  <c r="M98" i="9"/>
  <c r="J74" i="9"/>
  <c r="G74" i="9"/>
  <c r="D74" i="9"/>
  <c r="M74" i="9"/>
  <c r="G228" i="9"/>
  <c r="M228" i="9"/>
  <c r="J228" i="9"/>
  <c r="D228" i="9"/>
  <c r="J42" i="3"/>
  <c r="H42" i="3"/>
  <c r="I42" i="3"/>
  <c r="J59" i="3"/>
  <c r="H59" i="3"/>
  <c r="I59" i="3"/>
  <c r="J112" i="9"/>
  <c r="M112" i="9"/>
  <c r="G112" i="9"/>
  <c r="D112" i="9"/>
  <c r="M18" i="3"/>
  <c r="N18" i="3"/>
  <c r="L18" i="3"/>
  <c r="M81" i="9"/>
  <c r="G81" i="9"/>
  <c r="D81" i="9"/>
  <c r="J81" i="9"/>
  <c r="L57" i="3"/>
  <c r="M57" i="3"/>
  <c r="N57" i="3"/>
  <c r="M203" i="9"/>
  <c r="G203" i="9"/>
  <c r="D203" i="9"/>
  <c r="J203" i="9"/>
  <c r="R46" i="3"/>
  <c r="Q46" i="3"/>
  <c r="P46" i="3"/>
  <c r="G260" i="9"/>
  <c r="D260" i="9"/>
  <c r="M260" i="9"/>
  <c r="J260" i="9"/>
  <c r="M72" i="3"/>
  <c r="L72" i="3"/>
  <c r="N72" i="3"/>
  <c r="D231" i="9"/>
  <c r="J231" i="9"/>
  <c r="G231" i="9"/>
  <c r="M231" i="9"/>
  <c r="J35" i="3"/>
  <c r="H35" i="3"/>
  <c r="I35" i="3"/>
  <c r="I61" i="3"/>
  <c r="J61" i="3"/>
  <c r="H61" i="3"/>
  <c r="J39" i="9"/>
  <c r="M39" i="9"/>
  <c r="G39" i="9"/>
  <c r="D39" i="9"/>
  <c r="J34" i="3"/>
  <c r="H34" i="3"/>
  <c r="I34" i="3"/>
  <c r="R61" i="3"/>
  <c r="Q61" i="3"/>
  <c r="P61" i="3"/>
  <c r="Q37" i="3"/>
  <c r="R37" i="3"/>
  <c r="P37" i="3"/>
  <c r="G67" i="9"/>
  <c r="M67" i="9"/>
  <c r="D67" i="9"/>
  <c r="J67" i="9"/>
  <c r="M25" i="3"/>
  <c r="L25" i="3"/>
  <c r="N25" i="3"/>
  <c r="G218" i="9"/>
  <c r="D218" i="9"/>
  <c r="M218" i="9"/>
  <c r="J218" i="9"/>
  <c r="G66" i="9"/>
  <c r="J66" i="9"/>
  <c r="D66" i="9"/>
  <c r="M66" i="9"/>
  <c r="J39" i="3"/>
  <c r="I39" i="3"/>
  <c r="H39" i="3"/>
  <c r="N47" i="3"/>
  <c r="M47" i="3"/>
  <c r="L47" i="3"/>
  <c r="J280" i="9"/>
  <c r="G280" i="9"/>
  <c r="M280" i="9"/>
  <c r="D280" i="9"/>
  <c r="J71" i="3"/>
  <c r="I71" i="3"/>
  <c r="H71" i="3"/>
  <c r="M47" i="9"/>
  <c r="J47" i="9"/>
  <c r="D47" i="9"/>
  <c r="G47" i="9"/>
  <c r="M49" i="3"/>
  <c r="N49" i="3"/>
  <c r="L49" i="3"/>
  <c r="R64" i="3"/>
  <c r="Q64" i="3"/>
  <c r="P64" i="3"/>
  <c r="G31" i="9"/>
  <c r="M31" i="9"/>
  <c r="J31" i="9"/>
  <c r="D31" i="9"/>
  <c r="Q70" i="3"/>
  <c r="P70" i="3"/>
  <c r="R70" i="3"/>
  <c r="H65" i="3"/>
  <c r="I65" i="3"/>
  <c r="J65" i="3"/>
  <c r="J64" i="3"/>
  <c r="I64" i="3"/>
  <c r="H64" i="3"/>
  <c r="G264" i="9"/>
  <c r="M264" i="9"/>
  <c r="D264" i="9"/>
  <c r="J264" i="9"/>
  <c r="D183" i="9"/>
  <c r="M183" i="9"/>
  <c r="G183" i="9"/>
  <c r="J183" i="9"/>
  <c r="G229" i="9"/>
  <c r="M229" i="9"/>
  <c r="D229" i="9"/>
  <c r="J229" i="9"/>
  <c r="R75" i="3"/>
  <c r="Q75" i="3"/>
  <c r="P75" i="3"/>
  <c r="J217" i="9"/>
  <c r="M217" i="9"/>
  <c r="G217" i="9"/>
  <c r="D217" i="9"/>
  <c r="D61" i="9"/>
  <c r="J61" i="9"/>
  <c r="G61" i="9"/>
  <c r="M61" i="9"/>
  <c r="M24" i="3"/>
  <c r="L24" i="3"/>
  <c r="N24" i="3"/>
  <c r="M46" i="3"/>
  <c r="N46" i="3"/>
  <c r="L46" i="3"/>
  <c r="H62" i="3"/>
  <c r="J62" i="3"/>
  <c r="I62" i="3"/>
  <c r="N7" i="3"/>
  <c r="L7" i="3"/>
  <c r="M7" i="3"/>
  <c r="J144" i="9"/>
  <c r="G144" i="9"/>
  <c r="D144" i="9"/>
  <c r="M144" i="9"/>
  <c r="J29" i="9"/>
  <c r="M29" i="9"/>
  <c r="G29" i="9"/>
  <c r="D29" i="9"/>
  <c r="M23" i="9"/>
  <c r="G23" i="9"/>
  <c r="J23" i="9"/>
  <c r="D23" i="9"/>
  <c r="J46" i="9"/>
  <c r="D46" i="9"/>
  <c r="M46" i="9"/>
  <c r="G46" i="9"/>
  <c r="M189" i="9"/>
  <c r="J189" i="9"/>
  <c r="G189" i="9"/>
  <c r="D189" i="9"/>
  <c r="D128" i="9"/>
  <c r="J128" i="9"/>
  <c r="G128" i="9"/>
  <c r="M128" i="9"/>
  <c r="M113" i="9"/>
  <c r="G113" i="9"/>
  <c r="D113" i="9"/>
  <c r="J113" i="9"/>
  <c r="G224" i="9"/>
  <c r="D224" i="9"/>
  <c r="J224" i="9"/>
  <c r="M224" i="9"/>
  <c r="I75" i="3"/>
  <c r="J75" i="3"/>
  <c r="H75" i="3"/>
  <c r="G114" i="9"/>
  <c r="M114" i="9"/>
  <c r="J114" i="9"/>
  <c r="D114" i="9"/>
  <c r="N18" i="5"/>
  <c r="M18" i="5"/>
  <c r="L18" i="5"/>
  <c r="R57" i="3"/>
  <c r="Q57" i="3"/>
  <c r="P57" i="3"/>
  <c r="N71" i="3"/>
  <c r="L71" i="3"/>
  <c r="M71" i="3"/>
  <c r="G60" i="9"/>
  <c r="D60" i="9"/>
  <c r="J60" i="9"/>
  <c r="M60" i="9"/>
  <c r="C92" i="9"/>
  <c r="M37" i="3"/>
  <c r="L37" i="3"/>
  <c r="N37" i="3"/>
  <c r="D276" i="9"/>
  <c r="G276" i="9"/>
  <c r="M276" i="9"/>
  <c r="J276" i="9"/>
  <c r="J179" i="9"/>
  <c r="D179" i="9"/>
  <c r="M179" i="9"/>
  <c r="G179" i="9"/>
  <c r="M220" i="9"/>
  <c r="D220" i="9"/>
  <c r="G220" i="9"/>
  <c r="J220" i="9"/>
  <c r="G107" i="9"/>
  <c r="J107" i="9"/>
  <c r="M107" i="9"/>
  <c r="D107" i="9"/>
  <c r="J60" i="3"/>
  <c r="H60" i="3"/>
  <c r="I60" i="3"/>
  <c r="J36" i="3"/>
  <c r="H36" i="3"/>
  <c r="I36" i="3"/>
  <c r="G75" i="9"/>
  <c r="M75" i="9"/>
  <c r="D75" i="9"/>
  <c r="J75" i="9"/>
  <c r="G36" i="9"/>
  <c r="J36" i="9"/>
  <c r="D36" i="9"/>
  <c r="M36" i="9"/>
  <c r="J69" i="9"/>
  <c r="M69" i="9"/>
  <c r="D69" i="9"/>
  <c r="G69" i="9"/>
  <c r="L75" i="3"/>
  <c r="M75" i="3"/>
  <c r="N75" i="3"/>
  <c r="I31" i="3"/>
  <c r="J31" i="3"/>
  <c r="H31" i="3"/>
  <c r="J71" i="9"/>
  <c r="D71" i="9"/>
  <c r="M71" i="9"/>
  <c r="G71" i="9"/>
  <c r="G52" i="9"/>
  <c r="M52" i="9"/>
  <c r="D52" i="9"/>
  <c r="J52" i="9"/>
  <c r="I244" i="9"/>
  <c r="H244" i="9" s="1"/>
  <c r="G10" i="9" s="1"/>
  <c r="L11" i="3"/>
  <c r="M11" i="3"/>
  <c r="N11" i="3"/>
  <c r="M65" i="3"/>
  <c r="N65" i="3"/>
  <c r="L65" i="3"/>
  <c r="J147" i="9"/>
  <c r="D147" i="9"/>
  <c r="M147" i="9"/>
  <c r="G147" i="9"/>
  <c r="G88" i="9"/>
  <c r="M88" i="9"/>
  <c r="J88" i="9"/>
  <c r="D88" i="9"/>
  <c r="L9" i="5"/>
  <c r="N9" i="5"/>
  <c r="M9" i="5"/>
  <c r="D32" i="9"/>
  <c r="M32" i="9"/>
  <c r="G32" i="9"/>
  <c r="J32" i="9"/>
  <c r="P44" i="3"/>
  <c r="Q44" i="3"/>
  <c r="R44" i="3"/>
  <c r="M13" i="5"/>
  <c r="N13" i="5"/>
  <c r="L13" i="5"/>
  <c r="M64" i="9"/>
  <c r="J64" i="9"/>
  <c r="G64" i="9"/>
  <c r="D64" i="9"/>
  <c r="M33" i="9"/>
  <c r="J33" i="9"/>
  <c r="D33" i="9"/>
  <c r="G33" i="9"/>
  <c r="D191" i="9"/>
  <c r="G191" i="9"/>
  <c r="J191" i="9"/>
  <c r="M191" i="9"/>
  <c r="P36" i="3"/>
  <c r="Q36" i="3"/>
  <c r="R36" i="3"/>
  <c r="L24" i="5"/>
  <c r="N24" i="5"/>
  <c r="M24" i="5"/>
  <c r="I40" i="3"/>
  <c r="H40" i="3"/>
  <c r="J40" i="3"/>
  <c r="M83" i="9"/>
  <c r="G83" i="9"/>
  <c r="D83" i="9"/>
  <c r="J83" i="9"/>
  <c r="L12" i="3"/>
  <c r="M12" i="3"/>
  <c r="N12" i="3"/>
  <c r="M105" i="9"/>
  <c r="J105" i="9"/>
  <c r="G105" i="9"/>
  <c r="D105" i="9"/>
  <c r="J273" i="9"/>
  <c r="M273" i="9"/>
  <c r="D273" i="9"/>
  <c r="G273" i="9"/>
  <c r="G35" i="9"/>
  <c r="M35" i="9"/>
  <c r="J35" i="9"/>
  <c r="D35" i="9"/>
  <c r="I50" i="3"/>
  <c r="J50" i="3"/>
  <c r="H50" i="3"/>
  <c r="J187" i="9"/>
  <c r="D187" i="9"/>
  <c r="G187" i="9"/>
  <c r="M187" i="9"/>
  <c r="G86" i="9"/>
  <c r="D86" i="9"/>
  <c r="J86" i="9"/>
  <c r="M86" i="9"/>
  <c r="M279" i="9"/>
  <c r="D279" i="9"/>
  <c r="G279" i="9"/>
  <c r="J279" i="9"/>
  <c r="M181" i="9"/>
  <c r="J181" i="9"/>
  <c r="G181" i="9"/>
  <c r="D181" i="9"/>
  <c r="L34" i="3"/>
  <c r="M34" i="3"/>
  <c r="N34" i="3"/>
  <c r="D213" i="9"/>
  <c r="J213" i="9"/>
  <c r="M213" i="9"/>
  <c r="G213" i="9"/>
  <c r="D267" i="9"/>
  <c r="M267" i="9"/>
  <c r="J267" i="9"/>
  <c r="G267" i="9"/>
  <c r="I70" i="3"/>
  <c r="J70" i="3"/>
  <c r="H70" i="3"/>
  <c r="N22" i="3"/>
  <c r="L22" i="3"/>
  <c r="M22" i="3"/>
  <c r="P60" i="3"/>
  <c r="R60" i="3"/>
  <c r="Q60" i="3"/>
  <c r="Q31" i="3"/>
  <c r="R31" i="3"/>
  <c r="P31" i="3"/>
  <c r="H66" i="3"/>
  <c r="J66" i="3"/>
  <c r="I66" i="3"/>
  <c r="L60" i="3"/>
  <c r="N60" i="3"/>
  <c r="M60" i="3"/>
  <c r="D104" i="9"/>
  <c r="M104" i="9"/>
  <c r="G104" i="9"/>
  <c r="J104" i="9"/>
  <c r="L7" i="5"/>
  <c r="M7" i="5"/>
  <c r="N7" i="5"/>
  <c r="G25" i="9"/>
  <c r="D25" i="9"/>
  <c r="J25" i="9"/>
  <c r="M25" i="9"/>
  <c r="M82" i="9"/>
  <c r="J82" i="9"/>
  <c r="D82" i="9"/>
  <c r="G82" i="9"/>
  <c r="H68" i="3"/>
  <c r="J68" i="3"/>
  <c r="I68" i="3"/>
  <c r="D256" i="9"/>
  <c r="G256" i="9"/>
  <c r="M256" i="9"/>
  <c r="J256" i="9"/>
  <c r="M39" i="3"/>
  <c r="N39" i="3"/>
  <c r="L39" i="3"/>
  <c r="D233" i="9"/>
  <c r="M233" i="9"/>
  <c r="J233" i="9"/>
  <c r="G233" i="9"/>
  <c r="Q62" i="3"/>
  <c r="P62" i="3"/>
  <c r="R62" i="3"/>
  <c r="P45" i="3"/>
  <c r="Q45" i="3"/>
  <c r="R45" i="3"/>
  <c r="G108" i="9"/>
  <c r="J108" i="9"/>
  <c r="M108" i="9"/>
  <c r="D108" i="9"/>
  <c r="J65" i="9"/>
  <c r="M65" i="9"/>
  <c r="D65" i="9"/>
  <c r="G65" i="9"/>
  <c r="G101" i="9"/>
  <c r="M101" i="9"/>
  <c r="D101" i="9"/>
  <c r="J101" i="9"/>
  <c r="J37" i="3"/>
  <c r="I37" i="3"/>
  <c r="H37" i="3"/>
  <c r="G152" i="9"/>
  <c r="D152" i="9"/>
  <c r="M152" i="9"/>
  <c r="J152" i="9"/>
  <c r="D263" i="9"/>
  <c r="M263" i="9"/>
  <c r="J263" i="9"/>
  <c r="G263" i="9"/>
  <c r="I57" i="3"/>
  <c r="J57" i="3"/>
  <c r="H57" i="3"/>
  <c r="D193" i="9"/>
  <c r="M193" i="9"/>
  <c r="G193" i="9"/>
  <c r="J193" i="9"/>
  <c r="J45" i="9"/>
  <c r="G45" i="9"/>
  <c r="D45" i="9"/>
  <c r="M45" i="9"/>
  <c r="G30" i="9"/>
  <c r="M30" i="9"/>
  <c r="D30" i="9"/>
  <c r="J30" i="9"/>
  <c r="G126" i="9"/>
  <c r="D126" i="9"/>
  <c r="M126" i="9"/>
  <c r="J126" i="9"/>
  <c r="J222" i="9"/>
  <c r="G222" i="9"/>
  <c r="M222" i="9"/>
  <c r="D222" i="9"/>
  <c r="D48" i="9"/>
  <c r="J48" i="9"/>
  <c r="M48" i="9"/>
  <c r="G48" i="9"/>
  <c r="G201" i="9"/>
  <c r="M201" i="9"/>
  <c r="J201" i="9"/>
  <c r="D201" i="9"/>
  <c r="J40" i="9"/>
  <c r="M40" i="9"/>
  <c r="D40" i="9"/>
  <c r="G40" i="9"/>
  <c r="M12" i="5"/>
  <c r="N12" i="5"/>
  <c r="L12" i="5"/>
  <c r="M31" i="3"/>
  <c r="L31" i="3"/>
  <c r="N31" i="3"/>
  <c r="D115" i="9"/>
  <c r="M115" i="9"/>
  <c r="G115" i="9"/>
  <c r="J115" i="9"/>
  <c r="M166" i="9"/>
  <c r="G166" i="9"/>
  <c r="D166" i="9"/>
  <c r="J166" i="9"/>
  <c r="G89" i="9"/>
  <c r="J89" i="9"/>
  <c r="D89" i="9"/>
  <c r="M89" i="9"/>
  <c r="J145" i="9"/>
  <c r="D145" i="9"/>
  <c r="G145" i="9"/>
  <c r="M145" i="9"/>
  <c r="M174" i="9"/>
  <c r="J174" i="9"/>
  <c r="D174" i="9"/>
  <c r="C206" i="9"/>
  <c r="G174" i="9"/>
  <c r="J188" i="9"/>
  <c r="G188" i="9"/>
  <c r="M188" i="9"/>
  <c r="D188" i="9"/>
  <c r="J103" i="9"/>
  <c r="G103" i="9"/>
  <c r="D103" i="9"/>
  <c r="M103" i="9"/>
  <c r="M153" i="9"/>
  <c r="J153" i="9"/>
  <c r="D153" i="9"/>
  <c r="G153" i="9"/>
  <c r="J72" i="3"/>
  <c r="H72" i="3"/>
  <c r="I72" i="3"/>
  <c r="F206" i="9"/>
  <c r="E206" i="9" s="1"/>
  <c r="D8" i="9" s="1"/>
  <c r="M23" i="5"/>
  <c r="L23" i="5"/>
  <c r="N23" i="5"/>
  <c r="D68" i="9"/>
  <c r="M68" i="9"/>
  <c r="G68" i="9"/>
  <c r="J68" i="9"/>
  <c r="H33" i="3"/>
  <c r="J33" i="3"/>
  <c r="I33" i="3"/>
  <c r="D252" i="9"/>
  <c r="M252" i="9"/>
  <c r="G252" i="9"/>
  <c r="J252" i="9"/>
  <c r="D241" i="9"/>
  <c r="M241" i="9"/>
  <c r="G241" i="9"/>
  <c r="J241" i="9"/>
  <c r="M80" i="9"/>
  <c r="G80" i="9"/>
  <c r="J80" i="9"/>
  <c r="D80" i="9"/>
  <c r="G139" i="9"/>
  <c r="J139" i="9"/>
  <c r="M139" i="9"/>
  <c r="D139" i="9"/>
  <c r="J117" i="9"/>
  <c r="D117" i="9"/>
  <c r="M117" i="9"/>
  <c r="G117" i="9"/>
  <c r="J184" i="9"/>
  <c r="D184" i="9"/>
  <c r="G184" i="9"/>
  <c r="M184" i="9"/>
  <c r="J240" i="9"/>
  <c r="D240" i="9"/>
  <c r="G240" i="9"/>
  <c r="M240" i="9"/>
  <c r="N16" i="3"/>
  <c r="M16" i="3"/>
  <c r="L16" i="3"/>
  <c r="N42" i="3"/>
  <c r="M42" i="3"/>
  <c r="L42" i="3"/>
  <c r="D72" i="9"/>
  <c r="G72" i="9"/>
  <c r="J72" i="9"/>
  <c r="M72" i="9"/>
  <c r="G121" i="9"/>
  <c r="J121" i="9"/>
  <c r="M121" i="9"/>
  <c r="D121" i="9"/>
  <c r="O168" i="9"/>
  <c r="N168" i="9" s="1"/>
  <c r="M12" i="9" s="1"/>
  <c r="M182" i="9"/>
  <c r="J182" i="9"/>
  <c r="D182" i="9"/>
  <c r="G182" i="9"/>
  <c r="J56" i="3"/>
  <c r="H56" i="3"/>
  <c r="I56" i="3"/>
  <c r="M43" i="3"/>
  <c r="N43" i="3"/>
  <c r="L43" i="3"/>
  <c r="G111" i="9"/>
  <c r="J111" i="9"/>
  <c r="M111" i="9"/>
  <c r="D111" i="9"/>
  <c r="D192" i="9"/>
  <c r="J192" i="9"/>
  <c r="G192" i="9"/>
  <c r="M192" i="9"/>
  <c r="L21" i="3"/>
  <c r="M21" i="3"/>
  <c r="N21" i="3"/>
  <c r="N6" i="5"/>
  <c r="L6" i="5"/>
  <c r="M6" i="5"/>
  <c r="N25" i="5"/>
  <c r="M25" i="5"/>
  <c r="L25" i="5"/>
  <c r="I69" i="3"/>
  <c r="H69" i="3"/>
  <c r="J69" i="3"/>
  <c r="M258" i="9"/>
  <c r="J258" i="9"/>
  <c r="G258" i="9"/>
  <c r="D258" i="9"/>
  <c r="I73" i="3"/>
  <c r="J73" i="3"/>
  <c r="H73" i="3"/>
  <c r="M64" i="3"/>
  <c r="L64" i="3"/>
  <c r="N64" i="3"/>
  <c r="J127" i="9"/>
  <c r="G127" i="9"/>
  <c r="M127" i="9"/>
  <c r="D127" i="9"/>
  <c r="M110" i="9"/>
  <c r="J110" i="9"/>
  <c r="G110" i="9"/>
  <c r="D110" i="9"/>
  <c r="J150" i="9"/>
  <c r="M150" i="9"/>
  <c r="D150" i="9"/>
  <c r="G150" i="9"/>
  <c r="I38" i="3"/>
  <c r="J38" i="3"/>
  <c r="H38" i="3"/>
  <c r="G120" i="9"/>
  <c r="M120" i="9"/>
  <c r="J120" i="9"/>
  <c r="D120" i="9"/>
  <c r="L9" i="3"/>
  <c r="N9" i="3"/>
  <c r="M9" i="3"/>
  <c r="J158" i="9"/>
  <c r="D158" i="9"/>
  <c r="M158" i="9"/>
  <c r="G158" i="9"/>
  <c r="L244" i="9"/>
  <c r="K244" i="9" s="1"/>
  <c r="J10" i="9" s="1"/>
  <c r="C168" i="9"/>
  <c r="D136" i="9"/>
  <c r="J136" i="9"/>
  <c r="M136" i="9"/>
  <c r="G136" i="9"/>
  <c r="G157" i="9"/>
  <c r="J157" i="9"/>
  <c r="M157" i="9"/>
  <c r="D157" i="9"/>
  <c r="M266" i="9"/>
  <c r="J266" i="9"/>
  <c r="G266" i="9"/>
  <c r="D266" i="9"/>
  <c r="Q50" i="3"/>
  <c r="R50" i="3"/>
  <c r="P50" i="3"/>
  <c r="J122" i="9"/>
  <c r="D122" i="9"/>
  <c r="G122" i="9"/>
  <c r="M122" i="9"/>
  <c r="D24" i="9"/>
  <c r="G24" i="9"/>
  <c r="M24" i="9"/>
  <c r="J24" i="9"/>
  <c r="R33" i="3"/>
  <c r="P33" i="3"/>
  <c r="Q33" i="3"/>
  <c r="M185" i="9"/>
  <c r="G185" i="9"/>
  <c r="D185" i="9"/>
  <c r="J185" i="9"/>
  <c r="N19" i="5"/>
  <c r="L19" i="5"/>
  <c r="M19" i="5"/>
  <c r="N33" i="3"/>
  <c r="M33" i="3"/>
  <c r="L33" i="3"/>
  <c r="G26" i="9"/>
  <c r="D26" i="9"/>
  <c r="J26" i="9"/>
  <c r="M26" i="9"/>
  <c r="I32" i="3"/>
  <c r="H32" i="3"/>
  <c r="J32" i="3"/>
  <c r="L45" i="3"/>
  <c r="N45" i="3"/>
  <c r="M45" i="3"/>
  <c r="J28" i="9"/>
  <c r="M28" i="9"/>
  <c r="D28" i="9"/>
  <c r="G28" i="9"/>
  <c r="G204" i="9"/>
  <c r="M204" i="9"/>
  <c r="D204" i="9"/>
  <c r="J204" i="9"/>
  <c r="R40" i="3"/>
  <c r="P40" i="3"/>
  <c r="Q40" i="3"/>
  <c r="J87" i="9"/>
  <c r="M87" i="9"/>
  <c r="D87" i="9"/>
  <c r="G87" i="9"/>
  <c r="G221" i="9"/>
  <c r="D221" i="9"/>
  <c r="M221" i="9"/>
  <c r="J221" i="9"/>
  <c r="D239" i="9"/>
  <c r="G239" i="9"/>
  <c r="J239" i="9"/>
  <c r="M239" i="9"/>
  <c r="O282" i="9"/>
  <c r="N282" i="9" s="1"/>
  <c r="M14" i="9" s="1"/>
  <c r="M109" i="9"/>
  <c r="D109" i="9"/>
  <c r="J109" i="9"/>
  <c r="G109" i="9"/>
  <c r="G199" i="9"/>
  <c r="J199" i="9"/>
  <c r="D199" i="9"/>
  <c r="M199" i="9"/>
  <c r="M155" i="9"/>
  <c r="D155" i="9"/>
  <c r="G155" i="9"/>
  <c r="J155" i="9"/>
  <c r="Q74" i="3"/>
  <c r="P74" i="3"/>
  <c r="R74" i="3"/>
  <c r="F130" i="9"/>
  <c r="E130" i="9" s="1"/>
  <c r="D6" i="9" s="1"/>
  <c r="J165" i="9"/>
  <c r="M165" i="9"/>
  <c r="D165" i="9"/>
  <c r="G165" i="9"/>
  <c r="G63" i="9"/>
  <c r="J63" i="9"/>
  <c r="D63" i="9"/>
  <c r="M63" i="9"/>
  <c r="L282" i="9"/>
  <c r="K282" i="9" s="1"/>
  <c r="J14" i="9" s="1"/>
  <c r="N15" i="3"/>
  <c r="M15" i="3"/>
  <c r="L15" i="3"/>
  <c r="J67" i="3"/>
  <c r="H67" i="3"/>
  <c r="I67" i="3"/>
  <c r="N20" i="3"/>
  <c r="L20" i="3"/>
  <c r="M20" i="3"/>
  <c r="D138" i="9"/>
  <c r="M138" i="9"/>
  <c r="J138" i="9"/>
  <c r="G138" i="9"/>
  <c r="Q38" i="3"/>
  <c r="P38" i="3"/>
  <c r="R38" i="3"/>
  <c r="M40" i="3"/>
  <c r="N40" i="3"/>
  <c r="L40" i="3"/>
  <c r="D274" i="9"/>
  <c r="M274" i="9"/>
  <c r="J274" i="9"/>
  <c r="G274" i="9"/>
  <c r="D277" i="9"/>
  <c r="J277" i="9"/>
  <c r="M277" i="9"/>
  <c r="G277" i="9"/>
  <c r="H44" i="3"/>
  <c r="J44" i="3"/>
  <c r="I44" i="3"/>
  <c r="M8" i="5"/>
  <c r="N8" i="5"/>
  <c r="L8" i="5"/>
  <c r="L63" i="3"/>
  <c r="M63" i="3"/>
  <c r="N63" i="3"/>
  <c r="J160" i="9"/>
  <c r="D160" i="9"/>
  <c r="M160" i="9"/>
  <c r="G160" i="9"/>
  <c r="J22" i="9"/>
  <c r="G22" i="9"/>
  <c r="C54" i="9"/>
  <c r="M22" i="9"/>
  <c r="D22" i="9"/>
  <c r="P49" i="3"/>
  <c r="R49" i="3"/>
  <c r="Q49" i="3"/>
  <c r="G85" i="9"/>
  <c r="J85" i="9"/>
  <c r="M85" i="9"/>
  <c r="D85" i="9"/>
  <c r="L73" i="3"/>
  <c r="N73" i="3"/>
  <c r="M73" i="3"/>
  <c r="L14" i="5"/>
  <c r="M14" i="5"/>
  <c r="N14" i="5"/>
  <c r="O130" i="9"/>
  <c r="N130" i="9" s="1"/>
  <c r="M6" i="9" s="1"/>
  <c r="D41" i="9"/>
  <c r="M41" i="9"/>
  <c r="J41" i="9"/>
  <c r="G41" i="9"/>
  <c r="M251" i="9"/>
  <c r="D251" i="9"/>
  <c r="J251" i="9"/>
  <c r="G251" i="9"/>
  <c r="M161" i="9"/>
  <c r="D161" i="9"/>
  <c r="J161" i="9"/>
  <c r="G161" i="9"/>
  <c r="R68" i="3"/>
  <c r="Q68" i="3"/>
  <c r="P68" i="3"/>
  <c r="J190" i="9"/>
  <c r="G190" i="9"/>
  <c r="D190" i="9"/>
  <c r="M190" i="9"/>
  <c r="P63" i="3"/>
  <c r="Q63" i="3"/>
  <c r="R63" i="3"/>
  <c r="I41" i="3"/>
  <c r="J41" i="3"/>
  <c r="H41" i="3"/>
  <c r="L54" i="9"/>
  <c r="K54" i="9" s="1"/>
  <c r="J16" i="9" s="1"/>
  <c r="M225" i="9"/>
  <c r="J225" i="9"/>
  <c r="D225" i="9"/>
  <c r="G225" i="9"/>
  <c r="R48" i="3"/>
  <c r="P48" i="3"/>
  <c r="Q48" i="3"/>
  <c r="J99" i="9"/>
  <c r="M99" i="9"/>
  <c r="G99" i="9"/>
  <c r="D99" i="9"/>
  <c r="M8" i="3"/>
  <c r="L8" i="3"/>
  <c r="N8" i="3"/>
  <c r="M146" i="9"/>
  <c r="G146" i="9"/>
  <c r="J146" i="9"/>
  <c r="D146" i="9"/>
  <c r="J230" i="9"/>
  <c r="M230" i="9"/>
  <c r="D230" i="9"/>
  <c r="G230" i="9"/>
  <c r="G79" i="9"/>
  <c r="J79" i="9"/>
  <c r="D79" i="9"/>
  <c r="M79" i="9"/>
  <c r="P41" i="3"/>
  <c r="R41" i="3"/>
  <c r="Q41" i="3"/>
  <c r="M143" i="9"/>
  <c r="G143" i="9"/>
  <c r="D143" i="9"/>
  <c r="J143" i="9"/>
  <c r="G102" i="9"/>
  <c r="M102" i="9"/>
  <c r="J102" i="9"/>
  <c r="D102" i="9"/>
  <c r="L130" i="9"/>
  <c r="K130" i="9" s="1"/>
  <c r="J6" i="9" s="1"/>
  <c r="D219" i="9"/>
  <c r="M219" i="9"/>
  <c r="J219" i="9"/>
  <c r="G219" i="9"/>
  <c r="G238" i="9"/>
  <c r="J238" i="9"/>
  <c r="D238" i="9"/>
  <c r="M238" i="9"/>
  <c r="M6" i="3"/>
  <c r="L6" i="3"/>
  <c r="N6" i="3"/>
  <c r="J271" i="9"/>
  <c r="M271" i="9"/>
  <c r="D271" i="9"/>
  <c r="G271" i="9"/>
  <c r="D177" i="9"/>
  <c r="M177" i="9"/>
  <c r="J177" i="9"/>
  <c r="G177" i="9"/>
  <c r="G200" i="9"/>
  <c r="J200" i="9"/>
  <c r="D200" i="9"/>
  <c r="M200" i="9"/>
  <c r="P65" i="3"/>
  <c r="R65" i="3"/>
  <c r="Q65" i="3"/>
  <c r="M141" i="9"/>
  <c r="D141" i="9"/>
  <c r="J141" i="9"/>
  <c r="G141" i="9"/>
  <c r="D255" i="9"/>
  <c r="G255" i="9"/>
  <c r="J255" i="9"/>
  <c r="M255" i="9"/>
  <c r="J47" i="3"/>
  <c r="H47" i="3"/>
  <c r="I47" i="3"/>
  <c r="H43" i="3"/>
  <c r="I43" i="3"/>
  <c r="J43" i="3"/>
  <c r="M163" i="9"/>
  <c r="G163" i="9"/>
  <c r="J163" i="9"/>
  <c r="D163" i="9"/>
  <c r="N16" i="5"/>
  <c r="M16" i="5"/>
  <c r="L16" i="5"/>
  <c r="L21" i="5"/>
  <c r="M21" i="5"/>
  <c r="N21" i="5"/>
  <c r="F54" i="9"/>
  <c r="I168" i="9"/>
  <c r="H168" i="9" s="1"/>
  <c r="G12" i="9" s="1"/>
  <c r="J45" i="3"/>
  <c r="I45" i="3"/>
  <c r="H45" i="3"/>
  <c r="J100" i="9"/>
  <c r="G100" i="9"/>
  <c r="D100" i="9"/>
  <c r="M100" i="9"/>
  <c r="J148" i="9"/>
  <c r="D148" i="9"/>
  <c r="G148" i="9"/>
  <c r="M148" i="9"/>
  <c r="I63" i="3"/>
  <c r="H63" i="3"/>
  <c r="J63" i="3"/>
  <c r="O244" i="9"/>
  <c r="N244" i="9" s="1"/>
  <c r="M10" i="9" s="1"/>
  <c r="R72" i="3"/>
  <c r="P72" i="3"/>
  <c r="Q72" i="3"/>
  <c r="G270" i="9"/>
  <c r="J270" i="9"/>
  <c r="M270" i="9"/>
  <c r="D270" i="9"/>
  <c r="F168" i="9"/>
  <c r="E168" i="9" s="1"/>
  <c r="D12" i="9" s="1"/>
  <c r="M123" i="9"/>
  <c r="D123" i="9"/>
  <c r="J123" i="9"/>
  <c r="G123" i="9"/>
  <c r="L92" i="9"/>
  <c r="K92" i="9" s="1"/>
  <c r="J4" i="9" s="1"/>
  <c r="G212" i="9"/>
  <c r="M212" i="9"/>
  <c r="J212" i="9"/>
  <c r="C244" i="9"/>
  <c r="D212" i="9"/>
  <c r="L68" i="3"/>
  <c r="M68" i="3"/>
  <c r="N68" i="3"/>
  <c r="G186" i="9"/>
  <c r="D186" i="9"/>
  <c r="J186" i="9"/>
  <c r="M186" i="9"/>
  <c r="Q43" i="3"/>
  <c r="R43" i="3"/>
  <c r="P43" i="3"/>
  <c r="N41" i="3"/>
  <c r="L41" i="3"/>
  <c r="M41" i="3"/>
  <c r="L50" i="3"/>
  <c r="N50" i="3"/>
  <c r="M50" i="3"/>
  <c r="M151" i="9"/>
  <c r="J151" i="9"/>
  <c r="G151" i="9"/>
  <c r="D151" i="9"/>
  <c r="J175" i="9"/>
  <c r="D175" i="9"/>
  <c r="M175" i="9"/>
  <c r="G175" i="9"/>
  <c r="M180" i="9"/>
  <c r="D180" i="9"/>
  <c r="G180" i="9"/>
  <c r="J180" i="9"/>
  <c r="D195" i="9"/>
  <c r="J195" i="9"/>
  <c r="G195" i="9"/>
  <c r="M195" i="9"/>
  <c r="H48" i="3"/>
  <c r="J48" i="3"/>
  <c r="I48" i="3"/>
  <c r="G37" i="9"/>
  <c r="M37" i="9"/>
  <c r="D37" i="9"/>
  <c r="J37" i="9"/>
  <c r="J49" i="9"/>
  <c r="G49" i="9"/>
  <c r="D49" i="9"/>
  <c r="M49" i="9"/>
  <c r="M10" i="5"/>
  <c r="L10" i="5"/>
  <c r="N10" i="5"/>
  <c r="D216" i="9"/>
  <c r="G216" i="9"/>
  <c r="J216" i="9"/>
  <c r="M216" i="9"/>
  <c r="G226" i="9"/>
  <c r="J226" i="9"/>
  <c r="D226" i="9"/>
  <c r="M226" i="9"/>
  <c r="P56" i="3"/>
  <c r="Q56" i="3"/>
  <c r="R56" i="3"/>
  <c r="G116" i="9"/>
  <c r="J116" i="9"/>
  <c r="D116" i="9"/>
  <c r="M116" i="9"/>
  <c r="P69" i="3"/>
  <c r="R69" i="3"/>
  <c r="Q69" i="3"/>
  <c r="J77" i="9"/>
  <c r="M77" i="9"/>
  <c r="G77" i="9"/>
  <c r="D77" i="9"/>
  <c r="G236" i="9"/>
  <c r="M236" i="9"/>
  <c r="J236" i="9"/>
  <c r="D236" i="9"/>
  <c r="M13" i="3"/>
  <c r="N13" i="3"/>
  <c r="L13" i="3"/>
  <c r="L32" i="3"/>
  <c r="M32" i="3"/>
  <c r="N32" i="3"/>
  <c r="N17" i="5"/>
  <c r="M17" i="5"/>
  <c r="L17" i="5"/>
  <c r="M70" i="3"/>
  <c r="N70" i="3"/>
  <c r="L70" i="3"/>
  <c r="N67" i="3"/>
  <c r="L67" i="3"/>
  <c r="M67" i="3"/>
  <c r="P47" i="3"/>
  <c r="Q47" i="3"/>
  <c r="R47" i="3"/>
  <c r="M35" i="3"/>
  <c r="L35" i="3"/>
  <c r="N35" i="3"/>
  <c r="O54" i="9"/>
  <c r="N54" i="9" s="1"/>
  <c r="M16" i="9" s="1"/>
  <c r="L56" i="3"/>
  <c r="M56" i="3"/>
  <c r="N56" i="3"/>
  <c r="F244" i="9"/>
  <c r="E244" i="9" s="1"/>
  <c r="D10" i="9" s="1"/>
  <c r="J275" i="9"/>
  <c r="M275" i="9"/>
  <c r="D275" i="9"/>
  <c r="G275" i="9"/>
  <c r="L61" i="3"/>
  <c r="N61" i="3"/>
  <c r="M61" i="3"/>
  <c r="H49" i="3"/>
  <c r="I49" i="3"/>
  <c r="J49" i="3"/>
  <c r="M22" i="5"/>
  <c r="N22" i="5"/>
  <c r="L22" i="5"/>
  <c r="M253" i="9"/>
  <c r="D253" i="9"/>
  <c r="G253" i="9"/>
  <c r="J253" i="9"/>
  <c r="I282" i="9"/>
  <c r="H282" i="9" s="1"/>
  <c r="G14" i="9" s="1"/>
  <c r="M48" i="3"/>
  <c r="L48" i="3"/>
  <c r="N48" i="3"/>
  <c r="G34" i="9"/>
  <c r="M34" i="9"/>
  <c r="J34" i="9"/>
  <c r="D34" i="9"/>
  <c r="O92" i="9"/>
  <c r="N92" i="9" s="1"/>
  <c r="M4" i="9" s="1"/>
  <c r="P71" i="3"/>
  <c r="Q71" i="3"/>
  <c r="R71" i="3"/>
  <c r="M23" i="3"/>
  <c r="L23" i="3"/>
  <c r="N23" i="3"/>
  <c r="Q42" i="3"/>
  <c r="R42" i="3"/>
  <c r="P42" i="3"/>
  <c r="G178" i="9"/>
  <c r="J178" i="9"/>
  <c r="M178" i="9"/>
  <c r="D178" i="9"/>
  <c r="M44" i="9"/>
  <c r="J44" i="9"/>
  <c r="G44" i="9"/>
  <c r="D44" i="9"/>
  <c r="G125" i="9"/>
  <c r="D125" i="9"/>
  <c r="J125" i="9"/>
  <c r="M125" i="9"/>
  <c r="L206" i="9"/>
  <c r="K206" i="9" s="1"/>
  <c r="J8" i="9" s="1"/>
  <c r="M73" i="9"/>
  <c r="D73" i="9"/>
  <c r="J73" i="9"/>
  <c r="G73" i="9"/>
  <c r="M70" i="9"/>
  <c r="G70" i="9"/>
  <c r="J70" i="9"/>
  <c r="D70" i="9"/>
  <c r="M202" i="9"/>
  <c r="G202" i="9"/>
  <c r="J202" i="9"/>
  <c r="D202" i="9"/>
  <c r="D84" i="9"/>
  <c r="J84" i="9"/>
  <c r="G84" i="9"/>
  <c r="M84" i="9"/>
  <c r="I54" i="9"/>
  <c r="H54" i="9" s="1"/>
  <c r="G16" i="9" s="1"/>
  <c r="J62" i="9"/>
  <c r="D62" i="9"/>
  <c r="M62" i="9"/>
  <c r="G62" i="9"/>
  <c r="G162" i="9"/>
  <c r="M162" i="9"/>
  <c r="D162" i="9"/>
  <c r="J162" i="9"/>
  <c r="I46" i="3"/>
  <c r="J46" i="3"/>
  <c r="H46" i="3"/>
  <c r="J159" i="9"/>
  <c r="G159" i="9"/>
  <c r="M159" i="9"/>
  <c r="D159" i="9"/>
  <c r="M198" i="9"/>
  <c r="J198" i="9"/>
  <c r="D198" i="9"/>
  <c r="G198" i="9"/>
  <c r="G50" i="9"/>
  <c r="J50" i="9"/>
  <c r="D50" i="9"/>
  <c r="M50" i="9"/>
  <c r="L62" i="3"/>
  <c r="N62" i="3"/>
  <c r="M62" i="3"/>
  <c r="J235" i="9"/>
  <c r="M235" i="9"/>
  <c r="D235" i="9"/>
  <c r="G235" i="9"/>
  <c r="I206" i="9"/>
  <c r="H206" i="9" s="1"/>
  <c r="G8" i="9" s="1"/>
  <c r="P67" i="3"/>
  <c r="Q67" i="3"/>
  <c r="R67" i="3"/>
  <c r="P39" i="3"/>
  <c r="R39" i="3"/>
  <c r="Q39" i="3"/>
  <c r="L168" i="9"/>
  <c r="K168" i="9" s="1"/>
  <c r="J12" i="9" s="1"/>
  <c r="N36" i="3"/>
  <c r="L36" i="3"/>
  <c r="M36" i="3"/>
  <c r="D227" i="9"/>
  <c r="J227" i="9"/>
  <c r="M227" i="9"/>
  <c r="G227" i="9"/>
  <c r="I130" i="9"/>
  <c r="H130" i="9" s="1"/>
  <c r="G6" i="9" s="1"/>
  <c r="F92" i="9"/>
  <c r="E92" i="9" s="1"/>
  <c r="D4" i="9" s="1"/>
  <c r="M156" i="9"/>
  <c r="D156" i="9"/>
  <c r="J156" i="9"/>
  <c r="G156" i="9"/>
  <c r="M262" i="9"/>
  <c r="J262" i="9"/>
  <c r="G262" i="9"/>
  <c r="D262" i="9"/>
  <c r="J215" i="9"/>
  <c r="M215" i="9"/>
  <c r="G215" i="9"/>
  <c r="D215" i="9"/>
  <c r="I58" i="3"/>
  <c r="H58" i="3"/>
  <c r="J58" i="3"/>
  <c r="J223" i="9"/>
  <c r="G223" i="9"/>
  <c r="D223" i="9"/>
  <c r="M223" i="9"/>
  <c r="H74" i="3"/>
  <c r="J74" i="3"/>
  <c r="I74" i="3"/>
  <c r="J176" i="9"/>
  <c r="G176" i="9"/>
  <c r="D176" i="9"/>
  <c r="M176" i="9"/>
  <c r="G142" i="9"/>
  <c r="J142" i="9"/>
  <c r="D142" i="9"/>
  <c r="M142" i="9"/>
  <c r="M196" i="9"/>
  <c r="J196" i="9"/>
  <c r="G196" i="9"/>
  <c r="D196" i="9"/>
  <c r="J214" i="9"/>
  <c r="G214" i="9"/>
  <c r="D214" i="9"/>
  <c r="M214" i="9"/>
  <c r="D140" i="9"/>
  <c r="G140" i="9"/>
  <c r="J140" i="9"/>
  <c r="M140" i="9"/>
  <c r="O206" i="9"/>
  <c r="N206" i="9" s="1"/>
  <c r="M8" i="9" s="1"/>
  <c r="G42" i="9"/>
  <c r="D42" i="9"/>
  <c r="J42" i="9"/>
  <c r="M42" i="9"/>
  <c r="D27" i="9"/>
  <c r="M27" i="9"/>
  <c r="J27" i="9"/>
  <c r="G27" i="9"/>
  <c r="N74" i="3"/>
  <c r="L74" i="3"/>
  <c r="M74" i="3"/>
  <c r="G119" i="9"/>
  <c r="M119" i="9"/>
  <c r="D119" i="9"/>
  <c r="J119" i="9"/>
  <c r="M11" i="5"/>
  <c r="N11" i="5"/>
  <c r="L11" i="5"/>
  <c r="M265" i="9"/>
  <c r="J265" i="9"/>
  <c r="D265" i="9"/>
  <c r="G265" i="9"/>
  <c r="I92" i="9"/>
  <c r="H92" i="9" s="1"/>
  <c r="G4" i="9" s="1"/>
  <c r="G76" i="9"/>
  <c r="J76" i="9"/>
  <c r="M76" i="9"/>
  <c r="D76" i="9"/>
  <c r="Q35" i="3"/>
  <c r="R35" i="3"/>
  <c r="P35" i="3"/>
  <c r="P58" i="3"/>
  <c r="Q58" i="3"/>
  <c r="R58" i="3"/>
  <c r="G124" i="9"/>
  <c r="D124" i="9"/>
  <c r="M124" i="9"/>
  <c r="J124" i="9"/>
  <c r="F282" i="9"/>
  <c r="E282" i="9" s="1"/>
  <c r="D14" i="9" s="1"/>
  <c r="J38" i="9"/>
  <c r="D38" i="9"/>
  <c r="M38" i="9"/>
  <c r="G38" i="9"/>
  <c r="D118" i="9"/>
  <c r="J118" i="9"/>
  <c r="G118" i="9"/>
  <c r="M118" i="9"/>
  <c r="R73" i="3"/>
  <c r="P73" i="3"/>
  <c r="Q73" i="3"/>
  <c r="M17" i="3"/>
  <c r="N17" i="3"/>
  <c r="L17" i="3"/>
  <c r="N58" i="3"/>
  <c r="M58" i="3"/>
  <c r="L58" i="3"/>
  <c r="M43" i="9"/>
  <c r="J43" i="9"/>
  <c r="D43" i="9"/>
  <c r="G43" i="9"/>
  <c r="M59" i="3"/>
  <c r="N59" i="3"/>
  <c r="L59" i="3"/>
  <c r="D244" i="9" l="1"/>
  <c r="G244" i="9"/>
  <c r="M54" i="9"/>
  <c r="M168" i="9"/>
  <c r="G206" i="9"/>
  <c r="M206" i="9"/>
  <c r="M92" i="9"/>
  <c r="J282" i="9"/>
  <c r="J168" i="9"/>
  <c r="J92" i="9"/>
  <c r="G130" i="9"/>
  <c r="J244" i="9"/>
  <c r="E54" i="9"/>
  <c r="D16" i="9" s="1"/>
  <c r="B12" i="9" s="1"/>
  <c r="B8" i="9"/>
  <c r="B7" i="9"/>
  <c r="G54" i="9"/>
  <c r="D168" i="9"/>
  <c r="D206" i="9"/>
  <c r="D92" i="9"/>
  <c r="J130" i="9"/>
  <c r="D282" i="9"/>
  <c r="G282" i="9"/>
  <c r="M244" i="9"/>
  <c r="D54" i="9"/>
  <c r="J54" i="9"/>
  <c r="G168" i="9"/>
  <c r="J206" i="9"/>
  <c r="G92" i="9"/>
  <c r="M130" i="9"/>
  <c r="D130" i="9"/>
  <c r="M282" i="9"/>
  <c r="B15" i="9" l="1"/>
  <c r="B11" i="9"/>
  <c r="B4" i="9"/>
  <c r="B5" i="9"/>
  <c r="B3" i="9"/>
  <c r="B16" i="9"/>
  <c r="B10" i="9"/>
  <c r="B14" i="9"/>
  <c r="B13" i="9"/>
  <c r="B6" i="9"/>
  <c r="B9" i="9"/>
</calcChain>
</file>

<file path=xl/sharedStrings.xml><?xml version="1.0" encoding="utf-8"?>
<sst xmlns="http://schemas.openxmlformats.org/spreadsheetml/2006/main" count="2850" uniqueCount="366">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</sst>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44287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" t="s">
        <v>3</v>
      </c>
      <c r="B2" s="232" t="s">
        <v>4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5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4" t="s">
        <v>7</v>
      </c>
      <c r="B3" s="223" t="s">
        <v>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0"/>
      <c r="I3" s="221"/>
      <c r="J3" s="4" t="s">
        <v>7</v>
      </c>
      <c r="K3" s="223" t="s">
        <v>9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3" t="s">
        <v>12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13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3" t="s">
        <v>16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0"/>
      <c r="I5" s="221"/>
      <c r="J5" s="4" t="s">
        <v>15</v>
      </c>
      <c r="K5" s="223" t="s">
        <v>17</v>
      </c>
      <c r="L5" s="224"/>
      <c r="M5" s="224"/>
      <c r="N5" s="224"/>
      <c r="O5" s="225"/>
    </row>
    <row r="6" spans="1:19">
      <c r="A6" s="4" t="s">
        <v>18</v>
      </c>
      <c r="B6" s="223" t="s">
        <v>19</v>
      </c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20</v>
      </c>
      <c r="L6" s="224"/>
      <c r="M6" s="224"/>
      <c r="N6" s="224"/>
      <c r="O6" s="225"/>
    </row>
    <row r="7" spans="1:19" ht="17.25" thickBot="1">
      <c r="A7" s="4" t="s">
        <v>21</v>
      </c>
      <c r="B7" s="223" t="s">
        <v>22</v>
      </c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0"/>
      <c r="I7" s="221"/>
      <c r="J7" s="4" t="s">
        <v>21</v>
      </c>
      <c r="K7" s="223" t="s">
        <v>23</v>
      </c>
      <c r="L7" s="224"/>
      <c r="M7" s="224"/>
      <c r="N7" s="224"/>
      <c r="O7" s="225"/>
    </row>
    <row r="8" spans="1:19" ht="17.25" thickBot="1">
      <c r="A8" s="4" t="s">
        <v>24</v>
      </c>
      <c r="B8" s="223" t="s">
        <v>25</v>
      </c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 t="s">
        <v>26</v>
      </c>
      <c r="L8" s="224"/>
      <c r="M8" s="224"/>
      <c r="N8" s="224"/>
      <c r="O8" s="225"/>
      <c r="Q8" s="198" t="s">
        <v>27</v>
      </c>
      <c r="R8" s="200"/>
    </row>
    <row r="9" spans="1:19" ht="17.25" thickBot="1">
      <c r="A9" s="4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0"/>
      <c r="I9" s="221"/>
      <c r="J9" s="4" t="s">
        <v>28</v>
      </c>
      <c r="K9" s="223" t="s">
        <v>293</v>
      </c>
      <c r="L9" s="224"/>
      <c r="M9" s="224"/>
      <c r="N9" s="224"/>
      <c r="O9" s="225"/>
      <c r="Q9" s="2" t="s">
        <v>29</v>
      </c>
      <c r="R9" s="6">
        <v>10</v>
      </c>
    </row>
    <row r="10" spans="1:19">
      <c r="A10" s="4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/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7" t="s">
        <v>32</v>
      </c>
      <c r="B11" s="216"/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0"/>
      <c r="I11" s="221"/>
      <c r="J11" s="7" t="s">
        <v>32</v>
      </c>
      <c r="K11" s="216"/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11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22" t="s">
        <v>39</v>
      </c>
      <c r="B15" s="214" t="str">
        <f>TEXT($G$1, "[$-ko-KR]yyyy-mm-dd(ddd) ") &amp; "오전 00:00"</f>
        <v>2021-04-01(목) 오전 00:00</v>
      </c>
      <c r="C15" s="215"/>
      <c r="D15" s="211" t="str">
        <f>TEXT($G$1, "[$-ko-KR]yyyy-mm-dd(ddd) ") &amp; "오후 14:00"</f>
        <v>2021-04-01(목) 오후 14:00</v>
      </c>
      <c r="E15" s="212"/>
      <c r="F15" s="213"/>
      <c r="G15" s="211" t="str">
        <f>TEXT($G$1, "[$-ko-KR]yyyy-mm-dd(ddd) ") &amp; "오후 19:00"</f>
        <v>2021-04-01(목) 오후 19:00</v>
      </c>
      <c r="H15" s="212"/>
      <c r="I15" s="213"/>
      <c r="J15" s="211" t="str">
        <f>TEXT($G$1, "[$-ko-KR]yyyy-mm-dd(ddd) ") &amp; "오후 21:00"</f>
        <v>2021-04-01(목) 오후 21:00</v>
      </c>
      <c r="K15" s="212"/>
      <c r="L15" s="213"/>
      <c r="M15" s="211" t="str">
        <f>TEXT($G$1+1, "[$-ko-KR]yyyy-mm-dd(ddd) ") &amp; "오전 00:00"</f>
        <v>2021-04-02(금) 오전 00:00</v>
      </c>
      <c r="N15" s="212"/>
      <c r="O15" s="213"/>
      <c r="Q15" s="197"/>
      <c r="R15" s="197"/>
      <c r="S15" s="197"/>
    </row>
    <row r="16" spans="1:19" ht="17.25" customHeight="1" thickBot="1">
      <c r="A16" s="22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8"/>
      <c r="R26" s="189"/>
      <c r="S26" s="19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1"/>
      <c r="R27" s="192"/>
      <c r="S27" s="19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4"/>
      <c r="R28" s="195"/>
      <c r="S28" s="19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26" t="s">
        <v>42</v>
      </c>
      <c r="B37" s="185">
        <v>300000</v>
      </c>
      <c r="C37" s="18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11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07" t="s">
        <v>55</v>
      </c>
      <c r="B42" s="209" t="str">
        <f>TEXT($G$1, "[$-ko-KR]yyyy-mm-dd(ddd) ") &amp; "오전 00:00"</f>
        <v>2021-04-01(목) 오전 00:00</v>
      </c>
      <c r="C42" s="210"/>
      <c r="D42" s="211" t="str">
        <f>TEXT($G$1, "[$-ko-KR]yyyy-mm-dd(ddd) ") &amp; "오후 14:00"</f>
        <v>2021-04-01(목) 오후 14:00</v>
      </c>
      <c r="E42" s="212"/>
      <c r="F42" s="213"/>
      <c r="G42" s="211" t="str">
        <f>TEXT($G$1, "[$-ko-KR]yyyy-mm-dd(ddd) ") &amp; "오후 19:00"</f>
        <v>2021-04-01(목) 오후 19:00</v>
      </c>
      <c r="H42" s="212"/>
      <c r="I42" s="213"/>
      <c r="J42" s="211" t="str">
        <f>TEXT($G$1, "[$-ko-KR]yyyy-mm-dd(ddd) ") &amp; "오후 21:00"</f>
        <v>2021-04-01(목) 오후 21:00</v>
      </c>
      <c r="K42" s="212"/>
      <c r="L42" s="213"/>
      <c r="M42" s="211" t="str">
        <f>TEXT($G$1+1, "[$-ko-KR]yyyy-mm-dd(ddd) ") &amp; "오전 00:00"</f>
        <v>2021-04-02(금) 오전 00:00</v>
      </c>
      <c r="N42" s="212"/>
      <c r="O42" s="213"/>
      <c r="Q42" s="197"/>
      <c r="R42" s="197"/>
      <c r="S42" s="197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8"/>
      <c r="R53" s="189"/>
      <c r="S53" s="19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1"/>
      <c r="R54" s="192"/>
      <c r="S54" s="19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4"/>
      <c r="R55" s="195"/>
      <c r="S55" s="19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6"/>
      <c r="R62" s="177"/>
      <c r="S62" s="17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9"/>
      <c r="R63" s="180"/>
      <c r="S63" s="181"/>
    </row>
    <row r="64" spans="1:19" ht="17.25" customHeight="1" thickBot="1">
      <c r="A64" s="26" t="s">
        <v>300</v>
      </c>
      <c r="B64" s="185">
        <f>$B$37</f>
        <v>300000</v>
      </c>
      <c r="C64" s="18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11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07" t="s">
        <v>55</v>
      </c>
      <c r="B69" s="209" t="str">
        <f>TEXT($G$1, "[$-ko-KR]yyyy-mm-dd(ddd) ") &amp; "오전 00:00"</f>
        <v>2021-04-01(목) 오전 00:00</v>
      </c>
      <c r="C69" s="210"/>
      <c r="D69" s="211" t="str">
        <f>TEXT($G$1, "[$-ko-KR]yyyy-mm-dd(ddd) ") &amp; "오후 14:00"</f>
        <v>2021-04-01(목) 오후 14:00</v>
      </c>
      <c r="E69" s="212"/>
      <c r="F69" s="213"/>
      <c r="G69" s="211" t="str">
        <f>TEXT($G$1, "[$-ko-KR]yyyy-mm-dd(ddd) ") &amp; "오후 19:00"</f>
        <v>2021-04-01(목) 오후 19:00</v>
      </c>
      <c r="H69" s="212"/>
      <c r="I69" s="213"/>
      <c r="J69" s="211" t="str">
        <f>TEXT($G$1, "[$-ko-KR]yyyy-mm-dd(ddd) ") &amp; "오후 21:00"</f>
        <v>2021-04-01(목) 오후 21:00</v>
      </c>
      <c r="K69" s="212"/>
      <c r="L69" s="213"/>
      <c r="M69" s="211" t="str">
        <f>TEXT($G$1+1, "[$-ko-KR]yyyy-mm-dd(ddd) ") &amp; "오전 00:00"</f>
        <v>2021-04-02(금) 오전 00:00</v>
      </c>
      <c r="N69" s="212"/>
      <c r="O69" s="213"/>
      <c r="Q69" s="197"/>
      <c r="R69" s="197"/>
      <c r="S69" s="197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8"/>
      <c r="R80" s="189"/>
      <c r="S80" s="19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1"/>
      <c r="R81" s="192"/>
      <c r="S81" s="19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4"/>
      <c r="R82" s="195"/>
      <c r="S82" s="19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6"/>
      <c r="R89" s="177"/>
      <c r="S89" s="17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9"/>
      <c r="R90" s="180"/>
      <c r="S90" s="181"/>
    </row>
    <row r="91" spans="1:19" ht="17.25" thickBot="1">
      <c r="A91" s="26" t="s">
        <v>300</v>
      </c>
      <c r="B91" s="185">
        <f>$B$37</f>
        <v>300000</v>
      </c>
      <c r="C91" s="18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11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07" t="s">
        <v>55</v>
      </c>
      <c r="B96" s="209" t="str">
        <f>TEXT($G$1, "[$-ko-KR]yyyy-mm-dd(ddd) ") &amp; "오전 00:00"</f>
        <v>2021-04-01(목) 오전 00:00</v>
      </c>
      <c r="C96" s="210"/>
      <c r="D96" s="211" t="str">
        <f>TEXT($G$1, "[$-ko-KR]yyyy-mm-dd(ddd) ") &amp; "오후 14:00"</f>
        <v>2021-04-01(목) 오후 14:00</v>
      </c>
      <c r="E96" s="212"/>
      <c r="F96" s="213"/>
      <c r="G96" s="211" t="str">
        <f>TEXT($G$1, "[$-ko-KR]yyyy-mm-dd(ddd) ") &amp; "오후 19:00"</f>
        <v>2021-04-01(목) 오후 19:00</v>
      </c>
      <c r="H96" s="212"/>
      <c r="I96" s="213"/>
      <c r="J96" s="211" t="str">
        <f>TEXT($G$1, "[$-ko-KR]yyyy-mm-dd(ddd) ") &amp; "오후 21:00"</f>
        <v>2021-04-01(목) 오후 21:00</v>
      </c>
      <c r="K96" s="212"/>
      <c r="L96" s="213"/>
      <c r="M96" s="211" t="str">
        <f>TEXT($G$1+1, "[$-ko-KR]yyyy-mm-dd(ddd) ") &amp; "오전 00:00"</f>
        <v>2021-04-02(금) 오전 00:00</v>
      </c>
      <c r="N96" s="212"/>
      <c r="O96" s="213"/>
      <c r="Q96" s="197"/>
      <c r="R96" s="197"/>
      <c r="S96" s="197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8"/>
      <c r="R107" s="189"/>
      <c r="S107" s="19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1"/>
      <c r="R108" s="192"/>
      <c r="S108" s="19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4"/>
      <c r="R109" s="195"/>
      <c r="S109" s="19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6"/>
      <c r="R116" s="177"/>
      <c r="S116" s="17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9"/>
      <c r="R117" s="180"/>
      <c r="S117" s="181"/>
    </row>
    <row r="118" spans="1:19" ht="17.25" thickBot="1">
      <c r="A118" s="26" t="s">
        <v>300</v>
      </c>
      <c r="B118" s="185">
        <f>$B$37</f>
        <v>300000</v>
      </c>
      <c r="C118" s="18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11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07" t="s">
        <v>55</v>
      </c>
      <c r="B123" s="209" t="str">
        <f>TEXT($G$1, "[$-ko-KR]yyyy-mm-dd(ddd) ") &amp; "오전 00:00"</f>
        <v>2021-04-01(목) 오전 00:00</v>
      </c>
      <c r="C123" s="210"/>
      <c r="D123" s="211" t="str">
        <f>TEXT($G$1, "[$-ko-KR]yyyy-mm-dd(ddd) ") &amp; "오후 14:00"</f>
        <v>2021-04-01(목) 오후 14:00</v>
      </c>
      <c r="E123" s="212"/>
      <c r="F123" s="213"/>
      <c r="G123" s="211" t="str">
        <f>TEXT($G$1, "[$-ko-KR]yyyy-mm-dd(ddd) ") &amp; "오후 19:00"</f>
        <v>2021-04-01(목) 오후 19:00</v>
      </c>
      <c r="H123" s="212"/>
      <c r="I123" s="213"/>
      <c r="J123" s="211" t="str">
        <f>TEXT($G$1, "[$-ko-KR]yyyy-mm-dd(ddd) ") &amp; "오후 21:00"</f>
        <v>2021-04-01(목) 오후 21:00</v>
      </c>
      <c r="K123" s="212"/>
      <c r="L123" s="213"/>
      <c r="M123" s="211" t="str">
        <f>TEXT($G$1+1, "[$-ko-KR]yyyy-mm-dd(ddd) ") &amp; "오전 00:00"</f>
        <v>2021-04-02(금) 오전 00:00</v>
      </c>
      <c r="N123" s="212"/>
      <c r="O123" s="213"/>
      <c r="Q123" s="197"/>
      <c r="R123" s="197"/>
      <c r="S123" s="197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8"/>
      <c r="R134" s="189"/>
      <c r="S134" s="19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1"/>
      <c r="R135" s="192"/>
      <c r="S135" s="19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4"/>
      <c r="R136" s="195"/>
      <c r="S136" s="19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6"/>
      <c r="R143" s="177"/>
      <c r="S143" s="17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9"/>
      <c r="R144" s="180"/>
      <c r="S144" s="181"/>
    </row>
    <row r="145" spans="1:19" ht="17.25" thickBot="1">
      <c r="A145" s="26" t="s">
        <v>300</v>
      </c>
      <c r="B145" s="185">
        <f>$B$37</f>
        <v>300000</v>
      </c>
      <c r="C145" s="18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11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07" t="s">
        <v>55</v>
      </c>
      <c r="B150" s="209" t="str">
        <f>TEXT($G$1, "[$-ko-KR]yyyy-mm-dd(ddd) ") &amp; "오전 00:00"</f>
        <v>2021-04-01(목) 오전 00:00</v>
      </c>
      <c r="C150" s="210"/>
      <c r="D150" s="211" t="str">
        <f>TEXT($G$1, "[$-ko-KR]yyyy-mm-dd(ddd) ") &amp; "오후 14:00"</f>
        <v>2021-04-01(목) 오후 14:00</v>
      </c>
      <c r="E150" s="212"/>
      <c r="F150" s="213"/>
      <c r="G150" s="211" t="str">
        <f>TEXT($G$1, "[$-ko-KR]yyyy-mm-dd(ddd) ") &amp; "오후 19:00"</f>
        <v>2021-04-01(목) 오후 19:00</v>
      </c>
      <c r="H150" s="212"/>
      <c r="I150" s="213"/>
      <c r="J150" s="211" t="str">
        <f>TEXT($G$1, "[$-ko-KR]yyyy-mm-dd(ddd) ") &amp; "오후 21:00"</f>
        <v>2021-04-01(목) 오후 21:00</v>
      </c>
      <c r="K150" s="212"/>
      <c r="L150" s="213"/>
      <c r="M150" s="211" t="str">
        <f>TEXT($G$1+1, "[$-ko-KR]yyyy-mm-dd(ddd) ") &amp; "오전 00:00"</f>
        <v>2021-04-02(금) 오전 00:00</v>
      </c>
      <c r="N150" s="212"/>
      <c r="O150" s="213"/>
      <c r="Q150" s="197"/>
      <c r="R150" s="197"/>
      <c r="S150" s="197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8"/>
      <c r="R161" s="189"/>
      <c r="S161" s="19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1"/>
      <c r="R162" s="192"/>
      <c r="S162" s="19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4"/>
      <c r="R163" s="195"/>
      <c r="S163" s="19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6"/>
      <c r="R170" s="177"/>
      <c r="S170" s="17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9"/>
      <c r="R171" s="180"/>
      <c r="S171" s="181"/>
    </row>
    <row r="172" spans="1:19" ht="17.25" thickBot="1">
      <c r="A172" s="26" t="s">
        <v>300</v>
      </c>
      <c r="B172" s="185">
        <f>$B$37</f>
        <v>300000</v>
      </c>
      <c r="C172" s="18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11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07" t="s">
        <v>55</v>
      </c>
      <c r="B177" s="209" t="str">
        <f>TEXT($G$1, "[$-ko-KR]yyyy-mm-dd(ddd) ") &amp; "오전 00:00"</f>
        <v>2021-04-01(목) 오전 00:00</v>
      </c>
      <c r="C177" s="210"/>
      <c r="D177" s="211" t="str">
        <f>TEXT($G$1, "[$-ko-KR]yyyy-mm-dd(ddd) ") &amp; "오후 14:00"</f>
        <v>2021-04-01(목) 오후 14:00</v>
      </c>
      <c r="E177" s="212"/>
      <c r="F177" s="213"/>
      <c r="G177" s="211" t="str">
        <f>TEXT($G$1, "[$-ko-KR]yyyy-mm-dd(ddd) ") &amp; "오후 19:00"</f>
        <v>2021-04-01(목) 오후 19:00</v>
      </c>
      <c r="H177" s="212"/>
      <c r="I177" s="213"/>
      <c r="J177" s="211" t="str">
        <f>TEXT($G$1, "[$-ko-KR]yyyy-mm-dd(ddd) ") &amp; "오후 21:00"</f>
        <v>2021-04-01(목) 오후 21:00</v>
      </c>
      <c r="K177" s="212"/>
      <c r="L177" s="213"/>
      <c r="M177" s="211" t="str">
        <f>TEXT($G$1+1, "[$-ko-KR]yyyy-mm-dd(ddd) ") &amp; "오전 00:00"</f>
        <v>2021-04-02(금) 오전 00:00</v>
      </c>
      <c r="N177" s="212"/>
      <c r="O177" s="213"/>
      <c r="Q177" s="197"/>
      <c r="R177" s="197"/>
      <c r="S177" s="197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8"/>
      <c r="R188" s="189"/>
      <c r="S188" s="19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1"/>
      <c r="R189" s="192"/>
      <c r="S189" s="19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4"/>
      <c r="R190" s="195"/>
      <c r="S190" s="19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6"/>
      <c r="R197" s="177"/>
      <c r="S197" s="17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9"/>
      <c r="R198" s="180"/>
      <c r="S198" s="181"/>
    </row>
    <row r="199" spans="1:19" ht="17.25" thickBot="1">
      <c r="A199" s="26" t="s">
        <v>300</v>
      </c>
      <c r="B199" s="185">
        <f>$B$37</f>
        <v>300000</v>
      </c>
      <c r="C199" s="18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2"/>
      <c r="R199" s="183"/>
      <c r="S199" s="1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44348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17" t="s">
        <v>3</v>
      </c>
      <c r="B2" s="232" t="s">
        <v>8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350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358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0"/>
      <c r="I3" s="221"/>
      <c r="J3" s="4" t="s">
        <v>7</v>
      </c>
      <c r="K3" s="223" t="s">
        <v>351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352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349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0"/>
      <c r="I5" s="221"/>
      <c r="J5" s="4" t="s">
        <v>15</v>
      </c>
      <c r="K5" s="223" t="s">
        <v>353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354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0"/>
      <c r="I7" s="221"/>
      <c r="J7" s="4" t="s">
        <v>21</v>
      </c>
      <c r="K7" s="223" t="s">
        <v>355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/>
      <c r="L8" s="224"/>
      <c r="M8" s="224"/>
      <c r="N8" s="224"/>
      <c r="O8" s="225"/>
      <c r="Q8" s="198" t="s">
        <v>27</v>
      </c>
      <c r="R8" s="200"/>
    </row>
    <row r="9" spans="1:19" ht="17.25" thickBot="1">
      <c r="A9" s="118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0"/>
      <c r="I9" s="221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 t="s">
        <v>356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16" t="s">
        <v>357</v>
      </c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0"/>
      <c r="I11" s="221"/>
      <c r="J11" s="7" t="s">
        <v>32</v>
      </c>
      <c r="K11" s="216" t="s">
        <v>348</v>
      </c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16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35" t="s">
        <v>39</v>
      </c>
      <c r="B15" s="236" t="str">
        <f>TEXT($G$1, "[$-ko-KR]yyyy-mm-dd(ddd) ") &amp; "오전 00:00"</f>
        <v>2021-06-01(화) 오전 00:00</v>
      </c>
      <c r="C15" s="237"/>
      <c r="D15" s="211" t="str">
        <f>TEXT($G$1, "[$-ko-KR]yyyy-mm-dd(ddd) ") &amp; "오후 14:00"</f>
        <v>2021-06-01(화) 오후 14:00</v>
      </c>
      <c r="E15" s="212"/>
      <c r="F15" s="213"/>
      <c r="G15" s="211" t="str">
        <f>TEXT($G$1, "[$-ko-KR]yyyy-mm-dd(ddd) ") &amp; "오후 19:00"</f>
        <v>2021-06-01(화) 오후 19:00</v>
      </c>
      <c r="H15" s="212"/>
      <c r="I15" s="213"/>
      <c r="J15" s="211" t="str">
        <f>TEXT($G$1, "[$-ko-KR]yyyy-mm-dd(ddd) ") &amp; "오후 21:00"</f>
        <v>2021-06-01(화) 오후 21:00</v>
      </c>
      <c r="K15" s="212"/>
      <c r="L15" s="213"/>
      <c r="M15" s="211" t="str">
        <f>TEXT($G$1+1, "[$-ko-KR]yyyy-mm-dd(ddd) ") &amp; "오전 00:00"</f>
        <v>2021-06-02(수) 오전 00:00</v>
      </c>
      <c r="N15" s="212"/>
      <c r="O15" s="213"/>
      <c r="Q15" s="197"/>
      <c r="R15" s="197"/>
      <c r="S15" s="197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8"/>
      <c r="R26" s="189"/>
      <c r="S26" s="1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1"/>
      <c r="R27" s="192"/>
      <c r="S27" s="1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4"/>
      <c r="R28" s="195"/>
      <c r="S28" s="1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16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42" t="s">
        <v>55</v>
      </c>
      <c r="B42" s="238" t="str">
        <f>TEXT($G$1, "[$-ko-KR]yyyy-mm-dd(ddd) ") &amp; "오전 00:00"</f>
        <v>2021-06-01(화) 오전 00:00</v>
      </c>
      <c r="C42" s="239"/>
      <c r="D42" s="211" t="str">
        <f>TEXT($G$1, "[$-ko-KR]yyyy-mm-dd(ddd) ") &amp; "오후 14:00"</f>
        <v>2021-06-01(화) 오후 14:00</v>
      </c>
      <c r="E42" s="212"/>
      <c r="F42" s="213"/>
      <c r="G42" s="211" t="str">
        <f>TEXT($G$1, "[$-ko-KR]yyyy-mm-dd(ddd) ") &amp; "오후 19:00"</f>
        <v>2021-06-01(화) 오후 19:00</v>
      </c>
      <c r="H42" s="212"/>
      <c r="I42" s="213"/>
      <c r="J42" s="211" t="str">
        <f>TEXT($G$1, "[$-ko-KR]yyyy-mm-dd(ddd) ") &amp; "오후 21:00"</f>
        <v>2021-06-01(화) 오후 21:00</v>
      </c>
      <c r="K42" s="212"/>
      <c r="L42" s="213"/>
      <c r="M42" s="211" t="str">
        <f>TEXT($G$1+1, "[$-ko-KR]yyyy-mm-dd(ddd) ") &amp; "오전 00:00"</f>
        <v>2021-06-02(수) 오전 00:00</v>
      </c>
      <c r="N42" s="212"/>
      <c r="O42" s="213"/>
      <c r="Q42" s="197"/>
      <c r="R42" s="197"/>
      <c r="S42" s="197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8"/>
      <c r="R53" s="189"/>
      <c r="S53" s="19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1"/>
      <c r="R54" s="192"/>
      <c r="S54" s="19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4"/>
      <c r="R55" s="195"/>
      <c r="S55" s="19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6"/>
      <c r="R62" s="177"/>
      <c r="S62" s="17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9"/>
      <c r="R63" s="180"/>
      <c r="S63" s="181"/>
    </row>
    <row r="64" spans="1:19" ht="17.25" customHeight="1" thickBot="1">
      <c r="A64" s="132" t="s">
        <v>300</v>
      </c>
      <c r="B64" s="240">
        <f>$B$37</f>
        <v>100000</v>
      </c>
      <c r="C64" s="24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16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42" t="s">
        <v>55</v>
      </c>
      <c r="B69" s="238" t="str">
        <f>TEXT($G$1, "[$-ko-KR]yyyy-mm-dd(ddd) ") &amp; "오전 00:00"</f>
        <v>2021-06-01(화) 오전 00:00</v>
      </c>
      <c r="C69" s="239"/>
      <c r="D69" s="211" t="str">
        <f>TEXT($G$1, "[$-ko-KR]yyyy-mm-dd(ddd) ") &amp; "오후 14:00"</f>
        <v>2021-06-01(화) 오후 14:00</v>
      </c>
      <c r="E69" s="212"/>
      <c r="F69" s="213"/>
      <c r="G69" s="211" t="str">
        <f>TEXT($G$1, "[$-ko-KR]yyyy-mm-dd(ddd) ") &amp; "오후 19:00"</f>
        <v>2021-06-01(화) 오후 19:00</v>
      </c>
      <c r="H69" s="212"/>
      <c r="I69" s="213"/>
      <c r="J69" s="211" t="str">
        <f>TEXT($G$1, "[$-ko-KR]yyyy-mm-dd(ddd) ") &amp; "오후 21:00"</f>
        <v>2021-06-01(화) 오후 21:00</v>
      </c>
      <c r="K69" s="212"/>
      <c r="L69" s="213"/>
      <c r="M69" s="211" t="str">
        <f>TEXT($G$1+1, "[$-ko-KR]yyyy-mm-dd(ddd) ") &amp; "오전 00:00"</f>
        <v>2021-06-02(수) 오전 00:00</v>
      </c>
      <c r="N69" s="212"/>
      <c r="O69" s="213"/>
      <c r="Q69" s="197"/>
      <c r="R69" s="197"/>
      <c r="S69" s="197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8"/>
      <c r="R80" s="189"/>
      <c r="S80" s="19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1"/>
      <c r="R81" s="192"/>
      <c r="S81" s="19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4"/>
      <c r="R82" s="195"/>
      <c r="S82" s="19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6"/>
      <c r="R89" s="177"/>
      <c r="S89" s="17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9"/>
      <c r="R90" s="180"/>
      <c r="S90" s="181"/>
    </row>
    <row r="91" spans="1:19" ht="17.25" thickBot="1">
      <c r="A91" s="132" t="s">
        <v>300</v>
      </c>
      <c r="B91" s="240">
        <f>$B$37</f>
        <v>100000</v>
      </c>
      <c r="C91" s="24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16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42" t="s">
        <v>55</v>
      </c>
      <c r="B96" s="238" t="str">
        <f>TEXT($G$1, "[$-ko-KR]yyyy-mm-dd(ddd) ") &amp; "오전 00:00"</f>
        <v>2021-06-01(화) 오전 00:00</v>
      </c>
      <c r="C96" s="239"/>
      <c r="D96" s="211" t="str">
        <f>TEXT($G$1, "[$-ko-KR]yyyy-mm-dd(ddd) ") &amp; "오후 14:00"</f>
        <v>2021-06-01(화) 오후 14:00</v>
      </c>
      <c r="E96" s="212"/>
      <c r="F96" s="213"/>
      <c r="G96" s="211" t="str">
        <f>TEXT($G$1, "[$-ko-KR]yyyy-mm-dd(ddd) ") &amp; "오후 19:00"</f>
        <v>2021-06-01(화) 오후 19:00</v>
      </c>
      <c r="H96" s="212"/>
      <c r="I96" s="213"/>
      <c r="J96" s="211" t="str">
        <f>TEXT($G$1, "[$-ko-KR]yyyy-mm-dd(ddd) ") &amp; "오후 21:00"</f>
        <v>2021-06-01(화) 오후 21:00</v>
      </c>
      <c r="K96" s="212"/>
      <c r="L96" s="213"/>
      <c r="M96" s="211" t="str">
        <f>TEXT($G$1+1, "[$-ko-KR]yyyy-mm-dd(ddd) ") &amp; "오전 00:00"</f>
        <v>2021-06-02(수) 오전 00:00</v>
      </c>
      <c r="N96" s="212"/>
      <c r="O96" s="213"/>
      <c r="Q96" s="197"/>
      <c r="R96" s="197"/>
      <c r="S96" s="197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8"/>
      <c r="R107" s="189"/>
      <c r="S107" s="19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1"/>
      <c r="R108" s="192"/>
      <c r="S108" s="19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4"/>
      <c r="R109" s="195"/>
      <c r="S109" s="19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6"/>
      <c r="R116" s="177"/>
      <c r="S116" s="17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9"/>
      <c r="R117" s="180"/>
      <c r="S117" s="181"/>
    </row>
    <row r="118" spans="1:19" ht="17.25" thickBot="1">
      <c r="A118" s="132" t="s">
        <v>300</v>
      </c>
      <c r="B118" s="240">
        <f>$B$37</f>
        <v>100000</v>
      </c>
      <c r="C118" s="24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16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42" t="s">
        <v>55</v>
      </c>
      <c r="B123" s="238" t="str">
        <f>TEXT($G$1, "[$-ko-KR]yyyy-mm-dd(ddd) ") &amp; "오전 00:00"</f>
        <v>2021-06-01(화) 오전 00:00</v>
      </c>
      <c r="C123" s="239"/>
      <c r="D123" s="211" t="str">
        <f>TEXT($G$1, "[$-ko-KR]yyyy-mm-dd(ddd) ") &amp; "오후 14:00"</f>
        <v>2021-06-01(화) 오후 14:00</v>
      </c>
      <c r="E123" s="212"/>
      <c r="F123" s="213"/>
      <c r="G123" s="211" t="str">
        <f>TEXT($G$1, "[$-ko-KR]yyyy-mm-dd(ddd) ") &amp; "오후 19:00"</f>
        <v>2021-06-01(화) 오후 19:00</v>
      </c>
      <c r="H123" s="212"/>
      <c r="I123" s="213"/>
      <c r="J123" s="211" t="str">
        <f>TEXT($G$1, "[$-ko-KR]yyyy-mm-dd(ddd) ") &amp; "오후 21:00"</f>
        <v>2021-06-01(화) 오후 21:00</v>
      </c>
      <c r="K123" s="212"/>
      <c r="L123" s="213"/>
      <c r="M123" s="211" t="str">
        <f>TEXT($G$1+1, "[$-ko-KR]yyyy-mm-dd(ddd) ") &amp; "오전 00:00"</f>
        <v>2021-06-02(수) 오전 00:00</v>
      </c>
      <c r="N123" s="212"/>
      <c r="O123" s="213"/>
      <c r="Q123" s="197"/>
      <c r="R123" s="197"/>
      <c r="S123" s="197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8"/>
      <c r="R134" s="189"/>
      <c r="S134" s="19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1"/>
      <c r="R135" s="192"/>
      <c r="S135" s="19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4"/>
      <c r="R136" s="195"/>
      <c r="S136" s="19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6"/>
      <c r="R143" s="177"/>
      <c r="S143" s="17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9"/>
      <c r="R144" s="180"/>
      <c r="S144" s="181"/>
    </row>
    <row r="145" spans="1:19" ht="17.25" thickBot="1">
      <c r="A145" s="132" t="s">
        <v>300</v>
      </c>
      <c r="B145" s="240">
        <f>$B$37</f>
        <v>100000</v>
      </c>
      <c r="C145" s="24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16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42" t="s">
        <v>55</v>
      </c>
      <c r="B150" s="238" t="str">
        <f>TEXT($G$1, "[$-ko-KR]yyyy-mm-dd(ddd) ") &amp; "오전 00:00"</f>
        <v>2021-06-01(화) 오전 00:00</v>
      </c>
      <c r="C150" s="239"/>
      <c r="D150" s="211" t="str">
        <f>TEXT($G$1, "[$-ko-KR]yyyy-mm-dd(ddd) ") &amp; "오후 14:00"</f>
        <v>2021-06-01(화) 오후 14:00</v>
      </c>
      <c r="E150" s="212"/>
      <c r="F150" s="213"/>
      <c r="G150" s="211" t="str">
        <f>TEXT($G$1, "[$-ko-KR]yyyy-mm-dd(ddd) ") &amp; "오후 19:00"</f>
        <v>2021-06-01(화) 오후 19:00</v>
      </c>
      <c r="H150" s="212"/>
      <c r="I150" s="213"/>
      <c r="J150" s="211" t="str">
        <f>TEXT($G$1, "[$-ko-KR]yyyy-mm-dd(ddd) ") &amp; "오후 21:00"</f>
        <v>2021-06-01(화) 오후 21:00</v>
      </c>
      <c r="K150" s="212"/>
      <c r="L150" s="213"/>
      <c r="M150" s="211" t="str">
        <f>TEXT($G$1+1, "[$-ko-KR]yyyy-mm-dd(ddd) ") &amp; "오전 00:00"</f>
        <v>2021-06-02(수) 오전 00:00</v>
      </c>
      <c r="N150" s="212"/>
      <c r="O150" s="213"/>
      <c r="Q150" s="197"/>
      <c r="R150" s="197"/>
      <c r="S150" s="197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8"/>
      <c r="R161" s="189"/>
      <c r="S161" s="19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1"/>
      <c r="R162" s="192"/>
      <c r="S162" s="19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4"/>
      <c r="R163" s="195"/>
      <c r="S163" s="19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6"/>
      <c r="R170" s="177"/>
      <c r="S170" s="17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9"/>
      <c r="R171" s="180"/>
      <c r="S171" s="181"/>
    </row>
    <row r="172" spans="1:19" ht="17.25" thickBot="1">
      <c r="A172" s="132" t="s">
        <v>300</v>
      </c>
      <c r="B172" s="240">
        <f>$B$37</f>
        <v>100000</v>
      </c>
      <c r="C172" s="24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16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42" t="s">
        <v>55</v>
      </c>
      <c r="B177" s="238" t="str">
        <f>TEXT($G$1, "[$-ko-KR]yyyy-mm-dd(ddd) ") &amp; "오전 00:00"</f>
        <v>2021-06-01(화) 오전 00:00</v>
      </c>
      <c r="C177" s="239"/>
      <c r="D177" s="211" t="str">
        <f>TEXT($G$1, "[$-ko-KR]yyyy-mm-dd(ddd) ") &amp; "오후 14:00"</f>
        <v>2021-06-01(화) 오후 14:00</v>
      </c>
      <c r="E177" s="212"/>
      <c r="F177" s="213"/>
      <c r="G177" s="211" t="str">
        <f>TEXT($G$1, "[$-ko-KR]yyyy-mm-dd(ddd) ") &amp; "오후 19:00"</f>
        <v>2021-06-01(화) 오후 19:00</v>
      </c>
      <c r="H177" s="212"/>
      <c r="I177" s="213"/>
      <c r="J177" s="211" t="str">
        <f>TEXT($G$1, "[$-ko-KR]yyyy-mm-dd(ddd) ") &amp; "오후 21:00"</f>
        <v>2021-06-01(화) 오후 21:00</v>
      </c>
      <c r="K177" s="212"/>
      <c r="L177" s="213"/>
      <c r="M177" s="211" t="str">
        <f>TEXT($G$1+1, "[$-ko-KR]yyyy-mm-dd(ddd) ") &amp; "오전 00:00"</f>
        <v>2021-06-02(수) 오전 00:00</v>
      </c>
      <c r="N177" s="212"/>
      <c r="O177" s="213"/>
      <c r="Q177" s="197"/>
      <c r="R177" s="197"/>
      <c r="S177" s="197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8"/>
      <c r="R188" s="189"/>
      <c r="S188" s="19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1"/>
      <c r="R189" s="192"/>
      <c r="S189" s="19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4"/>
      <c r="R190" s="195"/>
      <c r="S190" s="19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6"/>
      <c r="R197" s="177"/>
      <c r="S197" s="17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9"/>
      <c r="R198" s="180"/>
      <c r="S198" s="181"/>
    </row>
    <row r="199" spans="1:19" ht="17.25" thickBot="1">
      <c r="A199" s="132" t="s">
        <v>300</v>
      </c>
      <c r="B199" s="240">
        <f>$B$37</f>
        <v>100000</v>
      </c>
      <c r="C199" s="24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2"/>
      <c r="R199" s="183"/>
      <c r="S199" s="184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15.7</v>
      </c>
      <c r="D2" s="92">
        <v>8.2758620699999993E-2</v>
      </c>
      <c r="E2" s="93">
        <v>2277227180.7067342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95">
        <v>195</v>
      </c>
      <c r="D3" s="92">
        <v>4.2780748700000003E-2</v>
      </c>
      <c r="E3" s="93">
        <v>684887949.64599335</v>
      </c>
      <c r="F3" s="35"/>
      <c r="G3" s="242" t="s">
        <v>290</v>
      </c>
      <c r="H3" s="254" t="s">
        <v>365</v>
      </c>
      <c r="I3" s="254"/>
      <c r="K3" s="198" t="s">
        <v>34</v>
      </c>
      <c r="L3" s="199"/>
      <c r="M3" s="199"/>
      <c r="N3" s="200"/>
      <c r="O3" s="198" t="s">
        <v>292</v>
      </c>
      <c r="P3" s="199"/>
      <c r="Q3" s="199"/>
      <c r="R3" s="200"/>
    </row>
    <row r="4" spans="1:18" ht="17.25" thickBot="1">
      <c r="A4" s="40" t="s">
        <v>205</v>
      </c>
      <c r="B4" s="11" t="s">
        <v>206</v>
      </c>
      <c r="C4" s="95">
        <v>16940</v>
      </c>
      <c r="D4" s="92">
        <v>-1.33954572E-2</v>
      </c>
      <c r="E4" s="93">
        <v>3285247.7671185401</v>
      </c>
      <c r="F4" s="35"/>
      <c r="G4" s="243"/>
      <c r="H4" s="255"/>
      <c r="I4" s="255"/>
      <c r="K4" s="235" t="s">
        <v>55</v>
      </c>
      <c r="L4" s="251">
        <f ca="1">NOW()</f>
        <v>44351.890010300929</v>
      </c>
      <c r="M4" s="252"/>
      <c r="N4" s="253"/>
      <c r="O4" s="250" t="s">
        <v>55</v>
      </c>
      <c r="P4" s="251">
        <f ca="1">NOW()</f>
        <v>44351.890010300929</v>
      </c>
      <c r="Q4" s="252"/>
      <c r="R4" s="253"/>
    </row>
    <row r="5" spans="1:18" ht="17.25" thickBot="1">
      <c r="A5" s="40" t="s">
        <v>66</v>
      </c>
      <c r="B5" s="11" t="s">
        <v>67</v>
      </c>
      <c r="C5" s="95">
        <v>5610</v>
      </c>
      <c r="D5" s="92">
        <v>-2.00873362E-2</v>
      </c>
      <c r="E5" s="93">
        <v>12295305.63158248</v>
      </c>
      <c r="F5" s="35"/>
      <c r="K5" s="243"/>
      <c r="L5" s="36" t="s">
        <v>58</v>
      </c>
      <c r="M5" s="73" t="s">
        <v>59</v>
      </c>
      <c r="N5" s="69" t="s">
        <v>294</v>
      </c>
      <c r="O5" s="243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251</v>
      </c>
      <c r="B6" s="11" t="s">
        <v>252</v>
      </c>
      <c r="C6" s="95">
        <v>311</v>
      </c>
      <c r="D6" s="92">
        <v>-2.2012578599999999E-2</v>
      </c>
      <c r="E6" s="93">
        <v>70964528.596468747</v>
      </c>
      <c r="F6" s="35"/>
      <c r="G6" s="198" t="s">
        <v>52</v>
      </c>
      <c r="H6" s="199"/>
      <c r="I6" s="20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92.4</v>
      </c>
      <c r="M6" s="76">
        <f t="shared" ref="M6:M25" ca="1" si="1">_xlfn.IFNA(VLOOKUP(K6, $B$2:$E$200, 3, FALSE), "")</f>
        <v>-6.8548387099999997E-2</v>
      </c>
      <c r="N6" s="85">
        <f ca="1">_xlfn.IFNA(VLOOKUP(K6, $B$2:$E$200, 4, FALSE), "")</f>
        <v>53510407.366976522</v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15.7</v>
      </c>
      <c r="Q6" s="76">
        <f t="shared" ref="Q6:Q25" si="3">_xlfn.IFNA(VLOOKUP(O6, $B$2:$D$200, 3, FALSE), "")</f>
        <v>8.2758620699999993E-2</v>
      </c>
      <c r="R6" s="85">
        <f>_xlfn.IFNA(VLOOKUP(O6, $B$2:$E$200, 4, FALSE), "")</f>
        <v>2277227180.7067342</v>
      </c>
    </row>
    <row r="7" spans="1:18">
      <c r="A7" s="40" t="s">
        <v>211</v>
      </c>
      <c r="B7" s="11" t="s">
        <v>212</v>
      </c>
      <c r="C7" s="95">
        <v>78.3</v>
      </c>
      <c r="D7" s="92">
        <v>-4.2787286100000002E-2</v>
      </c>
      <c r="E7" s="93">
        <v>844321102.93500888</v>
      </c>
      <c r="F7" s="35"/>
      <c r="G7" s="226" t="s">
        <v>36</v>
      </c>
      <c r="H7" s="227"/>
      <c r="I7" s="228"/>
      <c r="K7" s="56" t="str">
        <f ca="1">IFERROR(OFFSET(INDIRECT($H$3 &amp; "!A17"), 1, 0), "")</f>
        <v>메디블록</v>
      </c>
      <c r="L7" s="39">
        <f t="shared" ca="1" si="0"/>
        <v>78.3</v>
      </c>
      <c r="M7" s="77">
        <f t="shared" ca="1" si="1"/>
        <v>-4.2787286100000002E-2</v>
      </c>
      <c r="N7" s="86">
        <f t="shared" ref="N7:N25" ca="1" si="4">_xlfn.IFNA(VLOOKUP(K7, $B$2:$E$200, 4, FALSE), "")</f>
        <v>844321102.93500888</v>
      </c>
      <c r="O7" s="47" t="str">
        <f>INDEX($A$2:$D$200, MATCH(LARGE($D$2:$D$200, 2), $D$2:$D$200, 0), 2)</f>
        <v>디카르고</v>
      </c>
      <c r="P7" s="39">
        <f t="shared" si="2"/>
        <v>195</v>
      </c>
      <c r="Q7" s="77">
        <f t="shared" si="3"/>
        <v>4.2780748700000003E-2</v>
      </c>
      <c r="R7" s="86">
        <f t="shared" ref="R7:R25" si="5">_xlfn.IFNA(VLOOKUP(O7, $B$2:$E$200, 4, FALSE), "")</f>
        <v>684887949.64599335</v>
      </c>
    </row>
    <row r="8" spans="1:18" ht="17.25" thickBot="1">
      <c r="A8" s="40" t="s">
        <v>175</v>
      </c>
      <c r="B8" s="11" t="s">
        <v>176</v>
      </c>
      <c r="C8" s="95">
        <v>1155</v>
      </c>
      <c r="D8" s="92">
        <v>-4.9382716E-2</v>
      </c>
      <c r="E8" s="93">
        <v>20072270.398274589</v>
      </c>
      <c r="F8" s="35"/>
      <c r="G8" s="219"/>
      <c r="H8" s="220"/>
      <c r="I8" s="221"/>
      <c r="K8" s="56" t="str">
        <f ca="1">IFERROR(OFFSET(INDIRECT($H$3 &amp; "!A17"), 2, 0), "")</f>
        <v>메타디움</v>
      </c>
      <c r="L8" s="39">
        <f t="shared" ca="1" si="0"/>
        <v>121</v>
      </c>
      <c r="M8" s="77">
        <f t="shared" ca="1" si="1"/>
        <v>-8.3333333300000006E-2</v>
      </c>
      <c r="N8" s="86">
        <f t="shared" ca="1" si="4"/>
        <v>103938706.74554054</v>
      </c>
      <c r="O8" s="47" t="str">
        <f>INDEX($A$2:$D$200, MATCH(LARGE($D$2:$D$200, 3), $D$2:$D$200, 0), 2)</f>
        <v>플로우</v>
      </c>
      <c r="P8" s="39">
        <f t="shared" si="2"/>
        <v>16940</v>
      </c>
      <c r="Q8" s="77">
        <f t="shared" si="3"/>
        <v>-1.33954572E-2</v>
      </c>
      <c r="R8" s="86">
        <f t="shared" si="5"/>
        <v>3285247.7671185401</v>
      </c>
    </row>
    <row r="9" spans="1:18" ht="17.25" thickBot="1">
      <c r="A9" s="40" t="s">
        <v>225</v>
      </c>
      <c r="B9" s="11" t="s">
        <v>226</v>
      </c>
      <c r="C9" s="95">
        <v>298</v>
      </c>
      <c r="D9" s="92">
        <v>-5.0955413999999997E-2</v>
      </c>
      <c r="E9" s="93">
        <v>10612282.83404791</v>
      </c>
      <c r="F9" s="35"/>
      <c r="G9" s="9" t="s">
        <v>38</v>
      </c>
      <c r="H9" s="199" t="s">
        <v>37</v>
      </c>
      <c r="I9" s="200"/>
      <c r="K9" s="56" t="str">
        <f ca="1">IFERROR(OFFSET(INDIRECT($H$3 &amp; "!A17"), 3, 0), "")</f>
        <v>크립토닷컴체인</v>
      </c>
      <c r="L9" s="39">
        <f t="shared" ca="1" si="0"/>
        <v>140</v>
      </c>
      <c r="M9" s="77">
        <f t="shared" ca="1" si="1"/>
        <v>-7.2847682100000005E-2</v>
      </c>
      <c r="N9" s="86">
        <f t="shared" ca="1" si="4"/>
        <v>26239524.26977846</v>
      </c>
      <c r="O9" s="47" t="str">
        <f>INDEX($A$2:$D$200, MATCH(LARGE($D$2:$D$200, 4), $D$2:$D$200, 0), 2)</f>
        <v>코박토큰</v>
      </c>
      <c r="P9" s="39">
        <f t="shared" si="2"/>
        <v>5610</v>
      </c>
      <c r="Q9" s="77">
        <f t="shared" si="3"/>
        <v>-2.00873362E-2</v>
      </c>
      <c r="R9" s="86">
        <f t="shared" si="5"/>
        <v>12295305.63158248</v>
      </c>
    </row>
    <row r="10" spans="1:18">
      <c r="A10" s="40" t="s">
        <v>253</v>
      </c>
      <c r="B10" s="11" t="s">
        <v>254</v>
      </c>
      <c r="C10" s="95">
        <v>51.9</v>
      </c>
      <c r="D10" s="92">
        <v>-5.8076225000000002E-2</v>
      </c>
      <c r="E10" s="93">
        <v>78200922.258549005</v>
      </c>
      <c r="F10" s="35"/>
      <c r="G10" s="244">
        <f>_xlfn.IFNA(VLOOKUP(G7, $B$2:$D$200, 3, FALSE), "-")</f>
        <v>-5.9804979000000001E-2</v>
      </c>
      <c r="H10" s="246">
        <f>_xlfn.IFNA(VLOOKUP(G7, $B$2:$D$200, 2, FALSE), "-")</f>
        <v>42714000</v>
      </c>
      <c r="I10" s="247"/>
      <c r="K10" s="58" t="str">
        <f ca="1">IFERROR(OFFSET(INDIRECT($H$3 &amp; "!A17"), 4, 0), "")</f>
        <v>헌트</v>
      </c>
      <c r="L10" s="44">
        <f t="shared" ca="1" si="0"/>
        <v>303</v>
      </c>
      <c r="M10" s="78">
        <f t="shared" ca="1" si="1"/>
        <v>-6.1919504600000001E-2</v>
      </c>
      <c r="N10" s="90">
        <f t="shared" ca="1" si="4"/>
        <v>51192949.686697878</v>
      </c>
      <c r="O10" s="47" t="str">
        <f>INDEX($A$2:$D$200, MATCH(LARGE($D$2:$D$200, 5), $D$2:$D$200, 0), 2)</f>
        <v>아인스타이늄</v>
      </c>
      <c r="P10" s="39">
        <f t="shared" si="2"/>
        <v>311</v>
      </c>
      <c r="Q10" s="77">
        <f t="shared" si="3"/>
        <v>-2.2012578599999999E-2</v>
      </c>
      <c r="R10" s="90">
        <f t="shared" si="5"/>
        <v>70964528.596468747</v>
      </c>
    </row>
    <row r="11" spans="1:18" ht="17.25" thickBot="1">
      <c r="A11" s="40" t="s">
        <v>275</v>
      </c>
      <c r="B11" s="11" t="s">
        <v>276</v>
      </c>
      <c r="C11" s="95">
        <v>2845</v>
      </c>
      <c r="D11" s="92">
        <v>-5.9504132199999997E-2</v>
      </c>
      <c r="E11" s="93">
        <v>781462.95072912995</v>
      </c>
      <c r="F11" s="35"/>
      <c r="G11" s="245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메디블록</v>
      </c>
      <c r="P11" s="45">
        <f t="shared" si="2"/>
        <v>78.3</v>
      </c>
      <c r="Q11" s="80">
        <f t="shared" si="3"/>
        <v>-4.2787286100000002E-2</v>
      </c>
      <c r="R11" s="99">
        <f t="shared" si="5"/>
        <v>844321102.93500888</v>
      </c>
    </row>
    <row r="12" spans="1:18" ht="17.25" thickBot="1">
      <c r="A12" s="40" t="s">
        <v>48</v>
      </c>
      <c r="B12" s="11" t="s">
        <v>49</v>
      </c>
      <c r="C12" s="95">
        <v>42714000</v>
      </c>
      <c r="D12" s="92">
        <v>-5.9804979000000001E-2</v>
      </c>
      <c r="E12" s="93">
        <v>6408.5900656200001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1155</v>
      </c>
      <c r="Q12" s="77">
        <f t="shared" si="3"/>
        <v>-4.9382716E-2</v>
      </c>
      <c r="R12" s="86">
        <f t="shared" si="5"/>
        <v>20072270.398274589</v>
      </c>
    </row>
    <row r="13" spans="1:18" ht="17.25" thickBot="1">
      <c r="A13" s="40" t="s">
        <v>245</v>
      </c>
      <c r="B13" s="11" t="s">
        <v>246</v>
      </c>
      <c r="C13" s="95">
        <v>303</v>
      </c>
      <c r="D13" s="92">
        <v>-6.1919504600000001E-2</v>
      </c>
      <c r="E13" s="93">
        <v>51192949.686697878</v>
      </c>
      <c r="F13" s="35"/>
      <c r="G13" s="198" t="s">
        <v>70</v>
      </c>
      <c r="H13" s="199"/>
      <c r="I13" s="20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298</v>
      </c>
      <c r="Q13" s="77">
        <f t="shared" si="3"/>
        <v>-5.0955413999999997E-2</v>
      </c>
      <c r="R13" s="86">
        <f t="shared" si="5"/>
        <v>10612282.83404791</v>
      </c>
    </row>
    <row r="14" spans="1:18">
      <c r="A14" s="40" t="s">
        <v>189</v>
      </c>
      <c r="B14" s="11" t="s">
        <v>190</v>
      </c>
      <c r="C14" s="95">
        <v>46950</v>
      </c>
      <c r="D14" s="92">
        <v>-6.5485668799999994E-2</v>
      </c>
      <c r="E14" s="93">
        <v>65635.6238553</v>
      </c>
      <c r="F14" s="35"/>
      <c r="G14" s="226" t="s">
        <v>36</v>
      </c>
      <c r="H14" s="227"/>
      <c r="I14" s="22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퀴즈톡</v>
      </c>
      <c r="P14" s="39">
        <f t="shared" si="2"/>
        <v>51.9</v>
      </c>
      <c r="Q14" s="77">
        <f t="shared" si="3"/>
        <v>-5.8076225000000002E-2</v>
      </c>
      <c r="R14" s="86">
        <f t="shared" si="5"/>
        <v>78200922.258549005</v>
      </c>
    </row>
    <row r="15" spans="1:18" ht="17.25" thickBot="1">
      <c r="A15" s="40" t="s">
        <v>133</v>
      </c>
      <c r="B15" s="11" t="s">
        <v>134</v>
      </c>
      <c r="C15" s="95">
        <v>92.4</v>
      </c>
      <c r="D15" s="92">
        <v>-6.8548387099999997E-2</v>
      </c>
      <c r="E15" s="93">
        <v>53510407.366976522</v>
      </c>
      <c r="F15" s="35"/>
      <c r="G15" s="219"/>
      <c r="H15" s="220"/>
      <c r="I15" s="22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스트라티스</v>
      </c>
      <c r="P15" s="37">
        <f t="shared" si="2"/>
        <v>2845</v>
      </c>
      <c r="Q15" s="79">
        <f t="shared" si="3"/>
        <v>-5.9504132199999997E-2</v>
      </c>
      <c r="R15" s="87">
        <f t="shared" si="5"/>
        <v>781462.95072912995</v>
      </c>
    </row>
    <row r="16" spans="1:18" ht="17.25" thickBot="1">
      <c r="A16" s="40" t="s">
        <v>173</v>
      </c>
      <c r="B16" s="11" t="s">
        <v>174</v>
      </c>
      <c r="C16" s="95">
        <v>185</v>
      </c>
      <c r="D16" s="92">
        <v>-7.0351758799999997E-2</v>
      </c>
      <c r="E16" s="93">
        <v>44967245.390326582</v>
      </c>
      <c r="F16" s="35"/>
      <c r="G16" s="9" t="s">
        <v>38</v>
      </c>
      <c r="H16" s="199" t="s">
        <v>37</v>
      </c>
      <c r="I16" s="20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</v>
      </c>
      <c r="P16" s="38">
        <f t="shared" si="2"/>
        <v>42714000</v>
      </c>
      <c r="Q16" s="76">
        <f t="shared" si="3"/>
        <v>-5.9804979000000001E-2</v>
      </c>
      <c r="R16" s="85">
        <f t="shared" si="5"/>
        <v>6408.5900656200001</v>
      </c>
    </row>
    <row r="17" spans="1:18">
      <c r="A17" s="40" t="s">
        <v>195</v>
      </c>
      <c r="B17" s="11" t="s">
        <v>196</v>
      </c>
      <c r="C17" s="95">
        <v>11.5</v>
      </c>
      <c r="D17" s="92">
        <v>-7.2580645200000002E-2</v>
      </c>
      <c r="E17" s="93">
        <v>211109075.6727919</v>
      </c>
      <c r="F17" s="35"/>
      <c r="G17" s="244">
        <f>_xlfn.IFNA(VLOOKUP(G14, $B$2:$D$200, 3, FALSE), "-")</f>
        <v>-5.9804979000000001E-2</v>
      </c>
      <c r="H17" s="246">
        <f>_xlfn.IFNA(VLOOKUP(G14, $B$2:$D$200, 2, FALSE), "-")</f>
        <v>42714000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헌트</v>
      </c>
      <c r="P17" s="39">
        <f t="shared" si="2"/>
        <v>303</v>
      </c>
      <c r="Q17" s="77">
        <f t="shared" si="3"/>
        <v>-6.1919504600000001E-2</v>
      </c>
      <c r="R17" s="86">
        <f t="shared" si="5"/>
        <v>51192949.686697878</v>
      </c>
    </row>
    <row r="18" spans="1:18" ht="17.25" thickBot="1">
      <c r="A18" s="40" t="s">
        <v>119</v>
      </c>
      <c r="B18" s="11" t="s">
        <v>120</v>
      </c>
      <c r="C18" s="95">
        <v>140</v>
      </c>
      <c r="D18" s="92">
        <v>-7.2847682100000005E-2</v>
      </c>
      <c r="E18" s="93">
        <v>26239524.26977846</v>
      </c>
      <c r="F18" s="35"/>
      <c r="G18" s="245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스트라이크</v>
      </c>
      <c r="P18" s="39">
        <f t="shared" si="2"/>
        <v>46950</v>
      </c>
      <c r="Q18" s="77">
        <f t="shared" si="3"/>
        <v>-6.5485668799999994E-2</v>
      </c>
      <c r="R18" s="86">
        <f t="shared" si="5"/>
        <v>65635.6238553</v>
      </c>
    </row>
    <row r="19" spans="1:18" ht="17.25" thickBot="1">
      <c r="A19" s="40" t="s">
        <v>217</v>
      </c>
      <c r="B19" s="11" t="s">
        <v>218</v>
      </c>
      <c r="C19" s="95">
        <v>16.399999999999999</v>
      </c>
      <c r="D19" s="92">
        <v>-7.3446327699999994E-2</v>
      </c>
      <c r="E19" s="93">
        <v>450700447.79396904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오브스</v>
      </c>
      <c r="P19" s="39">
        <f t="shared" si="2"/>
        <v>92.4</v>
      </c>
      <c r="Q19" s="77">
        <f t="shared" si="3"/>
        <v>-6.8548387099999997E-2</v>
      </c>
      <c r="R19" s="86">
        <f t="shared" si="5"/>
        <v>53510407.366976522</v>
      </c>
    </row>
    <row r="20" spans="1:18" ht="17.25" thickBot="1">
      <c r="A20" s="40" t="s">
        <v>197</v>
      </c>
      <c r="B20" s="11" t="s">
        <v>198</v>
      </c>
      <c r="C20" s="95">
        <v>16.3</v>
      </c>
      <c r="D20" s="92">
        <v>-7.3863636400000002E-2</v>
      </c>
      <c r="E20" s="93">
        <v>393936222.59693682</v>
      </c>
      <c r="F20" s="35"/>
      <c r="G20" s="198" t="s">
        <v>286</v>
      </c>
      <c r="H20" s="199"/>
      <c r="I20" s="20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보라</v>
      </c>
      <c r="P20" s="39">
        <f t="shared" si="2"/>
        <v>185</v>
      </c>
      <c r="Q20" s="77">
        <f t="shared" si="3"/>
        <v>-7.0351758799999997E-2</v>
      </c>
      <c r="R20" s="90">
        <f t="shared" si="5"/>
        <v>44967245.390326582</v>
      </c>
    </row>
    <row r="21" spans="1:18">
      <c r="A21" s="40" t="s">
        <v>155</v>
      </c>
      <c r="B21" s="11" t="s">
        <v>156</v>
      </c>
      <c r="C21" s="95">
        <v>88</v>
      </c>
      <c r="D21" s="92">
        <v>-7.4658254499999993E-2</v>
      </c>
      <c r="E21" s="93">
        <v>307196005.72759402</v>
      </c>
      <c r="F21" s="35"/>
      <c r="G21" s="226" t="s">
        <v>36</v>
      </c>
      <c r="H21" s="227"/>
      <c r="I21" s="22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썬더토큰</v>
      </c>
      <c r="P21" s="45">
        <f t="shared" si="2"/>
        <v>11.5</v>
      </c>
      <c r="Q21" s="80">
        <f t="shared" si="3"/>
        <v>-7.2580645200000002E-2</v>
      </c>
      <c r="R21" s="99">
        <f t="shared" si="5"/>
        <v>211109075.6727919</v>
      </c>
    </row>
    <row r="22" spans="1:18" ht="17.25" thickBot="1">
      <c r="A22" s="40" t="s">
        <v>229</v>
      </c>
      <c r="B22" s="11" t="s">
        <v>230</v>
      </c>
      <c r="C22" s="95">
        <v>111</v>
      </c>
      <c r="D22" s="92">
        <v>-7.4999999999999997E-2</v>
      </c>
      <c r="E22" s="93">
        <v>52281857.262998477</v>
      </c>
      <c r="F22" s="35"/>
      <c r="G22" s="219"/>
      <c r="H22" s="220"/>
      <c r="I22" s="22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140</v>
      </c>
      <c r="Q22" s="77">
        <f t="shared" si="3"/>
        <v>-7.2847682100000005E-2</v>
      </c>
      <c r="R22" s="86">
        <f t="shared" si="5"/>
        <v>26239524.26977846</v>
      </c>
    </row>
    <row r="23" spans="1:18" ht="17.25" thickBot="1">
      <c r="A23" s="40" t="s">
        <v>161</v>
      </c>
      <c r="B23" s="11" t="s">
        <v>162</v>
      </c>
      <c r="C23" s="95">
        <v>1220</v>
      </c>
      <c r="D23" s="92">
        <v>-7.5757575800000004E-2</v>
      </c>
      <c r="E23" s="93">
        <v>5263696.8802209804</v>
      </c>
      <c r="F23" s="35"/>
      <c r="G23" s="9" t="s">
        <v>38</v>
      </c>
      <c r="H23" s="199" t="s">
        <v>37</v>
      </c>
      <c r="I23" s="20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옵저버</v>
      </c>
      <c r="P23" s="39">
        <f t="shared" si="2"/>
        <v>16.399999999999999</v>
      </c>
      <c r="Q23" s="77">
        <f t="shared" si="3"/>
        <v>-7.3446327699999994E-2</v>
      </c>
      <c r="R23" s="86">
        <f t="shared" si="5"/>
        <v>450700447.79396904</v>
      </c>
    </row>
    <row r="24" spans="1:18">
      <c r="A24" s="40" t="s">
        <v>203</v>
      </c>
      <c r="B24" s="11" t="s">
        <v>204</v>
      </c>
      <c r="C24" s="95">
        <v>3780</v>
      </c>
      <c r="D24" s="92">
        <v>-7.5794621000000006E-2</v>
      </c>
      <c r="E24" s="93">
        <v>8709999.2737620398</v>
      </c>
      <c r="F24" s="35"/>
      <c r="G24" s="244">
        <f>_xlfn.IFNA(VLOOKUP(G21, $B$2:$D$200, 3, FALSE), "-")</f>
        <v>-5.9804979000000001E-2</v>
      </c>
      <c r="H24" s="246">
        <f>_xlfn.IFNA(VLOOKUP(G21, $B$2:$D$200, 2, FALSE), "-")</f>
        <v>42714000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엠블</v>
      </c>
      <c r="P24" s="39">
        <f t="shared" si="2"/>
        <v>16.3</v>
      </c>
      <c r="Q24" s="77">
        <f t="shared" si="3"/>
        <v>-7.3863636400000002E-2</v>
      </c>
      <c r="R24" s="86">
        <f t="shared" si="5"/>
        <v>393936222.59693682</v>
      </c>
    </row>
    <row r="25" spans="1:18" ht="17.25" thickBot="1">
      <c r="A25" s="40" t="s">
        <v>257</v>
      </c>
      <c r="B25" s="11" t="s">
        <v>258</v>
      </c>
      <c r="C25" s="95">
        <v>485</v>
      </c>
      <c r="D25" s="92">
        <v>-7.6190476199999996E-2</v>
      </c>
      <c r="E25" s="93">
        <v>45871856.656308778</v>
      </c>
      <c r="F25" s="35"/>
      <c r="G25" s="245"/>
      <c r="H25" s="248"/>
      <c r="I25" s="24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88</v>
      </c>
      <c r="Q25" s="79">
        <f t="shared" si="3"/>
        <v>-7.4658254499999993E-2</v>
      </c>
      <c r="R25" s="87">
        <f t="shared" si="5"/>
        <v>307196005.72759402</v>
      </c>
    </row>
    <row r="26" spans="1:18">
      <c r="A26" s="40" t="s">
        <v>121</v>
      </c>
      <c r="B26" s="11" t="s">
        <v>122</v>
      </c>
      <c r="C26" s="95">
        <v>66.900000000000006</v>
      </c>
      <c r="D26" s="92">
        <v>-7.7241379299999996E-2</v>
      </c>
      <c r="E26" s="93">
        <v>45818452.378526181</v>
      </c>
      <c r="F26" s="35"/>
    </row>
    <row r="27" spans="1:18" ht="17.25" thickBot="1">
      <c r="A27" s="40" t="s">
        <v>281</v>
      </c>
      <c r="B27" s="11" t="s">
        <v>282</v>
      </c>
      <c r="C27" s="95">
        <v>107</v>
      </c>
      <c r="D27" s="92">
        <v>-7.7586206899999996E-2</v>
      </c>
      <c r="E27" s="93">
        <v>29118142.296541929</v>
      </c>
      <c r="F27" s="35"/>
    </row>
    <row r="28" spans="1:18" ht="17.25" thickBot="1">
      <c r="A28" s="40" t="s">
        <v>277</v>
      </c>
      <c r="B28" s="11" t="s">
        <v>278</v>
      </c>
      <c r="C28" s="95">
        <v>79.599999999999994</v>
      </c>
      <c r="D28" s="92">
        <v>-7.8703703700000002E-2</v>
      </c>
      <c r="E28" s="93">
        <v>53074240.79723043</v>
      </c>
      <c r="F28" s="35"/>
      <c r="G28" s="198" t="s">
        <v>46</v>
      </c>
      <c r="H28" s="199"/>
      <c r="I28" s="199"/>
      <c r="J28" s="200"/>
      <c r="K28" s="198" t="s">
        <v>44</v>
      </c>
      <c r="L28" s="199"/>
      <c r="M28" s="199"/>
      <c r="N28" s="200"/>
      <c r="O28" s="198" t="s">
        <v>45</v>
      </c>
      <c r="P28" s="199"/>
      <c r="Q28" s="199"/>
      <c r="R28" s="200"/>
    </row>
    <row r="29" spans="1:18" ht="17.25" thickBot="1">
      <c r="A29" s="40" t="s">
        <v>99</v>
      </c>
      <c r="B29" s="11" t="s">
        <v>100</v>
      </c>
      <c r="C29" s="95">
        <v>4.54</v>
      </c>
      <c r="D29" s="92">
        <v>-7.9107505100000003E-2</v>
      </c>
      <c r="E29" s="93">
        <v>62198103710.850075</v>
      </c>
      <c r="F29" s="35"/>
      <c r="G29" s="235" t="s">
        <v>55</v>
      </c>
      <c r="H29" s="251">
        <f ca="1">NOW()</f>
        <v>44351.890010300929</v>
      </c>
      <c r="I29" s="252"/>
      <c r="J29" s="253"/>
      <c r="K29" s="250" t="s">
        <v>55</v>
      </c>
      <c r="L29" s="251">
        <f ca="1">NOW()</f>
        <v>44351.890010300929</v>
      </c>
      <c r="M29" s="252"/>
      <c r="N29" s="253"/>
      <c r="O29" s="250" t="s">
        <v>55</v>
      </c>
      <c r="P29" s="251">
        <f ca="1">NOW()</f>
        <v>44351.890010300929</v>
      </c>
      <c r="Q29" s="252"/>
      <c r="R29" s="253"/>
    </row>
    <row r="30" spans="1:18" ht="17.25" thickBot="1">
      <c r="A30" s="40" t="s">
        <v>227</v>
      </c>
      <c r="B30" s="11" t="s">
        <v>228</v>
      </c>
      <c r="C30" s="95">
        <v>10.4</v>
      </c>
      <c r="D30" s="92">
        <v>-7.9646017700000002E-2</v>
      </c>
      <c r="E30" s="93">
        <v>516154434.42474484</v>
      </c>
      <c r="F30" s="35"/>
      <c r="G30" s="243"/>
      <c r="H30" s="36" t="s">
        <v>58</v>
      </c>
      <c r="I30" s="73" t="s">
        <v>59</v>
      </c>
      <c r="J30" s="69" t="s">
        <v>294</v>
      </c>
      <c r="K30" s="243"/>
      <c r="L30" s="36" t="s">
        <v>58</v>
      </c>
      <c r="M30" s="73" t="s">
        <v>59</v>
      </c>
      <c r="N30" s="69" t="s">
        <v>294</v>
      </c>
      <c r="O30" s="243"/>
      <c r="P30" s="36" t="s">
        <v>58</v>
      </c>
      <c r="Q30" s="73" t="s">
        <v>59</v>
      </c>
      <c r="R30" s="69" t="s">
        <v>294</v>
      </c>
    </row>
    <row r="31" spans="1:18">
      <c r="A31" s="40" t="s">
        <v>199</v>
      </c>
      <c r="B31" s="11" t="s">
        <v>200</v>
      </c>
      <c r="C31" s="95">
        <v>207</v>
      </c>
      <c r="D31" s="92">
        <v>-0.08</v>
      </c>
      <c r="E31" s="93">
        <v>9776190.7863841001</v>
      </c>
      <c r="F31" s="35"/>
      <c r="G31" s="55" t="str">
        <f ca="1">IFERROR(OFFSET(INDIRECT($H$3 &amp; "!A98"), 0, 0), "")</f>
        <v>질리카</v>
      </c>
      <c r="H31" s="38">
        <f t="shared" ref="H31:H50" ca="1" si="7">_xlfn.IFNA(VLOOKUP(G31, $B$2:$D$200, 2, FALSE), "")</f>
        <v>143</v>
      </c>
      <c r="I31" s="76">
        <f t="shared" ref="I31:I50" ca="1" si="8">_xlfn.IFNA(VLOOKUP(G31, $B$2:$D$200, 3, FALSE), "")</f>
        <v>-0.11728395060000001</v>
      </c>
      <c r="J31" s="85">
        <f ca="1">_xlfn.IFNA(VLOOKUP(G31, $B$2:$E$200, 4, FALSE), "")</f>
        <v>50401583.22757414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4.54</v>
      </c>
      <c r="M31" s="76">
        <f t="shared" ref="M31:M50" ca="1" si="10">_xlfn.IFNA(VLOOKUP(K31, $B$2:$D$200, 3, FALSE), "")</f>
        <v>-7.9107505100000003E-2</v>
      </c>
      <c r="N31" s="85">
        <f ca="1">_xlfn.IFNA(VLOOKUP(K31, $B$2:$E$200, 4, FALSE), "")</f>
        <v>62198103710.850075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143</v>
      </c>
      <c r="Q31" s="76">
        <f t="shared" ref="Q31:Q50" ca="1" si="12">_xlfn.IFNA(VLOOKUP(O31, $B$2:$D$200, 3, FALSE), "")</f>
        <v>-0.11728395060000001</v>
      </c>
      <c r="R31" s="85">
        <f ca="1">_xlfn.IFNA(VLOOKUP(O31, $B$2:$E$200, 4, FALSE), "")</f>
        <v>50401583.22757414</v>
      </c>
    </row>
    <row r="32" spans="1:18">
      <c r="A32" s="40" t="s">
        <v>107</v>
      </c>
      <c r="B32" s="11" t="s">
        <v>108</v>
      </c>
      <c r="C32" s="95">
        <v>30130</v>
      </c>
      <c r="D32" s="92">
        <v>-0.08</v>
      </c>
      <c r="E32" s="93">
        <v>177410.14441596999</v>
      </c>
      <c r="F32" s="35"/>
      <c r="G32" s="56" t="str">
        <f ca="1">IFERROR(OFFSET(INDIRECT($H$3 &amp; "!A98"), 1, 0), "")</f>
        <v>쎄타토큰</v>
      </c>
      <c r="H32" s="39">
        <f t="shared" ca="1" si="7"/>
        <v>9750</v>
      </c>
      <c r="I32" s="77">
        <f t="shared" ca="1" si="8"/>
        <v>-0.1176470588</v>
      </c>
      <c r="J32" s="86">
        <f t="shared" ref="J32:J50" ca="1" si="13">_xlfn.IFNA(VLOOKUP(G32, $B$2:$E$200, 4, FALSE), "")</f>
        <v>9907680.5335682705</v>
      </c>
      <c r="K32" s="56" t="str">
        <f ca="1">IFERROR(OFFSET(INDIRECT($H$3 &amp; "!A44"), 1, 0), "")</f>
        <v>옵저버</v>
      </c>
      <c r="L32" s="39">
        <f t="shared" ca="1" si="9"/>
        <v>16.399999999999999</v>
      </c>
      <c r="M32" s="77">
        <f t="shared" ca="1" si="10"/>
        <v>-7.3446327699999994E-2</v>
      </c>
      <c r="N32" s="86">
        <f t="shared" ref="N32:N50" ca="1" si="14">_xlfn.IFNA(VLOOKUP(K32, $B$2:$E$200, 4, FALSE), "")</f>
        <v>450700447.79396904</v>
      </c>
      <c r="O32" s="56" t="str">
        <f ca="1">IFERROR(OFFSET(INDIRECT($H$3 &amp; "!A71"), 1, 0), "")</f>
        <v>디카르고</v>
      </c>
      <c r="P32" s="39">
        <f t="shared" ca="1" si="11"/>
        <v>195</v>
      </c>
      <c r="Q32" s="77">
        <f t="shared" ca="1" si="12"/>
        <v>4.2780748700000003E-2</v>
      </c>
      <c r="R32" s="86">
        <f t="shared" ref="R32:R50" ca="1" si="15">_xlfn.IFNA(VLOOKUP(O32, $B$2:$E$200, 4, FALSE), "")</f>
        <v>684887949.64599335</v>
      </c>
    </row>
    <row r="33" spans="1:18">
      <c r="A33" s="40" t="s">
        <v>77</v>
      </c>
      <c r="B33" s="11" t="s">
        <v>78</v>
      </c>
      <c r="C33" s="95">
        <v>766000</v>
      </c>
      <c r="D33" s="92">
        <v>-8.0432172900000001E-2</v>
      </c>
      <c r="E33" s="93">
        <v>54361.495644920004</v>
      </c>
      <c r="F33" s="35"/>
      <c r="G33" s="56" t="str">
        <f ca="1">IFERROR(OFFSET(INDIRECT($H$3 &amp; "!A98"), 2, 0), "")</f>
        <v>디카르고</v>
      </c>
      <c r="H33" s="39">
        <f t="shared" ca="1" si="7"/>
        <v>195</v>
      </c>
      <c r="I33" s="77">
        <f t="shared" ca="1" si="8"/>
        <v>4.2780748700000003E-2</v>
      </c>
      <c r="J33" s="86">
        <f t="shared" ca="1" si="13"/>
        <v>684887949.64599335</v>
      </c>
      <c r="K33" s="56" t="str">
        <f ca="1">IFERROR(OFFSET(INDIRECT($H$3 &amp; "!A44"), 2, 0), "")</f>
        <v>에스티피</v>
      </c>
      <c r="L33" s="39">
        <f t="shared" ca="1" si="9"/>
        <v>57.4</v>
      </c>
      <c r="M33" s="77">
        <f t="shared" ca="1" si="10"/>
        <v>-8.3067092699999998E-2</v>
      </c>
      <c r="N33" s="86">
        <f t="shared" ca="1" si="14"/>
        <v>52816662.179357849</v>
      </c>
      <c r="O33" s="56" t="str">
        <f ca="1">IFERROR(OFFSET(INDIRECT($H$3 &amp; "!A71"), 2, 0), "")</f>
        <v>쎄타퓨엘</v>
      </c>
      <c r="P33" s="39">
        <f t="shared" ca="1" si="11"/>
        <v>421</v>
      </c>
      <c r="Q33" s="77">
        <f t="shared" ca="1" si="12"/>
        <v>-0.13016528929999999</v>
      </c>
      <c r="R33" s="86">
        <f t="shared" ca="1" si="15"/>
        <v>111400509.29505628</v>
      </c>
    </row>
    <row r="34" spans="1:18">
      <c r="A34" s="40" t="s">
        <v>95</v>
      </c>
      <c r="B34" s="11" t="s">
        <v>96</v>
      </c>
      <c r="C34" s="95">
        <v>3043000</v>
      </c>
      <c r="D34" s="92">
        <v>-8.0664652599999997E-2</v>
      </c>
      <c r="E34" s="93">
        <v>149552.46198389999</v>
      </c>
      <c r="F34" s="35"/>
      <c r="G34" s="56" t="str">
        <f ca="1">IFERROR(OFFSET(INDIRECT($H$3 &amp; "!A98"), 3, 0), "")</f>
        <v>아이오타</v>
      </c>
      <c r="H34" s="39">
        <f t="shared" ca="1" si="7"/>
        <v>1495</v>
      </c>
      <c r="I34" s="77">
        <f t="shared" ca="1" si="8"/>
        <v>-0.1074626866</v>
      </c>
      <c r="J34" s="86">
        <f t="shared" ca="1" si="13"/>
        <v>2470250.9371368699</v>
      </c>
      <c r="K34" s="56" t="str">
        <f ca="1">IFERROR(OFFSET(INDIRECT($H$3 &amp; "!A44"), 3, 0), "")</f>
        <v>트론</v>
      </c>
      <c r="L34" s="39">
        <f t="shared" ca="1" si="9"/>
        <v>88</v>
      </c>
      <c r="M34" s="77">
        <f t="shared" ca="1" si="10"/>
        <v>-7.4658254499999993E-2</v>
      </c>
      <c r="N34" s="86">
        <f t="shared" ca="1" si="14"/>
        <v>307196005.72759402</v>
      </c>
      <c r="O34" s="56" t="str">
        <f ca="1">IFERROR(OFFSET(INDIRECT($H$3 &amp; "!A71"), 3, 0), "")</f>
        <v>헤데라해시그래프</v>
      </c>
      <c r="P34" s="39">
        <f t="shared" ca="1" si="11"/>
        <v>263</v>
      </c>
      <c r="Q34" s="77">
        <f t="shared" ca="1" si="12"/>
        <v>-0.1174496644</v>
      </c>
      <c r="R34" s="86">
        <f t="shared" ca="1" si="15"/>
        <v>24794131.154019091</v>
      </c>
    </row>
    <row r="35" spans="1:18">
      <c r="A35" s="40" t="s">
        <v>259</v>
      </c>
      <c r="B35" s="11" t="s">
        <v>260</v>
      </c>
      <c r="C35" s="95">
        <v>76.400000000000006</v>
      </c>
      <c r="D35" s="92">
        <v>-8.1730769199999997E-2</v>
      </c>
      <c r="E35" s="93">
        <v>70547738.290562779</v>
      </c>
      <c r="F35" s="35"/>
      <c r="G35" s="58" t="str">
        <f ca="1">IFERROR(OFFSET(INDIRECT($H$3 &amp; "!A98"), 4, 0), "")</f>
        <v>쎄타퓨엘</v>
      </c>
      <c r="H35" s="44">
        <f t="shared" ca="1" si="7"/>
        <v>421</v>
      </c>
      <c r="I35" s="78">
        <f t="shared" ca="1" si="8"/>
        <v>-0.13016528929999999</v>
      </c>
      <c r="J35" s="90">
        <f t="shared" ca="1" si="13"/>
        <v>111400509.29505628</v>
      </c>
      <c r="K35" s="58" t="str">
        <f ca="1">IFERROR(OFFSET(INDIRECT($H$3 &amp; "!A44"), 4, 0), "")</f>
        <v>퀴즈톡</v>
      </c>
      <c r="L35" s="44">
        <f t="shared" ca="1" si="9"/>
        <v>51.9</v>
      </c>
      <c r="M35" s="78">
        <f t="shared" ca="1" si="10"/>
        <v>-5.8076225000000002E-2</v>
      </c>
      <c r="N35" s="90">
        <f t="shared" ca="1" si="14"/>
        <v>78200922.258549005</v>
      </c>
      <c r="O35" s="58" t="str">
        <f ca="1">IFERROR(OFFSET(INDIRECT($H$3 &amp; "!A71"), 4, 0), "")</f>
        <v>비체인</v>
      </c>
      <c r="P35" s="44">
        <f t="shared" ca="1" si="11"/>
        <v>150</v>
      </c>
      <c r="Q35" s="78">
        <f t="shared" ca="1" si="12"/>
        <v>-9.6385542199999993E-2</v>
      </c>
      <c r="R35" s="90">
        <f t="shared" ca="1" si="15"/>
        <v>2724937201.3229413</v>
      </c>
    </row>
    <row r="36" spans="1:18">
      <c r="A36" s="40" t="s">
        <v>221</v>
      </c>
      <c r="B36" s="11" t="s">
        <v>222</v>
      </c>
      <c r="C36" s="95">
        <v>11.2</v>
      </c>
      <c r="D36" s="92">
        <v>-8.1967213100000005E-2</v>
      </c>
      <c r="E36" s="93">
        <v>200951153.21328646</v>
      </c>
      <c r="F36" s="35"/>
      <c r="G36" s="56" t="str">
        <f ca="1">IFERROR(OFFSET(INDIRECT($H$3 &amp; "!A98"), 5, 0), "")</f>
        <v>카바</v>
      </c>
      <c r="H36" s="39">
        <f t="shared" ca="1" si="7"/>
        <v>5275</v>
      </c>
      <c r="I36" s="77">
        <f t="shared" ca="1" si="8"/>
        <v>-9.9060631900000001E-2</v>
      </c>
      <c r="J36" s="99">
        <f t="shared" ca="1" si="13"/>
        <v>3212731.9183846</v>
      </c>
      <c r="K36" s="56" t="str">
        <f ca="1">IFERROR(OFFSET(INDIRECT($H$3 &amp; "!A44"), 5, 0), "")</f>
        <v>저스트</v>
      </c>
      <c r="L36" s="39">
        <f t="shared" ca="1" si="9"/>
        <v>79.599999999999994</v>
      </c>
      <c r="M36" s="77">
        <f t="shared" ca="1" si="10"/>
        <v>-7.8703703700000002E-2</v>
      </c>
      <c r="N36" s="99">
        <f t="shared" ca="1" si="14"/>
        <v>53074240.79723043</v>
      </c>
      <c r="O36" s="56" t="str">
        <f ca="1">IFERROR(OFFSET(INDIRECT($H$3 &amp; "!A71"), 5, 0), "")</f>
        <v>시빅</v>
      </c>
      <c r="P36" s="39">
        <f t="shared" ca="1" si="11"/>
        <v>368</v>
      </c>
      <c r="Q36" s="77">
        <f t="shared" ca="1" si="12"/>
        <v>-0.1089588378</v>
      </c>
      <c r="R36" s="99">
        <f t="shared" ca="1" si="15"/>
        <v>9316160.6627927702</v>
      </c>
    </row>
    <row r="37" spans="1:18">
      <c r="A37" s="40" t="s">
        <v>265</v>
      </c>
      <c r="B37" s="11" t="s">
        <v>266</v>
      </c>
      <c r="C37" s="95">
        <v>57.4</v>
      </c>
      <c r="D37" s="92">
        <v>-8.3067092699999998E-2</v>
      </c>
      <c r="E37" s="93">
        <v>52816662.179357849</v>
      </c>
      <c r="F37" s="35"/>
      <c r="G37" s="56" t="str">
        <f ca="1">IFERROR(OFFSET(INDIRECT($H$3 &amp; "!A98"), 6, 0), "")</f>
        <v>코스모스</v>
      </c>
      <c r="H37" s="39">
        <f t="shared" ca="1" si="7"/>
        <v>16750</v>
      </c>
      <c r="I37" s="77">
        <f t="shared" ca="1" si="8"/>
        <v>-0.1321243523</v>
      </c>
      <c r="J37" s="86">
        <f t="shared" ca="1" si="13"/>
        <v>574627.09286222002</v>
      </c>
      <c r="K37" s="56" t="str">
        <f ca="1">IFERROR(OFFSET(INDIRECT($H$3 &amp; "!A44"), 6, 0), "")</f>
        <v>오브스</v>
      </c>
      <c r="L37" s="39">
        <f t="shared" ca="1" si="9"/>
        <v>92.4</v>
      </c>
      <c r="M37" s="77">
        <f t="shared" ca="1" si="10"/>
        <v>-6.8548387099999997E-2</v>
      </c>
      <c r="N37" s="86">
        <f t="shared" ca="1" si="14"/>
        <v>53510407.366976522</v>
      </c>
      <c r="O37" s="56" t="str">
        <f ca="1">IFERROR(OFFSET(INDIRECT($H$3 &amp; "!A71"), 6, 0), "")</f>
        <v>모스코인</v>
      </c>
      <c r="P37" s="39">
        <f t="shared" ca="1" si="11"/>
        <v>126</v>
      </c>
      <c r="Q37" s="77">
        <f t="shared" ca="1" si="12"/>
        <v>-8.6956521699999997E-2</v>
      </c>
      <c r="R37" s="86">
        <f t="shared" ca="1" si="15"/>
        <v>29774507.053250428</v>
      </c>
    </row>
    <row r="38" spans="1:18">
      <c r="A38" s="40" t="s">
        <v>93</v>
      </c>
      <c r="B38" s="11" t="s">
        <v>94</v>
      </c>
      <c r="C38" s="95">
        <v>66000</v>
      </c>
      <c r="D38" s="92">
        <v>-8.3206000799999999E-2</v>
      </c>
      <c r="E38" s="93">
        <v>147759.02501046</v>
      </c>
      <c r="F38" s="35"/>
      <c r="G38" s="56" t="str">
        <f ca="1">IFERROR(OFFSET(INDIRECT($H$3 &amp; "!A98"), 7, 0), "")</f>
        <v>헤데라해시그래프</v>
      </c>
      <c r="H38" s="39">
        <f t="shared" ca="1" si="7"/>
        <v>263</v>
      </c>
      <c r="I38" s="77">
        <f t="shared" ca="1" si="8"/>
        <v>-0.1174496644</v>
      </c>
      <c r="J38" s="86">
        <f t="shared" ca="1" si="13"/>
        <v>24794131.154019091</v>
      </c>
      <c r="K38" s="56" t="str">
        <f ca="1">IFERROR(OFFSET(INDIRECT($H$3 &amp; "!A44"), 7, 0), "")</f>
        <v>캐리프로토콜</v>
      </c>
      <c r="L38" s="39">
        <f t="shared" ca="1" si="9"/>
        <v>10.8</v>
      </c>
      <c r="M38" s="77">
        <f t="shared" ca="1" si="10"/>
        <v>-8.4745762700000005E-2</v>
      </c>
      <c r="N38" s="86">
        <f t="shared" ca="1" si="14"/>
        <v>413943536.95111382</v>
      </c>
      <c r="O38" s="56" t="str">
        <f ca="1">IFERROR(OFFSET(INDIRECT($H$3 &amp; "!A71"), 7, 0), "")</f>
        <v>칠리즈</v>
      </c>
      <c r="P38" s="39">
        <f t="shared" ca="1" si="11"/>
        <v>306</v>
      </c>
      <c r="Q38" s="77">
        <f t="shared" ca="1" si="12"/>
        <v>-0.1052631579</v>
      </c>
      <c r="R38" s="86">
        <f t="shared" ca="1" si="15"/>
        <v>67436029.683148086</v>
      </c>
    </row>
    <row r="39" spans="1:18">
      <c r="A39" s="40" t="s">
        <v>201</v>
      </c>
      <c r="B39" s="11" t="s">
        <v>202</v>
      </c>
      <c r="C39" s="95">
        <v>121</v>
      </c>
      <c r="D39" s="92">
        <v>-8.3333333300000006E-2</v>
      </c>
      <c r="E39" s="93">
        <v>103938706.74554054</v>
      </c>
      <c r="F39" s="35"/>
      <c r="G39" s="56" t="str">
        <f ca="1">IFERROR(OFFSET(INDIRECT($H$3 &amp; "!A98"), 8, 0), "")</f>
        <v>비체인</v>
      </c>
      <c r="H39" s="39">
        <f t="shared" ca="1" si="7"/>
        <v>150</v>
      </c>
      <c r="I39" s="77">
        <f t="shared" ca="1" si="8"/>
        <v>-9.6385542199999993E-2</v>
      </c>
      <c r="J39" s="86">
        <f t="shared" ca="1" si="13"/>
        <v>2724937201.3229413</v>
      </c>
      <c r="K39" s="56" t="str">
        <f ca="1">IFERROR(OFFSET(INDIRECT($H$3 &amp; "!A44"), 8, 0), "")</f>
        <v>메인프레임</v>
      </c>
      <c r="L39" s="39">
        <f t="shared" ca="1" si="9"/>
        <v>10.6</v>
      </c>
      <c r="M39" s="77">
        <f t="shared" ca="1" si="10"/>
        <v>-9.4017093999999996E-2</v>
      </c>
      <c r="N39" s="86">
        <f t="shared" ca="1" si="14"/>
        <v>314706828.18262148</v>
      </c>
      <c r="O39" s="56" t="str">
        <f ca="1">IFERROR(OFFSET(INDIRECT($H$3 &amp; "!A71"), 8, 0), "")</f>
        <v>샌드박스</v>
      </c>
      <c r="P39" s="39">
        <f t="shared" ca="1" si="11"/>
        <v>368</v>
      </c>
      <c r="Q39" s="77">
        <f t="shared" ca="1" si="12"/>
        <v>-0.1238095238</v>
      </c>
      <c r="R39" s="86">
        <f t="shared" ca="1" si="15"/>
        <v>27393424.956668612</v>
      </c>
    </row>
    <row r="40" spans="1:18" ht="17.25" thickBot="1">
      <c r="A40" s="40" t="s">
        <v>255</v>
      </c>
      <c r="B40" s="11" t="s">
        <v>256</v>
      </c>
      <c r="C40" s="95">
        <v>174</v>
      </c>
      <c r="D40" s="92">
        <v>-8.4210526300000005E-2</v>
      </c>
      <c r="E40" s="93">
        <v>55697093.98490677</v>
      </c>
      <c r="F40" s="35"/>
      <c r="G40" s="57" t="str">
        <f ca="1">IFERROR(OFFSET(INDIRECT($H$3 &amp; "!A98"), 9, 0), "")</f>
        <v>시빅</v>
      </c>
      <c r="H40" s="37">
        <f t="shared" ca="1" si="7"/>
        <v>368</v>
      </c>
      <c r="I40" s="79">
        <f t="shared" ca="1" si="8"/>
        <v>-0.1089588378</v>
      </c>
      <c r="J40" s="87">
        <f t="shared" ca="1" si="13"/>
        <v>9316160.6627927702</v>
      </c>
      <c r="K40" s="57" t="str">
        <f ca="1">IFERROR(OFFSET(INDIRECT($H$3 &amp; "!A44"), 9, 0), "")</f>
        <v>엔도르</v>
      </c>
      <c r="L40" s="37">
        <f t="shared" ca="1" si="9"/>
        <v>50.9</v>
      </c>
      <c r="M40" s="79">
        <f t="shared" ca="1" si="10"/>
        <v>-8.9445438299999999E-2</v>
      </c>
      <c r="N40" s="87">
        <f t="shared" ca="1" si="14"/>
        <v>89939529.07751587</v>
      </c>
      <c r="O40" s="57" t="str">
        <f ca="1">IFERROR(OFFSET(INDIRECT($H$3 &amp; "!A71"), 9, 0), "")</f>
        <v>메타디움</v>
      </c>
      <c r="P40" s="37">
        <f t="shared" ca="1" si="11"/>
        <v>121</v>
      </c>
      <c r="Q40" s="79">
        <f t="shared" ca="1" si="12"/>
        <v>-8.3333333300000006E-2</v>
      </c>
      <c r="R40" s="87">
        <f t="shared" ca="1" si="15"/>
        <v>103938706.74554054</v>
      </c>
    </row>
    <row r="41" spans="1:18">
      <c r="A41" s="40" t="s">
        <v>153</v>
      </c>
      <c r="B41" s="11" t="s">
        <v>154</v>
      </c>
      <c r="C41" s="95">
        <v>10.8</v>
      </c>
      <c r="D41" s="92">
        <v>-8.4745762700000005E-2</v>
      </c>
      <c r="E41" s="93">
        <v>413943536.95111382</v>
      </c>
      <c r="F41" s="35"/>
      <c r="G41" s="59" t="str">
        <f ca="1">IFERROR(OFFSET(INDIRECT($H$3 &amp; "!A98"), 10, 0), "")</f>
        <v>모스코인</v>
      </c>
      <c r="H41" s="38">
        <f t="shared" ca="1" si="7"/>
        <v>126</v>
      </c>
      <c r="I41" s="76">
        <f t="shared" ca="1" si="8"/>
        <v>-8.6956521699999997E-2</v>
      </c>
      <c r="J41" s="85">
        <f t="shared" ca="1" si="13"/>
        <v>29774507.053250428</v>
      </c>
      <c r="K41" s="55" t="str">
        <f ca="1">IFERROR(OFFSET(INDIRECT($H$3 &amp; "!A44"), 10, 0), "")</f>
        <v>쿼크체인</v>
      </c>
      <c r="L41" s="38">
        <f t="shared" ca="1" si="9"/>
        <v>20.8</v>
      </c>
      <c r="M41" s="76">
        <f t="shared" ca="1" si="10"/>
        <v>-9.95670996E-2</v>
      </c>
      <c r="N41" s="85">
        <f t="shared" ca="1" si="14"/>
        <v>80032161.474815488</v>
      </c>
      <c r="O41" s="55" t="str">
        <f ca="1">IFERROR(OFFSET(INDIRECT($H$3 &amp; "!A71"), 10, 0), "")</f>
        <v>앵커</v>
      </c>
      <c r="P41" s="38">
        <f t="shared" ca="1" si="11"/>
        <v>117</v>
      </c>
      <c r="Q41" s="76">
        <f t="shared" ca="1" si="12"/>
        <v>-9.3023255799999996E-2</v>
      </c>
      <c r="R41" s="85">
        <f t="shared" ca="1" si="15"/>
        <v>36530266.081309363</v>
      </c>
    </row>
    <row r="42" spans="1:18">
      <c r="A42" s="40" t="s">
        <v>279</v>
      </c>
      <c r="B42" s="11" t="s">
        <v>280</v>
      </c>
      <c r="C42" s="95">
        <v>1025</v>
      </c>
      <c r="D42" s="92">
        <v>-8.4821428599999998E-2</v>
      </c>
      <c r="E42" s="93">
        <v>3675303.8799955598</v>
      </c>
      <c r="F42" s="35"/>
      <c r="G42" s="56" t="str">
        <f ca="1">IFERROR(OFFSET(INDIRECT($H$3 &amp; "!A98"), 11, 0), "")</f>
        <v>가스</v>
      </c>
      <c r="H42" s="39">
        <f t="shared" ca="1" si="7"/>
        <v>10450</v>
      </c>
      <c r="I42" s="77">
        <f t="shared" ca="1" si="8"/>
        <v>-0.1076003416</v>
      </c>
      <c r="J42" s="86">
        <f t="shared" ca="1" si="13"/>
        <v>923230.02322469</v>
      </c>
      <c r="K42" s="56" t="str">
        <f ca="1">IFERROR(OFFSET(INDIRECT($H$3 &amp; "!A44"), 11, 0), "")</f>
        <v>픽셀</v>
      </c>
      <c r="L42" s="39">
        <f t="shared" ca="1" si="9"/>
        <v>66.900000000000006</v>
      </c>
      <c r="M42" s="77">
        <f t="shared" ca="1" si="10"/>
        <v>-7.7241379299999996E-2</v>
      </c>
      <c r="N42" s="86">
        <f t="shared" ca="1" si="14"/>
        <v>45818452.378526181</v>
      </c>
      <c r="O42" s="56" t="str">
        <f ca="1">IFERROR(OFFSET(INDIRECT($H$3 &amp; "!A71"), 11, 0), "")</f>
        <v>아르고</v>
      </c>
      <c r="P42" s="39">
        <f t="shared" ca="1" si="11"/>
        <v>207</v>
      </c>
      <c r="Q42" s="77">
        <f t="shared" ca="1" si="12"/>
        <v>-0.08</v>
      </c>
      <c r="R42" s="86">
        <f t="shared" ca="1" si="15"/>
        <v>9776190.7863841001</v>
      </c>
    </row>
    <row r="43" spans="1:18">
      <c r="A43" s="40" t="s">
        <v>237</v>
      </c>
      <c r="B43" s="11" t="s">
        <v>238</v>
      </c>
      <c r="C43" s="95">
        <v>181</v>
      </c>
      <c r="D43" s="92">
        <v>-8.5858585900000006E-2</v>
      </c>
      <c r="E43" s="93">
        <v>32157625.413666591</v>
      </c>
      <c r="F43" s="35"/>
      <c r="G43" s="56" t="str">
        <f ca="1">IFERROR(OFFSET(INDIRECT($H$3 &amp; "!A98"), 12, 0), "")</f>
        <v>어거</v>
      </c>
      <c r="H43" s="39">
        <f t="shared" ca="1" si="7"/>
        <v>27540</v>
      </c>
      <c r="I43" s="77">
        <f t="shared" ca="1" si="8"/>
        <v>-9.2586490899999999E-2</v>
      </c>
      <c r="J43" s="86">
        <f t="shared" ca="1" si="13"/>
        <v>332595.43841415999</v>
      </c>
      <c r="K43" s="56" t="str">
        <f ca="1">IFERROR(OFFSET(INDIRECT($H$3 &amp; "!A44"), 12, 0), "")</f>
        <v>람다</v>
      </c>
      <c r="L43" s="39">
        <f t="shared" ca="1" si="9"/>
        <v>51.6</v>
      </c>
      <c r="M43" s="77">
        <f t="shared" ca="1" si="10"/>
        <v>-8.6725663699999997E-2</v>
      </c>
      <c r="N43" s="86">
        <f t="shared" ca="1" si="14"/>
        <v>46631899.406840399</v>
      </c>
      <c r="O43" s="56" t="str">
        <f ca="1">IFERROR(OFFSET(INDIRECT($H$3 &amp; "!A71"), 12, 0), "")</f>
        <v>넴</v>
      </c>
      <c r="P43" s="39">
        <f t="shared" ca="1" si="11"/>
        <v>213</v>
      </c>
      <c r="Q43" s="77">
        <f t="shared" ca="1" si="12"/>
        <v>-0.1087866109</v>
      </c>
      <c r="R43" s="86">
        <f t="shared" ca="1" si="15"/>
        <v>59419066.053830519</v>
      </c>
    </row>
    <row r="44" spans="1:18">
      <c r="A44" s="40" t="s">
        <v>215</v>
      </c>
      <c r="B44" s="11" t="s">
        <v>216</v>
      </c>
      <c r="C44" s="95">
        <v>275</v>
      </c>
      <c r="D44" s="92">
        <v>-8.6378737499999997E-2</v>
      </c>
      <c r="E44" s="93">
        <v>10397419.706812439</v>
      </c>
      <c r="F44" s="35"/>
      <c r="G44" s="56" t="str">
        <f ca="1">IFERROR(OFFSET(INDIRECT($H$3 &amp; "!A98"), 13, 0), "")</f>
        <v>폴카닷</v>
      </c>
      <c r="H44" s="39">
        <f t="shared" ca="1" si="7"/>
        <v>28100</v>
      </c>
      <c r="I44" s="77">
        <f t="shared" ca="1" si="8"/>
        <v>-0.1013751199</v>
      </c>
      <c r="J44" s="86">
        <f t="shared" ca="1" si="13"/>
        <v>1580252.1435585299</v>
      </c>
      <c r="K44" s="56" t="str">
        <f ca="1">IFERROR(OFFSET(INDIRECT($H$3 &amp; "!A44"), 13, 0), "")</f>
        <v>룸네트워크</v>
      </c>
      <c r="L44" s="39">
        <f t="shared" ca="1" si="9"/>
        <v>86</v>
      </c>
      <c r="M44" s="77">
        <f t="shared" ca="1" si="10"/>
        <v>-0.1013584117</v>
      </c>
      <c r="N44" s="86">
        <f t="shared" ca="1" si="14"/>
        <v>29013746.269809339</v>
      </c>
      <c r="O44" s="56" t="str">
        <f ca="1">IFERROR(OFFSET(INDIRECT($H$3 &amp; "!A71"), 13, 0), "")</f>
        <v>베이직어텐션토큰</v>
      </c>
      <c r="P44" s="39">
        <f t="shared" ca="1" si="11"/>
        <v>867</v>
      </c>
      <c r="Q44" s="77">
        <f t="shared" ca="1" si="12"/>
        <v>-9.7814776300000003E-2</v>
      </c>
      <c r="R44" s="86">
        <f t="shared" ca="1" si="15"/>
        <v>5738445.3990689404</v>
      </c>
    </row>
    <row r="45" spans="1:18">
      <c r="A45" s="40" t="s">
        <v>267</v>
      </c>
      <c r="B45" s="11" t="s">
        <v>268</v>
      </c>
      <c r="C45" s="95">
        <v>51.6</v>
      </c>
      <c r="D45" s="92">
        <v>-8.6725663699999997E-2</v>
      </c>
      <c r="E45" s="93">
        <v>46631899.406840399</v>
      </c>
      <c r="F45" s="35"/>
      <c r="G45" s="58" t="str">
        <f ca="1">IFERROR(OFFSET(INDIRECT($H$3 &amp; "!A98"), 14, 0), "")</f>
        <v>스와이프</v>
      </c>
      <c r="H45" s="44">
        <f t="shared" ca="1" si="7"/>
        <v>2335</v>
      </c>
      <c r="I45" s="78">
        <f t="shared" ca="1" si="8"/>
        <v>-0.13358070499999999</v>
      </c>
      <c r="J45" s="90">
        <f t="shared" ca="1" si="13"/>
        <v>8299433.5743437698</v>
      </c>
      <c r="K45" s="58" t="str">
        <f ca="1">IFERROR(OFFSET(INDIRECT($H$3 &amp; "!A44"), 14, 0), "")</f>
        <v>썬더토큰</v>
      </c>
      <c r="L45" s="44">
        <f t="shared" ca="1" si="9"/>
        <v>11.5</v>
      </c>
      <c r="M45" s="78">
        <f t="shared" ca="1" si="10"/>
        <v>-7.2580645200000002E-2</v>
      </c>
      <c r="N45" s="90">
        <f t="shared" ca="1" si="14"/>
        <v>211109075.6727919</v>
      </c>
      <c r="O45" s="58" t="str">
        <f ca="1">IFERROR(OFFSET(INDIRECT($H$3 &amp; "!A71"), 14, 0), "")</f>
        <v>휴먼스케이프</v>
      </c>
      <c r="P45" s="44">
        <f t="shared" ca="1" si="11"/>
        <v>111</v>
      </c>
      <c r="Q45" s="78">
        <f t="shared" ca="1" si="12"/>
        <v>-7.4999999999999997E-2</v>
      </c>
      <c r="R45" s="90">
        <f t="shared" ca="1" si="15"/>
        <v>52281857.262998477</v>
      </c>
    </row>
    <row r="46" spans="1:18">
      <c r="A46" s="40" t="s">
        <v>239</v>
      </c>
      <c r="B46" s="11" t="s">
        <v>240</v>
      </c>
      <c r="C46" s="95">
        <v>126</v>
      </c>
      <c r="D46" s="92">
        <v>-8.6956521699999997E-2</v>
      </c>
      <c r="E46" s="93">
        <v>29774507.053250428</v>
      </c>
      <c r="F46" s="35"/>
      <c r="G46" s="56" t="str">
        <f ca="1">IFERROR(OFFSET(INDIRECT($H$3 &amp; "!A98"), 15, 0), "")</f>
        <v>칠리즈</v>
      </c>
      <c r="H46" s="39">
        <f t="shared" ca="1" si="7"/>
        <v>306</v>
      </c>
      <c r="I46" s="77">
        <f t="shared" ca="1" si="8"/>
        <v>-0.1052631579</v>
      </c>
      <c r="J46" s="99">
        <f t="shared" ca="1" si="13"/>
        <v>67436029.683148086</v>
      </c>
      <c r="K46" s="56" t="str">
        <f ca="1">IFERROR(OFFSET(INDIRECT($H$3 &amp; "!A44"), 15, 0), "")</f>
        <v>에브리피디아</v>
      </c>
      <c r="L46" s="39">
        <f t="shared" ca="1" si="9"/>
        <v>15.7</v>
      </c>
      <c r="M46" s="77">
        <f t="shared" ca="1" si="10"/>
        <v>8.2758620699999993E-2</v>
      </c>
      <c r="N46" s="99">
        <f t="shared" ca="1" si="14"/>
        <v>2277227180.7067342</v>
      </c>
      <c r="O46" s="56" t="str">
        <f ca="1">IFERROR(OFFSET(INDIRECT($H$3 &amp; "!A71"), 15, 0), "")</f>
        <v>스팀</v>
      </c>
      <c r="P46" s="39">
        <f t="shared" ca="1" si="11"/>
        <v>611</v>
      </c>
      <c r="Q46" s="77">
        <f t="shared" ca="1" si="12"/>
        <v>-0.1041055718</v>
      </c>
      <c r="R46" s="99">
        <f t="shared" ca="1" si="15"/>
        <v>7221545.4598320499</v>
      </c>
    </row>
    <row r="47" spans="1:18">
      <c r="A47" s="40" t="s">
        <v>101</v>
      </c>
      <c r="B47" s="11" t="s">
        <v>102</v>
      </c>
      <c r="C47" s="95">
        <v>73820</v>
      </c>
      <c r="D47" s="92">
        <v>-8.77409787E-2</v>
      </c>
      <c r="E47" s="93">
        <v>4245012.1644111304</v>
      </c>
      <c r="F47" s="35"/>
      <c r="G47" s="56" t="str">
        <f ca="1">IFERROR(OFFSET(INDIRECT($H$3 &amp; "!A98"), 16, 0), "")</f>
        <v>네오</v>
      </c>
      <c r="H47" s="39">
        <f t="shared" ca="1" si="7"/>
        <v>63700</v>
      </c>
      <c r="I47" s="77">
        <f t="shared" ca="1" si="8"/>
        <v>-0.1040787623</v>
      </c>
      <c r="J47" s="86">
        <f t="shared" ca="1" si="13"/>
        <v>702170.02270186995</v>
      </c>
      <c r="K47" s="56" t="str">
        <f ca="1">IFERROR(OFFSET(INDIRECT($H$3 &amp; "!A44"), 16, 0), "")</f>
        <v>리퍼리움</v>
      </c>
      <c r="L47" s="39">
        <f t="shared" ca="1" si="9"/>
        <v>13.5</v>
      </c>
      <c r="M47" s="77">
        <f t="shared" ca="1" si="10"/>
        <v>-9.3959731500000004E-2</v>
      </c>
      <c r="N47" s="86">
        <f t="shared" ca="1" si="14"/>
        <v>302653513.54490542</v>
      </c>
      <c r="O47" s="56" t="str">
        <f ca="1">IFERROR(OFFSET(INDIRECT($H$3 &amp; "!A71"), 16, 0), "")</f>
        <v>크립토닷컴체인</v>
      </c>
      <c r="P47" s="39">
        <f t="shared" ca="1" si="11"/>
        <v>140</v>
      </c>
      <c r="Q47" s="77">
        <f t="shared" ca="1" si="12"/>
        <v>-7.2847682100000005E-2</v>
      </c>
      <c r="R47" s="86">
        <f t="shared" ca="1" si="15"/>
        <v>26239524.26977846</v>
      </c>
    </row>
    <row r="48" spans="1:18">
      <c r="A48" s="40" t="s">
        <v>89</v>
      </c>
      <c r="B48" s="11" t="s">
        <v>90</v>
      </c>
      <c r="C48" s="95">
        <v>200000</v>
      </c>
      <c r="D48" s="92">
        <v>-8.77993158E-2</v>
      </c>
      <c r="E48" s="93">
        <v>30298.830030010002</v>
      </c>
      <c r="F48" s="35"/>
      <c r="G48" s="56" t="str">
        <f ca="1">IFERROR(OFFSET(INDIRECT($H$3 &amp; "!A98"), 17, 0), "")</f>
        <v>아이콘</v>
      </c>
      <c r="H48" s="39">
        <f t="shared" ca="1" si="7"/>
        <v>1305</v>
      </c>
      <c r="I48" s="77">
        <f t="shared" ca="1" si="8"/>
        <v>-0.1061643836</v>
      </c>
      <c r="J48" s="86">
        <f t="shared" ca="1" si="13"/>
        <v>2584534.4692463698</v>
      </c>
      <c r="K48" s="56" t="str">
        <f ca="1">IFERROR(OFFSET(INDIRECT($H$3 &amp; "!A44"), 17, 0), "")</f>
        <v>메디블록</v>
      </c>
      <c r="L48" s="39">
        <f t="shared" ca="1" si="9"/>
        <v>78.3</v>
      </c>
      <c r="M48" s="77">
        <f t="shared" ca="1" si="10"/>
        <v>-4.2787286100000002E-2</v>
      </c>
      <c r="N48" s="86">
        <f t="shared" ca="1" si="14"/>
        <v>844321102.93500888</v>
      </c>
      <c r="O48" s="56" t="str">
        <f ca="1">IFERROR(OFFSET(INDIRECT($H$3 &amp; "!A71"), 17, 0), "")</f>
        <v>골렘</v>
      </c>
      <c r="P48" s="39">
        <f t="shared" ca="1" si="11"/>
        <v>358</v>
      </c>
      <c r="Q48" s="77">
        <f t="shared" ca="1" si="12"/>
        <v>-9.1370558399999996E-2</v>
      </c>
      <c r="R48" s="86">
        <f t="shared" ca="1" si="15"/>
        <v>2652708.5496863099</v>
      </c>
    </row>
    <row r="49" spans="1:18">
      <c r="A49" s="40" t="s">
        <v>169</v>
      </c>
      <c r="B49" s="11" t="s">
        <v>170</v>
      </c>
      <c r="C49" s="95">
        <v>290</v>
      </c>
      <c r="D49" s="92">
        <v>-8.8050314500000004E-2</v>
      </c>
      <c r="E49" s="93">
        <v>9304144.1604330298</v>
      </c>
      <c r="F49" s="35"/>
      <c r="G49" s="56" t="str">
        <f ca="1">IFERROR(OFFSET(INDIRECT($H$3 &amp; "!A98"), 18, 0), "")</f>
        <v>세럼</v>
      </c>
      <c r="H49" s="39">
        <f t="shared" ca="1" si="7"/>
        <v>5335</v>
      </c>
      <c r="I49" s="77">
        <f t="shared" ca="1" si="8"/>
        <v>-0.12897959179999999</v>
      </c>
      <c r="J49" s="86">
        <f t="shared" ca="1" si="13"/>
        <v>3152642.7465935098</v>
      </c>
      <c r="K49" s="56" t="str">
        <f ca="1">IFERROR(OFFSET(INDIRECT($H$3 &amp; "!A44"), 18, 0), "")</f>
        <v>시아코인</v>
      </c>
      <c r="L49" s="39">
        <f t="shared" ca="1" si="9"/>
        <v>19.7</v>
      </c>
      <c r="M49" s="77">
        <f t="shared" ca="1" si="10"/>
        <v>-0.100456621</v>
      </c>
      <c r="N49" s="86">
        <f t="shared" ca="1" si="14"/>
        <v>362526439.31181592</v>
      </c>
      <c r="O49" s="56" t="str">
        <f ca="1">IFERROR(OFFSET(INDIRECT($H$3 &amp; "!A71"), 18, 0), "")</f>
        <v>이그니스</v>
      </c>
      <c r="P49" s="39">
        <f t="shared" ca="1" si="11"/>
        <v>107</v>
      </c>
      <c r="Q49" s="77">
        <f t="shared" ca="1" si="12"/>
        <v>-7.7586206899999996E-2</v>
      </c>
      <c r="R49" s="86">
        <f t="shared" ca="1" si="15"/>
        <v>29118142.296541929</v>
      </c>
    </row>
    <row r="50" spans="1:18" ht="17.25" thickBot="1">
      <c r="A50" s="40" t="s">
        <v>81</v>
      </c>
      <c r="B50" s="11" t="s">
        <v>82</v>
      </c>
      <c r="C50" s="95">
        <v>1035</v>
      </c>
      <c r="D50" s="92">
        <v>-8.81057269E-2</v>
      </c>
      <c r="E50" s="93">
        <v>1285700.68908008</v>
      </c>
      <c r="F50" s="35"/>
      <c r="G50" s="57" t="str">
        <f ca="1">IFERROR(OFFSET(INDIRECT($H$3 &amp; "!A98"), 19, 0), "")</f>
        <v>체인링크</v>
      </c>
      <c r="H50" s="37">
        <f t="shared" ca="1" si="7"/>
        <v>32510</v>
      </c>
      <c r="I50" s="79">
        <f t="shared" ca="1" si="8"/>
        <v>-0.127482555</v>
      </c>
      <c r="J50" s="87">
        <f t="shared" ca="1" si="13"/>
        <v>1698094.9406319601</v>
      </c>
      <c r="K50" s="57" t="str">
        <f ca="1">IFERROR(OFFSET(INDIRECT($H$3 &amp; "!A44"), 19, 0), "")</f>
        <v>아이오에스티</v>
      </c>
      <c r="L50" s="37">
        <f t="shared" ca="1" si="9"/>
        <v>36.5</v>
      </c>
      <c r="M50" s="79">
        <f t="shared" ca="1" si="10"/>
        <v>-0.1119221411</v>
      </c>
      <c r="N50" s="87">
        <f t="shared" ca="1" si="14"/>
        <v>78632286.191577703</v>
      </c>
      <c r="O50" s="57" t="str">
        <f ca="1">IFERROR(OFFSET(INDIRECT($H$3 &amp; "!A71"), 19, 0), "")</f>
        <v>디마켓</v>
      </c>
      <c r="P50" s="37">
        <f t="shared" ca="1" si="11"/>
        <v>810</v>
      </c>
      <c r="Q50" s="79">
        <f t="shared" ca="1" si="12"/>
        <v>-9.4972066999999993E-2</v>
      </c>
      <c r="R50" s="87">
        <f t="shared" ca="1" si="15"/>
        <v>5546770.1827400904</v>
      </c>
    </row>
    <row r="51" spans="1:18">
      <c r="A51" s="40" t="s">
        <v>235</v>
      </c>
      <c r="B51" s="11" t="s">
        <v>236</v>
      </c>
      <c r="C51" s="95">
        <v>50.9</v>
      </c>
      <c r="D51" s="92">
        <v>-8.9445438299999999E-2</v>
      </c>
      <c r="E51" s="93">
        <v>89939529.07751587</v>
      </c>
      <c r="F51" s="35"/>
    </row>
    <row r="52" spans="1:18" ht="17.25" thickBot="1">
      <c r="A52" s="40" t="s">
        <v>193</v>
      </c>
      <c r="B52" s="11" t="s">
        <v>194</v>
      </c>
      <c r="C52" s="95">
        <v>8305</v>
      </c>
      <c r="D52" s="92">
        <v>-9.0361445799999995E-2</v>
      </c>
      <c r="E52" s="93">
        <v>1471426.97190714</v>
      </c>
      <c r="F52" s="35"/>
    </row>
    <row r="53" spans="1:18" ht="17.25" thickBot="1">
      <c r="A53" s="40" t="s">
        <v>269</v>
      </c>
      <c r="B53" s="11" t="s">
        <v>270</v>
      </c>
      <c r="C53" s="95">
        <v>358</v>
      </c>
      <c r="D53" s="92">
        <v>-9.1370558399999996E-2</v>
      </c>
      <c r="E53" s="93">
        <v>2652708.5496863099</v>
      </c>
      <c r="F53" s="35"/>
      <c r="G53" s="198" t="s">
        <v>285</v>
      </c>
      <c r="H53" s="199"/>
      <c r="I53" s="199"/>
      <c r="J53" s="200"/>
      <c r="K53" s="198" t="s">
        <v>288</v>
      </c>
      <c r="L53" s="199"/>
      <c r="M53" s="199"/>
      <c r="N53" s="200"/>
      <c r="O53" s="198" t="s">
        <v>289</v>
      </c>
      <c r="P53" s="199"/>
      <c r="Q53" s="199"/>
      <c r="R53" s="200"/>
    </row>
    <row r="54" spans="1:18" ht="17.25" thickBot="1">
      <c r="A54" s="40" t="s">
        <v>85</v>
      </c>
      <c r="B54" s="11" t="s">
        <v>86</v>
      </c>
      <c r="C54" s="95">
        <v>6880</v>
      </c>
      <c r="D54" s="92">
        <v>-9.2348285000000002E-2</v>
      </c>
      <c r="E54" s="93">
        <v>20532590.7564542</v>
      </c>
      <c r="F54" s="35"/>
      <c r="G54" s="235" t="s">
        <v>55</v>
      </c>
      <c r="H54" s="251">
        <f ca="1">NOW()</f>
        <v>44351.890010300929</v>
      </c>
      <c r="I54" s="252"/>
      <c r="J54" s="253"/>
      <c r="K54" s="250" t="s">
        <v>55</v>
      </c>
      <c r="L54" s="251">
        <f ca="1">NOW()</f>
        <v>44351.890010300929</v>
      </c>
      <c r="M54" s="252"/>
      <c r="N54" s="253"/>
      <c r="O54" s="250" t="s">
        <v>55</v>
      </c>
      <c r="P54" s="251">
        <f ca="1">NOW()</f>
        <v>44351.890010300929</v>
      </c>
      <c r="Q54" s="252"/>
      <c r="R54" s="253"/>
    </row>
    <row r="55" spans="1:18" ht="17.25" thickBot="1">
      <c r="A55" s="40" t="s">
        <v>177</v>
      </c>
      <c r="B55" s="11" t="s">
        <v>178</v>
      </c>
      <c r="C55" s="95">
        <v>27540</v>
      </c>
      <c r="D55" s="92">
        <v>-9.2586490899999999E-2</v>
      </c>
      <c r="E55" s="93">
        <v>332595.43841415999</v>
      </c>
      <c r="F55" s="35"/>
      <c r="G55" s="243"/>
      <c r="H55" s="36" t="s">
        <v>58</v>
      </c>
      <c r="I55" s="73" t="s">
        <v>59</v>
      </c>
      <c r="J55" s="69" t="s">
        <v>294</v>
      </c>
      <c r="K55" s="243"/>
      <c r="L55" s="36" t="s">
        <v>58</v>
      </c>
      <c r="M55" s="73" t="s">
        <v>59</v>
      </c>
      <c r="N55" s="69" t="s">
        <v>294</v>
      </c>
      <c r="O55" s="243"/>
      <c r="P55" s="36" t="s">
        <v>58</v>
      </c>
      <c r="Q55" s="73" t="s">
        <v>59</v>
      </c>
      <c r="R55" s="69" t="s">
        <v>294</v>
      </c>
    </row>
    <row r="56" spans="1:18">
      <c r="A56" s="40" t="s">
        <v>147</v>
      </c>
      <c r="B56" s="11" t="s">
        <v>148</v>
      </c>
      <c r="C56" s="95">
        <v>117</v>
      </c>
      <c r="D56" s="92">
        <v>-9.3023255799999996E-2</v>
      </c>
      <c r="E56" s="93">
        <v>36530266.081309363</v>
      </c>
      <c r="F56" s="35"/>
      <c r="G56" s="55" t="str">
        <f ca="1">IFERROR(OFFSET(INDIRECT($H$3 &amp; "!A179"), 0, 0), "")</f>
        <v>엠블</v>
      </c>
      <c r="H56" s="38">
        <f t="shared" ref="H56:H65" ca="1" si="16">_xlfn.IFNA(VLOOKUP(G56, $B$2:$D$200, 2, FALSE), "")</f>
        <v>16.3</v>
      </c>
      <c r="I56" s="76">
        <f t="shared" ref="I56:I65" ca="1" si="17">_xlfn.IFNA(VLOOKUP(G56, $B$2:$D$200, 3, FALSE), "")</f>
        <v>-7.3863636400000002E-2</v>
      </c>
      <c r="J56" s="85">
        <f ca="1">_xlfn.IFNA(VLOOKUP(G56, $B$2:$E$200, 4, FALSE), "")</f>
        <v>393936222.59693682</v>
      </c>
      <c r="K56" s="55" t="str">
        <f ca="1">IFERROR(OFFSET(INDIRECT($H$3 &amp; "!A125"), 0, 0), "")</f>
        <v>오브스</v>
      </c>
      <c r="L56" s="38">
        <f t="shared" ref="L56:L75" ca="1" si="18">_xlfn.IFNA(VLOOKUP(K56, $B$2:$D$200, 2, FALSE), "")</f>
        <v>92.4</v>
      </c>
      <c r="M56" s="76">
        <f t="shared" ref="M56:M75" ca="1" si="19">_xlfn.IFNA(VLOOKUP(K56, $B$2:$D$200, 3, FALSE), "")</f>
        <v>-6.8548387099999997E-2</v>
      </c>
      <c r="N56" s="85">
        <f ca="1">_xlfn.IFNA(VLOOKUP(K56, $B$2:$E$200, 4, FALSE), "")</f>
        <v>53510407.366976522</v>
      </c>
      <c r="O56" s="55" t="str">
        <f ca="1">IFERROR(OFFSET(INDIRECT($H$3 &amp; "!A152"), 0, 0), "")</f>
        <v>이그니스</v>
      </c>
      <c r="P56" s="38">
        <f t="shared" ref="P56:P75" ca="1" si="20">_xlfn.IFNA(VLOOKUP(O56, $B$2:$D$200, 2, FALSE), "")</f>
        <v>107</v>
      </c>
      <c r="Q56" s="76">
        <f t="shared" ref="Q56:Q75" ca="1" si="21">_xlfn.IFNA(VLOOKUP(O56, $B$2:$D$200, 3, FALSE), "")</f>
        <v>-7.7586206899999996E-2</v>
      </c>
      <c r="R56" s="85">
        <f ca="1">_xlfn.IFNA(VLOOKUP(O56, $B$2:$E$200, 4, FALSE), "")</f>
        <v>29118142.296541929</v>
      </c>
    </row>
    <row r="57" spans="1:18">
      <c r="A57" s="40" t="s">
        <v>171</v>
      </c>
      <c r="B57" s="11" t="s">
        <v>172</v>
      </c>
      <c r="C57" s="95">
        <v>14.6</v>
      </c>
      <c r="D57" s="92">
        <v>-9.3167701899999997E-2</v>
      </c>
      <c r="E57" s="93">
        <v>273444696.52963358</v>
      </c>
      <c r="F57" s="35"/>
      <c r="G57" s="56" t="str">
        <f ca="1">IFERROR(OFFSET(INDIRECT($H$3 &amp; "!A179"), 1, 0), "")</f>
        <v>스트라티스</v>
      </c>
      <c r="H57" s="39">
        <f t="shared" ca="1" si="16"/>
        <v>2845</v>
      </c>
      <c r="I57" s="77">
        <f t="shared" ca="1" si="17"/>
        <v>-5.9504132199999997E-2</v>
      </c>
      <c r="J57" s="86">
        <f t="shared" ref="J57:J75" ca="1" si="22">_xlfn.IFNA(VLOOKUP(G57, $B$2:$E$200, 4, FALSE), "")</f>
        <v>781462.95072912995</v>
      </c>
      <c r="K57" s="56" t="str">
        <f ca="1">IFERROR(OFFSET(INDIRECT($H$3 &amp; "!A125"), 1, 0), "")</f>
        <v>캐리프로토콜</v>
      </c>
      <c r="L57" s="39">
        <f t="shared" ca="1" si="18"/>
        <v>10.8</v>
      </c>
      <c r="M57" s="77">
        <f t="shared" ca="1" si="19"/>
        <v>-8.4745762700000005E-2</v>
      </c>
      <c r="N57" s="86">
        <f t="shared" ref="N57:N75" ca="1" si="23">_xlfn.IFNA(VLOOKUP(K57, $B$2:$E$200, 4, FALSE), "")</f>
        <v>413943536.95111382</v>
      </c>
      <c r="O57" s="56" t="str">
        <f ca="1">IFERROR(OFFSET(INDIRECT($H$3 &amp; "!A152"), 1, 0), "")</f>
        <v>디마켓</v>
      </c>
      <c r="P57" s="39">
        <f t="shared" ca="1" si="20"/>
        <v>810</v>
      </c>
      <c r="Q57" s="77">
        <f t="shared" ca="1" si="21"/>
        <v>-9.4972066999999993E-2</v>
      </c>
      <c r="R57" s="86">
        <f t="shared" ref="R57:R75" ca="1" si="24">_xlfn.IFNA(VLOOKUP(O57, $B$2:$E$200, 4, FALSE), "")</f>
        <v>5546770.1827400904</v>
      </c>
    </row>
    <row r="58" spans="1:18">
      <c r="A58" s="40" t="s">
        <v>213</v>
      </c>
      <c r="B58" s="11" t="s">
        <v>214</v>
      </c>
      <c r="C58" s="95">
        <v>13.5</v>
      </c>
      <c r="D58" s="92">
        <v>-9.3959731500000004E-2</v>
      </c>
      <c r="E58" s="93">
        <v>302653513.54490542</v>
      </c>
      <c r="F58" s="35"/>
      <c r="G58" s="56" t="str">
        <f ca="1">IFERROR(OFFSET(INDIRECT($H$3 &amp; "!A179"), 2, 0), "")</f>
        <v>썸씽</v>
      </c>
      <c r="H58" s="39">
        <f t="shared" ca="1" si="16"/>
        <v>76.400000000000006</v>
      </c>
      <c r="I58" s="77">
        <f t="shared" ca="1" si="17"/>
        <v>-8.1730769199999997E-2</v>
      </c>
      <c r="J58" s="86">
        <f t="shared" ca="1" si="22"/>
        <v>70547738.290562779</v>
      </c>
      <c r="K58" s="56" t="str">
        <f ca="1">IFERROR(OFFSET(INDIRECT($H$3 &amp; "!A125"), 2, 0), "")</f>
        <v>메인프레임</v>
      </c>
      <c r="L58" s="39">
        <f t="shared" ca="1" si="18"/>
        <v>10.6</v>
      </c>
      <c r="M58" s="77">
        <f t="shared" ca="1" si="19"/>
        <v>-9.4017093999999996E-2</v>
      </c>
      <c r="N58" s="86">
        <f t="shared" ca="1" si="23"/>
        <v>314706828.18262148</v>
      </c>
      <c r="O58" s="56" t="str">
        <f ca="1">IFERROR(OFFSET(INDIRECT($H$3 &amp; "!A152"), 2, 0), "")</f>
        <v>피르마체인</v>
      </c>
      <c r="P58" s="39">
        <f t="shared" ca="1" si="20"/>
        <v>127</v>
      </c>
      <c r="Q58" s="77">
        <f t="shared" ca="1" si="21"/>
        <v>-9.9290780100000003E-2</v>
      </c>
      <c r="R58" s="86">
        <f t="shared" ca="1" si="24"/>
        <v>32287891.832811929</v>
      </c>
    </row>
    <row r="59" spans="1:18">
      <c r="A59" s="40" t="s">
        <v>219</v>
      </c>
      <c r="B59" s="11" t="s">
        <v>220</v>
      </c>
      <c r="C59" s="95">
        <v>10.6</v>
      </c>
      <c r="D59" s="92">
        <v>-9.4017093999999996E-2</v>
      </c>
      <c r="E59" s="93">
        <v>314706828.18262148</v>
      </c>
      <c r="F59" s="35"/>
      <c r="G59" s="56" t="str">
        <f ca="1">IFERROR(OFFSET(INDIRECT($H$3 &amp; "!A179"), 3, 0), "")</f>
        <v>엘비알와이크레딧</v>
      </c>
      <c r="H59" s="39">
        <f t="shared" ca="1" si="16"/>
        <v>118</v>
      </c>
      <c r="I59" s="77">
        <f t="shared" ca="1" si="17"/>
        <v>-9.9236641200000003E-2</v>
      </c>
      <c r="J59" s="86">
        <f t="shared" ca="1" si="22"/>
        <v>237941947.68508774</v>
      </c>
      <c r="K59" s="56" t="str">
        <f ca="1">IFERROR(OFFSET(INDIRECT($H$3 &amp; "!A125"), 3, 0), "")</f>
        <v>엔도르</v>
      </c>
      <c r="L59" s="39">
        <f t="shared" ca="1" si="18"/>
        <v>50.9</v>
      </c>
      <c r="M59" s="77">
        <f t="shared" ca="1" si="19"/>
        <v>-8.9445438299999999E-2</v>
      </c>
      <c r="N59" s="86">
        <f t="shared" ca="1" si="23"/>
        <v>89939529.07751587</v>
      </c>
      <c r="O59" s="56" t="str">
        <f ca="1">IFERROR(OFFSET(INDIRECT($H$3 &amp; "!A152"), 3, 0), "")</f>
        <v>플레이댑</v>
      </c>
      <c r="P59" s="39">
        <f t="shared" ca="1" si="20"/>
        <v>298</v>
      </c>
      <c r="Q59" s="77">
        <f t="shared" ca="1" si="21"/>
        <v>-5.0955413999999997E-2</v>
      </c>
      <c r="R59" s="86">
        <f t="shared" ca="1" si="24"/>
        <v>10612282.83404791</v>
      </c>
    </row>
    <row r="60" spans="1:18">
      <c r="A60" s="40" t="s">
        <v>233</v>
      </c>
      <c r="B60" s="11" t="s">
        <v>234</v>
      </c>
      <c r="C60" s="95">
        <v>810</v>
      </c>
      <c r="D60" s="92">
        <v>-9.4972066999999993E-2</v>
      </c>
      <c r="E60" s="93">
        <v>5546770.1827400904</v>
      </c>
      <c r="F60" s="35"/>
      <c r="G60" s="56" t="str">
        <f ca="1">IFERROR(OFFSET(INDIRECT($H$3 &amp; "!A179"), 4, 0), "")</f>
        <v>코박토큰</v>
      </c>
      <c r="H60" s="39">
        <f t="shared" ca="1" si="16"/>
        <v>5610</v>
      </c>
      <c r="I60" s="77">
        <f t="shared" ca="1" si="17"/>
        <v>-2.00873362E-2</v>
      </c>
      <c r="J60" s="90">
        <f t="shared" ca="1" si="22"/>
        <v>12295305.63158248</v>
      </c>
      <c r="K60" s="58" t="str">
        <f ca="1">IFERROR(OFFSET(INDIRECT($H$3 &amp; "!A125"), 4, 0), "")</f>
        <v>쿼크체인</v>
      </c>
      <c r="L60" s="44">
        <f t="shared" ca="1" si="18"/>
        <v>20.8</v>
      </c>
      <c r="M60" s="78">
        <f t="shared" ca="1" si="19"/>
        <v>-9.95670996E-2</v>
      </c>
      <c r="N60" s="90">
        <f t="shared" ca="1" si="23"/>
        <v>80032161.474815488</v>
      </c>
      <c r="O60" s="58" t="str">
        <f ca="1">IFERROR(OFFSET(INDIRECT($H$3 &amp; "!A152"), 4, 0), "")</f>
        <v>파워렛저</v>
      </c>
      <c r="P60" s="44">
        <f t="shared" ca="1" si="20"/>
        <v>287</v>
      </c>
      <c r="Q60" s="78">
        <f t="shared" ca="1" si="21"/>
        <v>-0.10031347960000001</v>
      </c>
      <c r="R60" s="90">
        <f t="shared" ca="1" si="24"/>
        <v>7052397.6274476796</v>
      </c>
    </row>
    <row r="61" spans="1:18">
      <c r="A61" s="40" t="s">
        <v>129</v>
      </c>
      <c r="B61" s="11" t="s">
        <v>130</v>
      </c>
      <c r="C61" s="95">
        <v>202500</v>
      </c>
      <c r="D61" s="92">
        <v>-9.5982142899999998E-2</v>
      </c>
      <c r="E61" s="93">
        <v>133147.90368732001</v>
      </c>
      <c r="F61" s="35"/>
      <c r="G61" s="60" t="str">
        <f ca="1">IFERROR(OFFSET(INDIRECT($H$3 &amp; "!A179"), 5, 0), "")</f>
        <v>던프로토콜</v>
      </c>
      <c r="H61" s="45">
        <f t="shared" ca="1" si="16"/>
        <v>3780</v>
      </c>
      <c r="I61" s="80">
        <f t="shared" ca="1" si="17"/>
        <v>-7.5794621000000006E-2</v>
      </c>
      <c r="J61" s="99">
        <f t="shared" ca="1" si="22"/>
        <v>8709999.2737620398</v>
      </c>
      <c r="K61" s="56" t="str">
        <f ca="1">IFERROR(OFFSET(INDIRECT($H$3 &amp; "!A125"), 5, 0), "")</f>
        <v>픽셀</v>
      </c>
      <c r="L61" s="39">
        <f t="shared" ca="1" si="18"/>
        <v>66.900000000000006</v>
      </c>
      <c r="M61" s="77">
        <f t="shared" ca="1" si="19"/>
        <v>-7.7241379299999996E-2</v>
      </c>
      <c r="N61" s="99">
        <f t="shared" ca="1" si="23"/>
        <v>45818452.378526181</v>
      </c>
      <c r="O61" s="56" t="str">
        <f ca="1">IFERROR(OFFSET(INDIRECT($H$3 &amp; "!A152"), 5, 0), "")</f>
        <v>마로</v>
      </c>
      <c r="P61" s="39">
        <f t="shared" ca="1" si="20"/>
        <v>311</v>
      </c>
      <c r="Q61" s="77">
        <f t="shared" ca="1" si="21"/>
        <v>-0.10374639770000001</v>
      </c>
      <c r="R61" s="99">
        <f t="shared" ca="1" si="24"/>
        <v>44088857.938012443</v>
      </c>
    </row>
    <row r="62" spans="1:18">
      <c r="A62" s="40" t="s">
        <v>83</v>
      </c>
      <c r="B62" s="11" t="s">
        <v>84</v>
      </c>
      <c r="C62" s="95">
        <v>1930</v>
      </c>
      <c r="D62" s="92">
        <v>-9.6018735399999999E-2</v>
      </c>
      <c r="E62" s="93">
        <v>89987349.150803253</v>
      </c>
      <c r="F62" s="35"/>
      <c r="G62" s="56" t="str">
        <f ca="1">IFERROR(OFFSET(INDIRECT($H$3 &amp; "!A179"), 6, 0), "")</f>
        <v>메탈</v>
      </c>
      <c r="H62" s="39">
        <f t="shared" ca="1" si="16"/>
        <v>2550</v>
      </c>
      <c r="I62" s="77">
        <f t="shared" ca="1" si="17"/>
        <v>-0.1052631579</v>
      </c>
      <c r="J62" s="86">
        <f t="shared" ca="1" si="22"/>
        <v>2013306.2113019901</v>
      </c>
      <c r="K62" s="56" t="str">
        <f ca="1">IFERROR(OFFSET(INDIRECT($H$3 &amp; "!A125"), 6, 0), "")</f>
        <v>람다</v>
      </c>
      <c r="L62" s="39">
        <f t="shared" ca="1" si="18"/>
        <v>51.6</v>
      </c>
      <c r="M62" s="77">
        <f t="shared" ca="1" si="19"/>
        <v>-8.6725663699999997E-2</v>
      </c>
      <c r="N62" s="86">
        <f t="shared" ca="1" si="23"/>
        <v>46631899.406840399</v>
      </c>
      <c r="O62" s="56" t="str">
        <f ca="1">IFERROR(OFFSET(INDIRECT($H$3 &amp; "!A152"), 6, 0), "")</f>
        <v>왁스</v>
      </c>
      <c r="P62" s="39">
        <f t="shared" ca="1" si="20"/>
        <v>174</v>
      </c>
      <c r="Q62" s="77">
        <f t="shared" ca="1" si="21"/>
        <v>-8.4210526300000005E-2</v>
      </c>
      <c r="R62" s="86">
        <f t="shared" ca="1" si="24"/>
        <v>55697093.98490677</v>
      </c>
    </row>
    <row r="63" spans="1:18">
      <c r="A63" s="40" t="s">
        <v>131</v>
      </c>
      <c r="B63" s="11" t="s">
        <v>132</v>
      </c>
      <c r="C63" s="95">
        <v>150</v>
      </c>
      <c r="D63" s="92">
        <v>-9.6385542199999993E-2</v>
      </c>
      <c r="E63" s="93">
        <v>2724937201.3229413</v>
      </c>
      <c r="F63" s="35"/>
      <c r="G63" s="56" t="str">
        <f ca="1">IFERROR(OFFSET(INDIRECT($H$3 &amp; "!A179"), 7, 0), "")</f>
        <v>폴리매쓰</v>
      </c>
      <c r="H63" s="39">
        <f t="shared" ca="1" si="16"/>
        <v>275</v>
      </c>
      <c r="I63" s="77">
        <f t="shared" ca="1" si="17"/>
        <v>-8.6378737499999997E-2</v>
      </c>
      <c r="J63" s="86">
        <f t="shared" ca="1" si="22"/>
        <v>10397419.706812439</v>
      </c>
      <c r="K63" s="56" t="str">
        <f ca="1">IFERROR(OFFSET(INDIRECT($H$3 &amp; "!A125"), 7, 0), "")</f>
        <v>룸네트워크</v>
      </c>
      <c r="L63" s="39">
        <f t="shared" ca="1" si="18"/>
        <v>86</v>
      </c>
      <c r="M63" s="77">
        <f t="shared" ca="1" si="19"/>
        <v>-0.1013584117</v>
      </c>
      <c r="N63" s="86">
        <f t="shared" ca="1" si="23"/>
        <v>29013746.269809339</v>
      </c>
      <c r="O63" s="56" t="str">
        <f ca="1">IFERROR(OFFSET(INDIRECT($H$3 &amp; "!A152"), 7, 0), "")</f>
        <v>보라</v>
      </c>
      <c r="P63" s="39">
        <f t="shared" ca="1" si="20"/>
        <v>185</v>
      </c>
      <c r="Q63" s="77">
        <f t="shared" ca="1" si="21"/>
        <v>-7.0351758799999997E-2</v>
      </c>
      <c r="R63" s="86">
        <f t="shared" ca="1" si="24"/>
        <v>44967245.390326582</v>
      </c>
    </row>
    <row r="64" spans="1:18">
      <c r="A64" s="40" t="s">
        <v>79</v>
      </c>
      <c r="B64" s="11" t="s">
        <v>80</v>
      </c>
      <c r="C64" s="95">
        <v>867</v>
      </c>
      <c r="D64" s="92">
        <v>-9.7814776300000003E-2</v>
      </c>
      <c r="E64" s="93">
        <v>5738445.3990689404</v>
      </c>
      <c r="F64" s="35"/>
      <c r="G64" s="56" t="str">
        <f ca="1">IFERROR(OFFSET(INDIRECT($H$3 &amp; "!A179"), 8, 0), "")</f>
        <v>테조스</v>
      </c>
      <c r="H64" s="39">
        <f t="shared" ca="1" si="16"/>
        <v>4010</v>
      </c>
      <c r="I64" s="77">
        <f t="shared" ca="1" si="17"/>
        <v>-0.10888888889999999</v>
      </c>
      <c r="J64" s="86">
        <f t="shared" ca="1" si="22"/>
        <v>2113345.1432320401</v>
      </c>
      <c r="K64" s="56" t="str">
        <f ca="1">IFERROR(OFFSET(INDIRECT($H$3 &amp; "!A125"), 8, 0), "")</f>
        <v>썬더토큰</v>
      </c>
      <c r="L64" s="39">
        <f t="shared" ca="1" si="18"/>
        <v>11.5</v>
      </c>
      <c r="M64" s="77">
        <f t="shared" ca="1" si="19"/>
        <v>-7.2580645200000002E-2</v>
      </c>
      <c r="N64" s="86">
        <f t="shared" ca="1" si="23"/>
        <v>211109075.6727919</v>
      </c>
      <c r="O64" s="56" t="str">
        <f ca="1">IFERROR(OFFSET(INDIRECT($H$3 &amp; "!A152"), 8, 0), "")</f>
        <v>스테이터스네트워크토큰</v>
      </c>
      <c r="P64" s="39">
        <f t="shared" ca="1" si="20"/>
        <v>108</v>
      </c>
      <c r="Q64" s="77">
        <f t="shared" ca="1" si="21"/>
        <v>-0.1</v>
      </c>
      <c r="R64" s="86">
        <f t="shared" ca="1" si="24"/>
        <v>97736397.135157377</v>
      </c>
    </row>
    <row r="65" spans="1:18" ht="17.25" thickBot="1">
      <c r="A65" s="40" t="s">
        <v>117</v>
      </c>
      <c r="B65" s="11" t="s">
        <v>118</v>
      </c>
      <c r="C65" s="95">
        <v>5275</v>
      </c>
      <c r="D65" s="92">
        <v>-9.9060631900000001E-2</v>
      </c>
      <c r="E65" s="93">
        <v>3212731.9183846</v>
      </c>
      <c r="F65" s="35"/>
      <c r="G65" s="57" t="str">
        <f ca="1">IFERROR(OFFSET(INDIRECT($H$3 &amp; "!A179"), 9, 0), "")</f>
        <v>페이코인</v>
      </c>
      <c r="H65" s="37">
        <f t="shared" ca="1" si="16"/>
        <v>1220</v>
      </c>
      <c r="I65" s="79">
        <f t="shared" ca="1" si="17"/>
        <v>-7.5757575800000004E-2</v>
      </c>
      <c r="J65" s="87">
        <f t="shared" ca="1" si="22"/>
        <v>5263696.8802209804</v>
      </c>
      <c r="K65" s="57" t="str">
        <f ca="1">IFERROR(OFFSET(INDIRECT($H$3 &amp; "!A125"), 9, 0), "")</f>
        <v>에브리피디아</v>
      </c>
      <c r="L65" s="37">
        <f t="shared" ca="1" si="18"/>
        <v>15.7</v>
      </c>
      <c r="M65" s="79">
        <f t="shared" ca="1" si="19"/>
        <v>8.2758620699999993E-2</v>
      </c>
      <c r="N65" s="87">
        <f t="shared" ca="1" si="23"/>
        <v>2277227180.7067342</v>
      </c>
      <c r="O65" s="57" t="str">
        <f ca="1">IFERROR(OFFSET(INDIRECT($H$3 &amp; "!A152"), 9, 0), "")</f>
        <v>스텔라루멘</v>
      </c>
      <c r="P65" s="37">
        <f t="shared" ca="1" si="20"/>
        <v>443</v>
      </c>
      <c r="Q65" s="79">
        <f t="shared" ca="1" si="21"/>
        <v>-0.1014198783</v>
      </c>
      <c r="R65" s="87">
        <f t="shared" ca="1" si="24"/>
        <v>99950974.055627778</v>
      </c>
    </row>
    <row r="66" spans="1:18">
      <c r="A66" s="40" t="s">
        <v>249</v>
      </c>
      <c r="B66" s="11" t="s">
        <v>250</v>
      </c>
      <c r="C66" s="95">
        <v>118</v>
      </c>
      <c r="D66" s="92">
        <v>-9.9236641200000003E-2</v>
      </c>
      <c r="E66" s="93">
        <v>237941947.68508774</v>
      </c>
      <c r="F66" s="35"/>
      <c r="G66" s="56" t="str">
        <f ca="1">IFERROR(OFFSET(INDIRECT($H$3 &amp; "!A179"), 10, 0), "")</f>
        <v>엘프</v>
      </c>
      <c r="H66" s="38">
        <f t="shared" ref="H66:H75" ca="1" si="25">_xlfn.IFNA(VLOOKUP(G66, $B$2:$D$200, 2, FALSE), "")</f>
        <v>290</v>
      </c>
      <c r="I66" s="76">
        <f t="shared" ref="I66:I75" ca="1" si="26">_xlfn.IFNA(VLOOKUP(G66, $B$2:$D$200, 3, FALSE), "")</f>
        <v>-8.8050314500000004E-2</v>
      </c>
      <c r="J66" s="85">
        <f t="shared" ca="1" si="22"/>
        <v>9304144.1604330298</v>
      </c>
      <c r="K66" s="55" t="str">
        <f ca="1">IFERROR(OFFSET(INDIRECT($H$3 &amp; "!A125"), 10, 0), "")</f>
        <v>리퍼리움</v>
      </c>
      <c r="L66" s="38">
        <f t="shared" ca="1" si="18"/>
        <v>13.5</v>
      </c>
      <c r="M66" s="76">
        <f t="shared" ca="1" si="19"/>
        <v>-9.3959731500000004E-2</v>
      </c>
      <c r="N66" s="85">
        <f t="shared" ca="1" si="23"/>
        <v>302653513.54490542</v>
      </c>
      <c r="O66" s="55" t="str">
        <f ca="1">IFERROR(OFFSET(INDIRECT($H$3 &amp; "!A152"), 10, 0), "")</f>
        <v>아더</v>
      </c>
      <c r="P66" s="38">
        <f t="shared" ca="1" si="20"/>
        <v>251</v>
      </c>
      <c r="Q66" s="76">
        <f t="shared" ca="1" si="21"/>
        <v>-0.10035842289999999</v>
      </c>
      <c r="R66" s="85">
        <f t="shared" ca="1" si="24"/>
        <v>9056054.82549637</v>
      </c>
    </row>
    <row r="67" spans="1:18">
      <c r="A67" s="40" t="s">
        <v>209</v>
      </c>
      <c r="B67" s="11" t="s">
        <v>210</v>
      </c>
      <c r="C67" s="95">
        <v>127</v>
      </c>
      <c r="D67" s="92">
        <v>-9.9290780100000003E-2</v>
      </c>
      <c r="E67" s="93">
        <v>32287891.832811929</v>
      </c>
      <c r="F67" s="35"/>
      <c r="G67" s="56" t="str">
        <f ca="1">IFERROR(OFFSET(INDIRECT($H$3 &amp; "!A179"), 11, 0), "")</f>
        <v>톤</v>
      </c>
      <c r="H67" s="39">
        <f t="shared" ca="1" si="25"/>
        <v>8305</v>
      </c>
      <c r="I67" s="77">
        <f t="shared" ca="1" si="26"/>
        <v>-9.0361445799999995E-2</v>
      </c>
      <c r="J67" s="86">
        <f t="shared" ca="1" si="22"/>
        <v>1471426.97190714</v>
      </c>
      <c r="K67" s="56" t="str">
        <f ca="1">IFERROR(OFFSET(INDIRECT($H$3 &amp; "!A125"), 11, 0), "")</f>
        <v>메디블록</v>
      </c>
      <c r="L67" s="39">
        <f t="shared" ca="1" si="18"/>
        <v>78.3</v>
      </c>
      <c r="M67" s="77">
        <f t="shared" ca="1" si="19"/>
        <v>-4.2787286100000002E-2</v>
      </c>
      <c r="N67" s="86">
        <f t="shared" ca="1" si="23"/>
        <v>844321102.93500888</v>
      </c>
      <c r="O67" s="56" t="str">
        <f ca="1">IFERROR(OFFSET(INDIRECT($H$3 &amp; "!A152"), 11, 0), "")</f>
        <v>아인스타이늄</v>
      </c>
      <c r="P67" s="39">
        <f t="shared" ca="1" si="20"/>
        <v>311</v>
      </c>
      <c r="Q67" s="77">
        <f t="shared" ca="1" si="21"/>
        <v>-2.2012578599999999E-2</v>
      </c>
      <c r="R67" s="86">
        <f t="shared" ca="1" si="24"/>
        <v>70964528.596468747</v>
      </c>
    </row>
    <row r="68" spans="1:18">
      <c r="A68" s="40" t="s">
        <v>71</v>
      </c>
      <c r="B68" s="11" t="s">
        <v>72</v>
      </c>
      <c r="C68" s="95">
        <v>20.8</v>
      </c>
      <c r="D68" s="92">
        <v>-9.95670996E-2</v>
      </c>
      <c r="E68" s="93">
        <v>80032161.474815488</v>
      </c>
      <c r="F68" s="35"/>
      <c r="G68" s="56" t="str">
        <f ca="1">IFERROR(OFFSET(INDIRECT($H$3 &amp; "!A179"), 12, 0), "")</f>
        <v>아크</v>
      </c>
      <c r="H68" s="39">
        <f t="shared" ca="1" si="25"/>
        <v>1330</v>
      </c>
      <c r="I68" s="77">
        <f t="shared" ca="1" si="26"/>
        <v>-0.1013513514</v>
      </c>
      <c r="J68" s="86">
        <f t="shared" ca="1" si="22"/>
        <v>2627145.00100026</v>
      </c>
      <c r="K68" s="56" t="str">
        <f ca="1">IFERROR(OFFSET(INDIRECT($H$3 &amp; "!A125"), 12, 0), "")</f>
        <v>시아코인</v>
      </c>
      <c r="L68" s="39">
        <f t="shared" ca="1" si="18"/>
        <v>19.7</v>
      </c>
      <c r="M68" s="77">
        <f t="shared" ca="1" si="19"/>
        <v>-0.100456621</v>
      </c>
      <c r="N68" s="86">
        <f t="shared" ca="1" si="23"/>
        <v>362526439.31181592</v>
      </c>
      <c r="O68" s="56" t="str">
        <f ca="1">IFERROR(OFFSET(INDIRECT($H$3 &amp; "!A152"), 12, 0), "")</f>
        <v>센티넬프로토콜</v>
      </c>
      <c r="P68" s="39">
        <f t="shared" ca="1" si="20"/>
        <v>112</v>
      </c>
      <c r="Q68" s="77">
        <f t="shared" ca="1" si="21"/>
        <v>-0.104</v>
      </c>
      <c r="R68" s="86">
        <f t="shared" ca="1" si="24"/>
        <v>81334152.22722961</v>
      </c>
    </row>
    <row r="69" spans="1:18">
      <c r="A69" s="40" t="s">
        <v>167</v>
      </c>
      <c r="B69" s="11" t="s">
        <v>168</v>
      </c>
      <c r="C69" s="95">
        <v>108</v>
      </c>
      <c r="D69" s="92">
        <v>-0.1</v>
      </c>
      <c r="E69" s="93">
        <v>97736397.135157377</v>
      </c>
      <c r="F69" s="35"/>
      <c r="G69" s="56" t="str">
        <f ca="1">IFERROR(OFFSET(INDIRECT($H$3 &amp; "!A179"), 13, 0), "")</f>
        <v>애드엑스</v>
      </c>
      <c r="H69" s="39">
        <f t="shared" ca="1" si="25"/>
        <v>1035</v>
      </c>
      <c r="I69" s="77">
        <f t="shared" ca="1" si="26"/>
        <v>-8.81057269E-2</v>
      </c>
      <c r="J69" s="86">
        <f t="shared" ca="1" si="22"/>
        <v>1285700.68908008</v>
      </c>
      <c r="K69" s="56" t="str">
        <f ca="1">IFERROR(OFFSET(INDIRECT($H$3 &amp; "!A125"), 13, 0), "")</f>
        <v>아이오에스티</v>
      </c>
      <c r="L69" s="39">
        <f t="shared" ca="1" si="18"/>
        <v>36.5</v>
      </c>
      <c r="M69" s="77">
        <f t="shared" ca="1" si="19"/>
        <v>-0.1119221411</v>
      </c>
      <c r="N69" s="86">
        <f t="shared" ca="1" si="23"/>
        <v>78632286.191577703</v>
      </c>
      <c r="O69" s="56" t="str">
        <f ca="1">IFERROR(OFFSET(INDIRECT($H$3 &amp; "!A152"), 13, 0), "")</f>
        <v>솔브케어</v>
      </c>
      <c r="P69" s="39">
        <f t="shared" ca="1" si="20"/>
        <v>181</v>
      </c>
      <c r="Q69" s="77">
        <f t="shared" ca="1" si="21"/>
        <v>-8.5858585900000006E-2</v>
      </c>
      <c r="R69" s="86">
        <f t="shared" ca="1" si="24"/>
        <v>32157625.413666591</v>
      </c>
    </row>
    <row r="70" spans="1:18">
      <c r="A70" s="40" t="s">
        <v>181</v>
      </c>
      <c r="B70" s="11" t="s">
        <v>182</v>
      </c>
      <c r="C70" s="95">
        <v>287</v>
      </c>
      <c r="D70" s="92">
        <v>-0.10031347960000001</v>
      </c>
      <c r="E70" s="93">
        <v>7052397.6274476796</v>
      </c>
      <c r="F70" s="35"/>
      <c r="G70" s="56" t="str">
        <f ca="1">IFERROR(OFFSET(INDIRECT($H$3 &amp; "!A179"), 14, 0), "")</f>
        <v>헌트</v>
      </c>
      <c r="H70" s="39">
        <f t="shared" ca="1" si="25"/>
        <v>303</v>
      </c>
      <c r="I70" s="77">
        <f t="shared" ca="1" si="26"/>
        <v>-6.1919504600000001E-2</v>
      </c>
      <c r="J70" s="90">
        <f t="shared" ca="1" si="22"/>
        <v>51192949.686697878</v>
      </c>
      <c r="K70" s="58" t="str">
        <f ca="1">IFERROR(OFFSET(INDIRECT($H$3 &amp; "!A125"), 14, 0), "")</f>
        <v>무비블록</v>
      </c>
      <c r="L70" s="44">
        <f t="shared" ca="1" si="18"/>
        <v>10.4</v>
      </c>
      <c r="M70" s="78">
        <f t="shared" ca="1" si="19"/>
        <v>-7.9646017700000002E-2</v>
      </c>
      <c r="N70" s="90">
        <f t="shared" ca="1" si="23"/>
        <v>516154434.42474484</v>
      </c>
      <c r="O70" s="58" t="str">
        <f ca="1">IFERROR(OFFSET(INDIRECT($H$3 &amp; "!A152"), 14, 0), "")</f>
        <v>하이브</v>
      </c>
      <c r="P70" s="44">
        <f t="shared" ca="1" si="20"/>
        <v>485</v>
      </c>
      <c r="Q70" s="78">
        <f t="shared" ca="1" si="21"/>
        <v>-7.6190476199999996E-2</v>
      </c>
      <c r="R70" s="90">
        <f t="shared" ca="1" si="24"/>
        <v>45871856.656308778</v>
      </c>
    </row>
    <row r="71" spans="1:18">
      <c r="A71" s="40" t="s">
        <v>283</v>
      </c>
      <c r="B71" s="11" t="s">
        <v>284</v>
      </c>
      <c r="C71" s="95">
        <v>251</v>
      </c>
      <c r="D71" s="92">
        <v>-0.10035842289999999</v>
      </c>
      <c r="E71" s="93">
        <v>9056054.82549637</v>
      </c>
      <c r="F71" s="35"/>
      <c r="G71" s="60" t="str">
        <f ca="1">IFERROR(OFFSET(INDIRECT($H$3 &amp; "!A179"), 15, 0), "")</f>
        <v>카이버네트워크</v>
      </c>
      <c r="H71" s="45">
        <f t="shared" ca="1" si="25"/>
        <v>2505</v>
      </c>
      <c r="I71" s="80">
        <f t="shared" ca="1" si="26"/>
        <v>-0.10535714290000001</v>
      </c>
      <c r="J71" s="99">
        <f t="shared" ca="1" si="22"/>
        <v>1545785.4852920601</v>
      </c>
      <c r="K71" s="56" t="str">
        <f ca="1">IFERROR(OFFSET(INDIRECT($H$3 &amp; "!A125"), 15, 0), "")</f>
        <v>트웰브쉽스</v>
      </c>
      <c r="L71" s="39">
        <f t="shared" ca="1" si="18"/>
        <v>14.6</v>
      </c>
      <c r="M71" s="77">
        <f t="shared" ca="1" si="19"/>
        <v>-9.3167701899999997E-2</v>
      </c>
      <c r="N71" s="99">
        <f t="shared" ca="1" si="23"/>
        <v>273444696.52963358</v>
      </c>
      <c r="O71" s="56" t="str">
        <f ca="1">IFERROR(OFFSET(INDIRECT($H$3 &amp; "!A152"), 15, 0), "")</f>
        <v>엘비알와이크레딧</v>
      </c>
      <c r="P71" s="39">
        <f t="shared" ca="1" si="20"/>
        <v>118</v>
      </c>
      <c r="Q71" s="77">
        <f t="shared" ca="1" si="21"/>
        <v>-9.9236641200000003E-2</v>
      </c>
      <c r="R71" s="99">
        <f t="shared" ca="1" si="24"/>
        <v>237941947.68508774</v>
      </c>
    </row>
    <row r="72" spans="1:18">
      <c r="A72" s="40" t="s">
        <v>151</v>
      </c>
      <c r="B72" s="11" t="s">
        <v>152</v>
      </c>
      <c r="C72" s="95">
        <v>19.7</v>
      </c>
      <c r="D72" s="92">
        <v>-0.100456621</v>
      </c>
      <c r="E72" s="93">
        <v>362526439.31181592</v>
      </c>
      <c r="F72" s="35"/>
      <c r="G72" s="56" t="str">
        <f ca="1">IFERROR(OFFSET(INDIRECT($H$3 &amp; "!A179"), 16, 0), "")</f>
        <v>엑시인피니티</v>
      </c>
      <c r="H72" s="39">
        <f t="shared" ca="1" si="25"/>
        <v>4990</v>
      </c>
      <c r="I72" s="77">
        <f t="shared" ca="1" si="26"/>
        <v>-0.101710171</v>
      </c>
      <c r="J72" s="86">
        <f t="shared" ca="1" si="22"/>
        <v>1700912.3564150301</v>
      </c>
      <c r="K72" s="56" t="str">
        <f ca="1">IFERROR(OFFSET(INDIRECT($H$3 &amp; "!A125"), 16, 0), "")</f>
        <v>스톰엑스</v>
      </c>
      <c r="L72" s="39">
        <f t="shared" ca="1" si="18"/>
        <v>27.8</v>
      </c>
      <c r="M72" s="77">
        <f t="shared" ca="1" si="19"/>
        <v>-0.1118210863</v>
      </c>
      <c r="N72" s="86">
        <f t="shared" ca="1" si="23"/>
        <v>138543256.26474002</v>
      </c>
      <c r="O72" s="56" t="str">
        <f ca="1">IFERROR(OFFSET(INDIRECT($H$3 &amp; "!A152"), 16, 0), "")</f>
        <v>폴리매쓰</v>
      </c>
      <c r="P72" s="39">
        <f t="shared" ca="1" si="20"/>
        <v>275</v>
      </c>
      <c r="Q72" s="77">
        <f t="shared" ca="1" si="21"/>
        <v>-8.6378737499999997E-2</v>
      </c>
      <c r="R72" s="86">
        <f t="shared" ca="1" si="24"/>
        <v>10397419.706812439</v>
      </c>
    </row>
    <row r="73" spans="1:18">
      <c r="A73" s="40" t="s">
        <v>223</v>
      </c>
      <c r="B73" s="11" t="s">
        <v>224</v>
      </c>
      <c r="C73" s="95">
        <v>1520</v>
      </c>
      <c r="D73" s="92">
        <v>-0.100591716</v>
      </c>
      <c r="E73" s="93">
        <v>10498488.18983179</v>
      </c>
      <c r="F73" s="35"/>
      <c r="G73" s="56" t="str">
        <f ca="1">IFERROR(OFFSET(INDIRECT($H$3 &amp; "!A179"), 17, 0), "")</f>
        <v>스토리지</v>
      </c>
      <c r="H73" s="39">
        <f t="shared" ca="1" si="25"/>
        <v>1250</v>
      </c>
      <c r="I73" s="77">
        <f t="shared" ca="1" si="26"/>
        <v>-0.11347517729999999</v>
      </c>
      <c r="J73" s="86">
        <f t="shared" ca="1" si="22"/>
        <v>2114527.3919206099</v>
      </c>
      <c r="K73" s="56" t="str">
        <f ca="1">IFERROR(OFFSET(INDIRECT($H$3 &amp; "!A125"), 17, 0), "")</f>
        <v>아하토큰</v>
      </c>
      <c r="L73" s="39">
        <f t="shared" ca="1" si="18"/>
        <v>11.2</v>
      </c>
      <c r="M73" s="77">
        <f t="shared" ca="1" si="19"/>
        <v>-8.1967213100000005E-2</v>
      </c>
      <c r="N73" s="86">
        <f t="shared" ca="1" si="23"/>
        <v>200951153.21328646</v>
      </c>
      <c r="O73" s="56" t="str">
        <f ca="1">IFERROR(OFFSET(INDIRECT($H$3 &amp; "!A152"), 17, 0), "")</f>
        <v>엘프</v>
      </c>
      <c r="P73" s="39">
        <f t="shared" ca="1" si="20"/>
        <v>290</v>
      </c>
      <c r="Q73" s="77">
        <f t="shared" ca="1" si="21"/>
        <v>-8.8050314500000004E-2</v>
      </c>
      <c r="R73" s="86">
        <f t="shared" ca="1" si="24"/>
        <v>9304144.1604330298</v>
      </c>
    </row>
    <row r="74" spans="1:18">
      <c r="A74" s="40" t="s">
        <v>123</v>
      </c>
      <c r="B74" s="11" t="s">
        <v>124</v>
      </c>
      <c r="C74" s="95">
        <v>3695</v>
      </c>
      <c r="D74" s="92">
        <v>-0.10097323599999999</v>
      </c>
      <c r="E74" s="93">
        <v>2437596.3465861902</v>
      </c>
      <c r="F74" s="35"/>
      <c r="G74" s="56" t="str">
        <f ca="1">IFERROR(OFFSET(INDIRECT($H$3 &amp; "!A179"), 18, 0), "")</f>
        <v>스팀달러</v>
      </c>
      <c r="H74" s="39">
        <f t="shared" ca="1" si="25"/>
        <v>9000</v>
      </c>
      <c r="I74" s="77">
        <f t="shared" ca="1" si="26"/>
        <v>-0.10269192420000001</v>
      </c>
      <c r="J74" s="86">
        <f t="shared" ca="1" si="22"/>
        <v>1984555.51429685</v>
      </c>
      <c r="K74" s="56" t="str">
        <f ca="1">IFERROR(OFFSET(INDIRECT($H$3 &amp; "!A125"), 18, 0), "")</f>
        <v>엠블</v>
      </c>
      <c r="L74" s="39">
        <f t="shared" ca="1" si="18"/>
        <v>16.3</v>
      </c>
      <c r="M74" s="77">
        <f t="shared" ca="1" si="19"/>
        <v>-7.3863636400000002E-2</v>
      </c>
      <c r="N74" s="86">
        <f t="shared" ca="1" si="23"/>
        <v>393936222.59693682</v>
      </c>
      <c r="O74" s="56" t="str">
        <f ca="1">IFERROR(OFFSET(INDIRECT($H$3 &amp; "!A152"), 18, 0), "")</f>
        <v>헌트</v>
      </c>
      <c r="P74" s="39">
        <f t="shared" ca="1" si="20"/>
        <v>303</v>
      </c>
      <c r="Q74" s="77">
        <f t="shared" ca="1" si="21"/>
        <v>-6.1919504600000001E-2</v>
      </c>
      <c r="R74" s="86">
        <f t="shared" ca="1" si="24"/>
        <v>51192949.686697878</v>
      </c>
    </row>
    <row r="75" spans="1:18" ht="17.25" thickBot="1">
      <c r="A75" s="40" t="s">
        <v>295</v>
      </c>
      <c r="B75" s="11" t="s">
        <v>296</v>
      </c>
      <c r="C75" s="95">
        <v>418</v>
      </c>
      <c r="D75" s="92">
        <v>-0.10107526880000001</v>
      </c>
      <c r="E75" s="93">
        <v>2174954590.4001069</v>
      </c>
      <c r="F75" s="35"/>
      <c r="G75" s="57" t="str">
        <f ca="1">IFERROR(OFFSET(INDIRECT($H$3 &amp; "!A179"), 19, 0), "")</f>
        <v>도지코인</v>
      </c>
      <c r="H75" s="37">
        <f t="shared" ca="1" si="25"/>
        <v>418</v>
      </c>
      <c r="I75" s="79">
        <f t="shared" ca="1" si="26"/>
        <v>-0.10107526880000001</v>
      </c>
      <c r="J75" s="87">
        <f t="shared" ca="1" si="22"/>
        <v>2174954590.4001069</v>
      </c>
      <c r="K75" s="57" t="str">
        <f ca="1">IFERROR(OFFSET(INDIRECT($H$3 &amp; "!A125"), 19, 0), "")</f>
        <v>썸씽</v>
      </c>
      <c r="L75" s="37">
        <f t="shared" ca="1" si="18"/>
        <v>76.400000000000006</v>
      </c>
      <c r="M75" s="79">
        <f t="shared" ca="1" si="19"/>
        <v>-8.1730769199999997E-2</v>
      </c>
      <c r="N75" s="87">
        <f t="shared" ca="1" si="23"/>
        <v>70547738.290562779</v>
      </c>
      <c r="O75" s="57" t="str">
        <f ca="1">IFERROR(OFFSET(INDIRECT($H$3 &amp; "!A152"), 19, 0), "")</f>
        <v>도지코인</v>
      </c>
      <c r="P75" s="37">
        <f t="shared" ca="1" si="20"/>
        <v>418</v>
      </c>
      <c r="Q75" s="79">
        <f t="shared" ca="1" si="21"/>
        <v>-0.10107526880000001</v>
      </c>
      <c r="R75" s="87">
        <f t="shared" ca="1" si="24"/>
        <v>2174954590.4001069</v>
      </c>
    </row>
    <row r="76" spans="1:18">
      <c r="A76" s="40" t="s">
        <v>271</v>
      </c>
      <c r="B76" s="11" t="s">
        <v>272</v>
      </c>
      <c r="C76" s="95">
        <v>1330</v>
      </c>
      <c r="D76" s="92">
        <v>-0.1013513514</v>
      </c>
      <c r="E76" s="93">
        <v>2627145.00100026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86</v>
      </c>
      <c r="D77" s="92">
        <v>-0.1013584117</v>
      </c>
      <c r="E77" s="93">
        <v>29013746.269809339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5">
        <v>28100</v>
      </c>
      <c r="D78" s="92">
        <v>-0.1013751199</v>
      </c>
      <c r="E78" s="93">
        <v>1580252.1435585299</v>
      </c>
      <c r="F78" s="35"/>
      <c r="G78" s="35"/>
      <c r="H78" s="35"/>
      <c r="I78" s="35"/>
    </row>
    <row r="79" spans="1:18">
      <c r="A79" s="40" t="s">
        <v>50</v>
      </c>
      <c r="B79" s="11" t="s">
        <v>51</v>
      </c>
      <c r="C79" s="95">
        <v>443</v>
      </c>
      <c r="D79" s="92">
        <v>-0.1014198783</v>
      </c>
      <c r="E79" s="93">
        <v>99950974.055627778</v>
      </c>
      <c r="F79" s="35"/>
      <c r="G79" s="35"/>
      <c r="H79" s="35"/>
      <c r="I79" s="35"/>
    </row>
    <row r="80" spans="1:18">
      <c r="A80" s="40" t="s">
        <v>157</v>
      </c>
      <c r="B80" s="11" t="s">
        <v>158</v>
      </c>
      <c r="C80" s="95">
        <v>4990</v>
      </c>
      <c r="D80" s="92">
        <v>-0.101710171</v>
      </c>
      <c r="E80" s="93">
        <v>1700912.3564150301</v>
      </c>
      <c r="F80" s="35"/>
      <c r="G80" s="35"/>
      <c r="H80" s="35"/>
      <c r="I80" s="35"/>
    </row>
    <row r="81" spans="1:9">
      <c r="A81" s="40" t="s">
        <v>273</v>
      </c>
      <c r="B81" s="11" t="s">
        <v>274</v>
      </c>
      <c r="C81" s="95">
        <v>9000</v>
      </c>
      <c r="D81" s="92">
        <v>-0.10269192420000001</v>
      </c>
      <c r="E81" s="93">
        <v>1984555.51429685</v>
      </c>
      <c r="F81" s="35"/>
      <c r="G81" s="35"/>
      <c r="H81" s="35"/>
      <c r="I81" s="35"/>
    </row>
    <row r="82" spans="1:9">
      <c r="A82" s="40" t="s">
        <v>91</v>
      </c>
      <c r="B82" s="11" t="s">
        <v>92</v>
      </c>
      <c r="C82" s="95">
        <v>1090</v>
      </c>
      <c r="D82" s="92">
        <v>-0.10288065840000001</v>
      </c>
      <c r="E82" s="93">
        <v>403103286.95109361</v>
      </c>
      <c r="F82" s="35"/>
      <c r="G82" s="35"/>
      <c r="H82" s="35"/>
      <c r="I82" s="35"/>
    </row>
    <row r="83" spans="1:9">
      <c r="A83" s="40" t="s">
        <v>207</v>
      </c>
      <c r="B83" s="11" t="s">
        <v>208</v>
      </c>
      <c r="C83" s="95">
        <v>311</v>
      </c>
      <c r="D83" s="92">
        <v>-0.10374639770000001</v>
      </c>
      <c r="E83" s="93">
        <v>44088857.938012443</v>
      </c>
      <c r="F83" s="35"/>
      <c r="G83" s="35"/>
      <c r="H83" s="35"/>
      <c r="I83" s="35"/>
    </row>
    <row r="84" spans="1:9">
      <c r="A84" s="40" t="s">
        <v>231</v>
      </c>
      <c r="B84" s="11" t="s">
        <v>232</v>
      </c>
      <c r="C84" s="95">
        <v>112</v>
      </c>
      <c r="D84" s="92">
        <v>-0.104</v>
      </c>
      <c r="E84" s="93">
        <v>81334152.22722961</v>
      </c>
      <c r="F84" s="35"/>
      <c r="G84" s="35"/>
      <c r="H84" s="35"/>
      <c r="I84" s="35"/>
    </row>
    <row r="85" spans="1:9">
      <c r="A85" s="40" t="s">
        <v>62</v>
      </c>
      <c r="B85" s="11" t="s">
        <v>63</v>
      </c>
      <c r="C85" s="95">
        <v>63700</v>
      </c>
      <c r="D85" s="92">
        <v>-0.1040787623</v>
      </c>
      <c r="E85" s="93">
        <v>702170.02270186995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5">
        <v>611</v>
      </c>
      <c r="D86" s="92">
        <v>-0.1041055718</v>
      </c>
      <c r="E86" s="93">
        <v>7221545.4598320499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5">
        <v>2550</v>
      </c>
      <c r="D87" s="92">
        <v>-0.1052631579</v>
      </c>
      <c r="E87" s="93">
        <v>2013306.2113019901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306</v>
      </c>
      <c r="D88" s="92">
        <v>-0.1052631579</v>
      </c>
      <c r="E88" s="93">
        <v>67436029.683148086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5">
        <v>2505</v>
      </c>
      <c r="D89" s="92">
        <v>-0.10535714290000001</v>
      </c>
      <c r="E89" s="93">
        <v>1545785.4852920601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12880</v>
      </c>
      <c r="D90" s="92">
        <v>-0.1055555556</v>
      </c>
      <c r="E90" s="93">
        <v>3784310.04155218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921</v>
      </c>
      <c r="D91" s="92">
        <v>-0.1058252427</v>
      </c>
      <c r="E91" s="93">
        <v>34095538.484557532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5">
        <v>1305</v>
      </c>
      <c r="D92" s="92">
        <v>-0.1061643836</v>
      </c>
      <c r="E92" s="93">
        <v>2584534.4692463698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1495</v>
      </c>
      <c r="D93" s="92">
        <v>-0.1074626866</v>
      </c>
      <c r="E93" s="93">
        <v>2470250.9371368699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10450</v>
      </c>
      <c r="D94" s="92">
        <v>-0.1076003416</v>
      </c>
      <c r="E94" s="93">
        <v>923230.02322469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1805</v>
      </c>
      <c r="D95" s="92">
        <v>-0.1086419753</v>
      </c>
      <c r="E95" s="93">
        <v>5104556.7691653101</v>
      </c>
      <c r="F95" s="35"/>
      <c r="G95" s="35"/>
      <c r="H95" s="35"/>
      <c r="I95" s="35"/>
    </row>
    <row r="96" spans="1:9">
      <c r="A96" s="40" t="s">
        <v>56</v>
      </c>
      <c r="B96" s="11" t="s">
        <v>57</v>
      </c>
      <c r="C96" s="95">
        <v>213</v>
      </c>
      <c r="D96" s="92">
        <v>-0.1087866109</v>
      </c>
      <c r="E96" s="93">
        <v>59419066.053830519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5">
        <v>4010</v>
      </c>
      <c r="D97" s="92">
        <v>-0.10888888889999999</v>
      </c>
      <c r="E97" s="93">
        <v>2113345.1432320401</v>
      </c>
      <c r="F97" s="35"/>
      <c r="G97" s="35"/>
      <c r="H97" s="35"/>
      <c r="I97" s="35"/>
    </row>
    <row r="98" spans="1:9">
      <c r="A98" s="40" t="s">
        <v>127</v>
      </c>
      <c r="B98" s="11" t="s">
        <v>128</v>
      </c>
      <c r="C98" s="95">
        <v>368</v>
      </c>
      <c r="D98" s="92">
        <v>-0.1089588378</v>
      </c>
      <c r="E98" s="93">
        <v>9316160.6627927702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1700</v>
      </c>
      <c r="D99" s="92">
        <v>-0.109947644</v>
      </c>
      <c r="E99" s="93">
        <v>15814471.6648397</v>
      </c>
      <c r="F99" s="35"/>
      <c r="G99" s="35"/>
      <c r="H99" s="35"/>
      <c r="I99" s="35"/>
    </row>
    <row r="100" spans="1:9">
      <c r="A100" s="40" t="s">
        <v>125</v>
      </c>
      <c r="B100" s="11" t="s">
        <v>126</v>
      </c>
      <c r="C100" s="95">
        <v>27.8</v>
      </c>
      <c r="D100" s="92">
        <v>-0.1118210863</v>
      </c>
      <c r="E100" s="93">
        <v>138543256.26474002</v>
      </c>
      <c r="F100" s="35"/>
      <c r="G100" s="35"/>
      <c r="H100" s="35"/>
      <c r="I100" s="35"/>
    </row>
    <row r="101" spans="1:9">
      <c r="A101" s="40" t="s">
        <v>64</v>
      </c>
      <c r="B101" s="11" t="s">
        <v>65</v>
      </c>
      <c r="C101" s="95">
        <v>36.5</v>
      </c>
      <c r="D101" s="92">
        <v>-0.1119221411</v>
      </c>
      <c r="E101" s="93">
        <v>78632286.191577703</v>
      </c>
      <c r="F101" s="35"/>
      <c r="G101" s="35"/>
      <c r="H101" s="35"/>
      <c r="I101" s="35"/>
    </row>
    <row r="102" spans="1:9">
      <c r="A102" s="40" t="s">
        <v>103</v>
      </c>
      <c r="B102" s="11" t="s">
        <v>104</v>
      </c>
      <c r="C102" s="95">
        <v>1265</v>
      </c>
      <c r="D102" s="92">
        <v>-0.11228070179999999</v>
      </c>
      <c r="E102" s="93">
        <v>10359418.56129832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1765</v>
      </c>
      <c r="D103" s="92">
        <v>-0.1130653266</v>
      </c>
      <c r="E103" s="93">
        <v>3532361.7803678298</v>
      </c>
      <c r="F103" s="35"/>
      <c r="G103" s="35"/>
      <c r="H103" s="35"/>
      <c r="I103" s="35"/>
    </row>
    <row r="104" spans="1:9">
      <c r="A104" s="40" t="s">
        <v>143</v>
      </c>
      <c r="B104" s="11" t="s">
        <v>144</v>
      </c>
      <c r="C104" s="95">
        <v>6895</v>
      </c>
      <c r="D104" s="92">
        <v>-0.1131832797</v>
      </c>
      <c r="E104" s="93">
        <v>3487417.02879189</v>
      </c>
      <c r="F104" s="35"/>
      <c r="G104" s="35"/>
      <c r="H104" s="35"/>
      <c r="I104" s="35"/>
    </row>
    <row r="105" spans="1:9">
      <c r="A105" s="40" t="s">
        <v>165</v>
      </c>
      <c r="B105" s="11" t="s">
        <v>166</v>
      </c>
      <c r="C105" s="95">
        <v>1250</v>
      </c>
      <c r="D105" s="92">
        <v>-0.11347517729999999</v>
      </c>
      <c r="E105" s="93">
        <v>2114527.3919206099</v>
      </c>
      <c r="F105" s="35"/>
      <c r="G105" s="35"/>
      <c r="H105" s="35"/>
      <c r="I105" s="35"/>
    </row>
    <row r="106" spans="1:9">
      <c r="A106" s="40" t="s">
        <v>191</v>
      </c>
      <c r="B106" s="11" t="s">
        <v>192</v>
      </c>
      <c r="C106" s="95">
        <v>1130</v>
      </c>
      <c r="D106" s="92">
        <v>-0.1137254902</v>
      </c>
      <c r="E106" s="93">
        <v>15955713.41086472</v>
      </c>
      <c r="F106" s="35"/>
      <c r="G106" s="35"/>
      <c r="H106" s="35"/>
      <c r="I106" s="35"/>
    </row>
    <row r="107" spans="1:9">
      <c r="A107" s="40" t="s">
        <v>163</v>
      </c>
      <c r="B107" s="11" t="s">
        <v>164</v>
      </c>
      <c r="C107" s="95">
        <v>15710</v>
      </c>
      <c r="D107" s="92">
        <v>-0.1154279279</v>
      </c>
      <c r="E107" s="93">
        <v>1426325.64723219</v>
      </c>
      <c r="F107" s="35"/>
      <c r="G107" s="35"/>
      <c r="H107" s="35"/>
      <c r="I107" s="35"/>
    </row>
    <row r="108" spans="1:9">
      <c r="A108" s="40" t="s">
        <v>105</v>
      </c>
      <c r="B108" s="11" t="s">
        <v>106</v>
      </c>
      <c r="C108" s="95">
        <v>1220</v>
      </c>
      <c r="D108" s="92">
        <v>-0.115942029</v>
      </c>
      <c r="E108" s="93">
        <v>2270287.6597207198</v>
      </c>
      <c r="F108" s="35"/>
      <c r="G108" s="35"/>
      <c r="H108" s="35"/>
      <c r="I108" s="35"/>
    </row>
    <row r="109" spans="1:9">
      <c r="A109" s="40" t="s">
        <v>135</v>
      </c>
      <c r="B109" s="11" t="s">
        <v>136</v>
      </c>
      <c r="C109" s="95">
        <v>143</v>
      </c>
      <c r="D109" s="92">
        <v>-0.11728395060000001</v>
      </c>
      <c r="E109" s="41">
        <v>50401583.22757414</v>
      </c>
    </row>
    <row r="110" spans="1:9">
      <c r="A110" s="40" t="s">
        <v>53</v>
      </c>
      <c r="B110" s="11" t="s">
        <v>54</v>
      </c>
      <c r="C110" s="95">
        <v>263</v>
      </c>
      <c r="D110" s="92">
        <v>-0.1174496644</v>
      </c>
      <c r="E110" s="41">
        <v>24794131.154019091</v>
      </c>
    </row>
    <row r="111" spans="1:9">
      <c r="A111" s="40" t="s">
        <v>113</v>
      </c>
      <c r="B111" s="11" t="s">
        <v>114</v>
      </c>
      <c r="C111" s="95">
        <v>9750</v>
      </c>
      <c r="D111" s="92">
        <v>-0.1176470588</v>
      </c>
      <c r="E111" s="41">
        <v>9907680.5335682705</v>
      </c>
    </row>
    <row r="112" spans="1:9">
      <c r="A112" s="40" t="s">
        <v>241</v>
      </c>
      <c r="B112" s="11" t="s">
        <v>242</v>
      </c>
      <c r="C112" s="95">
        <v>4050</v>
      </c>
      <c r="D112" s="92">
        <v>-0.11956521740000001</v>
      </c>
      <c r="E112" s="41">
        <v>2320728.4813310299</v>
      </c>
    </row>
    <row r="113" spans="1:5">
      <c r="A113" s="40" t="s">
        <v>115</v>
      </c>
      <c r="B113" s="11" t="s">
        <v>116</v>
      </c>
      <c r="C113" s="95">
        <v>368</v>
      </c>
      <c r="D113" s="92">
        <v>-0.1238095238</v>
      </c>
      <c r="E113" s="41">
        <v>27393424.956668612</v>
      </c>
    </row>
    <row r="114" spans="1:5">
      <c r="A114" s="40" t="s">
        <v>75</v>
      </c>
      <c r="B114" s="11" t="s">
        <v>76</v>
      </c>
      <c r="C114" s="95">
        <v>32510</v>
      </c>
      <c r="D114" s="92">
        <v>-0.127482555</v>
      </c>
      <c r="E114" s="41">
        <v>1698094.9406319601</v>
      </c>
    </row>
    <row r="115" spans="1:5">
      <c r="A115" s="40" t="s">
        <v>68</v>
      </c>
      <c r="B115" s="11" t="s">
        <v>69</v>
      </c>
      <c r="C115" s="95">
        <v>5335</v>
      </c>
      <c r="D115" s="92">
        <v>-0.12897959179999999</v>
      </c>
      <c r="E115" s="41">
        <v>3152642.7465935098</v>
      </c>
    </row>
    <row r="116" spans="1:5">
      <c r="A116" s="40" t="s">
        <v>141</v>
      </c>
      <c r="B116" s="11" t="s">
        <v>142</v>
      </c>
      <c r="C116" s="95">
        <v>421</v>
      </c>
      <c r="D116" s="92">
        <v>-0.13016528929999999</v>
      </c>
      <c r="E116" s="41">
        <v>111400509.29505628</v>
      </c>
    </row>
    <row r="117" spans="1:5">
      <c r="A117" s="40" t="s">
        <v>73</v>
      </c>
      <c r="B117" s="11" t="s">
        <v>74</v>
      </c>
      <c r="C117" s="95">
        <v>16750</v>
      </c>
      <c r="D117" s="92">
        <v>-0.1321243523</v>
      </c>
      <c r="E117" s="41">
        <v>574627.09286222002</v>
      </c>
    </row>
    <row r="118" spans="1:5">
      <c r="A118" s="40" t="s">
        <v>149</v>
      </c>
      <c r="B118" s="11" t="s">
        <v>150</v>
      </c>
      <c r="C118" s="95">
        <v>2335</v>
      </c>
      <c r="D118" s="92">
        <v>-0.13358070499999999</v>
      </c>
      <c r="E118" s="41">
        <v>8299433.5743437698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15.7</v>
      </c>
      <c r="D2" s="92">
        <v>8.2758620699999993E-2</v>
      </c>
      <c r="E2" s="93">
        <v>2277227180.7067342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95">
        <v>195</v>
      </c>
      <c r="D3" s="92">
        <v>4.2780748700000003E-2</v>
      </c>
      <c r="E3" s="93">
        <v>684887949.64599335</v>
      </c>
      <c r="F3" s="35"/>
      <c r="G3" s="242" t="s">
        <v>290</v>
      </c>
      <c r="H3" s="254" t="s">
        <v>365</v>
      </c>
      <c r="I3" s="254"/>
      <c r="K3" s="198" t="s">
        <v>34</v>
      </c>
      <c r="L3" s="199"/>
      <c r="M3" s="199"/>
      <c r="N3" s="200"/>
      <c r="O3" s="198" t="s">
        <v>291</v>
      </c>
      <c r="P3" s="199"/>
      <c r="Q3" s="199"/>
      <c r="R3" s="200"/>
    </row>
    <row r="4" spans="1:18" ht="17.25" thickBot="1">
      <c r="A4" s="40" t="s">
        <v>205</v>
      </c>
      <c r="B4" s="11" t="s">
        <v>206</v>
      </c>
      <c r="C4" s="95">
        <v>16940</v>
      </c>
      <c r="D4" s="92">
        <v>-1.33954572E-2</v>
      </c>
      <c r="E4" s="93">
        <v>3285247.7671185401</v>
      </c>
      <c r="F4" s="35"/>
      <c r="G4" s="243"/>
      <c r="H4" s="255"/>
      <c r="I4" s="255"/>
      <c r="K4" s="235" t="s">
        <v>55</v>
      </c>
      <c r="L4" s="251">
        <f ca="1">NOW()</f>
        <v>44351.890010300929</v>
      </c>
      <c r="M4" s="252"/>
      <c r="N4" s="253"/>
      <c r="O4" s="250" t="s">
        <v>55</v>
      </c>
      <c r="P4" s="251">
        <f ca="1">NOW()</f>
        <v>44351.890010300929</v>
      </c>
      <c r="Q4" s="252"/>
      <c r="R4" s="253"/>
    </row>
    <row r="5" spans="1:18" ht="17.25" thickBot="1">
      <c r="A5" s="40" t="s">
        <v>66</v>
      </c>
      <c r="B5" s="11" t="s">
        <v>67</v>
      </c>
      <c r="C5" s="95">
        <v>5610</v>
      </c>
      <c r="D5" s="92">
        <v>-2.00873362E-2</v>
      </c>
      <c r="E5" s="93">
        <v>12295305.63158248</v>
      </c>
      <c r="F5" s="35"/>
      <c r="K5" s="243"/>
      <c r="L5" s="51" t="s">
        <v>58</v>
      </c>
      <c r="M5" s="73" t="s">
        <v>59</v>
      </c>
      <c r="N5" s="69" t="s">
        <v>294</v>
      </c>
      <c r="O5" s="22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251</v>
      </c>
      <c r="B6" s="11" t="s">
        <v>252</v>
      </c>
      <c r="C6" s="95">
        <v>311</v>
      </c>
      <c r="D6" s="92">
        <v>-2.2012578599999999E-2</v>
      </c>
      <c r="E6" s="93">
        <v>70964528.596468747</v>
      </c>
      <c r="F6" s="35"/>
      <c r="G6" s="198" t="s">
        <v>52</v>
      </c>
      <c r="H6" s="199"/>
      <c r="I6" s="200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92.4</v>
      </c>
      <c r="M6" s="76">
        <f t="shared" ref="M6:M25" ca="1" si="1">_xlfn.IFNA(VLOOKUP(K6, $B$2:$D$200, 3, FALSE), "")</f>
        <v>-6.8548387099999997E-2</v>
      </c>
      <c r="N6" s="85">
        <f ca="1">_xlfn.IFNA(VLOOKUP(K6, $B$2:$E$200, 4, FALSE), "")</f>
        <v>53510407.366976522</v>
      </c>
      <c r="O6" s="72" t="s">
        <v>186</v>
      </c>
      <c r="P6" s="38">
        <f t="shared" ref="P6:P25" si="2">_xlfn.IFNA(VLOOKUP(O6, $B$2:$D$200, 2, FALSE), "")</f>
        <v>15.7</v>
      </c>
      <c r="Q6" s="76">
        <f t="shared" ref="Q6:Q25" si="3">_xlfn.IFNA(VLOOKUP(O6, $B$2:$D$200, 3, FALSE), "")</f>
        <v>8.2758620699999993E-2</v>
      </c>
      <c r="R6" s="85">
        <f>_xlfn.IFNA(VLOOKUP(O6, $B$2:$E$200, 4, FALSE), "")</f>
        <v>2277227180.7067342</v>
      </c>
    </row>
    <row r="7" spans="1:18">
      <c r="A7" s="40" t="s">
        <v>211</v>
      </c>
      <c r="B7" s="11" t="s">
        <v>212</v>
      </c>
      <c r="C7" s="95">
        <v>78.3</v>
      </c>
      <c r="D7" s="92">
        <v>-4.2787286100000002E-2</v>
      </c>
      <c r="E7" s="93">
        <v>844321102.93500888</v>
      </c>
      <c r="F7" s="35"/>
      <c r="G7" s="226" t="s">
        <v>36</v>
      </c>
      <c r="H7" s="227"/>
      <c r="I7" s="228"/>
      <c r="K7" s="56" t="str">
        <f ca="1">IFERROR(OFFSET(INDIRECT($H$3 &amp; "!A17"), 1, 0), "")</f>
        <v>메디블록</v>
      </c>
      <c r="L7" s="39">
        <f t="shared" ca="1" si="0"/>
        <v>78.3</v>
      </c>
      <c r="M7" s="77">
        <f t="shared" ca="1" si="1"/>
        <v>-4.2787286100000002E-2</v>
      </c>
      <c r="N7" s="86">
        <f t="shared" ref="N7:N25" ca="1" si="4">_xlfn.IFNA(VLOOKUP(K7, $B$2:$E$200, 4, FALSE), "")</f>
        <v>844321102.93500888</v>
      </c>
      <c r="O7" s="88" t="s">
        <v>112</v>
      </c>
      <c r="P7" s="39">
        <f t="shared" si="2"/>
        <v>195</v>
      </c>
      <c r="Q7" s="77">
        <f t="shared" si="3"/>
        <v>4.2780748700000003E-2</v>
      </c>
      <c r="R7" s="86">
        <f t="shared" ref="R7:R25" si="5">_xlfn.IFNA(VLOOKUP(O7, $B$2:$E$200, 4, FALSE), "")</f>
        <v>684887949.64599335</v>
      </c>
    </row>
    <row r="8" spans="1:18" ht="17.25" thickBot="1">
      <c r="A8" s="40" t="s">
        <v>175</v>
      </c>
      <c r="B8" s="11" t="s">
        <v>176</v>
      </c>
      <c r="C8" s="95">
        <v>1155</v>
      </c>
      <c r="D8" s="92">
        <v>-4.9382716E-2</v>
      </c>
      <c r="E8" s="93">
        <v>20072270.398274589</v>
      </c>
      <c r="F8" s="35"/>
      <c r="G8" s="219"/>
      <c r="H8" s="220"/>
      <c r="I8" s="221"/>
      <c r="K8" s="56" t="str">
        <f ca="1">IFERROR(OFFSET(INDIRECT($H$3 &amp; "!A17"), 2, 0), "")</f>
        <v>메타디움</v>
      </c>
      <c r="L8" s="39">
        <f t="shared" ca="1" si="0"/>
        <v>121</v>
      </c>
      <c r="M8" s="77">
        <f t="shared" ca="1" si="1"/>
        <v>-8.3333333300000006E-2</v>
      </c>
      <c r="N8" s="86">
        <f t="shared" ca="1" si="4"/>
        <v>103938706.74554054</v>
      </c>
      <c r="O8" s="88" t="s">
        <v>206</v>
      </c>
      <c r="P8" s="39">
        <f t="shared" si="2"/>
        <v>16940</v>
      </c>
      <c r="Q8" s="77">
        <f t="shared" si="3"/>
        <v>-1.33954572E-2</v>
      </c>
      <c r="R8" s="86">
        <f t="shared" si="5"/>
        <v>3285247.7671185401</v>
      </c>
    </row>
    <row r="9" spans="1:18" ht="17.25" thickBot="1">
      <c r="A9" s="40" t="s">
        <v>225</v>
      </c>
      <c r="B9" s="11" t="s">
        <v>226</v>
      </c>
      <c r="C9" s="95">
        <v>298</v>
      </c>
      <c r="D9" s="92">
        <v>-5.0955413999999997E-2</v>
      </c>
      <c r="E9" s="93">
        <v>10612282.83404791</v>
      </c>
      <c r="F9" s="35"/>
      <c r="G9" s="50" t="s">
        <v>38</v>
      </c>
      <c r="H9" s="199" t="s">
        <v>37</v>
      </c>
      <c r="I9" s="200"/>
      <c r="K9" s="56" t="str">
        <f ca="1">IFERROR(OFFSET(INDIRECT($H$3 &amp; "!A17"), 3, 0), "")</f>
        <v>크립토닷컴체인</v>
      </c>
      <c r="L9" s="39">
        <f t="shared" ca="1" si="0"/>
        <v>140</v>
      </c>
      <c r="M9" s="77">
        <f t="shared" ca="1" si="1"/>
        <v>-7.2847682100000005E-2</v>
      </c>
      <c r="N9" s="86">
        <f t="shared" ca="1" si="4"/>
        <v>26239524.26977846</v>
      </c>
      <c r="O9" s="88" t="s">
        <v>67</v>
      </c>
      <c r="P9" s="39">
        <f t="shared" si="2"/>
        <v>5610</v>
      </c>
      <c r="Q9" s="77">
        <f t="shared" si="3"/>
        <v>-2.00873362E-2</v>
      </c>
      <c r="R9" s="86">
        <f t="shared" si="5"/>
        <v>12295305.63158248</v>
      </c>
    </row>
    <row r="10" spans="1:18">
      <c r="A10" s="40" t="s">
        <v>253</v>
      </c>
      <c r="B10" s="11" t="s">
        <v>254</v>
      </c>
      <c r="C10" s="95">
        <v>51.9</v>
      </c>
      <c r="D10" s="92">
        <v>-5.8076225000000002E-2</v>
      </c>
      <c r="E10" s="93">
        <v>78200922.258549005</v>
      </c>
      <c r="F10" s="35"/>
      <c r="G10" s="244">
        <f>_xlfn.IFNA(VLOOKUP(G7, $B$2:$D$200, 3, FALSE), "-")</f>
        <v>-5.9804979000000001E-2</v>
      </c>
      <c r="H10" s="246">
        <f>_xlfn.IFNA(VLOOKUP(G7, $B$2:$D$200, 2, FALSE), "-")</f>
        <v>42714000</v>
      </c>
      <c r="I10" s="247"/>
      <c r="K10" s="58" t="str">
        <f ca="1">IFERROR(OFFSET(INDIRECT($H$3 &amp; "!A17"), 4, 0), "")</f>
        <v>헌트</v>
      </c>
      <c r="L10" s="44">
        <f t="shared" ca="1" si="0"/>
        <v>303</v>
      </c>
      <c r="M10" s="78">
        <f t="shared" ca="1" si="1"/>
        <v>-6.1919504600000001E-2</v>
      </c>
      <c r="N10" s="90">
        <f t="shared" ca="1" si="4"/>
        <v>51192949.686697878</v>
      </c>
      <c r="O10" s="88" t="s">
        <v>252</v>
      </c>
      <c r="P10" s="39">
        <f t="shared" si="2"/>
        <v>311</v>
      </c>
      <c r="Q10" s="77">
        <f t="shared" si="3"/>
        <v>-2.2012578599999999E-2</v>
      </c>
      <c r="R10" s="90">
        <f t="shared" si="5"/>
        <v>70964528.596468747</v>
      </c>
    </row>
    <row r="11" spans="1:18" ht="17.25" thickBot="1">
      <c r="A11" s="40" t="s">
        <v>275</v>
      </c>
      <c r="B11" s="11" t="s">
        <v>276</v>
      </c>
      <c r="C11" s="95">
        <v>2845</v>
      </c>
      <c r="D11" s="92">
        <v>-5.9504132199999997E-2</v>
      </c>
      <c r="E11" s="93">
        <v>781462.95072912995</v>
      </c>
      <c r="F11" s="35"/>
      <c r="G11" s="245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212</v>
      </c>
      <c r="P11" s="45">
        <f t="shared" si="2"/>
        <v>78.3</v>
      </c>
      <c r="Q11" s="80">
        <f t="shared" si="3"/>
        <v>-4.2787286100000002E-2</v>
      </c>
      <c r="R11" s="99">
        <f t="shared" si="5"/>
        <v>844321102.93500888</v>
      </c>
    </row>
    <row r="12" spans="1:18" ht="17.25" thickBot="1">
      <c r="A12" s="40" t="s">
        <v>48</v>
      </c>
      <c r="B12" s="11" t="s">
        <v>49</v>
      </c>
      <c r="C12" s="95">
        <v>42714000</v>
      </c>
      <c r="D12" s="92">
        <v>-5.9804979000000001E-2</v>
      </c>
      <c r="E12" s="93">
        <v>6408.5900656200001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176</v>
      </c>
      <c r="P12" s="39">
        <f t="shared" si="2"/>
        <v>1155</v>
      </c>
      <c r="Q12" s="77">
        <f t="shared" si="3"/>
        <v>-4.9382716E-2</v>
      </c>
      <c r="R12" s="86">
        <f t="shared" si="5"/>
        <v>20072270.398274589</v>
      </c>
    </row>
    <row r="13" spans="1:18" ht="17.25" thickBot="1">
      <c r="A13" s="40" t="s">
        <v>245</v>
      </c>
      <c r="B13" s="11" t="s">
        <v>246</v>
      </c>
      <c r="C13" s="95">
        <v>303</v>
      </c>
      <c r="D13" s="92">
        <v>-6.1919504600000001E-2</v>
      </c>
      <c r="E13" s="93">
        <v>51192949.686697878</v>
      </c>
      <c r="F13" s="35"/>
      <c r="G13" s="198" t="s">
        <v>70</v>
      </c>
      <c r="H13" s="199"/>
      <c r="I13" s="20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226</v>
      </c>
      <c r="P13" s="39">
        <f t="shared" si="2"/>
        <v>298</v>
      </c>
      <c r="Q13" s="77">
        <f t="shared" si="3"/>
        <v>-5.0955413999999997E-2</v>
      </c>
      <c r="R13" s="86">
        <f t="shared" si="5"/>
        <v>10612282.83404791</v>
      </c>
    </row>
    <row r="14" spans="1:18">
      <c r="A14" s="40" t="s">
        <v>189</v>
      </c>
      <c r="B14" s="11" t="s">
        <v>190</v>
      </c>
      <c r="C14" s="95">
        <v>46950</v>
      </c>
      <c r="D14" s="92">
        <v>-6.5485668799999994E-2</v>
      </c>
      <c r="E14" s="93">
        <v>65635.6238553</v>
      </c>
      <c r="F14" s="35"/>
      <c r="G14" s="226" t="s">
        <v>36</v>
      </c>
      <c r="H14" s="227"/>
      <c r="I14" s="22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254</v>
      </c>
      <c r="P14" s="39">
        <f t="shared" si="2"/>
        <v>51.9</v>
      </c>
      <c r="Q14" s="77">
        <f t="shared" si="3"/>
        <v>-5.8076225000000002E-2</v>
      </c>
      <c r="R14" s="86">
        <f t="shared" si="5"/>
        <v>78200922.258549005</v>
      </c>
    </row>
    <row r="15" spans="1:18" ht="17.25" thickBot="1">
      <c r="A15" s="40" t="s">
        <v>133</v>
      </c>
      <c r="B15" s="11" t="s">
        <v>134</v>
      </c>
      <c r="C15" s="95">
        <v>92.4</v>
      </c>
      <c r="D15" s="92">
        <v>-6.8548387099999997E-2</v>
      </c>
      <c r="E15" s="93">
        <v>53510407.366976522</v>
      </c>
      <c r="F15" s="35"/>
      <c r="G15" s="219"/>
      <c r="H15" s="220"/>
      <c r="I15" s="22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276</v>
      </c>
      <c r="P15" s="37">
        <f t="shared" si="2"/>
        <v>2845</v>
      </c>
      <c r="Q15" s="79">
        <f t="shared" si="3"/>
        <v>-5.9504132199999997E-2</v>
      </c>
      <c r="R15" s="87">
        <f t="shared" si="5"/>
        <v>781462.95072912995</v>
      </c>
    </row>
    <row r="16" spans="1:18" ht="17.25" thickBot="1">
      <c r="A16" s="40" t="s">
        <v>173</v>
      </c>
      <c r="B16" s="11" t="s">
        <v>174</v>
      </c>
      <c r="C16" s="95">
        <v>185</v>
      </c>
      <c r="D16" s="92">
        <v>-7.0351758799999997E-2</v>
      </c>
      <c r="E16" s="93">
        <v>44967245.390326582</v>
      </c>
      <c r="F16" s="35"/>
      <c r="G16" s="50" t="s">
        <v>38</v>
      </c>
      <c r="H16" s="199" t="s">
        <v>37</v>
      </c>
      <c r="I16" s="20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49</v>
      </c>
      <c r="P16" s="38">
        <f t="shared" si="2"/>
        <v>42714000</v>
      </c>
      <c r="Q16" s="76">
        <f t="shared" si="3"/>
        <v>-5.9804979000000001E-2</v>
      </c>
      <c r="R16" s="85">
        <f t="shared" si="5"/>
        <v>6408.5900656200001</v>
      </c>
    </row>
    <row r="17" spans="1:18">
      <c r="A17" s="40" t="s">
        <v>195</v>
      </c>
      <c r="B17" s="11" t="s">
        <v>196</v>
      </c>
      <c r="C17" s="95">
        <v>11.5</v>
      </c>
      <c r="D17" s="92">
        <v>-7.2580645200000002E-2</v>
      </c>
      <c r="E17" s="93">
        <v>211109075.6727919</v>
      </c>
      <c r="F17" s="35"/>
      <c r="G17" s="244">
        <f>_xlfn.IFNA(VLOOKUP(G14, $B$2:$D$200, 3, FALSE), "-")</f>
        <v>-5.9804979000000001E-2</v>
      </c>
      <c r="H17" s="246">
        <f>_xlfn.IFNA(VLOOKUP(G14, $B$2:$D$200, 2, FALSE), "-")</f>
        <v>42714000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246</v>
      </c>
      <c r="P17" s="39">
        <f t="shared" si="2"/>
        <v>303</v>
      </c>
      <c r="Q17" s="77">
        <f t="shared" si="3"/>
        <v>-6.1919504600000001E-2</v>
      </c>
      <c r="R17" s="86">
        <f t="shared" si="5"/>
        <v>51192949.686697878</v>
      </c>
    </row>
    <row r="18" spans="1:18" ht="17.25" thickBot="1">
      <c r="A18" s="40" t="s">
        <v>119</v>
      </c>
      <c r="B18" s="11" t="s">
        <v>120</v>
      </c>
      <c r="C18" s="95">
        <v>140</v>
      </c>
      <c r="D18" s="92">
        <v>-7.2847682100000005E-2</v>
      </c>
      <c r="E18" s="93">
        <v>26239524.26977846</v>
      </c>
      <c r="F18" s="35"/>
      <c r="G18" s="245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190</v>
      </c>
      <c r="P18" s="39">
        <f t="shared" si="2"/>
        <v>46950</v>
      </c>
      <c r="Q18" s="77">
        <f t="shared" si="3"/>
        <v>-6.5485668799999994E-2</v>
      </c>
      <c r="R18" s="86">
        <f t="shared" si="5"/>
        <v>65635.6238553</v>
      </c>
    </row>
    <row r="19" spans="1:18" ht="17.25" thickBot="1">
      <c r="A19" s="40" t="s">
        <v>217</v>
      </c>
      <c r="B19" s="11" t="s">
        <v>218</v>
      </c>
      <c r="C19" s="95">
        <v>16.399999999999999</v>
      </c>
      <c r="D19" s="92">
        <v>-7.3446327699999994E-2</v>
      </c>
      <c r="E19" s="93">
        <v>450700447.79396904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134</v>
      </c>
      <c r="P19" s="39">
        <f t="shared" si="2"/>
        <v>92.4</v>
      </c>
      <c r="Q19" s="77">
        <f t="shared" si="3"/>
        <v>-6.8548387099999997E-2</v>
      </c>
      <c r="R19" s="86">
        <f t="shared" si="5"/>
        <v>53510407.366976522</v>
      </c>
    </row>
    <row r="20" spans="1:18" ht="17.25" thickBot="1">
      <c r="A20" s="40" t="s">
        <v>197</v>
      </c>
      <c r="B20" s="11" t="s">
        <v>198</v>
      </c>
      <c r="C20" s="95">
        <v>16.3</v>
      </c>
      <c r="D20" s="92">
        <v>-7.3863636400000002E-2</v>
      </c>
      <c r="E20" s="93">
        <v>393936222.59693682</v>
      </c>
      <c r="F20" s="35"/>
      <c r="G20" s="198" t="s">
        <v>286</v>
      </c>
      <c r="H20" s="199"/>
      <c r="I20" s="20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174</v>
      </c>
      <c r="P20" s="39">
        <f t="shared" si="2"/>
        <v>185</v>
      </c>
      <c r="Q20" s="77">
        <f t="shared" si="3"/>
        <v>-7.0351758799999997E-2</v>
      </c>
      <c r="R20" s="90">
        <f t="shared" si="5"/>
        <v>44967245.390326582</v>
      </c>
    </row>
    <row r="21" spans="1:18">
      <c r="A21" s="40" t="s">
        <v>155</v>
      </c>
      <c r="B21" s="11" t="s">
        <v>156</v>
      </c>
      <c r="C21" s="95">
        <v>88</v>
      </c>
      <c r="D21" s="92">
        <v>-7.4658254499999993E-2</v>
      </c>
      <c r="E21" s="93">
        <v>307196005.72759402</v>
      </c>
      <c r="F21" s="35"/>
      <c r="G21" s="226" t="s">
        <v>36</v>
      </c>
      <c r="H21" s="227"/>
      <c r="I21" s="22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196</v>
      </c>
      <c r="P21" s="45">
        <f t="shared" si="2"/>
        <v>11.5</v>
      </c>
      <c r="Q21" s="80">
        <f t="shared" si="3"/>
        <v>-7.2580645200000002E-2</v>
      </c>
      <c r="R21" s="99">
        <f t="shared" si="5"/>
        <v>211109075.6727919</v>
      </c>
    </row>
    <row r="22" spans="1:18" ht="17.25" thickBot="1">
      <c r="A22" s="40" t="s">
        <v>229</v>
      </c>
      <c r="B22" s="11" t="s">
        <v>230</v>
      </c>
      <c r="C22" s="95">
        <v>111</v>
      </c>
      <c r="D22" s="92">
        <v>-7.4999999999999997E-2</v>
      </c>
      <c r="E22" s="93">
        <v>52281857.262998477</v>
      </c>
      <c r="F22" s="35"/>
      <c r="G22" s="219"/>
      <c r="H22" s="220"/>
      <c r="I22" s="22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120</v>
      </c>
      <c r="P22" s="39">
        <f t="shared" si="2"/>
        <v>140</v>
      </c>
      <c r="Q22" s="77">
        <f t="shared" si="3"/>
        <v>-7.2847682100000005E-2</v>
      </c>
      <c r="R22" s="86">
        <f t="shared" si="5"/>
        <v>26239524.26977846</v>
      </c>
    </row>
    <row r="23" spans="1:18" ht="17.25" thickBot="1">
      <c r="A23" s="40" t="s">
        <v>161</v>
      </c>
      <c r="B23" s="11" t="s">
        <v>162</v>
      </c>
      <c r="C23" s="95">
        <v>1220</v>
      </c>
      <c r="D23" s="92">
        <v>-7.5757575800000004E-2</v>
      </c>
      <c r="E23" s="93">
        <v>5263696.8802209804</v>
      </c>
      <c r="F23" s="35"/>
      <c r="G23" s="50" t="s">
        <v>38</v>
      </c>
      <c r="H23" s="199" t="s">
        <v>37</v>
      </c>
      <c r="I23" s="20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218</v>
      </c>
      <c r="P23" s="39">
        <f t="shared" si="2"/>
        <v>16.399999999999999</v>
      </c>
      <c r="Q23" s="77">
        <f t="shared" si="3"/>
        <v>-7.3446327699999994E-2</v>
      </c>
      <c r="R23" s="86">
        <f t="shared" si="5"/>
        <v>450700447.79396904</v>
      </c>
    </row>
    <row r="24" spans="1:18">
      <c r="A24" s="40" t="s">
        <v>203</v>
      </c>
      <c r="B24" s="11" t="s">
        <v>204</v>
      </c>
      <c r="C24" s="95">
        <v>3780</v>
      </c>
      <c r="D24" s="92">
        <v>-7.5794621000000006E-2</v>
      </c>
      <c r="E24" s="93">
        <v>8709999.2737620398</v>
      </c>
      <c r="F24" s="35"/>
      <c r="G24" s="244">
        <f>_xlfn.IFNA(VLOOKUP(G21, $B$2:$D$200, 3, FALSE), "-")</f>
        <v>-5.9804979000000001E-2</v>
      </c>
      <c r="H24" s="246">
        <f>_xlfn.IFNA(VLOOKUP(G21, $B$2:$D$200, 2, FALSE), "-")</f>
        <v>42714000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198</v>
      </c>
      <c r="P24" s="39">
        <f t="shared" si="2"/>
        <v>16.3</v>
      </c>
      <c r="Q24" s="77">
        <f t="shared" si="3"/>
        <v>-7.3863636400000002E-2</v>
      </c>
      <c r="R24" s="86">
        <f t="shared" si="5"/>
        <v>393936222.59693682</v>
      </c>
    </row>
    <row r="25" spans="1:18" ht="17.25" thickBot="1">
      <c r="A25" s="40" t="s">
        <v>257</v>
      </c>
      <c r="B25" s="11" t="s">
        <v>258</v>
      </c>
      <c r="C25" s="95">
        <v>485</v>
      </c>
      <c r="D25" s="92">
        <v>-7.6190476199999996E-2</v>
      </c>
      <c r="E25" s="93">
        <v>45871856.656308778</v>
      </c>
      <c r="F25" s="35"/>
      <c r="G25" s="245"/>
      <c r="H25" s="248"/>
      <c r="I25" s="24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156</v>
      </c>
      <c r="P25" s="37">
        <f t="shared" si="2"/>
        <v>88</v>
      </c>
      <c r="Q25" s="79">
        <f t="shared" si="3"/>
        <v>-7.4658254499999993E-2</v>
      </c>
      <c r="R25" s="87">
        <f t="shared" si="5"/>
        <v>307196005.72759402</v>
      </c>
    </row>
    <row r="26" spans="1:18">
      <c r="A26" s="40" t="s">
        <v>121</v>
      </c>
      <c r="B26" s="11" t="s">
        <v>122</v>
      </c>
      <c r="C26" s="95">
        <v>66.900000000000006</v>
      </c>
      <c r="D26" s="92">
        <v>-7.7241379299999996E-2</v>
      </c>
      <c r="E26" s="93">
        <v>45818452.378526181</v>
      </c>
      <c r="F26" s="35"/>
    </row>
    <row r="27" spans="1:18" ht="17.25" thickBot="1">
      <c r="A27" s="40" t="s">
        <v>281</v>
      </c>
      <c r="B27" s="11" t="s">
        <v>282</v>
      </c>
      <c r="C27" s="95">
        <v>107</v>
      </c>
      <c r="D27" s="92">
        <v>-7.7586206899999996E-2</v>
      </c>
      <c r="E27" s="93">
        <v>29118142.296541929</v>
      </c>
      <c r="F27" s="35"/>
    </row>
    <row r="28" spans="1:18" ht="17.25" thickBot="1">
      <c r="A28" s="40" t="s">
        <v>277</v>
      </c>
      <c r="B28" s="11" t="s">
        <v>278</v>
      </c>
      <c r="C28" s="95">
        <v>79.599999999999994</v>
      </c>
      <c r="D28" s="92">
        <v>-7.8703703700000002E-2</v>
      </c>
      <c r="E28" s="93">
        <v>53074240.79723043</v>
      </c>
      <c r="F28" s="35"/>
      <c r="G28" s="198" t="s">
        <v>46</v>
      </c>
      <c r="H28" s="199"/>
      <c r="I28" s="199"/>
      <c r="J28" s="200"/>
      <c r="K28" s="198" t="s">
        <v>44</v>
      </c>
      <c r="L28" s="199"/>
      <c r="M28" s="199"/>
      <c r="N28" s="200"/>
      <c r="O28" s="198" t="s">
        <v>45</v>
      </c>
      <c r="P28" s="199"/>
      <c r="Q28" s="199"/>
      <c r="R28" s="200"/>
    </row>
    <row r="29" spans="1:18" ht="17.25" thickBot="1">
      <c r="A29" s="40" t="s">
        <v>99</v>
      </c>
      <c r="B29" s="11" t="s">
        <v>100</v>
      </c>
      <c r="C29" s="95">
        <v>4.54</v>
      </c>
      <c r="D29" s="92">
        <v>-7.9107505100000003E-2</v>
      </c>
      <c r="E29" s="93">
        <v>62198103710.850075</v>
      </c>
      <c r="F29" s="35"/>
      <c r="G29" s="235" t="s">
        <v>55</v>
      </c>
      <c r="H29" s="251">
        <f ca="1">NOW()</f>
        <v>44351.890010300929</v>
      </c>
      <c r="I29" s="252"/>
      <c r="J29" s="253"/>
      <c r="K29" s="250" t="s">
        <v>55</v>
      </c>
      <c r="L29" s="251">
        <f ca="1">NOW()</f>
        <v>44351.890010300929</v>
      </c>
      <c r="M29" s="252"/>
      <c r="N29" s="253"/>
      <c r="O29" s="250" t="s">
        <v>55</v>
      </c>
      <c r="P29" s="251">
        <f ca="1">NOW()</f>
        <v>44351.890010300929</v>
      </c>
      <c r="Q29" s="252"/>
      <c r="R29" s="253"/>
    </row>
    <row r="30" spans="1:18" ht="17.25" thickBot="1">
      <c r="A30" s="40" t="s">
        <v>227</v>
      </c>
      <c r="B30" s="11" t="s">
        <v>228</v>
      </c>
      <c r="C30" s="95">
        <v>10.4</v>
      </c>
      <c r="D30" s="92">
        <v>-7.9646017700000002E-2</v>
      </c>
      <c r="E30" s="93">
        <v>516154434.42474484</v>
      </c>
      <c r="F30" s="35"/>
      <c r="G30" s="243"/>
      <c r="H30" s="51" t="s">
        <v>58</v>
      </c>
      <c r="I30" s="73" t="s">
        <v>59</v>
      </c>
      <c r="J30" s="69" t="s">
        <v>294</v>
      </c>
      <c r="K30" s="221"/>
      <c r="L30" s="51" t="s">
        <v>58</v>
      </c>
      <c r="M30" s="73" t="s">
        <v>59</v>
      </c>
      <c r="N30" s="91" t="s">
        <v>294</v>
      </c>
      <c r="O30" s="221"/>
      <c r="P30" s="51" t="s">
        <v>58</v>
      </c>
      <c r="Q30" s="73" t="s">
        <v>59</v>
      </c>
      <c r="R30" s="91" t="s">
        <v>294</v>
      </c>
    </row>
    <row r="31" spans="1:18">
      <c r="A31" s="40" t="s">
        <v>199</v>
      </c>
      <c r="B31" s="11" t="s">
        <v>200</v>
      </c>
      <c r="C31" s="95">
        <v>207</v>
      </c>
      <c r="D31" s="92">
        <v>-0.08</v>
      </c>
      <c r="E31" s="93">
        <v>9776190.7863841001</v>
      </c>
      <c r="F31" s="35"/>
      <c r="G31" s="52" t="s">
        <v>186</v>
      </c>
      <c r="H31" s="38">
        <f t="shared" ref="H31:H50" si="6">_xlfn.IFNA(VLOOKUP(G31, $B$2:$D$200, 2, FALSE), "")</f>
        <v>15.7</v>
      </c>
      <c r="I31" s="76">
        <f t="shared" ref="I31:I50" si="7">_xlfn.IFNA(VLOOKUP(G31, $B$2:$D$200, 3, FALSE), "")</f>
        <v>8.2758620699999993E-2</v>
      </c>
      <c r="J31" s="85">
        <f>_xlfn.IFNA(VLOOKUP(G31, $B$2:$E$200, 4, FALSE), "")</f>
        <v>2277227180.7067342</v>
      </c>
      <c r="K31" s="81" t="s">
        <v>186</v>
      </c>
      <c r="L31" s="38">
        <f t="shared" ref="L31:L50" si="8">_xlfn.IFNA(VLOOKUP(K31, $B$2:$D$200, 2, FALSE), "")</f>
        <v>15.7</v>
      </c>
      <c r="M31" s="76">
        <f t="shared" ref="M31:M50" si="9">_xlfn.IFNA(VLOOKUP(K31, $B$2:$D$200, 3, FALSE), "")</f>
        <v>8.2758620699999993E-2</v>
      </c>
      <c r="N31" s="85">
        <f>_xlfn.IFNA(VLOOKUP(K31, $B$2:$E$200, 4, FALSE), "")</f>
        <v>2277227180.7067342</v>
      </c>
      <c r="O31" s="81" t="s">
        <v>112</v>
      </c>
      <c r="P31" s="38">
        <f t="shared" ref="P31:P50" si="10">_xlfn.IFNA(VLOOKUP(O31, $B$2:$D$200, 2, FALSE), "")</f>
        <v>195</v>
      </c>
      <c r="Q31" s="76">
        <f t="shared" ref="Q31:Q50" si="11">_xlfn.IFNA(VLOOKUP(O31, $B$2:$D$200, 3, FALSE), "")</f>
        <v>4.2780748700000003E-2</v>
      </c>
      <c r="R31" s="85">
        <f>_xlfn.IFNA(VLOOKUP(O31, $B$2:$E$200, 4, FALSE), "")</f>
        <v>684887949.64599335</v>
      </c>
    </row>
    <row r="32" spans="1:18">
      <c r="A32" s="40" t="s">
        <v>107</v>
      </c>
      <c r="B32" s="11" t="s">
        <v>108</v>
      </c>
      <c r="C32" s="95">
        <v>30130</v>
      </c>
      <c r="D32" s="92">
        <v>-0.08</v>
      </c>
      <c r="E32" s="93">
        <v>177410.14441596999</v>
      </c>
      <c r="F32" s="35"/>
      <c r="G32" s="47" t="s">
        <v>112</v>
      </c>
      <c r="H32" s="39">
        <f t="shared" si="6"/>
        <v>195</v>
      </c>
      <c r="I32" s="77">
        <f t="shared" si="7"/>
        <v>4.2780748700000003E-2</v>
      </c>
      <c r="J32" s="86">
        <f t="shared" ref="J32:J50" si="12">_xlfn.IFNA(VLOOKUP(G32, $B$2:$E$200, 4, FALSE), "")</f>
        <v>684887949.64599335</v>
      </c>
      <c r="K32" s="82" t="s">
        <v>212</v>
      </c>
      <c r="L32" s="39">
        <f t="shared" si="8"/>
        <v>78.3</v>
      </c>
      <c r="M32" s="77">
        <f t="shared" si="9"/>
        <v>-4.2787286100000002E-2</v>
      </c>
      <c r="N32" s="86">
        <f t="shared" ref="N32:N50" si="13">_xlfn.IFNA(VLOOKUP(K32, $B$2:$E$200, 4, FALSE), "")</f>
        <v>844321102.93500888</v>
      </c>
      <c r="O32" s="82" t="s">
        <v>252</v>
      </c>
      <c r="P32" s="39">
        <f t="shared" si="10"/>
        <v>311</v>
      </c>
      <c r="Q32" s="77">
        <f t="shared" si="11"/>
        <v>-2.2012578599999999E-2</v>
      </c>
      <c r="R32" s="86">
        <f t="shared" ref="R32:R50" si="14">_xlfn.IFNA(VLOOKUP(O32, $B$2:$E$200, 4, FALSE), "")</f>
        <v>70964528.596468747</v>
      </c>
    </row>
    <row r="33" spans="1:18">
      <c r="A33" s="40" t="s">
        <v>77</v>
      </c>
      <c r="B33" s="11" t="s">
        <v>78</v>
      </c>
      <c r="C33" s="95">
        <v>766000</v>
      </c>
      <c r="D33" s="92">
        <v>-8.0432172900000001E-2</v>
      </c>
      <c r="E33" s="93">
        <v>54361.495644920004</v>
      </c>
      <c r="F33" s="35"/>
      <c r="G33" s="47" t="s">
        <v>206</v>
      </c>
      <c r="H33" s="39">
        <f t="shared" si="6"/>
        <v>16940</v>
      </c>
      <c r="I33" s="77">
        <f t="shared" si="7"/>
        <v>-1.33954572E-2</v>
      </c>
      <c r="J33" s="86">
        <f t="shared" si="12"/>
        <v>3285247.7671185401</v>
      </c>
      <c r="K33" s="82" t="s">
        <v>254</v>
      </c>
      <c r="L33" s="39">
        <f t="shared" si="8"/>
        <v>51.9</v>
      </c>
      <c r="M33" s="77">
        <f t="shared" si="9"/>
        <v>-5.8076225000000002E-2</v>
      </c>
      <c r="N33" s="86">
        <f t="shared" si="13"/>
        <v>78200922.258549005</v>
      </c>
      <c r="O33" s="82" t="s">
        <v>226</v>
      </c>
      <c r="P33" s="39">
        <f t="shared" si="10"/>
        <v>298</v>
      </c>
      <c r="Q33" s="77">
        <f t="shared" si="11"/>
        <v>-5.0955413999999997E-2</v>
      </c>
      <c r="R33" s="86">
        <f t="shared" si="14"/>
        <v>10612282.83404791</v>
      </c>
    </row>
    <row r="34" spans="1:18">
      <c r="A34" s="40" t="s">
        <v>95</v>
      </c>
      <c r="B34" s="11" t="s">
        <v>96</v>
      </c>
      <c r="C34" s="95">
        <v>3043000</v>
      </c>
      <c r="D34" s="92">
        <v>-8.0664652599999997E-2</v>
      </c>
      <c r="E34" s="93">
        <v>149552.46198389999</v>
      </c>
      <c r="F34" s="35"/>
      <c r="G34" s="47" t="s">
        <v>67</v>
      </c>
      <c r="H34" s="39">
        <f t="shared" si="6"/>
        <v>5610</v>
      </c>
      <c r="I34" s="77">
        <f t="shared" si="7"/>
        <v>-2.00873362E-2</v>
      </c>
      <c r="J34" s="86">
        <f t="shared" si="12"/>
        <v>12295305.63158248</v>
      </c>
      <c r="K34" s="82" t="s">
        <v>134</v>
      </c>
      <c r="L34" s="39">
        <f t="shared" si="8"/>
        <v>92.4</v>
      </c>
      <c r="M34" s="77">
        <f t="shared" si="9"/>
        <v>-6.8548387099999997E-2</v>
      </c>
      <c r="N34" s="86">
        <f t="shared" si="13"/>
        <v>53510407.366976522</v>
      </c>
      <c r="O34" s="82" t="s">
        <v>246</v>
      </c>
      <c r="P34" s="39">
        <f t="shared" si="10"/>
        <v>303</v>
      </c>
      <c r="Q34" s="77">
        <f t="shared" si="11"/>
        <v>-6.1919504600000001E-2</v>
      </c>
      <c r="R34" s="86">
        <f t="shared" si="14"/>
        <v>51192949.686697878</v>
      </c>
    </row>
    <row r="35" spans="1:18">
      <c r="A35" s="40" t="s">
        <v>259</v>
      </c>
      <c r="B35" s="11" t="s">
        <v>260</v>
      </c>
      <c r="C35" s="95">
        <v>76.400000000000006</v>
      </c>
      <c r="D35" s="92">
        <v>-8.1730769199999997E-2</v>
      </c>
      <c r="E35" s="93">
        <v>70547738.290562779</v>
      </c>
      <c r="F35" s="35"/>
      <c r="G35" s="47" t="s">
        <v>252</v>
      </c>
      <c r="H35" s="44">
        <f t="shared" si="6"/>
        <v>311</v>
      </c>
      <c r="I35" s="78">
        <f t="shared" si="7"/>
        <v>-2.2012578599999999E-2</v>
      </c>
      <c r="J35" s="90">
        <f t="shared" si="12"/>
        <v>70964528.596468747</v>
      </c>
      <c r="K35" s="83" t="s">
        <v>196</v>
      </c>
      <c r="L35" s="44">
        <f t="shared" si="8"/>
        <v>11.5</v>
      </c>
      <c r="M35" s="78">
        <f t="shared" si="9"/>
        <v>-7.2580645200000002E-2</v>
      </c>
      <c r="N35" s="90">
        <f t="shared" si="13"/>
        <v>211109075.6727919</v>
      </c>
      <c r="O35" s="83" t="s">
        <v>174</v>
      </c>
      <c r="P35" s="44">
        <f t="shared" si="10"/>
        <v>185</v>
      </c>
      <c r="Q35" s="78">
        <f t="shared" si="11"/>
        <v>-7.0351758799999997E-2</v>
      </c>
      <c r="R35" s="90">
        <f t="shared" si="14"/>
        <v>44967245.390326582</v>
      </c>
    </row>
    <row r="36" spans="1:18">
      <c r="A36" s="40" t="s">
        <v>221</v>
      </c>
      <c r="B36" s="11" t="s">
        <v>222</v>
      </c>
      <c r="C36" s="95">
        <v>11.2</v>
      </c>
      <c r="D36" s="92">
        <v>-8.1967213100000005E-2</v>
      </c>
      <c r="E36" s="93">
        <v>200951153.21328646</v>
      </c>
      <c r="F36" s="35"/>
      <c r="G36" s="49" t="s">
        <v>212</v>
      </c>
      <c r="H36" s="39">
        <f t="shared" si="6"/>
        <v>78.3</v>
      </c>
      <c r="I36" s="77">
        <f t="shared" si="7"/>
        <v>-4.2787286100000002E-2</v>
      </c>
      <c r="J36" s="99">
        <f t="shared" si="12"/>
        <v>844321102.93500888</v>
      </c>
      <c r="K36" s="82" t="s">
        <v>218</v>
      </c>
      <c r="L36" s="39">
        <f t="shared" si="8"/>
        <v>16.399999999999999</v>
      </c>
      <c r="M36" s="77">
        <f t="shared" si="9"/>
        <v>-7.3446327699999994E-2</v>
      </c>
      <c r="N36" s="99">
        <f t="shared" si="13"/>
        <v>450700447.79396904</v>
      </c>
      <c r="O36" s="82" t="s">
        <v>120</v>
      </c>
      <c r="P36" s="39">
        <f t="shared" si="10"/>
        <v>140</v>
      </c>
      <c r="Q36" s="77">
        <f t="shared" si="11"/>
        <v>-7.2847682100000005E-2</v>
      </c>
      <c r="R36" s="99">
        <f t="shared" si="14"/>
        <v>26239524.26977846</v>
      </c>
    </row>
    <row r="37" spans="1:18">
      <c r="A37" s="40" t="s">
        <v>265</v>
      </c>
      <c r="B37" s="11" t="s">
        <v>266</v>
      </c>
      <c r="C37" s="95">
        <v>57.4</v>
      </c>
      <c r="D37" s="92">
        <v>-8.3067092699999998E-2</v>
      </c>
      <c r="E37" s="93">
        <v>52816662.179357849</v>
      </c>
      <c r="F37" s="35"/>
      <c r="G37" s="47" t="s">
        <v>176</v>
      </c>
      <c r="H37" s="39">
        <f t="shared" si="6"/>
        <v>1155</v>
      </c>
      <c r="I37" s="77">
        <f t="shared" si="7"/>
        <v>-4.9382716E-2</v>
      </c>
      <c r="J37" s="86">
        <f t="shared" si="12"/>
        <v>20072270.398274589</v>
      </c>
      <c r="K37" s="82" t="s">
        <v>198</v>
      </c>
      <c r="L37" s="39">
        <f t="shared" si="8"/>
        <v>16.3</v>
      </c>
      <c r="M37" s="77">
        <f t="shared" si="9"/>
        <v>-7.3863636400000002E-2</v>
      </c>
      <c r="N37" s="86">
        <f t="shared" si="13"/>
        <v>393936222.59693682</v>
      </c>
      <c r="O37" s="82" t="s">
        <v>230</v>
      </c>
      <c r="P37" s="39">
        <f t="shared" si="10"/>
        <v>111</v>
      </c>
      <c r="Q37" s="77">
        <f t="shared" si="11"/>
        <v>-7.4999999999999997E-2</v>
      </c>
      <c r="R37" s="86">
        <f t="shared" si="14"/>
        <v>52281857.262998477</v>
      </c>
    </row>
    <row r="38" spans="1:18">
      <c r="A38" s="40" t="s">
        <v>93</v>
      </c>
      <c r="B38" s="11" t="s">
        <v>94</v>
      </c>
      <c r="C38" s="95">
        <v>66000</v>
      </c>
      <c r="D38" s="92">
        <v>-8.3206000799999999E-2</v>
      </c>
      <c r="E38" s="93">
        <v>147759.02501046</v>
      </c>
      <c r="F38" s="35"/>
      <c r="G38" s="47" t="s">
        <v>226</v>
      </c>
      <c r="H38" s="39">
        <f t="shared" si="6"/>
        <v>298</v>
      </c>
      <c r="I38" s="77">
        <f t="shared" si="7"/>
        <v>-5.0955413999999997E-2</v>
      </c>
      <c r="J38" s="86">
        <f t="shared" si="12"/>
        <v>10612282.83404791</v>
      </c>
      <c r="K38" s="82" t="s">
        <v>156</v>
      </c>
      <c r="L38" s="39">
        <f t="shared" si="8"/>
        <v>88</v>
      </c>
      <c r="M38" s="77">
        <f t="shared" si="9"/>
        <v>-7.4658254499999993E-2</v>
      </c>
      <c r="N38" s="86">
        <f t="shared" si="13"/>
        <v>307196005.72759402</v>
      </c>
      <c r="O38" s="82" t="s">
        <v>258</v>
      </c>
      <c r="P38" s="39">
        <f t="shared" si="10"/>
        <v>485</v>
      </c>
      <c r="Q38" s="77">
        <f t="shared" si="11"/>
        <v>-7.6190476199999996E-2</v>
      </c>
      <c r="R38" s="86">
        <f t="shared" si="14"/>
        <v>45871856.656308778</v>
      </c>
    </row>
    <row r="39" spans="1:18">
      <c r="A39" s="40" t="s">
        <v>201</v>
      </c>
      <c r="B39" s="11" t="s">
        <v>202</v>
      </c>
      <c r="C39" s="95">
        <v>121</v>
      </c>
      <c r="D39" s="92">
        <v>-8.3333333300000006E-2</v>
      </c>
      <c r="E39" s="93">
        <v>103938706.74554054</v>
      </c>
      <c r="F39" s="35"/>
      <c r="G39" s="47" t="s">
        <v>254</v>
      </c>
      <c r="H39" s="39">
        <f t="shared" si="6"/>
        <v>51.9</v>
      </c>
      <c r="I39" s="77">
        <f t="shared" si="7"/>
        <v>-5.8076225000000002E-2</v>
      </c>
      <c r="J39" s="86">
        <f t="shared" si="12"/>
        <v>78200922.258549005</v>
      </c>
      <c r="K39" s="82" t="s">
        <v>122</v>
      </c>
      <c r="L39" s="39">
        <f t="shared" si="8"/>
        <v>66.900000000000006</v>
      </c>
      <c r="M39" s="77">
        <f t="shared" si="9"/>
        <v>-7.7241379299999996E-2</v>
      </c>
      <c r="N39" s="86">
        <f t="shared" si="13"/>
        <v>45818452.378526181</v>
      </c>
      <c r="O39" s="82" t="s">
        <v>282</v>
      </c>
      <c r="P39" s="39">
        <f t="shared" si="10"/>
        <v>107</v>
      </c>
      <c r="Q39" s="77">
        <f t="shared" si="11"/>
        <v>-7.7586206899999996E-2</v>
      </c>
      <c r="R39" s="86">
        <f t="shared" si="14"/>
        <v>29118142.296541929</v>
      </c>
    </row>
    <row r="40" spans="1:18" ht="17.25" thickBot="1">
      <c r="A40" s="40" t="s">
        <v>255</v>
      </c>
      <c r="B40" s="11" t="s">
        <v>256</v>
      </c>
      <c r="C40" s="95">
        <v>174</v>
      </c>
      <c r="D40" s="92">
        <v>-8.4210526300000005E-2</v>
      </c>
      <c r="E40" s="93">
        <v>55697093.98490677</v>
      </c>
      <c r="F40" s="35"/>
      <c r="G40" s="53" t="s">
        <v>276</v>
      </c>
      <c r="H40" s="37">
        <f t="shared" si="6"/>
        <v>2845</v>
      </c>
      <c r="I40" s="79">
        <f t="shared" si="7"/>
        <v>-5.9504132199999997E-2</v>
      </c>
      <c r="J40" s="87">
        <f t="shared" si="12"/>
        <v>781462.95072912995</v>
      </c>
      <c r="K40" s="84" t="s">
        <v>278</v>
      </c>
      <c r="L40" s="37">
        <f t="shared" si="8"/>
        <v>79.599999999999994</v>
      </c>
      <c r="M40" s="79">
        <f t="shared" si="9"/>
        <v>-7.8703703700000002E-2</v>
      </c>
      <c r="N40" s="87">
        <f t="shared" si="13"/>
        <v>53074240.79723043</v>
      </c>
      <c r="O40" s="84" t="s">
        <v>200</v>
      </c>
      <c r="P40" s="37">
        <f t="shared" si="10"/>
        <v>207</v>
      </c>
      <c r="Q40" s="79">
        <f t="shared" si="11"/>
        <v>-0.08</v>
      </c>
      <c r="R40" s="87">
        <f t="shared" si="14"/>
        <v>9776190.7863841001</v>
      </c>
    </row>
    <row r="41" spans="1:18">
      <c r="A41" s="40" t="s">
        <v>153</v>
      </c>
      <c r="B41" s="11" t="s">
        <v>154</v>
      </c>
      <c r="C41" s="95">
        <v>10.8</v>
      </c>
      <c r="D41" s="92">
        <v>-8.4745762700000005E-2</v>
      </c>
      <c r="E41" s="93">
        <v>413943536.95111382</v>
      </c>
      <c r="F41" s="35"/>
      <c r="G41" s="52" t="s">
        <v>49</v>
      </c>
      <c r="H41" s="38">
        <f t="shared" si="6"/>
        <v>42714000</v>
      </c>
      <c r="I41" s="76">
        <f t="shared" si="7"/>
        <v>-5.9804979000000001E-2</v>
      </c>
      <c r="J41" s="85">
        <f t="shared" si="12"/>
        <v>6408.5900656200001</v>
      </c>
      <c r="K41" s="81" t="s">
        <v>100</v>
      </c>
      <c r="L41" s="38">
        <f t="shared" si="8"/>
        <v>4.54</v>
      </c>
      <c r="M41" s="76">
        <f t="shared" si="9"/>
        <v>-7.9107505100000003E-2</v>
      </c>
      <c r="N41" s="85">
        <f t="shared" si="13"/>
        <v>62198103710.850075</v>
      </c>
      <c r="O41" s="81" t="s">
        <v>202</v>
      </c>
      <c r="P41" s="38">
        <f t="shared" si="10"/>
        <v>121</v>
      </c>
      <c r="Q41" s="76">
        <f t="shared" si="11"/>
        <v>-8.3333333300000006E-2</v>
      </c>
      <c r="R41" s="85">
        <f t="shared" si="14"/>
        <v>103938706.74554054</v>
      </c>
    </row>
    <row r="42" spans="1:18">
      <c r="A42" s="40" t="s">
        <v>279</v>
      </c>
      <c r="B42" s="11" t="s">
        <v>280</v>
      </c>
      <c r="C42" s="95">
        <v>1025</v>
      </c>
      <c r="D42" s="92">
        <v>-8.4821428599999998E-2</v>
      </c>
      <c r="E42" s="93">
        <v>3675303.8799955598</v>
      </c>
      <c r="F42" s="35"/>
      <c r="G42" s="47" t="s">
        <v>246</v>
      </c>
      <c r="H42" s="39">
        <f t="shared" si="6"/>
        <v>303</v>
      </c>
      <c r="I42" s="77">
        <f t="shared" si="7"/>
        <v>-6.1919504600000001E-2</v>
      </c>
      <c r="J42" s="86">
        <f t="shared" si="12"/>
        <v>51192949.686697878</v>
      </c>
      <c r="K42" s="82" t="s">
        <v>228</v>
      </c>
      <c r="L42" s="39">
        <f t="shared" si="8"/>
        <v>10.4</v>
      </c>
      <c r="M42" s="77">
        <f t="shared" si="9"/>
        <v>-7.9646017700000002E-2</v>
      </c>
      <c r="N42" s="86">
        <f t="shared" si="13"/>
        <v>516154434.42474484</v>
      </c>
      <c r="O42" s="82" t="s">
        <v>256</v>
      </c>
      <c r="P42" s="39">
        <f t="shared" si="10"/>
        <v>174</v>
      </c>
      <c r="Q42" s="77">
        <f t="shared" si="11"/>
        <v>-8.4210526300000005E-2</v>
      </c>
      <c r="R42" s="86">
        <f t="shared" si="14"/>
        <v>55697093.98490677</v>
      </c>
    </row>
    <row r="43" spans="1:18">
      <c r="A43" s="40" t="s">
        <v>237</v>
      </c>
      <c r="B43" s="11" t="s">
        <v>238</v>
      </c>
      <c r="C43" s="95">
        <v>181</v>
      </c>
      <c r="D43" s="92">
        <v>-8.5858585900000006E-2</v>
      </c>
      <c r="E43" s="93">
        <v>32157625.413666591</v>
      </c>
      <c r="F43" s="35"/>
      <c r="G43" s="47" t="s">
        <v>190</v>
      </c>
      <c r="H43" s="39">
        <f t="shared" si="6"/>
        <v>46950</v>
      </c>
      <c r="I43" s="77">
        <f t="shared" si="7"/>
        <v>-6.5485668799999994E-2</v>
      </c>
      <c r="J43" s="86">
        <f t="shared" si="12"/>
        <v>65635.6238553</v>
      </c>
      <c r="K43" s="82" t="s">
        <v>260</v>
      </c>
      <c r="L43" s="39">
        <f t="shared" si="8"/>
        <v>76.400000000000006</v>
      </c>
      <c r="M43" s="77">
        <f t="shared" si="9"/>
        <v>-8.1730769199999997E-2</v>
      </c>
      <c r="N43" s="86">
        <f t="shared" si="13"/>
        <v>70547738.290562779</v>
      </c>
      <c r="O43" s="82" t="s">
        <v>238</v>
      </c>
      <c r="P43" s="39">
        <f t="shared" si="10"/>
        <v>181</v>
      </c>
      <c r="Q43" s="77">
        <f t="shared" si="11"/>
        <v>-8.5858585900000006E-2</v>
      </c>
      <c r="R43" s="86">
        <f t="shared" si="14"/>
        <v>32157625.413666591</v>
      </c>
    </row>
    <row r="44" spans="1:18">
      <c r="A44" s="40" t="s">
        <v>215</v>
      </c>
      <c r="B44" s="11" t="s">
        <v>216</v>
      </c>
      <c r="C44" s="95">
        <v>275</v>
      </c>
      <c r="D44" s="92">
        <v>-8.6378737499999997E-2</v>
      </c>
      <c r="E44" s="93">
        <v>10397419.706812439</v>
      </c>
      <c r="F44" s="35"/>
      <c r="G44" s="47" t="s">
        <v>134</v>
      </c>
      <c r="H44" s="39">
        <f t="shared" si="6"/>
        <v>92.4</v>
      </c>
      <c r="I44" s="77">
        <f t="shared" si="7"/>
        <v>-6.8548387099999997E-2</v>
      </c>
      <c r="J44" s="86">
        <f t="shared" si="12"/>
        <v>53510407.366976522</v>
      </c>
      <c r="K44" s="82" t="s">
        <v>222</v>
      </c>
      <c r="L44" s="39">
        <f t="shared" si="8"/>
        <v>11.2</v>
      </c>
      <c r="M44" s="77">
        <f t="shared" si="9"/>
        <v>-8.1967213100000005E-2</v>
      </c>
      <c r="N44" s="86">
        <f t="shared" si="13"/>
        <v>200951153.21328646</v>
      </c>
      <c r="O44" s="82" t="s">
        <v>216</v>
      </c>
      <c r="P44" s="39">
        <f t="shared" si="10"/>
        <v>275</v>
      </c>
      <c r="Q44" s="77">
        <f t="shared" si="11"/>
        <v>-8.6378737499999997E-2</v>
      </c>
      <c r="R44" s="86">
        <f t="shared" si="14"/>
        <v>10397419.706812439</v>
      </c>
    </row>
    <row r="45" spans="1:18">
      <c r="A45" s="40" t="s">
        <v>267</v>
      </c>
      <c r="B45" s="11" t="s">
        <v>268</v>
      </c>
      <c r="C45" s="95">
        <v>51.6</v>
      </c>
      <c r="D45" s="92">
        <v>-8.6725663699999997E-2</v>
      </c>
      <c r="E45" s="93">
        <v>46631899.406840399</v>
      </c>
      <c r="F45" s="35"/>
      <c r="G45" s="47" t="s">
        <v>174</v>
      </c>
      <c r="H45" s="44">
        <f t="shared" si="6"/>
        <v>185</v>
      </c>
      <c r="I45" s="78">
        <f t="shared" si="7"/>
        <v>-7.0351758799999997E-2</v>
      </c>
      <c r="J45" s="90">
        <f t="shared" si="12"/>
        <v>44967245.390326582</v>
      </c>
      <c r="K45" s="83" t="s">
        <v>266</v>
      </c>
      <c r="L45" s="44">
        <f t="shared" si="8"/>
        <v>57.4</v>
      </c>
      <c r="M45" s="78">
        <f t="shared" si="9"/>
        <v>-8.3067092699999998E-2</v>
      </c>
      <c r="N45" s="90">
        <f t="shared" si="13"/>
        <v>52816662.179357849</v>
      </c>
      <c r="O45" s="83" t="s">
        <v>240</v>
      </c>
      <c r="P45" s="44">
        <f t="shared" si="10"/>
        <v>126</v>
      </c>
      <c r="Q45" s="78">
        <f t="shared" si="11"/>
        <v>-8.6956521699999997E-2</v>
      </c>
      <c r="R45" s="90">
        <f t="shared" si="14"/>
        <v>29774507.053250428</v>
      </c>
    </row>
    <row r="46" spans="1:18">
      <c r="A46" s="40" t="s">
        <v>239</v>
      </c>
      <c r="B46" s="11" t="s">
        <v>240</v>
      </c>
      <c r="C46" s="95">
        <v>126</v>
      </c>
      <c r="D46" s="92">
        <v>-8.6956521699999997E-2</v>
      </c>
      <c r="E46" s="93">
        <v>29774507.053250428</v>
      </c>
      <c r="F46" s="35"/>
      <c r="G46" s="49" t="s">
        <v>196</v>
      </c>
      <c r="H46" s="39">
        <f t="shared" si="6"/>
        <v>11.5</v>
      </c>
      <c r="I46" s="77">
        <f t="shared" si="7"/>
        <v>-7.2580645200000002E-2</v>
      </c>
      <c r="J46" s="99">
        <f t="shared" si="12"/>
        <v>211109075.6727919</v>
      </c>
      <c r="K46" s="82" t="s">
        <v>154</v>
      </c>
      <c r="L46" s="39">
        <f t="shared" si="8"/>
        <v>10.8</v>
      </c>
      <c r="M46" s="77">
        <f t="shared" si="9"/>
        <v>-8.4745762700000005E-2</v>
      </c>
      <c r="N46" s="99">
        <f t="shared" si="13"/>
        <v>413943536.95111382</v>
      </c>
      <c r="O46" s="82" t="s">
        <v>170</v>
      </c>
      <c r="P46" s="39">
        <f t="shared" si="10"/>
        <v>290</v>
      </c>
      <c r="Q46" s="77">
        <f t="shared" si="11"/>
        <v>-8.8050314500000004E-2</v>
      </c>
      <c r="R46" s="99">
        <f t="shared" si="14"/>
        <v>9304144.1604330298</v>
      </c>
    </row>
    <row r="47" spans="1:18">
      <c r="A47" s="40" t="s">
        <v>101</v>
      </c>
      <c r="B47" s="11" t="s">
        <v>102</v>
      </c>
      <c r="C47" s="95">
        <v>73820</v>
      </c>
      <c r="D47" s="92">
        <v>-8.77409787E-2</v>
      </c>
      <c r="E47" s="93">
        <v>4245012.1644111304</v>
      </c>
      <c r="F47" s="35"/>
      <c r="G47" s="47" t="s">
        <v>120</v>
      </c>
      <c r="H47" s="39">
        <f t="shared" si="6"/>
        <v>140</v>
      </c>
      <c r="I47" s="77">
        <f t="shared" si="7"/>
        <v>-7.2847682100000005E-2</v>
      </c>
      <c r="J47" s="86">
        <f t="shared" si="12"/>
        <v>26239524.26977846</v>
      </c>
      <c r="K47" s="82" t="s">
        <v>268</v>
      </c>
      <c r="L47" s="39">
        <f t="shared" si="8"/>
        <v>51.6</v>
      </c>
      <c r="M47" s="77">
        <f t="shared" si="9"/>
        <v>-8.6725663699999997E-2</v>
      </c>
      <c r="N47" s="86">
        <f t="shared" si="13"/>
        <v>46631899.406840399</v>
      </c>
      <c r="O47" s="82" t="s">
        <v>270</v>
      </c>
      <c r="P47" s="39">
        <f t="shared" si="10"/>
        <v>358</v>
      </c>
      <c r="Q47" s="77">
        <f t="shared" si="11"/>
        <v>-9.1370558399999996E-2</v>
      </c>
      <c r="R47" s="86">
        <f t="shared" si="14"/>
        <v>2652708.5496863099</v>
      </c>
    </row>
    <row r="48" spans="1:18">
      <c r="A48" s="40" t="s">
        <v>89</v>
      </c>
      <c r="B48" s="11" t="s">
        <v>90</v>
      </c>
      <c r="C48" s="95">
        <v>200000</v>
      </c>
      <c r="D48" s="92">
        <v>-8.77993158E-2</v>
      </c>
      <c r="E48" s="93">
        <v>30298.830030010002</v>
      </c>
      <c r="F48" s="35"/>
      <c r="G48" s="47" t="s">
        <v>218</v>
      </c>
      <c r="H48" s="39">
        <f t="shared" si="6"/>
        <v>16.399999999999999</v>
      </c>
      <c r="I48" s="77">
        <f t="shared" si="7"/>
        <v>-7.3446327699999994E-2</v>
      </c>
      <c r="J48" s="86">
        <f t="shared" si="12"/>
        <v>450700447.79396904</v>
      </c>
      <c r="K48" s="82" t="s">
        <v>236</v>
      </c>
      <c r="L48" s="39">
        <f t="shared" si="8"/>
        <v>50.9</v>
      </c>
      <c r="M48" s="77">
        <f t="shared" si="9"/>
        <v>-8.9445438299999999E-2</v>
      </c>
      <c r="N48" s="86">
        <f t="shared" si="13"/>
        <v>89939529.07751587</v>
      </c>
      <c r="O48" s="82" t="s">
        <v>148</v>
      </c>
      <c r="P48" s="39">
        <f t="shared" si="10"/>
        <v>117</v>
      </c>
      <c r="Q48" s="77">
        <f t="shared" si="11"/>
        <v>-9.3023255799999996E-2</v>
      </c>
      <c r="R48" s="86">
        <f t="shared" si="14"/>
        <v>36530266.081309363</v>
      </c>
    </row>
    <row r="49" spans="1:18">
      <c r="A49" s="40" t="s">
        <v>169</v>
      </c>
      <c r="B49" s="11" t="s">
        <v>170</v>
      </c>
      <c r="C49" s="95">
        <v>290</v>
      </c>
      <c r="D49" s="92">
        <v>-8.8050314500000004E-2</v>
      </c>
      <c r="E49" s="93">
        <v>9304144.1604330298</v>
      </c>
      <c r="F49" s="35"/>
      <c r="G49" s="47" t="s">
        <v>198</v>
      </c>
      <c r="H49" s="39">
        <f t="shared" si="6"/>
        <v>16.3</v>
      </c>
      <c r="I49" s="77">
        <f t="shared" si="7"/>
        <v>-7.3863636400000002E-2</v>
      </c>
      <c r="J49" s="86">
        <f t="shared" si="12"/>
        <v>393936222.59693682</v>
      </c>
      <c r="K49" s="82" t="s">
        <v>172</v>
      </c>
      <c r="L49" s="39">
        <f t="shared" si="8"/>
        <v>14.6</v>
      </c>
      <c r="M49" s="77">
        <f t="shared" si="9"/>
        <v>-9.3167701899999997E-2</v>
      </c>
      <c r="N49" s="86">
        <f t="shared" si="13"/>
        <v>273444696.52963358</v>
      </c>
      <c r="O49" s="82" t="s">
        <v>234</v>
      </c>
      <c r="P49" s="39">
        <f t="shared" si="10"/>
        <v>810</v>
      </c>
      <c r="Q49" s="77">
        <f t="shared" si="11"/>
        <v>-9.4972066999999993E-2</v>
      </c>
      <c r="R49" s="86">
        <f t="shared" si="14"/>
        <v>5546770.1827400904</v>
      </c>
    </row>
    <row r="50" spans="1:18" ht="17.25" thickBot="1">
      <c r="A50" s="40" t="s">
        <v>81</v>
      </c>
      <c r="B50" s="11" t="s">
        <v>82</v>
      </c>
      <c r="C50" s="95">
        <v>1035</v>
      </c>
      <c r="D50" s="92">
        <v>-8.81057269E-2</v>
      </c>
      <c r="E50" s="93">
        <v>1285700.68908008</v>
      </c>
      <c r="F50" s="35"/>
      <c r="G50" s="53" t="s">
        <v>156</v>
      </c>
      <c r="H50" s="37">
        <f t="shared" si="6"/>
        <v>88</v>
      </c>
      <c r="I50" s="79">
        <f t="shared" si="7"/>
        <v>-7.4658254499999993E-2</v>
      </c>
      <c r="J50" s="87">
        <f t="shared" si="12"/>
        <v>307196005.72759402</v>
      </c>
      <c r="K50" s="84" t="s">
        <v>214</v>
      </c>
      <c r="L50" s="37">
        <f t="shared" si="8"/>
        <v>13.5</v>
      </c>
      <c r="M50" s="79">
        <f t="shared" si="9"/>
        <v>-9.3959731500000004E-2</v>
      </c>
      <c r="N50" s="87">
        <f t="shared" si="13"/>
        <v>302653513.54490542</v>
      </c>
      <c r="O50" s="84" t="s">
        <v>132</v>
      </c>
      <c r="P50" s="37">
        <f t="shared" si="10"/>
        <v>150</v>
      </c>
      <c r="Q50" s="79">
        <f t="shared" si="11"/>
        <v>-9.6385542199999993E-2</v>
      </c>
      <c r="R50" s="87">
        <f t="shared" si="14"/>
        <v>2724937201.3229413</v>
      </c>
    </row>
    <row r="51" spans="1:18">
      <c r="A51" s="40" t="s">
        <v>235</v>
      </c>
      <c r="B51" s="11" t="s">
        <v>236</v>
      </c>
      <c r="C51" s="95">
        <v>50.9</v>
      </c>
      <c r="D51" s="92">
        <v>-8.9445438299999999E-2</v>
      </c>
      <c r="E51" s="93">
        <v>89939529.07751587</v>
      </c>
      <c r="F51" s="35"/>
    </row>
    <row r="52" spans="1:18" ht="17.25" thickBot="1">
      <c r="A52" s="40" t="s">
        <v>193</v>
      </c>
      <c r="B52" s="11" t="s">
        <v>194</v>
      </c>
      <c r="C52" s="95">
        <v>8305</v>
      </c>
      <c r="D52" s="92">
        <v>-9.0361445799999995E-2</v>
      </c>
      <c r="E52" s="93">
        <v>1471426.97190714</v>
      </c>
      <c r="F52" s="35"/>
    </row>
    <row r="53" spans="1:18" ht="17.25" thickBot="1">
      <c r="A53" s="40" t="s">
        <v>269</v>
      </c>
      <c r="B53" s="11" t="s">
        <v>270</v>
      </c>
      <c r="C53" s="95">
        <v>358</v>
      </c>
      <c r="D53" s="92">
        <v>-9.1370558399999996E-2</v>
      </c>
      <c r="E53" s="93">
        <v>2652708.5496863099</v>
      </c>
      <c r="F53" s="35"/>
      <c r="G53" s="198" t="s">
        <v>285</v>
      </c>
      <c r="H53" s="199"/>
      <c r="I53" s="199"/>
      <c r="J53" s="200"/>
      <c r="K53" s="198" t="s">
        <v>288</v>
      </c>
      <c r="L53" s="199"/>
      <c r="M53" s="199"/>
      <c r="N53" s="200"/>
      <c r="O53" s="198" t="s">
        <v>289</v>
      </c>
      <c r="P53" s="199"/>
      <c r="Q53" s="199"/>
      <c r="R53" s="200"/>
    </row>
    <row r="54" spans="1:18" ht="17.25" thickBot="1">
      <c r="A54" s="40" t="s">
        <v>85</v>
      </c>
      <c r="B54" s="11" t="s">
        <v>86</v>
      </c>
      <c r="C54" s="95">
        <v>6880</v>
      </c>
      <c r="D54" s="92">
        <v>-9.2348285000000002E-2</v>
      </c>
      <c r="E54" s="93">
        <v>20532590.7564542</v>
      </c>
      <c r="F54" s="35"/>
      <c r="G54" s="235" t="s">
        <v>55</v>
      </c>
      <c r="H54" s="251">
        <f ca="1">NOW()</f>
        <v>44351.890010300929</v>
      </c>
      <c r="I54" s="252"/>
      <c r="J54" s="253"/>
      <c r="K54" s="250" t="s">
        <v>55</v>
      </c>
      <c r="L54" s="251">
        <f ca="1">NOW()</f>
        <v>44351.890010300929</v>
      </c>
      <c r="M54" s="252"/>
      <c r="N54" s="253"/>
      <c r="O54" s="250" t="s">
        <v>55</v>
      </c>
      <c r="P54" s="251">
        <f ca="1">NOW()</f>
        <v>44351.890010300929</v>
      </c>
      <c r="Q54" s="252"/>
      <c r="R54" s="253"/>
    </row>
    <row r="55" spans="1:18" ht="17.25" thickBot="1">
      <c r="A55" s="40" t="s">
        <v>177</v>
      </c>
      <c r="B55" s="11" t="s">
        <v>178</v>
      </c>
      <c r="C55" s="95">
        <v>27540</v>
      </c>
      <c r="D55" s="92">
        <v>-9.2586490899999999E-2</v>
      </c>
      <c r="E55" s="93">
        <v>332595.43841415999</v>
      </c>
      <c r="F55" s="35"/>
      <c r="G55" s="243"/>
      <c r="H55" s="51" t="s">
        <v>58</v>
      </c>
      <c r="I55" s="73" t="s">
        <v>59</v>
      </c>
      <c r="J55" s="69" t="s">
        <v>294</v>
      </c>
      <c r="K55" s="221"/>
      <c r="L55" s="51" t="s">
        <v>58</v>
      </c>
      <c r="M55" s="73" t="s">
        <v>59</v>
      </c>
      <c r="N55" s="69" t="s">
        <v>294</v>
      </c>
      <c r="O55" s="221"/>
      <c r="P55" s="51" t="s">
        <v>58</v>
      </c>
      <c r="Q55" s="73" t="s">
        <v>59</v>
      </c>
      <c r="R55" s="69" t="s">
        <v>294</v>
      </c>
    </row>
    <row r="56" spans="1:18">
      <c r="A56" s="40" t="s">
        <v>147</v>
      </c>
      <c r="B56" s="11" t="s">
        <v>148</v>
      </c>
      <c r="C56" s="95">
        <v>117</v>
      </c>
      <c r="D56" s="92">
        <v>-9.3023255799999996E-2</v>
      </c>
      <c r="E56" s="93">
        <v>36530266.081309363</v>
      </c>
      <c r="F56" s="35"/>
      <c r="G56" s="55" t="s">
        <v>160</v>
      </c>
      <c r="H56" s="38">
        <f t="shared" ref="H56:H75" si="15">_xlfn.IFNA(VLOOKUP(G56, $B$2:$D$200, 2, FALSE), "")</f>
        <v>1700</v>
      </c>
      <c r="I56" s="76">
        <f t="shared" ref="I56:I65" si="16">_xlfn.IFNA(VLOOKUP(G56, $B$2:$D$200, 3, FALSE), "")</f>
        <v>-0.109947644</v>
      </c>
      <c r="J56" s="85">
        <f>_xlfn.IFNA(VLOOKUP(G56, $B$2:$E$200, 4, FALSE), "")</f>
        <v>15814471.6648397</v>
      </c>
      <c r="K56" s="81" t="s">
        <v>198</v>
      </c>
      <c r="L56" s="38">
        <f t="shared" ref="L56:L75" si="17">_xlfn.IFNA(VLOOKUP(K56, $B$2:$D$200, 2, FALSE), "")</f>
        <v>16.3</v>
      </c>
      <c r="M56" s="76">
        <f t="shared" ref="M56:M75" si="18">_xlfn.IFNA(VLOOKUP(K56, $B$2:$D$200, 3, FALSE), "")</f>
        <v>-7.3863636400000002E-2</v>
      </c>
      <c r="N56" s="85">
        <f>_xlfn.IFNA(VLOOKUP(K56, $B$2:$E$200, 4, FALSE), "")</f>
        <v>393936222.59693682</v>
      </c>
      <c r="O56" s="81" t="s">
        <v>132</v>
      </c>
      <c r="P56" s="38">
        <f t="shared" ref="P56:P75" si="19">_xlfn.IFNA(VLOOKUP(O56, $B$2:$D$200, 2, FALSE), "")</f>
        <v>150</v>
      </c>
      <c r="Q56" s="76">
        <f t="shared" ref="Q56:Q75" si="20">_xlfn.IFNA(VLOOKUP(O56, $B$2:$D$200, 3, FALSE), "")</f>
        <v>-9.6385542199999993E-2</v>
      </c>
      <c r="R56" s="85">
        <f>_xlfn.IFNA(VLOOKUP(O56, $B$2:$E$200, 4, FALSE), "")</f>
        <v>2724937201.3229413</v>
      </c>
    </row>
    <row r="57" spans="1:18">
      <c r="A57" s="40" t="s">
        <v>171</v>
      </c>
      <c r="B57" s="11" t="s">
        <v>172</v>
      </c>
      <c r="C57" s="95">
        <v>14.6</v>
      </c>
      <c r="D57" s="92">
        <v>-9.3167701899999997E-2</v>
      </c>
      <c r="E57" s="93">
        <v>273444696.52963358</v>
      </c>
      <c r="F57" s="35"/>
      <c r="G57" s="56" t="s">
        <v>126</v>
      </c>
      <c r="H57" s="39">
        <f t="shared" si="15"/>
        <v>27.8</v>
      </c>
      <c r="I57" s="77">
        <f t="shared" si="16"/>
        <v>-0.1118210863</v>
      </c>
      <c r="J57" s="86">
        <f t="shared" ref="J57:J75" si="21">_xlfn.IFNA(VLOOKUP(G57, $B$2:$E$200, 4, FALSE), "")</f>
        <v>138543256.26474002</v>
      </c>
      <c r="K57" s="82" t="s">
        <v>156</v>
      </c>
      <c r="L57" s="39">
        <f t="shared" si="17"/>
        <v>88</v>
      </c>
      <c r="M57" s="77">
        <f t="shared" si="18"/>
        <v>-7.4658254499999993E-2</v>
      </c>
      <c r="N57" s="86">
        <f t="shared" ref="N57:N75" si="22">_xlfn.IFNA(VLOOKUP(K57, $B$2:$E$200, 4, FALSE), "")</f>
        <v>307196005.72759402</v>
      </c>
      <c r="O57" s="82" t="s">
        <v>80</v>
      </c>
      <c r="P57" s="39">
        <f t="shared" si="19"/>
        <v>867</v>
      </c>
      <c r="Q57" s="77">
        <f t="shared" si="20"/>
        <v>-9.7814776300000003E-2</v>
      </c>
      <c r="R57" s="86">
        <f t="shared" ref="R57:R75" si="23">_xlfn.IFNA(VLOOKUP(O57, $B$2:$E$200, 4, FALSE), "")</f>
        <v>5738445.3990689404</v>
      </c>
    </row>
    <row r="58" spans="1:18">
      <c r="A58" s="40" t="s">
        <v>213</v>
      </c>
      <c r="B58" s="11" t="s">
        <v>214</v>
      </c>
      <c r="C58" s="95">
        <v>13.5</v>
      </c>
      <c r="D58" s="92">
        <v>-9.3959731500000004E-2</v>
      </c>
      <c r="E58" s="93">
        <v>302653513.54490542</v>
      </c>
      <c r="F58" s="35"/>
      <c r="G58" s="56" t="s">
        <v>65</v>
      </c>
      <c r="H58" s="39">
        <f t="shared" si="15"/>
        <v>36.5</v>
      </c>
      <c r="I58" s="77">
        <f t="shared" si="16"/>
        <v>-0.1119221411</v>
      </c>
      <c r="J58" s="86">
        <f t="shared" si="21"/>
        <v>78632286.191577703</v>
      </c>
      <c r="K58" s="82" t="s">
        <v>122</v>
      </c>
      <c r="L58" s="39">
        <f t="shared" si="17"/>
        <v>66.900000000000006</v>
      </c>
      <c r="M58" s="77">
        <f t="shared" si="18"/>
        <v>-7.7241379299999996E-2</v>
      </c>
      <c r="N58" s="86">
        <f t="shared" si="22"/>
        <v>45818452.378526181</v>
      </c>
      <c r="O58" s="82" t="s">
        <v>250</v>
      </c>
      <c r="P58" s="39">
        <f t="shared" si="19"/>
        <v>118</v>
      </c>
      <c r="Q58" s="77">
        <f t="shared" si="20"/>
        <v>-9.9236641200000003E-2</v>
      </c>
      <c r="R58" s="86">
        <f t="shared" si="23"/>
        <v>237941947.68508774</v>
      </c>
    </row>
    <row r="59" spans="1:18">
      <c r="A59" s="40" t="s">
        <v>219</v>
      </c>
      <c r="B59" s="11" t="s">
        <v>220</v>
      </c>
      <c r="C59" s="95">
        <v>10.6</v>
      </c>
      <c r="D59" s="92">
        <v>-9.4017093999999996E-2</v>
      </c>
      <c r="E59" s="93">
        <v>314706828.18262148</v>
      </c>
      <c r="F59" s="35"/>
      <c r="G59" s="56" t="s">
        <v>104</v>
      </c>
      <c r="H59" s="39">
        <f t="shared" si="15"/>
        <v>1265</v>
      </c>
      <c r="I59" s="77">
        <f t="shared" si="16"/>
        <v>-0.11228070179999999</v>
      </c>
      <c r="J59" s="86">
        <f t="shared" si="21"/>
        <v>10359418.56129832</v>
      </c>
      <c r="K59" s="82" t="s">
        <v>278</v>
      </c>
      <c r="L59" s="39">
        <f t="shared" si="17"/>
        <v>79.599999999999994</v>
      </c>
      <c r="M59" s="77">
        <f t="shared" si="18"/>
        <v>-7.8703703700000002E-2</v>
      </c>
      <c r="N59" s="86">
        <f t="shared" si="22"/>
        <v>53074240.79723043</v>
      </c>
      <c r="O59" s="82" t="s">
        <v>210</v>
      </c>
      <c r="P59" s="39">
        <f t="shared" si="19"/>
        <v>127</v>
      </c>
      <c r="Q59" s="77">
        <f t="shared" si="20"/>
        <v>-9.9290780100000003E-2</v>
      </c>
      <c r="R59" s="86">
        <f t="shared" si="23"/>
        <v>32287891.832811929</v>
      </c>
    </row>
    <row r="60" spans="1:18">
      <c r="A60" s="40" t="s">
        <v>233</v>
      </c>
      <c r="B60" s="11" t="s">
        <v>234</v>
      </c>
      <c r="C60" s="95">
        <v>810</v>
      </c>
      <c r="D60" s="92">
        <v>-9.4972066999999993E-2</v>
      </c>
      <c r="E60" s="93">
        <v>5546770.1827400904</v>
      </c>
      <c r="F60" s="35"/>
      <c r="G60" s="56" t="s">
        <v>248</v>
      </c>
      <c r="H60" s="39">
        <f t="shared" si="15"/>
        <v>1765</v>
      </c>
      <c r="I60" s="77">
        <f t="shared" si="16"/>
        <v>-0.1130653266</v>
      </c>
      <c r="J60" s="90">
        <f t="shared" si="21"/>
        <v>3532361.7803678298</v>
      </c>
      <c r="K60" s="83" t="s">
        <v>100</v>
      </c>
      <c r="L60" s="44">
        <f t="shared" si="17"/>
        <v>4.54</v>
      </c>
      <c r="M60" s="78">
        <f t="shared" si="18"/>
        <v>-7.9107505100000003E-2</v>
      </c>
      <c r="N60" s="90">
        <f t="shared" si="22"/>
        <v>62198103710.850075</v>
      </c>
      <c r="O60" s="83" t="s">
        <v>168</v>
      </c>
      <c r="P60" s="44">
        <f t="shared" si="19"/>
        <v>108</v>
      </c>
      <c r="Q60" s="78">
        <f t="shared" si="20"/>
        <v>-0.1</v>
      </c>
      <c r="R60" s="90">
        <f t="shared" si="23"/>
        <v>97736397.135157377</v>
      </c>
    </row>
    <row r="61" spans="1:18">
      <c r="A61" s="40" t="s">
        <v>129</v>
      </c>
      <c r="B61" s="11" t="s">
        <v>130</v>
      </c>
      <c r="C61" s="95">
        <v>202500</v>
      </c>
      <c r="D61" s="92">
        <v>-9.5982142899999998E-2</v>
      </c>
      <c r="E61" s="93">
        <v>133147.90368732001</v>
      </c>
      <c r="F61" s="35"/>
      <c r="G61" s="60" t="s">
        <v>144</v>
      </c>
      <c r="H61" s="45">
        <f t="shared" si="15"/>
        <v>6895</v>
      </c>
      <c r="I61" s="80">
        <f t="shared" si="16"/>
        <v>-0.1131832797</v>
      </c>
      <c r="J61" s="99">
        <f t="shared" si="21"/>
        <v>3487417.02879189</v>
      </c>
      <c r="K61" s="82" t="s">
        <v>228</v>
      </c>
      <c r="L61" s="39">
        <f t="shared" si="17"/>
        <v>10.4</v>
      </c>
      <c r="M61" s="77">
        <f t="shared" si="18"/>
        <v>-7.9646017700000002E-2</v>
      </c>
      <c r="N61" s="99">
        <f t="shared" si="22"/>
        <v>516154434.42474484</v>
      </c>
      <c r="O61" s="82" t="s">
        <v>182</v>
      </c>
      <c r="P61" s="39">
        <f t="shared" si="19"/>
        <v>287</v>
      </c>
      <c r="Q61" s="77">
        <f t="shared" si="20"/>
        <v>-0.10031347960000001</v>
      </c>
      <c r="R61" s="99">
        <f t="shared" si="23"/>
        <v>7052397.6274476796</v>
      </c>
    </row>
    <row r="62" spans="1:18">
      <c r="A62" s="40" t="s">
        <v>83</v>
      </c>
      <c r="B62" s="11" t="s">
        <v>84</v>
      </c>
      <c r="C62" s="95">
        <v>1930</v>
      </c>
      <c r="D62" s="92">
        <v>-9.6018735399999999E-2</v>
      </c>
      <c r="E62" s="93">
        <v>89987349.150803253</v>
      </c>
      <c r="F62" s="35"/>
      <c r="G62" s="56" t="s">
        <v>166</v>
      </c>
      <c r="H62" s="39">
        <f t="shared" si="15"/>
        <v>1250</v>
      </c>
      <c r="I62" s="77">
        <f t="shared" si="16"/>
        <v>-0.11347517729999999</v>
      </c>
      <c r="J62" s="86">
        <f t="shared" si="21"/>
        <v>2114527.3919206099</v>
      </c>
      <c r="K62" s="82" t="s">
        <v>260</v>
      </c>
      <c r="L62" s="39">
        <f t="shared" si="17"/>
        <v>76.400000000000006</v>
      </c>
      <c r="M62" s="77">
        <f t="shared" si="18"/>
        <v>-8.1730769199999997E-2</v>
      </c>
      <c r="N62" s="86">
        <f t="shared" si="22"/>
        <v>70547738.290562779</v>
      </c>
      <c r="O62" s="82" t="s">
        <v>284</v>
      </c>
      <c r="P62" s="39">
        <f t="shared" si="19"/>
        <v>251</v>
      </c>
      <c r="Q62" s="77">
        <f t="shared" si="20"/>
        <v>-0.10035842289999999</v>
      </c>
      <c r="R62" s="86">
        <f t="shared" si="23"/>
        <v>9056054.82549637</v>
      </c>
    </row>
    <row r="63" spans="1:18">
      <c r="A63" s="40" t="s">
        <v>131</v>
      </c>
      <c r="B63" s="11" t="s">
        <v>132</v>
      </c>
      <c r="C63" s="95">
        <v>150</v>
      </c>
      <c r="D63" s="92">
        <v>-9.6385542199999993E-2</v>
      </c>
      <c r="E63" s="93">
        <v>2724937201.3229413</v>
      </c>
      <c r="F63" s="35"/>
      <c r="G63" s="56" t="s">
        <v>192</v>
      </c>
      <c r="H63" s="39">
        <f t="shared" si="15"/>
        <v>1130</v>
      </c>
      <c r="I63" s="77">
        <f t="shared" si="16"/>
        <v>-0.1137254902</v>
      </c>
      <c r="J63" s="86">
        <f t="shared" si="21"/>
        <v>15955713.41086472</v>
      </c>
      <c r="K63" s="82" t="s">
        <v>222</v>
      </c>
      <c r="L63" s="39">
        <f t="shared" si="17"/>
        <v>11.2</v>
      </c>
      <c r="M63" s="77">
        <f t="shared" si="18"/>
        <v>-8.1967213100000005E-2</v>
      </c>
      <c r="N63" s="86">
        <f t="shared" si="22"/>
        <v>200951153.21328646</v>
      </c>
      <c r="O63" s="82" t="s">
        <v>296</v>
      </c>
      <c r="P63" s="39">
        <f t="shared" si="19"/>
        <v>418</v>
      </c>
      <c r="Q63" s="77">
        <f t="shared" si="20"/>
        <v>-0.10107526880000001</v>
      </c>
      <c r="R63" s="86">
        <f t="shared" si="23"/>
        <v>2174954590.4001069</v>
      </c>
    </row>
    <row r="64" spans="1:18">
      <c r="A64" s="40" t="s">
        <v>79</v>
      </c>
      <c r="B64" s="11" t="s">
        <v>80</v>
      </c>
      <c r="C64" s="95">
        <v>867</v>
      </c>
      <c r="D64" s="92">
        <v>-9.7814776300000003E-2</v>
      </c>
      <c r="E64" s="93">
        <v>5738445.3990689404</v>
      </c>
      <c r="F64" s="35"/>
      <c r="G64" s="56" t="s">
        <v>164</v>
      </c>
      <c r="H64" s="39">
        <f t="shared" si="15"/>
        <v>15710</v>
      </c>
      <c r="I64" s="77">
        <f t="shared" si="16"/>
        <v>-0.1154279279</v>
      </c>
      <c r="J64" s="86">
        <f t="shared" si="21"/>
        <v>1426325.64723219</v>
      </c>
      <c r="K64" s="82" t="s">
        <v>266</v>
      </c>
      <c r="L64" s="39">
        <f t="shared" si="17"/>
        <v>57.4</v>
      </c>
      <c r="M64" s="77">
        <f t="shared" si="18"/>
        <v>-8.3067092699999998E-2</v>
      </c>
      <c r="N64" s="86">
        <f t="shared" si="22"/>
        <v>52816662.179357849</v>
      </c>
      <c r="O64" s="82" t="s">
        <v>51</v>
      </c>
      <c r="P64" s="39">
        <f t="shared" si="19"/>
        <v>443</v>
      </c>
      <c r="Q64" s="77">
        <f t="shared" si="20"/>
        <v>-0.1014198783</v>
      </c>
      <c r="R64" s="86">
        <f t="shared" si="23"/>
        <v>99950974.055627778</v>
      </c>
    </row>
    <row r="65" spans="1:18" ht="17.25" thickBot="1">
      <c r="A65" s="40" t="s">
        <v>117</v>
      </c>
      <c r="B65" s="11" t="s">
        <v>118</v>
      </c>
      <c r="C65" s="95">
        <v>5275</v>
      </c>
      <c r="D65" s="92">
        <v>-9.9060631900000001E-2</v>
      </c>
      <c r="E65" s="93">
        <v>3212731.9183846</v>
      </c>
      <c r="F65" s="35"/>
      <c r="G65" s="57" t="s">
        <v>106</v>
      </c>
      <c r="H65" s="37">
        <f t="shared" si="15"/>
        <v>1220</v>
      </c>
      <c r="I65" s="79">
        <f t="shared" si="16"/>
        <v>-0.115942029</v>
      </c>
      <c r="J65" s="87">
        <f t="shared" si="21"/>
        <v>2270287.6597207198</v>
      </c>
      <c r="K65" s="84" t="s">
        <v>154</v>
      </c>
      <c r="L65" s="37">
        <f t="shared" si="17"/>
        <v>10.8</v>
      </c>
      <c r="M65" s="79">
        <f t="shared" si="18"/>
        <v>-8.4745762700000005E-2</v>
      </c>
      <c r="N65" s="87">
        <f t="shared" si="22"/>
        <v>413943536.95111382</v>
      </c>
      <c r="O65" s="84" t="s">
        <v>208</v>
      </c>
      <c r="P65" s="37">
        <f t="shared" si="19"/>
        <v>311</v>
      </c>
      <c r="Q65" s="79">
        <f t="shared" si="20"/>
        <v>-0.10374639770000001</v>
      </c>
      <c r="R65" s="87">
        <f t="shared" si="23"/>
        <v>44088857.938012443</v>
      </c>
    </row>
    <row r="66" spans="1:18">
      <c r="A66" s="40" t="s">
        <v>249</v>
      </c>
      <c r="B66" s="11" t="s">
        <v>250</v>
      </c>
      <c r="C66" s="95">
        <v>118</v>
      </c>
      <c r="D66" s="92">
        <v>-9.9236641200000003E-2</v>
      </c>
      <c r="E66" s="93">
        <v>237941947.68508774</v>
      </c>
      <c r="F66" s="35"/>
      <c r="G66" s="56" t="s">
        <v>136</v>
      </c>
      <c r="H66" s="38">
        <f t="shared" si="15"/>
        <v>143</v>
      </c>
      <c r="I66" s="76">
        <f t="shared" ref="I66:I75" si="24">_xlfn.IFNA(VLOOKUP(G66, $B$2:$D$200, 3, FALSE), "")</f>
        <v>-0.11728395060000001</v>
      </c>
      <c r="J66" s="85">
        <f t="shared" si="21"/>
        <v>50401583.22757414</v>
      </c>
      <c r="K66" s="81" t="s">
        <v>268</v>
      </c>
      <c r="L66" s="38">
        <f t="shared" si="17"/>
        <v>51.6</v>
      </c>
      <c r="M66" s="76">
        <f t="shared" si="18"/>
        <v>-8.6725663699999997E-2</v>
      </c>
      <c r="N66" s="85">
        <f t="shared" si="22"/>
        <v>46631899.406840399</v>
      </c>
      <c r="O66" s="81" t="s">
        <v>232</v>
      </c>
      <c r="P66" s="38">
        <f t="shared" si="19"/>
        <v>112</v>
      </c>
      <c r="Q66" s="76">
        <f t="shared" si="20"/>
        <v>-0.104</v>
      </c>
      <c r="R66" s="85">
        <f t="shared" si="23"/>
        <v>81334152.22722961</v>
      </c>
    </row>
    <row r="67" spans="1:18">
      <c r="A67" s="40" t="s">
        <v>209</v>
      </c>
      <c r="B67" s="11" t="s">
        <v>210</v>
      </c>
      <c r="C67" s="95">
        <v>127</v>
      </c>
      <c r="D67" s="92">
        <v>-9.9290780100000003E-2</v>
      </c>
      <c r="E67" s="93">
        <v>32287891.832811929</v>
      </c>
      <c r="F67" s="35"/>
      <c r="G67" s="56" t="s">
        <v>54</v>
      </c>
      <c r="H67" s="39">
        <f t="shared" si="15"/>
        <v>263</v>
      </c>
      <c r="I67" s="77">
        <f t="shared" si="24"/>
        <v>-0.1174496644</v>
      </c>
      <c r="J67" s="86">
        <f t="shared" si="21"/>
        <v>24794131.154019091</v>
      </c>
      <c r="K67" s="82" t="s">
        <v>236</v>
      </c>
      <c r="L67" s="39">
        <f t="shared" si="17"/>
        <v>50.9</v>
      </c>
      <c r="M67" s="77">
        <f t="shared" si="18"/>
        <v>-8.9445438299999999E-2</v>
      </c>
      <c r="N67" s="86">
        <f t="shared" si="22"/>
        <v>89939529.07751587</v>
      </c>
      <c r="O67" s="82" t="s">
        <v>262</v>
      </c>
      <c r="P67" s="39">
        <f t="shared" si="19"/>
        <v>611</v>
      </c>
      <c r="Q67" s="77">
        <f t="shared" si="20"/>
        <v>-0.1041055718</v>
      </c>
      <c r="R67" s="86">
        <f t="shared" si="23"/>
        <v>7221545.4598320499</v>
      </c>
    </row>
    <row r="68" spans="1:18">
      <c r="A68" s="40" t="s">
        <v>71</v>
      </c>
      <c r="B68" s="11" t="s">
        <v>72</v>
      </c>
      <c r="C68" s="95">
        <v>20.8</v>
      </c>
      <c r="D68" s="92">
        <v>-9.95670996E-2</v>
      </c>
      <c r="E68" s="93">
        <v>80032161.474815488</v>
      </c>
      <c r="F68" s="35"/>
      <c r="G68" s="56" t="s">
        <v>114</v>
      </c>
      <c r="H68" s="39">
        <f t="shared" si="15"/>
        <v>9750</v>
      </c>
      <c r="I68" s="77">
        <f t="shared" si="24"/>
        <v>-0.1176470588</v>
      </c>
      <c r="J68" s="86">
        <f t="shared" si="21"/>
        <v>9907680.5335682705</v>
      </c>
      <c r="K68" s="82" t="s">
        <v>172</v>
      </c>
      <c r="L68" s="39">
        <f t="shared" si="17"/>
        <v>14.6</v>
      </c>
      <c r="M68" s="77">
        <f t="shared" si="18"/>
        <v>-9.3167701899999997E-2</v>
      </c>
      <c r="N68" s="86">
        <f t="shared" si="22"/>
        <v>273444696.52963358</v>
      </c>
      <c r="O68" s="82" t="s">
        <v>88</v>
      </c>
      <c r="P68" s="39">
        <f t="shared" si="19"/>
        <v>306</v>
      </c>
      <c r="Q68" s="77">
        <f t="shared" si="20"/>
        <v>-0.1052631579</v>
      </c>
      <c r="R68" s="86">
        <f t="shared" si="23"/>
        <v>67436029.683148086</v>
      </c>
    </row>
    <row r="69" spans="1:18">
      <c r="A69" s="40" t="s">
        <v>167</v>
      </c>
      <c r="B69" s="11" t="s">
        <v>168</v>
      </c>
      <c r="C69" s="95">
        <v>108</v>
      </c>
      <c r="D69" s="92">
        <v>-0.1</v>
      </c>
      <c r="E69" s="93">
        <v>97736397.135157377</v>
      </c>
      <c r="F69" s="35"/>
      <c r="G69" s="56" t="s">
        <v>242</v>
      </c>
      <c r="H69" s="39">
        <f t="shared" si="15"/>
        <v>4050</v>
      </c>
      <c r="I69" s="77">
        <f t="shared" si="24"/>
        <v>-0.11956521740000001</v>
      </c>
      <c r="J69" s="86">
        <f t="shared" si="21"/>
        <v>2320728.4813310299</v>
      </c>
      <c r="K69" s="82" t="s">
        <v>214</v>
      </c>
      <c r="L69" s="39">
        <f t="shared" si="17"/>
        <v>13.5</v>
      </c>
      <c r="M69" s="77">
        <f t="shared" si="18"/>
        <v>-9.3959731500000004E-2</v>
      </c>
      <c r="N69" s="86">
        <f t="shared" si="22"/>
        <v>302653513.54490542</v>
      </c>
      <c r="O69" s="82" t="s">
        <v>61</v>
      </c>
      <c r="P69" s="39">
        <f t="shared" si="19"/>
        <v>921</v>
      </c>
      <c r="Q69" s="77">
        <f t="shared" si="20"/>
        <v>-0.1058252427</v>
      </c>
      <c r="R69" s="86">
        <f t="shared" si="23"/>
        <v>34095538.484557532</v>
      </c>
    </row>
    <row r="70" spans="1:18">
      <c r="A70" s="40" t="s">
        <v>181</v>
      </c>
      <c r="B70" s="11" t="s">
        <v>182</v>
      </c>
      <c r="C70" s="95">
        <v>287</v>
      </c>
      <c r="D70" s="92">
        <v>-0.10031347960000001</v>
      </c>
      <c r="E70" s="93">
        <v>7052397.6274476796</v>
      </c>
      <c r="F70" s="35"/>
      <c r="G70" s="56" t="s">
        <v>116</v>
      </c>
      <c r="H70" s="39">
        <f t="shared" si="15"/>
        <v>368</v>
      </c>
      <c r="I70" s="77">
        <f t="shared" si="24"/>
        <v>-0.1238095238</v>
      </c>
      <c r="J70" s="90">
        <f t="shared" si="21"/>
        <v>27393424.956668612</v>
      </c>
      <c r="K70" s="83" t="s">
        <v>220</v>
      </c>
      <c r="L70" s="44">
        <f t="shared" si="17"/>
        <v>10.6</v>
      </c>
      <c r="M70" s="78">
        <f t="shared" si="18"/>
        <v>-9.4017093999999996E-2</v>
      </c>
      <c r="N70" s="90">
        <f t="shared" si="22"/>
        <v>314706828.18262148</v>
      </c>
      <c r="O70" s="83" t="s">
        <v>57</v>
      </c>
      <c r="P70" s="44">
        <f t="shared" si="19"/>
        <v>213</v>
      </c>
      <c r="Q70" s="78">
        <f t="shared" si="20"/>
        <v>-0.1087866109</v>
      </c>
      <c r="R70" s="90">
        <f t="shared" si="23"/>
        <v>59419066.053830519</v>
      </c>
    </row>
    <row r="71" spans="1:18">
      <c r="A71" s="40" t="s">
        <v>283</v>
      </c>
      <c r="B71" s="11" t="s">
        <v>284</v>
      </c>
      <c r="C71" s="95">
        <v>251</v>
      </c>
      <c r="D71" s="92">
        <v>-0.10035842289999999</v>
      </c>
      <c r="E71" s="93">
        <v>9056054.82549637</v>
      </c>
      <c r="F71" s="35"/>
      <c r="G71" s="60" t="s">
        <v>76</v>
      </c>
      <c r="H71" s="45">
        <f t="shared" si="15"/>
        <v>32510</v>
      </c>
      <c r="I71" s="80">
        <f t="shared" si="24"/>
        <v>-0.127482555</v>
      </c>
      <c r="J71" s="99">
        <f t="shared" si="21"/>
        <v>1698094.9406319601</v>
      </c>
      <c r="K71" s="82" t="s">
        <v>72</v>
      </c>
      <c r="L71" s="39">
        <f t="shared" si="17"/>
        <v>20.8</v>
      </c>
      <c r="M71" s="77">
        <f t="shared" si="18"/>
        <v>-9.95670996E-2</v>
      </c>
      <c r="N71" s="99">
        <f t="shared" si="22"/>
        <v>80032161.474815488</v>
      </c>
      <c r="O71" s="82" t="s">
        <v>128</v>
      </c>
      <c r="P71" s="39">
        <f t="shared" si="19"/>
        <v>368</v>
      </c>
      <c r="Q71" s="77">
        <f t="shared" si="20"/>
        <v>-0.1089588378</v>
      </c>
      <c r="R71" s="99">
        <f t="shared" si="23"/>
        <v>9316160.6627927702</v>
      </c>
    </row>
    <row r="72" spans="1:18">
      <c r="A72" s="40" t="s">
        <v>151</v>
      </c>
      <c r="B72" s="11" t="s">
        <v>152</v>
      </c>
      <c r="C72" s="95">
        <v>19.7</v>
      </c>
      <c r="D72" s="92">
        <v>-0.100456621</v>
      </c>
      <c r="E72" s="93">
        <v>362526439.31181592</v>
      </c>
      <c r="F72" s="35"/>
      <c r="G72" s="56" t="s">
        <v>69</v>
      </c>
      <c r="H72" s="39">
        <f t="shared" si="15"/>
        <v>5335</v>
      </c>
      <c r="I72" s="77">
        <f t="shared" si="24"/>
        <v>-0.12897959179999999</v>
      </c>
      <c r="J72" s="86">
        <f t="shared" si="21"/>
        <v>3152642.7465935098</v>
      </c>
      <c r="K72" s="82" t="s">
        <v>152</v>
      </c>
      <c r="L72" s="39">
        <f t="shared" si="17"/>
        <v>19.7</v>
      </c>
      <c r="M72" s="77">
        <f t="shared" si="18"/>
        <v>-0.100456621</v>
      </c>
      <c r="N72" s="86">
        <f t="shared" si="22"/>
        <v>362526439.31181592</v>
      </c>
      <c r="O72" s="82" t="s">
        <v>136</v>
      </c>
      <c r="P72" s="39">
        <f t="shared" si="19"/>
        <v>143</v>
      </c>
      <c r="Q72" s="77">
        <f t="shared" si="20"/>
        <v>-0.11728395060000001</v>
      </c>
      <c r="R72" s="86">
        <f t="shared" si="23"/>
        <v>50401583.22757414</v>
      </c>
    </row>
    <row r="73" spans="1:18">
      <c r="A73" s="40" t="s">
        <v>223</v>
      </c>
      <c r="B73" s="11" t="s">
        <v>224</v>
      </c>
      <c r="C73" s="95">
        <v>1520</v>
      </c>
      <c r="D73" s="92">
        <v>-0.100591716</v>
      </c>
      <c r="E73" s="93">
        <v>10498488.18983179</v>
      </c>
      <c r="F73" s="35"/>
      <c r="G73" s="56" t="s">
        <v>142</v>
      </c>
      <c r="H73" s="39">
        <f t="shared" si="15"/>
        <v>421</v>
      </c>
      <c r="I73" s="77">
        <f t="shared" si="24"/>
        <v>-0.13016528929999999</v>
      </c>
      <c r="J73" s="86">
        <f t="shared" si="21"/>
        <v>111400509.29505628</v>
      </c>
      <c r="K73" s="82" t="s">
        <v>264</v>
      </c>
      <c r="L73" s="39">
        <f t="shared" si="17"/>
        <v>86</v>
      </c>
      <c r="M73" s="77">
        <f t="shared" si="18"/>
        <v>-0.1013584117</v>
      </c>
      <c r="N73" s="86">
        <f t="shared" si="22"/>
        <v>29013746.269809339</v>
      </c>
      <c r="O73" s="82" t="s">
        <v>54</v>
      </c>
      <c r="P73" s="39">
        <f t="shared" si="19"/>
        <v>263</v>
      </c>
      <c r="Q73" s="77">
        <f t="shared" si="20"/>
        <v>-0.1174496644</v>
      </c>
      <c r="R73" s="86">
        <f t="shared" si="23"/>
        <v>24794131.154019091</v>
      </c>
    </row>
    <row r="74" spans="1:18">
      <c r="A74" s="40" t="s">
        <v>123</v>
      </c>
      <c r="B74" s="11" t="s">
        <v>124</v>
      </c>
      <c r="C74" s="95">
        <v>3695</v>
      </c>
      <c r="D74" s="92">
        <v>-0.10097323599999999</v>
      </c>
      <c r="E74" s="93">
        <v>2437596.3465861902</v>
      </c>
      <c r="F74" s="35"/>
      <c r="G74" s="56" t="s">
        <v>74</v>
      </c>
      <c r="H74" s="39">
        <f t="shared" si="15"/>
        <v>16750</v>
      </c>
      <c r="I74" s="77">
        <f t="shared" si="24"/>
        <v>-0.1321243523</v>
      </c>
      <c r="J74" s="86">
        <f t="shared" si="21"/>
        <v>574627.09286222002</v>
      </c>
      <c r="K74" s="82" t="s">
        <v>126</v>
      </c>
      <c r="L74" s="39">
        <f t="shared" si="17"/>
        <v>27.8</v>
      </c>
      <c r="M74" s="77">
        <f t="shared" si="18"/>
        <v>-0.1118210863</v>
      </c>
      <c r="N74" s="86">
        <f t="shared" si="22"/>
        <v>138543256.26474002</v>
      </c>
      <c r="O74" s="82" t="s">
        <v>116</v>
      </c>
      <c r="P74" s="39">
        <f t="shared" si="19"/>
        <v>368</v>
      </c>
      <c r="Q74" s="77">
        <f t="shared" si="20"/>
        <v>-0.1238095238</v>
      </c>
      <c r="R74" s="86">
        <f t="shared" si="23"/>
        <v>27393424.956668612</v>
      </c>
    </row>
    <row r="75" spans="1:18" ht="17.25" thickBot="1">
      <c r="A75" s="40" t="s">
        <v>295</v>
      </c>
      <c r="B75" s="11" t="s">
        <v>296</v>
      </c>
      <c r="C75" s="95">
        <v>418</v>
      </c>
      <c r="D75" s="92">
        <v>-0.10107526880000001</v>
      </c>
      <c r="E75" s="93">
        <v>2174954590.4001069</v>
      </c>
      <c r="F75" s="35"/>
      <c r="G75" s="57" t="s">
        <v>150</v>
      </c>
      <c r="H75" s="37">
        <f t="shared" si="15"/>
        <v>2335</v>
      </c>
      <c r="I75" s="79">
        <f t="shared" si="24"/>
        <v>-0.13358070499999999</v>
      </c>
      <c r="J75" s="87">
        <f t="shared" si="21"/>
        <v>8299433.5743437698</v>
      </c>
      <c r="K75" s="84" t="s">
        <v>65</v>
      </c>
      <c r="L75" s="37">
        <f t="shared" si="17"/>
        <v>36.5</v>
      </c>
      <c r="M75" s="79">
        <f t="shared" si="18"/>
        <v>-0.1119221411</v>
      </c>
      <c r="N75" s="87">
        <f t="shared" si="22"/>
        <v>78632286.191577703</v>
      </c>
      <c r="O75" s="84" t="s">
        <v>142</v>
      </c>
      <c r="P75" s="37">
        <f t="shared" si="19"/>
        <v>421</v>
      </c>
      <c r="Q75" s="79">
        <f t="shared" si="20"/>
        <v>-0.13016528929999999</v>
      </c>
      <c r="R75" s="87">
        <f t="shared" si="23"/>
        <v>111400509.29505628</v>
      </c>
    </row>
    <row r="76" spans="1:18">
      <c r="A76" s="40" t="s">
        <v>271</v>
      </c>
      <c r="B76" s="11" t="s">
        <v>272</v>
      </c>
      <c r="C76" s="95">
        <v>1330</v>
      </c>
      <c r="D76" s="92">
        <v>-0.1013513514</v>
      </c>
      <c r="E76" s="93">
        <v>2627145.00100026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86</v>
      </c>
      <c r="D77" s="92">
        <v>-0.1013584117</v>
      </c>
      <c r="E77" s="93">
        <v>29013746.269809339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5">
        <v>28100</v>
      </c>
      <c r="D78" s="92">
        <v>-0.1013751199</v>
      </c>
      <c r="E78" s="93">
        <v>1580252.1435585299</v>
      </c>
      <c r="F78" s="35"/>
      <c r="G78" s="35"/>
      <c r="H78" s="35"/>
      <c r="I78" s="35"/>
    </row>
    <row r="79" spans="1:18">
      <c r="A79" s="40" t="s">
        <v>50</v>
      </c>
      <c r="B79" s="11" t="s">
        <v>51</v>
      </c>
      <c r="C79" s="95">
        <v>443</v>
      </c>
      <c r="D79" s="92">
        <v>-0.1014198783</v>
      </c>
      <c r="E79" s="93">
        <v>99950974.055627778</v>
      </c>
      <c r="F79" s="35"/>
      <c r="G79" s="35"/>
      <c r="H79" s="35"/>
      <c r="I79" s="35"/>
    </row>
    <row r="80" spans="1:18">
      <c r="A80" s="40" t="s">
        <v>157</v>
      </c>
      <c r="B80" s="11" t="s">
        <v>158</v>
      </c>
      <c r="C80" s="95">
        <v>4990</v>
      </c>
      <c r="D80" s="92">
        <v>-0.101710171</v>
      </c>
      <c r="E80" s="93">
        <v>1700912.3564150301</v>
      </c>
      <c r="F80" s="35"/>
      <c r="G80" s="35"/>
      <c r="H80" s="35"/>
      <c r="I80" s="35"/>
    </row>
    <row r="81" spans="1:9">
      <c r="A81" s="40" t="s">
        <v>273</v>
      </c>
      <c r="B81" s="11" t="s">
        <v>274</v>
      </c>
      <c r="C81" s="95">
        <v>9000</v>
      </c>
      <c r="D81" s="92">
        <v>-0.10269192420000001</v>
      </c>
      <c r="E81" s="93">
        <v>1984555.51429685</v>
      </c>
      <c r="F81" s="35"/>
      <c r="G81" s="35"/>
      <c r="H81" s="35"/>
      <c r="I81" s="35"/>
    </row>
    <row r="82" spans="1:9">
      <c r="A82" s="40" t="s">
        <v>91</v>
      </c>
      <c r="B82" s="11" t="s">
        <v>92</v>
      </c>
      <c r="C82" s="95">
        <v>1090</v>
      </c>
      <c r="D82" s="92">
        <v>-0.10288065840000001</v>
      </c>
      <c r="E82" s="93">
        <v>403103286.95109361</v>
      </c>
      <c r="F82" s="35"/>
      <c r="G82" s="35"/>
      <c r="H82" s="35"/>
      <c r="I82" s="35"/>
    </row>
    <row r="83" spans="1:9">
      <c r="A83" s="40" t="s">
        <v>207</v>
      </c>
      <c r="B83" s="11" t="s">
        <v>208</v>
      </c>
      <c r="C83" s="95">
        <v>311</v>
      </c>
      <c r="D83" s="92">
        <v>-0.10374639770000001</v>
      </c>
      <c r="E83" s="93">
        <v>44088857.938012443</v>
      </c>
      <c r="F83" s="35"/>
      <c r="G83" s="35"/>
      <c r="H83" s="35"/>
      <c r="I83" s="35"/>
    </row>
    <row r="84" spans="1:9">
      <c r="A84" s="40" t="s">
        <v>231</v>
      </c>
      <c r="B84" s="11" t="s">
        <v>232</v>
      </c>
      <c r="C84" s="95">
        <v>112</v>
      </c>
      <c r="D84" s="92">
        <v>-0.104</v>
      </c>
      <c r="E84" s="93">
        <v>81334152.22722961</v>
      </c>
      <c r="F84" s="35"/>
      <c r="G84" s="35"/>
      <c r="H84" s="35"/>
      <c r="I84" s="35"/>
    </row>
    <row r="85" spans="1:9">
      <c r="A85" s="40" t="s">
        <v>62</v>
      </c>
      <c r="B85" s="11" t="s">
        <v>63</v>
      </c>
      <c r="C85" s="95">
        <v>63700</v>
      </c>
      <c r="D85" s="92">
        <v>-0.1040787623</v>
      </c>
      <c r="E85" s="93">
        <v>702170.02270186995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5">
        <v>611</v>
      </c>
      <c r="D86" s="92">
        <v>-0.1041055718</v>
      </c>
      <c r="E86" s="93">
        <v>7221545.4598320499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5">
        <v>2550</v>
      </c>
      <c r="D87" s="92">
        <v>-0.1052631579</v>
      </c>
      <c r="E87" s="93">
        <v>2013306.2113019901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306</v>
      </c>
      <c r="D88" s="92">
        <v>-0.1052631579</v>
      </c>
      <c r="E88" s="93">
        <v>67436029.683148086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5">
        <v>2505</v>
      </c>
      <c r="D89" s="92">
        <v>-0.10535714290000001</v>
      </c>
      <c r="E89" s="93">
        <v>1545785.4852920601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12880</v>
      </c>
      <c r="D90" s="92">
        <v>-0.1055555556</v>
      </c>
      <c r="E90" s="93">
        <v>3784310.04155218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921</v>
      </c>
      <c r="D91" s="92">
        <v>-0.1058252427</v>
      </c>
      <c r="E91" s="93">
        <v>34095538.484557532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5">
        <v>1305</v>
      </c>
      <c r="D92" s="92">
        <v>-0.1061643836</v>
      </c>
      <c r="E92" s="93">
        <v>2584534.4692463698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1495</v>
      </c>
      <c r="D93" s="92">
        <v>-0.1074626866</v>
      </c>
      <c r="E93" s="93">
        <v>2470250.9371368699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10450</v>
      </c>
      <c r="D94" s="92">
        <v>-0.1076003416</v>
      </c>
      <c r="E94" s="93">
        <v>923230.02322469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1805</v>
      </c>
      <c r="D95" s="92">
        <v>-0.1086419753</v>
      </c>
      <c r="E95" s="93">
        <v>5104556.7691653101</v>
      </c>
      <c r="F95" s="35"/>
      <c r="G95" s="35"/>
      <c r="H95" s="35"/>
      <c r="I95" s="35"/>
    </row>
    <row r="96" spans="1:9">
      <c r="A96" s="40" t="s">
        <v>56</v>
      </c>
      <c r="B96" s="11" t="s">
        <v>57</v>
      </c>
      <c r="C96" s="95">
        <v>213</v>
      </c>
      <c r="D96" s="92">
        <v>-0.1087866109</v>
      </c>
      <c r="E96" s="93">
        <v>59419066.053830519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5">
        <v>4010</v>
      </c>
      <c r="D97" s="92">
        <v>-0.10888888889999999</v>
      </c>
      <c r="E97" s="93">
        <v>2113345.1432320401</v>
      </c>
      <c r="F97" s="35"/>
      <c r="G97" s="35"/>
      <c r="H97" s="35"/>
      <c r="I97" s="35"/>
    </row>
    <row r="98" spans="1:9">
      <c r="A98" s="40" t="s">
        <v>127</v>
      </c>
      <c r="B98" s="11" t="s">
        <v>128</v>
      </c>
      <c r="C98" s="95">
        <v>368</v>
      </c>
      <c r="D98" s="92">
        <v>-0.1089588378</v>
      </c>
      <c r="E98" s="93">
        <v>9316160.6627927702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1700</v>
      </c>
      <c r="D99" s="92">
        <v>-0.109947644</v>
      </c>
      <c r="E99" s="93">
        <v>15814471.6648397</v>
      </c>
      <c r="F99" s="35"/>
      <c r="G99" s="35"/>
      <c r="H99" s="35"/>
      <c r="I99" s="35"/>
    </row>
    <row r="100" spans="1:9">
      <c r="A100" s="40" t="s">
        <v>125</v>
      </c>
      <c r="B100" s="11" t="s">
        <v>126</v>
      </c>
      <c r="C100" s="95">
        <v>27.8</v>
      </c>
      <c r="D100" s="92">
        <v>-0.1118210863</v>
      </c>
      <c r="E100" s="93">
        <v>138543256.26474002</v>
      </c>
      <c r="F100" s="35"/>
      <c r="G100" s="35"/>
      <c r="H100" s="35"/>
      <c r="I100" s="35"/>
    </row>
    <row r="101" spans="1:9">
      <c r="A101" s="40" t="s">
        <v>64</v>
      </c>
      <c r="B101" s="11" t="s">
        <v>65</v>
      </c>
      <c r="C101" s="95">
        <v>36.5</v>
      </c>
      <c r="D101" s="92">
        <v>-0.1119221411</v>
      </c>
      <c r="E101" s="93">
        <v>78632286.191577703</v>
      </c>
      <c r="F101" s="35"/>
      <c r="G101" s="35"/>
      <c r="H101" s="35"/>
      <c r="I101" s="35"/>
    </row>
    <row r="102" spans="1:9">
      <c r="A102" s="40" t="s">
        <v>103</v>
      </c>
      <c r="B102" s="11" t="s">
        <v>104</v>
      </c>
      <c r="C102" s="95">
        <v>1265</v>
      </c>
      <c r="D102" s="92">
        <v>-0.11228070179999999</v>
      </c>
      <c r="E102" s="93">
        <v>10359418.56129832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1765</v>
      </c>
      <c r="D103" s="92">
        <v>-0.1130653266</v>
      </c>
      <c r="E103" s="93">
        <v>3532361.7803678298</v>
      </c>
      <c r="F103" s="35"/>
      <c r="G103" s="35"/>
      <c r="H103" s="35"/>
      <c r="I103" s="35"/>
    </row>
    <row r="104" spans="1:9">
      <c r="A104" s="40" t="s">
        <v>143</v>
      </c>
      <c r="B104" s="11" t="s">
        <v>144</v>
      </c>
      <c r="C104" s="95">
        <v>6895</v>
      </c>
      <c r="D104" s="92">
        <v>-0.1131832797</v>
      </c>
      <c r="E104" s="93">
        <v>3487417.02879189</v>
      </c>
      <c r="F104" s="35"/>
      <c r="G104" s="35"/>
      <c r="H104" s="35"/>
      <c r="I104" s="35"/>
    </row>
    <row r="105" spans="1:9">
      <c r="A105" s="40" t="s">
        <v>165</v>
      </c>
      <c r="B105" s="11" t="s">
        <v>166</v>
      </c>
      <c r="C105" s="95">
        <v>1250</v>
      </c>
      <c r="D105" s="92">
        <v>-0.11347517729999999</v>
      </c>
      <c r="E105" s="93">
        <v>2114527.3919206099</v>
      </c>
      <c r="F105" s="35"/>
      <c r="G105" s="35"/>
      <c r="H105" s="35"/>
      <c r="I105" s="35"/>
    </row>
    <row r="106" spans="1:9">
      <c r="A106" s="40" t="s">
        <v>191</v>
      </c>
      <c r="B106" s="11" t="s">
        <v>192</v>
      </c>
      <c r="C106" s="95">
        <v>1130</v>
      </c>
      <c r="D106" s="92">
        <v>-0.1137254902</v>
      </c>
      <c r="E106" s="93">
        <v>15955713.41086472</v>
      </c>
      <c r="F106" s="35"/>
      <c r="G106" s="35"/>
      <c r="H106" s="35"/>
      <c r="I106" s="35"/>
    </row>
    <row r="107" spans="1:9">
      <c r="A107" s="40" t="s">
        <v>163</v>
      </c>
      <c r="B107" s="11" t="s">
        <v>164</v>
      </c>
      <c r="C107" s="95">
        <v>15710</v>
      </c>
      <c r="D107" s="92">
        <v>-0.1154279279</v>
      </c>
      <c r="E107" s="93">
        <v>1426325.64723219</v>
      </c>
      <c r="F107" s="35"/>
      <c r="G107" s="35"/>
      <c r="H107" s="35"/>
      <c r="I107" s="35"/>
    </row>
    <row r="108" spans="1:9">
      <c r="A108" s="40" t="s">
        <v>105</v>
      </c>
      <c r="B108" s="11" t="s">
        <v>106</v>
      </c>
      <c r="C108" s="95">
        <v>1220</v>
      </c>
      <c r="D108" s="92">
        <v>-0.115942029</v>
      </c>
      <c r="E108" s="93">
        <v>2270287.6597207198</v>
      </c>
      <c r="F108" s="35"/>
      <c r="G108" s="35"/>
      <c r="H108" s="35"/>
      <c r="I108" s="35"/>
    </row>
    <row r="109" spans="1:9">
      <c r="A109" s="40" t="s">
        <v>135</v>
      </c>
      <c r="B109" s="11" t="s">
        <v>136</v>
      </c>
      <c r="C109" s="95">
        <v>143</v>
      </c>
      <c r="D109" s="92">
        <v>-0.11728395060000001</v>
      </c>
      <c r="E109" s="41">
        <v>50401583.22757414</v>
      </c>
    </row>
    <row r="110" spans="1:9">
      <c r="A110" s="40" t="s">
        <v>53</v>
      </c>
      <c r="B110" s="11" t="s">
        <v>54</v>
      </c>
      <c r="C110" s="95">
        <v>263</v>
      </c>
      <c r="D110" s="92">
        <v>-0.1174496644</v>
      </c>
      <c r="E110" s="41">
        <v>24794131.154019091</v>
      </c>
    </row>
    <row r="111" spans="1:9">
      <c r="A111" s="40" t="s">
        <v>113</v>
      </c>
      <c r="B111" s="11" t="s">
        <v>114</v>
      </c>
      <c r="C111" s="95">
        <v>9750</v>
      </c>
      <c r="D111" s="92">
        <v>-0.1176470588</v>
      </c>
      <c r="E111" s="41">
        <v>9907680.5335682705</v>
      </c>
    </row>
    <row r="112" spans="1:9">
      <c r="A112" s="40" t="s">
        <v>241</v>
      </c>
      <c r="B112" s="11" t="s">
        <v>242</v>
      </c>
      <c r="C112" s="95">
        <v>4050</v>
      </c>
      <c r="D112" s="92">
        <v>-0.11956521740000001</v>
      </c>
      <c r="E112" s="41">
        <v>2320728.4813310299</v>
      </c>
    </row>
    <row r="113" spans="1:5">
      <c r="A113" s="40" t="s">
        <v>115</v>
      </c>
      <c r="B113" s="11" t="s">
        <v>116</v>
      </c>
      <c r="C113" s="95">
        <v>368</v>
      </c>
      <c r="D113" s="92">
        <v>-0.1238095238</v>
      </c>
      <c r="E113" s="41">
        <v>27393424.956668612</v>
      </c>
    </row>
    <row r="114" spans="1:5">
      <c r="A114" s="40" t="s">
        <v>75</v>
      </c>
      <c r="B114" s="11" t="s">
        <v>76</v>
      </c>
      <c r="C114" s="95">
        <v>32510</v>
      </c>
      <c r="D114" s="92">
        <v>-0.127482555</v>
      </c>
      <c r="E114" s="41">
        <v>1698094.9406319601</v>
      </c>
    </row>
    <row r="115" spans="1:5">
      <c r="A115" s="40" t="s">
        <v>68</v>
      </c>
      <c r="B115" s="11" t="s">
        <v>69</v>
      </c>
      <c r="C115" s="95">
        <v>5335</v>
      </c>
      <c r="D115" s="92">
        <v>-0.12897959179999999</v>
      </c>
      <c r="E115" s="41">
        <v>3152642.7465935098</v>
      </c>
    </row>
    <row r="116" spans="1:5">
      <c r="A116" s="40" t="s">
        <v>141</v>
      </c>
      <c r="B116" s="11" t="s">
        <v>142</v>
      </c>
      <c r="C116" s="95">
        <v>421</v>
      </c>
      <c r="D116" s="92">
        <v>-0.13016528929999999</v>
      </c>
      <c r="E116" s="41">
        <v>111400509.29505628</v>
      </c>
    </row>
    <row r="117" spans="1:5">
      <c r="A117" s="40" t="s">
        <v>73</v>
      </c>
      <c r="B117" s="11" t="s">
        <v>74</v>
      </c>
      <c r="C117" s="95">
        <v>16750</v>
      </c>
      <c r="D117" s="92">
        <v>-0.1321243523</v>
      </c>
      <c r="E117" s="41">
        <v>574627.09286222002</v>
      </c>
    </row>
    <row r="118" spans="1:5">
      <c r="A118" s="40" t="s">
        <v>149</v>
      </c>
      <c r="B118" s="11" t="s">
        <v>150</v>
      </c>
      <c r="C118" s="95">
        <v>2335</v>
      </c>
      <c r="D118" s="92">
        <v>-0.13358070499999999</v>
      </c>
      <c r="E118" s="41">
        <v>8299433.5743437698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9" t="str">
        <f>TEXT(투자전략!$G$1, "[$-ko-KR]yyyy년 mm월") &amp; " 총결산"</f>
        <v>2021년 06월 총결산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1"/>
    </row>
    <row r="2" spans="1:15" ht="16.5" customHeight="1" thickBot="1">
      <c r="A2" s="226" t="s">
        <v>319</v>
      </c>
      <c r="B2" s="227"/>
      <c r="C2" s="227"/>
      <c r="D2" s="199" t="s">
        <v>315</v>
      </c>
      <c r="E2" s="199"/>
      <c r="F2" s="200"/>
      <c r="G2" s="229" t="s">
        <v>316</v>
      </c>
      <c r="H2" s="230"/>
      <c r="I2" s="231"/>
      <c r="J2" s="198" t="s">
        <v>317</v>
      </c>
      <c r="K2" s="199"/>
      <c r="L2" s="199"/>
      <c r="M2" s="199" t="s">
        <v>318</v>
      </c>
      <c r="N2" s="199"/>
      <c r="O2" s="200"/>
    </row>
    <row r="3" spans="1:15" ht="16.5" customHeight="1">
      <c r="A3" s="256">
        <v>1</v>
      </c>
      <c r="B3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전일대비 상승률 Top20</v>
      </c>
      <c r="C3" s="228"/>
      <c r="D3" s="226" t="s">
        <v>320</v>
      </c>
      <c r="E3" s="227"/>
      <c r="F3" s="228"/>
      <c r="G3" s="226" t="s">
        <v>327</v>
      </c>
      <c r="H3" s="227"/>
      <c r="I3" s="228"/>
      <c r="J3" s="226" t="s">
        <v>334</v>
      </c>
      <c r="K3" s="227"/>
      <c r="L3" s="228"/>
      <c r="M3" s="226" t="s">
        <v>341</v>
      </c>
      <c r="N3" s="227"/>
      <c r="O3" s="228"/>
    </row>
    <row r="4" spans="1:15" ht="16.5" customHeight="1" thickBot="1">
      <c r="A4" s="257"/>
      <c r="B4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187,308 KRW (9.37%)</v>
      </c>
      <c r="C4" s="221"/>
      <c r="D4" s="219" t="str">
        <f ca="1" xml:space="preserve"> TEXT($F$92, "#,##0") &amp; " KRW (" &amp; TEXT($E$92, "0.00%)")</f>
        <v>72,512 KRW (3.63%)</v>
      </c>
      <c r="E4" s="220"/>
      <c r="F4" s="221"/>
      <c r="G4" s="219" t="str">
        <f ca="1" xml:space="preserve"> TEXT($I$92, "#,##0") &amp; " KRW (" &amp; TEXT($H$92, "0.00%)")</f>
        <v>-6,215 KRW (-0.31%)</v>
      </c>
      <c r="H4" s="220"/>
      <c r="I4" s="221"/>
      <c r="J4" s="219" t="str">
        <f ca="1" xml:space="preserve"> TEXT($L$92, "#,##0") &amp; " KRW (" &amp; TEXT($K$92, "0.00%)")</f>
        <v>-74,310 KRW (-3.72%)</v>
      </c>
      <c r="K4" s="220"/>
      <c r="L4" s="221"/>
      <c r="M4" s="219" t="str">
        <f ca="1" xml:space="preserve"> TEXT($O$92, "#,##0") &amp; " KRW (" &amp; TEXT($N$92, "0.00%)")</f>
        <v>77,080 KRW (3.85%)</v>
      </c>
      <c r="N4" s="220"/>
      <c r="O4" s="221"/>
    </row>
    <row r="5" spans="1:15" ht="16.5" customHeight="1">
      <c r="A5" s="256">
        <v>2</v>
      </c>
      <c r="B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28"/>
      <c r="D5" s="226" t="s">
        <v>321</v>
      </c>
      <c r="E5" s="227"/>
      <c r="F5" s="228"/>
      <c r="G5" s="226" t="s">
        <v>328</v>
      </c>
      <c r="H5" s="227"/>
      <c r="I5" s="228"/>
      <c r="J5" s="226" t="s">
        <v>335</v>
      </c>
      <c r="K5" s="227"/>
      <c r="L5" s="228"/>
      <c r="M5" s="226" t="s">
        <v>342</v>
      </c>
      <c r="N5" s="227"/>
      <c r="O5" s="228"/>
    </row>
    <row r="6" spans="1:15" ht="16.5" customHeight="1" thickBot="1">
      <c r="A6" s="257"/>
      <c r="B6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158,884 KRW (7.94%)</v>
      </c>
      <c r="C6" s="221"/>
      <c r="D6" s="219" t="str">
        <f ca="1" xml:space="preserve"> TEXT($F$130, "#,##0") &amp; " KRW (" &amp; TEXT($E$130, "0.00%)")</f>
        <v>108,945 KRW (5.45%)</v>
      </c>
      <c r="E6" s="220"/>
      <c r="F6" s="221"/>
      <c r="G6" s="219" t="str">
        <f ca="1" xml:space="preserve"> TEXT($I$130, "#,##0") &amp; " KRW (" &amp; TEXT($H$130, "0.00%)")</f>
        <v>47,052 KRW (2.35%)</v>
      </c>
      <c r="H6" s="220"/>
      <c r="I6" s="221"/>
      <c r="J6" s="219" t="str">
        <f ca="1" xml:space="preserve"> TEXT($L$130, "#,##0") &amp; " KRW (" &amp; TEXT($K$130, "0.00%)")</f>
        <v>-28,416 KRW (-1.42%)</v>
      </c>
      <c r="K6" s="220"/>
      <c r="L6" s="221"/>
      <c r="M6" s="219" t="str">
        <f ca="1" xml:space="preserve"> TEXT($O$130, "#,##0") &amp; " KRW (" &amp; TEXT($N$130, "0.00%)")</f>
        <v>158,884 KRW (7.94%)</v>
      </c>
      <c r="N6" s="220"/>
      <c r="O6" s="221"/>
    </row>
    <row r="7" spans="1:15" ht="16.5" customHeight="1">
      <c r="A7" s="256">
        <v>3</v>
      </c>
      <c r="B7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28"/>
      <c r="D7" s="226" t="s">
        <v>322</v>
      </c>
      <c r="E7" s="227"/>
      <c r="F7" s="228"/>
      <c r="G7" s="226" t="s">
        <v>329</v>
      </c>
      <c r="H7" s="227"/>
      <c r="I7" s="228"/>
      <c r="J7" s="226" t="s">
        <v>336</v>
      </c>
      <c r="K7" s="227"/>
      <c r="L7" s="228"/>
      <c r="M7" s="226" t="s">
        <v>343</v>
      </c>
      <c r="N7" s="227"/>
      <c r="O7" s="228"/>
    </row>
    <row r="8" spans="1:15" ht="16.5" customHeight="1" thickBot="1">
      <c r="A8" s="257"/>
      <c r="B8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153,138 KRW (7.66%)</v>
      </c>
      <c r="C8" s="221"/>
      <c r="D8" s="219" t="str">
        <f ca="1" xml:space="preserve"> TEXT($F$206, "#,##0") &amp; " KRW (" &amp; TEXT($E$206, "0.00%)")</f>
        <v>79,960 KRW (4.00%)</v>
      </c>
      <c r="E8" s="220"/>
      <c r="F8" s="221"/>
      <c r="G8" s="219" t="str">
        <f ca="1" xml:space="preserve"> TEXT($I$206, "#,##0") &amp; " KRW (" &amp; TEXT($H$206, "0.00%)")</f>
        <v>5,179 KRW (0.26%)</v>
      </c>
      <c r="H8" s="220"/>
      <c r="I8" s="221"/>
      <c r="J8" s="219" t="str">
        <f ca="1" xml:space="preserve"> TEXT($L$206, "#,##0") &amp; " KRW (" &amp; TEXT($K$206, "0.00%)")</f>
        <v>-56,479 KRW (-2.82%)</v>
      </c>
      <c r="K8" s="220"/>
      <c r="L8" s="221"/>
      <c r="M8" s="219" t="str">
        <f ca="1" xml:space="preserve"> TEXT($O$206, "#,##0") &amp; " KRW (" &amp; TEXT($N$206, "0.00%)")</f>
        <v>101,156 KRW (5.06%)</v>
      </c>
      <c r="N8" s="220"/>
      <c r="O8" s="221"/>
    </row>
    <row r="9" spans="1:15" ht="16.5" customHeight="1">
      <c r="A9" s="256">
        <v>4</v>
      </c>
      <c r="B9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Bottom20</v>
      </c>
      <c r="C9" s="228"/>
      <c r="D9" s="226" t="s">
        <v>323</v>
      </c>
      <c r="E9" s="227"/>
      <c r="F9" s="228"/>
      <c r="G9" s="226" t="s">
        <v>330</v>
      </c>
      <c r="H9" s="227"/>
      <c r="I9" s="228"/>
      <c r="J9" s="226" t="s">
        <v>337</v>
      </c>
      <c r="K9" s="227"/>
      <c r="L9" s="228"/>
      <c r="M9" s="226" t="s">
        <v>344</v>
      </c>
      <c r="N9" s="227"/>
      <c r="O9" s="228"/>
    </row>
    <row r="10" spans="1:15" ht="16.5" customHeight="1" thickBot="1">
      <c r="A10" s="257"/>
      <c r="B10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126,821 KRW (6.34%)</v>
      </c>
      <c r="C10" s="221"/>
      <c r="D10" s="219" t="str">
        <f ca="1" xml:space="preserve"> TEXT($F$244, "#,##0") &amp; " KRW (" &amp; TEXT($E$244, "0.00%)")</f>
        <v>52,795 KRW (2.64%)</v>
      </c>
      <c r="E10" s="220"/>
      <c r="F10" s="221"/>
      <c r="G10" s="219" t="str">
        <f ca="1" xml:space="preserve"> TEXT($I$244, "#,##0") &amp; " KRW (" &amp; TEXT($H$244, "0.00%)")</f>
        <v>-10,541 KRW (-0.53%)</v>
      </c>
      <c r="H10" s="220"/>
      <c r="I10" s="221"/>
      <c r="J10" s="219" t="str">
        <f ca="1" xml:space="preserve"> TEXT($L$244, "#,##0") &amp; " KRW (" &amp; TEXT($K$244, "0.00%)")</f>
        <v>-49,068 KRW (-2.45%)</v>
      </c>
      <c r="K10" s="220"/>
      <c r="L10" s="221"/>
      <c r="M10" s="219" t="str">
        <f ca="1" xml:space="preserve"> TEXT($O$244, "#,##0") &amp; " KRW (" &amp; TEXT($N$244, "0.00%)")</f>
        <v>126,821 KRW (6.34%)</v>
      </c>
      <c r="N10" s="220"/>
      <c r="O10" s="221"/>
    </row>
    <row r="11" spans="1:15" ht="16.5" customHeight="1">
      <c r="A11" s="256">
        <v>5</v>
      </c>
      <c r="B11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Bottom20</v>
      </c>
      <c r="C11" s="228"/>
      <c r="D11" s="226" t="s">
        <v>324</v>
      </c>
      <c r="E11" s="227"/>
      <c r="F11" s="228"/>
      <c r="G11" s="226" t="s">
        <v>331</v>
      </c>
      <c r="H11" s="227"/>
      <c r="I11" s="228"/>
      <c r="J11" s="226" t="s">
        <v>338</v>
      </c>
      <c r="K11" s="227"/>
      <c r="L11" s="228"/>
      <c r="M11" s="226" t="s">
        <v>345</v>
      </c>
      <c r="N11" s="227"/>
      <c r="O11" s="228"/>
    </row>
    <row r="12" spans="1:15" ht="16.5" customHeight="1" thickBot="1">
      <c r="A12" s="257"/>
      <c r="B12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125,047 KRW (6.25%)</v>
      </c>
      <c r="C12" s="221"/>
      <c r="D12" s="219" t="str">
        <f ca="1" xml:space="preserve"> TEXT($F$168, "#,##0") &amp; " KRW (" &amp; TEXT($E$168, "0.00%)")</f>
        <v>153,138 KRW (7.66%)</v>
      </c>
      <c r="E12" s="220"/>
      <c r="F12" s="221"/>
      <c r="G12" s="219" t="str">
        <f ca="1" xml:space="preserve"> TEXT($I$168, "#,##0") &amp; " KRW (" &amp; TEXT($H$168, "0.00%)")</f>
        <v>45,296 KRW (2.26%)</v>
      </c>
      <c r="H12" s="220"/>
      <c r="I12" s="221"/>
      <c r="J12" s="219" t="str">
        <f ca="1" xml:space="preserve"> TEXT($L$168, "#,##0") &amp; " KRW (" &amp; TEXT($K$168, "0.00%)")</f>
        <v>-50,083 KRW (-2.50%)</v>
      </c>
      <c r="K12" s="220"/>
      <c r="L12" s="221"/>
      <c r="M12" s="219" t="str">
        <f ca="1" xml:space="preserve"> TEXT($O$168, "#,##0") &amp; " KRW (" &amp; TEXT($N$168, "0.00%)")</f>
        <v>187,308 KRW (9.37%)</v>
      </c>
      <c r="N12" s="220"/>
      <c r="O12" s="221"/>
    </row>
    <row r="13" spans="1:15" ht="16.5" customHeight="1">
      <c r="A13" s="256">
        <v>6</v>
      </c>
      <c r="B1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28"/>
      <c r="D13" s="226" t="s">
        <v>325</v>
      </c>
      <c r="E13" s="227"/>
      <c r="F13" s="228"/>
      <c r="G13" s="226" t="s">
        <v>332</v>
      </c>
      <c r="H13" s="227"/>
      <c r="I13" s="228"/>
      <c r="J13" s="226" t="s">
        <v>339</v>
      </c>
      <c r="K13" s="227"/>
      <c r="L13" s="228"/>
      <c r="M13" s="226" t="s">
        <v>346</v>
      </c>
      <c r="N13" s="227"/>
      <c r="O13" s="228"/>
    </row>
    <row r="14" spans="1:15" ht="16.5" customHeight="1" thickBot="1">
      <c r="A14" s="257"/>
      <c r="B14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108,945 KRW (5.45%)</v>
      </c>
      <c r="C14" s="221"/>
      <c r="D14" s="219" t="str">
        <f ca="1" xml:space="preserve"> TEXT($F$282, "#,##0") &amp; " KRW (" &amp; TEXT($E$282, "0.00%)")</f>
        <v>72,919 KRW (3.65%)</v>
      </c>
      <c r="E14" s="220"/>
      <c r="F14" s="221"/>
      <c r="G14" s="219" t="str">
        <f ca="1" xml:space="preserve"> TEXT($I$282, "#,##0") &amp; " KRW (" &amp; TEXT($H$282, "0.00%)")</f>
        <v>-1,933 KRW (-0.10%)</v>
      </c>
      <c r="H14" s="220"/>
      <c r="I14" s="221"/>
      <c r="J14" s="219" t="str">
        <f ca="1" xml:space="preserve"> TEXT($L$282, "#,##0") &amp; " KRW (" &amp; TEXT($K$282, "0.00%)")</f>
        <v>-53,656 KRW (-2.68%)</v>
      </c>
      <c r="K14" s="220"/>
      <c r="L14" s="221"/>
      <c r="M14" s="219" t="str">
        <f ca="1" xml:space="preserve"> TEXT($O$282, "#,##0") &amp; " KRW (" &amp; TEXT($N$282, "0.00%)")</f>
        <v>125,047 KRW (6.25%)</v>
      </c>
      <c r="N14" s="220"/>
      <c r="O14" s="221"/>
    </row>
    <row r="15" spans="1:15" ht="16.5" customHeight="1">
      <c r="A15" s="256">
        <v>7</v>
      </c>
      <c r="B1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228"/>
      <c r="D15" s="226" t="s">
        <v>326</v>
      </c>
      <c r="E15" s="227"/>
      <c r="F15" s="228"/>
      <c r="G15" s="226" t="s">
        <v>333</v>
      </c>
      <c r="H15" s="227"/>
      <c r="I15" s="228"/>
      <c r="J15" s="226" t="s">
        <v>340</v>
      </c>
      <c r="K15" s="227"/>
      <c r="L15" s="228"/>
      <c r="M15" s="226" t="s">
        <v>347</v>
      </c>
      <c r="N15" s="227"/>
      <c r="O15" s="228"/>
    </row>
    <row r="16" spans="1:15" ht="16.5" customHeight="1" thickBot="1">
      <c r="A16" s="257"/>
      <c r="B16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101,156 KRW (5.06%)</v>
      </c>
      <c r="C16" s="221"/>
      <c r="D16" s="219" t="str">
        <f ca="1" xml:space="preserve"> TEXT($F$54, "#,##0") &amp; " KRW (" &amp; TEXT($E$54, "0.00%)")</f>
        <v>68,226 KRW (8.27%)</v>
      </c>
      <c r="E16" s="220"/>
      <c r="F16" s="221"/>
      <c r="G16" s="219" t="str">
        <f ca="1" xml:space="preserve"> TEXT($I$54, "#,##0") &amp; " KRW (" &amp; TEXT($H$54, "0.00%)")</f>
        <v>72,566 KRW (8.80%)</v>
      </c>
      <c r="H16" s="220"/>
      <c r="I16" s="221"/>
      <c r="J16" s="219" t="str">
        <f ca="1" xml:space="preserve"> TEXT($L$54, "#,##0") &amp; " KRW (" &amp; TEXT($K$54, "0.00%)")</f>
        <v>41,804 KRW (5.07%)</v>
      </c>
      <c r="K16" s="220"/>
      <c r="L16" s="221"/>
      <c r="M16" s="219" t="str">
        <f ca="1" xml:space="preserve"> TEXT($O$54, "#,##0") &amp; " KRW (" &amp; TEXT($N$54, "0.00%)")</f>
        <v>74,563 KRW (9.04%)</v>
      </c>
      <c r="N16" s="220"/>
      <c r="O16" s="221"/>
    </row>
    <row r="18" spans="1:15" ht="16.5" customHeight="1" thickBot="1"/>
    <row r="19" spans="1:15" ht="16.5" customHeight="1" thickBot="1">
      <c r="A19" s="198" t="str">
        <f>TEXT(투자전략!$G$1, "[$-ko-KR]yyyy년 mm월 ") &amp; "실거래 월말결산"</f>
        <v>2021년 06월 실거래 월말결산</v>
      </c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200"/>
    </row>
    <row r="20" spans="1:15" ht="16.5" customHeight="1" thickBot="1">
      <c r="A20" s="242" t="s">
        <v>314</v>
      </c>
      <c r="B20" s="219" t="s">
        <v>312</v>
      </c>
      <c r="C20" s="221"/>
      <c r="D20" s="219" t="s">
        <v>304</v>
      </c>
      <c r="E20" s="220"/>
      <c r="F20" s="221"/>
      <c r="G20" s="219" t="s">
        <v>305</v>
      </c>
      <c r="H20" s="220"/>
      <c r="I20" s="221"/>
      <c r="J20" s="219" t="s">
        <v>306</v>
      </c>
      <c r="K20" s="220"/>
      <c r="L20" s="221"/>
      <c r="M20" s="219" t="s">
        <v>307</v>
      </c>
      <c r="N20" s="220"/>
      <c r="O20" s="221"/>
    </row>
    <row r="21" spans="1:15" ht="16.5" customHeight="1" thickBot="1">
      <c r="A21" s="23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500000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6" t="s">
        <v>313</v>
      </c>
      <c r="B53" s="228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9"/>
      <c r="B54" s="221"/>
      <c r="C54" s="136">
        <f ca="1">SUM(C22:C52)</f>
        <v>3300000</v>
      </c>
      <c r="D54" s="140">
        <f ca="1">SUM(D22:D52)</f>
        <v>3368225.9837558866</v>
      </c>
      <c r="E54" s="79">
        <f ca="1">IFERROR(F54 / (SUM($C22:$C52) / COUNT($C22:$C52)), 0)</f>
        <v>8.2698162128346797E-2</v>
      </c>
      <c r="F54" s="138">
        <f ca="1">SUM(F22:F52)</f>
        <v>68225.983755886104</v>
      </c>
      <c r="G54" s="140">
        <f ca="1">SUM(G22:G52)</f>
        <v>3372566.3121052743</v>
      </c>
      <c r="H54" s="79">
        <f ca="1">IFERROR(I54 / (SUM($C22:$C52) / COUNT($C22:$C52)), 0)</f>
        <v>8.7959166188211091E-2</v>
      </c>
      <c r="I54" s="138">
        <f ca="1">SUM(I22:I52)</f>
        <v>72566.312105274148</v>
      </c>
      <c r="J54" s="140">
        <f ca="1">SUM(J22:J52)</f>
        <v>3341803.7739054002</v>
      </c>
      <c r="K54" s="79">
        <f ca="1">IFERROR(L54 / (SUM($C22:$C52) / COUNT($C22:$C52)), 0)</f>
        <v>5.0671241097453933E-2</v>
      </c>
      <c r="L54" s="138">
        <f ca="1">SUM(L22:L52)</f>
        <v>41803.773905399496</v>
      </c>
      <c r="M54" s="140">
        <f ca="1">SUM(M22:M52)</f>
        <v>3374563.4934860794</v>
      </c>
      <c r="N54" s="79">
        <f ca="1">IFERROR(O54 / (SUM($C22:$C52) / COUNT($C22:$C52)), 0)</f>
        <v>9.0379992104338613E-2</v>
      </c>
      <c r="O54" s="138">
        <f ca="1">SUM(O22:O52)</f>
        <v>74563.493486079358</v>
      </c>
    </row>
    <row r="56" spans="1:15" ht="16.5" customHeight="1" thickBot="1"/>
    <row r="57" spans="1:15" ht="16.5" customHeight="1" thickBot="1">
      <c r="A57" s="198" t="str">
        <f>TEXT(투자전략!$G$1, "[$-ko-KR]yyyy년 mm월 ") &amp; "[엽전코인] 전일대비 상승률 Top20 월말결산"</f>
        <v>2021년 06월 [엽전코인] 전일대비 상승률 Top20 월말결산</v>
      </c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200"/>
    </row>
    <row r="58" spans="1:15" ht="16.5" customHeight="1" thickBot="1">
      <c r="A58" s="242" t="s">
        <v>314</v>
      </c>
      <c r="B58" s="219" t="s">
        <v>312</v>
      </c>
      <c r="C58" s="221"/>
      <c r="D58" s="219" t="s">
        <v>304</v>
      </c>
      <c r="E58" s="220"/>
      <c r="F58" s="221"/>
      <c r="G58" s="219" t="s">
        <v>305</v>
      </c>
      <c r="H58" s="220"/>
      <c r="I58" s="221"/>
      <c r="J58" s="219" t="s">
        <v>306</v>
      </c>
      <c r="K58" s="220"/>
      <c r="L58" s="221"/>
      <c r="M58" s="219" t="s">
        <v>307</v>
      </c>
      <c r="N58" s="220"/>
      <c r="O58" s="221"/>
    </row>
    <row r="59" spans="1:15" ht="16.5" customHeight="1" thickBot="1">
      <c r="A59" s="23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2000000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6" t="s">
        <v>313</v>
      </c>
      <c r="B91" s="228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9"/>
      <c r="B92" s="221"/>
      <c r="C92" s="136">
        <f ca="1">SUM(C60:C90)</f>
        <v>8000000</v>
      </c>
      <c r="D92" s="140">
        <f ca="1">SUM(D60:D90)</f>
        <v>8072512.4167561596</v>
      </c>
      <c r="E92" s="79">
        <f ca="1">IFERROR(F92 / (SUM($C60:$C90) / COUNT($C60:$C90)), 0)</f>
        <v>3.6256208378079809E-2</v>
      </c>
      <c r="F92" s="138">
        <f ca="1">SUM(F60:F90)</f>
        <v>72512.416756159611</v>
      </c>
      <c r="G92" s="140">
        <f ca="1">SUM(G60:G90)</f>
        <v>7993785.1848928966</v>
      </c>
      <c r="H92" s="79">
        <f ca="1">IFERROR(I92 / (SUM($C60:$C90) / COUNT($C60:$C90)), 0)</f>
        <v>-3.1074075535512747E-3</v>
      </c>
      <c r="I92" s="138">
        <f ca="1">SUM(I60:I90)</f>
        <v>-6214.8151071025495</v>
      </c>
      <c r="J92" s="140">
        <f ca="1">SUM(J60:J90)</f>
        <v>7925690.1912314994</v>
      </c>
      <c r="K92" s="79">
        <f ca="1">IFERROR(L92 / (SUM($C60:$C90) / COUNT($C60:$C90)), 0)</f>
        <v>-3.7154904384250169E-2</v>
      </c>
      <c r="L92" s="138">
        <f ca="1">SUM(L60:L90)</f>
        <v>-74309.808768500341</v>
      </c>
      <c r="M92" s="140">
        <f ca="1">SUM(M60:M90)</f>
        <v>8077079.9501255155</v>
      </c>
      <c r="N92" s="79">
        <f ca="1">IFERROR(O92 / (SUM($C60:$C90) / COUNT($C60:$C90)), 0)</f>
        <v>3.8539975062757553E-2</v>
      </c>
      <c r="O92" s="138">
        <f ca="1">SUM(O60:O90)</f>
        <v>77079.950125515112</v>
      </c>
    </row>
    <row r="94" spans="1:15" ht="16.5" customHeight="1" thickBot="1"/>
    <row r="95" spans="1:15" ht="16.5" customHeight="1" thickBot="1">
      <c r="A95" s="198" t="str">
        <f>TEXT(투자전략!$G$1, "[$-ko-KR]yyyy년 mm월 ") &amp; "[동전코인] 전일대비 상승률 Top20 월말결산"</f>
        <v>2021년 06월 [동전코인] 전일대비 상승률 Top20 월말결산</v>
      </c>
      <c r="B95" s="199"/>
      <c r="C95" s="199"/>
      <c r="D95" s="199"/>
      <c r="E95" s="199"/>
      <c r="F95" s="199"/>
      <c r="G95" s="199"/>
      <c r="H95" s="199"/>
      <c r="I95" s="199"/>
      <c r="J95" s="199"/>
      <c r="K95" s="199"/>
      <c r="L95" s="199"/>
      <c r="M95" s="199"/>
      <c r="N95" s="199"/>
      <c r="O95" s="200"/>
    </row>
    <row r="96" spans="1:15" ht="16.5" customHeight="1" thickBot="1">
      <c r="A96" s="242" t="s">
        <v>314</v>
      </c>
      <c r="B96" s="219" t="s">
        <v>312</v>
      </c>
      <c r="C96" s="221"/>
      <c r="D96" s="219" t="s">
        <v>304</v>
      </c>
      <c r="E96" s="220"/>
      <c r="F96" s="221"/>
      <c r="G96" s="219" t="s">
        <v>305</v>
      </c>
      <c r="H96" s="220"/>
      <c r="I96" s="221"/>
      <c r="J96" s="219" t="s">
        <v>306</v>
      </c>
      <c r="K96" s="220"/>
      <c r="L96" s="221"/>
      <c r="M96" s="219" t="s">
        <v>307</v>
      </c>
      <c r="N96" s="220"/>
      <c r="O96" s="221"/>
    </row>
    <row r="97" spans="1:15" ht="16.5" customHeight="1" thickBot="1">
      <c r="A97" s="23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2000000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6" t="s">
        <v>313</v>
      </c>
      <c r="B129" s="228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9"/>
      <c r="B130" s="221"/>
      <c r="C130" s="136">
        <f ca="1">SUM(C98:C128)</f>
        <v>8000000</v>
      </c>
      <c r="D130" s="140">
        <f ca="1">SUM(D98:D128)</f>
        <v>8108944.8955910513</v>
      </c>
      <c r="E130" s="79">
        <f ca="1">IFERROR(F130 / (SUM($C98:$C128) / COUNT($C98:$C128)), 0)</f>
        <v>5.4472447795525736E-2</v>
      </c>
      <c r="F130" s="138">
        <f ca="1">SUM(F98:F128)</f>
        <v>108944.89559105148</v>
      </c>
      <c r="G130" s="140">
        <f ca="1">SUM(G98:G128)</f>
        <v>8047051.9839139953</v>
      </c>
      <c r="H130" s="79">
        <f ca="1">IFERROR(I130 / (SUM($C98:$C128) / COUNT($C98:$C128)), 0)</f>
        <v>2.35259919569973E-2</v>
      </c>
      <c r="I130" s="138">
        <f ca="1">SUM(I98:I128)</f>
        <v>47051.983913994598</v>
      </c>
      <c r="J130" s="140">
        <f ca="1">SUM(J98:J128)</f>
        <v>7971583.9442684595</v>
      </c>
      <c r="K130" s="79">
        <f ca="1">IFERROR(L130 / (SUM($C98:$C128) / COUNT($C98:$C128)), 0)</f>
        <v>-1.4208027865770476E-2</v>
      </c>
      <c r="L130" s="138">
        <f ca="1">SUM(L98:L128)</f>
        <v>-28416.055731540953</v>
      </c>
      <c r="M130" s="140">
        <f ca="1">SUM(M98:M128)</f>
        <v>8158883.7490478829</v>
      </c>
      <c r="N130" s="79">
        <f ca="1">IFERROR(O130 / (SUM($C98:$C128) / COUNT($C98:$C128)), 0)</f>
        <v>7.9441874523941247E-2</v>
      </c>
      <c r="O130" s="138">
        <f ca="1">SUM(O98:O128)</f>
        <v>158883.74904788251</v>
      </c>
    </row>
    <row r="132" spans="1:15" ht="16.5" customHeight="1" thickBot="1"/>
    <row r="133" spans="1:15" ht="16.5" customHeight="1" thickBot="1">
      <c r="A133" s="198" t="str">
        <f>TEXT(투자전략!$G$1, "[$-ko-KR]yyyy년 mm월 ") &amp; "전일대비 상승률 Top20 월말결산"</f>
        <v>2021년 06월 전일대비 상승률 Top20 월말결산</v>
      </c>
      <c r="B133" s="199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200"/>
    </row>
    <row r="134" spans="1:15" ht="16.5" customHeight="1" thickBot="1">
      <c r="A134" s="242" t="s">
        <v>314</v>
      </c>
      <c r="B134" s="219" t="s">
        <v>312</v>
      </c>
      <c r="C134" s="221"/>
      <c r="D134" s="219" t="s">
        <v>304</v>
      </c>
      <c r="E134" s="220"/>
      <c r="F134" s="221"/>
      <c r="G134" s="219" t="s">
        <v>305</v>
      </c>
      <c r="H134" s="220"/>
      <c r="I134" s="221"/>
      <c r="J134" s="219" t="s">
        <v>306</v>
      </c>
      <c r="K134" s="220"/>
      <c r="L134" s="221"/>
      <c r="M134" s="219" t="s">
        <v>307</v>
      </c>
      <c r="N134" s="220"/>
      <c r="O134" s="221"/>
    </row>
    <row r="135" spans="1:15" ht="16.5" customHeight="1" thickBot="1">
      <c r="A135" s="23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2000000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6" t="s">
        <v>313</v>
      </c>
      <c r="B167" s="228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9"/>
      <c r="B168" s="221"/>
      <c r="C168" s="136">
        <f ca="1">SUM(C136:C166)</f>
        <v>8000000</v>
      </c>
      <c r="D168" s="140">
        <f ca="1">SUM(D136:D166)</f>
        <v>8153137.9607681995</v>
      </c>
      <c r="E168" s="79">
        <f ca="1">IFERROR(F168 / (SUM($C136:$C166) / COUNT($C136:$C166)), 0)</f>
        <v>7.6568980384099788E-2</v>
      </c>
      <c r="F168" s="138">
        <f ca="1">SUM(F136:F166)</f>
        <v>153137.96076819958</v>
      </c>
      <c r="G168" s="140">
        <f ca="1">SUM(G136:G166)</f>
        <v>8045296.0112934131</v>
      </c>
      <c r="H168" s="79">
        <f ca="1">IFERROR(I168 / (SUM($C136:$C166) / COUNT($C136:$C166)), 0)</f>
        <v>2.2648005646706659E-2</v>
      </c>
      <c r="I168" s="138">
        <f ca="1">SUM(I136:I166)</f>
        <v>45296.011293413321</v>
      </c>
      <c r="J168" s="140">
        <f ca="1">SUM(J136:J166)</f>
        <v>7949917.2585842069</v>
      </c>
      <c r="K168" s="79">
        <f ca="1">IFERROR(L168 / (SUM($C136:$C166) / COUNT($C136:$C166)), 0)</f>
        <v>-2.5041370707896769E-2</v>
      </c>
      <c r="L168" s="138">
        <f ca="1">SUM(L136:L166)</f>
        <v>-50082.741415793542</v>
      </c>
      <c r="M168" s="140">
        <f ca="1">SUM(M136:M166)</f>
        <v>8187308.3398669893</v>
      </c>
      <c r="N168" s="79">
        <f ca="1">IFERROR(O168 / (SUM($C136:$C166) / COUNT($C136:$C166)), 0)</f>
        <v>9.365416993349461E-2</v>
      </c>
      <c r="O168" s="138">
        <f ca="1">SUM(O136:O166)</f>
        <v>187308.33986698923</v>
      </c>
    </row>
    <row r="170" spans="1:15" ht="16.5" customHeight="1" thickBot="1"/>
    <row r="171" spans="1:15" ht="16.5" customHeight="1" thickBot="1">
      <c r="A171" s="198" t="str">
        <f>TEXT(투자전략!$G$1, "[$-ko-KR]yyyy년 mm월 ") &amp; "[엽전코인] 전일대비 상승률 Bottom20 월말결산"</f>
        <v>2021년 06월 [엽전코인] 전일대비 상승률 Bottom20 월말결산</v>
      </c>
      <c r="B171" s="199"/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200"/>
    </row>
    <row r="172" spans="1:15" ht="16.5" customHeight="1" thickBot="1">
      <c r="A172" s="242" t="s">
        <v>314</v>
      </c>
      <c r="B172" s="219" t="s">
        <v>312</v>
      </c>
      <c r="C172" s="221"/>
      <c r="D172" s="219" t="s">
        <v>304</v>
      </c>
      <c r="E172" s="220"/>
      <c r="F172" s="221"/>
      <c r="G172" s="219" t="s">
        <v>305</v>
      </c>
      <c r="H172" s="220"/>
      <c r="I172" s="221"/>
      <c r="J172" s="219" t="s">
        <v>306</v>
      </c>
      <c r="K172" s="220"/>
      <c r="L172" s="221"/>
      <c r="M172" s="219" t="s">
        <v>307</v>
      </c>
      <c r="N172" s="220"/>
      <c r="O172" s="221"/>
    </row>
    <row r="173" spans="1:15" ht="16.5" customHeight="1" thickBot="1">
      <c r="A173" s="23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2000000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6" t="s">
        <v>313</v>
      </c>
      <c r="B205" s="228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9"/>
      <c r="B206" s="221"/>
      <c r="C206" s="136">
        <f ca="1">SUM(C174:C204)</f>
        <v>8000000</v>
      </c>
      <c r="D206" s="140">
        <f ca="1">SUM(D174:D204)</f>
        <v>8079959.7786956783</v>
      </c>
      <c r="E206" s="79">
        <f ca="1">IFERROR(F206 / (SUM($C174:$C204) / COUNT($C174:$C204)), 0)</f>
        <v>3.9979889347839123E-2</v>
      </c>
      <c r="F206" s="138">
        <f ca="1">SUM(F174:F204)</f>
        <v>79959.778695678251</v>
      </c>
      <c r="G206" s="140">
        <f ca="1">SUM(G174:G204)</f>
        <v>8005178.5482132351</v>
      </c>
      <c r="H206" s="79">
        <f ca="1">IFERROR(I206 / (SUM($C174:$C204) / COUNT($C174:$C204)), 0)</f>
        <v>2.5892741066175875E-3</v>
      </c>
      <c r="I206" s="138">
        <f ca="1">SUM(I174:I204)</f>
        <v>5178.5482132351754</v>
      </c>
      <c r="J206" s="140">
        <f ca="1">SUM(J174:J204)</f>
        <v>7943521.1963376356</v>
      </c>
      <c r="K206" s="79">
        <f ca="1">IFERROR(L206 / (SUM($C174:$C204) / COUNT($C174:$C204)), 0)</f>
        <v>-2.8239401831182592E-2</v>
      </c>
      <c r="L206" s="138">
        <f ca="1">SUM(L174:L204)</f>
        <v>-56478.803662365186</v>
      </c>
      <c r="M206" s="140">
        <f ca="1">SUM(M174:M204)</f>
        <v>8101155.5449471595</v>
      </c>
      <c r="N206" s="79">
        <f ca="1">IFERROR(O206 / (SUM($C174:$C204) / COUNT($C174:$C204)), 0)</f>
        <v>5.0577772473579988E-2</v>
      </c>
      <c r="O206" s="138">
        <f ca="1">SUM(O174:O204)</f>
        <v>101155.54494715997</v>
      </c>
    </row>
    <row r="208" spans="1:15" ht="16.5" customHeight="1" thickBot="1"/>
    <row r="209" spans="1:15" ht="16.5" customHeight="1" thickBot="1">
      <c r="A209" s="198" t="str">
        <f>TEXT(투자전략!$G$1, "[$-ko-KR]yyyy년 mm월 ") &amp; "[동전코인] 전일대비 상승률 Bottom20 월말결산"</f>
        <v>2021년 06월 [동전코인] 전일대비 상승률 Bottom20 월말결산</v>
      </c>
      <c r="B209" s="199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200"/>
    </row>
    <row r="210" spans="1:15" ht="16.5" customHeight="1" thickBot="1">
      <c r="A210" s="242" t="s">
        <v>314</v>
      </c>
      <c r="B210" s="219" t="s">
        <v>312</v>
      </c>
      <c r="C210" s="221"/>
      <c r="D210" s="219" t="s">
        <v>304</v>
      </c>
      <c r="E210" s="220"/>
      <c r="F210" s="221"/>
      <c r="G210" s="219" t="s">
        <v>305</v>
      </c>
      <c r="H210" s="220"/>
      <c r="I210" s="221"/>
      <c r="J210" s="219" t="s">
        <v>306</v>
      </c>
      <c r="K210" s="220"/>
      <c r="L210" s="221"/>
      <c r="M210" s="219" t="s">
        <v>307</v>
      </c>
      <c r="N210" s="220"/>
      <c r="O210" s="221"/>
    </row>
    <row r="211" spans="1:15" ht="16.5" customHeight="1" thickBot="1">
      <c r="A211" s="23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2000000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6" t="s">
        <v>313</v>
      </c>
      <c r="B243" s="228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9"/>
      <c r="B244" s="221"/>
      <c r="C244" s="136">
        <f ca="1">SUM(C212:C242)</f>
        <v>8000000</v>
      </c>
      <c r="D244" s="140">
        <f ca="1">SUM(D212:D242)</f>
        <v>8052794.5813888153</v>
      </c>
      <c r="E244" s="79">
        <f ca="1">IFERROR(F244 / (SUM($C212:$C242) / COUNT($C212:$C242)), 0)</f>
        <v>2.6397290694407712E-2</v>
      </c>
      <c r="F244" s="138">
        <f ca="1">SUM(F212:F242)</f>
        <v>52794.581388815423</v>
      </c>
      <c r="G244" s="140">
        <f ca="1">SUM(G212:G242)</f>
        <v>7989458.511670148</v>
      </c>
      <c r="H244" s="79">
        <f ca="1">IFERROR(I244 / (SUM($C212:$C242) / COUNT($C212:$C242)), 0)</f>
        <v>-5.2707441649260727E-3</v>
      </c>
      <c r="I244" s="138">
        <f ca="1">SUM(I212:I242)</f>
        <v>-10541.488329852145</v>
      </c>
      <c r="J244" s="140">
        <f ca="1">SUM(J212:J242)</f>
        <v>7950932.083986111</v>
      </c>
      <c r="K244" s="79">
        <f ca="1">IFERROR(L244 / (SUM($C212:$C242) / COUNT($C212:$C242)), 0)</f>
        <v>-2.4533958006944318E-2</v>
      </c>
      <c r="L244" s="138">
        <f ca="1">SUM(L212:L242)</f>
        <v>-49067.916013888636</v>
      </c>
      <c r="M244" s="140">
        <f ca="1">SUM(M212:M242)</f>
        <v>8126821.2590498514</v>
      </c>
      <c r="N244" s="79">
        <f ca="1">IFERROR(O244 / (SUM($C212:$C242) / COUNT($C212:$C242)), 0)</f>
        <v>6.3410629524925419E-2</v>
      </c>
      <c r="O244" s="138">
        <f ca="1">SUM(O212:O242)</f>
        <v>126821.25904985084</v>
      </c>
    </row>
    <row r="246" spans="1:15" ht="16.5" customHeight="1" thickBot="1"/>
    <row r="247" spans="1:15" ht="16.5" customHeight="1" thickBot="1">
      <c r="A247" s="198" t="str">
        <f>TEXT(투자전략!$G$1, "[$-ko-KR]yyyy년 mm월 ") &amp; "전일대비 상승률 Bottom20 월말결산"</f>
        <v>2021년 06월 전일대비 상승률 Bottom20 월말결산</v>
      </c>
      <c r="B247" s="199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200"/>
    </row>
    <row r="248" spans="1:15" ht="16.5" customHeight="1" thickBot="1">
      <c r="A248" s="242" t="s">
        <v>314</v>
      </c>
      <c r="B248" s="219" t="s">
        <v>312</v>
      </c>
      <c r="C248" s="221"/>
      <c r="D248" s="219" t="s">
        <v>304</v>
      </c>
      <c r="E248" s="220"/>
      <c r="F248" s="221"/>
      <c r="G248" s="219" t="s">
        <v>305</v>
      </c>
      <c r="H248" s="220"/>
      <c r="I248" s="221"/>
      <c r="J248" s="219" t="s">
        <v>306</v>
      </c>
      <c r="K248" s="220"/>
      <c r="L248" s="221"/>
      <c r="M248" s="219" t="s">
        <v>307</v>
      </c>
      <c r="N248" s="220"/>
      <c r="O248" s="221"/>
    </row>
    <row r="249" spans="1:15" ht="16.5" customHeight="1" thickBot="1">
      <c r="A249" s="23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2000000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6" t="s">
        <v>313</v>
      </c>
      <c r="B281" s="228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9"/>
      <c r="B282" s="221"/>
      <c r="C282" s="136">
        <f ca="1">SUM(C250:C280)</f>
        <v>8000000</v>
      </c>
      <c r="D282" s="140">
        <f ca="1">SUM(D250:D280)</f>
        <v>8072918.56700096</v>
      </c>
      <c r="E282" s="79">
        <f ca="1">IFERROR(F282 / (SUM($C250:$C280) / COUNT($C250:$C280)), 0)</f>
        <v>3.6459283500479951E-2</v>
      </c>
      <c r="F282" s="138">
        <f ca="1">SUM(F250:F280)</f>
        <v>72918.567000959898</v>
      </c>
      <c r="G282" s="140">
        <f ca="1">SUM(G250:G280)</f>
        <v>7998067.2325029336</v>
      </c>
      <c r="H282" s="79">
        <f ca="1">IFERROR(I282 / (SUM($C250:$C280) / COUNT($C250:$C280)), 0)</f>
        <v>-9.6638374853322598E-4</v>
      </c>
      <c r="I282" s="138">
        <f ca="1">SUM(I250:I280)</f>
        <v>-1932.7674970664521</v>
      </c>
      <c r="J282" s="140">
        <f ca="1">SUM(J250:J280)</f>
        <v>7946344.4932380999</v>
      </c>
      <c r="K282" s="79">
        <f ca="1">IFERROR(L282 / (SUM($C250:$C280) / COUNT($C250:$C280)), 0)</f>
        <v>-2.6827753380950396E-2</v>
      </c>
      <c r="L282" s="138">
        <f ca="1">SUM(L250:L280)</f>
        <v>-53655.50676190079</v>
      </c>
      <c r="M282" s="140">
        <f ca="1">SUM(M250:M280)</f>
        <v>8125047.4821493514</v>
      </c>
      <c r="N282" s="79">
        <f ca="1">IFERROR(O282 / (SUM($C250:$C280) / COUNT($C250:$C280)), 0)</f>
        <v>6.252374107467569E-2</v>
      </c>
      <c r="O282" s="138">
        <f ca="1">SUM(O250:O280)</f>
        <v>125047.48214935137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44348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17" t="s">
        <v>3</v>
      </c>
      <c r="B2" s="232" t="s">
        <v>8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350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358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0"/>
      <c r="I3" s="221"/>
      <c r="J3" s="4" t="s">
        <v>7</v>
      </c>
      <c r="K3" s="223" t="s">
        <v>351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352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349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0"/>
      <c r="I5" s="221"/>
      <c r="J5" s="4" t="s">
        <v>15</v>
      </c>
      <c r="K5" s="223" t="s">
        <v>353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354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0"/>
      <c r="I7" s="221"/>
      <c r="J7" s="4" t="s">
        <v>21</v>
      </c>
      <c r="K7" s="223" t="s">
        <v>355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/>
      <c r="L8" s="224"/>
      <c r="M8" s="224"/>
      <c r="N8" s="224"/>
      <c r="O8" s="225"/>
      <c r="Q8" s="198" t="s">
        <v>27</v>
      </c>
      <c r="R8" s="200"/>
    </row>
    <row r="9" spans="1:19" ht="17.25" thickBot="1">
      <c r="A9" s="118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0"/>
      <c r="I9" s="221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 t="s">
        <v>356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16" t="s">
        <v>357</v>
      </c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0"/>
      <c r="I11" s="221"/>
      <c r="J11" s="7" t="s">
        <v>32</v>
      </c>
      <c r="K11" s="216" t="s">
        <v>348</v>
      </c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57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35" t="s">
        <v>39</v>
      </c>
      <c r="B15" s="236" t="str">
        <f>TEXT($G$1, "[$-ko-KR]yyyy-mm-dd(ddd) ") &amp; "오전 00:00"</f>
        <v>2021-06-01(화) 오전 00:00</v>
      </c>
      <c r="C15" s="237"/>
      <c r="D15" s="211" t="str">
        <f>TEXT($G$1, "[$-ko-KR]yyyy-mm-dd(ddd) ") &amp; "오후 14:00"</f>
        <v>2021-06-01(화) 오후 14:00</v>
      </c>
      <c r="E15" s="212"/>
      <c r="F15" s="213"/>
      <c r="G15" s="211" t="str">
        <f>TEXT($G$1, "[$-ko-KR]yyyy-mm-dd(ddd) ") &amp; "오후 19:00"</f>
        <v>2021-06-01(화) 오후 19:00</v>
      </c>
      <c r="H15" s="212"/>
      <c r="I15" s="213"/>
      <c r="J15" s="211" t="str">
        <f>TEXT($G$1, "[$-ko-KR]yyyy-mm-dd(ddd) ") &amp; "오후 21:00"</f>
        <v>2021-06-01(화) 오후 21:00</v>
      </c>
      <c r="K15" s="212"/>
      <c r="L15" s="213"/>
      <c r="M15" s="211" t="str">
        <f>TEXT($G$1+1, "[$-ko-KR]yyyy-mm-dd(ddd) ") &amp; "오전 00:00"</f>
        <v>2021-06-02(수) 오전 00:00</v>
      </c>
      <c r="N15" s="212"/>
      <c r="O15" s="213"/>
      <c r="Q15" s="197"/>
      <c r="R15" s="197"/>
      <c r="S15" s="197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97"/>
      <c r="R17" s="197"/>
      <c r="S17" s="19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97"/>
      <c r="R18" s="197"/>
      <c r="S18" s="19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87"/>
      <c r="R19" s="187"/>
      <c r="S19" s="187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87"/>
      <c r="R20" s="187"/>
      <c r="S20" s="187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87"/>
      <c r="R21" s="187"/>
      <c r="S21" s="187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8"/>
      <c r="R26" s="189"/>
      <c r="S26" s="1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1"/>
      <c r="R27" s="192"/>
      <c r="S27" s="1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4"/>
      <c r="R28" s="195"/>
      <c r="S28" s="1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57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42" t="s">
        <v>55</v>
      </c>
      <c r="B42" s="238" t="str">
        <f>TEXT($G$1, "[$-ko-KR]yyyy-mm-dd(ddd) ") &amp; "오전 00:00"</f>
        <v>2021-06-01(화) 오전 00:00</v>
      </c>
      <c r="C42" s="239"/>
      <c r="D42" s="211" t="str">
        <f>TEXT($G$1, "[$-ko-KR]yyyy-mm-dd(ddd) ") &amp; "오후 14:00"</f>
        <v>2021-06-01(화) 오후 14:00</v>
      </c>
      <c r="E42" s="212"/>
      <c r="F42" s="213"/>
      <c r="G42" s="211" t="str">
        <f>TEXT($G$1, "[$-ko-KR]yyyy-mm-dd(ddd) ") &amp; "오후 19:00"</f>
        <v>2021-06-01(화) 오후 19:00</v>
      </c>
      <c r="H42" s="212"/>
      <c r="I42" s="213"/>
      <c r="J42" s="211" t="str">
        <f>TEXT($G$1, "[$-ko-KR]yyyy-mm-dd(ddd) ") &amp; "오후 21:00"</f>
        <v>2021-06-01(화) 오후 21:00</v>
      </c>
      <c r="K42" s="212"/>
      <c r="L42" s="213"/>
      <c r="M42" s="211" t="str">
        <f>TEXT($G$1+1, "[$-ko-KR]yyyy-mm-dd(ddd) ") &amp; "오전 00:00"</f>
        <v>2021-06-02(수) 오전 00:00</v>
      </c>
      <c r="N42" s="212"/>
      <c r="O42" s="213"/>
      <c r="Q42" s="197"/>
      <c r="R42" s="197"/>
      <c r="S42" s="197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97"/>
      <c r="R44" s="197"/>
      <c r="S44" s="19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97"/>
      <c r="R45" s="197"/>
      <c r="S45" s="19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87"/>
      <c r="R46" s="187"/>
      <c r="S46" s="187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87"/>
      <c r="R47" s="187"/>
      <c r="S47" s="187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87"/>
      <c r="R48" s="187"/>
      <c r="S48" s="187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87"/>
      <c r="R49" s="187"/>
      <c r="S49" s="187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87"/>
      <c r="R50" s="187"/>
      <c r="S50" s="187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87"/>
      <c r="R51" s="187"/>
      <c r="S51" s="187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88"/>
      <c r="R53" s="189"/>
      <c r="S53" s="190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91"/>
      <c r="R54" s="192"/>
      <c r="S54" s="193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194"/>
      <c r="R55" s="195"/>
      <c r="S55" s="196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87"/>
      <c r="R56" s="187"/>
      <c r="S56" s="187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97"/>
      <c r="R57" s="197"/>
      <c r="S57" s="19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97"/>
      <c r="R58" s="197"/>
      <c r="S58" s="19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87"/>
      <c r="R59" s="187"/>
      <c r="S59" s="187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87"/>
      <c r="R60" s="187"/>
      <c r="S60" s="187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87"/>
      <c r="R61" s="187"/>
      <c r="S61" s="187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76"/>
      <c r="R62" s="177"/>
      <c r="S62" s="17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79"/>
      <c r="R63" s="180"/>
      <c r="S63" s="181"/>
    </row>
    <row r="64" spans="1:19" ht="17.25" customHeight="1" thickBot="1">
      <c r="A64" s="132" t="s">
        <v>300</v>
      </c>
      <c r="B64" s="240">
        <f>$B$37</f>
        <v>100000</v>
      </c>
      <c r="C64" s="241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57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42" t="s">
        <v>55</v>
      </c>
      <c r="B69" s="238" t="str">
        <f>TEXT($G$1, "[$-ko-KR]yyyy-mm-dd(ddd) ") &amp; "오전 00:00"</f>
        <v>2021-06-01(화) 오전 00:00</v>
      </c>
      <c r="C69" s="239"/>
      <c r="D69" s="211" t="str">
        <f>TEXT($G$1, "[$-ko-KR]yyyy-mm-dd(ddd) ") &amp; "오후 14:00"</f>
        <v>2021-06-01(화) 오후 14:00</v>
      </c>
      <c r="E69" s="212"/>
      <c r="F69" s="213"/>
      <c r="G69" s="211" t="str">
        <f>TEXT($G$1, "[$-ko-KR]yyyy-mm-dd(ddd) ") &amp; "오후 19:00"</f>
        <v>2021-06-01(화) 오후 19:00</v>
      </c>
      <c r="H69" s="212"/>
      <c r="I69" s="213"/>
      <c r="J69" s="211" t="str">
        <f>TEXT($G$1, "[$-ko-KR]yyyy-mm-dd(ddd) ") &amp; "오후 21:00"</f>
        <v>2021-06-01(화) 오후 21:00</v>
      </c>
      <c r="K69" s="212"/>
      <c r="L69" s="213"/>
      <c r="M69" s="211" t="str">
        <f>TEXT($G$1+1, "[$-ko-KR]yyyy-mm-dd(ddd) ") &amp; "오전 00:00"</f>
        <v>2021-06-02(수) 오전 00:00</v>
      </c>
      <c r="N69" s="212"/>
      <c r="O69" s="213"/>
      <c r="Q69" s="197"/>
      <c r="R69" s="197"/>
      <c r="S69" s="197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97"/>
      <c r="R71" s="197"/>
      <c r="S71" s="19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97"/>
      <c r="R72" s="197"/>
      <c r="S72" s="19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87"/>
      <c r="R73" s="187"/>
      <c r="S73" s="187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87"/>
      <c r="R74" s="187"/>
      <c r="S74" s="187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87"/>
      <c r="R75" s="187"/>
      <c r="S75" s="187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87"/>
      <c r="R76" s="187"/>
      <c r="S76" s="187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87"/>
      <c r="R77" s="187"/>
      <c r="S77" s="187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87"/>
      <c r="R78" s="187"/>
      <c r="S78" s="187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88"/>
      <c r="R80" s="189"/>
      <c r="S80" s="190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91"/>
      <c r="R81" s="192"/>
      <c r="S81" s="193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194"/>
      <c r="R82" s="195"/>
      <c r="S82" s="196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87"/>
      <c r="R83" s="187"/>
      <c r="S83" s="187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97"/>
      <c r="R84" s="197"/>
      <c r="S84" s="19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97"/>
      <c r="R85" s="197"/>
      <c r="S85" s="19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87"/>
      <c r="R86" s="187"/>
      <c r="S86" s="187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87"/>
      <c r="R87" s="187"/>
      <c r="S87" s="187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87"/>
      <c r="R88" s="187"/>
      <c r="S88" s="187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76"/>
      <c r="R89" s="177"/>
      <c r="S89" s="17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79"/>
      <c r="R90" s="180"/>
      <c r="S90" s="181"/>
    </row>
    <row r="91" spans="1:19" ht="17.25" thickBot="1">
      <c r="A91" s="132" t="s">
        <v>300</v>
      </c>
      <c r="B91" s="240">
        <f>$B$37</f>
        <v>100000</v>
      </c>
      <c r="C91" s="241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57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42" t="s">
        <v>55</v>
      </c>
      <c r="B96" s="238" t="str">
        <f>TEXT($G$1, "[$-ko-KR]yyyy-mm-dd(ddd) ") &amp; "오전 00:00"</f>
        <v>2021-06-01(화) 오전 00:00</v>
      </c>
      <c r="C96" s="239"/>
      <c r="D96" s="211" t="str">
        <f>TEXT($G$1, "[$-ko-KR]yyyy-mm-dd(ddd) ") &amp; "오후 14:00"</f>
        <v>2021-06-01(화) 오후 14:00</v>
      </c>
      <c r="E96" s="212"/>
      <c r="F96" s="213"/>
      <c r="G96" s="211" t="str">
        <f>TEXT($G$1, "[$-ko-KR]yyyy-mm-dd(ddd) ") &amp; "오후 19:00"</f>
        <v>2021-06-01(화) 오후 19:00</v>
      </c>
      <c r="H96" s="212"/>
      <c r="I96" s="213"/>
      <c r="J96" s="211" t="str">
        <f>TEXT($G$1, "[$-ko-KR]yyyy-mm-dd(ddd) ") &amp; "오후 21:00"</f>
        <v>2021-06-01(화) 오후 21:00</v>
      </c>
      <c r="K96" s="212"/>
      <c r="L96" s="213"/>
      <c r="M96" s="211" t="str">
        <f>TEXT($G$1+1, "[$-ko-KR]yyyy-mm-dd(ddd) ") &amp; "오전 00:00"</f>
        <v>2021-06-02(수) 오전 00:00</v>
      </c>
      <c r="N96" s="212"/>
      <c r="O96" s="213"/>
      <c r="Q96" s="197"/>
      <c r="R96" s="197"/>
      <c r="S96" s="197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97"/>
      <c r="R98" s="197"/>
      <c r="S98" s="19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97"/>
      <c r="R99" s="197"/>
      <c r="S99" s="19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87"/>
      <c r="R100" s="187"/>
      <c r="S100" s="187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87"/>
      <c r="R101" s="187"/>
      <c r="S101" s="187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87"/>
      <c r="R102" s="187"/>
      <c r="S102" s="187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87"/>
      <c r="R103" s="187"/>
      <c r="S103" s="187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87"/>
      <c r="R104" s="187"/>
      <c r="S104" s="187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87"/>
      <c r="R105" s="187"/>
      <c r="S105" s="187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88"/>
      <c r="R107" s="189"/>
      <c r="S107" s="190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91"/>
      <c r="R108" s="192"/>
      <c r="S108" s="193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194"/>
      <c r="R109" s="195"/>
      <c r="S109" s="196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87"/>
      <c r="R110" s="187"/>
      <c r="S110" s="187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97"/>
      <c r="R111" s="197"/>
      <c r="S111" s="19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97"/>
      <c r="R112" s="197"/>
      <c r="S112" s="19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87"/>
      <c r="R113" s="187"/>
      <c r="S113" s="187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87"/>
      <c r="R114" s="187"/>
      <c r="S114" s="187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87"/>
      <c r="R115" s="187"/>
      <c r="S115" s="187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76"/>
      <c r="R116" s="177"/>
      <c r="S116" s="17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79"/>
      <c r="R117" s="180"/>
      <c r="S117" s="181"/>
    </row>
    <row r="118" spans="1:19" ht="17.25" thickBot="1">
      <c r="A118" s="132" t="s">
        <v>300</v>
      </c>
      <c r="B118" s="240">
        <f>$B$37</f>
        <v>100000</v>
      </c>
      <c r="C118" s="241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57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42" t="s">
        <v>55</v>
      </c>
      <c r="B123" s="238" t="str">
        <f>TEXT($G$1, "[$-ko-KR]yyyy-mm-dd(ddd) ") &amp; "오전 00:00"</f>
        <v>2021-06-01(화) 오전 00:00</v>
      </c>
      <c r="C123" s="239"/>
      <c r="D123" s="211" t="str">
        <f>TEXT($G$1, "[$-ko-KR]yyyy-mm-dd(ddd) ") &amp; "오후 14:00"</f>
        <v>2021-06-01(화) 오후 14:00</v>
      </c>
      <c r="E123" s="212"/>
      <c r="F123" s="213"/>
      <c r="G123" s="211" t="str">
        <f>TEXT($G$1, "[$-ko-KR]yyyy-mm-dd(ddd) ") &amp; "오후 19:00"</f>
        <v>2021-06-01(화) 오후 19:00</v>
      </c>
      <c r="H123" s="212"/>
      <c r="I123" s="213"/>
      <c r="J123" s="211" t="str">
        <f>TEXT($G$1, "[$-ko-KR]yyyy-mm-dd(ddd) ") &amp; "오후 21:00"</f>
        <v>2021-06-01(화) 오후 21:00</v>
      </c>
      <c r="K123" s="212"/>
      <c r="L123" s="213"/>
      <c r="M123" s="211" t="str">
        <f>TEXT($G$1+1, "[$-ko-KR]yyyy-mm-dd(ddd) ") &amp; "오전 00:00"</f>
        <v>2021-06-02(수) 오전 00:00</v>
      </c>
      <c r="N123" s="212"/>
      <c r="O123" s="213"/>
      <c r="Q123" s="197"/>
      <c r="R123" s="197"/>
      <c r="S123" s="197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97"/>
      <c r="R125" s="197"/>
      <c r="S125" s="19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97"/>
      <c r="R126" s="197"/>
      <c r="S126" s="19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87"/>
      <c r="R127" s="187"/>
      <c r="S127" s="187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87"/>
      <c r="R128" s="187"/>
      <c r="S128" s="187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87"/>
      <c r="R129" s="187"/>
      <c r="S129" s="187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87"/>
      <c r="R130" s="187"/>
      <c r="S130" s="187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87"/>
      <c r="R131" s="187"/>
      <c r="S131" s="187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87"/>
      <c r="R132" s="187"/>
      <c r="S132" s="187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88"/>
      <c r="R134" s="189"/>
      <c r="S134" s="190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91"/>
      <c r="R135" s="192"/>
      <c r="S135" s="193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194"/>
      <c r="R136" s="195"/>
      <c r="S136" s="196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87"/>
      <c r="R137" s="187"/>
      <c r="S137" s="187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97"/>
      <c r="R138" s="197"/>
      <c r="S138" s="19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97"/>
      <c r="R139" s="197"/>
      <c r="S139" s="19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87"/>
      <c r="R140" s="187"/>
      <c r="S140" s="187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87"/>
      <c r="R141" s="187"/>
      <c r="S141" s="187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87"/>
      <c r="R142" s="187"/>
      <c r="S142" s="187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76"/>
      <c r="R143" s="177"/>
      <c r="S143" s="17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79"/>
      <c r="R144" s="180"/>
      <c r="S144" s="181"/>
    </row>
    <row r="145" spans="1:19" ht="17.25" thickBot="1">
      <c r="A145" s="132" t="s">
        <v>300</v>
      </c>
      <c r="B145" s="240">
        <f>$B$37</f>
        <v>100000</v>
      </c>
      <c r="C145" s="241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57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42" t="s">
        <v>55</v>
      </c>
      <c r="B150" s="238" t="str">
        <f>TEXT($G$1, "[$-ko-KR]yyyy-mm-dd(ddd) ") &amp; "오전 00:00"</f>
        <v>2021-06-01(화) 오전 00:00</v>
      </c>
      <c r="C150" s="239"/>
      <c r="D150" s="211" t="str">
        <f>TEXT($G$1, "[$-ko-KR]yyyy-mm-dd(ddd) ") &amp; "오후 14:00"</f>
        <v>2021-06-01(화) 오후 14:00</v>
      </c>
      <c r="E150" s="212"/>
      <c r="F150" s="213"/>
      <c r="G150" s="211" t="str">
        <f>TEXT($G$1, "[$-ko-KR]yyyy-mm-dd(ddd) ") &amp; "오후 19:00"</f>
        <v>2021-06-01(화) 오후 19:00</v>
      </c>
      <c r="H150" s="212"/>
      <c r="I150" s="213"/>
      <c r="J150" s="211" t="str">
        <f>TEXT($G$1, "[$-ko-KR]yyyy-mm-dd(ddd) ") &amp; "오후 21:00"</f>
        <v>2021-06-01(화) 오후 21:00</v>
      </c>
      <c r="K150" s="212"/>
      <c r="L150" s="213"/>
      <c r="M150" s="211" t="str">
        <f>TEXT($G$1+1, "[$-ko-KR]yyyy-mm-dd(ddd) ") &amp; "오전 00:00"</f>
        <v>2021-06-02(수) 오전 00:00</v>
      </c>
      <c r="N150" s="212"/>
      <c r="O150" s="213"/>
      <c r="Q150" s="197"/>
      <c r="R150" s="197"/>
      <c r="S150" s="197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97"/>
      <c r="R152" s="197"/>
      <c r="S152" s="19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97"/>
      <c r="R153" s="197"/>
      <c r="S153" s="19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87"/>
      <c r="R154" s="187"/>
      <c r="S154" s="187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87"/>
      <c r="R155" s="187"/>
      <c r="S155" s="187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87"/>
      <c r="R156" s="187"/>
      <c r="S156" s="187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87"/>
      <c r="R157" s="187"/>
      <c r="S157" s="187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87"/>
      <c r="R158" s="187"/>
      <c r="S158" s="187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87"/>
      <c r="R159" s="187"/>
      <c r="S159" s="187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88"/>
      <c r="R161" s="189"/>
      <c r="S161" s="190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91"/>
      <c r="R162" s="192"/>
      <c r="S162" s="193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194"/>
      <c r="R163" s="195"/>
      <c r="S163" s="196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87"/>
      <c r="R164" s="187"/>
      <c r="S164" s="187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97"/>
      <c r="R165" s="197"/>
      <c r="S165" s="19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97"/>
      <c r="R166" s="197"/>
      <c r="S166" s="19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87"/>
      <c r="R167" s="187"/>
      <c r="S167" s="187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87"/>
      <c r="R168" s="187"/>
      <c r="S168" s="187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87"/>
      <c r="R169" s="187"/>
      <c r="S169" s="187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76"/>
      <c r="R170" s="177"/>
      <c r="S170" s="17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79"/>
      <c r="R171" s="180"/>
      <c r="S171" s="181"/>
    </row>
    <row r="172" spans="1:19" ht="17.25" thickBot="1">
      <c r="A172" s="132" t="s">
        <v>300</v>
      </c>
      <c r="B172" s="240">
        <f>$B$37</f>
        <v>100000</v>
      </c>
      <c r="C172" s="241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57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42" t="s">
        <v>55</v>
      </c>
      <c r="B177" s="238" t="str">
        <f>TEXT($G$1, "[$-ko-KR]yyyy-mm-dd(ddd) ") &amp; "오전 00:00"</f>
        <v>2021-06-01(화) 오전 00:00</v>
      </c>
      <c r="C177" s="239"/>
      <c r="D177" s="211" t="str">
        <f>TEXT($G$1, "[$-ko-KR]yyyy-mm-dd(ddd) ") &amp; "오후 14:00"</f>
        <v>2021-06-01(화) 오후 14:00</v>
      </c>
      <c r="E177" s="212"/>
      <c r="F177" s="213"/>
      <c r="G177" s="211" t="str">
        <f>TEXT($G$1, "[$-ko-KR]yyyy-mm-dd(ddd) ") &amp; "오후 19:00"</f>
        <v>2021-06-01(화) 오후 19:00</v>
      </c>
      <c r="H177" s="212"/>
      <c r="I177" s="213"/>
      <c r="J177" s="211" t="str">
        <f>TEXT($G$1, "[$-ko-KR]yyyy-mm-dd(ddd) ") &amp; "오후 21:00"</f>
        <v>2021-06-01(화) 오후 21:00</v>
      </c>
      <c r="K177" s="212"/>
      <c r="L177" s="213"/>
      <c r="M177" s="211" t="str">
        <f>TEXT($G$1+1, "[$-ko-KR]yyyy-mm-dd(ddd) ") &amp; "오전 00:00"</f>
        <v>2021-06-02(수) 오전 00:00</v>
      </c>
      <c r="N177" s="212"/>
      <c r="O177" s="213"/>
      <c r="Q177" s="197"/>
      <c r="R177" s="197"/>
      <c r="S177" s="197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97"/>
      <c r="R179" s="197"/>
      <c r="S179" s="19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97"/>
      <c r="R180" s="197"/>
      <c r="S180" s="19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87"/>
      <c r="R181" s="187"/>
      <c r="S181" s="187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87"/>
      <c r="R182" s="187"/>
      <c r="S182" s="187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87"/>
      <c r="R183" s="187"/>
      <c r="S183" s="187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87"/>
      <c r="R184" s="187"/>
      <c r="S184" s="187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87"/>
      <c r="R185" s="187"/>
      <c r="S185" s="187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87"/>
      <c r="R186" s="187"/>
      <c r="S186" s="187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88"/>
      <c r="R188" s="189"/>
      <c r="S188" s="190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91"/>
      <c r="R189" s="192"/>
      <c r="S189" s="193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194"/>
      <c r="R190" s="195"/>
      <c r="S190" s="196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87"/>
      <c r="R191" s="187"/>
      <c r="S191" s="187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97"/>
      <c r="R192" s="197"/>
      <c r="S192" s="19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97"/>
      <c r="R193" s="197"/>
      <c r="S193" s="19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87"/>
      <c r="R194" s="187"/>
      <c r="S194" s="187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87"/>
      <c r="R195" s="187"/>
      <c r="S195" s="187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87"/>
      <c r="R196" s="187"/>
      <c r="S196" s="187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76"/>
      <c r="R197" s="177"/>
      <c r="S197" s="17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79"/>
      <c r="R198" s="180"/>
      <c r="S198" s="181"/>
    </row>
    <row r="199" spans="1:19" ht="17.25" thickBot="1">
      <c r="A199" s="132" t="s">
        <v>300</v>
      </c>
      <c r="B199" s="240">
        <f>$B$37</f>
        <v>100000</v>
      </c>
      <c r="C199" s="241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82"/>
      <c r="R199" s="183"/>
      <c r="S199" s="1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44349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17" t="s">
        <v>3</v>
      </c>
      <c r="B2" s="232" t="s">
        <v>8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350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358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0"/>
      <c r="I3" s="221"/>
      <c r="J3" s="4" t="s">
        <v>7</v>
      </c>
      <c r="K3" s="223" t="s">
        <v>351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352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349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0"/>
      <c r="I5" s="221"/>
      <c r="J5" s="4" t="s">
        <v>15</v>
      </c>
      <c r="K5" s="223" t="s">
        <v>353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354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0"/>
      <c r="I7" s="221"/>
      <c r="J7" s="4" t="s">
        <v>21</v>
      </c>
      <c r="K7" s="223" t="s">
        <v>355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/>
      <c r="L8" s="224"/>
      <c r="M8" s="224"/>
      <c r="N8" s="224"/>
      <c r="O8" s="225"/>
      <c r="Q8" s="198" t="s">
        <v>27</v>
      </c>
      <c r="R8" s="200"/>
    </row>
    <row r="9" spans="1:19" ht="17.25" thickBot="1">
      <c r="A9" s="118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0"/>
      <c r="I9" s="221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 t="s">
        <v>356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16" t="s">
        <v>357</v>
      </c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0"/>
      <c r="I11" s="221"/>
      <c r="J11" s="7" t="s">
        <v>32</v>
      </c>
      <c r="K11" s="216" t="s">
        <v>348</v>
      </c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64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35" t="s">
        <v>39</v>
      </c>
      <c r="B15" s="236" t="str">
        <f>TEXT($G$1, "[$-ko-KR]yyyy-mm-dd(ddd) ") &amp; "오전 00:00"</f>
        <v>2021-06-02(수) 오전 00:00</v>
      </c>
      <c r="C15" s="237"/>
      <c r="D15" s="211" t="str">
        <f>TEXT($G$1, "[$-ko-KR]yyyy-mm-dd(ddd) ") &amp; "오후 14:00"</f>
        <v>2021-06-02(수) 오후 14:00</v>
      </c>
      <c r="E15" s="212"/>
      <c r="F15" s="213"/>
      <c r="G15" s="211" t="str">
        <f>TEXT($G$1, "[$-ko-KR]yyyy-mm-dd(ddd) ") &amp; "오후 19:00"</f>
        <v>2021-06-02(수) 오후 19:00</v>
      </c>
      <c r="H15" s="212"/>
      <c r="I15" s="213"/>
      <c r="J15" s="211" t="str">
        <f>TEXT($G$1, "[$-ko-KR]yyyy-mm-dd(ddd) ") &amp; "오후 21:00"</f>
        <v>2021-06-02(수) 오후 21:00</v>
      </c>
      <c r="K15" s="212"/>
      <c r="L15" s="213"/>
      <c r="M15" s="211" t="str">
        <f>TEXT($G$1+1, "[$-ko-KR]yyyy-mm-dd(ddd) ") &amp; "오전 00:00"</f>
        <v>2021-06-03(목) 오전 00:00</v>
      </c>
      <c r="N15" s="212"/>
      <c r="O15" s="213"/>
      <c r="Q15" s="197"/>
      <c r="R15" s="197"/>
      <c r="S15" s="197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197"/>
      <c r="R17" s="197"/>
      <c r="S17" s="19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197"/>
      <c r="R18" s="197"/>
      <c r="S18" s="19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87"/>
      <c r="R19" s="187"/>
      <c r="S19" s="187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87"/>
      <c r="R20" s="187"/>
      <c r="S20" s="187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87"/>
      <c r="R21" s="187"/>
      <c r="S21" s="187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87"/>
      <c r="R22" s="187"/>
      <c r="S22" s="18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8"/>
      <c r="R26" s="189"/>
      <c r="S26" s="19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1"/>
      <c r="R27" s="192"/>
      <c r="S27" s="19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4"/>
      <c r="R28" s="195"/>
      <c r="S28" s="19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64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42" t="s">
        <v>55</v>
      </c>
      <c r="B42" s="238" t="str">
        <f>TEXT($G$1, "[$-ko-KR]yyyy-mm-dd(ddd) ") &amp; "오전 00:00"</f>
        <v>2021-06-02(수) 오전 00:00</v>
      </c>
      <c r="C42" s="239"/>
      <c r="D42" s="211" t="str">
        <f>TEXT($G$1, "[$-ko-KR]yyyy-mm-dd(ddd) ") &amp; "오후 14:00"</f>
        <v>2021-06-02(수) 오후 14:00</v>
      </c>
      <c r="E42" s="212"/>
      <c r="F42" s="213"/>
      <c r="G42" s="211" t="str">
        <f>TEXT($G$1, "[$-ko-KR]yyyy-mm-dd(ddd) ") &amp; "오후 19:00"</f>
        <v>2021-06-02(수) 오후 19:00</v>
      </c>
      <c r="H42" s="212"/>
      <c r="I42" s="213"/>
      <c r="J42" s="211" t="str">
        <f>TEXT($G$1, "[$-ko-KR]yyyy-mm-dd(ddd) ") &amp; "오후 21:00"</f>
        <v>2021-06-02(수) 오후 21:00</v>
      </c>
      <c r="K42" s="212"/>
      <c r="L42" s="213"/>
      <c r="M42" s="211" t="str">
        <f>TEXT($G$1+1, "[$-ko-KR]yyyy-mm-dd(ddd) ") &amp; "오전 00:00"</f>
        <v>2021-06-03(목) 오전 00:00</v>
      </c>
      <c r="N42" s="212"/>
      <c r="O42" s="213"/>
      <c r="Q42" s="197"/>
      <c r="R42" s="197"/>
      <c r="S42" s="197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197"/>
      <c r="R44" s="197"/>
      <c r="S44" s="19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197"/>
      <c r="R45" s="197"/>
      <c r="S45" s="19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87"/>
      <c r="R46" s="187"/>
      <c r="S46" s="187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87"/>
      <c r="R47" s="187"/>
      <c r="S47" s="187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87"/>
      <c r="R48" s="187"/>
      <c r="S48" s="187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87"/>
      <c r="R49" s="187"/>
      <c r="S49" s="187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87"/>
      <c r="R50" s="187"/>
      <c r="S50" s="187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87"/>
      <c r="R51" s="187"/>
      <c r="S51" s="187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188"/>
      <c r="R53" s="189"/>
      <c r="S53" s="190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191"/>
      <c r="R54" s="192"/>
      <c r="S54" s="193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194"/>
      <c r="R55" s="195"/>
      <c r="S55" s="196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87"/>
      <c r="R56" s="187"/>
      <c r="S56" s="187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197"/>
      <c r="R57" s="197"/>
      <c r="S57" s="19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197"/>
      <c r="R58" s="197"/>
      <c r="S58" s="19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87"/>
      <c r="R59" s="187"/>
      <c r="S59" s="187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87"/>
      <c r="R60" s="187"/>
      <c r="S60" s="187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87"/>
      <c r="R61" s="187"/>
      <c r="S61" s="187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76"/>
      <c r="R62" s="177"/>
      <c r="S62" s="17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79"/>
      <c r="R63" s="180"/>
      <c r="S63" s="181"/>
    </row>
    <row r="64" spans="1:19" ht="17.25" customHeight="1" thickBot="1">
      <c r="A64" s="132" t="s">
        <v>300</v>
      </c>
      <c r="B64" s="240">
        <f>$B$37</f>
        <v>100000</v>
      </c>
      <c r="C64" s="241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64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42" t="s">
        <v>55</v>
      </c>
      <c r="B69" s="238" t="str">
        <f>TEXT($G$1, "[$-ko-KR]yyyy-mm-dd(ddd) ") &amp; "오전 00:00"</f>
        <v>2021-06-02(수) 오전 00:00</v>
      </c>
      <c r="C69" s="239"/>
      <c r="D69" s="211" t="str">
        <f>TEXT($G$1, "[$-ko-KR]yyyy-mm-dd(ddd) ") &amp; "오후 14:00"</f>
        <v>2021-06-02(수) 오후 14:00</v>
      </c>
      <c r="E69" s="212"/>
      <c r="F69" s="213"/>
      <c r="G69" s="211" t="str">
        <f>TEXT($G$1, "[$-ko-KR]yyyy-mm-dd(ddd) ") &amp; "오후 19:00"</f>
        <v>2021-06-02(수) 오후 19:00</v>
      </c>
      <c r="H69" s="212"/>
      <c r="I69" s="213"/>
      <c r="J69" s="211" t="str">
        <f>TEXT($G$1, "[$-ko-KR]yyyy-mm-dd(ddd) ") &amp; "오후 21:00"</f>
        <v>2021-06-02(수) 오후 21:00</v>
      </c>
      <c r="K69" s="212"/>
      <c r="L69" s="213"/>
      <c r="M69" s="211" t="str">
        <f>TEXT($G$1+1, "[$-ko-KR]yyyy-mm-dd(ddd) ") &amp; "오전 00:00"</f>
        <v>2021-06-03(목) 오전 00:00</v>
      </c>
      <c r="N69" s="212"/>
      <c r="O69" s="213"/>
      <c r="Q69" s="197"/>
      <c r="R69" s="197"/>
      <c r="S69" s="197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197"/>
      <c r="R71" s="197"/>
      <c r="S71" s="19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197"/>
      <c r="R72" s="197"/>
      <c r="S72" s="19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87"/>
      <c r="R73" s="187"/>
      <c r="S73" s="187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87"/>
      <c r="R74" s="187"/>
      <c r="S74" s="187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87"/>
      <c r="R75" s="187"/>
      <c r="S75" s="187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87"/>
      <c r="R76" s="187"/>
      <c r="S76" s="187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87"/>
      <c r="R77" s="187"/>
      <c r="S77" s="187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87"/>
      <c r="R78" s="187"/>
      <c r="S78" s="187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188"/>
      <c r="R80" s="189"/>
      <c r="S80" s="190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191"/>
      <c r="R81" s="192"/>
      <c r="S81" s="193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194"/>
      <c r="R82" s="195"/>
      <c r="S82" s="196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87"/>
      <c r="R83" s="187"/>
      <c r="S83" s="187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197"/>
      <c r="R84" s="197"/>
      <c r="S84" s="19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197"/>
      <c r="R85" s="197"/>
      <c r="S85" s="19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87"/>
      <c r="R86" s="187"/>
      <c r="S86" s="187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87"/>
      <c r="R87" s="187"/>
      <c r="S87" s="187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87"/>
      <c r="R88" s="187"/>
      <c r="S88" s="187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76"/>
      <c r="R89" s="177"/>
      <c r="S89" s="17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79"/>
      <c r="R90" s="180"/>
      <c r="S90" s="181"/>
    </row>
    <row r="91" spans="1:19" ht="17.25" thickBot="1">
      <c r="A91" s="132" t="s">
        <v>300</v>
      </c>
      <c r="B91" s="240">
        <f>$B$37</f>
        <v>100000</v>
      </c>
      <c r="C91" s="241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64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42" t="s">
        <v>55</v>
      </c>
      <c r="B96" s="238" t="str">
        <f>TEXT($G$1, "[$-ko-KR]yyyy-mm-dd(ddd) ") &amp; "오전 00:00"</f>
        <v>2021-06-02(수) 오전 00:00</v>
      </c>
      <c r="C96" s="239"/>
      <c r="D96" s="211" t="str">
        <f>TEXT($G$1, "[$-ko-KR]yyyy-mm-dd(ddd) ") &amp; "오후 14:00"</f>
        <v>2021-06-02(수) 오후 14:00</v>
      </c>
      <c r="E96" s="212"/>
      <c r="F96" s="213"/>
      <c r="G96" s="211" t="str">
        <f>TEXT($G$1, "[$-ko-KR]yyyy-mm-dd(ddd) ") &amp; "오후 19:00"</f>
        <v>2021-06-02(수) 오후 19:00</v>
      </c>
      <c r="H96" s="212"/>
      <c r="I96" s="213"/>
      <c r="J96" s="211" t="str">
        <f>TEXT($G$1, "[$-ko-KR]yyyy-mm-dd(ddd) ") &amp; "오후 21:00"</f>
        <v>2021-06-02(수) 오후 21:00</v>
      </c>
      <c r="K96" s="212"/>
      <c r="L96" s="213"/>
      <c r="M96" s="211" t="str">
        <f>TEXT($G$1+1, "[$-ko-KR]yyyy-mm-dd(ddd) ") &amp; "오전 00:00"</f>
        <v>2021-06-03(목) 오전 00:00</v>
      </c>
      <c r="N96" s="212"/>
      <c r="O96" s="213"/>
      <c r="Q96" s="197"/>
      <c r="R96" s="197"/>
      <c r="S96" s="197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197"/>
      <c r="R98" s="197"/>
      <c r="S98" s="19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197"/>
      <c r="R99" s="197"/>
      <c r="S99" s="19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87"/>
      <c r="R100" s="187"/>
      <c r="S100" s="187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87"/>
      <c r="R101" s="187"/>
      <c r="S101" s="187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87"/>
      <c r="R102" s="187"/>
      <c r="S102" s="187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87"/>
      <c r="R103" s="187"/>
      <c r="S103" s="187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87"/>
      <c r="R104" s="187"/>
      <c r="S104" s="187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87"/>
      <c r="R105" s="187"/>
      <c r="S105" s="187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188"/>
      <c r="R107" s="189"/>
      <c r="S107" s="190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191"/>
      <c r="R108" s="192"/>
      <c r="S108" s="193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194"/>
      <c r="R109" s="195"/>
      <c r="S109" s="196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87"/>
      <c r="R110" s="187"/>
      <c r="S110" s="187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197"/>
      <c r="R111" s="197"/>
      <c r="S111" s="19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197"/>
      <c r="R112" s="197"/>
      <c r="S112" s="19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87"/>
      <c r="R113" s="187"/>
      <c r="S113" s="187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87"/>
      <c r="R114" s="187"/>
      <c r="S114" s="187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87"/>
      <c r="R115" s="187"/>
      <c r="S115" s="187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76"/>
      <c r="R116" s="177"/>
      <c r="S116" s="17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79"/>
      <c r="R117" s="180"/>
      <c r="S117" s="181"/>
    </row>
    <row r="118" spans="1:19" ht="17.25" thickBot="1">
      <c r="A118" s="132" t="s">
        <v>300</v>
      </c>
      <c r="B118" s="240">
        <f>$B$37</f>
        <v>100000</v>
      </c>
      <c r="C118" s="241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64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42" t="s">
        <v>55</v>
      </c>
      <c r="B123" s="238" t="str">
        <f>TEXT($G$1, "[$-ko-KR]yyyy-mm-dd(ddd) ") &amp; "오전 00:00"</f>
        <v>2021-06-02(수) 오전 00:00</v>
      </c>
      <c r="C123" s="239"/>
      <c r="D123" s="211" t="str">
        <f>TEXT($G$1, "[$-ko-KR]yyyy-mm-dd(ddd) ") &amp; "오후 14:00"</f>
        <v>2021-06-02(수) 오후 14:00</v>
      </c>
      <c r="E123" s="212"/>
      <c r="F123" s="213"/>
      <c r="G123" s="211" t="str">
        <f>TEXT($G$1, "[$-ko-KR]yyyy-mm-dd(ddd) ") &amp; "오후 19:00"</f>
        <v>2021-06-02(수) 오후 19:00</v>
      </c>
      <c r="H123" s="212"/>
      <c r="I123" s="213"/>
      <c r="J123" s="211" t="str">
        <f>TEXT($G$1, "[$-ko-KR]yyyy-mm-dd(ddd) ") &amp; "오후 21:00"</f>
        <v>2021-06-02(수) 오후 21:00</v>
      </c>
      <c r="K123" s="212"/>
      <c r="L123" s="213"/>
      <c r="M123" s="211" t="str">
        <f>TEXT($G$1+1, "[$-ko-KR]yyyy-mm-dd(ddd) ") &amp; "오전 00:00"</f>
        <v>2021-06-03(목) 오전 00:00</v>
      </c>
      <c r="N123" s="212"/>
      <c r="O123" s="213"/>
      <c r="Q123" s="197"/>
      <c r="R123" s="197"/>
      <c r="S123" s="197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197"/>
      <c r="R125" s="197"/>
      <c r="S125" s="19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197"/>
      <c r="R126" s="197"/>
      <c r="S126" s="19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87"/>
      <c r="R127" s="187"/>
      <c r="S127" s="187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87"/>
      <c r="R128" s="187"/>
      <c r="S128" s="187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87"/>
      <c r="R129" s="187"/>
      <c r="S129" s="187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87"/>
      <c r="R130" s="187"/>
      <c r="S130" s="187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87"/>
      <c r="R131" s="187"/>
      <c r="S131" s="187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87"/>
      <c r="R132" s="187"/>
      <c r="S132" s="187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188"/>
      <c r="R134" s="189"/>
      <c r="S134" s="190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191"/>
      <c r="R135" s="192"/>
      <c r="S135" s="193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194"/>
      <c r="R136" s="195"/>
      <c r="S136" s="196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87"/>
      <c r="R137" s="187"/>
      <c r="S137" s="187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197"/>
      <c r="R138" s="197"/>
      <c r="S138" s="19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197"/>
      <c r="R139" s="197"/>
      <c r="S139" s="19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87"/>
      <c r="R140" s="187"/>
      <c r="S140" s="187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87"/>
      <c r="R141" s="187"/>
      <c r="S141" s="187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87"/>
      <c r="R142" s="187"/>
      <c r="S142" s="187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76"/>
      <c r="R143" s="177"/>
      <c r="S143" s="17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79"/>
      <c r="R144" s="180"/>
      <c r="S144" s="181"/>
    </row>
    <row r="145" spans="1:19" ht="17.25" thickBot="1">
      <c r="A145" s="132" t="s">
        <v>300</v>
      </c>
      <c r="B145" s="240">
        <f>$B$37</f>
        <v>100000</v>
      </c>
      <c r="C145" s="241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64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42" t="s">
        <v>55</v>
      </c>
      <c r="B150" s="238" t="str">
        <f>TEXT($G$1, "[$-ko-KR]yyyy-mm-dd(ddd) ") &amp; "오전 00:00"</f>
        <v>2021-06-02(수) 오전 00:00</v>
      </c>
      <c r="C150" s="239"/>
      <c r="D150" s="211" t="str">
        <f>TEXT($G$1, "[$-ko-KR]yyyy-mm-dd(ddd) ") &amp; "오후 14:00"</f>
        <v>2021-06-02(수) 오후 14:00</v>
      </c>
      <c r="E150" s="212"/>
      <c r="F150" s="213"/>
      <c r="G150" s="211" t="str">
        <f>TEXT($G$1, "[$-ko-KR]yyyy-mm-dd(ddd) ") &amp; "오후 19:00"</f>
        <v>2021-06-02(수) 오후 19:00</v>
      </c>
      <c r="H150" s="212"/>
      <c r="I150" s="213"/>
      <c r="J150" s="211" t="str">
        <f>TEXT($G$1, "[$-ko-KR]yyyy-mm-dd(ddd) ") &amp; "오후 21:00"</f>
        <v>2021-06-02(수) 오후 21:00</v>
      </c>
      <c r="K150" s="212"/>
      <c r="L150" s="213"/>
      <c r="M150" s="211" t="str">
        <f>TEXT($G$1+1, "[$-ko-KR]yyyy-mm-dd(ddd) ") &amp; "오전 00:00"</f>
        <v>2021-06-03(목) 오전 00:00</v>
      </c>
      <c r="N150" s="212"/>
      <c r="O150" s="213"/>
      <c r="Q150" s="197"/>
      <c r="R150" s="197"/>
      <c r="S150" s="197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197"/>
      <c r="R152" s="197"/>
      <c r="S152" s="19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197"/>
      <c r="R153" s="197"/>
      <c r="S153" s="19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87"/>
      <c r="R154" s="187"/>
      <c r="S154" s="187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87"/>
      <c r="R155" s="187"/>
      <c r="S155" s="187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87"/>
      <c r="R156" s="187"/>
      <c r="S156" s="187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87"/>
      <c r="R157" s="187"/>
      <c r="S157" s="187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87"/>
      <c r="R158" s="187"/>
      <c r="S158" s="187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87"/>
      <c r="R159" s="187"/>
      <c r="S159" s="187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188"/>
      <c r="R161" s="189"/>
      <c r="S161" s="190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191"/>
      <c r="R162" s="192"/>
      <c r="S162" s="193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194"/>
      <c r="R163" s="195"/>
      <c r="S163" s="196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87"/>
      <c r="R164" s="187"/>
      <c r="S164" s="187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197"/>
      <c r="R165" s="197"/>
      <c r="S165" s="19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197"/>
      <c r="R166" s="197"/>
      <c r="S166" s="19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87"/>
      <c r="R167" s="187"/>
      <c r="S167" s="187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87"/>
      <c r="R168" s="187"/>
      <c r="S168" s="187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87"/>
      <c r="R169" s="187"/>
      <c r="S169" s="187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76"/>
      <c r="R170" s="177"/>
      <c r="S170" s="17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79"/>
      <c r="R171" s="180"/>
      <c r="S171" s="181"/>
    </row>
    <row r="172" spans="1:19" ht="17.25" thickBot="1">
      <c r="A172" s="132" t="s">
        <v>300</v>
      </c>
      <c r="B172" s="240">
        <f>$B$37</f>
        <v>100000</v>
      </c>
      <c r="C172" s="241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64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42" t="s">
        <v>55</v>
      </c>
      <c r="B177" s="238" t="str">
        <f>TEXT($G$1, "[$-ko-KR]yyyy-mm-dd(ddd) ") &amp; "오전 00:00"</f>
        <v>2021-06-02(수) 오전 00:00</v>
      </c>
      <c r="C177" s="239"/>
      <c r="D177" s="211" t="str">
        <f>TEXT($G$1, "[$-ko-KR]yyyy-mm-dd(ddd) ") &amp; "오후 14:00"</f>
        <v>2021-06-02(수) 오후 14:00</v>
      </c>
      <c r="E177" s="212"/>
      <c r="F177" s="213"/>
      <c r="G177" s="211" t="str">
        <f>TEXT($G$1, "[$-ko-KR]yyyy-mm-dd(ddd) ") &amp; "오후 19:00"</f>
        <v>2021-06-02(수) 오후 19:00</v>
      </c>
      <c r="H177" s="212"/>
      <c r="I177" s="213"/>
      <c r="J177" s="211" t="str">
        <f>TEXT($G$1, "[$-ko-KR]yyyy-mm-dd(ddd) ") &amp; "오후 21:00"</f>
        <v>2021-06-02(수) 오후 21:00</v>
      </c>
      <c r="K177" s="212"/>
      <c r="L177" s="213"/>
      <c r="M177" s="211" t="str">
        <f>TEXT($G$1+1, "[$-ko-KR]yyyy-mm-dd(ddd) ") &amp; "오전 00:00"</f>
        <v>2021-06-03(목) 오전 00:00</v>
      </c>
      <c r="N177" s="212"/>
      <c r="O177" s="213"/>
      <c r="Q177" s="197"/>
      <c r="R177" s="197"/>
      <c r="S177" s="197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197"/>
      <c r="R179" s="197"/>
      <c r="S179" s="19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197"/>
      <c r="R180" s="197"/>
      <c r="S180" s="19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87"/>
      <c r="R181" s="187"/>
      <c r="S181" s="187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87"/>
      <c r="R182" s="187"/>
      <c r="S182" s="187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87"/>
      <c r="R183" s="187"/>
      <c r="S183" s="187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87"/>
      <c r="R184" s="187"/>
      <c r="S184" s="187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87"/>
      <c r="R185" s="187"/>
      <c r="S185" s="187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87"/>
      <c r="R186" s="187"/>
      <c r="S186" s="187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188"/>
      <c r="R188" s="189"/>
      <c r="S188" s="190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191"/>
      <c r="R189" s="192"/>
      <c r="S189" s="193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194"/>
      <c r="R190" s="195"/>
      <c r="S190" s="196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87"/>
      <c r="R191" s="187"/>
      <c r="S191" s="187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197"/>
      <c r="R192" s="197"/>
      <c r="S192" s="19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197"/>
      <c r="R193" s="197"/>
      <c r="S193" s="19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87"/>
      <c r="R194" s="187"/>
      <c r="S194" s="187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87"/>
      <c r="R195" s="187"/>
      <c r="S195" s="187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87"/>
      <c r="R196" s="187"/>
      <c r="S196" s="187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76"/>
      <c r="R197" s="177"/>
      <c r="S197" s="17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79"/>
      <c r="R198" s="180"/>
      <c r="S198" s="181"/>
    </row>
    <row r="199" spans="1:19" ht="17.25" thickBot="1">
      <c r="A199" s="132" t="s">
        <v>300</v>
      </c>
      <c r="B199" s="240">
        <f>$B$37</f>
        <v>100000</v>
      </c>
      <c r="C199" s="241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82"/>
      <c r="R199" s="183"/>
      <c r="S199" s="1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44350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17" t="s">
        <v>3</v>
      </c>
      <c r="B2" s="232" t="s">
        <v>8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350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358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0"/>
      <c r="I3" s="221"/>
      <c r="J3" s="4" t="s">
        <v>7</v>
      </c>
      <c r="K3" s="223" t="s">
        <v>351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352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349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0"/>
      <c r="I5" s="221"/>
      <c r="J5" s="4" t="s">
        <v>15</v>
      </c>
      <c r="K5" s="223" t="s">
        <v>353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354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0"/>
      <c r="I7" s="221"/>
      <c r="J7" s="4" t="s">
        <v>21</v>
      </c>
      <c r="K7" s="223" t="s">
        <v>355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/>
      <c r="L8" s="224"/>
      <c r="M8" s="224"/>
      <c r="N8" s="224"/>
      <c r="O8" s="225"/>
      <c r="Q8" s="198" t="s">
        <v>27</v>
      </c>
      <c r="R8" s="200"/>
    </row>
    <row r="9" spans="1:19" ht="17.25" thickBot="1">
      <c r="A9" s="118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0"/>
      <c r="I9" s="221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 t="s">
        <v>356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16" t="s">
        <v>357</v>
      </c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0"/>
      <c r="I11" s="221"/>
      <c r="J11" s="7" t="s">
        <v>32</v>
      </c>
      <c r="K11" s="216" t="s">
        <v>348</v>
      </c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68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35" t="s">
        <v>39</v>
      </c>
      <c r="B15" s="236" t="str">
        <f>TEXT($G$1, "[$-ko-KR]yyyy-mm-dd(ddd) ") &amp; "오전 00:00"</f>
        <v>2021-06-03(목) 오전 00:00</v>
      </c>
      <c r="C15" s="237"/>
      <c r="D15" s="211" t="str">
        <f>TEXT($G$1, "[$-ko-KR]yyyy-mm-dd(ddd) ") &amp; "오후 14:00"</f>
        <v>2021-06-03(목) 오후 14:00</v>
      </c>
      <c r="E15" s="212"/>
      <c r="F15" s="213"/>
      <c r="G15" s="211" t="str">
        <f>TEXT($G$1, "[$-ko-KR]yyyy-mm-dd(ddd) ") &amp; "오후 19:00"</f>
        <v>2021-06-03(목) 오후 19:00</v>
      </c>
      <c r="H15" s="212"/>
      <c r="I15" s="213"/>
      <c r="J15" s="211" t="str">
        <f>TEXT($G$1, "[$-ko-KR]yyyy-mm-dd(ddd) ") &amp; "오후 21:00"</f>
        <v>2021-06-03(목) 오후 21:00</v>
      </c>
      <c r="K15" s="212"/>
      <c r="L15" s="213"/>
      <c r="M15" s="211" t="str">
        <f>TEXT($G$1+1, "[$-ko-KR]yyyy-mm-dd(ddd) ") &amp; "오전 00:00"</f>
        <v>2021-06-04(금) 오전 00:00</v>
      </c>
      <c r="N15" s="212"/>
      <c r="O15" s="213"/>
      <c r="Q15" s="197"/>
      <c r="R15" s="197"/>
      <c r="S15" s="197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197"/>
      <c r="R17" s="197"/>
      <c r="S17" s="19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197"/>
      <c r="R18" s="197"/>
      <c r="S18" s="19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187"/>
      <c r="R19" s="187"/>
      <c r="S19" s="187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187"/>
      <c r="R20" s="187"/>
      <c r="S20" s="187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187"/>
      <c r="R21" s="187"/>
      <c r="S21" s="187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187"/>
      <c r="R22" s="187"/>
      <c r="S22" s="187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187"/>
      <c r="R23" s="187"/>
      <c r="S23" s="187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187"/>
      <c r="R24" s="187"/>
      <c r="S24" s="187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188"/>
      <c r="R26" s="189"/>
      <c r="S26" s="190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191"/>
      <c r="R27" s="192"/>
      <c r="S27" s="193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194"/>
      <c r="R28" s="195"/>
      <c r="S28" s="196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187"/>
      <c r="R29" s="187"/>
      <c r="S29" s="187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197"/>
      <c r="R30" s="197"/>
      <c r="S30" s="19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197"/>
      <c r="R31" s="197"/>
      <c r="S31" s="19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187"/>
      <c r="R32" s="187"/>
      <c r="S32" s="18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68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42" t="s">
        <v>55</v>
      </c>
      <c r="B42" s="238" t="str">
        <f>TEXT($G$1, "[$-ko-KR]yyyy-mm-dd(ddd) ") &amp; "오전 00:00"</f>
        <v>2021-06-03(목) 오전 00:00</v>
      </c>
      <c r="C42" s="239"/>
      <c r="D42" s="211" t="str">
        <f>TEXT($G$1, "[$-ko-KR]yyyy-mm-dd(ddd) ") &amp; "오후 14:00"</f>
        <v>2021-06-03(목) 오후 14:00</v>
      </c>
      <c r="E42" s="212"/>
      <c r="F42" s="213"/>
      <c r="G42" s="211" t="str">
        <f>TEXT($G$1, "[$-ko-KR]yyyy-mm-dd(ddd) ") &amp; "오후 19:00"</f>
        <v>2021-06-03(목) 오후 19:00</v>
      </c>
      <c r="H42" s="212"/>
      <c r="I42" s="213"/>
      <c r="J42" s="211" t="str">
        <f>TEXT($G$1, "[$-ko-KR]yyyy-mm-dd(ddd) ") &amp; "오후 21:00"</f>
        <v>2021-06-03(목) 오후 21:00</v>
      </c>
      <c r="K42" s="212"/>
      <c r="L42" s="213"/>
      <c r="M42" s="211" t="str">
        <f>TEXT($G$1+1, "[$-ko-KR]yyyy-mm-dd(ddd) ") &amp; "오전 00:00"</f>
        <v>2021-06-04(금) 오전 00:00</v>
      </c>
      <c r="N42" s="212"/>
      <c r="O42" s="213"/>
      <c r="Q42" s="197"/>
      <c r="R42" s="197"/>
      <c r="S42" s="197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197"/>
      <c r="R44" s="197"/>
      <c r="S44" s="19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197"/>
      <c r="R45" s="197"/>
      <c r="S45" s="19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187"/>
      <c r="R46" s="187"/>
      <c r="S46" s="187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187"/>
      <c r="R47" s="187"/>
      <c r="S47" s="187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187"/>
      <c r="R48" s="187"/>
      <c r="S48" s="187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187"/>
      <c r="R49" s="187"/>
      <c r="S49" s="187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187"/>
      <c r="R50" s="187"/>
      <c r="S50" s="187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187"/>
      <c r="R51" s="187"/>
      <c r="S51" s="187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188"/>
      <c r="R53" s="189"/>
      <c r="S53" s="190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191"/>
      <c r="R54" s="192"/>
      <c r="S54" s="193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194"/>
      <c r="R55" s="195"/>
      <c r="S55" s="196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187"/>
      <c r="R56" s="187"/>
      <c r="S56" s="187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197"/>
      <c r="R57" s="197"/>
      <c r="S57" s="19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197"/>
      <c r="R58" s="197"/>
      <c r="S58" s="19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187"/>
      <c r="R59" s="187"/>
      <c r="S59" s="187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187"/>
      <c r="R60" s="187"/>
      <c r="S60" s="187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187"/>
      <c r="R61" s="187"/>
      <c r="S61" s="187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76"/>
      <c r="R62" s="177"/>
      <c r="S62" s="17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79"/>
      <c r="R63" s="180"/>
      <c r="S63" s="181"/>
    </row>
    <row r="64" spans="1:19" ht="17.25" customHeight="1" thickBot="1">
      <c r="A64" s="132" t="s">
        <v>300</v>
      </c>
      <c r="B64" s="240">
        <f>$B$37</f>
        <v>100000</v>
      </c>
      <c r="C64" s="241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68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42" t="s">
        <v>55</v>
      </c>
      <c r="B69" s="238" t="str">
        <f>TEXT($G$1, "[$-ko-KR]yyyy-mm-dd(ddd) ") &amp; "오전 00:00"</f>
        <v>2021-06-03(목) 오전 00:00</v>
      </c>
      <c r="C69" s="239"/>
      <c r="D69" s="211" t="str">
        <f>TEXT($G$1, "[$-ko-KR]yyyy-mm-dd(ddd) ") &amp; "오후 14:00"</f>
        <v>2021-06-03(목) 오후 14:00</v>
      </c>
      <c r="E69" s="212"/>
      <c r="F69" s="213"/>
      <c r="G69" s="211" t="str">
        <f>TEXT($G$1, "[$-ko-KR]yyyy-mm-dd(ddd) ") &amp; "오후 19:00"</f>
        <v>2021-06-03(목) 오후 19:00</v>
      </c>
      <c r="H69" s="212"/>
      <c r="I69" s="213"/>
      <c r="J69" s="211" t="str">
        <f>TEXT($G$1, "[$-ko-KR]yyyy-mm-dd(ddd) ") &amp; "오후 21:00"</f>
        <v>2021-06-03(목) 오후 21:00</v>
      </c>
      <c r="K69" s="212"/>
      <c r="L69" s="213"/>
      <c r="M69" s="211" t="str">
        <f>TEXT($G$1+1, "[$-ko-KR]yyyy-mm-dd(ddd) ") &amp; "오전 00:00"</f>
        <v>2021-06-04(금) 오전 00:00</v>
      </c>
      <c r="N69" s="212"/>
      <c r="O69" s="213"/>
      <c r="Q69" s="197"/>
      <c r="R69" s="197"/>
      <c r="S69" s="197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197"/>
      <c r="R71" s="197"/>
      <c r="S71" s="19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197"/>
      <c r="R72" s="197"/>
      <c r="S72" s="19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187"/>
      <c r="R73" s="187"/>
      <c r="S73" s="187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187"/>
      <c r="R74" s="187"/>
      <c r="S74" s="187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187"/>
      <c r="R75" s="187"/>
      <c r="S75" s="187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187"/>
      <c r="R76" s="187"/>
      <c r="S76" s="187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187"/>
      <c r="R77" s="187"/>
      <c r="S77" s="187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187"/>
      <c r="R78" s="187"/>
      <c r="S78" s="187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188"/>
      <c r="R80" s="189"/>
      <c r="S80" s="190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191"/>
      <c r="R81" s="192"/>
      <c r="S81" s="193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194"/>
      <c r="R82" s="195"/>
      <c r="S82" s="196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187"/>
      <c r="R83" s="187"/>
      <c r="S83" s="187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197"/>
      <c r="R84" s="197"/>
      <c r="S84" s="19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197"/>
      <c r="R85" s="197"/>
      <c r="S85" s="19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187"/>
      <c r="R86" s="187"/>
      <c r="S86" s="187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187"/>
      <c r="R87" s="187"/>
      <c r="S87" s="187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187"/>
      <c r="R88" s="187"/>
      <c r="S88" s="187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76"/>
      <c r="R89" s="177"/>
      <c r="S89" s="17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79"/>
      <c r="R90" s="180"/>
      <c r="S90" s="181"/>
    </row>
    <row r="91" spans="1:19" ht="17.25" thickBot="1">
      <c r="A91" s="132" t="s">
        <v>300</v>
      </c>
      <c r="B91" s="240">
        <f>$B$37</f>
        <v>100000</v>
      </c>
      <c r="C91" s="241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68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42" t="s">
        <v>55</v>
      </c>
      <c r="B96" s="238" t="str">
        <f>TEXT($G$1, "[$-ko-KR]yyyy-mm-dd(ddd) ") &amp; "오전 00:00"</f>
        <v>2021-06-03(목) 오전 00:00</v>
      </c>
      <c r="C96" s="239"/>
      <c r="D96" s="211" t="str">
        <f>TEXT($G$1, "[$-ko-KR]yyyy-mm-dd(ddd) ") &amp; "오후 14:00"</f>
        <v>2021-06-03(목) 오후 14:00</v>
      </c>
      <c r="E96" s="212"/>
      <c r="F96" s="213"/>
      <c r="G96" s="211" t="str">
        <f>TEXT($G$1, "[$-ko-KR]yyyy-mm-dd(ddd) ") &amp; "오후 19:00"</f>
        <v>2021-06-03(목) 오후 19:00</v>
      </c>
      <c r="H96" s="212"/>
      <c r="I96" s="213"/>
      <c r="J96" s="211" t="str">
        <f>TEXT($G$1, "[$-ko-KR]yyyy-mm-dd(ddd) ") &amp; "오후 21:00"</f>
        <v>2021-06-03(목) 오후 21:00</v>
      </c>
      <c r="K96" s="212"/>
      <c r="L96" s="213"/>
      <c r="M96" s="211" t="str">
        <f>TEXT($G$1+1, "[$-ko-KR]yyyy-mm-dd(ddd) ") &amp; "오전 00:00"</f>
        <v>2021-06-04(금) 오전 00:00</v>
      </c>
      <c r="N96" s="212"/>
      <c r="O96" s="213"/>
      <c r="Q96" s="197"/>
      <c r="R96" s="197"/>
      <c r="S96" s="197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197"/>
      <c r="R98" s="197"/>
      <c r="S98" s="19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197"/>
      <c r="R99" s="197"/>
      <c r="S99" s="19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187"/>
      <c r="R100" s="187"/>
      <c r="S100" s="187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187"/>
      <c r="R101" s="187"/>
      <c r="S101" s="187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187"/>
      <c r="R102" s="187"/>
      <c r="S102" s="187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187"/>
      <c r="R103" s="187"/>
      <c r="S103" s="187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187"/>
      <c r="R104" s="187"/>
      <c r="S104" s="187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187"/>
      <c r="R105" s="187"/>
      <c r="S105" s="187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188"/>
      <c r="R107" s="189"/>
      <c r="S107" s="190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191"/>
      <c r="R108" s="192"/>
      <c r="S108" s="193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194"/>
      <c r="R109" s="195"/>
      <c r="S109" s="196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187"/>
      <c r="R110" s="187"/>
      <c r="S110" s="187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197"/>
      <c r="R111" s="197"/>
      <c r="S111" s="19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197"/>
      <c r="R112" s="197"/>
      <c r="S112" s="19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187"/>
      <c r="R113" s="187"/>
      <c r="S113" s="187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187"/>
      <c r="R114" s="187"/>
      <c r="S114" s="187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187"/>
      <c r="R115" s="187"/>
      <c r="S115" s="187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76"/>
      <c r="R116" s="177"/>
      <c r="S116" s="17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79"/>
      <c r="R117" s="180"/>
      <c r="S117" s="181"/>
    </row>
    <row r="118" spans="1:19" ht="17.25" thickBot="1">
      <c r="A118" s="132" t="s">
        <v>300</v>
      </c>
      <c r="B118" s="240">
        <f>$B$37</f>
        <v>100000</v>
      </c>
      <c r="C118" s="241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68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42" t="s">
        <v>55</v>
      </c>
      <c r="B123" s="238" t="str">
        <f>TEXT($G$1, "[$-ko-KR]yyyy-mm-dd(ddd) ") &amp; "오전 00:00"</f>
        <v>2021-06-03(목) 오전 00:00</v>
      </c>
      <c r="C123" s="239"/>
      <c r="D123" s="211" t="str">
        <f>TEXT($G$1, "[$-ko-KR]yyyy-mm-dd(ddd) ") &amp; "오후 14:00"</f>
        <v>2021-06-03(목) 오후 14:00</v>
      </c>
      <c r="E123" s="212"/>
      <c r="F123" s="213"/>
      <c r="G123" s="211" t="str">
        <f>TEXT($G$1, "[$-ko-KR]yyyy-mm-dd(ddd) ") &amp; "오후 19:00"</f>
        <v>2021-06-03(목) 오후 19:00</v>
      </c>
      <c r="H123" s="212"/>
      <c r="I123" s="213"/>
      <c r="J123" s="211" t="str">
        <f>TEXT($G$1, "[$-ko-KR]yyyy-mm-dd(ddd) ") &amp; "오후 21:00"</f>
        <v>2021-06-03(목) 오후 21:00</v>
      </c>
      <c r="K123" s="212"/>
      <c r="L123" s="213"/>
      <c r="M123" s="211" t="str">
        <f>TEXT($G$1+1, "[$-ko-KR]yyyy-mm-dd(ddd) ") &amp; "오전 00:00"</f>
        <v>2021-06-04(금) 오전 00:00</v>
      </c>
      <c r="N123" s="212"/>
      <c r="O123" s="213"/>
      <c r="Q123" s="197"/>
      <c r="R123" s="197"/>
      <c r="S123" s="197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197"/>
      <c r="R125" s="197"/>
      <c r="S125" s="19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197"/>
      <c r="R126" s="197"/>
      <c r="S126" s="19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187"/>
      <c r="R127" s="187"/>
      <c r="S127" s="187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187"/>
      <c r="R128" s="187"/>
      <c r="S128" s="187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187"/>
      <c r="R129" s="187"/>
      <c r="S129" s="187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187"/>
      <c r="R130" s="187"/>
      <c r="S130" s="187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187"/>
      <c r="R131" s="187"/>
      <c r="S131" s="187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187"/>
      <c r="R132" s="187"/>
      <c r="S132" s="187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188"/>
      <c r="R134" s="189"/>
      <c r="S134" s="190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191"/>
      <c r="R135" s="192"/>
      <c r="S135" s="193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194"/>
      <c r="R136" s="195"/>
      <c r="S136" s="196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187"/>
      <c r="R137" s="187"/>
      <c r="S137" s="187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197"/>
      <c r="R138" s="197"/>
      <c r="S138" s="19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197"/>
      <c r="R139" s="197"/>
      <c r="S139" s="19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187"/>
      <c r="R140" s="187"/>
      <c r="S140" s="187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187"/>
      <c r="R141" s="187"/>
      <c r="S141" s="187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187"/>
      <c r="R142" s="187"/>
      <c r="S142" s="187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76"/>
      <c r="R143" s="177"/>
      <c r="S143" s="17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79"/>
      <c r="R144" s="180"/>
      <c r="S144" s="181"/>
    </row>
    <row r="145" spans="1:19" ht="17.25" thickBot="1">
      <c r="A145" s="132" t="s">
        <v>300</v>
      </c>
      <c r="B145" s="240">
        <f>$B$37</f>
        <v>100000</v>
      </c>
      <c r="C145" s="241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68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42" t="s">
        <v>55</v>
      </c>
      <c r="B150" s="238" t="str">
        <f>TEXT($G$1, "[$-ko-KR]yyyy-mm-dd(ddd) ") &amp; "오전 00:00"</f>
        <v>2021-06-03(목) 오전 00:00</v>
      </c>
      <c r="C150" s="239"/>
      <c r="D150" s="211" t="str">
        <f>TEXT($G$1, "[$-ko-KR]yyyy-mm-dd(ddd) ") &amp; "오후 14:00"</f>
        <v>2021-06-03(목) 오후 14:00</v>
      </c>
      <c r="E150" s="212"/>
      <c r="F150" s="213"/>
      <c r="G150" s="211" t="str">
        <f>TEXT($G$1, "[$-ko-KR]yyyy-mm-dd(ddd) ") &amp; "오후 19:00"</f>
        <v>2021-06-03(목) 오후 19:00</v>
      </c>
      <c r="H150" s="212"/>
      <c r="I150" s="213"/>
      <c r="J150" s="211" t="str">
        <f>TEXT($G$1, "[$-ko-KR]yyyy-mm-dd(ddd) ") &amp; "오후 21:00"</f>
        <v>2021-06-03(목) 오후 21:00</v>
      </c>
      <c r="K150" s="212"/>
      <c r="L150" s="213"/>
      <c r="M150" s="211" t="str">
        <f>TEXT($G$1+1, "[$-ko-KR]yyyy-mm-dd(ddd) ") &amp; "오전 00:00"</f>
        <v>2021-06-04(금) 오전 00:00</v>
      </c>
      <c r="N150" s="212"/>
      <c r="O150" s="213"/>
      <c r="Q150" s="197"/>
      <c r="R150" s="197"/>
      <c r="S150" s="197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197"/>
      <c r="R152" s="197"/>
      <c r="S152" s="19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197"/>
      <c r="R153" s="197"/>
      <c r="S153" s="19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187"/>
      <c r="R154" s="187"/>
      <c r="S154" s="187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187"/>
      <c r="R155" s="187"/>
      <c r="S155" s="187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187"/>
      <c r="R156" s="187"/>
      <c r="S156" s="187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187"/>
      <c r="R157" s="187"/>
      <c r="S157" s="187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187"/>
      <c r="R158" s="187"/>
      <c r="S158" s="187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187"/>
      <c r="R159" s="187"/>
      <c r="S159" s="187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188"/>
      <c r="R161" s="189"/>
      <c r="S161" s="190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191"/>
      <c r="R162" s="192"/>
      <c r="S162" s="193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194"/>
      <c r="R163" s="195"/>
      <c r="S163" s="196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187"/>
      <c r="R164" s="187"/>
      <c r="S164" s="187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197"/>
      <c r="R165" s="197"/>
      <c r="S165" s="19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197"/>
      <c r="R166" s="197"/>
      <c r="S166" s="19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187"/>
      <c r="R167" s="187"/>
      <c r="S167" s="187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187"/>
      <c r="R168" s="187"/>
      <c r="S168" s="187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187"/>
      <c r="R169" s="187"/>
      <c r="S169" s="187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76"/>
      <c r="R170" s="177"/>
      <c r="S170" s="17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79"/>
      <c r="R171" s="180"/>
      <c r="S171" s="181"/>
    </row>
    <row r="172" spans="1:19" ht="17.25" thickBot="1">
      <c r="A172" s="132" t="s">
        <v>300</v>
      </c>
      <c r="B172" s="240">
        <f>$B$37</f>
        <v>100000</v>
      </c>
      <c r="C172" s="241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68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42" t="s">
        <v>55</v>
      </c>
      <c r="B177" s="238" t="str">
        <f>TEXT($G$1, "[$-ko-KR]yyyy-mm-dd(ddd) ") &amp; "오전 00:00"</f>
        <v>2021-06-03(목) 오전 00:00</v>
      </c>
      <c r="C177" s="239"/>
      <c r="D177" s="211" t="str">
        <f>TEXT($G$1, "[$-ko-KR]yyyy-mm-dd(ddd) ") &amp; "오후 14:00"</f>
        <v>2021-06-03(목) 오후 14:00</v>
      </c>
      <c r="E177" s="212"/>
      <c r="F177" s="213"/>
      <c r="G177" s="211" t="str">
        <f>TEXT($G$1, "[$-ko-KR]yyyy-mm-dd(ddd) ") &amp; "오후 19:00"</f>
        <v>2021-06-03(목) 오후 19:00</v>
      </c>
      <c r="H177" s="212"/>
      <c r="I177" s="213"/>
      <c r="J177" s="211" t="str">
        <f>TEXT($G$1, "[$-ko-KR]yyyy-mm-dd(ddd) ") &amp; "오후 21:00"</f>
        <v>2021-06-03(목) 오후 21:00</v>
      </c>
      <c r="K177" s="212"/>
      <c r="L177" s="213"/>
      <c r="M177" s="211" t="str">
        <f>TEXT($G$1+1, "[$-ko-KR]yyyy-mm-dd(ddd) ") &amp; "오전 00:00"</f>
        <v>2021-06-04(금) 오전 00:00</v>
      </c>
      <c r="N177" s="212"/>
      <c r="O177" s="213"/>
      <c r="Q177" s="197"/>
      <c r="R177" s="197"/>
      <c r="S177" s="197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197"/>
      <c r="R179" s="197"/>
      <c r="S179" s="19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197"/>
      <c r="R180" s="197"/>
      <c r="S180" s="19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187"/>
      <c r="R181" s="187"/>
      <c r="S181" s="187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187"/>
      <c r="R182" s="187"/>
      <c r="S182" s="187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187"/>
      <c r="R183" s="187"/>
      <c r="S183" s="187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187"/>
      <c r="R184" s="187"/>
      <c r="S184" s="187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187"/>
      <c r="R185" s="187"/>
      <c r="S185" s="187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187"/>
      <c r="R186" s="187"/>
      <c r="S186" s="187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188"/>
      <c r="R188" s="189"/>
      <c r="S188" s="190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191"/>
      <c r="R189" s="192"/>
      <c r="S189" s="193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194"/>
      <c r="R190" s="195"/>
      <c r="S190" s="196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187"/>
      <c r="R191" s="187"/>
      <c r="S191" s="187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197"/>
      <c r="R192" s="197"/>
      <c r="S192" s="19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197"/>
      <c r="R193" s="197"/>
      <c r="S193" s="19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187"/>
      <c r="R194" s="187"/>
      <c r="S194" s="187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187"/>
      <c r="R195" s="187"/>
      <c r="S195" s="187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187"/>
      <c r="R196" s="187"/>
      <c r="S196" s="187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76"/>
      <c r="R197" s="177"/>
      <c r="S197" s="17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79"/>
      <c r="R198" s="180"/>
      <c r="S198" s="181"/>
    </row>
    <row r="199" spans="1:19" ht="17.25" thickBot="1">
      <c r="A199" s="132" t="s">
        <v>300</v>
      </c>
      <c r="B199" s="240">
        <f>$B$37</f>
        <v>100000</v>
      </c>
      <c r="C199" s="241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182"/>
      <c r="R199" s="183"/>
      <c r="S199" s="1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8" t="s">
        <v>0</v>
      </c>
      <c r="B1" s="199"/>
      <c r="C1" s="199"/>
      <c r="D1" s="199"/>
      <c r="E1" s="199"/>
      <c r="F1" s="200"/>
      <c r="G1" s="229">
        <v>44351</v>
      </c>
      <c r="H1" s="230"/>
      <c r="I1" s="231"/>
      <c r="J1" s="198" t="s">
        <v>1</v>
      </c>
      <c r="K1" s="199"/>
      <c r="L1" s="199"/>
      <c r="M1" s="199"/>
      <c r="N1" s="199"/>
      <c r="O1" s="200"/>
      <c r="Q1" s="198" t="s">
        <v>2</v>
      </c>
      <c r="R1" s="200"/>
    </row>
    <row r="2" spans="1:19" ht="17.25" customHeight="1">
      <c r="A2" s="117" t="s">
        <v>3</v>
      </c>
      <c r="B2" s="232" t="s">
        <v>8</v>
      </c>
      <c r="C2" s="233"/>
      <c r="D2" s="233"/>
      <c r="E2" s="233"/>
      <c r="F2" s="234"/>
      <c r="G2" s="226" t="s">
        <v>46</v>
      </c>
      <c r="H2" s="227"/>
      <c r="I2" s="228"/>
      <c r="J2" s="1" t="s">
        <v>3</v>
      </c>
      <c r="K2" s="232" t="s">
        <v>350</v>
      </c>
      <c r="L2" s="233"/>
      <c r="M2" s="233"/>
      <c r="N2" s="233"/>
      <c r="O2" s="234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358</v>
      </c>
      <c r="C3" s="224"/>
      <c r="D3" s="224"/>
      <c r="E3" s="224"/>
      <c r="F3" s="225"/>
      <c r="G3" s="21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-185,716 KRW (-9.29%)</v>
      </c>
      <c r="H3" s="220"/>
      <c r="I3" s="221"/>
      <c r="J3" s="4" t="s">
        <v>7</v>
      </c>
      <c r="K3" s="223" t="s">
        <v>351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6" t="s">
        <v>44</v>
      </c>
      <c r="H4" s="227"/>
      <c r="I4" s="228"/>
      <c r="J4" s="4" t="s">
        <v>11</v>
      </c>
      <c r="K4" s="223" t="s">
        <v>352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349</v>
      </c>
      <c r="C5" s="224"/>
      <c r="D5" s="224"/>
      <c r="E5" s="224"/>
      <c r="F5" s="225"/>
      <c r="G5" s="21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-103,118 KRW (-5.16%)</v>
      </c>
      <c r="H5" s="220"/>
      <c r="I5" s="221"/>
      <c r="J5" s="4" t="s">
        <v>15</v>
      </c>
      <c r="K5" s="223" t="s">
        <v>353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6" t="s">
        <v>45</v>
      </c>
      <c r="H6" s="227"/>
      <c r="I6" s="228"/>
      <c r="J6" s="4" t="s">
        <v>18</v>
      </c>
      <c r="K6" s="223" t="s">
        <v>354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1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-143,758 KRW (-7.19%)</v>
      </c>
      <c r="H7" s="220"/>
      <c r="I7" s="221"/>
      <c r="J7" s="4" t="s">
        <v>21</v>
      </c>
      <c r="K7" s="223" t="s">
        <v>355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6" t="s">
        <v>285</v>
      </c>
      <c r="H8" s="227"/>
      <c r="I8" s="228"/>
      <c r="J8" s="4" t="s">
        <v>24</v>
      </c>
      <c r="K8" s="223"/>
      <c r="L8" s="224"/>
      <c r="M8" s="224"/>
      <c r="N8" s="224"/>
      <c r="O8" s="225"/>
      <c r="Q8" s="198" t="s">
        <v>27</v>
      </c>
      <c r="R8" s="200"/>
    </row>
    <row r="9" spans="1:19" ht="17.25" thickBot="1">
      <c r="A9" s="118" t="s">
        <v>28</v>
      </c>
      <c r="B9" s="223"/>
      <c r="C9" s="224"/>
      <c r="D9" s="224"/>
      <c r="E9" s="224"/>
      <c r="F9" s="225"/>
      <c r="G9" s="21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-131,140 KRW (-6.56%)</v>
      </c>
      <c r="H9" s="220"/>
      <c r="I9" s="221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6" t="s">
        <v>47</v>
      </c>
      <c r="H10" s="227"/>
      <c r="I10" s="228"/>
      <c r="J10" s="4" t="s">
        <v>30</v>
      </c>
      <c r="K10" s="223" t="s">
        <v>356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16" t="s">
        <v>357</v>
      </c>
      <c r="C11" s="217"/>
      <c r="D11" s="217"/>
      <c r="E11" s="217"/>
      <c r="F11" s="218"/>
      <c r="G11" s="21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-22,765 KRW (-4.55%)</v>
      </c>
      <c r="H11" s="220"/>
      <c r="I11" s="221"/>
      <c r="J11" s="7" t="s">
        <v>32</v>
      </c>
      <c r="K11" s="216" t="s">
        <v>348</v>
      </c>
      <c r="L11" s="217"/>
      <c r="M11" s="217"/>
      <c r="N11" s="217"/>
      <c r="O11" s="218"/>
      <c r="Q11" s="65" t="s">
        <v>33</v>
      </c>
      <c r="R11" s="8">
        <v>1000</v>
      </c>
    </row>
    <row r="12" spans="1:19" ht="17.25" thickBot="1"/>
    <row r="13" spans="1:19" ht="17.25" customHeight="1" thickBot="1">
      <c r="A13" s="198" t="s">
        <v>34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200"/>
      <c r="Q13" s="197"/>
      <c r="R13" s="197"/>
      <c r="S13" s="197"/>
    </row>
    <row r="14" spans="1:19" ht="17.25" customHeight="1" thickBot="1">
      <c r="A14" s="172" t="s">
        <v>35</v>
      </c>
      <c r="B14" s="198" t="s">
        <v>36</v>
      </c>
      <c r="C14" s="200"/>
      <c r="D14" s="198" t="s">
        <v>37</v>
      </c>
      <c r="E14" s="199"/>
      <c r="F14" s="200"/>
      <c r="G14" s="201">
        <f>_xlfn.IFNA(VLOOKUP(B14, 현재가테이블!$B$2:$D$200, 2, FALSE), "-")</f>
        <v>42714000</v>
      </c>
      <c r="H14" s="202"/>
      <c r="I14" s="203"/>
      <c r="J14" s="198" t="s">
        <v>38</v>
      </c>
      <c r="K14" s="199"/>
      <c r="L14" s="200"/>
      <c r="M14" s="204">
        <f>_xlfn.IFNA(VLOOKUP(B14, 현재가테이블!$B$2:$D$200, 3, FALSE), "-")</f>
        <v>-5.9804979000000001E-2</v>
      </c>
      <c r="N14" s="205"/>
      <c r="O14" s="206"/>
      <c r="Q14" s="197"/>
      <c r="R14" s="197"/>
      <c r="S14" s="197"/>
    </row>
    <row r="15" spans="1:19" ht="17.25" customHeight="1" thickBot="1">
      <c r="A15" s="235" t="s">
        <v>39</v>
      </c>
      <c r="B15" s="236" t="str">
        <f>TEXT($G$1, "[$-ko-KR]yyyy-mm-dd(ddd) ") &amp; "오전 00:00"</f>
        <v>2021-06-04(금) 오전 00:00</v>
      </c>
      <c r="C15" s="237"/>
      <c r="D15" s="211" t="str">
        <f>TEXT($G$1, "[$-ko-KR]yyyy-mm-dd(ddd) ") &amp; "오후 14:00"</f>
        <v>2021-06-04(금) 오후 14:00</v>
      </c>
      <c r="E15" s="212"/>
      <c r="F15" s="213"/>
      <c r="G15" s="211" t="str">
        <f>TEXT($G$1, "[$-ko-KR]yyyy-mm-dd(ddd) ") &amp; "오후 19:00"</f>
        <v>2021-06-04(금) 오후 19:00</v>
      </c>
      <c r="H15" s="212"/>
      <c r="I15" s="213"/>
      <c r="J15" s="211" t="str">
        <f>TEXT($G$1, "[$-ko-KR]yyyy-mm-dd(ddd) ") &amp; "오후 21:00"</f>
        <v>2021-06-04(금) 오후 21:00</v>
      </c>
      <c r="K15" s="212"/>
      <c r="L15" s="213"/>
      <c r="M15" s="211" t="str">
        <f>TEXT($G$1+1, "[$-ko-KR]yyyy-mm-dd(ddd) ") &amp; "오전 00:00"</f>
        <v>2021-06-05(토) 오전 00:00</v>
      </c>
      <c r="N15" s="212"/>
      <c r="O15" s="213"/>
      <c r="Q15" s="197"/>
      <c r="R15" s="197"/>
      <c r="S15" s="197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8"/>
      <c r="R26" s="189"/>
      <c r="S26" s="19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1"/>
      <c r="R27" s="192"/>
      <c r="S27" s="19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4"/>
      <c r="R28" s="195"/>
      <c r="S28" s="19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6"/>
      <c r="R35" s="177"/>
      <c r="S35" s="1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9"/>
      <c r="R36" s="180"/>
      <c r="S36" s="181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2"/>
      <c r="R37" s="183"/>
      <c r="S37" s="184"/>
    </row>
    <row r="38" spans="1:19" ht="17.25" customHeight="1"/>
    <row r="39" spans="1:19" ht="17.25" customHeight="1" thickBot="1"/>
    <row r="40" spans="1:19" ht="17.25" customHeight="1" thickBot="1">
      <c r="A40" s="198" t="s">
        <v>44</v>
      </c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200"/>
      <c r="Q40" s="197"/>
      <c r="R40" s="197"/>
      <c r="S40" s="197"/>
    </row>
    <row r="41" spans="1:19" ht="17.25" customHeight="1" thickBot="1">
      <c r="A41" s="172" t="s">
        <v>297</v>
      </c>
      <c r="B41" s="198" t="s">
        <v>49</v>
      </c>
      <c r="C41" s="200"/>
      <c r="D41" s="198" t="s">
        <v>58</v>
      </c>
      <c r="E41" s="199"/>
      <c r="F41" s="200"/>
      <c r="G41" s="201">
        <f>_xlfn.IFNA(VLOOKUP(B41, 현재가테이블!$B$2:$D$200, 2, FALSE), "-")</f>
        <v>42714000</v>
      </c>
      <c r="H41" s="202"/>
      <c r="I41" s="203"/>
      <c r="J41" s="198" t="s">
        <v>59</v>
      </c>
      <c r="K41" s="199"/>
      <c r="L41" s="200"/>
      <c r="M41" s="204">
        <f>_xlfn.IFNA(VLOOKUP(B41, 현재가테이블!$B$2:$D$200, 3, FALSE), "-")</f>
        <v>-5.9804979000000001E-2</v>
      </c>
      <c r="N41" s="205"/>
      <c r="O41" s="206"/>
      <c r="Q41" s="197"/>
      <c r="R41" s="197"/>
      <c r="S41" s="197"/>
    </row>
    <row r="42" spans="1:19" ht="17.25" customHeight="1" thickBot="1">
      <c r="A42" s="242" t="s">
        <v>55</v>
      </c>
      <c r="B42" s="238" t="str">
        <f>TEXT($G$1, "[$-ko-KR]yyyy-mm-dd(ddd) ") &amp; "오전 00:00"</f>
        <v>2021-06-04(금) 오전 00:00</v>
      </c>
      <c r="C42" s="239"/>
      <c r="D42" s="211" t="str">
        <f>TEXT($G$1, "[$-ko-KR]yyyy-mm-dd(ddd) ") &amp; "오후 14:00"</f>
        <v>2021-06-04(금) 오후 14:00</v>
      </c>
      <c r="E42" s="212"/>
      <c r="F42" s="213"/>
      <c r="G42" s="211" t="str">
        <f>TEXT($G$1, "[$-ko-KR]yyyy-mm-dd(ddd) ") &amp; "오후 19:00"</f>
        <v>2021-06-04(금) 오후 19:00</v>
      </c>
      <c r="H42" s="212"/>
      <c r="I42" s="213"/>
      <c r="J42" s="211" t="str">
        <f>TEXT($G$1, "[$-ko-KR]yyyy-mm-dd(ddd) ") &amp; "오후 21:00"</f>
        <v>2021-06-04(금) 오후 21:00</v>
      </c>
      <c r="K42" s="212"/>
      <c r="L42" s="213"/>
      <c r="M42" s="211" t="str">
        <f>TEXT($G$1+1, "[$-ko-KR]yyyy-mm-dd(ddd) ") &amp; "오전 00:00"</f>
        <v>2021-06-05(토) 오전 00:00</v>
      </c>
      <c r="N42" s="212"/>
      <c r="O42" s="213"/>
      <c r="Q42" s="197"/>
      <c r="R42" s="197"/>
      <c r="S42" s="197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7"/>
      <c r="R43" s="187"/>
      <c r="S43" s="187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/>
      <c r="N53" s="25" t="str">
        <f t="shared" si="21"/>
        <v/>
      </c>
      <c r="O53" s="104" t="str">
        <f>IF(ISNUMBER(M53), $B64 * N53, "")</f>
        <v/>
      </c>
      <c r="Q53" s="188"/>
      <c r="R53" s="189"/>
      <c r="S53" s="190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1"/>
      <c r="R54" s="192"/>
      <c r="S54" s="193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4"/>
      <c r="R55" s="195"/>
      <c r="S55" s="196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/>
      <c r="N62" s="32" t="str">
        <f t="shared" si="29"/>
        <v/>
      </c>
      <c r="O62" s="18" t="str">
        <f>IF(ISNUMBER(M62), $B64 * N62, "")</f>
        <v/>
      </c>
      <c r="Q62" s="176"/>
      <c r="R62" s="177"/>
      <c r="S62" s="17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/>
      <c r="N63" s="25" t="str">
        <f t="shared" si="29"/>
        <v/>
      </c>
      <c r="O63" s="104" t="str">
        <f>IF(ISNUMBER(M63), $B64 * N63, "")</f>
        <v/>
      </c>
      <c r="Q63" s="179"/>
      <c r="R63" s="180"/>
      <c r="S63" s="181"/>
    </row>
    <row r="64" spans="1:19" ht="17.25" customHeight="1" thickBot="1">
      <c r="A64" s="132" t="s">
        <v>300</v>
      </c>
      <c r="B64" s="240">
        <f>$B$37</f>
        <v>100000</v>
      </c>
      <c r="C64" s="241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82"/>
      <c r="R64" s="183"/>
      <c r="S64" s="184"/>
    </row>
    <row r="65" spans="1:19" ht="17.25" customHeight="1"/>
    <row r="66" spans="1:19" ht="17.25" customHeight="1" thickBot="1"/>
    <row r="67" spans="1:19" ht="17.25" thickBot="1">
      <c r="A67" s="198" t="s">
        <v>45</v>
      </c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200"/>
      <c r="Q67" s="197"/>
      <c r="R67" s="197"/>
      <c r="S67" s="197"/>
    </row>
    <row r="68" spans="1:19" ht="17.25" thickBot="1">
      <c r="A68" s="172" t="s">
        <v>297</v>
      </c>
      <c r="B68" s="198" t="s">
        <v>49</v>
      </c>
      <c r="C68" s="200"/>
      <c r="D68" s="198" t="s">
        <v>58</v>
      </c>
      <c r="E68" s="199"/>
      <c r="F68" s="200"/>
      <c r="G68" s="201">
        <f>_xlfn.IFNA(VLOOKUP(B68, 현재가테이블!$B$2:$D$200, 2, FALSE), "-")</f>
        <v>42714000</v>
      </c>
      <c r="H68" s="202"/>
      <c r="I68" s="203"/>
      <c r="J68" s="198" t="s">
        <v>59</v>
      </c>
      <c r="K68" s="199"/>
      <c r="L68" s="200"/>
      <c r="M68" s="204">
        <f>_xlfn.IFNA(VLOOKUP(B68, 현재가테이블!$B$2:$D$200, 3, FALSE), "-")</f>
        <v>-5.9804979000000001E-2</v>
      </c>
      <c r="N68" s="205"/>
      <c r="O68" s="206"/>
      <c r="Q68" s="197"/>
      <c r="R68" s="197"/>
      <c r="S68" s="197"/>
    </row>
    <row r="69" spans="1:19" ht="17.25" thickBot="1">
      <c r="A69" s="242" t="s">
        <v>55</v>
      </c>
      <c r="B69" s="238" t="str">
        <f>TEXT($G$1, "[$-ko-KR]yyyy-mm-dd(ddd) ") &amp; "오전 00:00"</f>
        <v>2021-06-04(금) 오전 00:00</v>
      </c>
      <c r="C69" s="239"/>
      <c r="D69" s="211" t="str">
        <f>TEXT($G$1, "[$-ko-KR]yyyy-mm-dd(ddd) ") &amp; "오후 14:00"</f>
        <v>2021-06-04(금) 오후 14:00</v>
      </c>
      <c r="E69" s="212"/>
      <c r="F69" s="213"/>
      <c r="G69" s="211" t="str">
        <f>TEXT($G$1, "[$-ko-KR]yyyy-mm-dd(ddd) ") &amp; "오후 19:00"</f>
        <v>2021-06-04(금) 오후 19:00</v>
      </c>
      <c r="H69" s="212"/>
      <c r="I69" s="213"/>
      <c r="J69" s="211" t="str">
        <f>TEXT($G$1, "[$-ko-KR]yyyy-mm-dd(ddd) ") &amp; "오후 21:00"</f>
        <v>2021-06-04(금) 오후 21:00</v>
      </c>
      <c r="K69" s="212"/>
      <c r="L69" s="213"/>
      <c r="M69" s="211" t="str">
        <f>TEXT($G$1+1, "[$-ko-KR]yyyy-mm-dd(ddd) ") &amp; "오전 00:00"</f>
        <v>2021-06-05(토) 오전 00:00</v>
      </c>
      <c r="N69" s="212"/>
      <c r="O69" s="213"/>
      <c r="Q69" s="197"/>
      <c r="R69" s="197"/>
      <c r="S69" s="197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7"/>
      <c r="R70" s="187"/>
      <c r="S70" s="187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/>
      <c r="N80" s="25" t="str">
        <f t="shared" si="37"/>
        <v/>
      </c>
      <c r="O80" s="104" t="str">
        <f>IF(ISNUMBER(M80), $B91 * N80, "")</f>
        <v/>
      </c>
      <c r="Q80" s="188"/>
      <c r="R80" s="189"/>
      <c r="S80" s="190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1"/>
      <c r="R81" s="192"/>
      <c r="S81" s="193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4"/>
      <c r="R82" s="195"/>
      <c r="S82" s="196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/>
      <c r="N89" s="32" t="str">
        <f t="shared" si="45"/>
        <v/>
      </c>
      <c r="O89" s="18" t="str">
        <f>IF(ISNUMBER(M89), $B91 * N89, "")</f>
        <v/>
      </c>
      <c r="Q89" s="176"/>
      <c r="R89" s="177"/>
      <c r="S89" s="17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/>
      <c r="N90" s="25" t="str">
        <f t="shared" si="45"/>
        <v/>
      </c>
      <c r="O90" s="104" t="str">
        <f>IF(ISNUMBER(M90), $B91 * N90, "")</f>
        <v/>
      </c>
      <c r="Q90" s="179"/>
      <c r="R90" s="180"/>
      <c r="S90" s="181"/>
    </row>
    <row r="91" spans="1:19" ht="17.25" thickBot="1">
      <c r="A91" s="132" t="s">
        <v>300</v>
      </c>
      <c r="B91" s="240">
        <f>$B$37</f>
        <v>100000</v>
      </c>
      <c r="C91" s="241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82"/>
      <c r="R91" s="183"/>
      <c r="S91" s="184"/>
    </row>
    <row r="93" spans="1:19" ht="17.25" thickBot="1"/>
    <row r="94" spans="1:19" ht="17.25" thickBot="1">
      <c r="A94" s="198" t="s">
        <v>46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200"/>
      <c r="Q94" s="197"/>
      <c r="R94" s="197"/>
      <c r="S94" s="197"/>
    </row>
    <row r="95" spans="1:19" ht="17.25" thickBot="1">
      <c r="A95" s="172" t="s">
        <v>297</v>
      </c>
      <c r="B95" s="198" t="s">
        <v>49</v>
      </c>
      <c r="C95" s="200"/>
      <c r="D95" s="198" t="s">
        <v>58</v>
      </c>
      <c r="E95" s="199"/>
      <c r="F95" s="200"/>
      <c r="G95" s="201">
        <f>_xlfn.IFNA(VLOOKUP(B95, 현재가테이블!$B$2:$D$200, 2, FALSE), "-")</f>
        <v>42714000</v>
      </c>
      <c r="H95" s="202"/>
      <c r="I95" s="203"/>
      <c r="J95" s="198" t="s">
        <v>59</v>
      </c>
      <c r="K95" s="199"/>
      <c r="L95" s="200"/>
      <c r="M95" s="204">
        <f>_xlfn.IFNA(VLOOKUP(B95, 현재가테이블!$B$2:$D$200, 3, FALSE), "-")</f>
        <v>-5.9804979000000001E-2</v>
      </c>
      <c r="N95" s="205"/>
      <c r="O95" s="206"/>
      <c r="Q95" s="197"/>
      <c r="R95" s="197"/>
      <c r="S95" s="197"/>
    </row>
    <row r="96" spans="1:19" ht="17.25" thickBot="1">
      <c r="A96" s="242" t="s">
        <v>55</v>
      </c>
      <c r="B96" s="238" t="str">
        <f>TEXT($G$1, "[$-ko-KR]yyyy-mm-dd(ddd) ") &amp; "오전 00:00"</f>
        <v>2021-06-04(금) 오전 00:00</v>
      </c>
      <c r="C96" s="239"/>
      <c r="D96" s="211" t="str">
        <f>TEXT($G$1, "[$-ko-KR]yyyy-mm-dd(ddd) ") &amp; "오후 14:00"</f>
        <v>2021-06-04(금) 오후 14:00</v>
      </c>
      <c r="E96" s="212"/>
      <c r="F96" s="213"/>
      <c r="G96" s="211" t="str">
        <f>TEXT($G$1, "[$-ko-KR]yyyy-mm-dd(ddd) ") &amp; "오후 19:00"</f>
        <v>2021-06-04(금) 오후 19:00</v>
      </c>
      <c r="H96" s="212"/>
      <c r="I96" s="213"/>
      <c r="J96" s="211" t="str">
        <f>TEXT($G$1, "[$-ko-KR]yyyy-mm-dd(ddd) ") &amp; "오후 21:00"</f>
        <v>2021-06-04(금) 오후 21:00</v>
      </c>
      <c r="K96" s="212"/>
      <c r="L96" s="213"/>
      <c r="M96" s="211" t="str">
        <f>TEXT($G$1+1, "[$-ko-KR]yyyy-mm-dd(ddd) ") &amp; "오전 00:00"</f>
        <v>2021-06-05(토) 오전 00:00</v>
      </c>
      <c r="N96" s="212"/>
      <c r="O96" s="213"/>
      <c r="Q96" s="197"/>
      <c r="R96" s="197"/>
      <c r="S96" s="197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7"/>
      <c r="R97" s="187"/>
      <c r="S97" s="187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/>
      <c r="N107" s="25" t="str">
        <f t="shared" si="53"/>
        <v/>
      </c>
      <c r="O107" s="104" t="str">
        <f>IF(ISNUMBER(M107), $B118 * N107, "")</f>
        <v/>
      </c>
      <c r="Q107" s="188"/>
      <c r="R107" s="189"/>
      <c r="S107" s="190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1"/>
      <c r="R108" s="192"/>
      <c r="S108" s="193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4"/>
      <c r="R109" s="195"/>
      <c r="S109" s="196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/>
      <c r="N116" s="32" t="str">
        <f t="shared" si="61"/>
        <v/>
      </c>
      <c r="O116" s="18" t="str">
        <f>IF(ISNUMBER(M116), $B118 * N116, "")</f>
        <v/>
      </c>
      <c r="Q116" s="176"/>
      <c r="R116" s="177"/>
      <c r="S116" s="17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/>
      <c r="N117" s="25" t="str">
        <f t="shared" si="61"/>
        <v/>
      </c>
      <c r="O117" s="104" t="str">
        <f>IF(ISNUMBER(M117), $B118 * N117, "")</f>
        <v/>
      </c>
      <c r="Q117" s="179"/>
      <c r="R117" s="180"/>
      <c r="S117" s="181"/>
    </row>
    <row r="118" spans="1:19" ht="17.25" thickBot="1">
      <c r="A118" s="132" t="s">
        <v>300</v>
      </c>
      <c r="B118" s="240">
        <f>$B$37</f>
        <v>100000</v>
      </c>
      <c r="C118" s="241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82"/>
      <c r="R118" s="183"/>
      <c r="S118" s="184"/>
    </row>
    <row r="120" spans="1:19" ht="17.25" thickBot="1"/>
    <row r="121" spans="1:19" ht="17.25" thickBot="1">
      <c r="A121" s="198" t="s">
        <v>288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200"/>
      <c r="Q121" s="197"/>
      <c r="R121" s="197"/>
      <c r="S121" s="197"/>
    </row>
    <row r="122" spans="1:19" ht="17.25" thickBot="1">
      <c r="A122" s="172" t="s">
        <v>297</v>
      </c>
      <c r="B122" s="198" t="s">
        <v>49</v>
      </c>
      <c r="C122" s="200"/>
      <c r="D122" s="198" t="s">
        <v>58</v>
      </c>
      <c r="E122" s="199"/>
      <c r="F122" s="200"/>
      <c r="G122" s="201">
        <f>_xlfn.IFNA(VLOOKUP(B122, 현재가테이블!$B$2:$D$200, 2, FALSE), "-")</f>
        <v>42714000</v>
      </c>
      <c r="H122" s="202"/>
      <c r="I122" s="203"/>
      <c r="J122" s="198" t="s">
        <v>59</v>
      </c>
      <c r="K122" s="199"/>
      <c r="L122" s="200"/>
      <c r="M122" s="204">
        <f>_xlfn.IFNA(VLOOKUP(B122, 현재가테이블!$B$2:$D$200, 3, FALSE), "-")</f>
        <v>-5.9804979000000001E-2</v>
      </c>
      <c r="N122" s="205"/>
      <c r="O122" s="206"/>
      <c r="Q122" s="197"/>
      <c r="R122" s="197"/>
      <c r="S122" s="197"/>
    </row>
    <row r="123" spans="1:19" ht="17.25" thickBot="1">
      <c r="A123" s="242" t="s">
        <v>55</v>
      </c>
      <c r="B123" s="238" t="str">
        <f>TEXT($G$1, "[$-ko-KR]yyyy-mm-dd(ddd) ") &amp; "오전 00:00"</f>
        <v>2021-06-04(금) 오전 00:00</v>
      </c>
      <c r="C123" s="239"/>
      <c r="D123" s="211" t="str">
        <f>TEXT($G$1, "[$-ko-KR]yyyy-mm-dd(ddd) ") &amp; "오후 14:00"</f>
        <v>2021-06-04(금) 오후 14:00</v>
      </c>
      <c r="E123" s="212"/>
      <c r="F123" s="213"/>
      <c r="G123" s="211" t="str">
        <f>TEXT($G$1, "[$-ko-KR]yyyy-mm-dd(ddd) ") &amp; "오후 19:00"</f>
        <v>2021-06-04(금) 오후 19:00</v>
      </c>
      <c r="H123" s="212"/>
      <c r="I123" s="213"/>
      <c r="J123" s="211" t="str">
        <f>TEXT($G$1, "[$-ko-KR]yyyy-mm-dd(ddd) ") &amp; "오후 21:00"</f>
        <v>2021-06-04(금) 오후 21:00</v>
      </c>
      <c r="K123" s="212"/>
      <c r="L123" s="213"/>
      <c r="M123" s="211" t="str">
        <f>TEXT($G$1+1, "[$-ko-KR]yyyy-mm-dd(ddd) ") &amp; "오전 00:00"</f>
        <v>2021-06-05(토) 오전 00:00</v>
      </c>
      <c r="N123" s="212"/>
      <c r="O123" s="213"/>
      <c r="Q123" s="197"/>
      <c r="R123" s="197"/>
      <c r="S123" s="197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7"/>
      <c r="R124" s="187"/>
      <c r="S124" s="187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/>
      <c r="N134" s="25" t="str">
        <f t="shared" si="69"/>
        <v/>
      </c>
      <c r="O134" s="104" t="str">
        <f>IF(ISNUMBER(M134), $B145 * N134, "")</f>
        <v/>
      </c>
      <c r="Q134" s="188"/>
      <c r="R134" s="189"/>
      <c r="S134" s="190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1"/>
      <c r="R135" s="192"/>
      <c r="S135" s="193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4"/>
      <c r="R136" s="195"/>
      <c r="S136" s="196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/>
      <c r="N143" s="32" t="str">
        <f t="shared" si="77"/>
        <v/>
      </c>
      <c r="O143" s="18" t="str">
        <f>IF(ISNUMBER(M143), $B145 * N143, "")</f>
        <v/>
      </c>
      <c r="Q143" s="176"/>
      <c r="R143" s="177"/>
      <c r="S143" s="17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/>
      <c r="N144" s="25" t="str">
        <f t="shared" si="77"/>
        <v/>
      </c>
      <c r="O144" s="104" t="str">
        <f>IF(ISNUMBER(M144), $B145 * N144, "")</f>
        <v/>
      </c>
      <c r="Q144" s="179"/>
      <c r="R144" s="180"/>
      <c r="S144" s="181"/>
    </row>
    <row r="145" spans="1:19" ht="17.25" thickBot="1">
      <c r="A145" s="132" t="s">
        <v>300</v>
      </c>
      <c r="B145" s="240">
        <f>$B$37</f>
        <v>100000</v>
      </c>
      <c r="C145" s="241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82"/>
      <c r="R145" s="183"/>
      <c r="S145" s="184"/>
    </row>
    <row r="147" spans="1:19" ht="17.25" thickBot="1"/>
    <row r="148" spans="1:19" ht="17.25" thickBot="1">
      <c r="A148" s="198" t="s">
        <v>289</v>
      </c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200"/>
      <c r="Q148" s="197"/>
      <c r="R148" s="197"/>
      <c r="S148" s="197"/>
    </row>
    <row r="149" spans="1:19" ht="17.25" thickBot="1">
      <c r="A149" s="172" t="s">
        <v>297</v>
      </c>
      <c r="B149" s="198" t="s">
        <v>49</v>
      </c>
      <c r="C149" s="200"/>
      <c r="D149" s="198" t="s">
        <v>58</v>
      </c>
      <c r="E149" s="199"/>
      <c r="F149" s="200"/>
      <c r="G149" s="201">
        <f>_xlfn.IFNA(VLOOKUP(B149, 현재가테이블!$B$2:$D$200, 2, FALSE), "-")</f>
        <v>42714000</v>
      </c>
      <c r="H149" s="202"/>
      <c r="I149" s="203"/>
      <c r="J149" s="198" t="s">
        <v>59</v>
      </c>
      <c r="K149" s="199"/>
      <c r="L149" s="200"/>
      <c r="M149" s="204">
        <f>_xlfn.IFNA(VLOOKUP(B149, 현재가테이블!$B$2:$D$200, 3, FALSE), "-")</f>
        <v>-5.9804979000000001E-2</v>
      </c>
      <c r="N149" s="205"/>
      <c r="O149" s="206"/>
      <c r="Q149" s="197"/>
      <c r="R149" s="197"/>
      <c r="S149" s="197"/>
    </row>
    <row r="150" spans="1:19" ht="17.25" thickBot="1">
      <c r="A150" s="242" t="s">
        <v>55</v>
      </c>
      <c r="B150" s="238" t="str">
        <f>TEXT($G$1, "[$-ko-KR]yyyy-mm-dd(ddd) ") &amp; "오전 00:00"</f>
        <v>2021-06-04(금) 오전 00:00</v>
      </c>
      <c r="C150" s="239"/>
      <c r="D150" s="211" t="str">
        <f>TEXT($G$1, "[$-ko-KR]yyyy-mm-dd(ddd) ") &amp; "오후 14:00"</f>
        <v>2021-06-04(금) 오후 14:00</v>
      </c>
      <c r="E150" s="212"/>
      <c r="F150" s="213"/>
      <c r="G150" s="211" t="str">
        <f>TEXT($G$1, "[$-ko-KR]yyyy-mm-dd(ddd) ") &amp; "오후 19:00"</f>
        <v>2021-06-04(금) 오후 19:00</v>
      </c>
      <c r="H150" s="212"/>
      <c r="I150" s="213"/>
      <c r="J150" s="211" t="str">
        <f>TEXT($G$1, "[$-ko-KR]yyyy-mm-dd(ddd) ") &amp; "오후 21:00"</f>
        <v>2021-06-04(금) 오후 21:00</v>
      </c>
      <c r="K150" s="212"/>
      <c r="L150" s="213"/>
      <c r="M150" s="211" t="str">
        <f>TEXT($G$1+1, "[$-ko-KR]yyyy-mm-dd(ddd) ") &amp; "오전 00:00"</f>
        <v>2021-06-05(토) 오전 00:00</v>
      </c>
      <c r="N150" s="212"/>
      <c r="O150" s="213"/>
      <c r="Q150" s="197"/>
      <c r="R150" s="197"/>
      <c r="S150" s="197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7"/>
      <c r="R151" s="187"/>
      <c r="S151" s="187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/>
      <c r="N161" s="25" t="str">
        <f t="shared" si="85"/>
        <v/>
      </c>
      <c r="O161" s="104" t="str">
        <f>IF(ISNUMBER(M161), $B172 * N161, "")</f>
        <v/>
      </c>
      <c r="Q161" s="188"/>
      <c r="R161" s="189"/>
      <c r="S161" s="190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1"/>
      <c r="R162" s="192"/>
      <c r="S162" s="193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4"/>
      <c r="R163" s="195"/>
      <c r="S163" s="196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/>
      <c r="N170" s="32" t="str">
        <f t="shared" si="93"/>
        <v/>
      </c>
      <c r="O170" s="18" t="str">
        <f>IF(ISNUMBER(M170), $B172 * N170, "")</f>
        <v/>
      </c>
      <c r="Q170" s="176"/>
      <c r="R170" s="177"/>
      <c r="S170" s="17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/>
      <c r="N171" s="25" t="str">
        <f t="shared" si="93"/>
        <v/>
      </c>
      <c r="O171" s="104" t="str">
        <f>IF(ISNUMBER(M171), $B172 * N171, "")</f>
        <v/>
      </c>
      <c r="Q171" s="179"/>
      <c r="R171" s="180"/>
      <c r="S171" s="181"/>
    </row>
    <row r="172" spans="1:19" ht="17.25" thickBot="1">
      <c r="A172" s="132" t="s">
        <v>300</v>
      </c>
      <c r="B172" s="240">
        <f>$B$37</f>
        <v>100000</v>
      </c>
      <c r="C172" s="241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82"/>
      <c r="R172" s="183"/>
      <c r="S172" s="184"/>
    </row>
    <row r="174" spans="1:19" ht="17.25" thickBot="1"/>
    <row r="175" spans="1:19" ht="17.25" thickBot="1">
      <c r="A175" s="198" t="s">
        <v>285</v>
      </c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200"/>
      <c r="Q175" s="197"/>
      <c r="R175" s="197"/>
      <c r="S175" s="197"/>
    </row>
    <row r="176" spans="1:19" ht="17.25" thickBot="1">
      <c r="A176" s="172" t="s">
        <v>297</v>
      </c>
      <c r="B176" s="198" t="s">
        <v>49</v>
      </c>
      <c r="C176" s="200"/>
      <c r="D176" s="198" t="s">
        <v>58</v>
      </c>
      <c r="E176" s="199"/>
      <c r="F176" s="200"/>
      <c r="G176" s="201">
        <f>_xlfn.IFNA(VLOOKUP(B176, 현재가테이블!$B$2:$D$200, 2, FALSE), "-")</f>
        <v>42714000</v>
      </c>
      <c r="H176" s="202"/>
      <c r="I176" s="203"/>
      <c r="J176" s="198" t="s">
        <v>59</v>
      </c>
      <c r="K176" s="199"/>
      <c r="L176" s="200"/>
      <c r="M176" s="204">
        <f>_xlfn.IFNA(VLOOKUP(B176, 현재가테이블!$B$2:$D$200, 3, FALSE), "-")</f>
        <v>-5.9804979000000001E-2</v>
      </c>
      <c r="N176" s="205"/>
      <c r="O176" s="206"/>
      <c r="Q176" s="197"/>
      <c r="R176" s="197"/>
      <c r="S176" s="197"/>
    </row>
    <row r="177" spans="1:19" ht="17.25" thickBot="1">
      <c r="A177" s="242" t="s">
        <v>55</v>
      </c>
      <c r="B177" s="238" t="str">
        <f>TEXT($G$1, "[$-ko-KR]yyyy-mm-dd(ddd) ") &amp; "오전 00:00"</f>
        <v>2021-06-04(금) 오전 00:00</v>
      </c>
      <c r="C177" s="239"/>
      <c r="D177" s="211" t="str">
        <f>TEXT($G$1, "[$-ko-KR]yyyy-mm-dd(ddd) ") &amp; "오후 14:00"</f>
        <v>2021-06-04(금) 오후 14:00</v>
      </c>
      <c r="E177" s="212"/>
      <c r="F177" s="213"/>
      <c r="G177" s="211" t="str">
        <f>TEXT($G$1, "[$-ko-KR]yyyy-mm-dd(ddd) ") &amp; "오후 19:00"</f>
        <v>2021-06-04(금) 오후 19:00</v>
      </c>
      <c r="H177" s="212"/>
      <c r="I177" s="213"/>
      <c r="J177" s="211" t="str">
        <f>TEXT($G$1, "[$-ko-KR]yyyy-mm-dd(ddd) ") &amp; "오후 21:00"</f>
        <v>2021-06-04(금) 오후 21:00</v>
      </c>
      <c r="K177" s="212"/>
      <c r="L177" s="213"/>
      <c r="M177" s="211" t="str">
        <f>TEXT($G$1+1, "[$-ko-KR]yyyy-mm-dd(ddd) ") &amp; "오전 00:00"</f>
        <v>2021-06-05(토) 오전 00:00</v>
      </c>
      <c r="N177" s="212"/>
      <c r="O177" s="213"/>
      <c r="Q177" s="197"/>
      <c r="R177" s="197"/>
      <c r="S177" s="197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7"/>
      <c r="R178" s="187"/>
      <c r="S178" s="187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/>
      <c r="N188" s="25" t="str">
        <f t="shared" si="101"/>
        <v/>
      </c>
      <c r="O188" s="104" t="str">
        <f>IF(ISNUMBER(M188), $B199 * N188, "")</f>
        <v/>
      </c>
      <c r="Q188" s="188"/>
      <c r="R188" s="189"/>
      <c r="S188" s="190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1"/>
      <c r="R189" s="192"/>
      <c r="S189" s="193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4"/>
      <c r="R190" s="195"/>
      <c r="S190" s="196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/>
      <c r="N197" s="32" t="str">
        <f t="shared" si="109"/>
        <v/>
      </c>
      <c r="O197" s="18" t="str">
        <f>IF(ISNUMBER(M197), $B199 * N197, "")</f>
        <v/>
      </c>
      <c r="Q197" s="176"/>
      <c r="R197" s="177"/>
      <c r="S197" s="17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/>
      <c r="N198" s="25" t="str">
        <f t="shared" si="109"/>
        <v/>
      </c>
      <c r="O198" s="104" t="str">
        <f>IF(ISNUMBER(M198), $B199 * N198, "")</f>
        <v/>
      </c>
      <c r="Q198" s="179"/>
      <c r="R198" s="180"/>
      <c r="S198" s="181"/>
    </row>
    <row r="199" spans="1:19" ht="17.25" thickBot="1">
      <c r="A199" s="132" t="s">
        <v>300</v>
      </c>
      <c r="B199" s="240">
        <f>$B$37</f>
        <v>100000</v>
      </c>
      <c r="C199" s="241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82"/>
      <c r="R199" s="183"/>
      <c r="S199" s="1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2021-06-04T12:21:42Z</dcterms:modified>
</cp:coreProperties>
</file>