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data\2023\"/>
    </mc:Choice>
  </mc:AlternateContent>
  <xr:revisionPtr revIDLastSave="0" documentId="13_ncr:1_{C94B886B-544F-4D4D-97F7-8906AF417237}" xr6:coauthVersionLast="47" xr6:coauthVersionMax="47" xr10:uidLastSave="{00000000-0000-0000-0000-000000000000}"/>
  <bookViews>
    <workbookView xWindow="28680" yWindow="-120" windowWidth="29040" windowHeight="15840" firstSheet="1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3.03.01" sheetId="24" r:id="rId6"/>
  </sheets>
  <definedNames>
    <definedName name="_xlnm._FilterDatabase" localSheetId="5" hidden="1">'2023.03.01'!#REF!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4" l="1"/>
  <c r="O198" i="24"/>
  <c r="N198" i="24"/>
  <c r="L198" i="24"/>
  <c r="K198" i="24"/>
  <c r="I198" i="24"/>
  <c r="H198" i="24"/>
  <c r="F198" i="24"/>
  <c r="E198" i="24"/>
  <c r="O197" i="24"/>
  <c r="N197" i="24"/>
  <c r="L197" i="24"/>
  <c r="K197" i="24"/>
  <c r="I197" i="24"/>
  <c r="H197" i="24"/>
  <c r="F197" i="24"/>
  <c r="E197" i="24"/>
  <c r="O196" i="24"/>
  <c r="N196" i="24"/>
  <c r="L196" i="24"/>
  <c r="K196" i="24"/>
  <c r="I196" i="24"/>
  <c r="H196" i="24"/>
  <c r="F196" i="24"/>
  <c r="E196" i="24"/>
  <c r="O195" i="24"/>
  <c r="N195" i="24"/>
  <c r="L195" i="24"/>
  <c r="K195" i="24"/>
  <c r="I195" i="24"/>
  <c r="H195" i="24"/>
  <c r="F195" i="24"/>
  <c r="E195" i="24"/>
  <c r="O194" i="24"/>
  <c r="N194" i="24"/>
  <c r="L194" i="24"/>
  <c r="K194" i="24"/>
  <c r="I194" i="24"/>
  <c r="H194" i="24"/>
  <c r="F194" i="24"/>
  <c r="E194" i="24"/>
  <c r="O193" i="24"/>
  <c r="N193" i="24"/>
  <c r="L193" i="24"/>
  <c r="K193" i="24"/>
  <c r="I193" i="24"/>
  <c r="H193" i="24"/>
  <c r="F193" i="24"/>
  <c r="E193" i="24"/>
  <c r="O192" i="24"/>
  <c r="N192" i="24"/>
  <c r="L192" i="24"/>
  <c r="K192" i="24"/>
  <c r="I192" i="24"/>
  <c r="H192" i="24"/>
  <c r="F192" i="24"/>
  <c r="E192" i="24"/>
  <c r="O191" i="24"/>
  <c r="N191" i="24"/>
  <c r="L191" i="24"/>
  <c r="K191" i="24"/>
  <c r="I191" i="24"/>
  <c r="H191" i="24"/>
  <c r="F191" i="24"/>
  <c r="E191" i="24"/>
  <c r="O190" i="24"/>
  <c r="N190" i="24"/>
  <c r="L190" i="24"/>
  <c r="K190" i="24"/>
  <c r="I190" i="24"/>
  <c r="H190" i="24"/>
  <c r="F190" i="24"/>
  <c r="E190" i="24"/>
  <c r="O189" i="24"/>
  <c r="N189" i="24"/>
  <c r="L189" i="24"/>
  <c r="K189" i="24"/>
  <c r="I189" i="24"/>
  <c r="H189" i="24"/>
  <c r="F189" i="24"/>
  <c r="E189" i="24"/>
  <c r="O188" i="24"/>
  <c r="N188" i="24"/>
  <c r="L188" i="24"/>
  <c r="K188" i="24"/>
  <c r="I188" i="24"/>
  <c r="H188" i="24"/>
  <c r="F188" i="24"/>
  <c r="E188" i="24"/>
  <c r="O187" i="24"/>
  <c r="N187" i="24"/>
  <c r="L187" i="24"/>
  <c r="K187" i="24"/>
  <c r="I187" i="24"/>
  <c r="H187" i="24"/>
  <c r="F187" i="24"/>
  <c r="E187" i="24"/>
  <c r="O186" i="24"/>
  <c r="N186" i="24"/>
  <c r="L186" i="24"/>
  <c r="K186" i="24"/>
  <c r="I186" i="24"/>
  <c r="H186" i="24"/>
  <c r="F186" i="24"/>
  <c r="E186" i="24"/>
  <c r="O185" i="24"/>
  <c r="N185" i="24"/>
  <c r="L185" i="24"/>
  <c r="K185" i="24"/>
  <c r="I185" i="24"/>
  <c r="H185" i="24"/>
  <c r="F185" i="24"/>
  <c r="E185" i="24"/>
  <c r="O184" i="24"/>
  <c r="N184" i="24"/>
  <c r="L184" i="24"/>
  <c r="K184" i="24"/>
  <c r="I184" i="24"/>
  <c r="H184" i="24"/>
  <c r="F184" i="24"/>
  <c r="E184" i="24"/>
  <c r="O183" i="24"/>
  <c r="N183" i="24"/>
  <c r="L183" i="24"/>
  <c r="K183" i="24"/>
  <c r="I183" i="24"/>
  <c r="H183" i="24"/>
  <c r="F183" i="24"/>
  <c r="E183" i="24"/>
  <c r="O182" i="24"/>
  <c r="N182" i="24"/>
  <c r="L182" i="24"/>
  <c r="K182" i="24"/>
  <c r="I182" i="24"/>
  <c r="H182" i="24"/>
  <c r="F182" i="24"/>
  <c r="E182" i="24"/>
  <c r="O181" i="24"/>
  <c r="N181" i="24"/>
  <c r="L181" i="24"/>
  <c r="K181" i="24"/>
  <c r="I181" i="24"/>
  <c r="H181" i="24"/>
  <c r="F181" i="24"/>
  <c r="E181" i="24"/>
  <c r="O180" i="24"/>
  <c r="N180" i="24"/>
  <c r="L180" i="24"/>
  <c r="K180" i="24"/>
  <c r="I180" i="24"/>
  <c r="H180" i="24"/>
  <c r="F180" i="24"/>
  <c r="E180" i="24"/>
  <c r="O179" i="24"/>
  <c r="O199" i="24" s="1"/>
  <c r="N179" i="24"/>
  <c r="N199" i="24" s="1"/>
  <c r="L179" i="24"/>
  <c r="L199" i="24" s="1"/>
  <c r="K179" i="24"/>
  <c r="K199" i="24" s="1"/>
  <c r="I179" i="24"/>
  <c r="I199" i="24" s="1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I171" i="24"/>
  <c r="H171" i="24"/>
  <c r="F171" i="24"/>
  <c r="E171" i="24"/>
  <c r="O170" i="24"/>
  <c r="N170" i="24"/>
  <c r="L170" i="24"/>
  <c r="K170" i="24"/>
  <c r="I170" i="24"/>
  <c r="H170" i="24"/>
  <c r="F170" i="24"/>
  <c r="E170" i="24"/>
  <c r="O169" i="24"/>
  <c r="N169" i="24"/>
  <c r="L169" i="24"/>
  <c r="K169" i="24"/>
  <c r="I169" i="24"/>
  <c r="H169" i="24"/>
  <c r="F169" i="24"/>
  <c r="E169" i="24"/>
  <c r="O168" i="24"/>
  <c r="N168" i="24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O166" i="24"/>
  <c r="N166" i="24"/>
  <c r="L166" i="24"/>
  <c r="K166" i="24"/>
  <c r="I166" i="24"/>
  <c r="H166" i="24"/>
  <c r="F166" i="24"/>
  <c r="E166" i="24"/>
  <c r="O165" i="24"/>
  <c r="N165" i="24"/>
  <c r="L165" i="24"/>
  <c r="K165" i="24"/>
  <c r="I165" i="24"/>
  <c r="H165" i="24"/>
  <c r="F165" i="24"/>
  <c r="E165" i="24"/>
  <c r="O164" i="24"/>
  <c r="N164" i="24"/>
  <c r="L164" i="24"/>
  <c r="K164" i="24"/>
  <c r="I164" i="24"/>
  <c r="H164" i="24"/>
  <c r="F164" i="24"/>
  <c r="E164" i="24"/>
  <c r="O163" i="24"/>
  <c r="N163" i="24"/>
  <c r="L163" i="24"/>
  <c r="K163" i="24"/>
  <c r="I163" i="24"/>
  <c r="H163" i="24"/>
  <c r="F163" i="24"/>
  <c r="E163" i="24"/>
  <c r="O162" i="24"/>
  <c r="N162" i="24"/>
  <c r="L162" i="24"/>
  <c r="K162" i="24"/>
  <c r="I162" i="24"/>
  <c r="H162" i="24"/>
  <c r="F162" i="24"/>
  <c r="E162" i="24"/>
  <c r="O161" i="24"/>
  <c r="N161" i="24"/>
  <c r="L161" i="24"/>
  <c r="K161" i="24"/>
  <c r="I161" i="24"/>
  <c r="H161" i="24"/>
  <c r="F161" i="24"/>
  <c r="E161" i="24"/>
  <c r="O160" i="24"/>
  <c r="N160" i="24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O158" i="24"/>
  <c r="N158" i="24"/>
  <c r="L158" i="24"/>
  <c r="K158" i="24"/>
  <c r="I158" i="24"/>
  <c r="H158" i="24"/>
  <c r="F158" i="24"/>
  <c r="E158" i="24"/>
  <c r="O157" i="24"/>
  <c r="N157" i="24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O172" i="24" s="1"/>
  <c r="N152" i="24"/>
  <c r="N172" i="24" s="1"/>
  <c r="L152" i="24"/>
  <c r="L172" i="24" s="1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K145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O140" i="24"/>
  <c r="N140" i="24"/>
  <c r="L140" i="24"/>
  <c r="K140" i="24"/>
  <c r="I140" i="24"/>
  <c r="H140" i="24"/>
  <c r="F140" i="24"/>
  <c r="E140" i="24"/>
  <c r="O139" i="24"/>
  <c r="N139" i="24"/>
  <c r="L139" i="24"/>
  <c r="K139" i="24"/>
  <c r="I139" i="24"/>
  <c r="H139" i="24"/>
  <c r="F139" i="24"/>
  <c r="E139" i="24"/>
  <c r="O138" i="24"/>
  <c r="N138" i="24"/>
  <c r="L138" i="24"/>
  <c r="K138" i="24"/>
  <c r="I138" i="24"/>
  <c r="H138" i="24"/>
  <c r="F138" i="24"/>
  <c r="E138" i="24"/>
  <c r="O137" i="24"/>
  <c r="N137" i="24"/>
  <c r="L137" i="24"/>
  <c r="K137" i="24"/>
  <c r="I137" i="24"/>
  <c r="H137" i="24"/>
  <c r="F137" i="24"/>
  <c r="E137" i="24"/>
  <c r="O136" i="24"/>
  <c r="N136" i="24"/>
  <c r="L136" i="24"/>
  <c r="K136" i="24"/>
  <c r="I136" i="24"/>
  <c r="H136" i="24"/>
  <c r="F136" i="24"/>
  <c r="E136" i="24"/>
  <c r="O135" i="24"/>
  <c r="N135" i="24"/>
  <c r="L135" i="24"/>
  <c r="K135" i="24"/>
  <c r="I135" i="24"/>
  <c r="H135" i="24"/>
  <c r="F135" i="24"/>
  <c r="E135" i="24"/>
  <c r="O134" i="24"/>
  <c r="N134" i="24"/>
  <c r="L134" i="24"/>
  <c r="K134" i="24"/>
  <c r="I134" i="24"/>
  <c r="H134" i="24"/>
  <c r="F134" i="24"/>
  <c r="E134" i="24"/>
  <c r="O133" i="24"/>
  <c r="N133" i="24"/>
  <c r="L133" i="24"/>
  <c r="K133" i="24"/>
  <c r="I133" i="24"/>
  <c r="H133" i="24"/>
  <c r="F133" i="24"/>
  <c r="E133" i="24"/>
  <c r="O132" i="24"/>
  <c r="N132" i="24"/>
  <c r="L132" i="24"/>
  <c r="K132" i="24"/>
  <c r="I132" i="24"/>
  <c r="H132" i="24"/>
  <c r="F132" i="24"/>
  <c r="E132" i="24"/>
  <c r="O131" i="24"/>
  <c r="N131" i="24"/>
  <c r="L131" i="24"/>
  <c r="K131" i="24"/>
  <c r="I131" i="24"/>
  <c r="H131" i="24"/>
  <c r="F131" i="24"/>
  <c r="E131" i="24"/>
  <c r="O130" i="24"/>
  <c r="N130" i="24"/>
  <c r="L130" i="24"/>
  <c r="K130" i="24"/>
  <c r="I130" i="24"/>
  <c r="H130" i="24"/>
  <c r="F130" i="24"/>
  <c r="E130" i="24"/>
  <c r="O129" i="24"/>
  <c r="N129" i="24"/>
  <c r="L129" i="24"/>
  <c r="K129" i="24"/>
  <c r="I129" i="24"/>
  <c r="H129" i="24"/>
  <c r="F129" i="24"/>
  <c r="E129" i="24"/>
  <c r="O128" i="24"/>
  <c r="N128" i="24"/>
  <c r="L128" i="24"/>
  <c r="K128" i="24"/>
  <c r="I128" i="24"/>
  <c r="H128" i="24"/>
  <c r="F128" i="24"/>
  <c r="E128" i="24"/>
  <c r="O127" i="24"/>
  <c r="N127" i="24"/>
  <c r="L127" i="24"/>
  <c r="K127" i="24"/>
  <c r="I127" i="24"/>
  <c r="H127" i="24"/>
  <c r="F127" i="24"/>
  <c r="E127" i="24"/>
  <c r="O126" i="24"/>
  <c r="N126" i="24"/>
  <c r="L126" i="24"/>
  <c r="K126" i="24"/>
  <c r="I126" i="24"/>
  <c r="H126" i="24"/>
  <c r="F126" i="24"/>
  <c r="E126" i="24"/>
  <c r="O125" i="24"/>
  <c r="O145" i="24" s="1"/>
  <c r="N125" i="24"/>
  <c r="N145" i="24" s="1"/>
  <c r="L125" i="24"/>
  <c r="L145" i="24" s="1"/>
  <c r="K125" i="24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F117" i="24"/>
  <c r="E117" i="24"/>
  <c r="O116" i="24"/>
  <c r="N116" i="24"/>
  <c r="L116" i="24"/>
  <c r="K116" i="24"/>
  <c r="I116" i="24"/>
  <c r="H116" i="24"/>
  <c r="F116" i="24"/>
  <c r="E116" i="24"/>
  <c r="O115" i="24"/>
  <c r="N115" i="24"/>
  <c r="L115" i="24"/>
  <c r="K115" i="24"/>
  <c r="I115" i="24"/>
  <c r="H115" i="24"/>
  <c r="F115" i="24"/>
  <c r="E115" i="24"/>
  <c r="O114" i="24"/>
  <c r="N114" i="24"/>
  <c r="L114" i="24"/>
  <c r="K114" i="24"/>
  <c r="I114" i="24"/>
  <c r="H114" i="24"/>
  <c r="F114" i="24"/>
  <c r="E114" i="24"/>
  <c r="O113" i="24"/>
  <c r="N113" i="24"/>
  <c r="L113" i="24"/>
  <c r="K113" i="24"/>
  <c r="I113" i="24"/>
  <c r="H113" i="24"/>
  <c r="F113" i="24"/>
  <c r="E113" i="24"/>
  <c r="O112" i="24"/>
  <c r="N112" i="24"/>
  <c r="L112" i="24"/>
  <c r="K112" i="24"/>
  <c r="I112" i="24"/>
  <c r="H112" i="24"/>
  <c r="F112" i="24"/>
  <c r="E112" i="24"/>
  <c r="O111" i="24"/>
  <c r="N111" i="24"/>
  <c r="L111" i="24"/>
  <c r="K111" i="24"/>
  <c r="I111" i="24"/>
  <c r="H111" i="24"/>
  <c r="F111" i="24"/>
  <c r="E111" i="24"/>
  <c r="O110" i="24"/>
  <c r="N110" i="24"/>
  <c r="L110" i="24"/>
  <c r="K110" i="24"/>
  <c r="I110" i="24"/>
  <c r="H110" i="24"/>
  <c r="F110" i="24"/>
  <c r="E110" i="24"/>
  <c r="O109" i="24"/>
  <c r="N109" i="24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O107" i="24"/>
  <c r="N107" i="24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O105" i="24"/>
  <c r="N105" i="24"/>
  <c r="L105" i="24"/>
  <c r="K105" i="24"/>
  <c r="I105" i="24"/>
  <c r="H105" i="24"/>
  <c r="F105" i="24"/>
  <c r="E105" i="24"/>
  <c r="O104" i="24"/>
  <c r="N104" i="24"/>
  <c r="L104" i="24"/>
  <c r="K104" i="24"/>
  <c r="I104" i="24"/>
  <c r="H104" i="24"/>
  <c r="F104" i="24"/>
  <c r="E104" i="24"/>
  <c r="O103" i="24"/>
  <c r="N103" i="24"/>
  <c r="L103" i="24"/>
  <c r="K103" i="24"/>
  <c r="I103" i="24"/>
  <c r="H103" i="24"/>
  <c r="F103" i="24"/>
  <c r="E103" i="24"/>
  <c r="O102" i="24"/>
  <c r="N102" i="24"/>
  <c r="L102" i="24"/>
  <c r="K102" i="24"/>
  <c r="I102" i="24"/>
  <c r="H102" i="24"/>
  <c r="F102" i="24"/>
  <c r="E102" i="24"/>
  <c r="O101" i="24"/>
  <c r="N101" i="24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O99" i="24"/>
  <c r="N99" i="24"/>
  <c r="L99" i="24"/>
  <c r="K99" i="24"/>
  <c r="I99" i="24"/>
  <c r="H99" i="24"/>
  <c r="F99" i="24"/>
  <c r="E99" i="24"/>
  <c r="O98" i="24"/>
  <c r="O118" i="24" s="1"/>
  <c r="N98" i="24"/>
  <c r="N11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O90" i="24"/>
  <c r="N90" i="24"/>
  <c r="L90" i="24"/>
  <c r="K90" i="24"/>
  <c r="I90" i="24"/>
  <c r="H90" i="24"/>
  <c r="F90" i="24"/>
  <c r="E90" i="24"/>
  <c r="O89" i="24"/>
  <c r="N89" i="24"/>
  <c r="L89" i="24"/>
  <c r="K89" i="24"/>
  <c r="I89" i="24"/>
  <c r="H89" i="24"/>
  <c r="F89" i="24"/>
  <c r="E89" i="24"/>
  <c r="O88" i="24"/>
  <c r="N88" i="24"/>
  <c r="L88" i="24"/>
  <c r="K88" i="24"/>
  <c r="I88" i="24"/>
  <c r="H88" i="24"/>
  <c r="F88" i="24"/>
  <c r="E88" i="24"/>
  <c r="O87" i="24"/>
  <c r="N87" i="24"/>
  <c r="L87" i="24"/>
  <c r="K87" i="24"/>
  <c r="I87" i="24"/>
  <c r="H87" i="24"/>
  <c r="F87" i="24"/>
  <c r="E87" i="24"/>
  <c r="O86" i="24"/>
  <c r="N86" i="24"/>
  <c r="L86" i="24"/>
  <c r="K86" i="24"/>
  <c r="I86" i="24"/>
  <c r="H86" i="24"/>
  <c r="F86" i="24"/>
  <c r="E86" i="24"/>
  <c r="O85" i="24"/>
  <c r="N85" i="24"/>
  <c r="L85" i="24"/>
  <c r="K85" i="24"/>
  <c r="I85" i="24"/>
  <c r="H85" i="24"/>
  <c r="F85" i="24"/>
  <c r="E85" i="24"/>
  <c r="O84" i="24"/>
  <c r="N84" i="24"/>
  <c r="L84" i="24"/>
  <c r="K84" i="24"/>
  <c r="I84" i="24"/>
  <c r="H84" i="24"/>
  <c r="F84" i="24"/>
  <c r="E84" i="24"/>
  <c r="O83" i="24"/>
  <c r="N83" i="24"/>
  <c r="L83" i="24"/>
  <c r="K83" i="24"/>
  <c r="I83" i="24"/>
  <c r="H83" i="24"/>
  <c r="F83" i="24"/>
  <c r="E83" i="24"/>
  <c r="O82" i="24"/>
  <c r="N82" i="24"/>
  <c r="L82" i="24"/>
  <c r="K82" i="24"/>
  <c r="I82" i="24"/>
  <c r="H82" i="24"/>
  <c r="F82" i="24"/>
  <c r="E82" i="24"/>
  <c r="O81" i="24"/>
  <c r="N81" i="24"/>
  <c r="L81" i="24"/>
  <c r="K81" i="24"/>
  <c r="I81" i="24"/>
  <c r="H81" i="24"/>
  <c r="F81" i="24"/>
  <c r="E81" i="24"/>
  <c r="O80" i="24"/>
  <c r="N80" i="24"/>
  <c r="L80" i="24"/>
  <c r="K80" i="24"/>
  <c r="I80" i="24"/>
  <c r="H80" i="24"/>
  <c r="F80" i="24"/>
  <c r="E80" i="24"/>
  <c r="O79" i="24"/>
  <c r="N79" i="24"/>
  <c r="L79" i="24"/>
  <c r="K79" i="24"/>
  <c r="I79" i="24"/>
  <c r="H79" i="24"/>
  <c r="F79" i="24"/>
  <c r="E79" i="24"/>
  <c r="O78" i="24"/>
  <c r="N78" i="24"/>
  <c r="L78" i="24"/>
  <c r="K78" i="24"/>
  <c r="I78" i="24"/>
  <c r="H78" i="24"/>
  <c r="F78" i="24"/>
  <c r="E78" i="24"/>
  <c r="O77" i="24"/>
  <c r="N77" i="24"/>
  <c r="L77" i="24"/>
  <c r="K77" i="24"/>
  <c r="I77" i="24"/>
  <c r="H77" i="24"/>
  <c r="F77" i="24"/>
  <c r="E77" i="24"/>
  <c r="O76" i="24"/>
  <c r="N76" i="24"/>
  <c r="L76" i="24"/>
  <c r="K76" i="24"/>
  <c r="I76" i="24"/>
  <c r="H76" i="24"/>
  <c r="F76" i="24"/>
  <c r="E76" i="24"/>
  <c r="O75" i="24"/>
  <c r="N75" i="24"/>
  <c r="L75" i="24"/>
  <c r="K75" i="24"/>
  <c r="I75" i="24"/>
  <c r="H75" i="24"/>
  <c r="F75" i="24"/>
  <c r="E75" i="24"/>
  <c r="O74" i="24"/>
  <c r="N74" i="24"/>
  <c r="L74" i="24"/>
  <c r="K74" i="24"/>
  <c r="I74" i="24"/>
  <c r="H74" i="24"/>
  <c r="F74" i="24"/>
  <c r="E74" i="24"/>
  <c r="O73" i="24"/>
  <c r="N73" i="24"/>
  <c r="L73" i="24"/>
  <c r="K73" i="24"/>
  <c r="I73" i="24"/>
  <c r="H73" i="24"/>
  <c r="F73" i="24"/>
  <c r="E73" i="24"/>
  <c r="O72" i="24"/>
  <c r="N72" i="24"/>
  <c r="L72" i="24"/>
  <c r="K72" i="24"/>
  <c r="I72" i="24"/>
  <c r="H72" i="24"/>
  <c r="F72" i="24"/>
  <c r="E72" i="24"/>
  <c r="O71" i="24"/>
  <c r="O91" i="24" s="1"/>
  <c r="N71" i="24"/>
  <c r="N91" i="24" s="1"/>
  <c r="L71" i="24"/>
  <c r="L91" i="24" s="1"/>
  <c r="K71" i="24"/>
  <c r="K91" i="24" s="1"/>
  <c r="I71" i="24"/>
  <c r="I91" i="24" s="1"/>
  <c r="H71" i="24"/>
  <c r="H91" i="24" s="1"/>
  <c r="F71" i="24"/>
  <c r="F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L59" i="24"/>
  <c r="K59" i="24"/>
  <c r="I59" i="24"/>
  <c r="H59" i="24"/>
  <c r="F59" i="24"/>
  <c r="E59" i="24"/>
  <c r="O58" i="24"/>
  <c r="N58" i="24"/>
  <c r="L58" i="24"/>
  <c r="K58" i="24"/>
  <c r="I58" i="24"/>
  <c r="H58" i="24"/>
  <c r="F58" i="24"/>
  <c r="E58" i="24"/>
  <c r="O57" i="24"/>
  <c r="N57" i="24"/>
  <c r="L57" i="24"/>
  <c r="K57" i="24"/>
  <c r="I57" i="24"/>
  <c r="H57" i="24"/>
  <c r="F57" i="24"/>
  <c r="E57" i="24"/>
  <c r="O56" i="24"/>
  <c r="N56" i="24"/>
  <c r="L56" i="24"/>
  <c r="K56" i="24"/>
  <c r="I56" i="24"/>
  <c r="H56" i="24"/>
  <c r="F56" i="24"/>
  <c r="E56" i="24"/>
  <c r="O55" i="24"/>
  <c r="N55" i="24"/>
  <c r="L55" i="24"/>
  <c r="K55" i="24"/>
  <c r="I55" i="24"/>
  <c r="H55" i="24"/>
  <c r="F55" i="24"/>
  <c r="E55" i="24"/>
  <c r="O54" i="24"/>
  <c r="N54" i="24"/>
  <c r="L54" i="24"/>
  <c r="K54" i="24"/>
  <c r="I54" i="24"/>
  <c r="H54" i="24"/>
  <c r="F54" i="24"/>
  <c r="E54" i="24"/>
  <c r="O53" i="24"/>
  <c r="N53" i="24"/>
  <c r="L53" i="24"/>
  <c r="K53" i="24"/>
  <c r="I53" i="24"/>
  <c r="H53" i="24"/>
  <c r="F53" i="24"/>
  <c r="E53" i="24"/>
  <c r="O52" i="24"/>
  <c r="N52" i="24"/>
  <c r="L52" i="24"/>
  <c r="K52" i="24"/>
  <c r="I52" i="24"/>
  <c r="H52" i="24"/>
  <c r="F52" i="24"/>
  <c r="E52" i="24"/>
  <c r="O51" i="24"/>
  <c r="N51" i="24"/>
  <c r="L51" i="24"/>
  <c r="K51" i="24"/>
  <c r="I51" i="24"/>
  <c r="H51" i="24"/>
  <c r="F51" i="24"/>
  <c r="E51" i="24"/>
  <c r="O50" i="24"/>
  <c r="N50" i="24"/>
  <c r="L50" i="24"/>
  <c r="K50" i="24"/>
  <c r="I50" i="24"/>
  <c r="H50" i="24"/>
  <c r="F50" i="24"/>
  <c r="E50" i="24"/>
  <c r="O49" i="24"/>
  <c r="N49" i="24"/>
  <c r="L49" i="24"/>
  <c r="K49" i="24"/>
  <c r="I49" i="24"/>
  <c r="H49" i="24"/>
  <c r="F49" i="24"/>
  <c r="E49" i="24"/>
  <c r="O48" i="24"/>
  <c r="N48" i="24"/>
  <c r="L48" i="24"/>
  <c r="K48" i="24"/>
  <c r="I48" i="24"/>
  <c r="H48" i="24"/>
  <c r="F48" i="24"/>
  <c r="E48" i="24"/>
  <c r="O47" i="24"/>
  <c r="N47" i="24"/>
  <c r="L47" i="24"/>
  <c r="K47" i="24"/>
  <c r="I47" i="24"/>
  <c r="H47" i="24"/>
  <c r="F47" i="24"/>
  <c r="E47" i="24"/>
  <c r="O46" i="24"/>
  <c r="N46" i="24"/>
  <c r="L46" i="24"/>
  <c r="K46" i="24"/>
  <c r="I46" i="24"/>
  <c r="H46" i="24"/>
  <c r="F46" i="24"/>
  <c r="E46" i="24"/>
  <c r="O45" i="24"/>
  <c r="N45" i="24"/>
  <c r="L45" i="24"/>
  <c r="K45" i="24"/>
  <c r="I45" i="24"/>
  <c r="H45" i="24"/>
  <c r="F45" i="24"/>
  <c r="E45" i="24"/>
  <c r="O44" i="24"/>
  <c r="O64" i="24" s="1"/>
  <c r="N44" i="24"/>
  <c r="N64" i="24" s="1"/>
  <c r="L44" i="24"/>
  <c r="L64" i="24" s="1"/>
  <c r="K44" i="24"/>
  <c r="K64" i="24" s="1"/>
  <c r="I44" i="24"/>
  <c r="I64" i="24" s="1"/>
  <c r="H44" i="24"/>
  <c r="H64" i="24" s="1"/>
  <c r="F44" i="24"/>
  <c r="F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K37" i="24" l="1"/>
  <c r="O37" i="24"/>
  <c r="G9" i="24"/>
  <c r="H37" i="24"/>
  <c r="L37" i="24"/>
  <c r="I37" i="24"/>
  <c r="F37" i="24"/>
  <c r="N37" i="24"/>
  <c r="E37" i="24"/>
  <c r="G5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4" l="1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56" i="9"/>
  <c r="K271" i="9"/>
  <c r="L109" i="9"/>
  <c r="L187" i="9"/>
  <c r="O38" i="3"/>
  <c r="L144" i="9"/>
  <c r="N149" i="9"/>
  <c r="I36" i="9"/>
  <c r="F149" i="9"/>
  <c r="K57" i="3"/>
  <c r="C121" i="9"/>
  <c r="L142" i="9"/>
  <c r="F240" i="9"/>
  <c r="O235" i="9"/>
  <c r="L104" i="9"/>
  <c r="C61" i="9"/>
  <c r="O153" i="9"/>
  <c r="I234" i="9"/>
  <c r="I269" i="9"/>
  <c r="O268" i="9"/>
  <c r="G59" i="3"/>
  <c r="K38" i="3"/>
  <c r="H40" i="9"/>
  <c r="G71" i="3"/>
  <c r="C144" i="9"/>
  <c r="L76" i="9"/>
  <c r="E24" i="9"/>
  <c r="H233" i="9"/>
  <c r="C48" i="9"/>
  <c r="F186" i="9"/>
  <c r="I110" i="9"/>
  <c r="I256" i="9"/>
  <c r="E25" i="9"/>
  <c r="F268" i="9"/>
  <c r="K23" i="5"/>
  <c r="G47" i="3"/>
  <c r="E83" i="9"/>
  <c r="K83" i="9"/>
  <c r="F52" i="9"/>
  <c r="H163" i="9"/>
  <c r="E103" i="9"/>
  <c r="C32" i="9"/>
  <c r="C189" i="9"/>
  <c r="K8" i="5"/>
  <c r="H80" i="9"/>
  <c r="N270" i="9"/>
  <c r="L153" i="9"/>
  <c r="I100" i="9"/>
  <c r="O151" i="9"/>
  <c r="C192" i="9"/>
  <c r="L103" i="9"/>
  <c r="C140" i="9"/>
  <c r="N186" i="9"/>
  <c r="G49" i="3"/>
  <c r="N150" i="9"/>
  <c r="K143" i="9"/>
  <c r="E260" i="9"/>
  <c r="O119" i="9"/>
  <c r="L143" i="9"/>
  <c r="C139" i="9"/>
  <c r="E238" i="9"/>
  <c r="O51" i="9"/>
  <c r="O35" i="3"/>
  <c r="E233" i="9"/>
  <c r="I178" i="9"/>
  <c r="F143" i="9"/>
  <c r="K236" i="9"/>
  <c r="L99" i="9"/>
  <c r="K75" i="9"/>
  <c r="C22" i="9"/>
  <c r="I166" i="9"/>
  <c r="F179" i="9"/>
  <c r="F63" i="9"/>
  <c r="K231" i="9"/>
  <c r="F221" i="9"/>
  <c r="H64" i="9"/>
  <c r="I232" i="9"/>
  <c r="L61" i="9"/>
  <c r="H179" i="9"/>
  <c r="I78" i="9"/>
  <c r="E255" i="9"/>
  <c r="F117" i="9"/>
  <c r="K34" i="3"/>
  <c r="F257" i="9"/>
  <c r="O56" i="3"/>
  <c r="H137" i="9"/>
  <c r="L139" i="9"/>
  <c r="C194" i="9"/>
  <c r="H28" i="9"/>
  <c r="O36" i="9"/>
  <c r="E215" i="9"/>
  <c r="K24" i="9"/>
  <c r="O72" i="3"/>
  <c r="F113" i="9"/>
  <c r="O44" i="3"/>
  <c r="I240" i="9"/>
  <c r="K23" i="3"/>
  <c r="O31" i="3"/>
  <c r="I197" i="9"/>
  <c r="C141" i="9"/>
  <c r="L264" i="9"/>
  <c r="L90" i="9"/>
  <c r="L203" i="9"/>
  <c r="C263" i="9"/>
  <c r="N234" i="9"/>
  <c r="O191" i="9"/>
  <c r="E87" i="9"/>
  <c r="I84" i="9"/>
  <c r="H231" i="9"/>
  <c r="K141" i="9"/>
  <c r="E268" i="9"/>
  <c r="H251" i="9"/>
  <c r="F140" i="9"/>
  <c r="F146" i="9"/>
  <c r="O68" i="9"/>
  <c r="H118" i="9"/>
  <c r="H195" i="9"/>
  <c r="F136" i="9"/>
  <c r="N116" i="9"/>
  <c r="E36" i="9"/>
  <c r="H51" i="9"/>
  <c r="N185" i="9"/>
  <c r="K268" i="9"/>
  <c r="K27" i="9"/>
  <c r="N183" i="9"/>
  <c r="H125" i="9"/>
  <c r="F101" i="9"/>
  <c r="K45" i="3"/>
  <c r="C37" i="9"/>
  <c r="C259" i="9"/>
  <c r="H218" i="9"/>
  <c r="K21" i="5"/>
  <c r="I185" i="9"/>
  <c r="C127" i="9"/>
  <c r="F100" i="9"/>
  <c r="F276" i="9"/>
  <c r="I51" i="9"/>
  <c r="F99" i="9"/>
  <c r="N120" i="9"/>
  <c r="E146" i="9"/>
  <c r="C260" i="9"/>
  <c r="O115" i="9"/>
  <c r="K62" i="9"/>
  <c r="F42" i="9"/>
  <c r="O267" i="9"/>
  <c r="E252" i="9"/>
  <c r="K65" i="3"/>
  <c r="C78" i="9"/>
  <c r="L204" i="9"/>
  <c r="F239" i="9"/>
  <c r="L258" i="9"/>
  <c r="O270" i="9"/>
  <c r="L165" i="9"/>
  <c r="L121" i="9"/>
  <c r="I146" i="9"/>
  <c r="K70" i="9"/>
  <c r="I224" i="9"/>
  <c r="F185" i="9"/>
  <c r="N232" i="9"/>
  <c r="H260" i="9"/>
  <c r="H197" i="9"/>
  <c r="L218" i="9"/>
  <c r="O26" i="9"/>
  <c r="F265" i="9"/>
  <c r="K272" i="9"/>
  <c r="E204" i="9"/>
  <c r="H275" i="9"/>
  <c r="N32" i="9"/>
  <c r="N219" i="9"/>
  <c r="O257" i="9"/>
  <c r="O50" i="9"/>
  <c r="E65" i="9"/>
  <c r="H124" i="9"/>
  <c r="G48" i="3"/>
  <c r="K144" i="9"/>
  <c r="E155" i="9"/>
  <c r="C44" i="9"/>
  <c r="L198" i="9"/>
  <c r="F108" i="9"/>
  <c r="N235" i="9"/>
  <c r="H180" i="9"/>
  <c r="I227" i="9"/>
  <c r="O111" i="9"/>
  <c r="C198" i="9"/>
  <c r="I219" i="9"/>
  <c r="C31" i="9"/>
  <c r="L146" i="9"/>
  <c r="F65" i="9"/>
  <c r="H149" i="9"/>
  <c r="L265" i="9"/>
  <c r="E195" i="9"/>
  <c r="C118" i="9"/>
  <c r="L268" i="9"/>
  <c r="H182" i="9"/>
  <c r="H79" i="9"/>
  <c r="F111" i="9"/>
  <c r="F259" i="9"/>
  <c r="N115" i="9"/>
  <c r="O116" i="9"/>
  <c r="N109" i="9"/>
  <c r="I273" i="9"/>
  <c r="E175" i="9"/>
  <c r="F255" i="9"/>
  <c r="N160" i="9"/>
  <c r="F153" i="9"/>
  <c r="N22" i="9"/>
  <c r="O121" i="9"/>
  <c r="F190" i="9"/>
  <c r="H136" i="9"/>
  <c r="O49" i="3"/>
  <c r="F226" i="9"/>
  <c r="H230" i="9"/>
  <c r="L263" i="9"/>
  <c r="F69" i="9"/>
  <c r="O232" i="9"/>
  <c r="N229" i="9"/>
  <c r="C179" i="9"/>
  <c r="N202" i="9"/>
  <c r="E115" i="9"/>
  <c r="K187" i="9"/>
  <c r="L259" i="9"/>
  <c r="O269" i="9"/>
  <c r="K72" i="9"/>
  <c r="H159" i="9"/>
  <c r="F223" i="9"/>
  <c r="O124" i="9"/>
  <c r="F182" i="9"/>
  <c r="N114" i="9"/>
  <c r="I85" i="9"/>
  <c r="H33" i="9"/>
  <c r="L215" i="9"/>
  <c r="H175" i="9"/>
  <c r="N67" i="9"/>
  <c r="H77" i="9"/>
  <c r="E71" i="9"/>
  <c r="L114" i="9"/>
  <c r="H212" i="9"/>
  <c r="F225" i="9"/>
  <c r="I137" i="9"/>
  <c r="F114" i="9"/>
  <c r="N190" i="9"/>
  <c r="O197" i="9"/>
  <c r="K50" i="3"/>
  <c r="O192" i="9"/>
  <c r="H255" i="9"/>
  <c r="O233" i="9"/>
  <c r="N265" i="9"/>
  <c r="I86" i="9"/>
  <c r="K182" i="9"/>
  <c r="K115" i="9"/>
  <c r="E27" i="9"/>
  <c r="F105" i="9"/>
  <c r="O40" i="3"/>
  <c r="N90" i="9"/>
  <c r="F227" i="9"/>
  <c r="L120" i="9"/>
  <c r="K105" i="9"/>
  <c r="I82" i="9"/>
  <c r="L22" i="9"/>
  <c r="O279" i="9"/>
  <c r="H140" i="9"/>
  <c r="I194" i="9"/>
  <c r="H196" i="9"/>
  <c r="N117" i="9"/>
  <c r="H108" i="9"/>
  <c r="N39" i="9"/>
  <c r="I118" i="9"/>
  <c r="L101" i="9"/>
  <c r="O43" i="3"/>
  <c r="G33" i="3"/>
  <c r="O146" i="9"/>
  <c r="K221" i="9"/>
  <c r="H153" i="9"/>
  <c r="C241" i="9"/>
  <c r="I112" i="9"/>
  <c r="H272" i="9"/>
  <c r="O59" i="3"/>
  <c r="C240" i="9"/>
  <c r="H257" i="9"/>
  <c r="L160" i="9"/>
  <c r="O162" i="9"/>
  <c r="C119" i="9"/>
  <c r="N72" i="9"/>
  <c r="I266" i="9"/>
  <c r="C33" i="9"/>
  <c r="O84" i="9"/>
  <c r="K63" i="3"/>
  <c r="F25" i="9"/>
  <c r="E234" i="9"/>
  <c r="I261" i="9"/>
  <c r="K216" i="9"/>
  <c r="K45" i="9"/>
  <c r="K26" i="9"/>
  <c r="E39" i="9"/>
  <c r="H200" i="9"/>
  <c r="C66" i="9"/>
  <c r="H204" i="9"/>
  <c r="N195" i="9"/>
  <c r="O214" i="9"/>
  <c r="H109" i="9"/>
  <c r="F86" i="9"/>
  <c r="C77" i="9"/>
  <c r="L124" i="9"/>
  <c r="K178" i="9"/>
  <c r="O113" i="9"/>
  <c r="L228" i="9"/>
  <c r="H142" i="9"/>
  <c r="K162" i="9"/>
  <c r="C76" i="9"/>
  <c r="H87" i="9"/>
  <c r="O196" i="9"/>
  <c r="F51" i="9"/>
  <c r="L38" i="9"/>
  <c r="F28" i="9"/>
  <c r="L42" i="9"/>
  <c r="E148" i="9"/>
  <c r="L161" i="9"/>
  <c r="H41" i="9"/>
  <c r="C143" i="9"/>
  <c r="C176" i="9"/>
  <c r="H156" i="9"/>
  <c r="I180" i="9"/>
  <c r="H222" i="9"/>
  <c r="F68" i="9"/>
  <c r="K274" i="9"/>
  <c r="L52" i="9"/>
  <c r="O42" i="3"/>
  <c r="H30" i="9"/>
  <c r="I87" i="9"/>
  <c r="N98" i="9"/>
  <c r="C27" i="9"/>
  <c r="K106" i="9"/>
  <c r="C80" i="9"/>
  <c r="C103" i="9"/>
  <c r="N101" i="9"/>
  <c r="K22" i="9"/>
  <c r="E34" i="9"/>
  <c r="O52" i="9"/>
  <c r="K108" i="9"/>
  <c r="H73" i="9"/>
  <c r="L24" i="9"/>
  <c r="E62" i="9"/>
  <c r="F275" i="9"/>
  <c r="I188" i="9"/>
  <c r="N277" i="9"/>
  <c r="E242" i="9"/>
  <c r="E189" i="9"/>
  <c r="F212" i="9"/>
  <c r="H185" i="9"/>
  <c r="K59" i="3"/>
  <c r="O88" i="9"/>
  <c r="F158" i="9"/>
  <c r="H75" i="9"/>
  <c r="F194" i="9"/>
  <c r="N197" i="9"/>
  <c r="C221" i="9"/>
  <c r="O82" i="9"/>
  <c r="L255" i="9"/>
  <c r="F178" i="9"/>
  <c r="N233" i="9"/>
  <c r="L193" i="9"/>
  <c r="I125" i="9"/>
  <c r="E275" i="9"/>
  <c r="O34" i="3"/>
  <c r="F83" i="9"/>
  <c r="O204" i="9"/>
  <c r="C217" i="9"/>
  <c r="N213" i="9"/>
  <c r="E273" i="9"/>
  <c r="I217" i="9"/>
  <c r="L250" i="9"/>
  <c r="E150" i="9"/>
  <c r="E274" i="9"/>
  <c r="N215" i="9"/>
  <c r="F154" i="9"/>
  <c r="F180" i="9"/>
  <c r="H74" i="9"/>
  <c r="H78" i="9"/>
  <c r="K117" i="9"/>
  <c r="N271" i="9"/>
  <c r="O238" i="9"/>
  <c r="L227" i="9"/>
  <c r="L34" i="9"/>
  <c r="E154" i="9"/>
  <c r="O190" i="9"/>
  <c r="N105" i="9"/>
  <c r="N159" i="9"/>
  <c r="O240" i="9"/>
  <c r="L178" i="9"/>
  <c r="I90" i="9"/>
  <c r="F37" i="9"/>
  <c r="C151" i="9"/>
  <c r="H121" i="9"/>
  <c r="L217" i="9"/>
  <c r="F104" i="9"/>
  <c r="F236" i="9"/>
  <c r="K31" i="9"/>
  <c r="I228" i="9"/>
  <c r="C107" i="9"/>
  <c r="O199" i="9"/>
  <c r="N30" i="9"/>
  <c r="N82" i="9"/>
  <c r="K126" i="9"/>
  <c r="F60" i="9"/>
  <c r="I88" i="9"/>
  <c r="H239" i="9"/>
  <c r="K42" i="3"/>
  <c r="O271" i="9"/>
  <c r="I277" i="9"/>
  <c r="E254" i="9"/>
  <c r="F38" i="9"/>
  <c r="C100" i="9"/>
  <c r="O29" i="9"/>
  <c r="O63" i="3"/>
  <c r="L123" i="9"/>
  <c r="E239" i="9"/>
  <c r="H187" i="9"/>
  <c r="E264" i="9"/>
  <c r="I221" i="9"/>
  <c r="I121" i="9"/>
  <c r="E258" i="9"/>
  <c r="C47" i="9"/>
  <c r="C63" i="9"/>
  <c r="H164" i="9"/>
  <c r="K73" i="3"/>
  <c r="N38" i="9"/>
  <c r="L88" i="9"/>
  <c r="L30" i="9"/>
  <c r="K260" i="9"/>
  <c r="E84" i="9"/>
  <c r="K66" i="9"/>
  <c r="N260" i="9"/>
  <c r="K73" i="9"/>
  <c r="N139" i="9"/>
  <c r="I229" i="9"/>
  <c r="C187" i="9"/>
  <c r="L166" i="9"/>
  <c r="N44" i="9"/>
  <c r="N225" i="9"/>
  <c r="F213" i="9"/>
  <c r="C145" i="9"/>
  <c r="N128" i="9"/>
  <c r="H148" i="9"/>
  <c r="F270" i="9"/>
  <c r="F262" i="9"/>
  <c r="I34" i="9"/>
  <c r="K41" i="9"/>
  <c r="N179" i="9"/>
  <c r="C230" i="9"/>
  <c r="L72" i="9"/>
  <c r="F263" i="9"/>
  <c r="C220" i="9"/>
  <c r="K196" i="9"/>
  <c r="L182" i="9"/>
  <c r="K278" i="9"/>
  <c r="I101" i="9"/>
  <c r="H161" i="9"/>
  <c r="I64" i="9"/>
  <c r="C111" i="9"/>
  <c r="I226" i="9"/>
  <c r="H141" i="9"/>
  <c r="K67" i="3"/>
  <c r="L269" i="9"/>
  <c r="L69" i="9"/>
  <c r="N144" i="9"/>
  <c r="E159" i="9"/>
  <c r="I39" i="9"/>
  <c r="L68" i="9"/>
  <c r="E212" i="9"/>
  <c r="L28" i="9"/>
  <c r="O39" i="3"/>
  <c r="O258" i="9"/>
  <c r="E100" i="9"/>
  <c r="H202" i="9"/>
  <c r="H193" i="9"/>
  <c r="L102" i="9"/>
  <c r="I69" i="9"/>
  <c r="K269" i="9"/>
  <c r="H68" i="9"/>
  <c r="H157" i="9"/>
  <c r="G46" i="3"/>
  <c r="H276" i="9"/>
  <c r="O159" i="9"/>
  <c r="I191" i="9"/>
  <c r="K12" i="3"/>
  <c r="K229" i="9"/>
  <c r="H139" i="9"/>
  <c r="I99" i="9"/>
  <c r="O47" i="3"/>
  <c r="E278" i="9"/>
  <c r="N280" i="9"/>
  <c r="K202" i="9"/>
  <c r="I138" i="9"/>
  <c r="O137" i="9"/>
  <c r="H155" i="9"/>
  <c r="L46" i="9"/>
  <c r="I70" i="9"/>
  <c r="O198" i="9"/>
  <c r="I280" i="9"/>
  <c r="O79" i="9"/>
  <c r="K84" i="9"/>
  <c r="C150" i="9"/>
  <c r="F191" i="9"/>
  <c r="H65" i="9"/>
  <c r="K24" i="5"/>
  <c r="O163" i="9"/>
  <c r="E188" i="9"/>
  <c r="F193" i="9"/>
  <c r="O241" i="9"/>
  <c r="E256" i="9"/>
  <c r="C136" i="9"/>
  <c r="I250" i="9"/>
  <c r="C225" i="9"/>
  <c r="E114" i="9"/>
  <c r="K32" i="3"/>
  <c r="N52" i="9"/>
  <c r="N23" i="9"/>
  <c r="L274" i="9"/>
  <c r="O83" i="9"/>
  <c r="O216" i="9"/>
  <c r="I181" i="9"/>
  <c r="G68" i="3"/>
  <c r="K36" i="9"/>
  <c r="N112" i="9"/>
  <c r="N65" i="9"/>
  <c r="E127" i="9"/>
  <c r="I75" i="9"/>
  <c r="H261" i="9"/>
  <c r="K217" i="9"/>
  <c r="C125" i="9"/>
  <c r="N262" i="9"/>
  <c r="H199" i="9"/>
  <c r="C155" i="9"/>
  <c r="L106" i="9"/>
  <c r="K118" i="9"/>
  <c r="E141" i="9"/>
  <c r="C261" i="9"/>
  <c r="K227" i="9"/>
  <c r="K11" i="5"/>
  <c r="F264" i="9"/>
  <c r="L138" i="9"/>
  <c r="H67" i="9"/>
  <c r="H271" i="9"/>
  <c r="C272" i="9"/>
  <c r="F48" i="9"/>
  <c r="K32" i="9"/>
  <c r="K23" i="9"/>
  <c r="F189" i="9"/>
  <c r="K110" i="9"/>
  <c r="O86" i="9"/>
  <c r="O273" i="9"/>
  <c r="C158" i="9"/>
  <c r="N145" i="9"/>
  <c r="L225" i="9"/>
  <c r="C188" i="9"/>
  <c r="C219" i="9"/>
  <c r="H47" i="9"/>
  <c r="I176" i="9"/>
  <c r="N259" i="9"/>
  <c r="E68" i="9"/>
  <c r="H32" i="9"/>
  <c r="N178" i="9"/>
  <c r="K218" i="9"/>
  <c r="O201" i="9"/>
  <c r="N223" i="9"/>
  <c r="K251" i="9"/>
  <c r="K234" i="9"/>
  <c r="F46" i="9"/>
  <c r="E222" i="9"/>
  <c r="L152" i="9"/>
  <c r="I44" i="9"/>
  <c r="C75" i="9"/>
  <c r="O25" i="9"/>
  <c r="C104" i="9"/>
  <c r="E80" i="9"/>
  <c r="K25" i="5"/>
  <c r="N181" i="9"/>
  <c r="F127" i="9"/>
  <c r="I52" i="9"/>
  <c r="H50" i="9"/>
  <c r="E72" i="9"/>
  <c r="K35" i="3"/>
  <c r="K51" i="9"/>
  <c r="F234" i="9"/>
  <c r="K38" i="9"/>
  <c r="E44" i="9"/>
  <c r="C106" i="9"/>
  <c r="N256" i="9"/>
  <c r="L149" i="9"/>
  <c r="L260" i="9"/>
  <c r="H226" i="9"/>
  <c r="K100" i="9"/>
  <c r="O112" i="9"/>
  <c r="H22" i="9"/>
  <c r="H178" i="9"/>
  <c r="E183" i="9"/>
  <c r="H241" i="9"/>
  <c r="E32" i="9"/>
  <c r="K75" i="3"/>
  <c r="I177" i="9"/>
  <c r="K101" i="9"/>
  <c r="C242" i="9"/>
  <c r="I32" i="9"/>
  <c r="E89" i="9"/>
  <c r="L226" i="9"/>
  <c r="F196" i="9"/>
  <c r="F159" i="9"/>
  <c r="E116" i="9"/>
  <c r="I43" i="9"/>
  <c r="N200" i="9"/>
  <c r="E259" i="9"/>
  <c r="O218" i="9"/>
  <c r="O24" i="9"/>
  <c r="K76" i="9"/>
  <c r="L82" i="9"/>
  <c r="C202" i="9"/>
  <c r="N122" i="9"/>
  <c r="F175" i="9"/>
  <c r="H146" i="9"/>
  <c r="F78" i="9"/>
  <c r="K19" i="5"/>
  <c r="L77" i="9"/>
  <c r="N222" i="9"/>
  <c r="C184" i="9"/>
  <c r="N238" i="9"/>
  <c r="I257" i="9"/>
  <c r="O142" i="9"/>
  <c r="F254" i="9"/>
  <c r="O186" i="9"/>
  <c r="O219" i="9"/>
  <c r="K88" i="9"/>
  <c r="F147" i="9"/>
  <c r="K252" i="9"/>
  <c r="E227" i="9"/>
  <c r="K65" i="9"/>
  <c r="K147" i="9"/>
  <c r="N212" i="9"/>
  <c r="K151" i="9"/>
  <c r="I108" i="9"/>
  <c r="N201" i="9"/>
  <c r="L155" i="9"/>
  <c r="E29" i="9"/>
  <c r="N274" i="9"/>
  <c r="F64" i="9"/>
  <c r="E137" i="9"/>
  <c r="K225" i="9"/>
  <c r="I31" i="9"/>
  <c r="O41" i="9"/>
  <c r="I25" i="9"/>
  <c r="H104" i="9"/>
  <c r="E265" i="9"/>
  <c r="C83" i="9"/>
  <c r="K242" i="9"/>
  <c r="I115" i="9"/>
  <c r="N227" i="9"/>
  <c r="K64" i="9"/>
  <c r="K270" i="9"/>
  <c r="K181" i="9"/>
  <c r="C256" i="9"/>
  <c r="C224" i="9"/>
  <c r="H190" i="9"/>
  <c r="C214" i="9"/>
  <c r="N146" i="9"/>
  <c r="K60" i="3"/>
  <c r="F22" i="9"/>
  <c r="H49" i="9"/>
  <c r="L252" i="9"/>
  <c r="F269" i="9"/>
  <c r="K6" i="3"/>
  <c r="O78" i="9"/>
  <c r="I22" i="9"/>
  <c r="F120" i="9"/>
  <c r="C99" i="9"/>
  <c r="O179" i="9"/>
  <c r="O22" i="9"/>
  <c r="N255" i="9"/>
  <c r="L257" i="9"/>
  <c r="E240" i="9"/>
  <c r="I24" i="9"/>
  <c r="G44" i="3"/>
  <c r="O274" i="9"/>
  <c r="L75" i="9"/>
  <c r="H217" i="9"/>
  <c r="L145" i="9"/>
  <c r="G60" i="3"/>
  <c r="L191" i="9"/>
  <c r="L180" i="9"/>
  <c r="H115" i="9"/>
  <c r="I204" i="9"/>
  <c r="H38" i="9"/>
  <c r="F162" i="9"/>
  <c r="C178" i="9"/>
  <c r="K14" i="5"/>
  <c r="E276" i="9"/>
  <c r="C102" i="9"/>
  <c r="H99" i="9"/>
  <c r="E198" i="9"/>
  <c r="K82" i="9"/>
  <c r="F118" i="9"/>
  <c r="F82" i="9"/>
  <c r="N158" i="9"/>
  <c r="H221" i="9"/>
  <c r="L66" i="9"/>
  <c r="H186" i="9"/>
  <c r="G35" i="3"/>
  <c r="F197" i="9"/>
  <c r="K238" i="9"/>
  <c r="F198" i="9"/>
  <c r="O225" i="9"/>
  <c r="K165" i="9"/>
  <c r="F161" i="9"/>
  <c r="N49" i="9"/>
  <c r="L122" i="9"/>
  <c r="F81" i="9"/>
  <c r="K215" i="9"/>
  <c r="H24" i="9"/>
  <c r="H166" i="9"/>
  <c r="K49" i="3"/>
  <c r="K49" i="9"/>
  <c r="K64" i="3"/>
  <c r="K13" i="5"/>
  <c r="I252" i="9"/>
  <c r="I163" i="9"/>
  <c r="K152" i="9"/>
  <c r="G63" i="3"/>
  <c r="E151" i="9"/>
  <c r="O40" i="9"/>
  <c r="E201" i="9"/>
  <c r="C72" i="9"/>
  <c r="G61" i="3"/>
  <c r="K232" i="9"/>
  <c r="C24" i="9"/>
  <c r="E121" i="9"/>
  <c r="K258" i="9"/>
  <c r="E165" i="9"/>
  <c r="O253" i="9"/>
  <c r="E186" i="9"/>
  <c r="K273" i="9"/>
  <c r="F232" i="9"/>
  <c r="H145" i="9"/>
  <c r="N182" i="9"/>
  <c r="I258" i="9"/>
  <c r="O229" i="9"/>
  <c r="K10" i="3"/>
  <c r="L242" i="9"/>
  <c r="L154" i="9"/>
  <c r="N250" i="9"/>
  <c r="K30" i="9"/>
  <c r="L212" i="9"/>
  <c r="F274" i="9"/>
  <c r="F163" i="9"/>
  <c r="I38" i="9"/>
  <c r="K154" i="9"/>
  <c r="E31" i="9"/>
  <c r="G75" i="3"/>
  <c r="E196" i="9"/>
  <c r="I122" i="9"/>
  <c r="O44" i="9"/>
  <c r="H188" i="9"/>
  <c r="K267" i="9"/>
  <c r="I182" i="9"/>
  <c r="O180" i="9"/>
  <c r="N60" i="9"/>
  <c r="L44" i="9"/>
  <c r="O68" i="3"/>
  <c r="H216" i="9"/>
  <c r="K10" i="5"/>
  <c r="G67" i="3"/>
  <c r="G50" i="3"/>
  <c r="K15" i="3"/>
  <c r="L50" i="9"/>
  <c r="G74" i="3"/>
  <c r="O174" i="9"/>
  <c r="F280" i="9"/>
  <c r="O75" i="9"/>
  <c r="I29" i="9"/>
  <c r="F66" i="9"/>
  <c r="I65" i="9"/>
  <c r="F204" i="9"/>
  <c r="L159" i="9"/>
  <c r="O33" i="3"/>
  <c r="F24" i="9"/>
  <c r="N99" i="9"/>
  <c r="C227" i="9"/>
  <c r="L63" i="9"/>
  <c r="K184" i="9"/>
  <c r="N76" i="9"/>
  <c r="I189" i="9"/>
  <c r="E270" i="9"/>
  <c r="E42" i="9"/>
  <c r="H101" i="9"/>
  <c r="K104" i="9"/>
  <c r="C255" i="9"/>
  <c r="I142" i="9"/>
  <c r="I30" i="9"/>
  <c r="K138" i="9"/>
  <c r="E181" i="9"/>
  <c r="F165" i="9"/>
  <c r="O161" i="9"/>
  <c r="N106" i="9"/>
  <c r="F75" i="9"/>
  <c r="E41" i="9"/>
  <c r="L117" i="9"/>
  <c r="O57" i="3"/>
  <c r="C26" i="9"/>
  <c r="C160" i="9"/>
  <c r="G41" i="3"/>
  <c r="H112" i="9"/>
  <c r="N258" i="9"/>
  <c r="F177" i="9"/>
  <c r="I222" i="9"/>
  <c r="C46" i="9"/>
  <c r="G56" i="3"/>
  <c r="F45" i="9"/>
  <c r="E22" i="9"/>
  <c r="N61" i="9"/>
  <c r="F218" i="9"/>
  <c r="F272" i="9"/>
  <c r="L36" i="9"/>
  <c r="H83" i="9"/>
  <c r="O155" i="9"/>
  <c r="H203" i="9"/>
  <c r="C90" i="9"/>
  <c r="E98" i="9"/>
  <c r="E111" i="9"/>
  <c r="C88" i="9"/>
  <c r="N188" i="9"/>
  <c r="E271" i="9"/>
  <c r="C196" i="9"/>
  <c r="I139" i="9"/>
  <c r="C108" i="9"/>
  <c r="L87" i="9"/>
  <c r="F122" i="9"/>
  <c r="C177" i="9"/>
  <c r="F267" i="9"/>
  <c r="E66" i="9"/>
  <c r="H76" i="9"/>
  <c r="K140" i="9"/>
  <c r="F181" i="9"/>
  <c r="N88" i="9"/>
  <c r="L29" i="9"/>
  <c r="K56" i="3"/>
  <c r="N79" i="9"/>
  <c r="F80" i="9"/>
  <c r="L179" i="9"/>
  <c r="F116" i="9"/>
  <c r="F72" i="9"/>
  <c r="G73" i="3"/>
  <c r="K176" i="9"/>
  <c r="N152" i="9"/>
  <c r="C186" i="9"/>
  <c r="I270" i="9"/>
  <c r="N69" i="9"/>
  <c r="F166" i="9"/>
  <c r="O231" i="9"/>
  <c r="E101" i="9"/>
  <c r="E174" i="9"/>
  <c r="H34" i="9"/>
  <c r="E23" i="9"/>
  <c r="E200" i="9"/>
  <c r="L254" i="9"/>
  <c r="C154" i="9"/>
  <c r="K9" i="3"/>
  <c r="F215" i="9"/>
  <c r="E85" i="9"/>
  <c r="L220" i="9"/>
  <c r="H189" i="9"/>
  <c r="L23" i="9"/>
  <c r="I151" i="9"/>
  <c r="I107" i="9"/>
  <c r="F228" i="9"/>
  <c r="I80" i="9"/>
  <c r="K164" i="9"/>
  <c r="L186" i="9"/>
  <c r="O144" i="9"/>
  <c r="E64" i="9"/>
  <c r="H240" i="9"/>
  <c r="F34" i="9"/>
  <c r="N239" i="9"/>
  <c r="K71" i="3"/>
  <c r="O107" i="9"/>
  <c r="I136" i="9"/>
  <c r="K220" i="9"/>
  <c r="H90" i="9"/>
  <c r="F202" i="9"/>
  <c r="K114" i="9"/>
  <c r="O223" i="9"/>
  <c r="E162" i="9"/>
  <c r="L201" i="9"/>
  <c r="H103" i="9"/>
  <c r="E257" i="9"/>
  <c r="E142" i="9"/>
  <c r="K79" i="9"/>
  <c r="K163" i="9"/>
  <c r="E79" i="9"/>
  <c r="H250" i="9"/>
  <c r="K150" i="9"/>
  <c r="O89" i="9"/>
  <c r="E225" i="9"/>
  <c r="N66" i="9"/>
  <c r="C35" i="9"/>
  <c r="I26" i="9"/>
  <c r="I155" i="9"/>
  <c r="O176" i="9"/>
  <c r="C38" i="9"/>
  <c r="H116" i="9"/>
  <c r="H26" i="9"/>
  <c r="H253" i="9"/>
  <c r="C43" i="9"/>
  <c r="E166" i="9"/>
  <c r="I114" i="9"/>
  <c r="O227" i="9"/>
  <c r="E138" i="9"/>
  <c r="N34" i="9"/>
  <c r="F252" i="9"/>
  <c r="E267" i="9"/>
  <c r="C276" i="9"/>
  <c r="K86" i="9"/>
  <c r="I278" i="9"/>
  <c r="O76" i="9"/>
  <c r="I225" i="9"/>
  <c r="I215" i="9"/>
  <c r="K136" i="9"/>
  <c r="H268" i="9"/>
  <c r="E280" i="9"/>
  <c r="L150" i="9"/>
  <c r="K264" i="9"/>
  <c r="H37" i="9"/>
  <c r="E35" i="9"/>
  <c r="K63" i="9"/>
  <c r="F219" i="9"/>
  <c r="L148" i="9"/>
  <c r="C273" i="9"/>
  <c r="E139" i="9"/>
  <c r="L181" i="9"/>
  <c r="C157" i="9"/>
  <c r="O87" i="9"/>
  <c r="E223" i="9"/>
  <c r="C50" i="9"/>
  <c r="I187" i="9"/>
  <c r="H176" i="9"/>
  <c r="F77" i="9"/>
  <c r="N127" i="9"/>
  <c r="E102" i="9"/>
  <c r="C190" i="9"/>
  <c r="C204" i="9"/>
  <c r="N276" i="9"/>
  <c r="N226" i="9"/>
  <c r="C25" i="9"/>
  <c r="K58" i="3"/>
  <c r="K214" i="9"/>
  <c r="C271" i="9"/>
  <c r="C268" i="9"/>
  <c r="N29" i="9"/>
  <c r="K33" i="9"/>
  <c r="I124" i="9"/>
  <c r="O166" i="9"/>
  <c r="L125" i="9"/>
  <c r="O74" i="3"/>
  <c r="E48" i="9"/>
  <c r="C62" i="9"/>
  <c r="N204" i="9"/>
  <c r="F155" i="9"/>
  <c r="G37" i="3"/>
  <c r="K74" i="3"/>
  <c r="F41" i="9"/>
  <c r="F203" i="9"/>
  <c r="I165" i="9"/>
  <c r="O217" i="9"/>
  <c r="O104" i="9"/>
  <c r="K22" i="5"/>
  <c r="E140" i="9"/>
  <c r="H85" i="9"/>
  <c r="H98" i="9"/>
  <c r="C110" i="9"/>
  <c r="K237" i="9"/>
  <c r="F214" i="9"/>
  <c r="F47" i="9"/>
  <c r="E163" i="9"/>
  <c r="C218" i="9"/>
  <c r="L241" i="9"/>
  <c r="N196" i="9"/>
  <c r="K193" i="9"/>
  <c r="L197" i="9"/>
  <c r="K127" i="9"/>
  <c r="E221" i="9"/>
  <c r="O234" i="9"/>
  <c r="O203" i="9"/>
  <c r="N27" i="9"/>
  <c r="E47" i="9"/>
  <c r="E203" i="9"/>
  <c r="H45" i="9"/>
  <c r="O195" i="9"/>
  <c r="K128" i="9"/>
  <c r="H160" i="9"/>
  <c r="N220" i="9"/>
  <c r="G69" i="3"/>
  <c r="L140" i="9"/>
  <c r="K78" i="9"/>
  <c r="E216" i="9"/>
  <c r="O49" i="9"/>
  <c r="E217" i="9"/>
  <c r="K230" i="9"/>
  <c r="F112" i="9"/>
  <c r="I262" i="9"/>
  <c r="F35" i="9"/>
  <c r="N37" i="9"/>
  <c r="C251" i="9"/>
  <c r="L164" i="9"/>
  <c r="I184" i="9"/>
  <c r="N187" i="9"/>
  <c r="N240" i="9"/>
  <c r="E251" i="9"/>
  <c r="O185" i="9"/>
  <c r="N75" i="9"/>
  <c r="O98" i="9"/>
  <c r="F106" i="9"/>
  <c r="C84" i="9"/>
  <c r="H119" i="9"/>
  <c r="O164" i="9"/>
  <c r="E70" i="9"/>
  <c r="I213" i="9"/>
  <c r="I223" i="9"/>
  <c r="O183" i="9"/>
  <c r="L240" i="9"/>
  <c r="E108" i="9"/>
  <c r="L237" i="9"/>
  <c r="N84" i="9"/>
  <c r="O39" i="9"/>
  <c r="O71" i="3"/>
  <c r="C152" i="9"/>
  <c r="E214" i="9"/>
  <c r="L41" i="9"/>
  <c r="C161" i="9"/>
  <c r="L190" i="9"/>
  <c r="L116" i="9"/>
  <c r="F89" i="9"/>
  <c r="I212" i="9"/>
  <c r="O62" i="9"/>
  <c r="L39" i="9"/>
  <c r="E213" i="9"/>
  <c r="O75" i="3"/>
  <c r="I113" i="9"/>
  <c r="H223" i="9"/>
  <c r="G43" i="3"/>
  <c r="E191" i="9"/>
  <c r="K145" i="9"/>
  <c r="K222" i="9"/>
  <c r="L199" i="9"/>
  <c r="F29" i="9"/>
  <c r="N42" i="9"/>
  <c r="E187" i="9"/>
  <c r="H227" i="9"/>
  <c r="H71" i="9"/>
  <c r="N214" i="9"/>
  <c r="C234" i="9"/>
  <c r="N153" i="9"/>
  <c r="F235" i="9"/>
  <c r="O255" i="9"/>
  <c r="I198" i="9"/>
  <c r="N165" i="9"/>
  <c r="H213" i="9"/>
  <c r="L40" i="9"/>
  <c r="N263" i="9"/>
  <c r="H225" i="9"/>
  <c r="E81" i="9"/>
  <c r="N164" i="9"/>
  <c r="K183" i="9"/>
  <c r="I156" i="9"/>
  <c r="F145" i="9"/>
  <c r="N142" i="9"/>
  <c r="E235" i="9"/>
  <c r="I73" i="9"/>
  <c r="H228" i="9"/>
  <c r="C67" i="9"/>
  <c r="F250" i="9"/>
  <c r="N121" i="9"/>
  <c r="C70" i="9"/>
  <c r="I143" i="9"/>
  <c r="L79" i="9"/>
  <c r="N161" i="9"/>
  <c r="L98" i="9"/>
  <c r="C159" i="9"/>
  <c r="O156" i="9"/>
  <c r="L141" i="9"/>
  <c r="O202" i="9"/>
  <c r="K200" i="9"/>
  <c r="N141" i="9"/>
  <c r="C113" i="9"/>
  <c r="O109" i="9"/>
  <c r="O85" i="9"/>
  <c r="K235" i="9"/>
  <c r="F148" i="9"/>
  <c r="C180" i="9"/>
  <c r="F273" i="9"/>
  <c r="F253" i="9"/>
  <c r="N110" i="9"/>
  <c r="O32" i="3"/>
  <c r="L229" i="9"/>
  <c r="H31" i="9"/>
  <c r="L275" i="9"/>
  <c r="G70" i="3"/>
  <c r="K177" i="9"/>
  <c r="L276" i="9"/>
  <c r="K102" i="9"/>
  <c r="L224" i="9"/>
  <c r="K61" i="9"/>
  <c r="F156" i="9"/>
  <c r="C122" i="9"/>
  <c r="E119" i="9"/>
  <c r="O140" i="9"/>
  <c r="K17" i="5"/>
  <c r="K137" i="9"/>
  <c r="K111" i="9"/>
  <c r="N102" i="9"/>
  <c r="I76" i="9"/>
  <c r="H113" i="9"/>
  <c r="C42" i="9"/>
  <c r="C34" i="9"/>
  <c r="K158" i="9"/>
  <c r="O200" i="9"/>
  <c r="I161" i="9"/>
  <c r="E147" i="9"/>
  <c r="K121" i="9"/>
  <c r="F102" i="9"/>
  <c r="L31" i="9"/>
  <c r="C52" i="9"/>
  <c r="O65" i="3"/>
  <c r="E30" i="9"/>
  <c r="I216" i="9"/>
  <c r="O38" i="9"/>
  <c r="F260" i="9"/>
  <c r="N119" i="9"/>
  <c r="E78" i="9"/>
  <c r="N89" i="9"/>
  <c r="E73" i="9"/>
  <c r="O33" i="9"/>
  <c r="G64" i="3"/>
  <c r="C222" i="9"/>
  <c r="E60" i="9"/>
  <c r="K70" i="3"/>
  <c r="F160" i="9"/>
  <c r="F150" i="9"/>
  <c r="N175" i="9"/>
  <c r="K275" i="9"/>
  <c r="C266" i="9"/>
  <c r="F152" i="9"/>
  <c r="E279" i="9"/>
  <c r="E122" i="9"/>
  <c r="E145" i="9"/>
  <c r="C89" i="9"/>
  <c r="K257" i="9"/>
  <c r="H81" i="9"/>
  <c r="L222" i="9"/>
  <c r="L84" i="9"/>
  <c r="C81" i="9"/>
  <c r="H252" i="9"/>
  <c r="I267" i="9"/>
  <c r="N230" i="9"/>
  <c r="O263" i="9"/>
  <c r="C197" i="9"/>
  <c r="K241" i="9"/>
  <c r="K25" i="9"/>
  <c r="N126" i="9"/>
  <c r="H100" i="9"/>
  <c r="C49" i="9"/>
  <c r="E164" i="9"/>
  <c r="O81" i="9"/>
  <c r="C147" i="9"/>
  <c r="C239" i="9"/>
  <c r="N43" i="9"/>
  <c r="L270" i="9"/>
  <c r="I126" i="9"/>
  <c r="F164" i="9"/>
  <c r="I61" i="9"/>
  <c r="O262" i="9"/>
  <c r="I153" i="9"/>
  <c r="O73" i="9"/>
  <c r="F222" i="9"/>
  <c r="L221" i="9"/>
  <c r="C149" i="9"/>
  <c r="K197" i="9"/>
  <c r="K39" i="9"/>
  <c r="N278" i="9"/>
  <c r="F74" i="9"/>
  <c r="L81" i="9"/>
  <c r="O184" i="9"/>
  <c r="C123" i="9"/>
  <c r="K279" i="9"/>
  <c r="O188" i="9"/>
  <c r="O141" i="9"/>
  <c r="E112" i="9"/>
  <c r="K44" i="9"/>
  <c r="K43" i="3"/>
  <c r="E253" i="9"/>
  <c r="L128" i="9"/>
  <c r="O90" i="9"/>
  <c r="I157" i="9"/>
  <c r="H25" i="9"/>
  <c r="K35" i="9"/>
  <c r="F128" i="9"/>
  <c r="K189" i="9"/>
  <c r="C79" i="9"/>
  <c r="C253" i="9"/>
  <c r="H278" i="9"/>
  <c r="H267" i="9"/>
  <c r="E43" i="9"/>
  <c r="N273" i="9"/>
  <c r="F139" i="9"/>
  <c r="N118" i="9"/>
  <c r="L136" i="9"/>
  <c r="N35" i="9"/>
  <c r="C254" i="9"/>
  <c r="C278" i="9"/>
  <c r="I40" i="9"/>
  <c r="K46" i="9"/>
  <c r="K155" i="9"/>
  <c r="I67" i="9"/>
  <c r="H42" i="9"/>
  <c r="I202" i="9"/>
  <c r="C265" i="9"/>
  <c r="L110" i="9"/>
  <c r="H162" i="9"/>
  <c r="L45" i="9"/>
  <c r="C60" i="9"/>
  <c r="I192" i="9"/>
  <c r="O42" i="9"/>
  <c r="E152" i="9"/>
  <c r="L119" i="9"/>
  <c r="I71" i="9"/>
  <c r="N275" i="9"/>
  <c r="N176" i="9"/>
  <c r="N136" i="9"/>
  <c r="E178" i="9"/>
  <c r="F84" i="9"/>
  <c r="I255" i="9"/>
  <c r="H198" i="9"/>
  <c r="N148" i="9"/>
  <c r="L70" i="9"/>
  <c r="O138" i="9"/>
  <c r="E269" i="9"/>
  <c r="O150" i="9"/>
  <c r="O108" i="9"/>
  <c r="C124" i="9"/>
  <c r="C237" i="9"/>
  <c r="K146" i="9"/>
  <c r="I128" i="9"/>
  <c r="O125" i="9"/>
  <c r="H70" i="9"/>
  <c r="K185" i="9"/>
  <c r="F200" i="9"/>
  <c r="N24" i="9"/>
  <c r="N73" i="9"/>
  <c r="F279" i="9"/>
  <c r="O237" i="9"/>
  <c r="O36" i="3"/>
  <c r="I220" i="9"/>
  <c r="K36" i="3"/>
  <c r="O181" i="9"/>
  <c r="E40" i="9"/>
  <c r="H174" i="9"/>
  <c r="H242" i="9"/>
  <c r="E266" i="9"/>
  <c r="K6" i="5"/>
  <c r="H238" i="9"/>
  <c r="I235" i="9"/>
  <c r="K62" i="3"/>
  <c r="K9" i="5"/>
  <c r="I102" i="9"/>
  <c r="N143" i="9"/>
  <c r="C191" i="9"/>
  <c r="O70" i="3"/>
  <c r="I81" i="9"/>
  <c r="K266" i="9"/>
  <c r="E50" i="9"/>
  <c r="H234" i="9"/>
  <c r="N151" i="9"/>
  <c r="H126" i="9"/>
  <c r="C193" i="9"/>
  <c r="G40" i="3"/>
  <c r="K39" i="3"/>
  <c r="K85" i="9"/>
  <c r="E117" i="9"/>
  <c r="C223" i="9"/>
  <c r="E118" i="9"/>
  <c r="K119" i="9"/>
  <c r="C40" i="9"/>
  <c r="H23" i="9"/>
  <c r="I279" i="9"/>
  <c r="N253" i="9"/>
  <c r="N157" i="9"/>
  <c r="I109" i="9"/>
  <c r="O152" i="9"/>
  <c r="F43" i="9"/>
  <c r="K33" i="3"/>
  <c r="E250" i="9"/>
  <c r="L175" i="9"/>
  <c r="H69" i="9"/>
  <c r="F230" i="9"/>
  <c r="K142" i="9"/>
  <c r="E77" i="9"/>
  <c r="L271" i="9"/>
  <c r="N231" i="9"/>
  <c r="C236" i="9"/>
  <c r="H277" i="9"/>
  <c r="E230" i="9"/>
  <c r="O254" i="9"/>
  <c r="F61" i="9"/>
  <c r="E63" i="9"/>
  <c r="F141" i="9"/>
  <c r="K20" i="5"/>
  <c r="N85" i="9"/>
  <c r="I41" i="9"/>
  <c r="H120" i="9"/>
  <c r="G31" i="3"/>
  <c r="O45" i="9"/>
  <c r="L273" i="9"/>
  <c r="E199" i="9"/>
  <c r="N166" i="9"/>
  <c r="E28" i="9"/>
  <c r="O65" i="9"/>
  <c r="O61" i="9"/>
  <c r="H127" i="9"/>
  <c r="O70" i="9"/>
  <c r="F49" i="9"/>
  <c r="C235" i="9"/>
  <c r="L105" i="9"/>
  <c r="L64" i="9"/>
  <c r="I60" i="9"/>
  <c r="L200" i="9"/>
  <c r="F192" i="9"/>
  <c r="C231" i="9"/>
  <c r="H107" i="9"/>
  <c r="E99" i="9"/>
  <c r="L214" i="9"/>
  <c r="K74" i="9"/>
  <c r="L174" i="9"/>
  <c r="H143" i="9"/>
  <c r="N236" i="9"/>
  <c r="K186" i="9"/>
  <c r="I160" i="9"/>
  <c r="O236" i="9"/>
  <c r="O193" i="9"/>
  <c r="H266" i="9"/>
  <c r="O149" i="9"/>
  <c r="H63" i="9"/>
  <c r="K123" i="9"/>
  <c r="H280" i="9"/>
  <c r="L256" i="9"/>
  <c r="I186" i="9"/>
  <c r="C162" i="9"/>
  <c r="O276" i="9"/>
  <c r="I236" i="9"/>
  <c r="E37" i="9"/>
  <c r="N194" i="9"/>
  <c r="L62" i="9"/>
  <c r="E90" i="9"/>
  <c r="I203" i="9"/>
  <c r="F233" i="9"/>
  <c r="F33" i="9"/>
  <c r="E69" i="9"/>
  <c r="L176" i="9"/>
  <c r="F70" i="9"/>
  <c r="O77" i="9"/>
  <c r="L151" i="9"/>
  <c r="I260" i="9"/>
  <c r="H224" i="9"/>
  <c r="O143" i="9"/>
  <c r="E236" i="9"/>
  <c r="F188" i="9"/>
  <c r="K13" i="3"/>
  <c r="N269" i="9"/>
  <c r="I68" i="9"/>
  <c r="F87" i="9"/>
  <c r="C126" i="9"/>
  <c r="N108" i="9"/>
  <c r="F183" i="9"/>
  <c r="K120" i="9"/>
  <c r="F62" i="9"/>
  <c r="L219" i="9"/>
  <c r="O69" i="9"/>
  <c r="C30" i="9"/>
  <c r="K159" i="9"/>
  <c r="I275" i="9"/>
  <c r="N81" i="9"/>
  <c r="C137" i="9"/>
  <c r="E272" i="9"/>
  <c r="L51" i="9"/>
  <c r="O278" i="9"/>
  <c r="K14" i="3"/>
  <c r="O66" i="3"/>
  <c r="O239" i="9"/>
  <c r="K224" i="9"/>
  <c r="K89" i="9"/>
  <c r="O148" i="9"/>
  <c r="O277" i="9"/>
  <c r="K103" i="9"/>
  <c r="I140" i="9"/>
  <c r="O45" i="3"/>
  <c r="O31" i="9"/>
  <c r="O48" i="3"/>
  <c r="L118" i="9"/>
  <c r="I175" i="9"/>
  <c r="C109" i="9"/>
  <c r="H123" i="9"/>
  <c r="F187" i="9"/>
  <c r="K223" i="9"/>
  <c r="K240" i="9"/>
  <c r="K21" i="3"/>
  <c r="C98" i="9"/>
  <c r="I214" i="9"/>
  <c r="N74" i="9"/>
  <c r="F216" i="9"/>
  <c r="E219" i="9"/>
  <c r="I50" i="9"/>
  <c r="O117" i="9"/>
  <c r="I159" i="9"/>
  <c r="E261" i="9"/>
  <c r="H35" i="9"/>
  <c r="O194" i="9"/>
  <c r="C64" i="9"/>
  <c r="G58" i="3"/>
  <c r="F44" i="9"/>
  <c r="C65" i="9"/>
  <c r="C175" i="9"/>
  <c r="I199" i="9"/>
  <c r="N268" i="9"/>
  <c r="C181" i="9"/>
  <c r="C232" i="9"/>
  <c r="I47" i="9"/>
  <c r="F50" i="9"/>
  <c r="L230" i="9"/>
  <c r="I268" i="9"/>
  <c r="N198" i="9"/>
  <c r="I49" i="9"/>
  <c r="F261" i="9"/>
  <c r="O46" i="3"/>
  <c r="K190" i="9"/>
  <c r="E179" i="9"/>
  <c r="C250" i="9"/>
  <c r="E231" i="9"/>
  <c r="C270" i="9"/>
  <c r="L251" i="9"/>
  <c r="L195" i="9"/>
  <c r="C258" i="9"/>
  <c r="H72" i="9"/>
  <c r="H150" i="9"/>
  <c r="E136" i="9"/>
  <c r="L163" i="9"/>
  <c r="H269" i="9"/>
  <c r="K68" i="9"/>
  <c r="K44" i="3"/>
  <c r="E180" i="9"/>
  <c r="K46" i="3"/>
  <c r="K90" i="9"/>
  <c r="E113" i="9"/>
  <c r="E61" i="9"/>
  <c r="H194" i="9"/>
  <c r="K61" i="3"/>
  <c r="H117" i="9"/>
  <c r="I263" i="9"/>
  <c r="L108" i="9"/>
  <c r="O58" i="3"/>
  <c r="N154" i="9"/>
  <c r="I141" i="9"/>
  <c r="I66" i="9"/>
  <c r="K219" i="9"/>
  <c r="N184" i="9"/>
  <c r="E229" i="9"/>
  <c r="H138" i="9"/>
  <c r="O35" i="9"/>
  <c r="C163" i="9"/>
  <c r="L35" i="9"/>
  <c r="O74" i="9"/>
  <c r="N147" i="9"/>
  <c r="C82" i="9"/>
  <c r="H111" i="9"/>
  <c r="I241" i="9"/>
  <c r="F40" i="9"/>
  <c r="C257" i="9"/>
  <c r="F151" i="9"/>
  <c r="K191" i="9"/>
  <c r="E144" i="9"/>
  <c r="G39" i="3"/>
  <c r="K256" i="9"/>
  <c r="L43" i="9"/>
  <c r="N272" i="9"/>
  <c r="N68" i="9"/>
  <c r="N237" i="9"/>
  <c r="I230" i="9"/>
  <c r="H165" i="9"/>
  <c r="N86" i="9"/>
  <c r="C199" i="9"/>
  <c r="H237" i="9"/>
  <c r="E192" i="9"/>
  <c r="L126" i="9"/>
  <c r="I27" i="9"/>
  <c r="I271" i="9"/>
  <c r="N261" i="9"/>
  <c r="O123" i="9"/>
  <c r="K19" i="3"/>
  <c r="O69" i="3"/>
  <c r="L189" i="9"/>
  <c r="H279" i="9"/>
  <c r="O110" i="9"/>
  <c r="E220" i="9"/>
  <c r="K148" i="9"/>
  <c r="L177" i="9"/>
  <c r="O34" i="9"/>
  <c r="C28" i="9"/>
  <c r="C182" i="9"/>
  <c r="I83" i="9"/>
  <c r="G36" i="3"/>
  <c r="O120" i="9"/>
  <c r="O100" i="9"/>
  <c r="K180" i="9"/>
  <c r="L100" i="9"/>
  <c r="O220" i="9"/>
  <c r="E105" i="9"/>
  <c r="F88" i="9"/>
  <c r="I123" i="9"/>
  <c r="K60" i="9"/>
  <c r="E158" i="9"/>
  <c r="K50" i="9"/>
  <c r="N31" i="9"/>
  <c r="E38" i="9"/>
  <c r="H110" i="9"/>
  <c r="H236" i="9"/>
  <c r="O160" i="9"/>
  <c r="K188" i="9"/>
  <c r="C229" i="9"/>
  <c r="L48" i="9"/>
  <c r="L162" i="9"/>
  <c r="O99" i="9"/>
  <c r="E75" i="9"/>
  <c r="K71" i="9"/>
  <c r="E33" i="9"/>
  <c r="O118" i="9"/>
  <c r="K201" i="9"/>
  <c r="F125" i="9"/>
  <c r="O224" i="9"/>
  <c r="L158" i="9"/>
  <c r="L231" i="9"/>
  <c r="F26" i="9"/>
  <c r="L83" i="9"/>
  <c r="H191" i="9"/>
  <c r="F278" i="9"/>
  <c r="C252" i="9"/>
  <c r="N138" i="9"/>
  <c r="K69" i="9"/>
  <c r="O252" i="9"/>
  <c r="O47" i="9"/>
  <c r="N199" i="9"/>
  <c r="I238" i="9"/>
  <c r="O228" i="9"/>
  <c r="H61" i="9"/>
  <c r="N83" i="9"/>
  <c r="N51" i="9"/>
  <c r="G57" i="3"/>
  <c r="E184" i="9"/>
  <c r="L32" i="9"/>
  <c r="E123" i="9"/>
  <c r="F142" i="9"/>
  <c r="N113" i="9"/>
  <c r="O280" i="9"/>
  <c r="O256" i="9"/>
  <c r="E110" i="9"/>
  <c r="K81" i="9"/>
  <c r="F174" i="9"/>
  <c r="O157" i="9"/>
  <c r="N189" i="9"/>
  <c r="N63" i="9"/>
  <c r="K37" i="9"/>
  <c r="K179" i="9"/>
  <c r="O101" i="9"/>
  <c r="E88" i="9"/>
  <c r="O158" i="9"/>
  <c r="N47" i="9"/>
  <c r="C23" i="9"/>
  <c r="E194" i="9"/>
  <c r="F242" i="9"/>
  <c r="K255" i="9"/>
  <c r="F32" i="9"/>
  <c r="C267" i="9"/>
  <c r="H62" i="9"/>
  <c r="F71" i="9"/>
  <c r="L112" i="9"/>
  <c r="C195" i="9"/>
  <c r="H192" i="9"/>
  <c r="I251" i="9"/>
  <c r="E277" i="9"/>
  <c r="L71" i="9"/>
  <c r="E237" i="9"/>
  <c r="I152" i="9"/>
  <c r="F23" i="9"/>
  <c r="E26" i="9"/>
  <c r="F90" i="9"/>
  <c r="K116" i="9"/>
  <c r="H122" i="9"/>
  <c r="C165" i="9"/>
  <c r="O23" i="9"/>
  <c r="K48" i="3"/>
  <c r="C280" i="9"/>
  <c r="E153" i="9"/>
  <c r="F121" i="9"/>
  <c r="O60" i="9"/>
  <c r="I63" i="9"/>
  <c r="C69" i="9"/>
  <c r="F138" i="9"/>
  <c r="I74" i="9"/>
  <c r="L277" i="9"/>
  <c r="K16" i="5"/>
  <c r="C114" i="9"/>
  <c r="C277" i="9"/>
  <c r="N163" i="9"/>
  <c r="O41" i="3"/>
  <c r="C68" i="9"/>
  <c r="F85" i="9"/>
  <c r="N78" i="9"/>
  <c r="I103" i="9"/>
  <c r="L267" i="9"/>
  <c r="F124" i="9"/>
  <c r="N77" i="9"/>
  <c r="K149" i="9"/>
  <c r="O105" i="9"/>
  <c r="K174" i="9"/>
  <c r="K31" i="3"/>
  <c r="K99" i="9"/>
  <c r="K153" i="9"/>
  <c r="K43" i="9"/>
  <c r="H273" i="9"/>
  <c r="L107" i="9"/>
  <c r="O264" i="9"/>
  <c r="L261" i="9"/>
  <c r="N26" i="9"/>
  <c r="E177" i="9"/>
  <c r="O66" i="9"/>
  <c r="O27" i="9"/>
  <c r="O50" i="3"/>
  <c r="O122" i="9"/>
  <c r="E128" i="9"/>
  <c r="K7" i="3"/>
  <c r="I147" i="9"/>
  <c r="K8" i="3"/>
  <c r="C146" i="9"/>
  <c r="K113" i="9"/>
  <c r="G62" i="3"/>
  <c r="C45" i="9"/>
  <c r="I127" i="9"/>
  <c r="H154" i="9"/>
  <c r="N218" i="9"/>
  <c r="K17" i="3"/>
  <c r="E160" i="9"/>
  <c r="L194" i="9"/>
  <c r="I89" i="9"/>
  <c r="C216" i="9"/>
  <c r="N123" i="9"/>
  <c r="K22" i="3"/>
  <c r="L239" i="9"/>
  <c r="I28" i="9"/>
  <c r="L235" i="9"/>
  <c r="K253" i="9"/>
  <c r="F110" i="9"/>
  <c r="O64" i="9"/>
  <c r="H89" i="9"/>
  <c r="O37" i="9"/>
  <c r="C71" i="9"/>
  <c r="E149" i="9"/>
  <c r="I254" i="9"/>
  <c r="K195" i="9"/>
  <c r="K34" i="9"/>
  <c r="O154" i="9"/>
  <c r="C174" i="9"/>
  <c r="O102" i="9"/>
  <c r="N104" i="9"/>
  <c r="O28" i="9"/>
  <c r="G38" i="3"/>
  <c r="F241" i="9"/>
  <c r="L196" i="9"/>
  <c r="L188" i="9"/>
  <c r="O30" i="9"/>
  <c r="L47" i="9"/>
  <c r="C238" i="9"/>
  <c r="C101" i="9"/>
  <c r="K199" i="9"/>
  <c r="I111" i="9"/>
  <c r="F103" i="9"/>
  <c r="I148" i="9"/>
  <c r="I77" i="9"/>
  <c r="E228" i="9"/>
  <c r="F224" i="9"/>
  <c r="F220" i="9"/>
  <c r="H144" i="9"/>
  <c r="N70" i="9"/>
  <c r="I274" i="9"/>
  <c r="C183" i="9"/>
  <c r="H44" i="9"/>
  <c r="K80" i="9"/>
  <c r="N251" i="9"/>
  <c r="H258" i="9"/>
  <c r="O251" i="9"/>
  <c r="O226" i="9"/>
  <c r="H232" i="9"/>
  <c r="H66" i="9"/>
  <c r="K66" i="3"/>
  <c r="E161" i="9"/>
  <c r="O72" i="9"/>
  <c r="C200" i="9"/>
  <c r="N203" i="9"/>
  <c r="F107" i="9"/>
  <c r="N192" i="9"/>
  <c r="K40" i="3"/>
  <c r="O242" i="9"/>
  <c r="C87" i="9"/>
  <c r="L37" i="9"/>
  <c r="I259" i="9"/>
  <c r="K157" i="9"/>
  <c r="H263" i="9"/>
  <c r="H158" i="9"/>
  <c r="C269" i="9"/>
  <c r="C215" i="9"/>
  <c r="L65" i="9"/>
  <c r="N107" i="9"/>
  <c r="O106" i="9"/>
  <c r="C29" i="9"/>
  <c r="C86" i="9"/>
  <c r="L238" i="9"/>
  <c r="L253" i="9"/>
  <c r="I45" i="9"/>
  <c r="L262" i="9"/>
  <c r="N28" i="9"/>
  <c r="N125" i="9"/>
  <c r="I46" i="9"/>
  <c r="I231" i="9"/>
  <c r="N64" i="9"/>
  <c r="K107" i="9"/>
  <c r="C36" i="9"/>
  <c r="C73" i="9"/>
  <c r="I72" i="9"/>
  <c r="H177" i="9"/>
  <c r="O103" i="9"/>
  <c r="K277" i="9"/>
  <c r="I144" i="9"/>
  <c r="L85" i="9"/>
  <c r="L280" i="9"/>
  <c r="K98" i="9"/>
  <c r="O178" i="9"/>
  <c r="F115" i="9"/>
  <c r="I276" i="9"/>
  <c r="E218" i="9"/>
  <c r="F271" i="9"/>
  <c r="K12" i="5"/>
  <c r="E224" i="9"/>
  <c r="I193" i="9"/>
  <c r="I98" i="9"/>
  <c r="N252" i="9"/>
  <c r="O272" i="9"/>
  <c r="H43" i="9"/>
  <c r="H183" i="9"/>
  <c r="E45" i="9"/>
  <c r="H215" i="9"/>
  <c r="F157" i="9"/>
  <c r="C213" i="9"/>
  <c r="H147" i="9"/>
  <c r="I239" i="9"/>
  <c r="N41" i="9"/>
  <c r="K204" i="9"/>
  <c r="H265" i="9"/>
  <c r="O61" i="3"/>
  <c r="N177" i="9"/>
  <c r="N50" i="9"/>
  <c r="O43" i="9"/>
  <c r="K166" i="9"/>
  <c r="L216" i="9"/>
  <c r="F31" i="9"/>
  <c r="N100" i="9"/>
  <c r="H214" i="9"/>
  <c r="C105" i="9"/>
  <c r="K261" i="9"/>
  <c r="H60" i="9"/>
  <c r="L49" i="9"/>
  <c r="K233" i="9"/>
  <c r="I154" i="9"/>
  <c r="F119" i="9"/>
  <c r="L234" i="9"/>
  <c r="C112" i="9"/>
  <c r="O67" i="9"/>
  <c r="I179" i="9"/>
  <c r="N155" i="9"/>
  <c r="K250" i="9"/>
  <c r="K194" i="9"/>
  <c r="I116" i="9"/>
  <c r="C264" i="9"/>
  <c r="O187" i="9"/>
  <c r="O114" i="9"/>
  <c r="K29" i="9"/>
  <c r="O128" i="9"/>
  <c r="F67" i="9"/>
  <c r="K203" i="9"/>
  <c r="K77" i="9"/>
  <c r="O63" i="9"/>
  <c r="C142" i="9"/>
  <c r="O265" i="9"/>
  <c r="L232" i="9"/>
  <c r="O182" i="9"/>
  <c r="C156" i="9"/>
  <c r="L89" i="9"/>
  <c r="G72" i="3"/>
  <c r="O126" i="9"/>
  <c r="L236" i="9"/>
  <c r="O266" i="9"/>
  <c r="I201" i="9"/>
  <c r="K47" i="9"/>
  <c r="N279" i="9"/>
  <c r="H220" i="9"/>
  <c r="C185" i="9"/>
  <c r="C120" i="9"/>
  <c r="O215" i="9"/>
  <c r="G32" i="3"/>
  <c r="O67" i="3"/>
  <c r="I48" i="9"/>
  <c r="I162" i="9"/>
  <c r="N174" i="9"/>
  <c r="O136" i="9"/>
  <c r="E197" i="9"/>
  <c r="I174" i="9"/>
  <c r="K112" i="9"/>
  <c r="F195" i="9"/>
  <c r="F39" i="9"/>
  <c r="L147" i="9"/>
  <c r="E125" i="9"/>
  <c r="O71" i="9"/>
  <c r="K139" i="9"/>
  <c r="L279" i="9"/>
  <c r="I23" i="9"/>
  <c r="F123" i="9"/>
  <c r="I33" i="9"/>
  <c r="K16" i="3"/>
  <c r="K25" i="3"/>
  <c r="K47" i="3"/>
  <c r="K40" i="9"/>
  <c r="L27" i="9"/>
  <c r="C228" i="9"/>
  <c r="K280" i="9"/>
  <c r="O64" i="3"/>
  <c r="F126" i="9"/>
  <c r="F176" i="9"/>
  <c r="K259" i="9"/>
  <c r="G42" i="3"/>
  <c r="H152" i="9"/>
  <c r="K160" i="9"/>
  <c r="L184" i="9"/>
  <c r="I158" i="9"/>
  <c r="I218" i="9"/>
  <c r="H105" i="9"/>
  <c r="I79" i="9"/>
  <c r="E76" i="9"/>
  <c r="L73" i="9"/>
  <c r="H52" i="9"/>
  <c r="K48" i="9"/>
  <c r="O250" i="9"/>
  <c r="N71" i="9"/>
  <c r="I196" i="9"/>
  <c r="K175" i="9"/>
  <c r="L60" i="9"/>
  <c r="I272" i="9"/>
  <c r="N224" i="9"/>
  <c r="N180" i="9"/>
  <c r="O259" i="9"/>
  <c r="L127" i="9"/>
  <c r="K239" i="9"/>
  <c r="E156" i="9"/>
  <c r="L157" i="9"/>
  <c r="C74" i="9"/>
  <c r="L111" i="9"/>
  <c r="C262" i="9"/>
  <c r="H84" i="9"/>
  <c r="F27" i="9"/>
  <c r="E120" i="9"/>
  <c r="K87" i="9"/>
  <c r="L156" i="9"/>
  <c r="O127" i="9"/>
  <c r="E126" i="9"/>
  <c r="K212" i="9"/>
  <c r="F277" i="9"/>
  <c r="I164" i="9"/>
  <c r="N216" i="9"/>
  <c r="E52" i="9"/>
  <c r="F79" i="9"/>
  <c r="F98" i="9"/>
  <c r="I149" i="9"/>
  <c r="F30" i="9"/>
  <c r="L272" i="9"/>
  <c r="E143" i="9"/>
  <c r="L266" i="9"/>
  <c r="F73" i="9"/>
  <c r="H82" i="9"/>
  <c r="G34" i="3"/>
  <c r="K228" i="9"/>
  <c r="L233" i="9"/>
  <c r="O212" i="9"/>
  <c r="K69" i="3"/>
  <c r="O73" i="3"/>
  <c r="E104" i="9"/>
  <c r="K7" i="5"/>
  <c r="I264" i="9"/>
  <c r="K262" i="9"/>
  <c r="L67" i="9"/>
  <c r="F229" i="9"/>
  <c r="H114" i="9"/>
  <c r="C212" i="9"/>
  <c r="H86" i="9"/>
  <c r="F36" i="9"/>
  <c r="N111" i="9"/>
  <c r="H102" i="9"/>
  <c r="I104" i="9"/>
  <c r="E107" i="9"/>
  <c r="C115" i="9"/>
  <c r="E176" i="9"/>
  <c r="H36" i="9"/>
  <c r="N264" i="9"/>
  <c r="L33" i="9"/>
  <c r="H48" i="9"/>
  <c r="L192" i="9"/>
  <c r="N87" i="9"/>
  <c r="K109" i="9"/>
  <c r="E226" i="9"/>
  <c r="I145" i="9"/>
  <c r="H46" i="9"/>
  <c r="C41" i="9"/>
  <c r="L137" i="9"/>
  <c r="L278" i="9"/>
  <c r="O221" i="9"/>
  <c r="E182" i="9"/>
  <c r="F237" i="9"/>
  <c r="O261" i="9"/>
  <c r="G66" i="3"/>
  <c r="H254" i="9"/>
  <c r="L202" i="9"/>
  <c r="I120" i="9"/>
  <c r="I253" i="9"/>
  <c r="N36" i="9"/>
  <c r="H229" i="9"/>
  <c r="C51" i="9"/>
  <c r="C166" i="9"/>
  <c r="I105" i="9"/>
  <c r="C275" i="9"/>
  <c r="C279" i="9"/>
  <c r="C153" i="9"/>
  <c r="K72" i="3"/>
  <c r="C274" i="9"/>
  <c r="E109" i="9"/>
  <c r="N228" i="9"/>
  <c r="N25" i="9"/>
  <c r="L25" i="9"/>
  <c r="E46" i="9"/>
  <c r="O60" i="3"/>
  <c r="O260" i="9"/>
  <c r="K18" i="5"/>
  <c r="K161" i="9"/>
  <c r="I150" i="9"/>
  <c r="N217" i="9"/>
  <c r="H219" i="9"/>
  <c r="O222" i="9"/>
  <c r="E190" i="9"/>
  <c r="K276" i="9"/>
  <c r="H235" i="9"/>
  <c r="K11" i="3"/>
  <c r="K37" i="3"/>
  <c r="K254" i="9"/>
  <c r="L80" i="9"/>
  <c r="C116" i="9"/>
  <c r="N40" i="9"/>
  <c r="K41" i="3"/>
  <c r="N140" i="9"/>
  <c r="C138" i="9"/>
  <c r="C128" i="9"/>
  <c r="I117" i="9"/>
  <c r="H256" i="9"/>
  <c r="N124" i="9"/>
  <c r="I195" i="9"/>
  <c r="H27" i="9"/>
  <c r="H201" i="9"/>
  <c r="K263" i="9"/>
  <c r="H259" i="9"/>
  <c r="N266" i="9"/>
  <c r="O37" i="3"/>
  <c r="E232" i="9"/>
  <c r="L185" i="9"/>
  <c r="N254" i="9"/>
  <c r="O80" i="9"/>
  <c r="K28" i="9"/>
  <c r="F238" i="9"/>
  <c r="O275" i="9"/>
  <c r="E74" i="9"/>
  <c r="E185" i="9"/>
  <c r="F217" i="9"/>
  <c r="E49" i="9"/>
  <c r="C203" i="9"/>
  <c r="L213" i="9"/>
  <c r="O62" i="3"/>
  <c r="N103" i="9"/>
  <c r="F137" i="9"/>
  <c r="C164" i="9"/>
  <c r="N193" i="9"/>
  <c r="K124" i="9"/>
  <c r="N257" i="9"/>
  <c r="C233" i="9"/>
  <c r="I183" i="9"/>
  <c r="I237" i="9"/>
  <c r="K68" i="3"/>
  <c r="O165" i="9"/>
  <c r="K125" i="9"/>
  <c r="K52" i="9"/>
  <c r="E67" i="9"/>
  <c r="E157" i="9"/>
  <c r="H184" i="9"/>
  <c r="F144" i="9"/>
  <c r="L223" i="9"/>
  <c r="F199" i="9"/>
  <c r="C85" i="9"/>
  <c r="I37" i="9"/>
  <c r="E82" i="9"/>
  <c r="O139" i="9"/>
  <c r="E193" i="9"/>
  <c r="C201" i="9"/>
  <c r="F201" i="9"/>
  <c r="I190" i="9"/>
  <c r="I62" i="9"/>
  <c r="K67" i="9"/>
  <c r="I265" i="9"/>
  <c r="H264" i="9"/>
  <c r="H88" i="9"/>
  <c r="E262" i="9"/>
  <c r="O46" i="9"/>
  <c r="H29" i="9"/>
  <c r="I233" i="9"/>
  <c r="K20" i="3"/>
  <c r="F258" i="9"/>
  <c r="H274" i="9"/>
  <c r="K42" i="9"/>
  <c r="F109" i="9"/>
  <c r="H262" i="9"/>
  <c r="L26" i="9"/>
  <c r="E263" i="9"/>
  <c r="K198" i="9"/>
  <c r="I42" i="9"/>
  <c r="E106" i="9"/>
  <c r="K15" i="5"/>
  <c r="C39" i="9"/>
  <c r="N62" i="9"/>
  <c r="N45" i="9"/>
  <c r="N191" i="9"/>
  <c r="I35" i="9"/>
  <c r="L74" i="9"/>
  <c r="O48" i="9"/>
  <c r="L183" i="9"/>
  <c r="I106" i="9"/>
  <c r="K122" i="9"/>
  <c r="O230" i="9"/>
  <c r="H181" i="9"/>
  <c r="L78" i="9"/>
  <c r="O147" i="9"/>
  <c r="E51" i="9"/>
  <c r="G45" i="3"/>
  <c r="K18" i="3"/>
  <c r="O177" i="9"/>
  <c r="C148" i="9"/>
  <c r="N267" i="9"/>
  <c r="O189" i="9"/>
  <c r="F251" i="9"/>
  <c r="O145" i="9"/>
  <c r="C226" i="9"/>
  <c r="F76" i="9"/>
  <c r="N33" i="9"/>
  <c r="I200" i="9"/>
  <c r="E86" i="9"/>
  <c r="N221" i="9"/>
  <c r="H128" i="9"/>
  <c r="O213" i="9"/>
  <c r="F266" i="9"/>
  <c r="N241" i="9"/>
  <c r="F231" i="9"/>
  <c r="N48" i="9"/>
  <c r="L115" i="9"/>
  <c r="N80" i="9"/>
  <c r="K24" i="3"/>
  <c r="N156" i="9"/>
  <c r="F184" i="9"/>
  <c r="K226" i="9"/>
  <c r="K156" i="9"/>
  <c r="I119" i="9"/>
  <c r="O175" i="9"/>
  <c r="H39" i="9"/>
  <c r="N162" i="9"/>
  <c r="H151" i="9"/>
  <c r="K213" i="9"/>
  <c r="G65" i="3"/>
  <c r="C117" i="9"/>
  <c r="H106" i="9"/>
  <c r="H270" i="9"/>
  <c r="I242" i="9"/>
  <c r="K192" i="9"/>
  <c r="E202" i="9"/>
  <c r="L113" i="9"/>
  <c r="N242" i="9"/>
  <c r="E241" i="9"/>
  <c r="O32" i="9"/>
  <c r="K265" i="9"/>
  <c r="N137" i="9"/>
  <c r="N46" i="9"/>
  <c r="L86" i="9"/>
  <c r="E124" i="9"/>
  <c r="G117" i="9" l="1"/>
  <c r="D117" i="9"/>
  <c r="M117" i="9"/>
  <c r="J117" i="9"/>
  <c r="I65" i="3"/>
  <c r="H65" i="3"/>
  <c r="J65" i="3"/>
  <c r="N24" i="3"/>
  <c r="M24" i="3"/>
  <c r="L24" i="3"/>
  <c r="G226" i="9"/>
  <c r="J226" i="9"/>
  <c r="M226" i="9"/>
  <c r="D226" i="9"/>
  <c r="D148" i="9"/>
  <c r="G148" i="9"/>
  <c r="J148" i="9"/>
  <c r="M148" i="9"/>
  <c r="L18" i="3"/>
  <c r="N18" i="3"/>
  <c r="M18" i="3"/>
  <c r="H45" i="3"/>
  <c r="I45" i="3"/>
  <c r="J45" i="3"/>
  <c r="D39" i="9"/>
  <c r="J39" i="9"/>
  <c r="M39" i="9"/>
  <c r="G39" i="9"/>
  <c r="N15" i="5"/>
  <c r="M15" i="5"/>
  <c r="L15" i="5"/>
  <c r="M20" i="3"/>
  <c r="N20" i="3"/>
  <c r="L20" i="3"/>
  <c r="M201" i="9"/>
  <c r="J201" i="9"/>
  <c r="D201" i="9"/>
  <c r="G201" i="9"/>
  <c r="D85" i="9"/>
  <c r="J85" i="9"/>
  <c r="G85" i="9"/>
  <c r="M85" i="9"/>
  <c r="N68" i="3"/>
  <c r="L68" i="3"/>
  <c r="M68" i="3"/>
  <c r="G233" i="9"/>
  <c r="J233" i="9"/>
  <c r="D233" i="9"/>
  <c r="M233" i="9"/>
  <c r="G164" i="9"/>
  <c r="J164" i="9"/>
  <c r="M164" i="9"/>
  <c r="D164" i="9"/>
  <c r="P62" i="3"/>
  <c r="Q62" i="3"/>
  <c r="R62" i="3"/>
  <c r="J203" i="9"/>
  <c r="M203" i="9"/>
  <c r="D203" i="9"/>
  <c r="G203" i="9"/>
  <c r="R37" i="3"/>
  <c r="Q37" i="3"/>
  <c r="P37" i="3"/>
  <c r="G128" i="9"/>
  <c r="D128" i="9"/>
  <c r="J128" i="9"/>
  <c r="M128" i="9"/>
  <c r="J138" i="9"/>
  <c r="G138" i="9"/>
  <c r="D138" i="9"/>
  <c r="M138" i="9"/>
  <c r="L41" i="3"/>
  <c r="N41" i="3"/>
  <c r="M41" i="3"/>
  <c r="D116" i="9"/>
  <c r="J116" i="9"/>
  <c r="M116" i="9"/>
  <c r="G116" i="9"/>
  <c r="M37" i="3"/>
  <c r="N37" i="3"/>
  <c r="L37" i="3"/>
  <c r="N11" i="3"/>
  <c r="L11" i="3"/>
  <c r="M11" i="3"/>
  <c r="M18" i="5"/>
  <c r="N18" i="5"/>
  <c r="L18" i="5"/>
  <c r="Q60" i="3"/>
  <c r="P60" i="3"/>
  <c r="R60" i="3"/>
  <c r="G274" i="9"/>
  <c r="M274" i="9"/>
  <c r="J274" i="9"/>
  <c r="D274" i="9"/>
  <c r="N72" i="3"/>
  <c r="M72" i="3"/>
  <c r="L72" i="3"/>
  <c r="M153" i="9"/>
  <c r="G153" i="9"/>
  <c r="D153" i="9"/>
  <c r="J153" i="9"/>
  <c r="J279" i="9"/>
  <c r="M279" i="9"/>
  <c r="D279" i="9"/>
  <c r="G279" i="9"/>
  <c r="D275" i="9"/>
  <c r="J275" i="9"/>
  <c r="M275" i="9"/>
  <c r="G275" i="9"/>
  <c r="J166" i="9"/>
  <c r="M166" i="9"/>
  <c r="G166" i="9"/>
  <c r="D166" i="9"/>
  <c r="J51" i="9"/>
  <c r="G51" i="9"/>
  <c r="M51" i="9"/>
  <c r="D51" i="9"/>
  <c r="H66" i="3"/>
  <c r="J66" i="3"/>
  <c r="I66" i="3"/>
  <c r="G41" i="9"/>
  <c r="J41" i="9"/>
  <c r="D41" i="9"/>
  <c r="M41" i="9"/>
  <c r="D115" i="9"/>
  <c r="J115" i="9"/>
  <c r="M115" i="9"/>
  <c r="G115" i="9"/>
  <c r="C244" i="9"/>
  <c r="G212" i="9"/>
  <c r="J212" i="9"/>
  <c r="M212" i="9"/>
  <c r="D212" i="9"/>
  <c r="M7" i="5"/>
  <c r="N7" i="5"/>
  <c r="L7" i="5"/>
  <c r="Q73" i="3"/>
  <c r="R73" i="3"/>
  <c r="P73" i="3"/>
  <c r="L69" i="3"/>
  <c r="N69" i="3"/>
  <c r="M69" i="3"/>
  <c r="O244" i="9"/>
  <c r="N244" i="9" s="1"/>
  <c r="M10" i="9" s="1"/>
  <c r="H34" i="3"/>
  <c r="J34" i="3"/>
  <c r="I34" i="3"/>
  <c r="F130" i="9"/>
  <c r="E130" i="9" s="1"/>
  <c r="D6" i="9" s="1"/>
  <c r="D262" i="9"/>
  <c r="G262" i="9"/>
  <c r="J262" i="9"/>
  <c r="M262" i="9"/>
  <c r="G74" i="9"/>
  <c r="M74" i="9"/>
  <c r="J74" i="9"/>
  <c r="D74" i="9"/>
  <c r="L92" i="9"/>
  <c r="K92" i="9" s="1"/>
  <c r="J4" i="9" s="1"/>
  <c r="O282" i="9"/>
  <c r="N282" i="9" s="1"/>
  <c r="M14" i="9" s="1"/>
  <c r="I42" i="3"/>
  <c r="J42" i="3"/>
  <c r="H42" i="3"/>
  <c r="Q64" i="3"/>
  <c r="R64" i="3"/>
  <c r="P64" i="3"/>
  <c r="J228" i="9"/>
  <c r="M228" i="9"/>
  <c r="D228" i="9"/>
  <c r="G228" i="9"/>
  <c r="M47" i="3"/>
  <c r="N47" i="3"/>
  <c r="L47" i="3"/>
  <c r="M25" i="3"/>
  <c r="N25" i="3"/>
  <c r="L25" i="3"/>
  <c r="M16" i="3"/>
  <c r="N16" i="3"/>
  <c r="L16" i="3"/>
  <c r="I206" i="9"/>
  <c r="H206" i="9" s="1"/>
  <c r="G8" i="9" s="1"/>
  <c r="O168" i="9"/>
  <c r="N168" i="9" s="1"/>
  <c r="M12" i="9" s="1"/>
  <c r="P67" i="3"/>
  <c r="R67" i="3"/>
  <c r="Q67" i="3"/>
  <c r="J32" i="3"/>
  <c r="H32" i="3"/>
  <c r="I32" i="3"/>
  <c r="M120" i="9"/>
  <c r="G120" i="9"/>
  <c r="J120" i="9"/>
  <c r="D120" i="9"/>
  <c r="G185" i="9"/>
  <c r="D185" i="9"/>
  <c r="J185" i="9"/>
  <c r="M185" i="9"/>
  <c r="I72" i="3"/>
  <c r="J72" i="3"/>
  <c r="H72" i="3"/>
  <c r="D156" i="9"/>
  <c r="M156" i="9"/>
  <c r="J156" i="9"/>
  <c r="G156" i="9"/>
  <c r="M142" i="9"/>
  <c r="G142" i="9"/>
  <c r="D142" i="9"/>
  <c r="J142" i="9"/>
  <c r="J264" i="9"/>
  <c r="D264" i="9"/>
  <c r="G264" i="9"/>
  <c r="M264" i="9"/>
  <c r="G112" i="9"/>
  <c r="M112" i="9"/>
  <c r="D112" i="9"/>
  <c r="J112" i="9"/>
  <c r="M105" i="9"/>
  <c r="J105" i="9"/>
  <c r="D105" i="9"/>
  <c r="G105" i="9"/>
  <c r="R61" i="3"/>
  <c r="Q61" i="3"/>
  <c r="P61" i="3"/>
  <c r="G213" i="9"/>
  <c r="M213" i="9"/>
  <c r="J213" i="9"/>
  <c r="D213" i="9"/>
  <c r="I130" i="9"/>
  <c r="H130" i="9" s="1"/>
  <c r="G6" i="9" s="1"/>
  <c r="L12" i="5"/>
  <c r="M12" i="5"/>
  <c r="N12" i="5"/>
  <c r="G73" i="9"/>
  <c r="J73" i="9"/>
  <c r="D73" i="9"/>
  <c r="M73" i="9"/>
  <c r="D36" i="9"/>
  <c r="G36" i="9"/>
  <c r="J36" i="9"/>
  <c r="M36" i="9"/>
  <c r="D86" i="9"/>
  <c r="G86" i="9"/>
  <c r="J86" i="9"/>
  <c r="M86" i="9"/>
  <c r="D29" i="9"/>
  <c r="G29" i="9"/>
  <c r="J29" i="9"/>
  <c r="M29" i="9"/>
  <c r="M215" i="9"/>
  <c r="G215" i="9"/>
  <c r="D215" i="9"/>
  <c r="J215" i="9"/>
  <c r="D269" i="9"/>
  <c r="G269" i="9"/>
  <c r="J269" i="9"/>
  <c r="M269" i="9"/>
  <c r="M87" i="9"/>
  <c r="J87" i="9"/>
  <c r="D87" i="9"/>
  <c r="G87" i="9"/>
  <c r="L40" i="3"/>
  <c r="M40" i="3"/>
  <c r="N40" i="3"/>
  <c r="D200" i="9"/>
  <c r="J200" i="9"/>
  <c r="G200" i="9"/>
  <c r="M200" i="9"/>
  <c r="N66" i="3"/>
  <c r="M66" i="3"/>
  <c r="L66" i="3"/>
  <c r="D183" i="9"/>
  <c r="J183" i="9"/>
  <c r="G183" i="9"/>
  <c r="M183" i="9"/>
  <c r="G101" i="9"/>
  <c r="M101" i="9"/>
  <c r="D101" i="9"/>
  <c r="J101" i="9"/>
  <c r="J238" i="9"/>
  <c r="G238" i="9"/>
  <c r="D238" i="9"/>
  <c r="M238" i="9"/>
  <c r="H38" i="3"/>
  <c r="I38" i="3"/>
  <c r="J38" i="3"/>
  <c r="D174" i="9"/>
  <c r="J174" i="9"/>
  <c r="G174" i="9"/>
  <c r="M174" i="9"/>
  <c r="C206" i="9"/>
  <c r="D71" i="9"/>
  <c r="J71" i="9"/>
  <c r="M71" i="9"/>
  <c r="G71" i="9"/>
  <c r="M22" i="3"/>
  <c r="L22" i="3"/>
  <c r="N22" i="3"/>
  <c r="D216" i="9"/>
  <c r="G216" i="9"/>
  <c r="M216" i="9"/>
  <c r="J216" i="9"/>
  <c r="L17" i="3"/>
  <c r="M17" i="3"/>
  <c r="N17" i="3"/>
  <c r="M45" i="9"/>
  <c r="D45" i="9"/>
  <c r="G45" i="9"/>
  <c r="J45" i="9"/>
  <c r="J62" i="3"/>
  <c r="I62" i="3"/>
  <c r="H62" i="3"/>
  <c r="G146" i="9"/>
  <c r="J146" i="9"/>
  <c r="M146" i="9"/>
  <c r="D146" i="9"/>
  <c r="N8" i="3"/>
  <c r="M8" i="3"/>
  <c r="L8" i="3"/>
  <c r="L7" i="3"/>
  <c r="N7" i="3"/>
  <c r="M7" i="3"/>
  <c r="Q50" i="3"/>
  <c r="R50" i="3"/>
  <c r="P50" i="3"/>
  <c r="M31" i="3"/>
  <c r="L31" i="3"/>
  <c r="N31" i="3"/>
  <c r="J68" i="9"/>
  <c r="D68" i="9"/>
  <c r="G68" i="9"/>
  <c r="M68" i="9"/>
  <c r="R41" i="3"/>
  <c r="P41" i="3"/>
  <c r="Q41" i="3"/>
  <c r="G277" i="9"/>
  <c r="J277" i="9"/>
  <c r="D277" i="9"/>
  <c r="M277" i="9"/>
  <c r="J114" i="9"/>
  <c r="D114" i="9"/>
  <c r="M114" i="9"/>
  <c r="G114" i="9"/>
  <c r="L16" i="5"/>
  <c r="N16" i="5"/>
  <c r="M16" i="5"/>
  <c r="M69" i="9"/>
  <c r="J69" i="9"/>
  <c r="G69" i="9"/>
  <c r="D69" i="9"/>
  <c r="O92" i="9"/>
  <c r="N92" i="9" s="1"/>
  <c r="M4" i="9" s="1"/>
  <c r="J280" i="9"/>
  <c r="G280" i="9"/>
  <c r="D280" i="9"/>
  <c r="M280" i="9"/>
  <c r="L48" i="3"/>
  <c r="N48" i="3"/>
  <c r="M48" i="3"/>
  <c r="J165" i="9"/>
  <c r="D165" i="9"/>
  <c r="M165" i="9"/>
  <c r="G165" i="9"/>
  <c r="J195" i="9"/>
  <c r="D195" i="9"/>
  <c r="G195" i="9"/>
  <c r="M195" i="9"/>
  <c r="J267" i="9"/>
  <c r="D267" i="9"/>
  <c r="G267" i="9"/>
  <c r="M267" i="9"/>
  <c r="D23" i="9"/>
  <c r="J23" i="9"/>
  <c r="M23" i="9"/>
  <c r="G23" i="9"/>
  <c r="F206" i="9"/>
  <c r="E206" i="9" s="1"/>
  <c r="D8" i="9" s="1"/>
  <c r="H57" i="3"/>
  <c r="I57" i="3"/>
  <c r="J57" i="3"/>
  <c r="M252" i="9"/>
  <c r="D252" i="9"/>
  <c r="J252" i="9"/>
  <c r="G252" i="9"/>
  <c r="J229" i="9"/>
  <c r="G229" i="9"/>
  <c r="M229" i="9"/>
  <c r="D229" i="9"/>
  <c r="J36" i="3"/>
  <c r="I36" i="3"/>
  <c r="H36" i="3"/>
  <c r="J182" i="9"/>
  <c r="D182" i="9"/>
  <c r="M182" i="9"/>
  <c r="G182" i="9"/>
  <c r="M28" i="9"/>
  <c r="D28" i="9"/>
  <c r="G28" i="9"/>
  <c r="J28" i="9"/>
  <c r="Q69" i="3"/>
  <c r="P69" i="3"/>
  <c r="R69" i="3"/>
  <c r="M19" i="3"/>
  <c r="L19" i="3"/>
  <c r="N19" i="3"/>
  <c r="G199" i="9"/>
  <c r="J199" i="9"/>
  <c r="D199" i="9"/>
  <c r="M199" i="9"/>
  <c r="J39" i="3"/>
  <c r="H39" i="3"/>
  <c r="I39" i="3"/>
  <c r="G257" i="9"/>
  <c r="J257" i="9"/>
  <c r="M257" i="9"/>
  <c r="D257" i="9"/>
  <c r="G82" i="9"/>
  <c r="M82" i="9"/>
  <c r="J82" i="9"/>
  <c r="D82" i="9"/>
  <c r="G163" i="9"/>
  <c r="M163" i="9"/>
  <c r="D163" i="9"/>
  <c r="J163" i="9"/>
  <c r="P58" i="3"/>
  <c r="Q58" i="3"/>
  <c r="R58" i="3"/>
  <c r="M61" i="3"/>
  <c r="N61" i="3"/>
  <c r="L61" i="3"/>
  <c r="N46" i="3"/>
  <c r="L46" i="3"/>
  <c r="M46" i="3"/>
  <c r="N44" i="3"/>
  <c r="L44" i="3"/>
  <c r="M44" i="3"/>
  <c r="D258" i="9"/>
  <c r="M258" i="9"/>
  <c r="J258" i="9"/>
  <c r="G258" i="9"/>
  <c r="G270" i="9"/>
  <c r="M270" i="9"/>
  <c r="J270" i="9"/>
  <c r="D270" i="9"/>
  <c r="C282" i="9"/>
  <c r="D250" i="9"/>
  <c r="G250" i="9"/>
  <c r="J250" i="9"/>
  <c r="M250" i="9"/>
  <c r="P46" i="3"/>
  <c r="R46" i="3"/>
  <c r="Q46" i="3"/>
  <c r="D232" i="9"/>
  <c r="G232" i="9"/>
  <c r="J232" i="9"/>
  <c r="M232" i="9"/>
  <c r="J181" i="9"/>
  <c r="G181" i="9"/>
  <c r="D181" i="9"/>
  <c r="M181" i="9"/>
  <c r="D175" i="9"/>
  <c r="G175" i="9"/>
  <c r="J175" i="9"/>
  <c r="M175" i="9"/>
  <c r="G65" i="9"/>
  <c r="D65" i="9"/>
  <c r="J65" i="9"/>
  <c r="M65" i="9"/>
  <c r="I58" i="3"/>
  <c r="J58" i="3"/>
  <c r="H58" i="3"/>
  <c r="D64" i="9"/>
  <c r="J64" i="9"/>
  <c r="G64" i="9"/>
  <c r="M64" i="9"/>
  <c r="J98" i="9"/>
  <c r="C130" i="9"/>
  <c r="D98" i="9"/>
  <c r="M98" i="9"/>
  <c r="G98" i="9"/>
  <c r="M21" i="3"/>
  <c r="N21" i="3"/>
  <c r="L21" i="3"/>
  <c r="J109" i="9"/>
  <c r="M109" i="9"/>
  <c r="G109" i="9"/>
  <c r="D109" i="9"/>
  <c r="P48" i="3"/>
  <c r="Q48" i="3"/>
  <c r="R48" i="3"/>
  <c r="P45" i="3"/>
  <c r="R45" i="3"/>
  <c r="Q45" i="3"/>
  <c r="R66" i="3"/>
  <c r="Q66" i="3"/>
  <c r="P66" i="3"/>
  <c r="L14" i="3"/>
  <c r="N14" i="3"/>
  <c r="M14" i="3"/>
  <c r="J137" i="9"/>
  <c r="M137" i="9"/>
  <c r="D137" i="9"/>
  <c r="G137" i="9"/>
  <c r="J30" i="9"/>
  <c r="M30" i="9"/>
  <c r="G30" i="9"/>
  <c r="D30" i="9"/>
  <c r="D126" i="9"/>
  <c r="J126" i="9"/>
  <c r="M126" i="9"/>
  <c r="G126" i="9"/>
  <c r="L13" i="3"/>
  <c r="M13" i="3"/>
  <c r="N13" i="3"/>
  <c r="G162" i="9"/>
  <c r="J162" i="9"/>
  <c r="M162" i="9"/>
  <c r="D162" i="9"/>
  <c r="L206" i="9"/>
  <c r="K206" i="9" s="1"/>
  <c r="J8" i="9" s="1"/>
  <c r="J231" i="9"/>
  <c r="M231" i="9"/>
  <c r="G231" i="9"/>
  <c r="D231" i="9"/>
  <c r="I92" i="9"/>
  <c r="H92" i="9" s="1"/>
  <c r="G4" i="9" s="1"/>
  <c r="G235" i="9"/>
  <c r="D235" i="9"/>
  <c r="J235" i="9"/>
  <c r="M235" i="9"/>
  <c r="I31" i="3"/>
  <c r="H31" i="3"/>
  <c r="J31" i="3"/>
  <c r="L20" i="5"/>
  <c r="N20" i="5"/>
  <c r="M20" i="5"/>
  <c r="M236" i="9"/>
  <c r="G236" i="9"/>
  <c r="J236" i="9"/>
  <c r="D236" i="9"/>
  <c r="L33" i="3"/>
  <c r="M33" i="3"/>
  <c r="N33" i="3"/>
  <c r="D40" i="9"/>
  <c r="G40" i="9"/>
  <c r="J40" i="9"/>
  <c r="M40" i="9"/>
  <c r="J223" i="9"/>
  <c r="D223" i="9"/>
  <c r="M223" i="9"/>
  <c r="G223" i="9"/>
  <c r="M39" i="3"/>
  <c r="N39" i="3"/>
  <c r="L39" i="3"/>
  <c r="J40" i="3"/>
  <c r="H40" i="3"/>
  <c r="I40" i="3"/>
  <c r="G193" i="9"/>
  <c r="D193" i="9"/>
  <c r="M193" i="9"/>
  <c r="J193" i="9"/>
  <c r="R70" i="3"/>
  <c r="P70" i="3"/>
  <c r="Q70" i="3"/>
  <c r="D191" i="9"/>
  <c r="J191" i="9"/>
  <c r="M191" i="9"/>
  <c r="G191" i="9"/>
  <c r="L9" i="5"/>
  <c r="M9" i="5"/>
  <c r="N9" i="5"/>
  <c r="M62" i="3"/>
  <c r="L62" i="3"/>
  <c r="N62" i="3"/>
  <c r="L6" i="5"/>
  <c r="N6" i="5"/>
  <c r="M6" i="5"/>
  <c r="L36" i="3"/>
  <c r="M36" i="3"/>
  <c r="N36" i="3"/>
  <c r="P36" i="3"/>
  <c r="Q36" i="3"/>
  <c r="R36" i="3"/>
  <c r="J237" i="9"/>
  <c r="M237" i="9"/>
  <c r="D237" i="9"/>
  <c r="G237" i="9"/>
  <c r="J124" i="9"/>
  <c r="D124" i="9"/>
  <c r="M124" i="9"/>
  <c r="G124" i="9"/>
  <c r="D60" i="9"/>
  <c r="J60" i="9"/>
  <c r="C92" i="9"/>
  <c r="M60" i="9"/>
  <c r="G60" i="9"/>
  <c r="M265" i="9"/>
  <c r="D265" i="9"/>
  <c r="J265" i="9"/>
  <c r="G265" i="9"/>
  <c r="J278" i="9"/>
  <c r="M278" i="9"/>
  <c r="D278" i="9"/>
  <c r="G278" i="9"/>
  <c r="J254" i="9"/>
  <c r="G254" i="9"/>
  <c r="D254" i="9"/>
  <c r="M254" i="9"/>
  <c r="L168" i="9"/>
  <c r="K168" i="9" s="1"/>
  <c r="J12" i="9" s="1"/>
  <c r="G253" i="9"/>
  <c r="D253" i="9"/>
  <c r="J253" i="9"/>
  <c r="M253" i="9"/>
  <c r="J79" i="9"/>
  <c r="D79" i="9"/>
  <c r="M79" i="9"/>
  <c r="G79" i="9"/>
  <c r="N43" i="3"/>
  <c r="M43" i="3"/>
  <c r="L43" i="3"/>
  <c r="M123" i="9"/>
  <c r="D123" i="9"/>
  <c r="G123" i="9"/>
  <c r="J123" i="9"/>
  <c r="G149" i="9"/>
  <c r="J149" i="9"/>
  <c r="D149" i="9"/>
  <c r="M149" i="9"/>
  <c r="J239" i="9"/>
  <c r="D239" i="9"/>
  <c r="M239" i="9"/>
  <c r="G239" i="9"/>
  <c r="G147" i="9"/>
  <c r="M147" i="9"/>
  <c r="D147" i="9"/>
  <c r="J147" i="9"/>
  <c r="J49" i="9"/>
  <c r="G49" i="9"/>
  <c r="M49" i="9"/>
  <c r="D49" i="9"/>
  <c r="J197" i="9"/>
  <c r="D197" i="9"/>
  <c r="M197" i="9"/>
  <c r="G197" i="9"/>
  <c r="M81" i="9"/>
  <c r="J81" i="9"/>
  <c r="G81" i="9"/>
  <c r="D81" i="9"/>
  <c r="G89" i="9"/>
  <c r="J89" i="9"/>
  <c r="D89" i="9"/>
  <c r="M89" i="9"/>
  <c r="J266" i="9"/>
  <c r="M266" i="9"/>
  <c r="D266" i="9"/>
  <c r="G266" i="9"/>
  <c r="N70" i="3"/>
  <c r="M70" i="3"/>
  <c r="L70" i="3"/>
  <c r="G222" i="9"/>
  <c r="M222" i="9"/>
  <c r="D222" i="9"/>
  <c r="J222" i="9"/>
  <c r="H64" i="3"/>
  <c r="I64" i="3"/>
  <c r="J64" i="3"/>
  <c r="R65" i="3"/>
  <c r="P65" i="3"/>
  <c r="Q65" i="3"/>
  <c r="J52" i="9"/>
  <c r="G52" i="9"/>
  <c r="D52" i="9"/>
  <c r="M52" i="9"/>
  <c r="J34" i="9"/>
  <c r="D34" i="9"/>
  <c r="G34" i="9"/>
  <c r="M34" i="9"/>
  <c r="J42" i="9"/>
  <c r="D42" i="9"/>
  <c r="G42" i="9"/>
  <c r="M42" i="9"/>
  <c r="M17" i="5"/>
  <c r="L17" i="5"/>
  <c r="N17" i="5"/>
  <c r="G122" i="9"/>
  <c r="D122" i="9"/>
  <c r="M122" i="9"/>
  <c r="J122" i="9"/>
  <c r="H70" i="3"/>
  <c r="I70" i="3"/>
  <c r="J70" i="3"/>
  <c r="P32" i="3"/>
  <c r="Q32" i="3"/>
  <c r="R32" i="3"/>
  <c r="D180" i="9"/>
  <c r="G180" i="9"/>
  <c r="J180" i="9"/>
  <c r="M180" i="9"/>
  <c r="D113" i="9"/>
  <c r="J113" i="9"/>
  <c r="M113" i="9"/>
  <c r="G113" i="9"/>
  <c r="J159" i="9"/>
  <c r="D159" i="9"/>
  <c r="M159" i="9"/>
  <c r="G159" i="9"/>
  <c r="L130" i="9"/>
  <c r="K130" i="9" s="1"/>
  <c r="J6" i="9" s="1"/>
  <c r="J70" i="9"/>
  <c r="D70" i="9"/>
  <c r="G70" i="9"/>
  <c r="M70" i="9"/>
  <c r="F282" i="9"/>
  <c r="E282" i="9" s="1"/>
  <c r="D14" i="9" s="1"/>
  <c r="M67" i="9"/>
  <c r="D67" i="9"/>
  <c r="G67" i="9"/>
  <c r="J67" i="9"/>
  <c r="J234" i="9"/>
  <c r="D234" i="9"/>
  <c r="M234" i="9"/>
  <c r="G234" i="9"/>
  <c r="I43" i="3"/>
  <c r="H43" i="3"/>
  <c r="J43" i="3"/>
  <c r="P75" i="3"/>
  <c r="Q75" i="3"/>
  <c r="R75" i="3"/>
  <c r="I244" i="9"/>
  <c r="H244" i="9" s="1"/>
  <c r="G10" i="9" s="1"/>
  <c r="J161" i="9"/>
  <c r="D161" i="9"/>
  <c r="M161" i="9"/>
  <c r="G161" i="9"/>
  <c r="D152" i="9"/>
  <c r="G152" i="9"/>
  <c r="M152" i="9"/>
  <c r="J152" i="9"/>
  <c r="R71" i="3"/>
  <c r="P71" i="3"/>
  <c r="Q71" i="3"/>
  <c r="G84" i="9"/>
  <c r="D84" i="9"/>
  <c r="J84" i="9"/>
  <c r="M84" i="9"/>
  <c r="O130" i="9"/>
  <c r="N130" i="9" s="1"/>
  <c r="M6" i="9" s="1"/>
  <c r="G251" i="9"/>
  <c r="J251" i="9"/>
  <c r="M251" i="9"/>
  <c r="D251" i="9"/>
  <c r="H69" i="3"/>
  <c r="I69" i="3"/>
  <c r="J69" i="3"/>
  <c r="J218" i="9"/>
  <c r="M218" i="9"/>
  <c r="D218" i="9"/>
  <c r="G218" i="9"/>
  <c r="D110" i="9"/>
  <c r="J110" i="9"/>
  <c r="G110" i="9"/>
  <c r="M110" i="9"/>
  <c r="N22" i="5"/>
  <c r="L22" i="5"/>
  <c r="M22" i="5"/>
  <c r="N74" i="3"/>
  <c r="L74" i="3"/>
  <c r="M74" i="3"/>
  <c r="H37" i="3"/>
  <c r="J37" i="3"/>
  <c r="I37" i="3"/>
  <c r="J62" i="9"/>
  <c r="M62" i="9"/>
  <c r="D62" i="9"/>
  <c r="G62" i="9"/>
  <c r="R74" i="3"/>
  <c r="Q74" i="3"/>
  <c r="P74" i="3"/>
  <c r="G268" i="9"/>
  <c r="J268" i="9"/>
  <c r="D268" i="9"/>
  <c r="M268" i="9"/>
  <c r="D271" i="9"/>
  <c r="J271" i="9"/>
  <c r="G271" i="9"/>
  <c r="M271" i="9"/>
  <c r="N58" i="3"/>
  <c r="M58" i="3"/>
  <c r="L58" i="3"/>
  <c r="D25" i="9"/>
  <c r="M25" i="9"/>
  <c r="J25" i="9"/>
  <c r="G25" i="9"/>
  <c r="D204" i="9"/>
  <c r="G204" i="9"/>
  <c r="J204" i="9"/>
  <c r="M204" i="9"/>
  <c r="M190" i="9"/>
  <c r="D190" i="9"/>
  <c r="J190" i="9"/>
  <c r="G190" i="9"/>
  <c r="M50" i="9"/>
  <c r="D50" i="9"/>
  <c r="G50" i="9"/>
  <c r="J50" i="9"/>
  <c r="D157" i="9"/>
  <c r="M157" i="9"/>
  <c r="G157" i="9"/>
  <c r="J157" i="9"/>
  <c r="M273" i="9"/>
  <c r="D273" i="9"/>
  <c r="G273" i="9"/>
  <c r="J273" i="9"/>
  <c r="M276" i="9"/>
  <c r="J276" i="9"/>
  <c r="G276" i="9"/>
  <c r="D276" i="9"/>
  <c r="M43" i="9"/>
  <c r="J43" i="9"/>
  <c r="D43" i="9"/>
  <c r="G43" i="9"/>
  <c r="G38" i="9"/>
  <c r="D38" i="9"/>
  <c r="J38" i="9"/>
  <c r="M38" i="9"/>
  <c r="D35" i="9"/>
  <c r="G35" i="9"/>
  <c r="J35" i="9"/>
  <c r="M35" i="9"/>
  <c r="I168" i="9"/>
  <c r="H168" i="9" s="1"/>
  <c r="G12" i="9" s="1"/>
  <c r="M71" i="3"/>
  <c r="L71" i="3"/>
  <c r="N71" i="3"/>
  <c r="M9" i="3"/>
  <c r="L9" i="3"/>
  <c r="N9" i="3"/>
  <c r="J154" i="9"/>
  <c r="G154" i="9"/>
  <c r="D154" i="9"/>
  <c r="M154" i="9"/>
  <c r="J186" i="9"/>
  <c r="G186" i="9"/>
  <c r="D186" i="9"/>
  <c r="M186" i="9"/>
  <c r="J73" i="3"/>
  <c r="H73" i="3"/>
  <c r="I73" i="3"/>
  <c r="L56" i="3"/>
  <c r="N56" i="3"/>
  <c r="M56" i="3"/>
  <c r="G177" i="9"/>
  <c r="J177" i="9"/>
  <c r="M177" i="9"/>
  <c r="D177" i="9"/>
  <c r="M108" i="9"/>
  <c r="D108" i="9"/>
  <c r="G108" i="9"/>
  <c r="J108" i="9"/>
  <c r="J196" i="9"/>
  <c r="M196" i="9"/>
  <c r="D196" i="9"/>
  <c r="G196" i="9"/>
  <c r="M88" i="9"/>
  <c r="J88" i="9"/>
  <c r="D88" i="9"/>
  <c r="G88" i="9"/>
  <c r="D90" i="9"/>
  <c r="G90" i="9"/>
  <c r="J90" i="9"/>
  <c r="M90" i="9"/>
  <c r="J56" i="3"/>
  <c r="H56" i="3"/>
  <c r="I56" i="3"/>
  <c r="G46" i="9"/>
  <c r="M46" i="9"/>
  <c r="J46" i="9"/>
  <c r="D46" i="9"/>
  <c r="J41" i="3"/>
  <c r="I41" i="3"/>
  <c r="H41" i="3"/>
  <c r="M160" i="9"/>
  <c r="G160" i="9"/>
  <c r="D160" i="9"/>
  <c r="J160" i="9"/>
  <c r="J26" i="9"/>
  <c r="G26" i="9"/>
  <c r="D26" i="9"/>
  <c r="M26" i="9"/>
  <c r="Q57" i="3"/>
  <c r="P57" i="3"/>
  <c r="R57" i="3"/>
  <c r="J255" i="9"/>
  <c r="G255" i="9"/>
  <c r="M255" i="9"/>
  <c r="D255" i="9"/>
  <c r="J227" i="9"/>
  <c r="G227" i="9"/>
  <c r="D227" i="9"/>
  <c r="M227" i="9"/>
  <c r="R33" i="3"/>
  <c r="P33" i="3"/>
  <c r="Q33" i="3"/>
  <c r="O206" i="9"/>
  <c r="N206" i="9" s="1"/>
  <c r="M8" i="9" s="1"/>
  <c r="I74" i="3"/>
  <c r="J74" i="3"/>
  <c r="H74" i="3"/>
  <c r="M15" i="3"/>
  <c r="L15" i="3"/>
  <c r="N15" i="3"/>
  <c r="I50" i="3"/>
  <c r="H50" i="3"/>
  <c r="J50" i="3"/>
  <c r="J67" i="3"/>
  <c r="I67" i="3"/>
  <c r="H67" i="3"/>
  <c r="L10" i="5"/>
  <c r="N10" i="5"/>
  <c r="M10" i="5"/>
  <c r="R68" i="3"/>
  <c r="Q68" i="3"/>
  <c r="P68" i="3"/>
  <c r="I75" i="3"/>
  <c r="H75" i="3"/>
  <c r="J75" i="3"/>
  <c r="L244" i="9"/>
  <c r="K244" i="9" s="1"/>
  <c r="J10" i="9" s="1"/>
  <c r="M10" i="3"/>
  <c r="L10" i="3"/>
  <c r="N10" i="3"/>
  <c r="J24" i="9"/>
  <c r="G24" i="9"/>
  <c r="M24" i="9"/>
  <c r="D24" i="9"/>
  <c r="I61" i="3"/>
  <c r="H61" i="3"/>
  <c r="J61" i="3"/>
  <c r="G72" i="9"/>
  <c r="D72" i="9"/>
  <c r="M72" i="9"/>
  <c r="J72" i="9"/>
  <c r="J63" i="3"/>
  <c r="H63" i="3"/>
  <c r="I63" i="3"/>
  <c r="M13" i="5"/>
  <c r="L13" i="5"/>
  <c r="N13" i="5"/>
  <c r="N64" i="3"/>
  <c r="L64" i="3"/>
  <c r="M64" i="3"/>
  <c r="M49" i="3"/>
  <c r="L49" i="3"/>
  <c r="N49" i="3"/>
  <c r="I35" i="3"/>
  <c r="H35" i="3"/>
  <c r="J35" i="3"/>
  <c r="D102" i="9"/>
  <c r="M102" i="9"/>
  <c r="J102" i="9"/>
  <c r="G102" i="9"/>
  <c r="N14" i="5"/>
  <c r="M14" i="5"/>
  <c r="L14" i="5"/>
  <c r="M178" i="9"/>
  <c r="D178" i="9"/>
  <c r="J178" i="9"/>
  <c r="G178" i="9"/>
  <c r="I60" i="3"/>
  <c r="J60" i="3"/>
  <c r="H60" i="3"/>
  <c r="H44" i="3"/>
  <c r="J44" i="3"/>
  <c r="I44" i="3"/>
  <c r="O54" i="9"/>
  <c r="N54" i="9" s="1"/>
  <c r="M16" i="9" s="1"/>
  <c r="J99" i="9"/>
  <c r="G99" i="9"/>
  <c r="D99" i="9"/>
  <c r="M99" i="9"/>
  <c r="I54" i="9"/>
  <c r="H54" i="9" s="1"/>
  <c r="G16" i="9" s="1"/>
  <c r="N6" i="3"/>
  <c r="M6" i="3"/>
  <c r="L6" i="3"/>
  <c r="F54" i="9"/>
  <c r="L60" i="3"/>
  <c r="N60" i="3"/>
  <c r="M60" i="3"/>
  <c r="J214" i="9"/>
  <c r="M214" i="9"/>
  <c r="G214" i="9"/>
  <c r="D214" i="9"/>
  <c r="J224" i="9"/>
  <c r="D224" i="9"/>
  <c r="M224" i="9"/>
  <c r="G224" i="9"/>
  <c r="J256" i="9"/>
  <c r="G256" i="9"/>
  <c r="M256" i="9"/>
  <c r="D256" i="9"/>
  <c r="J83" i="9"/>
  <c r="D83" i="9"/>
  <c r="G83" i="9"/>
  <c r="M83" i="9"/>
  <c r="G184" i="9"/>
  <c r="M184" i="9"/>
  <c r="J184" i="9"/>
  <c r="D184" i="9"/>
  <c r="L19" i="5"/>
  <c r="N19" i="5"/>
  <c r="M19" i="5"/>
  <c r="M202" i="9"/>
  <c r="D202" i="9"/>
  <c r="G202" i="9"/>
  <c r="J202" i="9"/>
  <c r="J242" i="9"/>
  <c r="M242" i="9"/>
  <c r="G242" i="9"/>
  <c r="D242" i="9"/>
  <c r="M75" i="3"/>
  <c r="L75" i="3"/>
  <c r="N75" i="3"/>
  <c r="G106" i="9"/>
  <c r="D106" i="9"/>
  <c r="J106" i="9"/>
  <c r="M106" i="9"/>
  <c r="N35" i="3"/>
  <c r="L35" i="3"/>
  <c r="M35" i="3"/>
  <c r="M25" i="5"/>
  <c r="N25" i="5"/>
  <c r="L25" i="5"/>
  <c r="J104" i="9"/>
  <c r="M104" i="9"/>
  <c r="D104" i="9"/>
  <c r="G104" i="9"/>
  <c r="M75" i="9"/>
  <c r="D75" i="9"/>
  <c r="J75" i="9"/>
  <c r="G75" i="9"/>
  <c r="G219" i="9"/>
  <c r="D219" i="9"/>
  <c r="M219" i="9"/>
  <c r="J219" i="9"/>
  <c r="D188" i="9"/>
  <c r="J188" i="9"/>
  <c r="M188" i="9"/>
  <c r="G188" i="9"/>
  <c r="J158" i="9"/>
  <c r="M158" i="9"/>
  <c r="G158" i="9"/>
  <c r="D158" i="9"/>
  <c r="G272" i="9"/>
  <c r="J272" i="9"/>
  <c r="M272" i="9"/>
  <c r="D272" i="9"/>
  <c r="N11" i="5"/>
  <c r="L11" i="5"/>
  <c r="M11" i="5"/>
  <c r="J261" i="9"/>
  <c r="D261" i="9"/>
  <c r="G261" i="9"/>
  <c r="M261" i="9"/>
  <c r="M155" i="9"/>
  <c r="D155" i="9"/>
  <c r="J155" i="9"/>
  <c r="G155" i="9"/>
  <c r="G125" i="9"/>
  <c r="J125" i="9"/>
  <c r="M125" i="9"/>
  <c r="D125" i="9"/>
  <c r="H68" i="3"/>
  <c r="J68" i="3"/>
  <c r="I68" i="3"/>
  <c r="M32" i="3"/>
  <c r="N32" i="3"/>
  <c r="L32" i="3"/>
  <c r="M225" i="9"/>
  <c r="J225" i="9"/>
  <c r="G225" i="9"/>
  <c r="D225" i="9"/>
  <c r="I282" i="9"/>
  <c r="H282" i="9" s="1"/>
  <c r="G14" i="9" s="1"/>
  <c r="D136" i="9"/>
  <c r="M136" i="9"/>
  <c r="C168" i="9"/>
  <c r="G136" i="9"/>
  <c r="J136" i="9"/>
  <c r="N24" i="5"/>
  <c r="L24" i="5"/>
  <c r="M24" i="5"/>
  <c r="D150" i="9"/>
  <c r="M150" i="9"/>
  <c r="G150" i="9"/>
  <c r="J150" i="9"/>
  <c r="R47" i="3"/>
  <c r="P47" i="3"/>
  <c r="Q47" i="3"/>
  <c r="L12" i="3"/>
  <c r="M12" i="3"/>
  <c r="N12" i="3"/>
  <c r="I46" i="3"/>
  <c r="J46" i="3"/>
  <c r="H46" i="3"/>
  <c r="Q39" i="3"/>
  <c r="R39" i="3"/>
  <c r="P39" i="3"/>
  <c r="L67" i="3"/>
  <c r="M67" i="3"/>
  <c r="N67" i="3"/>
  <c r="M111" i="9"/>
  <c r="J111" i="9"/>
  <c r="D111" i="9"/>
  <c r="G111" i="9"/>
  <c r="J220" i="9"/>
  <c r="M220" i="9"/>
  <c r="G220" i="9"/>
  <c r="D220" i="9"/>
  <c r="M230" i="9"/>
  <c r="G230" i="9"/>
  <c r="D230" i="9"/>
  <c r="J230" i="9"/>
  <c r="G145" i="9"/>
  <c r="J145" i="9"/>
  <c r="M145" i="9"/>
  <c r="D145" i="9"/>
  <c r="M187" i="9"/>
  <c r="D187" i="9"/>
  <c r="J187" i="9"/>
  <c r="G187" i="9"/>
  <c r="L73" i="3"/>
  <c r="M73" i="3"/>
  <c r="N73" i="3"/>
  <c r="G63" i="9"/>
  <c r="J63" i="9"/>
  <c r="M63" i="9"/>
  <c r="D63" i="9"/>
  <c r="D47" i="9"/>
  <c r="M47" i="9"/>
  <c r="G47" i="9"/>
  <c r="J47" i="9"/>
  <c r="Q63" i="3"/>
  <c r="R63" i="3"/>
  <c r="P63" i="3"/>
  <c r="D100" i="9"/>
  <c r="G100" i="9"/>
  <c r="J100" i="9"/>
  <c r="M100" i="9"/>
  <c r="M42" i="3"/>
  <c r="L42" i="3"/>
  <c r="N42" i="3"/>
  <c r="F92" i="9"/>
  <c r="E92" i="9" s="1"/>
  <c r="D4" i="9" s="1"/>
  <c r="J107" i="9"/>
  <c r="G107" i="9"/>
  <c r="D107" i="9"/>
  <c r="M107" i="9"/>
  <c r="M151" i="9"/>
  <c r="J151" i="9"/>
  <c r="G151" i="9"/>
  <c r="D151" i="9"/>
  <c r="L282" i="9"/>
  <c r="K282" i="9" s="1"/>
  <c r="J14" i="9" s="1"/>
  <c r="M217" i="9"/>
  <c r="D217" i="9"/>
  <c r="G217" i="9"/>
  <c r="J217" i="9"/>
  <c r="Q34" i="3"/>
  <c r="P34" i="3"/>
  <c r="R34" i="3"/>
  <c r="M221" i="9"/>
  <c r="G221" i="9"/>
  <c r="J221" i="9"/>
  <c r="D221" i="9"/>
  <c r="M59" i="3"/>
  <c r="L59" i="3"/>
  <c r="N59" i="3"/>
  <c r="F244" i="9"/>
  <c r="E244" i="9" s="1"/>
  <c r="D10" i="9" s="1"/>
  <c r="J103" i="9"/>
  <c r="M103" i="9"/>
  <c r="G103" i="9"/>
  <c r="D103" i="9"/>
  <c r="J80" i="9"/>
  <c r="D80" i="9"/>
  <c r="M80" i="9"/>
  <c r="G80" i="9"/>
  <c r="G27" i="9"/>
  <c r="M27" i="9"/>
  <c r="D27" i="9"/>
  <c r="J27" i="9"/>
  <c r="R42" i="3"/>
  <c r="P42" i="3"/>
  <c r="Q42" i="3"/>
  <c r="G176" i="9"/>
  <c r="J176" i="9"/>
  <c r="D176" i="9"/>
  <c r="M176" i="9"/>
  <c r="G143" i="9"/>
  <c r="D143" i="9"/>
  <c r="M143" i="9"/>
  <c r="J143" i="9"/>
  <c r="G76" i="9"/>
  <c r="D76" i="9"/>
  <c r="J76" i="9"/>
  <c r="M76" i="9"/>
  <c r="M77" i="9"/>
  <c r="D77" i="9"/>
  <c r="J77" i="9"/>
  <c r="G77" i="9"/>
  <c r="M66" i="9"/>
  <c r="G66" i="9"/>
  <c r="J66" i="9"/>
  <c r="D66" i="9"/>
  <c r="M63" i="3"/>
  <c r="N63" i="3"/>
  <c r="L63" i="3"/>
  <c r="G33" i="9"/>
  <c r="J33" i="9"/>
  <c r="M33" i="9"/>
  <c r="D33" i="9"/>
  <c r="M119" i="9"/>
  <c r="D119" i="9"/>
  <c r="G119" i="9"/>
  <c r="J119" i="9"/>
  <c r="J240" i="9"/>
  <c r="G240" i="9"/>
  <c r="M240" i="9"/>
  <c r="D240" i="9"/>
  <c r="P59" i="3"/>
  <c r="Q59" i="3"/>
  <c r="R59" i="3"/>
  <c r="D241" i="9"/>
  <c r="J241" i="9"/>
  <c r="M241" i="9"/>
  <c r="G241" i="9"/>
  <c r="H33" i="3"/>
  <c r="I33" i="3"/>
  <c r="J33" i="3"/>
  <c r="P43" i="3"/>
  <c r="Q43" i="3"/>
  <c r="R43" i="3"/>
  <c r="L54" i="9"/>
  <c r="K54" i="9" s="1"/>
  <c r="J16" i="9" s="1"/>
  <c r="P40" i="3"/>
  <c r="Q40" i="3"/>
  <c r="R40" i="3"/>
  <c r="N50" i="3"/>
  <c r="L50" i="3"/>
  <c r="M50" i="3"/>
  <c r="G179" i="9"/>
  <c r="D179" i="9"/>
  <c r="M179" i="9"/>
  <c r="J179" i="9"/>
  <c r="R49" i="3"/>
  <c r="Q49" i="3"/>
  <c r="P49" i="3"/>
  <c r="G118" i="9"/>
  <c r="D118" i="9"/>
  <c r="J118" i="9"/>
  <c r="M118" i="9"/>
  <c r="M31" i="9"/>
  <c r="G31" i="9"/>
  <c r="D31" i="9"/>
  <c r="J31" i="9"/>
  <c r="D198" i="9"/>
  <c r="G198" i="9"/>
  <c r="M198" i="9"/>
  <c r="J198" i="9"/>
  <c r="G44" i="9"/>
  <c r="J44" i="9"/>
  <c r="M44" i="9"/>
  <c r="D44" i="9"/>
  <c r="I48" i="3"/>
  <c r="J48" i="3"/>
  <c r="H48" i="3"/>
  <c r="G78" i="9"/>
  <c r="D78" i="9"/>
  <c r="M78" i="9"/>
  <c r="J78" i="9"/>
  <c r="N65" i="3"/>
  <c r="M65" i="3"/>
  <c r="L65" i="3"/>
  <c r="M260" i="9"/>
  <c r="G260" i="9"/>
  <c r="D260" i="9"/>
  <c r="J260" i="9"/>
  <c r="M127" i="9"/>
  <c r="D127" i="9"/>
  <c r="G127" i="9"/>
  <c r="J127" i="9"/>
  <c r="N21" i="5"/>
  <c r="L21" i="5"/>
  <c r="M21" i="5"/>
  <c r="M259" i="9"/>
  <c r="D259" i="9"/>
  <c r="G259" i="9"/>
  <c r="J259" i="9"/>
  <c r="D37" i="9"/>
  <c r="M37" i="9"/>
  <c r="G37" i="9"/>
  <c r="J37" i="9"/>
  <c r="N45" i="3"/>
  <c r="M45" i="3"/>
  <c r="L45" i="3"/>
  <c r="F168" i="9"/>
  <c r="E168" i="9" s="1"/>
  <c r="D12" i="9" s="1"/>
  <c r="J263" i="9"/>
  <c r="D263" i="9"/>
  <c r="G263" i="9"/>
  <c r="M263" i="9"/>
  <c r="J141" i="9"/>
  <c r="M141" i="9"/>
  <c r="D141" i="9"/>
  <c r="G141" i="9"/>
  <c r="Q31" i="3"/>
  <c r="P31" i="3"/>
  <c r="R31" i="3"/>
  <c r="M23" i="3"/>
  <c r="L23" i="3"/>
  <c r="N23" i="3"/>
  <c r="R44" i="3"/>
  <c r="Q44" i="3"/>
  <c r="P44" i="3"/>
  <c r="R72" i="3"/>
  <c r="P72" i="3"/>
  <c r="Q72" i="3"/>
  <c r="G194" i="9"/>
  <c r="D194" i="9"/>
  <c r="M194" i="9"/>
  <c r="J194" i="9"/>
  <c r="R56" i="3"/>
  <c r="P56" i="3"/>
  <c r="Q56" i="3"/>
  <c r="N34" i="3"/>
  <c r="M34" i="3"/>
  <c r="L34" i="3"/>
  <c r="D22" i="9"/>
  <c r="G22" i="9"/>
  <c r="C54" i="9"/>
  <c r="M22" i="9"/>
  <c r="J22" i="9"/>
  <c r="P35" i="3"/>
  <c r="R35" i="3"/>
  <c r="Q35" i="3"/>
  <c r="J139" i="9"/>
  <c r="M139" i="9"/>
  <c r="D139" i="9"/>
  <c r="G139" i="9"/>
  <c r="J49" i="3"/>
  <c r="H49" i="3"/>
  <c r="I49" i="3"/>
  <c r="J140" i="9"/>
  <c r="D140" i="9"/>
  <c r="G140" i="9"/>
  <c r="M140" i="9"/>
  <c r="G192" i="9"/>
  <c r="M192" i="9"/>
  <c r="J192" i="9"/>
  <c r="D192" i="9"/>
  <c r="M8" i="5"/>
  <c r="N8" i="5"/>
  <c r="L8" i="5"/>
  <c r="M189" i="9"/>
  <c r="G189" i="9"/>
  <c r="J189" i="9"/>
  <c r="D189" i="9"/>
  <c r="G32" i="9"/>
  <c r="M32" i="9"/>
  <c r="J32" i="9"/>
  <c r="D32" i="9"/>
  <c r="J47" i="3"/>
  <c r="H47" i="3"/>
  <c r="I47" i="3"/>
  <c r="N23" i="5"/>
  <c r="L23" i="5"/>
  <c r="M23" i="5"/>
  <c r="J48" i="9"/>
  <c r="D48" i="9"/>
  <c r="M48" i="9"/>
  <c r="G48" i="9"/>
  <c r="M144" i="9"/>
  <c r="G144" i="9"/>
  <c r="D144" i="9"/>
  <c r="J144" i="9"/>
  <c r="I71" i="3"/>
  <c r="H71" i="3"/>
  <c r="J71" i="3"/>
  <c r="M38" i="3"/>
  <c r="N38" i="3"/>
  <c r="L38" i="3"/>
  <c r="I59" i="3"/>
  <c r="H59" i="3"/>
  <c r="J59" i="3"/>
  <c r="G61" i="9"/>
  <c r="J61" i="9"/>
  <c r="D61" i="9"/>
  <c r="M61" i="9"/>
  <c r="J121" i="9"/>
  <c r="M121" i="9"/>
  <c r="D121" i="9"/>
  <c r="G121" i="9"/>
  <c r="L57" i="3"/>
  <c r="N57" i="3"/>
  <c r="M57" i="3"/>
  <c r="P38" i="3"/>
  <c r="Q38" i="3"/>
  <c r="R38" i="3"/>
  <c r="M54" i="9" l="1"/>
  <c r="J168" i="9"/>
  <c r="D168" i="9"/>
  <c r="M92" i="9"/>
  <c r="M282" i="9"/>
  <c r="D206" i="9"/>
  <c r="M244" i="9"/>
  <c r="G168" i="9"/>
  <c r="G130" i="9"/>
  <c r="J130" i="9"/>
  <c r="J282" i="9"/>
  <c r="M206" i="9"/>
  <c r="J244" i="9"/>
  <c r="G54" i="9"/>
  <c r="B4" i="9"/>
  <c r="B8" i="9"/>
  <c r="B15" i="9"/>
  <c r="E54" i="9"/>
  <c r="D16" i="9" s="1"/>
  <c r="B12" i="9" s="1"/>
  <c r="B14" i="9"/>
  <c r="B16" i="9"/>
  <c r="B13" i="9"/>
  <c r="B9" i="9"/>
  <c r="B7" i="9"/>
  <c r="B6" i="9"/>
  <c r="B10" i="9"/>
  <c r="B11" i="9"/>
  <c r="B3" i="9"/>
  <c r="B5" i="9"/>
  <c r="J92" i="9"/>
  <c r="M130" i="9"/>
  <c r="G282" i="9"/>
  <c r="G206" i="9"/>
  <c r="G244" i="9"/>
  <c r="J54" i="9"/>
  <c r="D54" i="9"/>
  <c r="M168" i="9"/>
  <c r="G92" i="9"/>
  <c r="D92" i="9"/>
  <c r="D130" i="9"/>
  <c r="D282" i="9"/>
  <c r="J206" i="9"/>
  <c r="D244" i="9"/>
</calcChain>
</file>

<file path=xl/sharedStrings.xml><?xml version="1.0" encoding="utf-8"?>
<sst xmlns="http://schemas.openxmlformats.org/spreadsheetml/2006/main" count="1776" uniqueCount="354">
  <si>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</si>
  <si>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</si>
  <si>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</si>
  <si>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</si>
  <si>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</si>
  <si>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</si>
  <si>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</si>
  <si>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</si>
  <si>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</si>
  <si>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</si>
  <si>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</si>
  <si>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</si>
  <si>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</si>
  <si>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</si>
  <si>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</si>
  <si>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</si>
  <si>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</si>
  <si>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</si>
  <si>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</si>
  <si>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</si>
  <si>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</si>
  <si>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</si>
  <si>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</si>
  <si>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</si>
  <si>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</si>
  <si>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</si>
  <si>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</si>
  <si>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</si>
  <si>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</si>
  <si>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</si>
  <si>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</si>
  <si>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</si>
  <si>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</si>
  <si>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</si>
  <si>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</si>
  <si>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</si>
  <si>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</si>
  <si>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</si>
  <si>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</si>
  <si>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</si>
  <si>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</si>
  <si>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</si>
  <si>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</si>
  <si>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</si>
  <si>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</si>
  <si>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</si>
  <si>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</si>
  <si>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</si>
  <si>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</si>
  <si>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</si>
  <si>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</si>
  <si>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</si>
  <si>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</si>
  <si>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</si>
  <si>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</si>
  <si>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</si>
  <si>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</si>
  <si>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</si>
  <si>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</si>
  <si>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</si>
  <si>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</si>
  <si>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</si>
  <si>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</si>
  <si>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</si>
  <si>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</si>
  <si>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</si>
  <si>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</si>
  <si>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</si>
  <si>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</si>
  <si>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</si>
  <si>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</si>
  <si>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</si>
  <si>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</si>
  <si>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</si>
  <si>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</si>
  <si>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</si>
  <si>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</si>
  <si>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</si>
  <si>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</si>
  <si>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</si>
  <si>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</si>
  <si>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</si>
  <si>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</si>
  <si>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</si>
  <si>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</si>
  <si>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</si>
  <si>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</si>
  <si>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</si>
  <si>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</si>
  <si>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</si>
  <si>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</si>
  <si>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</si>
  <si>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</si>
  <si>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</si>
  <si>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</si>
  <si>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</si>
  <si>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</si>
  <si>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</si>
  <si>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</si>
  <si>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</si>
  <si>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</si>
  <si>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</si>
  <si>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</si>
  <si>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</si>
  <si>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</si>
  <si>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</si>
  <si>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</si>
  <si>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</si>
  <si>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</si>
  <si>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</si>
  <si>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</si>
  <si>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</si>
  <si>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</si>
  <si>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</si>
  <si>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</si>
  <si>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</si>
  <si>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</si>
  <si>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</si>
  <si>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</si>
  <si>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</si>
  <si>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</si>
  <si>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</si>
  <si>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</si>
  <si>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</si>
  <si>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</si>
  <si>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</si>
  <si>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</si>
  <si>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</si>
  <si>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</si>
  <si>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</si>
  <si>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</si>
  <si>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</si>
  <si>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</si>
  <si>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</si>
  <si>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</si>
  <si>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</si>
  <si>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</si>
  <si>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</si>
  <si>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</si>
  <si>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</si>
  <si>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</si>
  <si>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</si>
  <si>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</si>
  <si>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</si>
  <si>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</si>
  <si>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</si>
  <si>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</si>
  <si>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</si>
  <si>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</si>
  <si>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</si>
  <si>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</si>
  <si>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</si>
  <si>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</si>
  <si>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</si>
  <si>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</si>
  <si>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</si>
  <si>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</si>
  <si>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</si>
  <si>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</si>
  <si>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</si>
  <si>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</si>
  <si>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</si>
  <si>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</si>
  <si>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</si>
  <si>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</si>
  <si>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</si>
  <si>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</si>
  <si>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</si>
  <si>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</si>
  <si>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</si>
  <si>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</si>
  <si>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</si>
  <si>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</si>
  <si>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</si>
  <si>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</si>
  <si>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</si>
  <si>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</si>
  <si>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</si>
  <si>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</si>
  <si>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</si>
  <si>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</si>
  <si>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</si>
  <si>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</si>
  <si>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</si>
  <si>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</si>
  <si>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</si>
  <si>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</si>
  <si>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</si>
  <si>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</si>
  <si>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</si>
  <si>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</si>
  <si>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</si>
  <si>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</si>
  <si>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</si>
  <si>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</si>
  <si>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</si>
  <si>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</si>
  <si>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</si>
  <si>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</si>
  <si>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</si>
  <si>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</si>
  <si>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</si>
  <si>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</si>
  <si>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</si>
  <si>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</si>
  <si>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</si>
  <si>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</si>
  <si>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</si>
  <si>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</si>
  <si>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</si>
  <si>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</si>
  <si>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</si>
  <si>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</si>
  <si>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</si>
  <si>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</si>
  <si>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</si>
  <si>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</si>
  <si>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</si>
  <si>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</si>
  <si>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</si>
  <si>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</si>
  <si>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</si>
  <si>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</si>
  <si>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</si>
  <si>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</si>
  <si>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</si>
  <si>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</si>
  <si>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</si>
  <si>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</si>
  <si>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</si>
  <si>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</si>
  <si>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</si>
  <si>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</si>
  <si>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</si>
  <si>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</si>
  <si>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</si>
  <si>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</si>
  <si>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</si>
  <si>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</si>
  <si>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</si>
  <si>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</si>
  <si>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</si>
  <si>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</si>
  <si>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</si>
  <si>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</si>
  <si>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</si>
  <si>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</si>
  <si>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</si>
  <si>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</si>
  <si>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</si>
  <si>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</si>
  <si>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</si>
  <si>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</si>
  <si>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</si>
  <si>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</si>
  <si>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</si>
  <si>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</si>
  <si>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</si>
  <si>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</si>
  <si>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</si>
  <si>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</si>
  <si>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</si>
  <si>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</si>
  <si>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</si>
  <si>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</si>
  <si>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</si>
  <si>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</si>
  <si>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</si>
  <si>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</si>
  <si>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</si>
  <si>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</si>
  <si>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</si>
  <si>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</si>
  <si>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</si>
  <si>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</si>
  <si>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</si>
  <si>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</si>
  <si>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</si>
  <si>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</si>
  <si>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</si>
  <si>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</si>
  <si>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</si>
  <si>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</si>
  <si>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</si>
  <si>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</si>
  <si>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</si>
  <si>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</si>
  <si>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</si>
  <si>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</si>
  <si>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</si>
  <si>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</si>
  <si>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</si>
  <si>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</si>
  <si>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</si>
  <si>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</si>
  <si>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</si>
  <si>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</si>
  <si>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</si>
  <si>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</si>
  <si>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</si>
  <si>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</si>
  <si>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</si>
  <si>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</si>
  <si>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</si>
  <si>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</si>
  <si>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</si>
  <si>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</si>
  <si>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</si>
  <si>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</si>
  <si>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</si>
  <si>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</si>
  <si>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</si>
  <si>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</si>
  <si>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</si>
  <si>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</si>
  <si>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</si>
  <si>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KRW-SHIB</t>
  </si>
  <si>
    <t>시바이누</t>
  </si>
  <si>
    <t>KRW-POLYX</t>
  </si>
  <si>
    <t>폴리매쉬</t>
  </si>
  <si>
    <t>썬더코어</t>
  </si>
  <si>
    <t>KRW-MATIC</t>
  </si>
  <si>
    <t>폴리곤</t>
  </si>
  <si>
    <t>크로노스</t>
  </si>
  <si>
    <t>KRW-1INCH</t>
  </si>
  <si>
    <t>1인치네트워크</t>
  </si>
  <si>
    <t>KRW-GMT</t>
  </si>
  <si>
    <t>스테픈</t>
  </si>
  <si>
    <t>KRW-HIFI</t>
  </si>
  <si>
    <t>하이파이</t>
  </si>
  <si>
    <t>KRW-SOL</t>
  </si>
  <si>
    <t>솔라나</t>
  </si>
  <si>
    <t>아이큐</t>
  </si>
  <si>
    <t>KRW-T</t>
  </si>
  <si>
    <t>쓰레스홀드</t>
  </si>
  <si>
    <t>헤데라</t>
  </si>
  <si>
    <t>솔라</t>
  </si>
  <si>
    <t>KRW-XEC</t>
  </si>
  <si>
    <t>이캐시</t>
  </si>
  <si>
    <t>KRW-CELO</t>
  </si>
  <si>
    <t>셀로</t>
  </si>
  <si>
    <t>KRW-AAVE</t>
  </si>
  <si>
    <t>에이브</t>
  </si>
  <si>
    <t>KRW-APT</t>
  </si>
  <si>
    <t>앱토스</t>
  </si>
  <si>
    <t>KRW-ALGO</t>
  </si>
  <si>
    <t>알고랜드</t>
  </si>
  <si>
    <t>KRW-AVAX</t>
  </si>
  <si>
    <t>아발란체</t>
  </si>
  <si>
    <t>KRW-NEAR</t>
  </si>
  <si>
    <t>니어프로토콜</t>
  </si>
  <si>
    <t>KRW-NU</t>
  </si>
  <si>
    <t>누사이퍼</t>
  </si>
  <si>
    <t>2023.03.01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</si>
</sst>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>
      <alignment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259CEE1C-E56F-44FD-A7FF-B5F4F6557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7177EE2F-89D6-45E0-AC26-865833032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9AE03728-04D1-44F1-BBC5-85BA18D8B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A6B79B15-7F58-4860-9167-168C2D851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FD105651-A591-40A2-9734-7423F31DA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ACAEEE7F-2DAF-4E28-A692-FA8AC708B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4B32E986-EB8D-4A31-B9EA-842D96DEC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8ECE0EEE-31DA-4306-AD88-E9C64A650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C24700A0-3B5E-40FF-B53E-796352FFE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E8EA60D8-EEE5-433C-B549-FDE0D5B41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CFB089FD-BAC0-4661-B5B4-63199AC59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F1418B7C-E570-425D-8902-6936D7CF7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5CAEEEA9-AE22-44C3-AD04-2019D5E74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6706AB5A-F76F-4B07-A23B-4353E3C5F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351204B5-75E8-497A-91A6-BD3A468BE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6131C442-A970-46A5-AAE7-F3FEDE075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F831A4ED-BD26-4BA9-A80E-EE5BB6285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15E0A80B-F8E8-45F9-BFC7-8BA8D6D16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19A16303-124E-4052-9CD7-790400D49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9C2CEC24-E4E5-48C5-A479-A04BD6922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E2D2C4F2-6944-49AE-B671-54E8770E0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540797AA-19A7-4AC2-BB65-47C6468EB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FBE0D5FC-6ACF-457E-A69C-5FD6E522F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73D48E8C-5DA3-46A3-A7F0-5DC645F57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138D8081-8521-432A-86A8-4ACA46BA5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C1ED4EFB-9528-4113-BA66-EF2ED85BC1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E3702E1B-5BAD-452B-A414-AFDE61A2F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B814CB5E-A3CC-4EC4-B0DB-8BAA62B46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C37BECD8-2CA0-48BE-8746-F257317C8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1074A9FD-6215-4BBD-BAE7-8E088D1D7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1A3E7BA-3E75-480C-BC1C-FA0B6AC00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DB8312DF-B8B7-4F3C-8934-17E01DBA5F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A9886D07-9E60-4E05-8960-AFBF04BD7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211DAD7B-F8B3-4A20-8D09-1E47E6327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1D9E3B78-D3C7-4EBC-84DC-488E7FF3F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5594CF16-FE2B-453F-81A9-9B2A95BE7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A88B2BA-E4F9-46C1-A39B-31F495A26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F01CC0B3-E557-4A50-9657-50C145443A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28F56BE3-ECC7-40EC-9FFE-31B322253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5295411C-5380-4BD1-A72A-B82869A8A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9EF10C5A-F99A-4EEF-AB30-4150D478E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D9F0783D-356E-4997-A016-1D3EABF48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AB518027-22A0-466A-B7C8-CA99D9C0E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6E006E49-0AD3-45EC-942F-12782998EF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933F5A4-F6B5-4CD4-922F-FEABEA259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C3A642C3-29AD-44AA-AF45-6A9A105B9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624AA3A9-B096-489C-8208-9054B32A2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279D9877-FC1D-4694-906C-115CF9F03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9E83F23F-1374-45E1-BD4B-FB5137993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2A18696C-0895-4C37-890F-DCF63B97E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6A59A-23A1-4EA4-B7B4-E2072D4EB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BA26DF62-3F1C-46F1-8DE0-B6916F0DC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DA60FE8B-1DAB-4AB8-801F-695BBFCAC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67021D4E-5EC0-4F79-99D3-30058ADD07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D4CE486-77D7-4E91-B9C8-1C5726DEB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69B6101F-33D7-493F-8E3E-B979E474E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19FC7149-2109-4481-A57C-A5BA635BA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DB7CB744-467C-4EF7-91ED-CB4989EC6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95A8C6C6-741F-4E76-A740-F3175C436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BB77923A-EFE6-4F2E-B177-AFAC10E33D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11D9AB01-C350-4ADC-9E09-537117943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1874E0D0-6EB2-46F7-AAD6-E3117CE69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214F5A8F-47A3-44D7-9758-7D1C6C7C4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87635A0-2B05-4070-A30B-CCC59F2EA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3A6784D0-C7D4-4C6B-B864-594B913C4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9852D7D9-5DD5-4752-A943-76A16C6600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87401906-80E5-446A-BF80-5DD364FC2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5CA50176-358A-4B2F-955D-3C398A9F83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2851E8A-7188-42F0-AFE0-BBEF9DEBC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C3FC4350-AA03-4AA1-ADFD-2899C6B37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15018B25-A941-4678-AA3F-C8A7FD4FE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1FEE2671-5E46-41C8-AB7A-85211FCCCC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8FAA08F2-FE92-4CEA-BCE0-7CF899850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B8D6F099-F71B-4472-BF3A-84E043C9D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62C3A897-F537-465D-B931-9235642A3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A5FBF408-A1E3-4D4C-A29B-3B556EB358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495941F6-E6AE-41F4-8F4B-4DF6F88A3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9FFFD80-382D-4D95-951A-86AB45288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103366E2-E8C4-4403-B42F-E874B88C6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6D40CE4E-1EC4-463C-9AC7-DFEF4159F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6D94DE99-EC20-4431-801C-B46C07EB6D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AD8713C8-94A7-4D0D-BED1-B6766E4D8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D931E523-98D9-4BB8-B4EA-DD56030BD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AEA6DAEE-1DE0-4655-A215-360A3985B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E378CDAD-DB4A-430E-BFA6-64047670A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FAACA50D-1921-4747-A2C4-5FBCAD56D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4C87CFBC-786E-40F2-9A07-37F4C7666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FF9BE9CE-E72C-417A-A3EA-B6A273D97B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FEDBAFD7-AA44-44D1-A68E-A7EA857D0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EF72335E-731F-4E66-8E0E-387DDDBD1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14DDEE2C-EDED-4E7D-B8C1-F8027B061B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6AEDA37E-2E01-43A4-8970-BC9083E2F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4D961E45-788F-4AB3-92A9-0D9AEF0D8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3F61E63E-CBBC-41F1-8823-64BB80D5D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E6AB5C71-92BA-48EE-81A1-ABC305356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DE8E471B-046C-4641-A06F-14304403C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5094A0CC-0C12-4A8A-A367-6838811D5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5EA9AC51-6915-46A2-A17D-80A4537A5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21B248E5-3A65-4BB8-8BF5-60AC517F2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F57B696A-2B0F-45F7-91BB-125CEB878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3B25B673-3CC5-4441-AF71-B444D06671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8386C965-6D89-4F99-A56E-5B6FF9796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ABBC126D-143C-46D5-8C57-9C31998BC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2A864DED-3D05-48F5-A7ED-6E5091AF9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4A34EE56-F58A-4C8A-9479-1784A7423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4C9ADECF-EAB0-481C-B0FD-FE2A95AE8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C736E036-0E1C-4FDC-A92B-2131CD86E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1E79B98-958F-415A-B095-BD146D35E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9D582087-485D-4003-B6B8-3B8466517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3DDEDEDF-64D2-4C1B-BF36-164AF012F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D15BB6C8-0747-4EC8-847C-2E04CE29D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7964728D-93E8-43A7-9C88-F3A4D28D8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89F4638D-5126-4674-AE26-A296EC810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97CF1319-38B2-4795-A51A-8017D4FA7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86BDFC0E-508B-4DCF-B725-60F33911B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F759B0C8-C966-4A99-8B74-14D3D827F7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A189821B-128E-45F0-AEBB-27536F5D4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FDE4DCAE-EB62-4664-8CD2-B7A993DB34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895B3E65-6EC8-427B-A8FD-6990E14C2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B42ADBB9-68B8-496C-BBB3-D5534AEB3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D1E0516E-49B2-46A9-8943-FDD2DD94F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784C62F8-E7EF-49BC-BB54-BB96D62BA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C4425D30-8185-4C36-924F-8BE17ED9A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80E9F5BE-7C00-4649-ABFC-E26A947C9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1AD7E9EB-AA7A-4C6A-82C9-A84429ABC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70D62DAB-34D6-40B8-80D4-F0849B28C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9F39B781-E518-4BF5-A699-CB18912D0D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6DA746F5-2850-4C02-A125-A0FA7A44A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570B270D-F0FA-411D-B600-30F689F62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AC19E057-0362-4A4B-9459-C8C96FD15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F1ACEB62-540D-46F7-9F0A-1979A4093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B2694DFC-358B-4120-B563-D4053FAD0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11EE6A37-7EE9-4F4B-A71D-5A75F9772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877C9198-0091-4F7A-88AC-033FCC91F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EE2B7778-03F4-473D-B878-EBB959478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3D660669-0FC4-453C-AF01-61CD7AAF2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FB9ED322-86C6-44EC-9AE5-3A06E8ACF7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EA71E9-5250-47F3-9125-3B33563C0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5EE606F4-23ED-44B7-B515-F7F905E29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8A70908E-6758-41C2-81A7-F65625957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44287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" t="s">
        <v>3</v>
      </c>
      <c r="B2" s="141" t="s">
        <v>4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5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4" t="s">
        <v>7</v>
      </c>
      <c r="B3" s="147" t="s">
        <v>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9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47" t="s">
        <v>12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13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147" t="s">
        <v>16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17</v>
      </c>
      <c r="L5" s="148"/>
      <c r="M5" s="148"/>
      <c r="N5" s="148"/>
      <c r="O5" s="149"/>
    </row>
    <row r="6" spans="1:19">
      <c r="A6" s="4" t="s">
        <v>18</v>
      </c>
      <c r="B6" s="147" t="s">
        <v>19</v>
      </c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20</v>
      </c>
      <c r="L6" s="148"/>
      <c r="M6" s="148"/>
      <c r="N6" s="148"/>
      <c r="O6" s="149"/>
    </row>
    <row r="7" spans="1:19" ht="17.25" thickBot="1">
      <c r="A7" s="4" t="s">
        <v>21</v>
      </c>
      <c r="B7" s="147" t="s">
        <v>22</v>
      </c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23</v>
      </c>
      <c r="L7" s="148"/>
      <c r="M7" s="148"/>
      <c r="N7" s="148"/>
      <c r="O7" s="149"/>
    </row>
    <row r="8" spans="1:19" ht="17.25" thickBot="1">
      <c r="A8" s="4" t="s">
        <v>24</v>
      </c>
      <c r="B8" s="147" t="s">
        <v>25</v>
      </c>
      <c r="C8" s="148"/>
      <c r="D8" s="148"/>
      <c r="E8" s="148"/>
      <c r="F8" s="149"/>
      <c r="G8" s="144" t="s">
        <v>242</v>
      </c>
      <c r="H8" s="145"/>
      <c r="I8" s="146"/>
      <c r="J8" s="4" t="s">
        <v>24</v>
      </c>
      <c r="K8" s="147" t="s">
        <v>26</v>
      </c>
      <c r="L8" s="148"/>
      <c r="M8" s="148"/>
      <c r="N8" s="148"/>
      <c r="O8" s="149"/>
      <c r="Q8" s="135" t="s">
        <v>27</v>
      </c>
      <c r="R8" s="137"/>
    </row>
    <row r="9" spans="1:19" ht="17.25" thickBot="1">
      <c r="A9" s="4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 t="s">
        <v>250</v>
      </c>
      <c r="L9" s="148"/>
      <c r="M9" s="148"/>
      <c r="N9" s="148"/>
      <c r="O9" s="149"/>
      <c r="Q9" s="2" t="s">
        <v>29</v>
      </c>
      <c r="R9" s="6">
        <v>10</v>
      </c>
    </row>
    <row r="10" spans="1:19">
      <c r="A10" s="4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/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7" t="s">
        <v>32</v>
      </c>
      <c r="B11" s="153"/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/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31143000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-3.5834267E-3</v>
      </c>
      <c r="N14" s="166"/>
      <c r="O14" s="167"/>
      <c r="Q14" s="156"/>
      <c r="R14" s="156"/>
      <c r="S14" s="156"/>
    </row>
    <row r="15" spans="1:19" ht="17.25" customHeight="1" thickBot="1">
      <c r="A15" s="157" t="s">
        <v>39</v>
      </c>
      <c r="B15" s="168" t="str">
        <f>TEXT($G$1, "[$-ko-KR]yyyy-mm-dd(ddd) ") &amp; "오전 00:00"</f>
        <v>2021-04-01(목) 오전 00:00</v>
      </c>
      <c r="C15" s="169"/>
      <c r="D15" s="158" t="str">
        <f>TEXT($G$1, "[$-ko-KR]yyyy-mm-dd(ddd) ") &amp; "오후 14:00"</f>
        <v>2021-04-01(목) 오후 14:00</v>
      </c>
      <c r="E15" s="159"/>
      <c r="F15" s="160"/>
      <c r="G15" s="158" t="str">
        <f>TEXT($G$1, "[$-ko-KR]yyyy-mm-dd(ddd) ") &amp; "오후 19:00"</f>
        <v>2021-04-01(목) 오후 19:00</v>
      </c>
      <c r="H15" s="159"/>
      <c r="I15" s="160"/>
      <c r="J15" s="158" t="str">
        <f>TEXT($G$1, "[$-ko-KR]yyyy-mm-dd(ddd) ") &amp; "오후 21:00"</f>
        <v>2021-04-01(목) 오후 21:00</v>
      </c>
      <c r="K15" s="159"/>
      <c r="L15" s="160"/>
      <c r="M15" s="158" t="str">
        <f>TEXT($G$1+1, "[$-ko-KR]yyyy-mm-dd(ddd) ") &amp; "오전 00:00"</f>
        <v>2021-04-02(금) 오전 00:00</v>
      </c>
      <c r="N15" s="159"/>
      <c r="O15" s="160"/>
      <c r="Q15" s="156"/>
      <c r="R15" s="156"/>
      <c r="S15" s="156"/>
    </row>
    <row r="16" spans="1:19" ht="17.25" customHeight="1" thickBot="1">
      <c r="A16" s="15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7"/>
      <c r="B22" s="96" t="str">
        <f t="shared" si="0"/>
        <v/>
      </c>
      <c r="C22" s="97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7"/>
      <c r="B32" s="96" t="str">
        <f t="shared" si="0"/>
        <v/>
      </c>
      <c r="C32" s="97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26" t="s">
        <v>42</v>
      </c>
      <c r="B37" s="192">
        <v>300000</v>
      </c>
      <c r="C37" s="19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254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31143000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-3.5834267E-3</v>
      </c>
      <c r="N41" s="166"/>
      <c r="O41" s="167"/>
      <c r="Q41" s="156"/>
      <c r="R41" s="156"/>
      <c r="S41" s="156"/>
    </row>
    <row r="42" spans="1:19" ht="17.25" customHeight="1" thickBot="1">
      <c r="A42" s="179" t="s">
        <v>54</v>
      </c>
      <c r="B42" s="181" t="str">
        <f>TEXT($G$1, "[$-ko-KR]yyyy-mm-dd(ddd) ") &amp; "오전 00:00"</f>
        <v>2021-04-01(목) 오전 00:00</v>
      </c>
      <c r="C42" s="182"/>
      <c r="D42" s="158" t="str">
        <f>TEXT($G$1, "[$-ko-KR]yyyy-mm-dd(ddd) ") &amp; "오후 14:00"</f>
        <v>2021-04-01(목) 오후 14:00</v>
      </c>
      <c r="E42" s="159"/>
      <c r="F42" s="160"/>
      <c r="G42" s="158" t="str">
        <f>TEXT($G$1, "[$-ko-KR]yyyy-mm-dd(ddd) ") &amp; "오후 19:00"</f>
        <v>2021-04-01(목) 오후 19:00</v>
      </c>
      <c r="H42" s="159"/>
      <c r="I42" s="160"/>
      <c r="J42" s="158" t="str">
        <f>TEXT($G$1, "[$-ko-KR]yyyy-mm-dd(ddd) ") &amp; "오후 21:00"</f>
        <v>2021-04-01(목) 오후 21:00</v>
      </c>
      <c r="K42" s="159"/>
      <c r="L42" s="160"/>
      <c r="M42" s="158" t="str">
        <f>TEXT($G$1+1, "[$-ko-KR]yyyy-mm-dd(ddd) ") &amp; "오전 00:00"</f>
        <v>2021-04-02(금) 오전 00:00</v>
      </c>
      <c r="N42" s="159"/>
      <c r="O42" s="160"/>
      <c r="Q42" s="156"/>
      <c r="R42" s="156"/>
      <c r="S42" s="156"/>
    </row>
    <row r="43" spans="1:19" ht="17.25" customHeight="1" thickBot="1">
      <c r="A43" s="180"/>
      <c r="B43" s="2" t="s">
        <v>57</v>
      </c>
      <c r="C43" s="10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61"/>
      <c r="R43" s="161"/>
      <c r="S43" s="16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7"/>
      <c r="B49" s="96"/>
      <c r="C49" s="97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7"/>
      <c r="B59" s="96"/>
      <c r="C59" s="97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26" t="s">
        <v>257</v>
      </c>
      <c r="B64" s="192">
        <f>$B$37</f>
        <v>300000</v>
      </c>
      <c r="C64" s="193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254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31143000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-3.5834267E-3</v>
      </c>
      <c r="N68" s="166"/>
      <c r="O68" s="167"/>
      <c r="Q68" s="156"/>
      <c r="R68" s="156"/>
      <c r="S68" s="156"/>
    </row>
    <row r="69" spans="1:19" ht="17.25" thickBot="1">
      <c r="A69" s="179" t="s">
        <v>54</v>
      </c>
      <c r="B69" s="181" t="str">
        <f>TEXT($G$1, "[$-ko-KR]yyyy-mm-dd(ddd) ") &amp; "오전 00:00"</f>
        <v>2021-04-01(목) 오전 00:00</v>
      </c>
      <c r="C69" s="182"/>
      <c r="D69" s="158" t="str">
        <f>TEXT($G$1, "[$-ko-KR]yyyy-mm-dd(ddd) ") &amp; "오후 14:00"</f>
        <v>2021-04-01(목) 오후 14:00</v>
      </c>
      <c r="E69" s="159"/>
      <c r="F69" s="160"/>
      <c r="G69" s="158" t="str">
        <f>TEXT($G$1, "[$-ko-KR]yyyy-mm-dd(ddd) ") &amp; "오후 19:00"</f>
        <v>2021-04-01(목) 오후 19:00</v>
      </c>
      <c r="H69" s="159"/>
      <c r="I69" s="160"/>
      <c r="J69" s="158" t="str">
        <f>TEXT($G$1, "[$-ko-KR]yyyy-mm-dd(ddd) ") &amp; "오후 21:00"</f>
        <v>2021-04-01(목) 오후 21:00</v>
      </c>
      <c r="K69" s="159"/>
      <c r="L69" s="160"/>
      <c r="M69" s="158" t="str">
        <f>TEXT($G$1+1, "[$-ko-KR]yyyy-mm-dd(ddd) ") &amp; "오전 00:00"</f>
        <v>2021-04-02(금) 오전 00:00</v>
      </c>
      <c r="N69" s="159"/>
      <c r="O69" s="160"/>
      <c r="Q69" s="156"/>
      <c r="R69" s="156"/>
      <c r="S69" s="156"/>
    </row>
    <row r="70" spans="1:19" ht="17.25" thickBot="1">
      <c r="A70" s="180"/>
      <c r="B70" s="2" t="s">
        <v>57</v>
      </c>
      <c r="C70" s="10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61"/>
      <c r="R70" s="161"/>
      <c r="S70" s="16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7"/>
      <c r="B76" s="96"/>
      <c r="C76" s="97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7"/>
      <c r="B86" s="96"/>
      <c r="C86" s="97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26" t="s">
        <v>257</v>
      </c>
      <c r="B91" s="192">
        <f>$B$37</f>
        <v>300000</v>
      </c>
      <c r="C91" s="193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254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31143000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-3.5834267E-3</v>
      </c>
      <c r="N95" s="166"/>
      <c r="O95" s="167"/>
      <c r="Q95" s="156"/>
      <c r="R95" s="156"/>
      <c r="S95" s="156"/>
    </row>
    <row r="96" spans="1:19" ht="17.25" thickBot="1">
      <c r="A96" s="179" t="s">
        <v>54</v>
      </c>
      <c r="B96" s="181" t="str">
        <f>TEXT($G$1, "[$-ko-KR]yyyy-mm-dd(ddd) ") &amp; "오전 00:00"</f>
        <v>2021-04-01(목) 오전 00:00</v>
      </c>
      <c r="C96" s="182"/>
      <c r="D96" s="158" t="str">
        <f>TEXT($G$1, "[$-ko-KR]yyyy-mm-dd(ddd) ") &amp; "오후 14:00"</f>
        <v>2021-04-01(목) 오후 14:00</v>
      </c>
      <c r="E96" s="159"/>
      <c r="F96" s="160"/>
      <c r="G96" s="158" t="str">
        <f>TEXT($G$1, "[$-ko-KR]yyyy-mm-dd(ddd) ") &amp; "오후 19:00"</f>
        <v>2021-04-01(목) 오후 19:00</v>
      </c>
      <c r="H96" s="159"/>
      <c r="I96" s="160"/>
      <c r="J96" s="158" t="str">
        <f>TEXT($G$1, "[$-ko-KR]yyyy-mm-dd(ddd) ") &amp; "오후 21:00"</f>
        <v>2021-04-01(목) 오후 21:00</v>
      </c>
      <c r="K96" s="159"/>
      <c r="L96" s="160"/>
      <c r="M96" s="158" t="str">
        <f>TEXT($G$1+1, "[$-ko-KR]yyyy-mm-dd(ddd) ") &amp; "오전 00:00"</f>
        <v>2021-04-02(금) 오전 00:00</v>
      </c>
      <c r="N96" s="159"/>
      <c r="O96" s="160"/>
      <c r="Q96" s="156"/>
      <c r="R96" s="156"/>
      <c r="S96" s="156"/>
    </row>
    <row r="97" spans="1:19" ht="17.25" thickBot="1">
      <c r="A97" s="180"/>
      <c r="B97" s="2" t="s">
        <v>57</v>
      </c>
      <c r="C97" s="10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61"/>
      <c r="R97" s="161"/>
      <c r="S97" s="16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7"/>
      <c r="B103" s="96"/>
      <c r="C103" s="97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7"/>
      <c r="B113" s="96"/>
      <c r="C113" s="97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26" t="s">
        <v>257</v>
      </c>
      <c r="B118" s="192">
        <f>$B$37</f>
        <v>300000</v>
      </c>
      <c r="C118" s="193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245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254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31143000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-3.5834267E-3</v>
      </c>
      <c r="N122" s="166"/>
      <c r="O122" s="167"/>
      <c r="Q122" s="156"/>
      <c r="R122" s="156"/>
      <c r="S122" s="156"/>
    </row>
    <row r="123" spans="1:19" ht="17.25" thickBot="1">
      <c r="A123" s="179" t="s">
        <v>54</v>
      </c>
      <c r="B123" s="181" t="str">
        <f>TEXT($G$1, "[$-ko-KR]yyyy-mm-dd(ddd) ") &amp; "오전 00:00"</f>
        <v>2021-04-01(목) 오전 00:00</v>
      </c>
      <c r="C123" s="182"/>
      <c r="D123" s="158" t="str">
        <f>TEXT($G$1, "[$-ko-KR]yyyy-mm-dd(ddd) ") &amp; "오후 14:00"</f>
        <v>2021-04-01(목) 오후 14:00</v>
      </c>
      <c r="E123" s="159"/>
      <c r="F123" s="160"/>
      <c r="G123" s="158" t="str">
        <f>TEXT($G$1, "[$-ko-KR]yyyy-mm-dd(ddd) ") &amp; "오후 19:00"</f>
        <v>2021-04-01(목) 오후 19:00</v>
      </c>
      <c r="H123" s="159"/>
      <c r="I123" s="160"/>
      <c r="J123" s="158" t="str">
        <f>TEXT($G$1, "[$-ko-KR]yyyy-mm-dd(ddd) ") &amp; "오후 21:00"</f>
        <v>2021-04-01(목) 오후 21:00</v>
      </c>
      <c r="K123" s="159"/>
      <c r="L123" s="160"/>
      <c r="M123" s="158" t="str">
        <f>TEXT($G$1+1, "[$-ko-KR]yyyy-mm-dd(ddd) ") &amp; "오전 00:00"</f>
        <v>2021-04-02(금) 오전 00:00</v>
      </c>
      <c r="N123" s="159"/>
      <c r="O123" s="160"/>
      <c r="Q123" s="156"/>
      <c r="R123" s="156"/>
      <c r="S123" s="156"/>
    </row>
    <row r="124" spans="1:19" ht="17.25" thickBot="1">
      <c r="A124" s="180"/>
      <c r="B124" s="2" t="s">
        <v>57</v>
      </c>
      <c r="C124" s="10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61"/>
      <c r="R124" s="161"/>
      <c r="S124" s="16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7"/>
      <c r="B130" s="96"/>
      <c r="C130" s="97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7"/>
      <c r="B140" s="96"/>
      <c r="C140" s="97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26" t="s">
        <v>257</v>
      </c>
      <c r="B145" s="192">
        <f>$B$37</f>
        <v>300000</v>
      </c>
      <c r="C145" s="193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246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254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31143000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-3.5834267E-3</v>
      </c>
      <c r="N149" s="166"/>
      <c r="O149" s="167"/>
      <c r="Q149" s="156"/>
      <c r="R149" s="156"/>
      <c r="S149" s="156"/>
    </row>
    <row r="150" spans="1:19" ht="17.25" thickBot="1">
      <c r="A150" s="179" t="s">
        <v>54</v>
      </c>
      <c r="B150" s="181" t="str">
        <f>TEXT($G$1, "[$-ko-KR]yyyy-mm-dd(ddd) ") &amp; "오전 00:00"</f>
        <v>2021-04-01(목) 오전 00:00</v>
      </c>
      <c r="C150" s="182"/>
      <c r="D150" s="158" t="str">
        <f>TEXT($G$1, "[$-ko-KR]yyyy-mm-dd(ddd) ") &amp; "오후 14:00"</f>
        <v>2021-04-01(목) 오후 14:00</v>
      </c>
      <c r="E150" s="159"/>
      <c r="F150" s="160"/>
      <c r="G150" s="158" t="str">
        <f>TEXT($G$1, "[$-ko-KR]yyyy-mm-dd(ddd) ") &amp; "오후 19:00"</f>
        <v>2021-04-01(목) 오후 19:00</v>
      </c>
      <c r="H150" s="159"/>
      <c r="I150" s="160"/>
      <c r="J150" s="158" t="str">
        <f>TEXT($G$1, "[$-ko-KR]yyyy-mm-dd(ddd) ") &amp; "오후 21:00"</f>
        <v>2021-04-01(목) 오후 21:00</v>
      </c>
      <c r="K150" s="159"/>
      <c r="L150" s="160"/>
      <c r="M150" s="158" t="str">
        <f>TEXT($G$1+1, "[$-ko-KR]yyyy-mm-dd(ddd) ") &amp; "오전 00:00"</f>
        <v>2021-04-02(금) 오전 00:00</v>
      </c>
      <c r="N150" s="159"/>
      <c r="O150" s="160"/>
      <c r="Q150" s="156"/>
      <c r="R150" s="156"/>
      <c r="S150" s="156"/>
    </row>
    <row r="151" spans="1:19" ht="17.25" thickBot="1">
      <c r="A151" s="180"/>
      <c r="B151" s="2" t="s">
        <v>57</v>
      </c>
      <c r="C151" s="10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61"/>
      <c r="R151" s="161"/>
      <c r="S151" s="16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7"/>
      <c r="B157" s="96"/>
      <c r="C157" s="97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7"/>
      <c r="B167" s="96"/>
      <c r="C167" s="97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26" t="s">
        <v>257</v>
      </c>
      <c r="B172" s="192">
        <f>$B$37</f>
        <v>300000</v>
      </c>
      <c r="C172" s="193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242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254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31143000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-3.5834267E-3</v>
      </c>
      <c r="N176" s="166"/>
      <c r="O176" s="167"/>
      <c r="Q176" s="156"/>
      <c r="R176" s="156"/>
      <c r="S176" s="156"/>
    </row>
    <row r="177" spans="1:19" ht="17.25" thickBot="1">
      <c r="A177" s="179" t="s">
        <v>54</v>
      </c>
      <c r="B177" s="181" t="str">
        <f>TEXT($G$1, "[$-ko-KR]yyyy-mm-dd(ddd) ") &amp; "오전 00:00"</f>
        <v>2021-04-01(목) 오전 00:00</v>
      </c>
      <c r="C177" s="182"/>
      <c r="D177" s="158" t="str">
        <f>TEXT($G$1, "[$-ko-KR]yyyy-mm-dd(ddd) ") &amp; "오후 14:00"</f>
        <v>2021-04-01(목) 오후 14:00</v>
      </c>
      <c r="E177" s="159"/>
      <c r="F177" s="160"/>
      <c r="G177" s="158" t="str">
        <f>TEXT($G$1, "[$-ko-KR]yyyy-mm-dd(ddd) ") &amp; "오후 19:00"</f>
        <v>2021-04-01(목) 오후 19:00</v>
      </c>
      <c r="H177" s="159"/>
      <c r="I177" s="160"/>
      <c r="J177" s="158" t="str">
        <f>TEXT($G$1, "[$-ko-KR]yyyy-mm-dd(ddd) ") &amp; "오후 21:00"</f>
        <v>2021-04-01(목) 오후 21:00</v>
      </c>
      <c r="K177" s="159"/>
      <c r="L177" s="160"/>
      <c r="M177" s="158" t="str">
        <f>TEXT($G$1+1, "[$-ko-KR]yyyy-mm-dd(ddd) ") &amp; "오전 00:00"</f>
        <v>2021-04-02(금) 오전 00:00</v>
      </c>
      <c r="N177" s="159"/>
      <c r="O177" s="160"/>
      <c r="Q177" s="156"/>
      <c r="R177" s="156"/>
      <c r="S177" s="156"/>
    </row>
    <row r="178" spans="1:19" ht="17.25" thickBot="1">
      <c r="A178" s="180"/>
      <c r="B178" s="2" t="s">
        <v>57</v>
      </c>
      <c r="C178" s="10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61"/>
      <c r="R178" s="161"/>
      <c r="S178" s="16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7"/>
      <c r="B184" s="96"/>
      <c r="C184" s="97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7"/>
      <c r="B194" s="96"/>
      <c r="C194" s="97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26" t="s">
        <v>257</v>
      </c>
      <c r="B199" s="192">
        <f>$B$37</f>
        <v>300000</v>
      </c>
      <c r="C199" s="193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44986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307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315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308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309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310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311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312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242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313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314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305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31143000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-3.5834267E-3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2023-03-01(수) 오전 00:00</v>
      </c>
      <c r="C15" s="202"/>
      <c r="D15" s="158" t="str">
        <f>TEXT($G$1, "[$-ko-KR]yyyy-mm-dd(ddd) ") &amp; "오후 14:00"</f>
        <v>2023-03-01(수) 오후 14:00</v>
      </c>
      <c r="E15" s="159"/>
      <c r="F15" s="160"/>
      <c r="G15" s="158" t="str">
        <f>TEXT($G$1, "[$-ko-KR]yyyy-mm-dd(ddd) ") &amp; "오후 19:00"</f>
        <v>2023-03-01(수) 오후 19:00</v>
      </c>
      <c r="H15" s="159"/>
      <c r="I15" s="160"/>
      <c r="J15" s="158" t="str">
        <f>TEXT($G$1, "[$-ko-KR]yyyy-mm-dd(ddd) ") &amp; "오후 21:00"</f>
        <v>2023-03-01(수) 오후 21:00</v>
      </c>
      <c r="K15" s="159"/>
      <c r="L15" s="160"/>
      <c r="M15" s="158" t="str">
        <f>TEXT($G$1+1, "[$-ko-KR]yyyy-mm-dd(ddd) ") &amp; "오전 00:00"</f>
        <v>2023-03-02(목)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254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31143000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-3.5834267E-3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2023-03-01(수) 오전 00:00</v>
      </c>
      <c r="C42" s="199"/>
      <c r="D42" s="158" t="str">
        <f>TEXT($G$1, "[$-ko-KR]yyyy-mm-dd(ddd) ") &amp; "오후 14:00"</f>
        <v>2023-03-01(수) 오후 14:00</v>
      </c>
      <c r="E42" s="159"/>
      <c r="F42" s="160"/>
      <c r="G42" s="158" t="str">
        <f>TEXT($G$1, "[$-ko-KR]yyyy-mm-dd(ddd) ") &amp; "오후 19:00"</f>
        <v>2023-03-01(수) 오후 19:00</v>
      </c>
      <c r="H42" s="159"/>
      <c r="I42" s="160"/>
      <c r="J42" s="158" t="str">
        <f>TEXT($G$1, "[$-ko-KR]yyyy-mm-dd(ddd) ") &amp; "오후 21:00"</f>
        <v>2023-03-01(수) 오후 21:00</v>
      </c>
      <c r="K42" s="159"/>
      <c r="L42" s="160"/>
      <c r="M42" s="158" t="str">
        <f>TEXT($G$1+1, "[$-ko-KR]yyyy-mm-dd(ddd) ") &amp; "오전 00:00"</f>
        <v>2023-03-02(목)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61"/>
      <c r="R43" s="161"/>
      <c r="S43" s="161"/>
    </row>
    <row r="44" spans="1:19" ht="17.25" customHeight="1" thickBot="1">
      <c r="A44" s="107"/>
      <c r="B44" s="108"/>
      <c r="C44" s="69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/>
      <c r="B45" s="110"/>
      <c r="C45" s="70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/>
      <c r="B46" s="110"/>
      <c r="C46" s="70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09"/>
      <c r="B47" s="110"/>
      <c r="C47" s="70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11"/>
      <c r="B48" s="112"/>
      <c r="C48" s="7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09"/>
      <c r="B49" s="113"/>
      <c r="C49" s="73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09"/>
      <c r="B50" s="110"/>
      <c r="C50" s="70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09"/>
      <c r="B51" s="110"/>
      <c r="C51" s="70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09"/>
      <c r="B52" s="110"/>
      <c r="C52" s="70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/>
      <c r="B53" s="115"/>
      <c r="C53" s="72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07"/>
      <c r="B54" s="108"/>
      <c r="C54" s="69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09"/>
      <c r="B55" s="110"/>
      <c r="C55" s="70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09"/>
      <c r="B56" s="110"/>
      <c r="C56" s="70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09"/>
      <c r="B57" s="110"/>
      <c r="C57" s="70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/>
      <c r="B58" s="112"/>
      <c r="C58" s="7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/>
      <c r="B59" s="113"/>
      <c r="C59" s="73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09"/>
      <c r="B60" s="110"/>
      <c r="C60" s="70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09"/>
      <c r="B61" s="110"/>
      <c r="C61" s="70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09"/>
      <c r="B62" s="110"/>
      <c r="C62" s="70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14"/>
      <c r="B63" s="115"/>
      <c r="C63" s="72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116" t="s">
        <v>257</v>
      </c>
      <c r="B64" s="194">
        <f>$B$37</f>
        <v>150000</v>
      </c>
      <c r="C64" s="195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254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31143000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-3.5834267E-3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2023-03-01(수) 오전 00:00</v>
      </c>
      <c r="C69" s="199"/>
      <c r="D69" s="158" t="str">
        <f>TEXT($G$1, "[$-ko-KR]yyyy-mm-dd(ddd) ") &amp; "오후 14:00"</f>
        <v>2023-03-01(수) 오후 14:00</v>
      </c>
      <c r="E69" s="159"/>
      <c r="F69" s="160"/>
      <c r="G69" s="158" t="str">
        <f>TEXT($G$1, "[$-ko-KR]yyyy-mm-dd(ddd) ") &amp; "오후 19:00"</f>
        <v>2023-03-01(수) 오후 19:00</v>
      </c>
      <c r="H69" s="159"/>
      <c r="I69" s="160"/>
      <c r="J69" s="158" t="str">
        <f>TEXT($G$1, "[$-ko-KR]yyyy-mm-dd(ddd) ") &amp; "오후 21:00"</f>
        <v>2023-03-01(수) 오후 21:00</v>
      </c>
      <c r="K69" s="159"/>
      <c r="L69" s="160"/>
      <c r="M69" s="158" t="str">
        <f>TEXT($G$1+1, "[$-ko-KR]yyyy-mm-dd(ddd) ") &amp; "오전 00:00"</f>
        <v>2023-03-02(목)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61"/>
      <c r="R70" s="161"/>
      <c r="S70" s="161"/>
    </row>
    <row r="71" spans="1:19" ht="17.25" thickBot="1">
      <c r="A71" s="107"/>
      <c r="B71" s="108"/>
      <c r="C71" s="69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/>
      <c r="B72" s="110"/>
      <c r="C72" s="70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/>
      <c r="B73" s="110"/>
      <c r="C73" s="70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09"/>
      <c r="B74" s="110"/>
      <c r="C74" s="70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11"/>
      <c r="B75" s="112"/>
      <c r="C75" s="7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09"/>
      <c r="B76" s="113"/>
      <c r="C76" s="73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09"/>
      <c r="B77" s="110"/>
      <c r="C77" s="70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09"/>
      <c r="B78" s="110"/>
      <c r="C78" s="70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09"/>
      <c r="B79" s="110"/>
      <c r="C79" s="70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/>
      <c r="B80" s="115"/>
      <c r="C80" s="72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07"/>
      <c r="B81" s="108"/>
      <c r="C81" s="69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09"/>
      <c r="B82" s="110"/>
      <c r="C82" s="70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09"/>
      <c r="B83" s="110"/>
      <c r="C83" s="70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09"/>
      <c r="B84" s="110"/>
      <c r="C84" s="70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/>
      <c r="B85" s="112"/>
      <c r="C85" s="7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/>
      <c r="B86" s="113"/>
      <c r="C86" s="73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09"/>
      <c r="B87" s="110"/>
      <c r="C87" s="70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09"/>
      <c r="B88" s="110"/>
      <c r="C88" s="70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09"/>
      <c r="B89" s="110"/>
      <c r="C89" s="70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114"/>
      <c r="B90" s="115"/>
      <c r="C90" s="72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116" t="s">
        <v>257</v>
      </c>
      <c r="B91" s="194">
        <f>$B$37</f>
        <v>150000</v>
      </c>
      <c r="C91" s="195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254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31143000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-3.5834267E-3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2023-03-01(수) 오전 00:00</v>
      </c>
      <c r="C96" s="199"/>
      <c r="D96" s="158" t="str">
        <f>TEXT($G$1, "[$-ko-KR]yyyy-mm-dd(ddd) ") &amp; "오후 14:00"</f>
        <v>2023-03-01(수) 오후 14:00</v>
      </c>
      <c r="E96" s="159"/>
      <c r="F96" s="160"/>
      <c r="G96" s="158" t="str">
        <f>TEXT($G$1, "[$-ko-KR]yyyy-mm-dd(ddd) ") &amp; "오후 19:00"</f>
        <v>2023-03-01(수) 오후 19:00</v>
      </c>
      <c r="H96" s="159"/>
      <c r="I96" s="160"/>
      <c r="J96" s="158" t="str">
        <f>TEXT($G$1, "[$-ko-KR]yyyy-mm-dd(ddd) ") &amp; "오후 21:00"</f>
        <v>2023-03-01(수) 오후 21:00</v>
      </c>
      <c r="K96" s="159"/>
      <c r="L96" s="160"/>
      <c r="M96" s="158" t="str">
        <f>TEXT($G$1+1, "[$-ko-KR]yyyy-mm-dd(ddd) ") &amp; "오전 00:00"</f>
        <v>2023-03-02(목)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61"/>
      <c r="R97" s="161"/>
      <c r="S97" s="161"/>
    </row>
    <row r="98" spans="1:19" ht="17.25" thickBot="1">
      <c r="A98" s="107"/>
      <c r="B98" s="108"/>
      <c r="C98" s="69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/>
      <c r="B99" s="110"/>
      <c r="C99" s="70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/>
      <c r="B100" s="110"/>
      <c r="C100" s="70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09"/>
      <c r="B101" s="110"/>
      <c r="C101" s="70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11"/>
      <c r="B102" s="112"/>
      <c r="C102" s="7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09"/>
      <c r="B103" s="113"/>
      <c r="C103" s="73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09"/>
      <c r="B104" s="110"/>
      <c r="C104" s="70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09"/>
      <c r="B105" s="110"/>
      <c r="C105" s="70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09"/>
      <c r="B106" s="110"/>
      <c r="C106" s="70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/>
      <c r="B107" s="115"/>
      <c r="C107" s="72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07"/>
      <c r="B108" s="108"/>
      <c r="C108" s="69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09"/>
      <c r="B109" s="110"/>
      <c r="C109" s="70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09"/>
      <c r="B110" s="110"/>
      <c r="C110" s="70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09"/>
      <c r="B111" s="110"/>
      <c r="C111" s="70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/>
      <c r="B112" s="112"/>
      <c r="C112" s="7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/>
      <c r="B113" s="113"/>
      <c r="C113" s="73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09"/>
      <c r="B114" s="110"/>
      <c r="C114" s="70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09"/>
      <c r="B115" s="110"/>
      <c r="C115" s="70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09"/>
      <c r="B116" s="110"/>
      <c r="C116" s="70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114"/>
      <c r="B117" s="115"/>
      <c r="C117" s="72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116" t="s">
        <v>257</v>
      </c>
      <c r="B118" s="194">
        <f>$B$37</f>
        <v>150000</v>
      </c>
      <c r="C118" s="195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245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254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31143000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-3.5834267E-3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2023-03-01(수) 오전 00:00</v>
      </c>
      <c r="C123" s="199"/>
      <c r="D123" s="158" t="str">
        <f>TEXT($G$1, "[$-ko-KR]yyyy-mm-dd(ddd) ") &amp; "오후 14:00"</f>
        <v>2023-03-01(수) 오후 14:00</v>
      </c>
      <c r="E123" s="159"/>
      <c r="F123" s="160"/>
      <c r="G123" s="158" t="str">
        <f>TEXT($G$1, "[$-ko-KR]yyyy-mm-dd(ddd) ") &amp; "오후 19:00"</f>
        <v>2023-03-01(수) 오후 19:00</v>
      </c>
      <c r="H123" s="159"/>
      <c r="I123" s="160"/>
      <c r="J123" s="158" t="str">
        <f>TEXT($G$1, "[$-ko-KR]yyyy-mm-dd(ddd) ") &amp; "오후 21:00"</f>
        <v>2023-03-01(수) 오후 21:00</v>
      </c>
      <c r="K123" s="159"/>
      <c r="L123" s="160"/>
      <c r="M123" s="158" t="str">
        <f>TEXT($G$1+1, "[$-ko-KR]yyyy-mm-dd(ddd) ") &amp; "오전 00:00"</f>
        <v>2023-03-02(목)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61"/>
      <c r="R124" s="161"/>
      <c r="S124" s="161"/>
    </row>
    <row r="125" spans="1:19" ht="17.25" thickBot="1">
      <c r="A125" s="107"/>
      <c r="B125" s="108"/>
      <c r="C125" s="69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/>
      <c r="B126" s="110"/>
      <c r="C126" s="70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/>
      <c r="B127" s="110"/>
      <c r="C127" s="70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09"/>
      <c r="B128" s="110"/>
      <c r="C128" s="70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11"/>
      <c r="B129" s="112"/>
      <c r="C129" s="7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09"/>
      <c r="B130" s="113"/>
      <c r="C130" s="73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09"/>
      <c r="B131" s="110"/>
      <c r="C131" s="70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09"/>
      <c r="B132" s="110"/>
      <c r="C132" s="70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09"/>
      <c r="B133" s="110"/>
      <c r="C133" s="70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/>
      <c r="B134" s="115"/>
      <c r="C134" s="72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07"/>
      <c r="B135" s="108"/>
      <c r="C135" s="69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09"/>
      <c r="B136" s="110"/>
      <c r="C136" s="70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09"/>
      <c r="B137" s="110"/>
      <c r="C137" s="70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09"/>
      <c r="B138" s="110"/>
      <c r="C138" s="70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/>
      <c r="B139" s="112"/>
      <c r="C139" s="7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/>
      <c r="B140" s="113"/>
      <c r="C140" s="73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09"/>
      <c r="B141" s="110"/>
      <c r="C141" s="70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09"/>
      <c r="B142" s="110"/>
      <c r="C142" s="70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09"/>
      <c r="B143" s="110"/>
      <c r="C143" s="70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14"/>
      <c r="B144" s="115"/>
      <c r="C144" s="72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116" t="s">
        <v>257</v>
      </c>
      <c r="B145" s="194">
        <f>$B$37</f>
        <v>150000</v>
      </c>
      <c r="C145" s="195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246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254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31143000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-3.5834267E-3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2023-03-01(수) 오전 00:00</v>
      </c>
      <c r="C150" s="199"/>
      <c r="D150" s="158" t="str">
        <f>TEXT($G$1, "[$-ko-KR]yyyy-mm-dd(ddd) ") &amp; "오후 14:00"</f>
        <v>2023-03-01(수) 오후 14:00</v>
      </c>
      <c r="E150" s="159"/>
      <c r="F150" s="160"/>
      <c r="G150" s="158" t="str">
        <f>TEXT($G$1, "[$-ko-KR]yyyy-mm-dd(ddd) ") &amp; "오후 19:00"</f>
        <v>2023-03-01(수) 오후 19:00</v>
      </c>
      <c r="H150" s="159"/>
      <c r="I150" s="160"/>
      <c r="J150" s="158" t="str">
        <f>TEXT($G$1, "[$-ko-KR]yyyy-mm-dd(ddd) ") &amp; "오후 21:00"</f>
        <v>2023-03-01(수) 오후 21:00</v>
      </c>
      <c r="K150" s="159"/>
      <c r="L150" s="160"/>
      <c r="M150" s="158" t="str">
        <f>TEXT($G$1+1, "[$-ko-KR]yyyy-mm-dd(ddd) ") &amp; "오전 00:00"</f>
        <v>2023-03-02(목)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61"/>
      <c r="R151" s="161"/>
      <c r="S151" s="161"/>
    </row>
    <row r="152" spans="1:19" ht="17.25" thickBot="1">
      <c r="A152" s="107"/>
      <c r="B152" s="108"/>
      <c r="C152" s="69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/>
      <c r="B153" s="110"/>
      <c r="C153" s="70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/>
      <c r="B154" s="110"/>
      <c r="C154" s="70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09"/>
      <c r="B155" s="110"/>
      <c r="C155" s="70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11"/>
      <c r="B156" s="112"/>
      <c r="C156" s="7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09"/>
      <c r="B157" s="113"/>
      <c r="C157" s="73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09"/>
      <c r="B158" s="110"/>
      <c r="C158" s="70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09"/>
      <c r="B159" s="110"/>
      <c r="C159" s="70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09"/>
      <c r="B160" s="110"/>
      <c r="C160" s="70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/>
      <c r="B161" s="115"/>
      <c r="C161" s="72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07"/>
      <c r="B162" s="108"/>
      <c r="C162" s="69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09"/>
      <c r="B163" s="110"/>
      <c r="C163" s="70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09"/>
      <c r="B164" s="110"/>
      <c r="C164" s="70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09"/>
      <c r="B165" s="110"/>
      <c r="C165" s="70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/>
      <c r="B166" s="112"/>
      <c r="C166" s="7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/>
      <c r="B167" s="113"/>
      <c r="C167" s="73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09"/>
      <c r="B168" s="110"/>
      <c r="C168" s="70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09"/>
      <c r="B169" s="110"/>
      <c r="C169" s="70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09"/>
      <c r="B170" s="110"/>
      <c r="C170" s="70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114"/>
      <c r="B171" s="115"/>
      <c r="C171" s="72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116" t="s">
        <v>257</v>
      </c>
      <c r="B172" s="194">
        <f>$B$37</f>
        <v>150000</v>
      </c>
      <c r="C172" s="195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242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254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31143000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-3.5834267E-3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2023-03-01(수) 오전 00:00</v>
      </c>
      <c r="C177" s="199"/>
      <c r="D177" s="158" t="str">
        <f>TEXT($G$1, "[$-ko-KR]yyyy-mm-dd(ddd) ") &amp; "오후 14:00"</f>
        <v>2023-03-01(수) 오후 14:00</v>
      </c>
      <c r="E177" s="159"/>
      <c r="F177" s="160"/>
      <c r="G177" s="158" t="str">
        <f>TEXT($G$1, "[$-ko-KR]yyyy-mm-dd(ddd) ") &amp; "오후 19:00"</f>
        <v>2023-03-01(수) 오후 19:00</v>
      </c>
      <c r="H177" s="159"/>
      <c r="I177" s="160"/>
      <c r="J177" s="158" t="str">
        <f>TEXT($G$1, "[$-ko-KR]yyyy-mm-dd(ddd) ") &amp; "오후 21:00"</f>
        <v>2023-03-01(수) 오후 21:00</v>
      </c>
      <c r="K177" s="159"/>
      <c r="L177" s="160"/>
      <c r="M177" s="158" t="str">
        <f>TEXT($G$1+1, "[$-ko-KR]yyyy-mm-dd(ddd) ") &amp; "오전 00:00"</f>
        <v>2023-03-02(목)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61"/>
      <c r="R178" s="161"/>
      <c r="S178" s="161"/>
    </row>
    <row r="179" spans="1:19" ht="17.25" thickBot="1">
      <c r="A179" s="107"/>
      <c r="B179" s="108"/>
      <c r="C179" s="69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/>
      <c r="B180" s="110"/>
      <c r="C180" s="70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/>
      <c r="B181" s="110"/>
      <c r="C181" s="70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09"/>
      <c r="B182" s="110"/>
      <c r="C182" s="70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11"/>
      <c r="B183" s="112"/>
      <c r="C183" s="7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09"/>
      <c r="B184" s="113"/>
      <c r="C184" s="73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09"/>
      <c r="B185" s="110"/>
      <c r="C185" s="70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09"/>
      <c r="B186" s="110"/>
      <c r="C186" s="70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09"/>
      <c r="B187" s="110"/>
      <c r="C187" s="70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/>
      <c r="B188" s="115"/>
      <c r="C188" s="72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07"/>
      <c r="B189" s="108"/>
      <c r="C189" s="69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09"/>
      <c r="B190" s="110"/>
      <c r="C190" s="70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09"/>
      <c r="B191" s="110"/>
      <c r="C191" s="70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09"/>
      <c r="B192" s="110"/>
      <c r="C192" s="70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/>
      <c r="B193" s="112"/>
      <c r="C193" s="7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/>
      <c r="B194" s="113"/>
      <c r="C194" s="73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09"/>
      <c r="B195" s="110"/>
      <c r="C195" s="70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09"/>
      <c r="B196" s="110"/>
      <c r="C196" s="70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09"/>
      <c r="B197" s="110"/>
      <c r="C197" s="70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114"/>
      <c r="B198" s="115"/>
      <c r="C198" s="72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116" t="s">
        <v>257</v>
      </c>
      <c r="B199" s="194">
        <f>$B$37</f>
        <v>150000</v>
      </c>
      <c r="C199" s="195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224</v>
      </c>
      <c r="B2" s="11" t="s">
        <v>225</v>
      </c>
      <c r="C2" s="86">
        <v>81.7</v>
      </c>
      <c r="D2" s="34">
        <v>5.8290155400000002E-2</v>
      </c>
      <c r="E2" s="84">
        <v>1424000269.6102948</v>
      </c>
      <c r="F2" s="35"/>
      <c r="G2" s="50"/>
      <c r="H2" s="35"/>
      <c r="I2" s="35"/>
    </row>
    <row r="3" spans="1:18" ht="17.25" thickBot="1">
      <c r="A3" s="40" t="s">
        <v>82</v>
      </c>
      <c r="B3" s="11" t="s">
        <v>83</v>
      </c>
      <c r="C3" s="86">
        <v>1575</v>
      </c>
      <c r="D3" s="34">
        <v>0.05</v>
      </c>
      <c r="E3" s="84">
        <v>21575071.012892101</v>
      </c>
      <c r="F3" s="35"/>
      <c r="G3" s="196" t="s">
        <v>247</v>
      </c>
      <c r="H3" s="208" t="s">
        <v>353</v>
      </c>
      <c r="I3" s="208"/>
      <c r="K3" s="135" t="s">
        <v>34</v>
      </c>
      <c r="L3" s="136"/>
      <c r="M3" s="136"/>
      <c r="N3" s="137"/>
      <c r="O3" s="135" t="s">
        <v>249</v>
      </c>
      <c r="P3" s="136"/>
      <c r="Q3" s="136"/>
      <c r="R3" s="137"/>
    </row>
    <row r="4" spans="1:18" ht="17.25" thickBot="1">
      <c r="A4" s="40" t="s">
        <v>206</v>
      </c>
      <c r="B4" s="11" t="s">
        <v>207</v>
      </c>
      <c r="C4" s="86">
        <v>101</v>
      </c>
      <c r="D4" s="34">
        <v>4.6632124400000002E-2</v>
      </c>
      <c r="E4" s="84">
        <v>122337512.81191894</v>
      </c>
      <c r="F4" s="35"/>
      <c r="G4" s="197"/>
      <c r="H4" s="209"/>
      <c r="I4" s="209"/>
      <c r="K4" s="200" t="s">
        <v>54</v>
      </c>
      <c r="L4" s="212">
        <f ca="1">NOW()</f>
        <v>44992.000794791667</v>
      </c>
      <c r="M4" s="213"/>
      <c r="N4" s="214"/>
      <c r="O4" s="203" t="s">
        <v>54</v>
      </c>
      <c r="P4" s="212">
        <f ca="1">NOW()</f>
        <v>44992.000794791667</v>
      </c>
      <c r="Q4" s="213"/>
      <c r="R4" s="214"/>
    </row>
    <row r="5" spans="1:18" ht="17.25" thickBot="1">
      <c r="A5" s="40" t="s">
        <v>190</v>
      </c>
      <c r="B5" s="11" t="s">
        <v>191</v>
      </c>
      <c r="C5" s="86">
        <v>94.2</v>
      </c>
      <c r="D5" s="34">
        <v>4.08839779E-2</v>
      </c>
      <c r="E5" s="84">
        <v>784644368.05512321</v>
      </c>
      <c r="F5" s="35"/>
      <c r="K5" s="197"/>
      <c r="L5" s="36" t="s">
        <v>57</v>
      </c>
      <c r="M5" s="36" t="s">
        <v>58</v>
      </c>
      <c r="N5" s="64" t="s">
        <v>251</v>
      </c>
      <c r="O5" s="197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220</v>
      </c>
      <c r="B6" s="11" t="s">
        <v>221</v>
      </c>
      <c r="C6" s="86">
        <v>30.7</v>
      </c>
      <c r="D6" s="34">
        <v>4.0677966099999997E-2</v>
      </c>
      <c r="E6" s="84">
        <v>3721295736.9264164</v>
      </c>
      <c r="F6" s="35"/>
      <c r="G6" s="135" t="s">
        <v>52</v>
      </c>
      <c r="H6" s="136"/>
      <c r="I6" s="137"/>
      <c r="K6" s="51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69" t="str">
        <f t="shared" ref="M6:M25" ca="1" si="1">_xlfn.IFNA(VLOOKUP(K6, $B$2:$E$200, 3, FALSE), "")</f>
        <v/>
      </c>
      <c r="N6" s="78" t="str">
        <f ca="1">_xlfn.IFNA(VLOOKUP(K6, $B$2:$E$200, 4, FALSE), "")</f>
        <v/>
      </c>
      <c r="O6" s="46" t="str">
        <f>INDEX($A$2:$D$200, MATCH(LARGE($D$2:$D$200, 1), $D$2:$D$200, 0), 2)</f>
        <v>룸네트워크</v>
      </c>
      <c r="P6" s="38">
        <f t="shared" ref="P6:P25" si="2">_xlfn.IFNA(VLOOKUP(O6, $B$2:$D$200, 2, FALSE), "")</f>
        <v>81.7</v>
      </c>
      <c r="Q6" s="69">
        <f t="shared" ref="Q6:Q25" si="3">_xlfn.IFNA(VLOOKUP(O6, $B$2:$D$200, 3, FALSE), "")</f>
        <v>5.8290155400000002E-2</v>
      </c>
      <c r="R6" s="78">
        <f>_xlfn.IFNA(VLOOKUP(O6, $B$2:$E$200, 4, FALSE), "")</f>
        <v>1424000269.6102948</v>
      </c>
    </row>
    <row r="7" spans="1:18">
      <c r="A7" s="40" t="s">
        <v>156</v>
      </c>
      <c r="B7" s="11" t="s">
        <v>157</v>
      </c>
      <c r="C7" s="86">
        <v>371</v>
      </c>
      <c r="D7" s="34">
        <v>3.0555555599999999E-2</v>
      </c>
      <c r="E7" s="84">
        <v>32178409.653008431</v>
      </c>
      <c r="F7" s="35"/>
      <c r="G7" s="144" t="s">
        <v>36</v>
      </c>
      <c r="H7" s="145"/>
      <c r="I7" s="146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47" t="str">
        <f>INDEX($A$2:$D$200, MATCH(LARGE($D$2:$D$200, 2), $D$2:$D$200, 0), 2)</f>
        <v>이오스</v>
      </c>
      <c r="P7" s="39">
        <f t="shared" si="2"/>
        <v>1575</v>
      </c>
      <c r="Q7" s="70">
        <f t="shared" si="3"/>
        <v>0.05</v>
      </c>
      <c r="R7" s="79">
        <f t="shared" ref="R7:R25" si="5">_xlfn.IFNA(VLOOKUP(O7, $B$2:$E$200, 4, FALSE), "")</f>
        <v>21575071.012892101</v>
      </c>
    </row>
    <row r="8" spans="1:18" ht="17.25" thickBot="1">
      <c r="A8" s="40" t="s">
        <v>166</v>
      </c>
      <c r="B8" s="11" t="s">
        <v>167</v>
      </c>
      <c r="C8" s="86">
        <v>291</v>
      </c>
      <c r="D8" s="34">
        <v>2.8268551199999999E-2</v>
      </c>
      <c r="E8" s="84">
        <v>148671900.50679392</v>
      </c>
      <c r="F8" s="35"/>
      <c r="G8" s="150"/>
      <c r="H8" s="151"/>
      <c r="I8" s="152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47" t="str">
        <f>INDEX($A$2:$D$200, MATCH(LARGE($D$2:$D$200, 3), $D$2:$D$200, 0), 2)</f>
        <v>센티넬프로토콜</v>
      </c>
      <c r="P8" s="39">
        <f t="shared" si="2"/>
        <v>101</v>
      </c>
      <c r="Q8" s="70">
        <f t="shared" si="3"/>
        <v>4.6632124400000002E-2</v>
      </c>
      <c r="R8" s="79">
        <f t="shared" si="5"/>
        <v>122337512.81191894</v>
      </c>
    </row>
    <row r="9" spans="1:18" ht="17.25" thickBot="1">
      <c r="A9" s="40" t="s">
        <v>115</v>
      </c>
      <c r="B9" s="11" t="s">
        <v>116</v>
      </c>
      <c r="C9" s="86">
        <v>1700</v>
      </c>
      <c r="D9" s="34">
        <v>2.7190332300000002E-2</v>
      </c>
      <c r="E9" s="84">
        <v>9145748.0418828502</v>
      </c>
      <c r="F9" s="35"/>
      <c r="G9" s="9" t="s">
        <v>38</v>
      </c>
      <c r="H9" s="136" t="s">
        <v>37</v>
      </c>
      <c r="I9" s="137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47" t="str">
        <f>INDEX($A$2:$D$200, MATCH(LARGE($D$2:$D$200, 4), $D$2:$D$200, 0), 2)</f>
        <v>피르마체인</v>
      </c>
      <c r="P9" s="39">
        <f t="shared" si="2"/>
        <v>94.2</v>
      </c>
      <c r="Q9" s="70">
        <f t="shared" si="3"/>
        <v>4.08839779E-2</v>
      </c>
      <c r="R9" s="79">
        <f t="shared" si="5"/>
        <v>784644368.05512321</v>
      </c>
    </row>
    <row r="10" spans="1:18">
      <c r="A10" s="40" t="s">
        <v>119</v>
      </c>
      <c r="B10" s="11" t="s">
        <v>120</v>
      </c>
      <c r="C10" s="86">
        <v>164</v>
      </c>
      <c r="D10" s="34">
        <v>2.5000000000000001E-2</v>
      </c>
      <c r="E10" s="84">
        <v>58001146.584064066</v>
      </c>
      <c r="F10" s="35"/>
      <c r="G10" s="210">
        <f>_xlfn.IFNA(VLOOKUP(G7, $B$2:$D$200, 3, FALSE), "-")</f>
        <v>-3.5834267E-3</v>
      </c>
      <c r="H10" s="204">
        <f>_xlfn.IFNA(VLOOKUP(G7, $B$2:$D$200, 2, FALSE), "-")</f>
        <v>31143000</v>
      </c>
      <c r="I10" s="205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47" t="str">
        <f>INDEX($A$2:$D$200, MATCH(LARGE($D$2:$D$200, 5), $D$2:$D$200, 0), 2)</f>
        <v>썸씽</v>
      </c>
      <c r="P10" s="39">
        <f t="shared" si="2"/>
        <v>30.7</v>
      </c>
      <c r="Q10" s="70">
        <f t="shared" si="3"/>
        <v>4.0677966099999997E-2</v>
      </c>
      <c r="R10" s="83">
        <f t="shared" si="5"/>
        <v>3721295736.9264164</v>
      </c>
    </row>
    <row r="11" spans="1:18" ht="17.25" thickBot="1">
      <c r="A11" s="40" t="s">
        <v>106</v>
      </c>
      <c r="B11" s="11" t="s">
        <v>107</v>
      </c>
      <c r="C11" s="86">
        <v>58</v>
      </c>
      <c r="D11" s="34">
        <v>2.47349823E-2</v>
      </c>
      <c r="E11" s="84">
        <v>1143393611.8264434</v>
      </c>
      <c r="F11" s="35"/>
      <c r="G11" s="211"/>
      <c r="H11" s="206"/>
      <c r="I11" s="207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49" t="str">
        <f>INDEX($A$2:$D$200, MATCH(LARGE($D$2:$D$200, 6), $D$2:$D$200, 0), 2)</f>
        <v>엘프</v>
      </c>
      <c r="P11" s="45">
        <f t="shared" si="2"/>
        <v>371</v>
      </c>
      <c r="Q11" s="73">
        <f t="shared" si="3"/>
        <v>3.0555555599999999E-2</v>
      </c>
      <c r="R11" s="89">
        <f t="shared" si="5"/>
        <v>32178409.653008431</v>
      </c>
    </row>
    <row r="12" spans="1:18" ht="17.25" thickBot="1">
      <c r="A12" s="40" t="s">
        <v>200</v>
      </c>
      <c r="B12" s="11" t="s">
        <v>201</v>
      </c>
      <c r="C12" s="86">
        <v>359</v>
      </c>
      <c r="D12" s="34">
        <v>1.9886363600000002E-2</v>
      </c>
      <c r="E12" s="84">
        <v>61102830.704379506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47" t="str">
        <f>INDEX($A$2:$D$200, MATCH(LARGE($D$2:$D$200, 7), $D$2:$D$200, 0), 2)</f>
        <v>파워렛저</v>
      </c>
      <c r="P12" s="39">
        <f t="shared" si="2"/>
        <v>291</v>
      </c>
      <c r="Q12" s="70">
        <f t="shared" si="3"/>
        <v>2.8268551199999999E-2</v>
      </c>
      <c r="R12" s="79">
        <f t="shared" si="5"/>
        <v>148671900.50679392</v>
      </c>
    </row>
    <row r="13" spans="1:18" ht="17.25" thickBot="1">
      <c r="A13" s="40" t="s">
        <v>184</v>
      </c>
      <c r="B13" s="11" t="s">
        <v>185</v>
      </c>
      <c r="C13" s="86">
        <v>47.4</v>
      </c>
      <c r="D13" s="34">
        <v>1.4989293399999999E-2</v>
      </c>
      <c r="E13" s="84">
        <v>724430095.08711815</v>
      </c>
      <c r="F13" s="35"/>
      <c r="G13" s="135" t="s">
        <v>69</v>
      </c>
      <c r="H13" s="136"/>
      <c r="I13" s="137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47" t="str">
        <f>INDEX($A$2:$D$200, MATCH(LARGE($D$2:$D$200, 8), $D$2:$D$200, 0), 2)</f>
        <v>알파쿼크</v>
      </c>
      <c r="P13" s="39">
        <f t="shared" si="2"/>
        <v>1700</v>
      </c>
      <c r="Q13" s="70">
        <f t="shared" si="3"/>
        <v>2.7190332300000002E-2</v>
      </c>
      <c r="R13" s="79">
        <f t="shared" si="5"/>
        <v>9145748.0418828502</v>
      </c>
    </row>
    <row r="14" spans="1:18">
      <c r="A14" s="40" t="s">
        <v>210</v>
      </c>
      <c r="B14" s="11" t="s">
        <v>211</v>
      </c>
      <c r="C14" s="86">
        <v>1575</v>
      </c>
      <c r="D14" s="34">
        <v>1.2861736299999999E-2</v>
      </c>
      <c r="E14" s="84">
        <v>1962330.68829563</v>
      </c>
      <c r="F14" s="35"/>
      <c r="G14" s="144" t="s">
        <v>36</v>
      </c>
      <c r="H14" s="145"/>
      <c r="I14" s="146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47" t="str">
        <f>INDEX($A$2:$D$200, MATCH(LARGE($D$2:$D$200, 9), $D$2:$D$200, 0), 2)</f>
        <v>시빅</v>
      </c>
      <c r="P14" s="39">
        <f t="shared" si="2"/>
        <v>164</v>
      </c>
      <c r="Q14" s="70">
        <f t="shared" si="3"/>
        <v>2.5000000000000001E-2</v>
      </c>
      <c r="R14" s="79">
        <f t="shared" si="5"/>
        <v>58001146.584064066</v>
      </c>
    </row>
    <row r="15" spans="1:18" ht="17.25" thickBot="1">
      <c r="A15" s="40" t="s">
        <v>74</v>
      </c>
      <c r="B15" s="11" t="s">
        <v>75</v>
      </c>
      <c r="C15" s="86">
        <v>9800</v>
      </c>
      <c r="D15" s="34">
        <v>1.13519092E-2</v>
      </c>
      <c r="E15" s="84">
        <v>435301.86827997002</v>
      </c>
      <c r="F15" s="35"/>
      <c r="G15" s="150"/>
      <c r="H15" s="151"/>
      <c r="I15" s="152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48" t="str">
        <f>INDEX($A$2:$D$200, MATCH(LARGE($D$2:$D$200, 10), $D$2:$D$200, 0), 2)</f>
        <v>디카르고</v>
      </c>
      <c r="P15" s="37">
        <f t="shared" si="2"/>
        <v>58</v>
      </c>
      <c r="Q15" s="72">
        <f t="shared" si="3"/>
        <v>2.47349823E-2</v>
      </c>
      <c r="R15" s="80">
        <f t="shared" si="5"/>
        <v>1143393611.8264434</v>
      </c>
    </row>
    <row r="16" spans="1:18" ht="17.25" thickBot="1">
      <c r="A16" s="40" t="s">
        <v>131</v>
      </c>
      <c r="B16" s="11" t="s">
        <v>132</v>
      </c>
      <c r="C16" s="86">
        <v>81.5</v>
      </c>
      <c r="D16" s="34">
        <v>9.9132590000000007E-3</v>
      </c>
      <c r="E16" s="84">
        <v>263852173.78576455</v>
      </c>
      <c r="F16" s="35"/>
      <c r="G16" s="9" t="s">
        <v>38</v>
      </c>
      <c r="H16" s="136" t="s">
        <v>37</v>
      </c>
      <c r="I16" s="137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46" t="str">
        <f>INDEX($A$2:$D$200, MATCH(LARGE($D$2:$D$200, 11), $D$2:$D$200, 0), 2)</f>
        <v>플레이댑</v>
      </c>
      <c r="P16" s="38">
        <f t="shared" si="2"/>
        <v>359</v>
      </c>
      <c r="Q16" s="69">
        <f t="shared" si="3"/>
        <v>1.9886363600000002E-2</v>
      </c>
      <c r="R16" s="78">
        <f t="shared" si="5"/>
        <v>61102830.704379506</v>
      </c>
    </row>
    <row r="17" spans="1:18">
      <c r="A17" s="40" t="s">
        <v>65</v>
      </c>
      <c r="B17" s="11" t="s">
        <v>66</v>
      </c>
      <c r="C17" s="86">
        <v>1070</v>
      </c>
      <c r="D17" s="34">
        <v>9.4339622999999994E-3</v>
      </c>
      <c r="E17" s="84">
        <v>5820635.40611332</v>
      </c>
      <c r="F17" s="35"/>
      <c r="G17" s="210">
        <f>_xlfn.IFNA(VLOOKUP(G14, $B$2:$D$200, 3, FALSE), "-")</f>
        <v>-3.5834267E-3</v>
      </c>
      <c r="H17" s="204">
        <f>_xlfn.IFNA(VLOOKUP(G14, $B$2:$D$200, 2, FALSE), "-")</f>
        <v>31143000</v>
      </c>
      <c r="I17" s="205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47" t="str">
        <f>INDEX($A$2:$D$200, MATCH(LARGE($D$2:$D$200, 12), $D$2:$D$200, 0), 2)</f>
        <v>메타디움</v>
      </c>
      <c r="P17" s="39">
        <f t="shared" si="2"/>
        <v>47.4</v>
      </c>
      <c r="Q17" s="70">
        <f t="shared" si="3"/>
        <v>1.4989293399999999E-2</v>
      </c>
      <c r="R17" s="79">
        <f t="shared" si="5"/>
        <v>724430095.08711815</v>
      </c>
    </row>
    <row r="18" spans="1:18" ht="17.25" thickBot="1">
      <c r="A18" s="40" t="s">
        <v>84</v>
      </c>
      <c r="B18" s="11" t="s">
        <v>85</v>
      </c>
      <c r="C18" s="86">
        <v>179</v>
      </c>
      <c r="D18" s="34">
        <v>5.6179775000000003E-3</v>
      </c>
      <c r="E18" s="84">
        <v>30615545.38321805</v>
      </c>
      <c r="F18" s="35"/>
      <c r="G18" s="211"/>
      <c r="H18" s="206"/>
      <c r="I18" s="207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47" t="str">
        <f>INDEX($A$2:$D$200, MATCH(LARGE($D$2:$D$200, 13), $D$2:$D$200, 0), 2)</f>
        <v>리스크</v>
      </c>
      <c r="P18" s="39">
        <f t="shared" si="2"/>
        <v>1575</v>
      </c>
      <c r="Q18" s="70">
        <f t="shared" si="3"/>
        <v>1.2861736299999999E-2</v>
      </c>
      <c r="R18" s="79">
        <f t="shared" si="5"/>
        <v>1962330.68829563</v>
      </c>
    </row>
    <row r="19" spans="1:18" ht="17.25" thickBot="1">
      <c r="A19" s="40" t="s">
        <v>232</v>
      </c>
      <c r="B19" s="11" t="s">
        <v>233</v>
      </c>
      <c r="C19" s="86">
        <v>4035</v>
      </c>
      <c r="D19" s="34">
        <v>3.7313432999999999E-3</v>
      </c>
      <c r="E19" s="84">
        <v>373857.77117481001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47" t="str">
        <f>INDEX($A$2:$D$200, MATCH(LARGE($D$2:$D$200, 14), $D$2:$D$200, 0), 2)</f>
        <v>체인링크</v>
      </c>
      <c r="P19" s="39">
        <f t="shared" si="2"/>
        <v>9800</v>
      </c>
      <c r="Q19" s="70">
        <f t="shared" si="3"/>
        <v>1.13519092E-2</v>
      </c>
      <c r="R19" s="79">
        <f t="shared" si="5"/>
        <v>435301.86827997002</v>
      </c>
    </row>
    <row r="20" spans="1:18" ht="17.25" thickBot="1">
      <c r="A20" s="40" t="s">
        <v>164</v>
      </c>
      <c r="B20" s="11" t="s">
        <v>165</v>
      </c>
      <c r="C20" s="86">
        <v>1730</v>
      </c>
      <c r="D20" s="34">
        <v>2.8985507E-3</v>
      </c>
      <c r="E20" s="84">
        <v>2149449.09978473</v>
      </c>
      <c r="F20" s="35"/>
      <c r="G20" s="135" t="s">
        <v>243</v>
      </c>
      <c r="H20" s="136"/>
      <c r="I20" s="137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47" t="str">
        <f>INDEX($A$2:$D$200, MATCH(LARGE($D$2:$D$200, 15), $D$2:$D$200, 0), 2)</f>
        <v>쎄타퓨엘</v>
      </c>
      <c r="P20" s="39">
        <f t="shared" si="2"/>
        <v>81.5</v>
      </c>
      <c r="Q20" s="70">
        <f t="shared" si="3"/>
        <v>9.9132590000000007E-3</v>
      </c>
      <c r="R20" s="83">
        <f t="shared" si="5"/>
        <v>263852173.78576455</v>
      </c>
    </row>
    <row r="21" spans="1:18">
      <c r="A21" s="40" t="s">
        <v>102</v>
      </c>
      <c r="B21" s="11" t="s">
        <v>103</v>
      </c>
      <c r="C21" s="86">
        <v>349</v>
      </c>
      <c r="D21" s="34">
        <v>2.8735632000000001E-3</v>
      </c>
      <c r="E21" s="84">
        <v>9152694.6395379901</v>
      </c>
      <c r="F21" s="35"/>
      <c r="G21" s="144" t="s">
        <v>36</v>
      </c>
      <c r="H21" s="145"/>
      <c r="I21" s="146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49" t="str">
        <f>INDEX($A$2:$D$200, MATCH(LARGE($D$2:$D$200, 16), $D$2:$D$200, 0), 2)</f>
        <v>코박토큰</v>
      </c>
      <c r="P21" s="45">
        <f t="shared" si="2"/>
        <v>1070</v>
      </c>
      <c r="Q21" s="73">
        <f t="shared" si="3"/>
        <v>9.4339622999999994E-3</v>
      </c>
      <c r="R21" s="89">
        <f t="shared" si="5"/>
        <v>5820635.40611332</v>
      </c>
    </row>
    <row r="22" spans="1:18" ht="17.25" thickBot="1">
      <c r="A22" s="40" t="s">
        <v>240</v>
      </c>
      <c r="B22" s="11" t="s">
        <v>241</v>
      </c>
      <c r="C22" s="86">
        <v>141</v>
      </c>
      <c r="D22" s="34">
        <v>0</v>
      </c>
      <c r="E22" s="84">
        <v>12379762.202632951</v>
      </c>
      <c r="F22" s="35"/>
      <c r="G22" s="150"/>
      <c r="H22" s="151"/>
      <c r="I22" s="152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47" t="str">
        <f>INDEX($A$2:$D$200, MATCH(LARGE($D$2:$D$200, 17), $D$2:$D$200, 0), 2)</f>
        <v>칠리즈</v>
      </c>
      <c r="P22" s="39">
        <f t="shared" si="2"/>
        <v>179</v>
      </c>
      <c r="Q22" s="70">
        <f t="shared" si="3"/>
        <v>5.6179775000000003E-3</v>
      </c>
      <c r="R22" s="79">
        <f t="shared" si="5"/>
        <v>30615545.38321805</v>
      </c>
    </row>
    <row r="23" spans="1:18" ht="17.25" thickBot="1">
      <c r="A23" s="40" t="s">
        <v>96</v>
      </c>
      <c r="B23" s="11" t="s">
        <v>97</v>
      </c>
      <c r="C23" s="86">
        <v>1E-3</v>
      </c>
      <c r="D23" s="34">
        <v>0</v>
      </c>
      <c r="E23" s="84">
        <v>264638175994.86929</v>
      </c>
      <c r="F23" s="35"/>
      <c r="G23" s="9" t="s">
        <v>38</v>
      </c>
      <c r="H23" s="136" t="s">
        <v>37</v>
      </c>
      <c r="I23" s="137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47" t="str">
        <f>INDEX($A$2:$D$200, MATCH(LARGE($D$2:$D$200, 18), $D$2:$D$200, 0), 2)</f>
        <v>스팀달러</v>
      </c>
      <c r="P23" s="39">
        <f t="shared" si="2"/>
        <v>4035</v>
      </c>
      <c r="Q23" s="70">
        <f t="shared" si="3"/>
        <v>3.7313432999999999E-3</v>
      </c>
      <c r="R23" s="79">
        <f t="shared" si="5"/>
        <v>373857.77117481001</v>
      </c>
    </row>
    <row r="24" spans="1:18">
      <c r="A24" s="40" t="s">
        <v>252</v>
      </c>
      <c r="B24" s="11" t="s">
        <v>253</v>
      </c>
      <c r="C24" s="86">
        <v>108</v>
      </c>
      <c r="D24" s="34">
        <v>0</v>
      </c>
      <c r="E24" s="84">
        <v>156551994.10342193</v>
      </c>
      <c r="F24" s="35"/>
      <c r="G24" s="210">
        <f>_xlfn.IFNA(VLOOKUP(G21, $B$2:$D$200, 3, FALSE), "-")</f>
        <v>-3.5834267E-3</v>
      </c>
      <c r="H24" s="204">
        <f>_xlfn.IFNA(VLOOKUP(G21, $B$2:$D$200, 2, FALSE), "-")</f>
        <v>31143000</v>
      </c>
      <c r="I24" s="205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47" t="str">
        <f>INDEX($A$2:$D$200, MATCH(LARGE($D$2:$D$200, 19), $D$2:$D$200, 0), 2)</f>
        <v>메탈</v>
      </c>
      <c r="P24" s="39">
        <f t="shared" si="2"/>
        <v>1730</v>
      </c>
      <c r="Q24" s="70">
        <f t="shared" si="3"/>
        <v>2.8985507E-3</v>
      </c>
      <c r="R24" s="79">
        <f t="shared" si="5"/>
        <v>2149449.09978473</v>
      </c>
    </row>
    <row r="25" spans="1:18" ht="17.25" thickBot="1">
      <c r="A25" s="40" t="s">
        <v>112</v>
      </c>
      <c r="B25" s="11" t="s">
        <v>113</v>
      </c>
      <c r="C25" s="86">
        <v>1845</v>
      </c>
      <c r="D25" s="34">
        <v>0</v>
      </c>
      <c r="E25" s="84">
        <v>4119372.2788897902</v>
      </c>
      <c r="F25" s="35"/>
      <c r="G25" s="211"/>
      <c r="H25" s="206"/>
      <c r="I25" s="207"/>
      <c r="K25" s="53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2" t="str">
        <f t="shared" ca="1" si="1"/>
        <v/>
      </c>
      <c r="N25" s="80" t="str">
        <f t="shared" ca="1" si="4"/>
        <v/>
      </c>
      <c r="O25" s="48" t="str">
        <f>INDEX($A$2:$D$200, MATCH(LARGE($D$2:$D$200, 20), $D$2:$D$200, 0), 2)</f>
        <v>제로엑스</v>
      </c>
      <c r="P25" s="37">
        <f t="shared" si="2"/>
        <v>349</v>
      </c>
      <c r="Q25" s="72">
        <f t="shared" si="3"/>
        <v>2.8735632000000001E-3</v>
      </c>
      <c r="R25" s="80">
        <f t="shared" si="5"/>
        <v>9152694.6395379901</v>
      </c>
    </row>
    <row r="26" spans="1:18">
      <c r="A26" s="40" t="s">
        <v>192</v>
      </c>
      <c r="B26" s="11" t="s">
        <v>193</v>
      </c>
      <c r="C26" s="86">
        <v>26.6</v>
      </c>
      <c r="D26" s="34">
        <v>0</v>
      </c>
      <c r="E26" s="84">
        <v>562262409.50255811</v>
      </c>
      <c r="F26" s="35"/>
    </row>
    <row r="27" spans="1:18" ht="17.25" thickBot="1">
      <c r="A27" s="40" t="s">
        <v>92</v>
      </c>
      <c r="B27" s="11" t="s">
        <v>93</v>
      </c>
      <c r="C27" s="86">
        <v>2173000</v>
      </c>
      <c r="D27" s="34">
        <v>-4.5998159999999997E-4</v>
      </c>
      <c r="E27" s="84">
        <v>9591.2455100400002</v>
      </c>
      <c r="F27" s="35"/>
    </row>
    <row r="28" spans="1:18" ht="17.25" thickBot="1">
      <c r="A28" s="40" t="s">
        <v>177</v>
      </c>
      <c r="B28" s="11" t="s">
        <v>178</v>
      </c>
      <c r="C28" s="86">
        <v>2550</v>
      </c>
      <c r="D28" s="34">
        <v>-1.9569472000000002E-3</v>
      </c>
      <c r="E28" s="84">
        <v>2401046.0695062401</v>
      </c>
      <c r="F28" s="35"/>
      <c r="G28" s="135" t="s">
        <v>46</v>
      </c>
      <c r="H28" s="136"/>
      <c r="I28" s="136"/>
      <c r="J28" s="137"/>
      <c r="K28" s="135" t="s">
        <v>44</v>
      </c>
      <c r="L28" s="136"/>
      <c r="M28" s="136"/>
      <c r="N28" s="137"/>
      <c r="O28" s="135" t="s">
        <v>45</v>
      </c>
      <c r="P28" s="136"/>
      <c r="Q28" s="136"/>
      <c r="R28" s="137"/>
    </row>
    <row r="29" spans="1:18" ht="17.25" thickBot="1">
      <c r="A29" s="40" t="s">
        <v>88</v>
      </c>
      <c r="B29" s="11" t="s">
        <v>89</v>
      </c>
      <c r="C29" s="86">
        <v>502</v>
      </c>
      <c r="D29" s="34">
        <v>-1.9880715999999999E-3</v>
      </c>
      <c r="E29" s="84">
        <v>110841231.79467778</v>
      </c>
      <c r="F29" s="35"/>
      <c r="G29" s="200" t="s">
        <v>54</v>
      </c>
      <c r="H29" s="212">
        <f ca="1">NOW()</f>
        <v>44992.000794791667</v>
      </c>
      <c r="I29" s="213"/>
      <c r="J29" s="214"/>
      <c r="K29" s="203" t="s">
        <v>54</v>
      </c>
      <c r="L29" s="212">
        <f ca="1">NOW()</f>
        <v>44992.000794791667</v>
      </c>
      <c r="M29" s="213"/>
      <c r="N29" s="214"/>
      <c r="O29" s="203" t="s">
        <v>54</v>
      </c>
      <c r="P29" s="212">
        <f ca="1">NOW()</f>
        <v>44992.000794791667</v>
      </c>
      <c r="Q29" s="213"/>
      <c r="R29" s="214"/>
    </row>
    <row r="30" spans="1:18" ht="17.25" thickBot="1">
      <c r="A30" s="40" t="s">
        <v>194</v>
      </c>
      <c r="B30" s="11" t="s">
        <v>195</v>
      </c>
      <c r="C30" s="86">
        <v>9.1999999999999993</v>
      </c>
      <c r="D30" s="34">
        <v>-2.1691974E-3</v>
      </c>
      <c r="E30" s="84">
        <v>89059384.90240781</v>
      </c>
      <c r="F30" s="35"/>
      <c r="G30" s="197"/>
      <c r="H30" s="36" t="s">
        <v>57</v>
      </c>
      <c r="I30" s="36" t="s">
        <v>58</v>
      </c>
      <c r="J30" s="64" t="s">
        <v>251</v>
      </c>
      <c r="K30" s="197"/>
      <c r="L30" s="36" t="s">
        <v>57</v>
      </c>
      <c r="M30" s="36" t="s">
        <v>58</v>
      </c>
      <c r="N30" s="64" t="s">
        <v>251</v>
      </c>
      <c r="O30" s="197"/>
      <c r="P30" s="36" t="s">
        <v>57</v>
      </c>
      <c r="Q30" s="36" t="s">
        <v>58</v>
      </c>
      <c r="R30" s="64" t="s">
        <v>251</v>
      </c>
    </row>
    <row r="31" spans="1:18">
      <c r="A31" s="40" t="s">
        <v>218</v>
      </c>
      <c r="B31" s="11" t="s">
        <v>219</v>
      </c>
      <c r="C31" s="86">
        <v>600</v>
      </c>
      <c r="D31" s="34">
        <v>-3.3222591000000002E-3</v>
      </c>
      <c r="E31" s="84">
        <v>5662050.6278512599</v>
      </c>
      <c r="F31" s="35"/>
      <c r="G31" s="51" t="str">
        <f ca="1">IFERROR(OFFSET(INDIRECT($H$3 &amp; "!A98"), 0, 0), "")</f>
        <v>룸네트워크</v>
      </c>
      <c r="H31" s="38">
        <f t="shared" ref="H31:H50" ca="1" si="7">_xlfn.IFNA(VLOOKUP(G31, $B$2:$D$200, 2, FALSE), "")</f>
        <v>81.7</v>
      </c>
      <c r="I31" s="69">
        <f t="shared" ref="I31:I50" ca="1" si="8">_xlfn.IFNA(VLOOKUP(G31, $B$2:$D$200, 3, FALSE), "")</f>
        <v>5.8290155400000002E-2</v>
      </c>
      <c r="J31" s="78">
        <f ca="1">_xlfn.IFNA(VLOOKUP(G31, $B$2:$E$200, 4, FALSE), "")</f>
        <v>1424000269.6102948</v>
      </c>
      <c r="K31" s="51" t="str">
        <f ca="1">IFERROR(OFFSET(INDIRECT($H$3 &amp; "!A44"), 0, 0), "")</f>
        <v>룸네트워크</v>
      </c>
      <c r="L31" s="38">
        <f t="shared" ref="L31:L50" ca="1" si="9">_xlfn.IFNA(VLOOKUP(K31, $B$2:$D$200, 2, FALSE), "")</f>
        <v>81.7</v>
      </c>
      <c r="M31" s="69">
        <f t="shared" ref="M31:M50" ca="1" si="10">_xlfn.IFNA(VLOOKUP(K31, $B$2:$D$200, 3, FALSE), "")</f>
        <v>5.8290155400000002E-2</v>
      </c>
      <c r="N31" s="78">
        <f ca="1">_xlfn.IFNA(VLOOKUP(K31, $B$2:$E$200, 4, FALSE), "")</f>
        <v>1424000269.6102948</v>
      </c>
      <c r="O31" s="51" t="str">
        <f ca="1">IFERROR(OFFSET(INDIRECT($H$3 &amp; "!A71"), 0, 0), "")</f>
        <v>센티넬프로토콜</v>
      </c>
      <c r="P31" s="38">
        <f t="shared" ref="P31:P50" ca="1" si="11">_xlfn.IFNA(VLOOKUP(O31, $B$2:$D$200, 2, FALSE), "")</f>
        <v>101</v>
      </c>
      <c r="Q31" s="69">
        <f t="shared" ref="Q31:Q50" ca="1" si="12">_xlfn.IFNA(VLOOKUP(O31, $B$2:$D$200, 3, FALSE), "")</f>
        <v>4.6632124400000002E-2</v>
      </c>
      <c r="R31" s="78">
        <f ca="1">_xlfn.IFNA(VLOOKUP(O31, $B$2:$E$200, 4, FALSE), "")</f>
        <v>122337512.81191894</v>
      </c>
    </row>
    <row r="32" spans="1:18">
      <c r="A32" s="40" t="s">
        <v>238</v>
      </c>
      <c r="B32" s="11" t="s">
        <v>239</v>
      </c>
      <c r="C32" s="86">
        <v>594</v>
      </c>
      <c r="D32" s="34">
        <v>-3.3557047E-3</v>
      </c>
      <c r="E32" s="84">
        <v>3887049.2881883001</v>
      </c>
      <c r="F32" s="35"/>
      <c r="G32" s="52" t="str">
        <f ca="1">IFERROR(OFFSET(INDIRECT($H$3 &amp; "!A98"), 1, 0), "")</f>
        <v>이오스</v>
      </c>
      <c r="H32" s="39">
        <f t="shared" ca="1" si="7"/>
        <v>1575</v>
      </c>
      <c r="I32" s="70">
        <f t="shared" ca="1" si="8"/>
        <v>0.05</v>
      </c>
      <c r="J32" s="79">
        <f t="shared" ref="J32:J50" ca="1" si="13">_xlfn.IFNA(VLOOKUP(G32, $B$2:$E$200, 4, FALSE), "")</f>
        <v>21575071.012892101</v>
      </c>
      <c r="K32" s="52" t="str">
        <f ca="1">IFERROR(OFFSET(INDIRECT($H$3 &amp; "!A44"), 1, 0), "")</f>
        <v>피르마체인</v>
      </c>
      <c r="L32" s="39">
        <f t="shared" ca="1" si="9"/>
        <v>94.2</v>
      </c>
      <c r="M32" s="70">
        <f t="shared" ca="1" si="10"/>
        <v>4.08839779E-2</v>
      </c>
      <c r="N32" s="79">
        <f t="shared" ref="N32:N50" ca="1" si="14">_xlfn.IFNA(VLOOKUP(K32, $B$2:$E$200, 4, FALSE), "")</f>
        <v>784644368.05512321</v>
      </c>
      <c r="O32" s="52" t="str">
        <f ca="1">IFERROR(OFFSET(INDIRECT($H$3 &amp; "!A71"), 1, 0), "")</f>
        <v>엘프</v>
      </c>
      <c r="P32" s="39">
        <f t="shared" ca="1" si="11"/>
        <v>371</v>
      </c>
      <c r="Q32" s="70">
        <f t="shared" ca="1" si="12"/>
        <v>3.0555555599999999E-2</v>
      </c>
      <c r="R32" s="79">
        <f t="shared" ref="R32:R50" ca="1" si="15">_xlfn.IFNA(VLOOKUP(O32, $B$2:$E$200, 4, FALSE), "")</f>
        <v>32178409.653008431</v>
      </c>
    </row>
    <row r="33" spans="1:18">
      <c r="A33" s="40" t="s">
        <v>48</v>
      </c>
      <c r="B33" s="11" t="s">
        <v>49</v>
      </c>
      <c r="C33" s="86">
        <v>31143000</v>
      </c>
      <c r="D33" s="34">
        <v>-3.5834267E-3</v>
      </c>
      <c r="E33" s="84">
        <v>2608.5080565899998</v>
      </c>
      <c r="F33" s="35"/>
      <c r="G33" s="52" t="str">
        <f ca="1">IFERROR(OFFSET(INDIRECT($H$3 &amp; "!A98"), 2, 0), "")</f>
        <v>센티넬프로토콜</v>
      </c>
      <c r="H33" s="39">
        <f t="shared" ca="1" si="7"/>
        <v>101</v>
      </c>
      <c r="I33" s="70">
        <f t="shared" ca="1" si="8"/>
        <v>4.6632124400000002E-2</v>
      </c>
      <c r="J33" s="79">
        <f t="shared" ca="1" si="13"/>
        <v>122337512.81191894</v>
      </c>
      <c r="K33" s="52" t="str">
        <f ca="1">IFERROR(OFFSET(INDIRECT($H$3 &amp; "!A44"), 2, 0), "")</f>
        <v>썸씽</v>
      </c>
      <c r="L33" s="39">
        <f t="shared" ca="1" si="9"/>
        <v>30.7</v>
      </c>
      <c r="M33" s="70">
        <f t="shared" ca="1" si="10"/>
        <v>4.0677966099999997E-2</v>
      </c>
      <c r="N33" s="79">
        <f t="shared" ca="1" si="14"/>
        <v>3721295736.9264164</v>
      </c>
      <c r="O33" s="52" t="str">
        <f ca="1">IFERROR(OFFSET(INDIRECT($H$3 &amp; "!A71"), 2, 0), "")</f>
        <v>파워렛저</v>
      </c>
      <c r="P33" s="39">
        <f t="shared" ca="1" si="11"/>
        <v>291</v>
      </c>
      <c r="Q33" s="70">
        <f t="shared" ca="1" si="12"/>
        <v>2.8268551199999999E-2</v>
      </c>
      <c r="R33" s="79">
        <f t="shared" ca="1" si="15"/>
        <v>148671900.50679392</v>
      </c>
    </row>
    <row r="34" spans="1:18">
      <c r="A34" s="40" t="s">
        <v>144</v>
      </c>
      <c r="B34" s="11" t="s">
        <v>145</v>
      </c>
      <c r="C34" s="86">
        <v>92.1</v>
      </c>
      <c r="D34" s="34">
        <v>-4.3243242999999997E-3</v>
      </c>
      <c r="E34" s="84">
        <v>88480883.864876881</v>
      </c>
      <c r="F34" s="35"/>
      <c r="G34" s="52" t="str">
        <f ca="1">IFERROR(OFFSET(INDIRECT($H$3 &amp; "!A98"), 3, 0), "")</f>
        <v>피르마체인</v>
      </c>
      <c r="H34" s="39">
        <f t="shared" ca="1" si="7"/>
        <v>94.2</v>
      </c>
      <c r="I34" s="70">
        <f t="shared" ca="1" si="8"/>
        <v>4.08839779E-2</v>
      </c>
      <c r="J34" s="79">
        <f t="shared" ca="1" si="13"/>
        <v>784644368.05512321</v>
      </c>
      <c r="K34" s="52" t="str">
        <f ca="1">IFERROR(OFFSET(INDIRECT($H$3 &amp; "!A44"), 3, 0), "")</f>
        <v>디카르고</v>
      </c>
      <c r="L34" s="39">
        <f t="shared" ca="1" si="9"/>
        <v>58</v>
      </c>
      <c r="M34" s="70">
        <f t="shared" ca="1" si="10"/>
        <v>2.47349823E-2</v>
      </c>
      <c r="N34" s="79">
        <f t="shared" ca="1" si="14"/>
        <v>1143393611.8264434</v>
      </c>
      <c r="O34" s="52" t="str">
        <f ca="1">IFERROR(OFFSET(INDIRECT($H$3 &amp; "!A71"), 3, 0), "")</f>
        <v>시빅</v>
      </c>
      <c r="P34" s="39">
        <f t="shared" ca="1" si="11"/>
        <v>164</v>
      </c>
      <c r="Q34" s="70">
        <f t="shared" ca="1" si="12"/>
        <v>2.5000000000000001E-2</v>
      </c>
      <c r="R34" s="79">
        <f t="shared" ca="1" si="15"/>
        <v>58001146.584064066</v>
      </c>
    </row>
    <row r="35" spans="1:18">
      <c r="A35" s="40" t="s">
        <v>316</v>
      </c>
      <c r="B35" s="11" t="s">
        <v>317</v>
      </c>
      <c r="C35" s="86">
        <v>1.6500000000000001E-2</v>
      </c>
      <c r="D35" s="34">
        <v>-6.0240963999999998E-3</v>
      </c>
      <c r="E35" s="84">
        <v>497701896087.50421</v>
      </c>
      <c r="F35" s="35"/>
      <c r="G35" s="54" t="str">
        <f ca="1">IFERROR(OFFSET(INDIRECT($H$3 &amp; "!A98"), 4, 0), "")</f>
        <v>썸씽</v>
      </c>
      <c r="H35" s="44">
        <f t="shared" ca="1" si="7"/>
        <v>30.7</v>
      </c>
      <c r="I35" s="71">
        <f t="shared" ca="1" si="8"/>
        <v>4.0677966099999997E-2</v>
      </c>
      <c r="J35" s="83">
        <f t="shared" ca="1" si="13"/>
        <v>3721295736.9264164</v>
      </c>
      <c r="K35" s="54" t="str">
        <f ca="1">IFERROR(OFFSET(INDIRECT($H$3 &amp; "!A44"), 4, 0), "")</f>
        <v>메타디움</v>
      </c>
      <c r="L35" s="44">
        <f t="shared" ca="1" si="9"/>
        <v>47.4</v>
      </c>
      <c r="M35" s="71">
        <f t="shared" ca="1" si="10"/>
        <v>1.4989293399999999E-2</v>
      </c>
      <c r="N35" s="83">
        <f t="shared" ca="1" si="14"/>
        <v>724430095.08711815</v>
      </c>
      <c r="O35" s="54" t="str">
        <f ca="1">IFERROR(OFFSET(INDIRECT($H$3 &amp; "!A71"), 4, 0), "")</f>
        <v>플레이댑</v>
      </c>
      <c r="P35" s="44">
        <f t="shared" ca="1" si="11"/>
        <v>359</v>
      </c>
      <c r="Q35" s="71">
        <f t="shared" ca="1" si="12"/>
        <v>1.9886363600000002E-2</v>
      </c>
      <c r="R35" s="83">
        <f t="shared" ca="1" si="15"/>
        <v>61102830.704379506</v>
      </c>
    </row>
    <row r="36" spans="1:18">
      <c r="A36" s="40" t="s">
        <v>234</v>
      </c>
      <c r="B36" s="11" t="s">
        <v>235</v>
      </c>
      <c r="C36" s="86">
        <v>810</v>
      </c>
      <c r="D36" s="34">
        <v>-6.1349693000000002E-3</v>
      </c>
      <c r="E36" s="84">
        <v>11198088.069632789</v>
      </c>
      <c r="F36" s="35"/>
      <c r="G36" s="52" t="str">
        <f ca="1">IFERROR(OFFSET(INDIRECT($H$3 &amp; "!A98"), 5, 0), "")</f>
        <v>엘프</v>
      </c>
      <c r="H36" s="39">
        <f t="shared" ca="1" si="7"/>
        <v>371</v>
      </c>
      <c r="I36" s="70">
        <f t="shared" ca="1" si="8"/>
        <v>3.0555555599999999E-2</v>
      </c>
      <c r="J36" s="89">
        <f t="shared" ca="1" si="13"/>
        <v>32178409.653008431</v>
      </c>
      <c r="K36" s="52" t="str">
        <f ca="1">IFERROR(OFFSET(INDIRECT($H$3 &amp; "!A44"), 5, 0), "")</f>
        <v>쎄타퓨엘</v>
      </c>
      <c r="L36" s="39">
        <f t="shared" ca="1" si="9"/>
        <v>81.5</v>
      </c>
      <c r="M36" s="70">
        <f t="shared" ca="1" si="10"/>
        <v>9.9132590000000007E-3</v>
      </c>
      <c r="N36" s="89">
        <f t="shared" ca="1" si="14"/>
        <v>263852173.78576455</v>
      </c>
      <c r="O36" s="52" t="str">
        <f ca="1">IFERROR(OFFSET(INDIRECT($H$3 &amp; "!A71"), 5, 0), "")</f>
        <v>칠리즈</v>
      </c>
      <c r="P36" s="39">
        <f t="shared" ca="1" si="11"/>
        <v>179</v>
      </c>
      <c r="Q36" s="70">
        <f t="shared" ca="1" si="12"/>
        <v>5.6179775000000003E-3</v>
      </c>
      <c r="R36" s="89">
        <f t="shared" ca="1" si="15"/>
        <v>30615545.38321805</v>
      </c>
    </row>
    <row r="37" spans="1:18">
      <c r="A37" s="40" t="s">
        <v>180</v>
      </c>
      <c r="B37" s="11" t="s">
        <v>181</v>
      </c>
      <c r="C37" s="86">
        <v>6.28</v>
      </c>
      <c r="D37" s="34">
        <v>-6.3291138999999998E-3</v>
      </c>
      <c r="E37" s="84">
        <v>722722715.92972362</v>
      </c>
      <c r="F37" s="35"/>
      <c r="G37" s="52" t="str">
        <f ca="1">IFERROR(OFFSET(INDIRECT($H$3 &amp; "!A98"), 6, 0), "")</f>
        <v>파워렛저</v>
      </c>
      <c r="H37" s="39">
        <f t="shared" ca="1" si="7"/>
        <v>291</v>
      </c>
      <c r="I37" s="70">
        <f t="shared" ca="1" si="8"/>
        <v>2.8268551199999999E-2</v>
      </c>
      <c r="J37" s="79">
        <f t="shared" ca="1" si="13"/>
        <v>148671900.50679392</v>
      </c>
      <c r="K37" s="52" t="str">
        <f ca="1">IFERROR(OFFSET(INDIRECT($H$3 &amp; "!A44"), 6, 0), "")</f>
        <v>비트토렌트</v>
      </c>
      <c r="L37" s="39">
        <f t="shared" ca="1" si="9"/>
        <v>1E-3</v>
      </c>
      <c r="M37" s="70">
        <f t="shared" ca="1" si="10"/>
        <v>0</v>
      </c>
      <c r="N37" s="79">
        <f t="shared" ca="1" si="14"/>
        <v>264638175994.86929</v>
      </c>
      <c r="O37" s="52" t="str">
        <f ca="1">IFERROR(OFFSET(INDIRECT($H$3 &amp; "!A71"), 6, 0), "")</f>
        <v>제로엑스</v>
      </c>
      <c r="P37" s="39">
        <f t="shared" ca="1" si="11"/>
        <v>349</v>
      </c>
      <c r="Q37" s="70">
        <f t="shared" ca="1" si="12"/>
        <v>2.8735632000000001E-3</v>
      </c>
      <c r="R37" s="79">
        <f t="shared" ca="1" si="15"/>
        <v>9152694.6395379901</v>
      </c>
    </row>
    <row r="38" spans="1:18">
      <c r="A38" s="40" t="s">
        <v>318</v>
      </c>
      <c r="B38" s="11" t="s">
        <v>319</v>
      </c>
      <c r="C38" s="86">
        <v>267</v>
      </c>
      <c r="D38" s="34">
        <v>-7.4349441999999998E-3</v>
      </c>
      <c r="E38" s="84">
        <v>27269056.56952421</v>
      </c>
      <c r="F38" s="35"/>
      <c r="G38" s="52" t="str">
        <f ca="1">IFERROR(OFFSET(INDIRECT($H$3 &amp; "!A98"), 7, 0), "")</f>
        <v>알파쿼크</v>
      </c>
      <c r="H38" s="39">
        <f t="shared" ca="1" si="7"/>
        <v>1700</v>
      </c>
      <c r="I38" s="70">
        <f t="shared" ca="1" si="8"/>
        <v>2.7190332300000002E-2</v>
      </c>
      <c r="J38" s="79">
        <f t="shared" ca="1" si="13"/>
        <v>9145748.0418828502</v>
      </c>
      <c r="K38" s="52" t="str">
        <f ca="1">IFERROR(OFFSET(INDIRECT($H$3 &amp; "!A44"), 7, 0), "")</f>
        <v>메디블록</v>
      </c>
      <c r="L38" s="39">
        <f t="shared" ca="1" si="9"/>
        <v>26.6</v>
      </c>
      <c r="M38" s="70">
        <f t="shared" ca="1" si="10"/>
        <v>0</v>
      </c>
      <c r="N38" s="79">
        <f t="shared" ca="1" si="14"/>
        <v>562262409.50255811</v>
      </c>
      <c r="O38" s="52" t="str">
        <f ca="1">IFERROR(OFFSET(INDIRECT($H$3 &amp; "!A71"), 7, 0), "")</f>
        <v>아더</v>
      </c>
      <c r="P38" s="39">
        <f t="shared" ca="1" si="11"/>
        <v>141</v>
      </c>
      <c r="Q38" s="70">
        <f t="shared" ca="1" si="12"/>
        <v>0</v>
      </c>
      <c r="R38" s="79">
        <f t="shared" ca="1" si="15"/>
        <v>12379762.202632951</v>
      </c>
    </row>
    <row r="39" spans="1:18">
      <c r="A39" s="40" t="s">
        <v>80</v>
      </c>
      <c r="B39" s="11" t="s">
        <v>81</v>
      </c>
      <c r="C39" s="86">
        <v>481</v>
      </c>
      <c r="D39" s="34">
        <v>-8.2474226999999997E-3</v>
      </c>
      <c r="E39" s="84">
        <v>10885586.28529593</v>
      </c>
      <c r="F39" s="35"/>
      <c r="G39" s="52" t="str">
        <f ca="1">IFERROR(OFFSET(INDIRECT($H$3 &amp; "!A98"), 8, 0), "")</f>
        <v>시빅</v>
      </c>
      <c r="H39" s="39">
        <f t="shared" ca="1" si="7"/>
        <v>164</v>
      </c>
      <c r="I39" s="70">
        <f t="shared" ca="1" si="8"/>
        <v>2.5000000000000001E-2</v>
      </c>
      <c r="J39" s="79">
        <f t="shared" ca="1" si="13"/>
        <v>58001146.584064066</v>
      </c>
      <c r="K39" s="52" t="str">
        <f ca="1">IFERROR(OFFSET(INDIRECT($H$3 &amp; "!A44"), 8, 0), "")</f>
        <v>리퍼리움</v>
      </c>
      <c r="L39" s="39">
        <f t="shared" ca="1" si="9"/>
        <v>9.1999999999999993</v>
      </c>
      <c r="M39" s="70">
        <f t="shared" ca="1" si="10"/>
        <v>-2.1691974E-3</v>
      </c>
      <c r="N39" s="79">
        <f t="shared" ca="1" si="14"/>
        <v>89059384.90240781</v>
      </c>
      <c r="O39" s="52" t="str">
        <f ca="1">IFERROR(OFFSET(INDIRECT($H$3 &amp; "!A71"), 8, 0), "")</f>
        <v>도지코인</v>
      </c>
      <c r="P39" s="39">
        <f t="shared" ca="1" si="11"/>
        <v>108</v>
      </c>
      <c r="Q39" s="70">
        <f t="shared" ca="1" si="12"/>
        <v>0</v>
      </c>
      <c r="R39" s="79">
        <f t="shared" ca="1" si="15"/>
        <v>156551994.10342193</v>
      </c>
    </row>
    <row r="40" spans="1:18" ht="17.25" thickBot="1">
      <c r="A40" s="40" t="s">
        <v>228</v>
      </c>
      <c r="B40" s="11" t="s">
        <v>229</v>
      </c>
      <c r="C40" s="86">
        <v>358</v>
      </c>
      <c r="D40" s="34">
        <v>-8.3102492999999993E-3</v>
      </c>
      <c r="E40" s="84">
        <v>8264141.8393007703</v>
      </c>
      <c r="F40" s="35"/>
      <c r="G40" s="53" t="str">
        <f ca="1">IFERROR(OFFSET(INDIRECT($H$3 &amp; "!A98"), 9, 0), "")</f>
        <v>디카르고</v>
      </c>
      <c r="H40" s="37">
        <f t="shared" ca="1" si="7"/>
        <v>58</v>
      </c>
      <c r="I40" s="72">
        <f t="shared" ca="1" si="8"/>
        <v>2.47349823E-2</v>
      </c>
      <c r="J40" s="80">
        <f t="shared" ca="1" si="13"/>
        <v>1143393611.8264434</v>
      </c>
      <c r="K40" s="53" t="str">
        <f ca="1">IFERROR(OFFSET(INDIRECT($H$3 &amp; "!A44"), 9, 0), "")</f>
        <v>트론</v>
      </c>
      <c r="L40" s="37">
        <f t="shared" ca="1" si="9"/>
        <v>92.1</v>
      </c>
      <c r="M40" s="72">
        <f t="shared" ca="1" si="10"/>
        <v>-4.3243242999999997E-3</v>
      </c>
      <c r="N40" s="80">
        <f t="shared" ca="1" si="14"/>
        <v>88480883.864876881</v>
      </c>
      <c r="O40" s="53" t="str">
        <f ca="1">IFERROR(OFFSET(INDIRECT($H$3 &amp; "!A71"), 9, 0), "")</f>
        <v>리플</v>
      </c>
      <c r="P40" s="37">
        <f t="shared" ca="1" si="11"/>
        <v>502</v>
      </c>
      <c r="Q40" s="72">
        <f t="shared" ca="1" si="12"/>
        <v>-1.9880715999999999E-3</v>
      </c>
      <c r="R40" s="80">
        <f t="shared" ca="1" si="15"/>
        <v>110841231.79467778</v>
      </c>
    </row>
    <row r="41" spans="1:18">
      <c r="A41" s="40" t="s">
        <v>50</v>
      </c>
      <c r="B41" s="11" t="s">
        <v>51</v>
      </c>
      <c r="C41" s="86">
        <v>117</v>
      </c>
      <c r="D41" s="34">
        <v>-8.4745762999999998E-3</v>
      </c>
      <c r="E41" s="84">
        <v>15109156.76040313</v>
      </c>
      <c r="F41" s="35"/>
      <c r="G41" s="55" t="str">
        <f ca="1">IFERROR(OFFSET(INDIRECT($H$3 &amp; "!A98"), 10, 0), "")</f>
        <v>플레이댑</v>
      </c>
      <c r="H41" s="38">
        <f t="shared" ca="1" si="7"/>
        <v>359</v>
      </c>
      <c r="I41" s="69">
        <f t="shared" ca="1" si="8"/>
        <v>1.9886363600000002E-2</v>
      </c>
      <c r="J41" s="78">
        <f t="shared" ca="1" si="13"/>
        <v>61102830.704379506</v>
      </c>
      <c r="K41" s="51" t="str">
        <f ca="1">IFERROR(OFFSET(INDIRECT($H$3 &amp; "!A44"), 10, 0), "")</f>
        <v>시바이누</v>
      </c>
      <c r="L41" s="38">
        <f t="shared" ca="1" si="9"/>
        <v>1.6500000000000001E-2</v>
      </c>
      <c r="M41" s="69">
        <f t="shared" ca="1" si="10"/>
        <v>-6.0240963999999998E-3</v>
      </c>
      <c r="N41" s="78">
        <f t="shared" ca="1" si="14"/>
        <v>497701896087.50421</v>
      </c>
      <c r="O41" s="51" t="str">
        <f ca="1">IFERROR(OFFSET(INDIRECT($H$3 &amp; "!A71"), 10, 0), "")</f>
        <v>하이브</v>
      </c>
      <c r="P41" s="38">
        <f t="shared" ca="1" si="11"/>
        <v>600</v>
      </c>
      <c r="Q41" s="69">
        <f t="shared" ca="1" si="12"/>
        <v>-3.3222591000000002E-3</v>
      </c>
      <c r="R41" s="78">
        <f t="shared" ca="1" si="15"/>
        <v>5662050.6278512599</v>
      </c>
    </row>
    <row r="42" spans="1:18">
      <c r="A42" s="40" t="s">
        <v>179</v>
      </c>
      <c r="B42" s="11" t="s">
        <v>320</v>
      </c>
      <c r="C42" s="86">
        <v>7.01</v>
      </c>
      <c r="D42" s="34">
        <v>-8.4865628999999995E-3</v>
      </c>
      <c r="E42" s="84">
        <v>331550170.44122434</v>
      </c>
      <c r="F42" s="35"/>
      <c r="G42" s="52" t="str">
        <f ca="1">IFERROR(OFFSET(INDIRECT($H$3 &amp; "!A98"), 11, 0), "")</f>
        <v>메타디움</v>
      </c>
      <c r="H42" s="39">
        <f t="shared" ca="1" si="7"/>
        <v>47.4</v>
      </c>
      <c r="I42" s="70">
        <f t="shared" ca="1" si="8"/>
        <v>1.4989293399999999E-2</v>
      </c>
      <c r="J42" s="79">
        <f t="shared" ca="1" si="13"/>
        <v>724430095.08711815</v>
      </c>
      <c r="K42" s="52" t="str">
        <f ca="1">IFERROR(OFFSET(INDIRECT($H$3 &amp; "!A44"), 11, 0), "")</f>
        <v>엠블</v>
      </c>
      <c r="L42" s="39">
        <f t="shared" ca="1" si="9"/>
        <v>6.28</v>
      </c>
      <c r="M42" s="70">
        <f t="shared" ca="1" si="10"/>
        <v>-6.3291138999999998E-3</v>
      </c>
      <c r="N42" s="79">
        <f t="shared" ca="1" si="14"/>
        <v>722722715.92972362</v>
      </c>
      <c r="O42" s="52" t="str">
        <f ca="1">IFERROR(OFFSET(INDIRECT($H$3 &amp; "!A71"), 11, 0), "")</f>
        <v>그로스톨코인</v>
      </c>
      <c r="P42" s="39">
        <f t="shared" ca="1" si="11"/>
        <v>594</v>
      </c>
      <c r="Q42" s="70">
        <f t="shared" ca="1" si="12"/>
        <v>-3.3557047E-3</v>
      </c>
      <c r="R42" s="79">
        <f t="shared" ca="1" si="15"/>
        <v>3887049.2881883001</v>
      </c>
    </row>
    <row r="43" spans="1:18">
      <c r="A43" s="40" t="s">
        <v>86</v>
      </c>
      <c r="B43" s="11" t="s">
        <v>87</v>
      </c>
      <c r="C43" s="86">
        <v>55110</v>
      </c>
      <c r="D43" s="34">
        <v>-8.6346465000000008E-3</v>
      </c>
      <c r="E43" s="84">
        <v>34907.14699116</v>
      </c>
      <c r="F43" s="35"/>
      <c r="G43" s="52" t="str">
        <f ca="1">IFERROR(OFFSET(INDIRECT($H$3 &amp; "!A98"), 12, 0), "")</f>
        <v>리스크</v>
      </c>
      <c r="H43" s="39">
        <f t="shared" ca="1" si="7"/>
        <v>1575</v>
      </c>
      <c r="I43" s="70">
        <f t="shared" ca="1" si="8"/>
        <v>1.2861736299999999E-2</v>
      </c>
      <c r="J43" s="79">
        <f t="shared" ca="1" si="13"/>
        <v>1962330.68829563</v>
      </c>
      <c r="K43" s="52" t="str">
        <f ca="1">IFERROR(OFFSET(INDIRECT($H$3 &amp; "!A44"), 12, 0), "")</f>
        <v>썬더코어</v>
      </c>
      <c r="L43" s="39">
        <f t="shared" ca="1" si="9"/>
        <v>7.01</v>
      </c>
      <c r="M43" s="70">
        <f t="shared" ca="1" si="10"/>
        <v>-8.4865628999999995E-3</v>
      </c>
      <c r="N43" s="79">
        <f t="shared" ca="1" si="14"/>
        <v>331550170.44122434</v>
      </c>
      <c r="O43" s="52" t="str">
        <f ca="1">IFERROR(OFFSET(INDIRECT($H$3 &amp; "!A71"), 12, 0), "")</f>
        <v>스트라티스</v>
      </c>
      <c r="P43" s="39">
        <f t="shared" ca="1" si="11"/>
        <v>810</v>
      </c>
      <c r="Q43" s="70">
        <f t="shared" ca="1" si="12"/>
        <v>-6.1349693000000002E-3</v>
      </c>
      <c r="R43" s="79">
        <f t="shared" ca="1" si="15"/>
        <v>11198088.069632789</v>
      </c>
    </row>
    <row r="44" spans="1:18">
      <c r="A44" s="40" t="s">
        <v>321</v>
      </c>
      <c r="B44" s="11" t="s">
        <v>322</v>
      </c>
      <c r="C44" s="86">
        <v>1635</v>
      </c>
      <c r="D44" s="34">
        <v>-9.0909091000000008E-3</v>
      </c>
      <c r="E44" s="84">
        <v>8678251.5155143104</v>
      </c>
      <c r="F44" s="35"/>
      <c r="G44" s="52" t="str">
        <f ca="1">IFERROR(OFFSET(INDIRECT($H$3 &amp; "!A98"), 13, 0), "")</f>
        <v>체인링크</v>
      </c>
      <c r="H44" s="39">
        <f t="shared" ca="1" si="7"/>
        <v>9800</v>
      </c>
      <c r="I44" s="70">
        <f t="shared" ca="1" si="8"/>
        <v>1.13519092E-2</v>
      </c>
      <c r="J44" s="79">
        <f t="shared" ca="1" si="13"/>
        <v>435301.86827997002</v>
      </c>
      <c r="K44" s="52" t="str">
        <f ca="1">IFERROR(OFFSET(INDIRECT($H$3 &amp; "!A44"), 13, 0), "")</f>
        <v>아이큐</v>
      </c>
      <c r="L44" s="39">
        <f t="shared" ca="1" si="9"/>
        <v>9.48</v>
      </c>
      <c r="M44" s="70">
        <f t="shared" ca="1" si="10"/>
        <v>-1.35275754E-2</v>
      </c>
      <c r="N44" s="79">
        <f t="shared" ca="1" si="14"/>
        <v>305043467.97975081</v>
      </c>
      <c r="O44" s="52" t="str">
        <f ca="1">IFERROR(OFFSET(INDIRECT($H$3 &amp; "!A71"), 13, 0), "")</f>
        <v>폴리매쉬</v>
      </c>
      <c r="P44" s="39">
        <f t="shared" ca="1" si="11"/>
        <v>267</v>
      </c>
      <c r="Q44" s="70">
        <f t="shared" ca="1" si="12"/>
        <v>-7.4349441999999998E-3</v>
      </c>
      <c r="R44" s="79">
        <f t="shared" ca="1" si="15"/>
        <v>27269056.56952421</v>
      </c>
    </row>
    <row r="45" spans="1:18">
      <c r="A45" s="40" t="s">
        <v>59</v>
      </c>
      <c r="B45" s="11" t="s">
        <v>60</v>
      </c>
      <c r="C45" s="86">
        <v>863</v>
      </c>
      <c r="D45" s="34">
        <v>-9.1848450000000005E-3</v>
      </c>
      <c r="E45" s="84">
        <v>6878302.5641673096</v>
      </c>
      <c r="F45" s="35"/>
      <c r="G45" s="54" t="str">
        <f ca="1">IFERROR(OFFSET(INDIRECT($H$3 &amp; "!A98"), 14, 0), "")</f>
        <v>쎄타퓨엘</v>
      </c>
      <c r="H45" s="44">
        <f t="shared" ca="1" si="7"/>
        <v>81.5</v>
      </c>
      <c r="I45" s="71">
        <f t="shared" ca="1" si="8"/>
        <v>9.9132590000000007E-3</v>
      </c>
      <c r="J45" s="83">
        <f t="shared" ca="1" si="13"/>
        <v>263852173.78576455</v>
      </c>
      <c r="K45" s="54" t="str">
        <f ca="1">IFERROR(OFFSET(INDIRECT($H$3 &amp; "!A44"), 14, 0), "")</f>
        <v>스톰엑스</v>
      </c>
      <c r="L45" s="44">
        <f t="shared" ca="1" si="9"/>
        <v>9.15</v>
      </c>
      <c r="M45" s="71">
        <f t="shared" ca="1" si="10"/>
        <v>-1.5069967700000001E-2</v>
      </c>
      <c r="N45" s="83">
        <f t="shared" ca="1" si="14"/>
        <v>316983219.67469668</v>
      </c>
      <c r="O45" s="54" t="str">
        <f ca="1">IFERROR(OFFSET(INDIRECT($H$3 &amp; "!A71"), 14, 0), "")</f>
        <v>에이다</v>
      </c>
      <c r="P45" s="44">
        <f t="shared" ca="1" si="11"/>
        <v>481</v>
      </c>
      <c r="Q45" s="71">
        <f t="shared" ca="1" si="12"/>
        <v>-8.2474226999999997E-3</v>
      </c>
      <c r="R45" s="83">
        <f t="shared" ca="1" si="15"/>
        <v>10885586.28529593</v>
      </c>
    </row>
    <row r="46" spans="1:18">
      <c r="A46" s="40" t="s">
        <v>114</v>
      </c>
      <c r="B46" s="11" t="s">
        <v>323</v>
      </c>
      <c r="C46" s="86">
        <v>105</v>
      </c>
      <c r="D46" s="34">
        <v>-9.4339622999999994E-3</v>
      </c>
      <c r="E46" s="84">
        <v>25238325.958106492</v>
      </c>
      <c r="F46" s="35"/>
      <c r="G46" s="52" t="str">
        <f ca="1">IFERROR(OFFSET(INDIRECT($H$3 &amp; "!A98"), 15, 0), "")</f>
        <v>코박토큰</v>
      </c>
      <c r="H46" s="39">
        <f t="shared" ca="1" si="7"/>
        <v>1070</v>
      </c>
      <c r="I46" s="70">
        <f t="shared" ca="1" si="8"/>
        <v>9.4339622999999994E-3</v>
      </c>
      <c r="J46" s="89">
        <f t="shared" ca="1" si="13"/>
        <v>5820635.40611332</v>
      </c>
      <c r="K46" s="52" t="str">
        <f ca="1">IFERROR(OFFSET(INDIRECT($H$3 &amp; "!A44"), 15, 0), "")</f>
        <v>쓰레스홀드</v>
      </c>
      <c r="L46" s="39">
        <f t="shared" ca="1" si="9"/>
        <v>51.7</v>
      </c>
      <c r="M46" s="70">
        <f t="shared" ca="1" si="10"/>
        <v>-1.5238095199999999E-2</v>
      </c>
      <c r="N46" s="89">
        <f t="shared" ca="1" si="14"/>
        <v>67640929.681523204</v>
      </c>
      <c r="O46" s="52" t="str">
        <f ca="1">IFERROR(OFFSET(INDIRECT($H$3 &amp; "!A71"), 15, 0), "")</f>
        <v>골렘</v>
      </c>
      <c r="P46" s="39">
        <f t="shared" ca="1" si="11"/>
        <v>358</v>
      </c>
      <c r="Q46" s="70">
        <f t="shared" ca="1" si="12"/>
        <v>-8.3102492999999993E-3</v>
      </c>
      <c r="R46" s="89">
        <f t="shared" ca="1" si="15"/>
        <v>8264141.8393007703</v>
      </c>
    </row>
    <row r="47" spans="1:18">
      <c r="A47" s="40" t="s">
        <v>94</v>
      </c>
      <c r="B47" s="11" t="s">
        <v>95</v>
      </c>
      <c r="C47" s="86">
        <v>1570</v>
      </c>
      <c r="D47" s="34">
        <v>-9.4637223999999992E-3</v>
      </c>
      <c r="E47" s="84">
        <v>1365797.3735509999</v>
      </c>
      <c r="F47" s="35"/>
      <c r="G47" s="52" t="str">
        <f ca="1">IFERROR(OFFSET(INDIRECT($H$3 &amp; "!A98"), 16, 0), "")</f>
        <v>칠리즈</v>
      </c>
      <c r="H47" s="39">
        <f t="shared" ca="1" si="7"/>
        <v>179</v>
      </c>
      <c r="I47" s="70">
        <f t="shared" ca="1" si="8"/>
        <v>5.6179775000000003E-3</v>
      </c>
      <c r="J47" s="79">
        <f t="shared" ca="1" si="13"/>
        <v>30615545.38321805</v>
      </c>
      <c r="K47" s="52" t="str">
        <f ca="1">IFERROR(OFFSET(INDIRECT($H$3 &amp; "!A44"), 16, 0), "")</f>
        <v>무비블록</v>
      </c>
      <c r="L47" s="39">
        <f t="shared" ca="1" si="9"/>
        <v>5.15</v>
      </c>
      <c r="M47" s="70">
        <f t="shared" ca="1" si="10"/>
        <v>-1.52963671E-2</v>
      </c>
      <c r="N47" s="79">
        <f t="shared" ca="1" si="14"/>
        <v>417439993.78235406</v>
      </c>
      <c r="O47" s="52" t="str">
        <f ca="1">IFERROR(OFFSET(INDIRECT($H$3 &amp; "!A71"), 16, 0), "")</f>
        <v>스텔라루멘</v>
      </c>
      <c r="P47" s="39">
        <f t="shared" ca="1" si="11"/>
        <v>117</v>
      </c>
      <c r="Q47" s="70">
        <f t="shared" ca="1" si="12"/>
        <v>-8.4745762999999998E-3</v>
      </c>
      <c r="R47" s="79">
        <f t="shared" ca="1" si="15"/>
        <v>15109156.76040313</v>
      </c>
    </row>
    <row r="48" spans="1:18">
      <c r="A48" s="40" t="s">
        <v>152</v>
      </c>
      <c r="B48" s="11" t="s">
        <v>153</v>
      </c>
      <c r="C48" s="86">
        <v>581</v>
      </c>
      <c r="D48" s="34">
        <v>-1.02214651E-2</v>
      </c>
      <c r="E48" s="84">
        <v>6491551.6918547498</v>
      </c>
      <c r="F48" s="35"/>
      <c r="G48" s="52" t="str">
        <f ca="1">IFERROR(OFFSET(INDIRECT($H$3 &amp; "!A98"), 17, 0), "")</f>
        <v>스팀달러</v>
      </c>
      <c r="H48" s="39">
        <f t="shared" ca="1" si="7"/>
        <v>4035</v>
      </c>
      <c r="I48" s="70">
        <f t="shared" ca="1" si="8"/>
        <v>3.7313432999999999E-3</v>
      </c>
      <c r="J48" s="79">
        <f t="shared" ca="1" si="13"/>
        <v>373857.77117481001</v>
      </c>
      <c r="K48" s="52" t="str">
        <f ca="1">IFERROR(OFFSET(INDIRECT($H$3 &amp; "!A44"), 17, 0), "")</f>
        <v>헤데라</v>
      </c>
      <c r="L48" s="39">
        <f t="shared" ca="1" si="9"/>
        <v>94.8</v>
      </c>
      <c r="M48" s="70">
        <f t="shared" ca="1" si="10"/>
        <v>-1.5576324000000001E-2</v>
      </c>
      <c r="N48" s="79">
        <f t="shared" ca="1" si="14"/>
        <v>36615033.809804432</v>
      </c>
      <c r="O48" s="52" t="str">
        <f ca="1">IFERROR(OFFSET(INDIRECT($H$3 &amp; "!A71"), 17, 0), "")</f>
        <v>디센트럴랜드</v>
      </c>
      <c r="P48" s="39">
        <f t="shared" ca="1" si="11"/>
        <v>863</v>
      </c>
      <c r="Q48" s="70">
        <f t="shared" ca="1" si="12"/>
        <v>-9.1848450000000005E-3</v>
      </c>
      <c r="R48" s="79">
        <f t="shared" ca="1" si="15"/>
        <v>6878302.5641673096</v>
      </c>
    </row>
    <row r="49" spans="1:18">
      <c r="A49" s="40" t="s">
        <v>324</v>
      </c>
      <c r="B49" s="11" t="s">
        <v>325</v>
      </c>
      <c r="C49" s="86">
        <v>764</v>
      </c>
      <c r="D49" s="34">
        <v>-1.0362694299999999E-2</v>
      </c>
      <c r="E49" s="84">
        <v>4506090.6864566198</v>
      </c>
      <c r="F49" s="35"/>
      <c r="G49" s="52" t="str">
        <f ca="1">IFERROR(OFFSET(INDIRECT($H$3 &amp; "!A98"), 18, 0), "")</f>
        <v>메탈</v>
      </c>
      <c r="H49" s="39">
        <f t="shared" ca="1" si="7"/>
        <v>1730</v>
      </c>
      <c r="I49" s="70">
        <f t="shared" ca="1" si="8"/>
        <v>2.8985507E-3</v>
      </c>
      <c r="J49" s="79">
        <f t="shared" ca="1" si="13"/>
        <v>2149449.09978473</v>
      </c>
      <c r="K49" s="52" t="str">
        <f ca="1">IFERROR(OFFSET(INDIRECT($H$3 &amp; "!A44"), 18, 0), "")</f>
        <v>아하토큰</v>
      </c>
      <c r="L49" s="39">
        <f t="shared" ca="1" si="9"/>
        <v>12.4</v>
      </c>
      <c r="M49" s="70">
        <f t="shared" ca="1" si="10"/>
        <v>-1.5873015899999999E-2</v>
      </c>
      <c r="N49" s="79">
        <f t="shared" ca="1" si="14"/>
        <v>228710564.81267941</v>
      </c>
      <c r="O49" s="52" t="str">
        <f ca="1">IFERROR(OFFSET(INDIRECT($H$3 &amp; "!A71"), 18, 0), "")</f>
        <v>크로노스</v>
      </c>
      <c r="P49" s="39">
        <f t="shared" ca="1" si="11"/>
        <v>105</v>
      </c>
      <c r="Q49" s="70">
        <f t="shared" ca="1" si="12"/>
        <v>-9.4339622999999994E-3</v>
      </c>
      <c r="R49" s="79">
        <f t="shared" ca="1" si="15"/>
        <v>25238325.958106492</v>
      </c>
    </row>
    <row r="50" spans="1:18" ht="17.25" thickBot="1">
      <c r="A50" s="40" t="s">
        <v>182</v>
      </c>
      <c r="B50" s="11" t="s">
        <v>183</v>
      </c>
      <c r="C50" s="86">
        <v>186</v>
      </c>
      <c r="D50" s="34">
        <v>-1.06382979E-2</v>
      </c>
      <c r="E50" s="84">
        <v>15662111.290231161</v>
      </c>
      <c r="F50" s="35"/>
      <c r="G50" s="53" t="str">
        <f ca="1">IFERROR(OFFSET(INDIRECT($H$3 &amp; "!A98"), 19, 0), "")</f>
        <v>제로엑스</v>
      </c>
      <c r="H50" s="37">
        <f t="shared" ca="1" si="7"/>
        <v>349</v>
      </c>
      <c r="I50" s="72">
        <f t="shared" ca="1" si="8"/>
        <v>2.8735632000000001E-3</v>
      </c>
      <c r="J50" s="80">
        <f t="shared" ca="1" si="13"/>
        <v>9152694.6395379901</v>
      </c>
      <c r="K50" s="53" t="str">
        <f ca="1">IFERROR(OFFSET(INDIRECT($H$3 &amp; "!A44"), 19, 0), "")</f>
        <v>이캐시</v>
      </c>
      <c r="L50" s="37">
        <f t="shared" ca="1" si="9"/>
        <v>4.5900000000000003E-2</v>
      </c>
      <c r="M50" s="72">
        <f t="shared" ca="1" si="10"/>
        <v>-1.9230769200000001E-2</v>
      </c>
      <c r="N50" s="80">
        <f t="shared" ca="1" si="14"/>
        <v>88865858402.019012</v>
      </c>
      <c r="O50" s="53" t="str">
        <f ca="1">IFERROR(OFFSET(INDIRECT($H$3 &amp; "!A71"), 19, 0), "")</f>
        <v>스토리지</v>
      </c>
      <c r="P50" s="37">
        <f t="shared" ca="1" si="11"/>
        <v>581</v>
      </c>
      <c r="Q50" s="72">
        <f t="shared" ca="1" si="12"/>
        <v>-1.02214651E-2</v>
      </c>
      <c r="R50" s="80">
        <f t="shared" ca="1" si="15"/>
        <v>6491551.6918547498</v>
      </c>
    </row>
    <row r="51" spans="1:18">
      <c r="A51" s="40" t="s">
        <v>90</v>
      </c>
      <c r="B51" s="11" t="s">
        <v>91</v>
      </c>
      <c r="C51" s="86">
        <v>22780</v>
      </c>
      <c r="D51" s="34">
        <v>-1.12847222E-2</v>
      </c>
      <c r="E51" s="84">
        <v>66842.771269019999</v>
      </c>
      <c r="F51" s="35"/>
    </row>
    <row r="52" spans="1:18" ht="17.25" thickBot="1">
      <c r="A52" s="40" t="s">
        <v>98</v>
      </c>
      <c r="B52" s="11" t="s">
        <v>99</v>
      </c>
      <c r="C52" s="86">
        <v>28010</v>
      </c>
      <c r="D52" s="34">
        <v>-1.12954465E-2</v>
      </c>
      <c r="E52" s="84">
        <v>509533.12837489002</v>
      </c>
      <c r="F52" s="35"/>
    </row>
    <row r="53" spans="1:18" ht="17.25" thickBot="1">
      <c r="A53" s="40" t="s">
        <v>326</v>
      </c>
      <c r="B53" s="11" t="s">
        <v>327</v>
      </c>
      <c r="C53" s="86">
        <v>603</v>
      </c>
      <c r="D53" s="34">
        <v>-1.1475409799999999E-2</v>
      </c>
      <c r="E53" s="84">
        <v>4919401.69536852</v>
      </c>
      <c r="F53" s="35"/>
      <c r="G53" s="135" t="s">
        <v>242</v>
      </c>
      <c r="H53" s="136"/>
      <c r="I53" s="136"/>
      <c r="J53" s="137"/>
      <c r="K53" s="135" t="s">
        <v>245</v>
      </c>
      <c r="L53" s="136"/>
      <c r="M53" s="136"/>
      <c r="N53" s="137"/>
      <c r="O53" s="135" t="s">
        <v>246</v>
      </c>
      <c r="P53" s="136"/>
      <c r="Q53" s="136"/>
      <c r="R53" s="137"/>
    </row>
    <row r="54" spans="1:18" ht="17.25" thickBot="1">
      <c r="A54" s="40" t="s">
        <v>173</v>
      </c>
      <c r="B54" s="11" t="s">
        <v>174</v>
      </c>
      <c r="C54" s="86">
        <v>20750</v>
      </c>
      <c r="D54" s="34">
        <v>-1.19047619E-2</v>
      </c>
      <c r="E54" s="84">
        <v>107187.19806653001</v>
      </c>
      <c r="F54" s="35"/>
      <c r="G54" s="200" t="s">
        <v>54</v>
      </c>
      <c r="H54" s="212">
        <f ca="1">NOW()</f>
        <v>44992.000794791667</v>
      </c>
      <c r="I54" s="213"/>
      <c r="J54" s="214"/>
      <c r="K54" s="203" t="s">
        <v>54</v>
      </c>
      <c r="L54" s="212">
        <f ca="1">NOW()</f>
        <v>44992.000794791667</v>
      </c>
      <c r="M54" s="213"/>
      <c r="N54" s="214"/>
      <c r="O54" s="203" t="s">
        <v>54</v>
      </c>
      <c r="P54" s="212">
        <f ca="1">NOW()</f>
        <v>44992.000794791667</v>
      </c>
      <c r="Q54" s="213"/>
      <c r="R54" s="214"/>
    </row>
    <row r="55" spans="1:18" ht="17.25" thickBot="1">
      <c r="A55" s="40" t="s">
        <v>328</v>
      </c>
      <c r="B55" s="11" t="s">
        <v>329</v>
      </c>
      <c r="C55" s="86">
        <v>653</v>
      </c>
      <c r="D55" s="34">
        <v>-1.21028744E-2</v>
      </c>
      <c r="E55" s="84">
        <v>2881514.1584570799</v>
      </c>
      <c r="F55" s="35"/>
      <c r="G55" s="197"/>
      <c r="H55" s="36" t="s">
        <v>57</v>
      </c>
      <c r="I55" s="36" t="s">
        <v>58</v>
      </c>
      <c r="J55" s="64" t="s">
        <v>251</v>
      </c>
      <c r="K55" s="197"/>
      <c r="L55" s="36" t="s">
        <v>57</v>
      </c>
      <c r="M55" s="36" t="s">
        <v>58</v>
      </c>
      <c r="N55" s="64" t="s">
        <v>251</v>
      </c>
      <c r="O55" s="197"/>
      <c r="P55" s="36" t="s">
        <v>57</v>
      </c>
      <c r="Q55" s="36" t="s">
        <v>58</v>
      </c>
      <c r="R55" s="64" t="s">
        <v>251</v>
      </c>
    </row>
    <row r="56" spans="1:18">
      <c r="A56" s="40" t="s">
        <v>108</v>
      </c>
      <c r="B56" s="11" t="s">
        <v>109</v>
      </c>
      <c r="C56" s="86">
        <v>1550</v>
      </c>
      <c r="D56" s="34">
        <v>-1.2738853499999999E-2</v>
      </c>
      <c r="E56" s="84">
        <v>814081.10608358996</v>
      </c>
      <c r="F56" s="35"/>
      <c r="G56" s="51" t="str">
        <f ca="1">IFERROR(OFFSET(INDIRECT($H$3 &amp; "!A179"), 0, 0), "")</f>
        <v>누사이퍼</v>
      </c>
      <c r="H56" s="38">
        <f t="shared" ref="H56:H65" ca="1" si="16">_xlfn.IFNA(VLOOKUP(G56, $B$2:$D$200, 2, FALSE), "")</f>
        <v>199</v>
      </c>
      <c r="I56" s="69">
        <f t="shared" ref="I56:I65" ca="1" si="17">_xlfn.IFNA(VLOOKUP(G56, $B$2:$D$200, 3, FALSE), "")</f>
        <v>-2.92682927E-2</v>
      </c>
      <c r="J56" s="78">
        <f ca="1">_xlfn.IFNA(VLOOKUP(G56, $B$2:$E$200, 4, FALSE), "")</f>
        <v>17627477.747375831</v>
      </c>
      <c r="K56" s="51" t="str">
        <f ca="1">IFERROR(OFFSET(INDIRECT($H$3 &amp; "!A125"), 0, 0), "")</f>
        <v>썬더코어</v>
      </c>
      <c r="L56" s="38">
        <f t="shared" ref="L56:L75" ca="1" si="18">_xlfn.IFNA(VLOOKUP(K56, $B$2:$D$200, 2, FALSE), "")</f>
        <v>7.01</v>
      </c>
      <c r="M56" s="69">
        <f t="shared" ref="M56:M75" ca="1" si="19">_xlfn.IFNA(VLOOKUP(K56, $B$2:$D$200, 3, FALSE), "")</f>
        <v>-8.4865628999999995E-3</v>
      </c>
      <c r="N56" s="78">
        <f ca="1">_xlfn.IFNA(VLOOKUP(K56, $B$2:$E$200, 4, FALSE), "")</f>
        <v>331550170.44122434</v>
      </c>
      <c r="O56" s="51" t="str">
        <f ca="1">IFERROR(OFFSET(INDIRECT($H$3 &amp; "!A152"), 0, 0), "")</f>
        <v>아크</v>
      </c>
      <c r="P56" s="38">
        <f t="shared" ref="P56:P75" ca="1" si="20">_xlfn.IFNA(VLOOKUP(O56, $B$2:$D$200, 2, FALSE), "")</f>
        <v>517</v>
      </c>
      <c r="Q56" s="69">
        <f t="shared" ref="Q56:Q75" ca="1" si="21">_xlfn.IFNA(VLOOKUP(O56, $B$2:$D$200, 3, FALSE), "")</f>
        <v>-1.7110266200000002E-2</v>
      </c>
      <c r="R56" s="78">
        <f ca="1">_xlfn.IFNA(VLOOKUP(O56, $B$2:$E$200, 4, FALSE), "")</f>
        <v>4424108.7779733399</v>
      </c>
    </row>
    <row r="57" spans="1:18">
      <c r="A57" s="40" t="s">
        <v>146</v>
      </c>
      <c r="B57" s="11" t="s">
        <v>147</v>
      </c>
      <c r="C57" s="86">
        <v>13130</v>
      </c>
      <c r="D57" s="34">
        <v>-1.27819549E-2</v>
      </c>
      <c r="E57" s="84">
        <v>623754.72018235002</v>
      </c>
      <c r="F57" s="35"/>
      <c r="G57" s="52" t="str">
        <f ca="1">IFERROR(OFFSET(INDIRECT($H$3 &amp; "!A179"), 1, 0), "")</f>
        <v>베이직어텐션토큰</v>
      </c>
      <c r="H57" s="39">
        <f t="shared" ca="1" si="16"/>
        <v>394</v>
      </c>
      <c r="I57" s="70">
        <f t="shared" ca="1" si="17"/>
        <v>-2.9556650199999999E-2</v>
      </c>
      <c r="J57" s="79">
        <f t="shared" ref="J57:J75" ca="1" si="22">_xlfn.IFNA(VLOOKUP(G57, $B$2:$E$200, 4, FALSE), "")</f>
        <v>7466111.6844329899</v>
      </c>
      <c r="K57" s="52" t="str">
        <f ca="1">IFERROR(OFFSET(INDIRECT($H$3 &amp; "!A125"), 1, 0), "")</f>
        <v>아이큐</v>
      </c>
      <c r="L57" s="39">
        <f t="shared" ca="1" si="18"/>
        <v>9.48</v>
      </c>
      <c r="M57" s="70">
        <f t="shared" ca="1" si="19"/>
        <v>-1.35275754E-2</v>
      </c>
      <c r="N57" s="79">
        <f t="shared" ref="N57:N75" ca="1" si="23">_xlfn.IFNA(VLOOKUP(K57, $B$2:$E$200, 4, FALSE), "")</f>
        <v>305043467.97975081</v>
      </c>
      <c r="O57" s="52" t="str">
        <f ca="1">IFERROR(OFFSET(INDIRECT($H$3 &amp; "!A152"), 1, 0), "")</f>
        <v>왁스</v>
      </c>
      <c r="P57" s="39">
        <f t="shared" ca="1" si="20"/>
        <v>111</v>
      </c>
      <c r="Q57" s="70">
        <f t="shared" ca="1" si="21"/>
        <v>-1.7699115000000001E-2</v>
      </c>
      <c r="R57" s="79">
        <f t="shared" ref="R57:R75" ca="1" si="24">_xlfn.IFNA(VLOOKUP(O57, $B$2:$E$200, 4, FALSE), "")</f>
        <v>45597724.389488026</v>
      </c>
    </row>
    <row r="58" spans="1:18">
      <c r="A58" s="40" t="s">
        <v>330</v>
      </c>
      <c r="B58" s="11" t="s">
        <v>331</v>
      </c>
      <c r="C58" s="86">
        <v>29600</v>
      </c>
      <c r="D58" s="34">
        <v>-1.33333333E-2</v>
      </c>
      <c r="E58" s="84">
        <v>417128.27697001997</v>
      </c>
      <c r="F58" s="35"/>
      <c r="G58" s="52" t="str">
        <f ca="1">IFERROR(OFFSET(INDIRECT($H$3 &amp; "!A179"), 2, 0), "")</f>
        <v>저스트</v>
      </c>
      <c r="H58" s="39">
        <f t="shared" ca="1" si="16"/>
        <v>39.4</v>
      </c>
      <c r="I58" s="70">
        <f t="shared" ca="1" si="17"/>
        <v>-2.9556650199999999E-2</v>
      </c>
      <c r="J58" s="79">
        <f t="shared" ca="1" si="22"/>
        <v>50347872.870927133</v>
      </c>
      <c r="K58" s="52" t="str">
        <f ca="1">IFERROR(OFFSET(INDIRECT($H$3 &amp; "!A125"), 2, 0), "")</f>
        <v>스톰엑스</v>
      </c>
      <c r="L58" s="39">
        <f t="shared" ca="1" si="18"/>
        <v>9.15</v>
      </c>
      <c r="M58" s="70">
        <f t="shared" ca="1" si="19"/>
        <v>-1.5069967700000001E-2</v>
      </c>
      <c r="N58" s="79">
        <f t="shared" ca="1" si="23"/>
        <v>316983219.67469668</v>
      </c>
      <c r="O58" s="52" t="str">
        <f ca="1">IFERROR(OFFSET(INDIRECT($H$3 &amp; "!A152"), 2, 0), "")</f>
        <v>온톨로지가스</v>
      </c>
      <c r="P58" s="39">
        <f t="shared" ca="1" si="20"/>
        <v>440</v>
      </c>
      <c r="Q58" s="70">
        <f t="shared" ca="1" si="21"/>
        <v>-1.7857142900000001E-2</v>
      </c>
      <c r="R58" s="79">
        <f t="shared" ca="1" si="24"/>
        <v>2974228.3476281799</v>
      </c>
    </row>
    <row r="59" spans="1:18">
      <c r="A59" s="40" t="s">
        <v>186</v>
      </c>
      <c r="B59" s="11" t="s">
        <v>187</v>
      </c>
      <c r="C59" s="86">
        <v>1105</v>
      </c>
      <c r="D59" s="34">
        <v>-1.3392857100000001E-2</v>
      </c>
      <c r="E59" s="84">
        <v>1373040.1953230801</v>
      </c>
      <c r="F59" s="35"/>
      <c r="G59" s="52" t="str">
        <f ca="1">IFERROR(OFFSET(INDIRECT($H$3 &amp; "!A179"), 3, 0), "")</f>
        <v>펀디엑스</v>
      </c>
      <c r="H59" s="39">
        <f t="shared" ca="1" si="16"/>
        <v>687</v>
      </c>
      <c r="I59" s="70">
        <f t="shared" ca="1" si="17"/>
        <v>-3.1029619200000001E-2</v>
      </c>
      <c r="J59" s="79">
        <f t="shared" ca="1" si="22"/>
        <v>10031787.28147185</v>
      </c>
      <c r="K59" s="52" t="str">
        <f ca="1">IFERROR(OFFSET(INDIRECT($H$3 &amp; "!A125"), 3, 0), "")</f>
        <v>쓰레스홀드</v>
      </c>
      <c r="L59" s="39">
        <f t="shared" ca="1" si="18"/>
        <v>51.7</v>
      </c>
      <c r="M59" s="70">
        <f t="shared" ca="1" si="19"/>
        <v>-1.5238095199999999E-2</v>
      </c>
      <c r="N59" s="79">
        <f t="shared" ca="1" si="23"/>
        <v>67640929.681523204</v>
      </c>
      <c r="O59" s="52" t="str">
        <f ca="1">IFERROR(OFFSET(INDIRECT($H$3 &amp; "!A152"), 3, 0), "")</f>
        <v>아이오타</v>
      </c>
      <c r="P59" s="39">
        <f t="shared" ca="1" si="20"/>
        <v>324</v>
      </c>
      <c r="Q59" s="70">
        <f t="shared" ca="1" si="21"/>
        <v>-1.8181818200000002E-2</v>
      </c>
      <c r="R59" s="79">
        <f t="shared" ca="1" si="24"/>
        <v>4353535.42146945</v>
      </c>
    </row>
    <row r="60" spans="1:18">
      <c r="A60" s="40" t="s">
        <v>170</v>
      </c>
      <c r="B60" s="11" t="s">
        <v>332</v>
      </c>
      <c r="C60" s="86">
        <v>9.48</v>
      </c>
      <c r="D60" s="34">
        <v>-1.35275754E-2</v>
      </c>
      <c r="E60" s="84">
        <v>305043467.97975081</v>
      </c>
      <c r="F60" s="35"/>
      <c r="G60" s="52" t="str">
        <f ca="1">IFERROR(OFFSET(INDIRECT($H$3 &amp; "!A179"), 4, 0), "")</f>
        <v>세럼</v>
      </c>
      <c r="H60" s="39">
        <f t="shared" ca="1" si="16"/>
        <v>639</v>
      </c>
      <c r="I60" s="70">
        <f t="shared" ca="1" si="17"/>
        <v>-3.6199095000000001E-2</v>
      </c>
      <c r="J60" s="83">
        <f t="shared" ca="1" si="22"/>
        <v>8839395.4664429706</v>
      </c>
      <c r="K60" s="54" t="str">
        <f ca="1">IFERROR(OFFSET(INDIRECT($H$3 &amp; "!A125"), 4, 0), "")</f>
        <v>무비블록</v>
      </c>
      <c r="L60" s="44">
        <f t="shared" ca="1" si="18"/>
        <v>5.15</v>
      </c>
      <c r="M60" s="71">
        <f t="shared" ca="1" si="19"/>
        <v>-1.52963671E-2</v>
      </c>
      <c r="N60" s="83">
        <f t="shared" ca="1" si="23"/>
        <v>417439993.78235406</v>
      </c>
      <c r="O60" s="54" t="str">
        <f ca="1">IFERROR(OFFSET(INDIRECT($H$3 &amp; "!A152"), 4, 0), "")</f>
        <v>솔라</v>
      </c>
      <c r="P60" s="44">
        <f t="shared" ca="1" si="20"/>
        <v>431</v>
      </c>
      <c r="Q60" s="71">
        <f t="shared" ca="1" si="21"/>
        <v>-1.8223234599999999E-2</v>
      </c>
      <c r="R60" s="83">
        <f t="shared" ca="1" si="24"/>
        <v>6184769.2895233398</v>
      </c>
    </row>
    <row r="61" spans="1:18">
      <c r="A61" s="40" t="s">
        <v>150</v>
      </c>
      <c r="B61" s="11" t="s">
        <v>151</v>
      </c>
      <c r="C61" s="86">
        <v>3550</v>
      </c>
      <c r="D61" s="34">
        <v>-1.38888889E-2</v>
      </c>
      <c r="E61" s="84">
        <v>1366856.0390632099</v>
      </c>
      <c r="F61" s="35"/>
      <c r="G61" s="56" t="str">
        <f ca="1">IFERROR(OFFSET(INDIRECT($H$3 &amp; "!A179"), 5, 0), "")</f>
        <v>헌트</v>
      </c>
      <c r="H61" s="45">
        <f t="shared" ca="1" si="16"/>
        <v>553</v>
      </c>
      <c r="I61" s="73">
        <f t="shared" ca="1" si="17"/>
        <v>-3.65853659E-2</v>
      </c>
      <c r="J61" s="89">
        <f t="shared" ca="1" si="22"/>
        <v>28190690.16532011</v>
      </c>
      <c r="K61" s="52" t="str">
        <f ca="1">IFERROR(OFFSET(INDIRECT($H$3 &amp; "!A125"), 5, 0), "")</f>
        <v>헤데라</v>
      </c>
      <c r="L61" s="39">
        <f t="shared" ca="1" si="18"/>
        <v>94.8</v>
      </c>
      <c r="M61" s="70">
        <f t="shared" ca="1" si="19"/>
        <v>-1.5576324000000001E-2</v>
      </c>
      <c r="N61" s="89">
        <f t="shared" ca="1" si="23"/>
        <v>36615033.809804432</v>
      </c>
      <c r="O61" s="52" t="str">
        <f ca="1">IFERROR(OFFSET(INDIRECT($H$3 &amp; "!A152"), 5, 0), "")</f>
        <v>스팀</v>
      </c>
      <c r="P61" s="39">
        <f t="shared" ca="1" si="20"/>
        <v>314</v>
      </c>
      <c r="Q61" s="70">
        <f t="shared" ca="1" si="21"/>
        <v>-1.8749999999999999E-2</v>
      </c>
      <c r="R61" s="89">
        <f t="shared" ca="1" si="24"/>
        <v>9261930.7022028901</v>
      </c>
    </row>
    <row r="62" spans="1:18">
      <c r="A62" s="40" t="s">
        <v>76</v>
      </c>
      <c r="B62" s="11" t="s">
        <v>77</v>
      </c>
      <c r="C62" s="86">
        <v>177200</v>
      </c>
      <c r="D62" s="34">
        <v>-1.4734501000000001E-2</v>
      </c>
      <c r="E62" s="84">
        <v>12756.34150074</v>
      </c>
      <c r="F62" s="35"/>
      <c r="G62" s="52" t="str">
        <f ca="1">IFERROR(OFFSET(INDIRECT($H$3 &amp; "!A179"), 6, 0), "")</f>
        <v>아이콘</v>
      </c>
      <c r="H62" s="39">
        <f t="shared" ca="1" si="16"/>
        <v>335</v>
      </c>
      <c r="I62" s="70">
        <f t="shared" ca="1" si="17"/>
        <v>-3.7356321800000002E-2</v>
      </c>
      <c r="J62" s="79">
        <f t="shared" ca="1" si="22"/>
        <v>13756784.288343299</v>
      </c>
      <c r="K62" s="52" t="str">
        <f ca="1">IFERROR(OFFSET(INDIRECT($H$3 &amp; "!A125"), 6, 0), "")</f>
        <v>아하토큰</v>
      </c>
      <c r="L62" s="39">
        <f t="shared" ca="1" si="18"/>
        <v>12.4</v>
      </c>
      <c r="M62" s="70">
        <f t="shared" ca="1" si="19"/>
        <v>-1.5873015899999999E-2</v>
      </c>
      <c r="N62" s="79">
        <f t="shared" ca="1" si="23"/>
        <v>228710564.81267941</v>
      </c>
      <c r="O62" s="52" t="str">
        <f ca="1">IFERROR(OFFSET(INDIRECT($H$3 &amp; "!A152"), 6, 0), "")</f>
        <v>샌드박스</v>
      </c>
      <c r="P62" s="39">
        <f t="shared" ca="1" si="20"/>
        <v>930</v>
      </c>
      <c r="Q62" s="70">
        <f t="shared" ca="1" si="21"/>
        <v>-1.8987341800000002E-2</v>
      </c>
      <c r="R62" s="79">
        <f t="shared" ca="1" si="24"/>
        <v>16624066.38113513</v>
      </c>
    </row>
    <row r="63" spans="1:18">
      <c r="A63" s="40" t="s">
        <v>117</v>
      </c>
      <c r="B63" s="11" t="s">
        <v>118</v>
      </c>
      <c r="C63" s="86">
        <v>9.15</v>
      </c>
      <c r="D63" s="34">
        <v>-1.5069967700000001E-2</v>
      </c>
      <c r="E63" s="84">
        <v>316983219.67469668</v>
      </c>
      <c r="F63" s="35"/>
      <c r="G63" s="52" t="str">
        <f ca="1">IFERROR(OFFSET(INDIRECT($H$3 &amp; "!A179"), 7, 0), "")</f>
        <v>오미세고</v>
      </c>
      <c r="H63" s="39">
        <f t="shared" ca="1" si="16"/>
        <v>2295</v>
      </c>
      <c r="I63" s="70">
        <f t="shared" ca="1" si="17"/>
        <v>-3.7735849100000003E-2</v>
      </c>
      <c r="J63" s="79">
        <f t="shared" ca="1" si="22"/>
        <v>1620370.0290272699</v>
      </c>
      <c r="K63" s="52" t="str">
        <f ca="1">IFERROR(OFFSET(INDIRECT($H$3 &amp; "!A125"), 7, 0), "")</f>
        <v>이캐시</v>
      </c>
      <c r="L63" s="39">
        <f t="shared" ca="1" si="18"/>
        <v>4.5900000000000003E-2</v>
      </c>
      <c r="M63" s="70">
        <f t="shared" ca="1" si="19"/>
        <v>-1.9230769200000001E-2</v>
      </c>
      <c r="N63" s="79">
        <f t="shared" ca="1" si="23"/>
        <v>88865858402.019012</v>
      </c>
      <c r="O63" s="52" t="str">
        <f ca="1">IFERROR(OFFSET(INDIRECT($H$3 &amp; "!A152"), 7, 0), "")</f>
        <v>밀크</v>
      </c>
      <c r="P63" s="39">
        <f t="shared" ca="1" si="20"/>
        <v>423</v>
      </c>
      <c r="Q63" s="70">
        <f t="shared" ca="1" si="21"/>
        <v>-2.08333333E-2</v>
      </c>
      <c r="R63" s="79">
        <f t="shared" ca="1" si="24"/>
        <v>6438206.9370870898</v>
      </c>
    </row>
    <row r="64" spans="1:18">
      <c r="A64" s="40" t="s">
        <v>333</v>
      </c>
      <c r="B64" s="11" t="s">
        <v>334</v>
      </c>
      <c r="C64" s="86">
        <v>51.7</v>
      </c>
      <c r="D64" s="34">
        <v>-1.5238095199999999E-2</v>
      </c>
      <c r="E64" s="84">
        <v>67640929.681523204</v>
      </c>
      <c r="F64" s="35"/>
      <c r="G64" s="52" t="str">
        <f ca="1">IFERROR(OFFSET(INDIRECT($H$3 &amp; "!A179"), 8, 0), "")</f>
        <v>스테이터스네트워크토큰</v>
      </c>
      <c r="H64" s="39">
        <f t="shared" ca="1" si="16"/>
        <v>40.200000000000003</v>
      </c>
      <c r="I64" s="70">
        <f t="shared" ca="1" si="17"/>
        <v>-3.8277512E-2</v>
      </c>
      <c r="J64" s="79">
        <f t="shared" ca="1" si="22"/>
        <v>150388748.69252172</v>
      </c>
      <c r="K64" s="52" t="str">
        <f ca="1">IFERROR(OFFSET(INDIRECT($H$3 &amp; "!A125"), 8, 0), "")</f>
        <v>아이오에스티</v>
      </c>
      <c r="L64" s="39">
        <f t="shared" ca="1" si="18"/>
        <v>15.1</v>
      </c>
      <c r="M64" s="70">
        <f t="shared" ca="1" si="19"/>
        <v>-1.9480519500000001E-2</v>
      </c>
      <c r="N64" s="79">
        <f t="shared" ca="1" si="23"/>
        <v>109574868.50750466</v>
      </c>
      <c r="O64" s="52" t="str">
        <f ca="1">IFERROR(OFFSET(INDIRECT($H$3 &amp; "!A152"), 8, 0), "")</f>
        <v>엔진코인</v>
      </c>
      <c r="P64" s="39">
        <f t="shared" ca="1" si="20"/>
        <v>628</v>
      </c>
      <c r="Q64" s="70">
        <f t="shared" ca="1" si="21"/>
        <v>-2.33281493E-2</v>
      </c>
      <c r="R64" s="79">
        <f t="shared" ca="1" si="24"/>
        <v>2936428.9743726701</v>
      </c>
    </row>
    <row r="65" spans="1:18" ht="17.25" thickBot="1">
      <c r="A65" s="40" t="s">
        <v>202</v>
      </c>
      <c r="B65" s="11" t="s">
        <v>203</v>
      </c>
      <c r="C65" s="86">
        <v>5.15</v>
      </c>
      <c r="D65" s="34">
        <v>-1.52963671E-2</v>
      </c>
      <c r="E65" s="84">
        <v>417439993.78235406</v>
      </c>
      <c r="F65" s="35"/>
      <c r="G65" s="53" t="str">
        <f ca="1">IFERROR(OFFSET(INDIRECT($H$3 &amp; "!A179"), 9, 0), "")</f>
        <v>카이버네트워크</v>
      </c>
      <c r="H65" s="37">
        <f t="shared" ca="1" si="16"/>
        <v>1125</v>
      </c>
      <c r="I65" s="72">
        <f t="shared" ca="1" si="17"/>
        <v>-3.8461538500000003E-2</v>
      </c>
      <c r="J65" s="80">
        <f t="shared" ca="1" si="22"/>
        <v>4745047.2301752698</v>
      </c>
      <c r="K65" s="53" t="str">
        <f ca="1">IFERROR(OFFSET(INDIRECT($H$3 &amp; "!A125"), 9, 0), "")</f>
        <v>질리카</v>
      </c>
      <c r="L65" s="37">
        <f t="shared" ca="1" si="18"/>
        <v>42.3</v>
      </c>
      <c r="M65" s="72">
        <f t="shared" ca="1" si="19"/>
        <v>-2.08333333E-2</v>
      </c>
      <c r="N65" s="80">
        <f t="shared" ca="1" si="23"/>
        <v>123094314.02280647</v>
      </c>
      <c r="O65" s="53" t="str">
        <f ca="1">IFERROR(OFFSET(INDIRECT($H$3 &amp; "!A152"), 9, 0), "")</f>
        <v>모스코인</v>
      </c>
      <c r="P65" s="37">
        <f t="shared" ca="1" si="20"/>
        <v>148</v>
      </c>
      <c r="Q65" s="72">
        <f t="shared" ca="1" si="21"/>
        <v>-2.6315789499999999E-2</v>
      </c>
      <c r="R65" s="80">
        <f t="shared" ca="1" si="24"/>
        <v>64782059.785865448</v>
      </c>
    </row>
    <row r="66" spans="1:18">
      <c r="A66" s="40" t="s">
        <v>53</v>
      </c>
      <c r="B66" s="11" t="s">
        <v>335</v>
      </c>
      <c r="C66" s="86">
        <v>94.8</v>
      </c>
      <c r="D66" s="34">
        <v>-1.5576324000000001E-2</v>
      </c>
      <c r="E66" s="84">
        <v>36615033.809804432</v>
      </c>
      <c r="F66" s="35"/>
      <c r="G66" s="52" t="str">
        <f ca="1">IFERROR(OFFSET(INDIRECT($H$3 &amp; "!A179"), 10, 0), "")</f>
        <v>오브스</v>
      </c>
      <c r="H66" s="38">
        <f t="shared" ref="H66:H75" ca="1" si="25">_xlfn.IFNA(VLOOKUP(G66, $B$2:$D$200, 2, FALSE), "")</f>
        <v>47.1</v>
      </c>
      <c r="I66" s="69">
        <f t="shared" ref="I66:I75" ca="1" si="26">_xlfn.IFNA(VLOOKUP(G66, $B$2:$D$200, 3, FALSE), "")</f>
        <v>-3.8775510200000002E-2</v>
      </c>
      <c r="J66" s="78">
        <f t="shared" ca="1" si="22"/>
        <v>139317467.46827576</v>
      </c>
      <c r="K66" s="51" t="str">
        <f ca="1">IFERROR(OFFSET(INDIRECT($H$3 &amp; "!A125"), 10, 0), "")</f>
        <v>시아코인</v>
      </c>
      <c r="L66" s="38">
        <f t="shared" ca="1" si="18"/>
        <v>6.02</v>
      </c>
      <c r="M66" s="69">
        <f t="shared" ca="1" si="19"/>
        <v>-2.2727272699999999E-2</v>
      </c>
      <c r="N66" s="78">
        <f t="shared" ca="1" si="23"/>
        <v>1031632843.0687228</v>
      </c>
      <c r="O66" s="51" t="str">
        <f ca="1">IFERROR(OFFSET(INDIRECT($H$3 &amp; "!A152"), 10, 0), "")</f>
        <v>알고랜드</v>
      </c>
      <c r="P66" s="38">
        <f t="shared" ca="1" si="20"/>
        <v>331</v>
      </c>
      <c r="Q66" s="69">
        <f t="shared" ca="1" si="21"/>
        <v>-2.6470588199999999E-2</v>
      </c>
      <c r="R66" s="78">
        <f t="shared" ca="1" si="24"/>
        <v>10788846.931338221</v>
      </c>
    </row>
    <row r="67" spans="1:18">
      <c r="A67" s="40" t="s">
        <v>196</v>
      </c>
      <c r="B67" s="11" t="s">
        <v>197</v>
      </c>
      <c r="C67" s="86">
        <v>12.4</v>
      </c>
      <c r="D67" s="34">
        <v>-1.5873015899999999E-2</v>
      </c>
      <c r="E67" s="84">
        <v>228710564.81267941</v>
      </c>
      <c r="F67" s="35"/>
      <c r="G67" s="52" t="str">
        <f ca="1">IFERROR(OFFSET(INDIRECT($H$3 &amp; "!A179"), 11, 0), "")</f>
        <v>온톨로지</v>
      </c>
      <c r="H67" s="39">
        <f t="shared" ca="1" si="25"/>
        <v>335</v>
      </c>
      <c r="I67" s="70">
        <f t="shared" ca="1" si="26"/>
        <v>-4.0114613200000003E-2</v>
      </c>
      <c r="J67" s="79">
        <f t="shared" ca="1" si="22"/>
        <v>7926135.0923579698</v>
      </c>
      <c r="K67" s="52" t="str">
        <f ca="1">IFERROR(OFFSET(INDIRECT($H$3 &amp; "!A125"), 11, 0), "")</f>
        <v>캐리프로토콜</v>
      </c>
      <c r="L67" s="39">
        <f t="shared" ca="1" si="18"/>
        <v>6.63</v>
      </c>
      <c r="M67" s="70">
        <f t="shared" ca="1" si="19"/>
        <v>-2.3564064799999999E-2</v>
      </c>
      <c r="N67" s="79">
        <f t="shared" ca="1" si="23"/>
        <v>252013066.06666037</v>
      </c>
      <c r="O67" s="52" t="str">
        <f ca="1">IFERROR(OFFSET(INDIRECT($H$3 &amp; "!A152"), 11, 0), "")</f>
        <v>누사이퍼</v>
      </c>
      <c r="P67" s="39">
        <f t="shared" ca="1" si="20"/>
        <v>199</v>
      </c>
      <c r="Q67" s="70">
        <f t="shared" ca="1" si="21"/>
        <v>-2.92682927E-2</v>
      </c>
      <c r="R67" s="79">
        <f t="shared" ca="1" si="24"/>
        <v>17627477.747375831</v>
      </c>
    </row>
    <row r="68" spans="1:18">
      <c r="A68" s="40" t="s">
        <v>230</v>
      </c>
      <c r="B68" s="11" t="s">
        <v>231</v>
      </c>
      <c r="C68" s="86">
        <v>517</v>
      </c>
      <c r="D68" s="34">
        <v>-1.7110266200000002E-2</v>
      </c>
      <c r="E68" s="84">
        <v>4424108.7779733399</v>
      </c>
      <c r="F68" s="35"/>
      <c r="G68" s="52" t="str">
        <f ca="1">IFERROR(OFFSET(INDIRECT($H$3 &amp; "!A179"), 12, 0), "")</f>
        <v>스택스</v>
      </c>
      <c r="H68" s="39">
        <f t="shared" ca="1" si="25"/>
        <v>1155</v>
      </c>
      <c r="I68" s="70">
        <f t="shared" ca="1" si="26"/>
        <v>-4.5454545499999999E-2</v>
      </c>
      <c r="J68" s="79">
        <f t="shared" ca="1" si="22"/>
        <v>97067320.68293114</v>
      </c>
      <c r="K68" s="52" t="str">
        <f ca="1">IFERROR(OFFSET(INDIRECT($H$3 &amp; "!A125"), 12, 0), "")</f>
        <v>비체인</v>
      </c>
      <c r="L68" s="39">
        <f t="shared" ca="1" si="18"/>
        <v>36.6</v>
      </c>
      <c r="M68" s="70">
        <f t="shared" ca="1" si="19"/>
        <v>-2.4E-2</v>
      </c>
      <c r="N68" s="79">
        <f t="shared" ca="1" si="23"/>
        <v>116534677.83615109</v>
      </c>
      <c r="O68" s="52" t="str">
        <f ca="1">IFERROR(OFFSET(INDIRECT($H$3 &amp; "!A152"), 12, 0), "")</f>
        <v>베이직어텐션토큰</v>
      </c>
      <c r="P68" s="39">
        <f t="shared" ca="1" si="20"/>
        <v>394</v>
      </c>
      <c r="Q68" s="70">
        <f t="shared" ca="1" si="21"/>
        <v>-2.9556650199999999E-2</v>
      </c>
      <c r="R68" s="79">
        <f t="shared" ca="1" si="24"/>
        <v>7466111.6844329899</v>
      </c>
    </row>
    <row r="69" spans="1:18">
      <c r="A69" s="40" t="s">
        <v>216</v>
      </c>
      <c r="B69" s="11" t="s">
        <v>217</v>
      </c>
      <c r="C69" s="86">
        <v>111</v>
      </c>
      <c r="D69" s="34">
        <v>-1.7699115000000001E-2</v>
      </c>
      <c r="E69" s="84">
        <v>45597724.389488026</v>
      </c>
      <c r="F69" s="35"/>
      <c r="G69" s="52" t="str">
        <f ca="1">IFERROR(OFFSET(INDIRECT($H$3 &amp; "!A179"), 13, 0), "")</f>
        <v>보라</v>
      </c>
      <c r="H69" s="39">
        <f t="shared" ca="1" si="25"/>
        <v>288</v>
      </c>
      <c r="I69" s="70">
        <f t="shared" ca="1" si="26"/>
        <v>-4.6357615900000003E-2</v>
      </c>
      <c r="J69" s="79">
        <f t="shared" ca="1" si="22"/>
        <v>59012103.086027943</v>
      </c>
      <c r="K69" s="52" t="str">
        <f ca="1">IFERROR(OFFSET(INDIRECT($H$3 &amp; "!A125"), 13, 0), "")</f>
        <v>쿼크체인</v>
      </c>
      <c r="L69" s="39">
        <f t="shared" ca="1" si="18"/>
        <v>15.5</v>
      </c>
      <c r="M69" s="70">
        <f t="shared" ca="1" si="19"/>
        <v>-2.5157232700000001E-2</v>
      </c>
      <c r="N69" s="79">
        <f t="shared" ca="1" si="23"/>
        <v>100173346.78211758</v>
      </c>
      <c r="O69" s="52" t="str">
        <f ca="1">IFERROR(OFFSET(INDIRECT($H$3 &amp; "!A152"), 13, 0), "")</f>
        <v>펀디엑스</v>
      </c>
      <c r="P69" s="39">
        <f t="shared" ca="1" si="20"/>
        <v>687</v>
      </c>
      <c r="Q69" s="70">
        <f t="shared" ca="1" si="21"/>
        <v>-3.1029619200000001E-2</v>
      </c>
      <c r="R69" s="79">
        <f t="shared" ca="1" si="24"/>
        <v>10031787.28147185</v>
      </c>
    </row>
    <row r="70" spans="1:18">
      <c r="A70" s="40" t="s">
        <v>175</v>
      </c>
      <c r="B70" s="11" t="s">
        <v>176</v>
      </c>
      <c r="C70" s="86">
        <v>440</v>
      </c>
      <c r="D70" s="34">
        <v>-1.7857142900000001E-2</v>
      </c>
      <c r="E70" s="84">
        <v>2974228.3476281799</v>
      </c>
      <c r="F70" s="35"/>
      <c r="G70" s="52" t="str">
        <f ca="1">IFERROR(OFFSET(INDIRECT($H$3 &amp; "!A179"), 14, 0), "")</f>
        <v>앵커</v>
      </c>
      <c r="H70" s="39">
        <f t="shared" ca="1" si="25"/>
        <v>53.5</v>
      </c>
      <c r="I70" s="70">
        <f t="shared" ca="1" si="26"/>
        <v>-4.97335702E-2</v>
      </c>
      <c r="J70" s="83">
        <f t="shared" ca="1" si="22"/>
        <v>756713658.27155209</v>
      </c>
      <c r="K70" s="54" t="str">
        <f ca="1">IFERROR(OFFSET(INDIRECT($H$3 &amp; "!A125"), 14, 0), "")</f>
        <v>에스티피</v>
      </c>
      <c r="L70" s="44">
        <f t="shared" ca="1" si="18"/>
        <v>64.8</v>
      </c>
      <c r="M70" s="71">
        <f t="shared" ca="1" si="19"/>
        <v>-2.8485757099999998E-2</v>
      </c>
      <c r="N70" s="83">
        <f t="shared" ca="1" si="23"/>
        <v>110408109.27523087</v>
      </c>
      <c r="O70" s="54" t="str">
        <f ca="1">IFERROR(OFFSET(INDIRECT($H$3 &amp; "!A152"), 14, 0), "")</f>
        <v>세럼</v>
      </c>
      <c r="P70" s="44">
        <f t="shared" ca="1" si="20"/>
        <v>639</v>
      </c>
      <c r="Q70" s="71">
        <f t="shared" ca="1" si="21"/>
        <v>-3.6199095000000001E-2</v>
      </c>
      <c r="R70" s="83">
        <f t="shared" ca="1" si="24"/>
        <v>8839395.4664429706</v>
      </c>
    </row>
    <row r="71" spans="1:18">
      <c r="A71" s="40" t="s">
        <v>168</v>
      </c>
      <c r="B71" s="11" t="s">
        <v>169</v>
      </c>
      <c r="C71" s="86">
        <v>324</v>
      </c>
      <c r="D71" s="34">
        <v>-1.8181818200000002E-2</v>
      </c>
      <c r="E71" s="84">
        <v>4353535.42146945</v>
      </c>
      <c r="F71" s="35"/>
      <c r="G71" s="56" t="str">
        <f ca="1">IFERROR(OFFSET(INDIRECT($H$3 &amp; "!A179"), 15, 0), "")</f>
        <v>퀀텀</v>
      </c>
      <c r="H71" s="45">
        <f t="shared" ca="1" si="25"/>
        <v>4410</v>
      </c>
      <c r="I71" s="73">
        <f t="shared" ca="1" si="26"/>
        <v>-5.1612903199999997E-2</v>
      </c>
      <c r="J71" s="89">
        <f t="shared" ca="1" si="22"/>
        <v>1174314.1296940499</v>
      </c>
      <c r="K71" s="52" t="str">
        <f ca="1">IFERROR(OFFSET(INDIRECT($H$3 &amp; "!A125"), 15, 0), "")</f>
        <v>저스트</v>
      </c>
      <c r="L71" s="39">
        <f t="shared" ca="1" si="18"/>
        <v>39.4</v>
      </c>
      <c r="M71" s="70">
        <f t="shared" ca="1" si="19"/>
        <v>-2.9556650199999999E-2</v>
      </c>
      <c r="N71" s="89">
        <f t="shared" ca="1" si="23"/>
        <v>50347872.870927133</v>
      </c>
      <c r="O71" s="52" t="str">
        <f ca="1">IFERROR(OFFSET(INDIRECT($H$3 &amp; "!A152"), 15, 0), "")</f>
        <v>헌트</v>
      </c>
      <c r="P71" s="39">
        <f t="shared" ca="1" si="20"/>
        <v>553</v>
      </c>
      <c r="Q71" s="70">
        <f t="shared" ca="1" si="21"/>
        <v>-3.65853659E-2</v>
      </c>
      <c r="R71" s="89">
        <f t="shared" ca="1" si="24"/>
        <v>28190690.16532011</v>
      </c>
    </row>
    <row r="72" spans="1:18">
      <c r="A72" s="40" t="s">
        <v>139</v>
      </c>
      <c r="B72" s="11" t="s">
        <v>336</v>
      </c>
      <c r="C72" s="86">
        <v>431</v>
      </c>
      <c r="D72" s="34">
        <v>-1.8223234599999999E-2</v>
      </c>
      <c r="E72" s="84">
        <v>6184769.2895233398</v>
      </c>
      <c r="F72" s="35"/>
      <c r="G72" s="52" t="str">
        <f ca="1">IFERROR(OFFSET(INDIRECT($H$3 &amp; "!A179"), 16, 0), "")</f>
        <v>휴먼스케이프</v>
      </c>
      <c r="H72" s="39">
        <f t="shared" ca="1" si="25"/>
        <v>158</v>
      </c>
      <c r="I72" s="70">
        <f t="shared" ca="1" si="26"/>
        <v>-5.3892215600000001E-2</v>
      </c>
      <c r="J72" s="79">
        <f t="shared" ca="1" si="22"/>
        <v>49040155.593372203</v>
      </c>
      <c r="K72" s="52" t="str">
        <f ca="1">IFERROR(OFFSET(INDIRECT($H$3 &amp; "!A125"), 16, 0), "")</f>
        <v>스테이터스네트워크토큰</v>
      </c>
      <c r="L72" s="39">
        <f t="shared" ca="1" si="18"/>
        <v>40.200000000000003</v>
      </c>
      <c r="M72" s="70">
        <f t="shared" ca="1" si="19"/>
        <v>-3.8277512E-2</v>
      </c>
      <c r="N72" s="79">
        <f t="shared" ca="1" si="23"/>
        <v>150388748.69252172</v>
      </c>
      <c r="O72" s="52" t="str">
        <f ca="1">IFERROR(OFFSET(INDIRECT($H$3 &amp; "!A152"), 16, 0), "")</f>
        <v>아이콘</v>
      </c>
      <c r="P72" s="39">
        <f t="shared" ca="1" si="20"/>
        <v>335</v>
      </c>
      <c r="Q72" s="70">
        <f t="shared" ca="1" si="21"/>
        <v>-3.7356321800000002E-2</v>
      </c>
      <c r="R72" s="79">
        <f t="shared" ca="1" si="24"/>
        <v>13756784.288343299</v>
      </c>
    </row>
    <row r="73" spans="1:18">
      <c r="A73" s="40" t="s">
        <v>222</v>
      </c>
      <c r="B73" s="11" t="s">
        <v>223</v>
      </c>
      <c r="C73" s="86">
        <v>314</v>
      </c>
      <c r="D73" s="34">
        <v>-1.8749999999999999E-2</v>
      </c>
      <c r="E73" s="84">
        <v>9261930.7022028901</v>
      </c>
      <c r="F73" s="35"/>
      <c r="G73" s="52" t="str">
        <f ca="1">IFERROR(OFFSET(INDIRECT($H$3 &amp; "!A179"), 17, 0), "")</f>
        <v>가스</v>
      </c>
      <c r="H73" s="39">
        <f t="shared" ca="1" si="25"/>
        <v>4580</v>
      </c>
      <c r="I73" s="70">
        <f t="shared" ca="1" si="26"/>
        <v>-5.7613168700000002E-2</v>
      </c>
      <c r="J73" s="79">
        <f t="shared" ca="1" si="22"/>
        <v>2893494.8959110798</v>
      </c>
      <c r="K73" s="52" t="str">
        <f ca="1">IFERROR(OFFSET(INDIRECT($H$3 &amp; "!A125"), 17, 0), "")</f>
        <v>오브스</v>
      </c>
      <c r="L73" s="39">
        <f t="shared" ca="1" si="18"/>
        <v>47.1</v>
      </c>
      <c r="M73" s="70">
        <f t="shared" ca="1" si="19"/>
        <v>-3.8775510200000002E-2</v>
      </c>
      <c r="N73" s="79">
        <f t="shared" ca="1" si="23"/>
        <v>139317467.46827576</v>
      </c>
      <c r="O73" s="52" t="str">
        <f ca="1">IFERROR(OFFSET(INDIRECT($H$3 &amp; "!A152"), 17, 0), "")</f>
        <v>온톨로지</v>
      </c>
      <c r="P73" s="39">
        <f t="shared" ca="1" si="20"/>
        <v>335</v>
      </c>
      <c r="Q73" s="70">
        <f t="shared" ca="1" si="21"/>
        <v>-4.0114613200000003E-2</v>
      </c>
      <c r="R73" s="79">
        <f t="shared" ca="1" si="24"/>
        <v>7926135.0923579698</v>
      </c>
    </row>
    <row r="74" spans="1:18">
      <c r="A74" s="40" t="s">
        <v>110</v>
      </c>
      <c r="B74" s="11" t="s">
        <v>111</v>
      </c>
      <c r="C74" s="86">
        <v>930</v>
      </c>
      <c r="D74" s="34">
        <v>-1.8987341800000002E-2</v>
      </c>
      <c r="E74" s="84">
        <v>16624066.38113513</v>
      </c>
      <c r="F74" s="35"/>
      <c r="G74" s="52" t="str">
        <f ca="1">IFERROR(OFFSET(INDIRECT($H$3 &amp; "!A179"), 18, 0), "")</f>
        <v>네오</v>
      </c>
      <c r="H74" s="39">
        <f t="shared" ca="1" si="25"/>
        <v>16410</v>
      </c>
      <c r="I74" s="70">
        <f t="shared" ca="1" si="26"/>
        <v>-6.7083570199999998E-2</v>
      </c>
      <c r="J74" s="79">
        <f t="shared" ca="1" si="22"/>
        <v>1598125.09635138</v>
      </c>
      <c r="K74" s="52" t="str">
        <f ca="1">IFERROR(OFFSET(INDIRECT($H$3 &amp; "!A125"), 18, 0), "")</f>
        <v>앵커</v>
      </c>
      <c r="L74" s="39">
        <f t="shared" ca="1" si="18"/>
        <v>53.5</v>
      </c>
      <c r="M74" s="70">
        <f t="shared" ca="1" si="19"/>
        <v>-4.97335702E-2</v>
      </c>
      <c r="N74" s="79">
        <f t="shared" ca="1" si="23"/>
        <v>756713658.27155209</v>
      </c>
      <c r="O74" s="52" t="str">
        <f ca="1">IFERROR(OFFSET(INDIRECT($H$3 &amp; "!A152"), 18, 0), "")</f>
        <v>보라</v>
      </c>
      <c r="P74" s="39">
        <f t="shared" ca="1" si="20"/>
        <v>288</v>
      </c>
      <c r="Q74" s="70">
        <f t="shared" ca="1" si="21"/>
        <v>-4.6357615900000003E-2</v>
      </c>
      <c r="R74" s="79">
        <f t="shared" ca="1" si="24"/>
        <v>59012103.086027943</v>
      </c>
    </row>
    <row r="75" spans="1:18" ht="17.25" thickBot="1">
      <c r="A75" s="40" t="s">
        <v>337</v>
      </c>
      <c r="B75" s="11" t="s">
        <v>338</v>
      </c>
      <c r="C75" s="86">
        <v>4.5900000000000003E-2</v>
      </c>
      <c r="D75" s="34">
        <v>-1.9230769200000001E-2</v>
      </c>
      <c r="E75" s="84">
        <v>88865858402.019012</v>
      </c>
      <c r="F75" s="35"/>
      <c r="G75" s="53" t="str">
        <f ca="1">IFERROR(OFFSET(INDIRECT($H$3 &amp; "!A179"), 19, 0), "")</f>
        <v>넴</v>
      </c>
      <c r="H75" s="37">
        <f t="shared" ca="1" si="25"/>
        <v>69</v>
      </c>
      <c r="I75" s="72">
        <f t="shared" ca="1" si="26"/>
        <v>-0.1198979592</v>
      </c>
      <c r="J75" s="80">
        <f t="shared" ca="1" si="22"/>
        <v>2079439141.4146214</v>
      </c>
      <c r="K75" s="53" t="str">
        <f ca="1">IFERROR(OFFSET(INDIRECT($H$3 &amp; "!A125"), 19, 0), "")</f>
        <v>넴</v>
      </c>
      <c r="L75" s="37">
        <f t="shared" ca="1" si="18"/>
        <v>69</v>
      </c>
      <c r="M75" s="72">
        <f t="shared" ca="1" si="19"/>
        <v>-0.1198979592</v>
      </c>
      <c r="N75" s="80">
        <f t="shared" ca="1" si="23"/>
        <v>2079439141.4146214</v>
      </c>
      <c r="O75" s="53" t="str">
        <f ca="1">IFERROR(OFFSET(INDIRECT($H$3 &amp; "!A152"), 19, 0), "")</f>
        <v>휴먼스케이프</v>
      </c>
      <c r="P75" s="37">
        <f t="shared" ca="1" si="20"/>
        <v>158</v>
      </c>
      <c r="Q75" s="72">
        <f t="shared" ca="1" si="21"/>
        <v>-5.3892215600000001E-2</v>
      </c>
      <c r="R75" s="80">
        <f t="shared" ca="1" si="24"/>
        <v>49040155.593372203</v>
      </c>
    </row>
    <row r="76" spans="1:18">
      <c r="A76" s="40" t="s">
        <v>339</v>
      </c>
      <c r="B76" s="11" t="s">
        <v>340</v>
      </c>
      <c r="C76" s="86">
        <v>1015</v>
      </c>
      <c r="D76" s="34">
        <v>-1.93236715E-2</v>
      </c>
      <c r="E76" s="84">
        <v>4555705.9293432403</v>
      </c>
      <c r="F76" s="35"/>
      <c r="G76" s="35"/>
      <c r="H76" s="35"/>
      <c r="I76" s="35"/>
    </row>
    <row r="77" spans="1:18">
      <c r="A77" s="40" t="s">
        <v>63</v>
      </c>
      <c r="B77" s="11" t="s">
        <v>64</v>
      </c>
      <c r="C77" s="86">
        <v>15.1</v>
      </c>
      <c r="D77" s="34">
        <v>-1.9480519500000001E-2</v>
      </c>
      <c r="E77" s="84">
        <v>109574868.50750466</v>
      </c>
      <c r="F77" s="35"/>
      <c r="G77" s="35"/>
      <c r="H77" s="35"/>
      <c r="I77" s="35"/>
    </row>
    <row r="78" spans="1:18">
      <c r="A78" s="40" t="s">
        <v>341</v>
      </c>
      <c r="B78" s="11" t="s">
        <v>342</v>
      </c>
      <c r="C78" s="86">
        <v>104750</v>
      </c>
      <c r="D78" s="34">
        <v>-2.0112254400000001E-2</v>
      </c>
      <c r="E78" s="84">
        <v>23355.785593929999</v>
      </c>
      <c r="F78" s="35"/>
      <c r="G78" s="35"/>
      <c r="H78" s="35"/>
      <c r="I78" s="35"/>
    </row>
    <row r="79" spans="1:18">
      <c r="A79" s="40" t="s">
        <v>198</v>
      </c>
      <c r="B79" s="11" t="s">
        <v>199</v>
      </c>
      <c r="C79" s="86">
        <v>423</v>
      </c>
      <c r="D79" s="34">
        <v>-2.08333333E-2</v>
      </c>
      <c r="E79" s="84">
        <v>6438206.9370870898</v>
      </c>
      <c r="F79" s="35"/>
      <c r="G79" s="35"/>
      <c r="H79" s="35"/>
      <c r="I79" s="35"/>
    </row>
    <row r="80" spans="1:18">
      <c r="A80" s="40" t="s">
        <v>125</v>
      </c>
      <c r="B80" s="11" t="s">
        <v>126</v>
      </c>
      <c r="C80" s="86">
        <v>42.3</v>
      </c>
      <c r="D80" s="34">
        <v>-2.08333333E-2</v>
      </c>
      <c r="E80" s="84">
        <v>123094314.02280647</v>
      </c>
      <c r="F80" s="35"/>
      <c r="G80" s="35"/>
      <c r="H80" s="35"/>
      <c r="I80" s="35"/>
    </row>
    <row r="81" spans="1:9">
      <c r="A81" s="40" t="s">
        <v>188</v>
      </c>
      <c r="B81" s="11" t="s">
        <v>189</v>
      </c>
      <c r="C81" s="86">
        <v>1580</v>
      </c>
      <c r="D81" s="34">
        <v>-2.1671826599999999E-2</v>
      </c>
      <c r="E81" s="84">
        <v>5041711.0028890604</v>
      </c>
      <c r="F81" s="35"/>
      <c r="G81" s="35"/>
      <c r="H81" s="35"/>
      <c r="I81" s="35"/>
    </row>
    <row r="82" spans="1:9">
      <c r="A82" s="40" t="s">
        <v>343</v>
      </c>
      <c r="B82" s="11" t="s">
        <v>344</v>
      </c>
      <c r="C82" s="86">
        <v>16100</v>
      </c>
      <c r="D82" s="34">
        <v>-2.1871202900000001E-2</v>
      </c>
      <c r="E82" s="84">
        <v>1794396.5190047501</v>
      </c>
      <c r="F82" s="35"/>
      <c r="G82" s="35"/>
      <c r="H82" s="35"/>
      <c r="I82" s="35"/>
    </row>
    <row r="83" spans="1:9">
      <c r="A83" s="40" t="s">
        <v>140</v>
      </c>
      <c r="B83" s="11" t="s">
        <v>141</v>
      </c>
      <c r="C83" s="86">
        <v>6.02</v>
      </c>
      <c r="D83" s="34">
        <v>-2.2727272699999999E-2</v>
      </c>
      <c r="E83" s="84">
        <v>1031632843.0687228</v>
      </c>
      <c r="F83" s="35"/>
      <c r="G83" s="35"/>
      <c r="H83" s="35"/>
      <c r="I83" s="35"/>
    </row>
    <row r="84" spans="1:9">
      <c r="A84" s="40" t="s">
        <v>127</v>
      </c>
      <c r="B84" s="11" t="s">
        <v>128</v>
      </c>
      <c r="C84" s="86">
        <v>8580</v>
      </c>
      <c r="D84" s="34">
        <v>-2.2779043299999999E-2</v>
      </c>
      <c r="E84" s="84">
        <v>271096.64259325998</v>
      </c>
      <c r="F84" s="35"/>
      <c r="G84" s="35"/>
      <c r="H84" s="35"/>
      <c r="I84" s="35"/>
    </row>
    <row r="85" spans="1:9">
      <c r="A85" s="40" t="s">
        <v>148</v>
      </c>
      <c r="B85" s="11" t="s">
        <v>149</v>
      </c>
      <c r="C85" s="86">
        <v>628</v>
      </c>
      <c r="D85" s="34">
        <v>-2.33281493E-2</v>
      </c>
      <c r="E85" s="84">
        <v>2936428.9743726701</v>
      </c>
      <c r="F85" s="35"/>
      <c r="G85" s="35"/>
      <c r="H85" s="35"/>
      <c r="I85" s="35"/>
    </row>
    <row r="86" spans="1:9">
      <c r="A86" s="40" t="s">
        <v>142</v>
      </c>
      <c r="B86" s="11" t="s">
        <v>143</v>
      </c>
      <c r="C86" s="86">
        <v>6.63</v>
      </c>
      <c r="D86" s="34">
        <v>-2.3564064799999999E-2</v>
      </c>
      <c r="E86" s="84">
        <v>252013066.06666037</v>
      </c>
      <c r="F86" s="35"/>
      <c r="G86" s="35"/>
      <c r="H86" s="35"/>
      <c r="I86" s="35"/>
    </row>
    <row r="87" spans="1:9">
      <c r="A87" s="40" t="s">
        <v>121</v>
      </c>
      <c r="B87" s="11" t="s">
        <v>122</v>
      </c>
      <c r="C87" s="86">
        <v>36.6</v>
      </c>
      <c r="D87" s="34">
        <v>-2.4E-2</v>
      </c>
      <c r="E87" s="84">
        <v>116534677.83615109</v>
      </c>
      <c r="F87" s="35"/>
      <c r="G87" s="35"/>
      <c r="H87" s="35"/>
      <c r="I87" s="35"/>
    </row>
    <row r="88" spans="1:9">
      <c r="A88" s="40" t="s">
        <v>70</v>
      </c>
      <c r="B88" s="11" t="s">
        <v>71</v>
      </c>
      <c r="C88" s="86">
        <v>15.5</v>
      </c>
      <c r="D88" s="34">
        <v>-2.5157232700000001E-2</v>
      </c>
      <c r="E88" s="84">
        <v>100173346.78211758</v>
      </c>
      <c r="F88" s="35"/>
      <c r="G88" s="35"/>
      <c r="H88" s="35"/>
      <c r="I88" s="35"/>
    </row>
    <row r="89" spans="1:9">
      <c r="A89" s="40" t="s">
        <v>72</v>
      </c>
      <c r="B89" s="11" t="s">
        <v>73</v>
      </c>
      <c r="C89" s="86">
        <v>16620</v>
      </c>
      <c r="D89" s="34">
        <v>-2.57913247E-2</v>
      </c>
      <c r="E89" s="84">
        <v>223586.37874078</v>
      </c>
      <c r="F89" s="35"/>
      <c r="G89" s="35"/>
      <c r="H89" s="35"/>
      <c r="I89" s="35"/>
    </row>
    <row r="90" spans="1:9">
      <c r="A90" s="40" t="s">
        <v>208</v>
      </c>
      <c r="B90" s="11" t="s">
        <v>209</v>
      </c>
      <c r="C90" s="86">
        <v>148</v>
      </c>
      <c r="D90" s="34">
        <v>-2.6315789499999999E-2</v>
      </c>
      <c r="E90" s="84">
        <v>64782059.785865448</v>
      </c>
      <c r="F90" s="35"/>
      <c r="G90" s="35"/>
      <c r="H90" s="35"/>
      <c r="I90" s="35"/>
    </row>
    <row r="91" spans="1:9">
      <c r="A91" s="40" t="s">
        <v>345</v>
      </c>
      <c r="B91" s="11" t="s">
        <v>346</v>
      </c>
      <c r="C91" s="86">
        <v>331</v>
      </c>
      <c r="D91" s="34">
        <v>-2.6470588199999999E-2</v>
      </c>
      <c r="E91" s="84">
        <v>10788846.931338221</v>
      </c>
      <c r="F91" s="35"/>
      <c r="G91" s="35"/>
      <c r="H91" s="35"/>
      <c r="I91" s="35"/>
    </row>
    <row r="92" spans="1:9">
      <c r="A92" s="40" t="s">
        <v>162</v>
      </c>
      <c r="B92" s="11" t="s">
        <v>163</v>
      </c>
      <c r="C92" s="86">
        <v>12060</v>
      </c>
      <c r="D92" s="34">
        <v>-2.74193548E-2</v>
      </c>
      <c r="E92" s="84">
        <v>377259.71018991998</v>
      </c>
      <c r="F92" s="35"/>
      <c r="G92" s="35"/>
      <c r="H92" s="35"/>
      <c r="I92" s="35"/>
    </row>
    <row r="93" spans="1:9">
      <c r="A93" s="40" t="s">
        <v>347</v>
      </c>
      <c r="B93" s="11" t="s">
        <v>348</v>
      </c>
      <c r="C93" s="86">
        <v>23240</v>
      </c>
      <c r="D93" s="34">
        <v>-2.76150628E-2</v>
      </c>
      <c r="E93" s="84">
        <v>251216.42631245</v>
      </c>
      <c r="F93" s="35"/>
      <c r="G93" s="35"/>
      <c r="H93" s="35"/>
      <c r="I93" s="35"/>
    </row>
    <row r="94" spans="1:9">
      <c r="A94" s="40" t="s">
        <v>226</v>
      </c>
      <c r="B94" s="11" t="s">
        <v>227</v>
      </c>
      <c r="C94" s="86">
        <v>64.8</v>
      </c>
      <c r="D94" s="34">
        <v>-2.8485757099999998E-2</v>
      </c>
      <c r="E94" s="84">
        <v>110408109.27523087</v>
      </c>
      <c r="F94" s="35"/>
      <c r="G94" s="35"/>
      <c r="H94" s="35"/>
      <c r="I94" s="35"/>
    </row>
    <row r="95" spans="1:9">
      <c r="A95" s="40" t="s">
        <v>349</v>
      </c>
      <c r="B95" s="11" t="s">
        <v>350</v>
      </c>
      <c r="C95" s="86">
        <v>3030</v>
      </c>
      <c r="D95" s="34">
        <v>-2.88461538E-2</v>
      </c>
      <c r="E95" s="84">
        <v>1804079.6933023201</v>
      </c>
      <c r="F95" s="35"/>
      <c r="G95" s="35"/>
      <c r="H95" s="35"/>
      <c r="I95" s="35"/>
    </row>
    <row r="96" spans="1:9">
      <c r="A96" s="40" t="s">
        <v>351</v>
      </c>
      <c r="B96" s="11" t="s">
        <v>352</v>
      </c>
      <c r="C96" s="86">
        <v>199</v>
      </c>
      <c r="D96" s="34">
        <v>-2.92682927E-2</v>
      </c>
      <c r="E96" s="84">
        <v>17627477.747375831</v>
      </c>
      <c r="F96" s="35"/>
      <c r="G96" s="35"/>
      <c r="H96" s="35"/>
      <c r="I96" s="35"/>
    </row>
    <row r="97" spans="1:9">
      <c r="A97" s="40" t="s">
        <v>78</v>
      </c>
      <c r="B97" s="11" t="s">
        <v>79</v>
      </c>
      <c r="C97" s="86">
        <v>394</v>
      </c>
      <c r="D97" s="34">
        <v>-2.9556650199999999E-2</v>
      </c>
      <c r="E97" s="84">
        <v>7466111.6844329899</v>
      </c>
      <c r="F97" s="35"/>
      <c r="G97" s="35"/>
      <c r="H97" s="35"/>
      <c r="I97" s="35"/>
    </row>
    <row r="98" spans="1:9">
      <c r="A98" s="40" t="s">
        <v>236</v>
      </c>
      <c r="B98" s="11" t="s">
        <v>237</v>
      </c>
      <c r="C98" s="86">
        <v>39.4</v>
      </c>
      <c r="D98" s="34">
        <v>-2.9556650199999999E-2</v>
      </c>
      <c r="E98" s="84">
        <v>50347872.870927133</v>
      </c>
      <c r="F98" s="35"/>
      <c r="G98" s="35"/>
      <c r="H98" s="35"/>
      <c r="I98" s="35"/>
    </row>
    <row r="99" spans="1:9">
      <c r="A99" s="40" t="s">
        <v>212</v>
      </c>
      <c r="B99" s="11" t="s">
        <v>213</v>
      </c>
      <c r="C99" s="86">
        <v>687</v>
      </c>
      <c r="D99" s="34">
        <v>-3.1029619200000001E-2</v>
      </c>
      <c r="E99" s="84">
        <v>10031787.28147185</v>
      </c>
      <c r="F99" s="35"/>
      <c r="G99" s="35"/>
      <c r="H99" s="35"/>
      <c r="I99" s="35"/>
    </row>
    <row r="100" spans="1:9">
      <c r="A100" s="40" t="s">
        <v>67</v>
      </c>
      <c r="B100" s="11" t="s">
        <v>68</v>
      </c>
      <c r="C100" s="86">
        <v>639</v>
      </c>
      <c r="D100" s="34">
        <v>-3.6199095000000001E-2</v>
      </c>
      <c r="E100" s="84">
        <v>8839395.4664429706</v>
      </c>
      <c r="F100" s="35"/>
      <c r="G100" s="35"/>
      <c r="H100" s="35"/>
      <c r="I100" s="35"/>
    </row>
    <row r="101" spans="1:9">
      <c r="A101" s="40" t="s">
        <v>214</v>
      </c>
      <c r="B101" s="11" t="s">
        <v>215</v>
      </c>
      <c r="C101" s="86">
        <v>553</v>
      </c>
      <c r="D101" s="34">
        <v>-3.65853659E-2</v>
      </c>
      <c r="E101" s="84">
        <v>28190690.16532011</v>
      </c>
      <c r="F101" s="35"/>
      <c r="G101" s="35"/>
      <c r="H101" s="35"/>
      <c r="I101" s="35"/>
    </row>
    <row r="102" spans="1:9">
      <c r="A102" s="40" t="s">
        <v>104</v>
      </c>
      <c r="B102" s="11" t="s">
        <v>105</v>
      </c>
      <c r="C102" s="86">
        <v>335</v>
      </c>
      <c r="D102" s="34">
        <v>-3.7356321800000002E-2</v>
      </c>
      <c r="E102" s="84">
        <v>13756784.288343299</v>
      </c>
      <c r="F102" s="35"/>
      <c r="G102" s="35"/>
      <c r="H102" s="35"/>
      <c r="I102" s="35"/>
    </row>
    <row r="103" spans="1:9">
      <c r="A103" s="40" t="s">
        <v>133</v>
      </c>
      <c r="B103" s="11" t="s">
        <v>134</v>
      </c>
      <c r="C103" s="86">
        <v>2295</v>
      </c>
      <c r="D103" s="34">
        <v>-3.7735849100000003E-2</v>
      </c>
      <c r="E103" s="84">
        <v>1620370.0290272699</v>
      </c>
      <c r="F103" s="35"/>
      <c r="G103" s="35"/>
      <c r="H103" s="35"/>
      <c r="I103" s="35"/>
    </row>
    <row r="104" spans="1:9">
      <c r="A104" s="40" t="s">
        <v>154</v>
      </c>
      <c r="B104" s="11" t="s">
        <v>155</v>
      </c>
      <c r="C104" s="86">
        <v>40.200000000000003</v>
      </c>
      <c r="D104" s="34">
        <v>-3.8277512E-2</v>
      </c>
      <c r="E104" s="84">
        <v>150388748.69252172</v>
      </c>
      <c r="F104" s="35"/>
      <c r="G104" s="35"/>
      <c r="H104" s="35"/>
      <c r="I104" s="35"/>
    </row>
    <row r="105" spans="1:9">
      <c r="A105" s="40" t="s">
        <v>129</v>
      </c>
      <c r="B105" s="11" t="s">
        <v>130</v>
      </c>
      <c r="C105" s="86">
        <v>1125</v>
      </c>
      <c r="D105" s="34">
        <v>-3.8461538500000003E-2</v>
      </c>
      <c r="E105" s="84">
        <v>4745047.2301752698</v>
      </c>
      <c r="F105" s="35"/>
      <c r="G105" s="35"/>
      <c r="H105" s="35"/>
      <c r="I105" s="35"/>
    </row>
    <row r="106" spans="1:9">
      <c r="A106" s="40" t="s">
        <v>123</v>
      </c>
      <c r="B106" s="11" t="s">
        <v>124</v>
      </c>
      <c r="C106" s="86">
        <v>47.1</v>
      </c>
      <c r="D106" s="34">
        <v>-3.8775510200000002E-2</v>
      </c>
      <c r="E106" s="84">
        <v>139317467.46827576</v>
      </c>
      <c r="F106" s="35"/>
      <c r="G106" s="35"/>
      <c r="H106" s="35"/>
      <c r="I106" s="35"/>
    </row>
    <row r="107" spans="1:9">
      <c r="A107" s="40" t="s">
        <v>100</v>
      </c>
      <c r="B107" s="11" t="s">
        <v>101</v>
      </c>
      <c r="C107" s="86">
        <v>335</v>
      </c>
      <c r="D107" s="34">
        <v>-4.0114613200000003E-2</v>
      </c>
      <c r="E107" s="84">
        <v>7926135.0923579698</v>
      </c>
      <c r="F107" s="35"/>
      <c r="G107" s="35"/>
      <c r="H107" s="35"/>
      <c r="I107" s="35"/>
    </row>
    <row r="108" spans="1:9">
      <c r="A108" s="40" t="s">
        <v>160</v>
      </c>
      <c r="B108" s="11" t="s">
        <v>161</v>
      </c>
      <c r="C108" s="86">
        <v>1155</v>
      </c>
      <c r="D108" s="34">
        <v>-4.5454545499999999E-2</v>
      </c>
      <c r="E108" s="84">
        <v>97067320.68293114</v>
      </c>
      <c r="F108" s="35"/>
      <c r="G108" s="35"/>
      <c r="H108" s="35"/>
      <c r="I108" s="35"/>
    </row>
    <row r="109" spans="1:9">
      <c r="A109" s="40" t="s">
        <v>158</v>
      </c>
      <c r="B109" s="11" t="s">
        <v>159</v>
      </c>
      <c r="C109" s="86">
        <v>288</v>
      </c>
      <c r="D109" s="34">
        <v>-4.6357615900000003E-2</v>
      </c>
      <c r="E109" s="41">
        <v>59012103.086027943</v>
      </c>
    </row>
    <row r="110" spans="1:9">
      <c r="A110" s="40" t="s">
        <v>137</v>
      </c>
      <c r="B110" s="11" t="s">
        <v>138</v>
      </c>
      <c r="C110" s="86">
        <v>53.5</v>
      </c>
      <c r="D110" s="34">
        <v>-4.97335702E-2</v>
      </c>
      <c r="E110" s="41">
        <v>756713658.27155209</v>
      </c>
    </row>
    <row r="111" spans="1:9">
      <c r="A111" s="40" t="s">
        <v>171</v>
      </c>
      <c r="B111" s="11" t="s">
        <v>172</v>
      </c>
      <c r="C111" s="86">
        <v>4410</v>
      </c>
      <c r="D111" s="34">
        <v>-5.1612903199999997E-2</v>
      </c>
      <c r="E111" s="41">
        <v>1174314.1296940499</v>
      </c>
    </row>
    <row r="112" spans="1:9">
      <c r="A112" s="40" t="s">
        <v>204</v>
      </c>
      <c r="B112" s="11" t="s">
        <v>205</v>
      </c>
      <c r="C112" s="86">
        <v>158</v>
      </c>
      <c r="D112" s="34">
        <v>-5.3892215600000001E-2</v>
      </c>
      <c r="E112" s="41">
        <v>49040155.593372203</v>
      </c>
    </row>
    <row r="113" spans="1:5">
      <c r="A113" s="40" t="s">
        <v>135</v>
      </c>
      <c r="B113" s="11" t="s">
        <v>136</v>
      </c>
      <c r="C113" s="86">
        <v>4580</v>
      </c>
      <c r="D113" s="34">
        <v>-5.7613168700000002E-2</v>
      </c>
      <c r="E113" s="41">
        <v>2893494.8959110798</v>
      </c>
    </row>
    <row r="114" spans="1:5">
      <c r="A114" s="40" t="s">
        <v>61</v>
      </c>
      <c r="B114" s="11" t="s">
        <v>62</v>
      </c>
      <c r="C114" s="86">
        <v>16410</v>
      </c>
      <c r="D114" s="34">
        <v>-6.7083570199999998E-2</v>
      </c>
      <c r="E114" s="41">
        <v>1598125.09635138</v>
      </c>
    </row>
    <row r="115" spans="1:5">
      <c r="A115" s="40" t="s">
        <v>55</v>
      </c>
      <c r="B115" s="11" t="s">
        <v>56</v>
      </c>
      <c r="C115" s="86">
        <v>69</v>
      </c>
      <c r="D115" s="34">
        <v>-0.1198979592</v>
      </c>
      <c r="E115" s="41">
        <v>2079439141.4146214</v>
      </c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B199" s="1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68"/>
    <col min="11" max="11" width="17.375" customWidth="1"/>
    <col min="12" max="12" width="17.5" bestFit="1" customWidth="1"/>
    <col min="14" max="14" width="9" style="68"/>
    <col min="15" max="15" width="17.375" customWidth="1"/>
    <col min="16" max="16" width="17.5" bestFit="1" customWidth="1"/>
    <col min="18" max="18" width="9" style="68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224</v>
      </c>
      <c r="B2" s="11" t="s">
        <v>225</v>
      </c>
      <c r="C2" s="86">
        <v>81.7</v>
      </c>
      <c r="D2" s="34">
        <v>5.8290155400000002E-2</v>
      </c>
      <c r="E2" s="84">
        <v>1424000269.6102948</v>
      </c>
      <c r="F2" s="35"/>
      <c r="G2" s="50"/>
      <c r="H2" s="35"/>
      <c r="I2" s="35"/>
    </row>
    <row r="3" spans="1:18" ht="17.25" thickBot="1">
      <c r="A3" s="40" t="s">
        <v>82</v>
      </c>
      <c r="B3" s="11" t="s">
        <v>83</v>
      </c>
      <c r="C3" s="86">
        <v>1575</v>
      </c>
      <c r="D3" s="34">
        <v>0.05</v>
      </c>
      <c r="E3" s="84">
        <v>21575071.012892101</v>
      </c>
      <c r="F3" s="35"/>
      <c r="G3" s="196" t="s">
        <v>247</v>
      </c>
      <c r="H3" s="208" t="s">
        <v>353</v>
      </c>
      <c r="I3" s="208"/>
      <c r="K3" s="135" t="s">
        <v>34</v>
      </c>
      <c r="L3" s="136"/>
      <c r="M3" s="136"/>
      <c r="N3" s="137"/>
      <c r="O3" s="135" t="s">
        <v>248</v>
      </c>
      <c r="P3" s="136"/>
      <c r="Q3" s="136"/>
      <c r="R3" s="137"/>
    </row>
    <row r="4" spans="1:18" ht="17.25" thickBot="1">
      <c r="A4" s="40" t="s">
        <v>206</v>
      </c>
      <c r="B4" s="11" t="s">
        <v>207</v>
      </c>
      <c r="C4" s="86">
        <v>101</v>
      </c>
      <c r="D4" s="34">
        <v>4.6632124400000002E-2</v>
      </c>
      <c r="E4" s="84">
        <v>122337512.81191894</v>
      </c>
      <c r="F4" s="35"/>
      <c r="G4" s="197"/>
      <c r="H4" s="209"/>
      <c r="I4" s="209"/>
      <c r="K4" s="200" t="s">
        <v>54</v>
      </c>
      <c r="L4" s="212">
        <f ca="1">NOW()</f>
        <v>44992.000794791667</v>
      </c>
      <c r="M4" s="213"/>
      <c r="N4" s="214"/>
      <c r="O4" s="203" t="s">
        <v>54</v>
      </c>
      <c r="P4" s="212">
        <f ca="1">NOW()</f>
        <v>44992.000794791667</v>
      </c>
      <c r="Q4" s="213"/>
      <c r="R4" s="214"/>
    </row>
    <row r="5" spans="1:18" ht="17.25" thickBot="1">
      <c r="A5" s="40" t="s">
        <v>190</v>
      </c>
      <c r="B5" s="11" t="s">
        <v>191</v>
      </c>
      <c r="C5" s="86">
        <v>94.2</v>
      </c>
      <c r="D5" s="34">
        <v>4.08839779E-2</v>
      </c>
      <c r="E5" s="84">
        <v>784644368.05512321</v>
      </c>
      <c r="F5" s="35"/>
      <c r="K5" s="197"/>
      <c r="L5" s="36" t="s">
        <v>57</v>
      </c>
      <c r="M5" s="36" t="s">
        <v>58</v>
      </c>
      <c r="N5" s="64" t="s">
        <v>251</v>
      </c>
      <c r="O5" s="152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220</v>
      </c>
      <c r="B6" s="11" t="s">
        <v>221</v>
      </c>
      <c r="C6" s="86">
        <v>30.7</v>
      </c>
      <c r="D6" s="34">
        <v>4.0677966099999997E-2</v>
      </c>
      <c r="E6" s="84">
        <v>3721295736.9264164</v>
      </c>
      <c r="F6" s="35"/>
      <c r="G6" s="135" t="s">
        <v>52</v>
      </c>
      <c r="H6" s="136"/>
      <c r="I6" s="137"/>
      <c r="K6" s="51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69" t="str">
        <f t="shared" ref="M6:M25" ca="1" si="1">_xlfn.IFNA(VLOOKUP(K6, $B$2:$D$200, 3, FALSE), "")</f>
        <v/>
      </c>
      <c r="N6" s="78" t="str">
        <f ca="1">_xlfn.IFNA(VLOOKUP(K6, $B$2:$E$200, 4, FALSE), "")</f>
        <v/>
      </c>
      <c r="O6" s="66" t="s">
        <v>225</v>
      </c>
      <c r="P6" s="38">
        <f t="shared" ref="P6:P25" si="2">_xlfn.IFNA(VLOOKUP(O6, $B$2:$D$200, 2, FALSE), "")</f>
        <v>81.7</v>
      </c>
      <c r="Q6" s="69">
        <f t="shared" ref="Q6:Q25" si="3">_xlfn.IFNA(VLOOKUP(O6, $B$2:$D$200, 3, FALSE), "")</f>
        <v>5.8290155400000002E-2</v>
      </c>
      <c r="R6" s="78">
        <f>_xlfn.IFNA(VLOOKUP(O6, $B$2:$E$200, 4, FALSE), "")</f>
        <v>1424000269.6102948</v>
      </c>
    </row>
    <row r="7" spans="1:18">
      <c r="A7" s="40" t="s">
        <v>156</v>
      </c>
      <c r="B7" s="11" t="s">
        <v>157</v>
      </c>
      <c r="C7" s="86">
        <v>371</v>
      </c>
      <c r="D7" s="34">
        <v>3.0555555599999999E-2</v>
      </c>
      <c r="E7" s="84">
        <v>32178409.653008431</v>
      </c>
      <c r="F7" s="35"/>
      <c r="G7" s="144" t="s">
        <v>36</v>
      </c>
      <c r="H7" s="145"/>
      <c r="I7" s="146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81" t="s">
        <v>83</v>
      </c>
      <c r="P7" s="39">
        <f t="shared" si="2"/>
        <v>1575</v>
      </c>
      <c r="Q7" s="70">
        <f t="shared" si="3"/>
        <v>0.05</v>
      </c>
      <c r="R7" s="79">
        <f t="shared" ref="R7:R25" si="5">_xlfn.IFNA(VLOOKUP(O7, $B$2:$E$200, 4, FALSE), "")</f>
        <v>21575071.012892101</v>
      </c>
    </row>
    <row r="8" spans="1:18" ht="17.25" thickBot="1">
      <c r="A8" s="40" t="s">
        <v>166</v>
      </c>
      <c r="B8" s="11" t="s">
        <v>167</v>
      </c>
      <c r="C8" s="86">
        <v>291</v>
      </c>
      <c r="D8" s="34">
        <v>2.8268551199999999E-2</v>
      </c>
      <c r="E8" s="84">
        <v>148671900.50679392</v>
      </c>
      <c r="F8" s="35"/>
      <c r="G8" s="150"/>
      <c r="H8" s="151"/>
      <c r="I8" s="152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81" t="s">
        <v>207</v>
      </c>
      <c r="P8" s="39">
        <f t="shared" si="2"/>
        <v>101</v>
      </c>
      <c r="Q8" s="70">
        <f t="shared" si="3"/>
        <v>4.6632124400000002E-2</v>
      </c>
      <c r="R8" s="79">
        <f t="shared" si="5"/>
        <v>122337512.81191894</v>
      </c>
    </row>
    <row r="9" spans="1:18" ht="17.25" thickBot="1">
      <c r="A9" s="40" t="s">
        <v>115</v>
      </c>
      <c r="B9" s="11" t="s">
        <v>116</v>
      </c>
      <c r="C9" s="86">
        <v>1700</v>
      </c>
      <c r="D9" s="34">
        <v>2.7190332300000002E-2</v>
      </c>
      <c r="E9" s="84">
        <v>9145748.0418828502</v>
      </c>
      <c r="F9" s="35"/>
      <c r="G9" s="9" t="s">
        <v>38</v>
      </c>
      <c r="H9" s="136" t="s">
        <v>37</v>
      </c>
      <c r="I9" s="137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81" t="s">
        <v>191</v>
      </c>
      <c r="P9" s="39">
        <f t="shared" si="2"/>
        <v>94.2</v>
      </c>
      <c r="Q9" s="70">
        <f t="shared" si="3"/>
        <v>4.08839779E-2</v>
      </c>
      <c r="R9" s="79">
        <f t="shared" si="5"/>
        <v>784644368.05512321</v>
      </c>
    </row>
    <row r="10" spans="1:18">
      <c r="A10" s="40" t="s">
        <v>119</v>
      </c>
      <c r="B10" s="11" t="s">
        <v>120</v>
      </c>
      <c r="C10" s="86">
        <v>164</v>
      </c>
      <c r="D10" s="34">
        <v>2.5000000000000001E-2</v>
      </c>
      <c r="E10" s="84">
        <v>58001146.584064066</v>
      </c>
      <c r="F10" s="35"/>
      <c r="G10" s="210">
        <f>_xlfn.IFNA(VLOOKUP(G7, $B$2:$D$200, 3, FALSE), "-")</f>
        <v>-3.5834267E-3</v>
      </c>
      <c r="H10" s="204">
        <f>_xlfn.IFNA(VLOOKUP(G7, $B$2:$D$200, 2, FALSE), "-")</f>
        <v>31143000</v>
      </c>
      <c r="I10" s="205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81" t="s">
        <v>221</v>
      </c>
      <c r="P10" s="39">
        <f t="shared" si="2"/>
        <v>30.7</v>
      </c>
      <c r="Q10" s="70">
        <f t="shared" si="3"/>
        <v>4.0677966099999997E-2</v>
      </c>
      <c r="R10" s="83">
        <f t="shared" si="5"/>
        <v>3721295736.9264164</v>
      </c>
    </row>
    <row r="11" spans="1:18" ht="17.25" thickBot="1">
      <c r="A11" s="40" t="s">
        <v>106</v>
      </c>
      <c r="B11" s="11" t="s">
        <v>107</v>
      </c>
      <c r="C11" s="86">
        <v>58</v>
      </c>
      <c r="D11" s="34">
        <v>2.47349823E-2</v>
      </c>
      <c r="E11" s="84">
        <v>1143393611.8264434</v>
      </c>
      <c r="F11" s="35"/>
      <c r="G11" s="211"/>
      <c r="H11" s="206"/>
      <c r="I11" s="207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82" t="s">
        <v>157</v>
      </c>
      <c r="P11" s="45">
        <f t="shared" si="2"/>
        <v>371</v>
      </c>
      <c r="Q11" s="73">
        <f t="shared" si="3"/>
        <v>3.0555555599999999E-2</v>
      </c>
      <c r="R11" s="89">
        <f t="shared" si="5"/>
        <v>32178409.653008431</v>
      </c>
    </row>
    <row r="12" spans="1:18" ht="17.25" thickBot="1">
      <c r="A12" s="40" t="s">
        <v>200</v>
      </c>
      <c r="B12" s="11" t="s">
        <v>201</v>
      </c>
      <c r="C12" s="86">
        <v>359</v>
      </c>
      <c r="D12" s="34">
        <v>1.9886363600000002E-2</v>
      </c>
      <c r="E12" s="84">
        <v>61102830.704379506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81" t="s">
        <v>167</v>
      </c>
      <c r="P12" s="39">
        <f t="shared" si="2"/>
        <v>291</v>
      </c>
      <c r="Q12" s="70">
        <f t="shared" si="3"/>
        <v>2.8268551199999999E-2</v>
      </c>
      <c r="R12" s="79">
        <f t="shared" si="5"/>
        <v>148671900.50679392</v>
      </c>
    </row>
    <row r="13" spans="1:18" ht="17.25" thickBot="1">
      <c r="A13" s="40" t="s">
        <v>184</v>
      </c>
      <c r="B13" s="11" t="s">
        <v>185</v>
      </c>
      <c r="C13" s="86">
        <v>47.4</v>
      </c>
      <c r="D13" s="34">
        <v>1.4989293399999999E-2</v>
      </c>
      <c r="E13" s="84">
        <v>724430095.08711815</v>
      </c>
      <c r="F13" s="35"/>
      <c r="G13" s="135" t="s">
        <v>69</v>
      </c>
      <c r="H13" s="136"/>
      <c r="I13" s="137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81" t="s">
        <v>116</v>
      </c>
      <c r="P13" s="39">
        <f t="shared" si="2"/>
        <v>1700</v>
      </c>
      <c r="Q13" s="70">
        <f t="shared" si="3"/>
        <v>2.7190332300000002E-2</v>
      </c>
      <c r="R13" s="79">
        <f t="shared" si="5"/>
        <v>9145748.0418828502</v>
      </c>
    </row>
    <row r="14" spans="1:18">
      <c r="A14" s="40" t="s">
        <v>210</v>
      </c>
      <c r="B14" s="11" t="s">
        <v>211</v>
      </c>
      <c r="C14" s="86">
        <v>1575</v>
      </c>
      <c r="D14" s="34">
        <v>1.2861736299999999E-2</v>
      </c>
      <c r="E14" s="84">
        <v>1962330.68829563</v>
      </c>
      <c r="F14" s="35"/>
      <c r="G14" s="144" t="s">
        <v>36</v>
      </c>
      <c r="H14" s="145"/>
      <c r="I14" s="146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81" t="s">
        <v>120</v>
      </c>
      <c r="P14" s="39">
        <f t="shared" si="2"/>
        <v>164</v>
      </c>
      <c r="Q14" s="70">
        <f t="shared" si="3"/>
        <v>2.5000000000000001E-2</v>
      </c>
      <c r="R14" s="79">
        <f t="shared" si="5"/>
        <v>58001146.584064066</v>
      </c>
    </row>
    <row r="15" spans="1:18" ht="17.25" thickBot="1">
      <c r="A15" s="40" t="s">
        <v>74</v>
      </c>
      <c r="B15" s="11" t="s">
        <v>75</v>
      </c>
      <c r="C15" s="86">
        <v>9800</v>
      </c>
      <c r="D15" s="34">
        <v>1.13519092E-2</v>
      </c>
      <c r="E15" s="84">
        <v>435301.86827997002</v>
      </c>
      <c r="F15" s="35"/>
      <c r="G15" s="150"/>
      <c r="H15" s="151"/>
      <c r="I15" s="152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67" t="s">
        <v>107</v>
      </c>
      <c r="P15" s="37">
        <f t="shared" si="2"/>
        <v>58</v>
      </c>
      <c r="Q15" s="72">
        <f t="shared" si="3"/>
        <v>2.47349823E-2</v>
      </c>
      <c r="R15" s="80">
        <f t="shared" si="5"/>
        <v>1143393611.8264434</v>
      </c>
    </row>
    <row r="16" spans="1:18" ht="17.25" thickBot="1">
      <c r="A16" s="40" t="s">
        <v>131</v>
      </c>
      <c r="B16" s="11" t="s">
        <v>132</v>
      </c>
      <c r="C16" s="86">
        <v>81.5</v>
      </c>
      <c r="D16" s="34">
        <v>9.9132590000000007E-3</v>
      </c>
      <c r="E16" s="84">
        <v>263852173.78576455</v>
      </c>
      <c r="F16" s="35"/>
      <c r="G16" s="9" t="s">
        <v>38</v>
      </c>
      <c r="H16" s="136" t="s">
        <v>37</v>
      </c>
      <c r="I16" s="137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66" t="s">
        <v>201</v>
      </c>
      <c r="P16" s="38">
        <f t="shared" si="2"/>
        <v>359</v>
      </c>
      <c r="Q16" s="69">
        <f t="shared" si="3"/>
        <v>1.9886363600000002E-2</v>
      </c>
      <c r="R16" s="78">
        <f t="shared" si="5"/>
        <v>61102830.704379506</v>
      </c>
    </row>
    <row r="17" spans="1:18">
      <c r="A17" s="40" t="s">
        <v>65</v>
      </c>
      <c r="B17" s="11" t="s">
        <v>66</v>
      </c>
      <c r="C17" s="86">
        <v>1070</v>
      </c>
      <c r="D17" s="34">
        <v>9.4339622999999994E-3</v>
      </c>
      <c r="E17" s="84">
        <v>5820635.40611332</v>
      </c>
      <c r="F17" s="35"/>
      <c r="G17" s="210">
        <f>_xlfn.IFNA(VLOOKUP(G14, $B$2:$D$200, 3, FALSE), "-")</f>
        <v>-3.5834267E-3</v>
      </c>
      <c r="H17" s="204">
        <f>_xlfn.IFNA(VLOOKUP(G14, $B$2:$D$200, 2, FALSE), "-")</f>
        <v>31143000</v>
      </c>
      <c r="I17" s="205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81" t="s">
        <v>185</v>
      </c>
      <c r="P17" s="39">
        <f t="shared" si="2"/>
        <v>47.4</v>
      </c>
      <c r="Q17" s="70">
        <f t="shared" si="3"/>
        <v>1.4989293399999999E-2</v>
      </c>
      <c r="R17" s="79">
        <f t="shared" si="5"/>
        <v>724430095.08711815</v>
      </c>
    </row>
    <row r="18" spans="1:18" ht="17.25" thickBot="1">
      <c r="A18" s="40" t="s">
        <v>84</v>
      </c>
      <c r="B18" s="11" t="s">
        <v>85</v>
      </c>
      <c r="C18" s="86">
        <v>179</v>
      </c>
      <c r="D18" s="34">
        <v>5.6179775000000003E-3</v>
      </c>
      <c r="E18" s="84">
        <v>30615545.38321805</v>
      </c>
      <c r="F18" s="35"/>
      <c r="G18" s="211"/>
      <c r="H18" s="206"/>
      <c r="I18" s="207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81" t="s">
        <v>211</v>
      </c>
      <c r="P18" s="39">
        <f t="shared" si="2"/>
        <v>1575</v>
      </c>
      <c r="Q18" s="70">
        <f t="shared" si="3"/>
        <v>1.2861736299999999E-2</v>
      </c>
      <c r="R18" s="79">
        <f t="shared" si="5"/>
        <v>1962330.68829563</v>
      </c>
    </row>
    <row r="19" spans="1:18" ht="17.25" thickBot="1">
      <c r="A19" s="40" t="s">
        <v>232</v>
      </c>
      <c r="B19" s="11" t="s">
        <v>233</v>
      </c>
      <c r="C19" s="86">
        <v>4035</v>
      </c>
      <c r="D19" s="34">
        <v>3.7313432999999999E-3</v>
      </c>
      <c r="E19" s="84">
        <v>373857.77117481001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81" t="s">
        <v>75</v>
      </c>
      <c r="P19" s="39">
        <f t="shared" si="2"/>
        <v>9800</v>
      </c>
      <c r="Q19" s="70">
        <f t="shared" si="3"/>
        <v>1.13519092E-2</v>
      </c>
      <c r="R19" s="79">
        <f t="shared" si="5"/>
        <v>435301.86827997002</v>
      </c>
    </row>
    <row r="20" spans="1:18" ht="17.25" thickBot="1">
      <c r="A20" s="40" t="s">
        <v>164</v>
      </c>
      <c r="B20" s="11" t="s">
        <v>165</v>
      </c>
      <c r="C20" s="86">
        <v>1730</v>
      </c>
      <c r="D20" s="34">
        <v>2.8985507E-3</v>
      </c>
      <c r="E20" s="84">
        <v>2149449.09978473</v>
      </c>
      <c r="F20" s="35"/>
      <c r="G20" s="135" t="s">
        <v>243</v>
      </c>
      <c r="H20" s="136"/>
      <c r="I20" s="137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81" t="s">
        <v>132</v>
      </c>
      <c r="P20" s="39">
        <f t="shared" si="2"/>
        <v>81.5</v>
      </c>
      <c r="Q20" s="70">
        <f t="shared" si="3"/>
        <v>9.9132590000000007E-3</v>
      </c>
      <c r="R20" s="83">
        <f t="shared" si="5"/>
        <v>263852173.78576455</v>
      </c>
    </row>
    <row r="21" spans="1:18">
      <c r="A21" s="40" t="s">
        <v>102</v>
      </c>
      <c r="B21" s="11" t="s">
        <v>103</v>
      </c>
      <c r="C21" s="86">
        <v>349</v>
      </c>
      <c r="D21" s="34">
        <v>2.8735632000000001E-3</v>
      </c>
      <c r="E21" s="84">
        <v>9152694.6395379901</v>
      </c>
      <c r="F21" s="35"/>
      <c r="G21" s="144" t="s">
        <v>36</v>
      </c>
      <c r="H21" s="145"/>
      <c r="I21" s="146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82" t="s">
        <v>66</v>
      </c>
      <c r="P21" s="45">
        <f t="shared" si="2"/>
        <v>1070</v>
      </c>
      <c r="Q21" s="73">
        <f t="shared" si="3"/>
        <v>9.4339622999999994E-3</v>
      </c>
      <c r="R21" s="89">
        <f t="shared" si="5"/>
        <v>5820635.40611332</v>
      </c>
    </row>
    <row r="22" spans="1:18" ht="17.25" thickBot="1">
      <c r="A22" s="40" t="s">
        <v>240</v>
      </c>
      <c r="B22" s="11" t="s">
        <v>241</v>
      </c>
      <c r="C22" s="86">
        <v>141</v>
      </c>
      <c r="D22" s="34">
        <v>0</v>
      </c>
      <c r="E22" s="84">
        <v>12379762.202632951</v>
      </c>
      <c r="F22" s="35"/>
      <c r="G22" s="150"/>
      <c r="H22" s="151"/>
      <c r="I22" s="152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81" t="s">
        <v>85</v>
      </c>
      <c r="P22" s="39">
        <f t="shared" si="2"/>
        <v>179</v>
      </c>
      <c r="Q22" s="70">
        <f t="shared" si="3"/>
        <v>5.6179775000000003E-3</v>
      </c>
      <c r="R22" s="79">
        <f t="shared" si="5"/>
        <v>30615545.38321805</v>
      </c>
    </row>
    <row r="23" spans="1:18" ht="17.25" thickBot="1">
      <c r="A23" s="40" t="s">
        <v>96</v>
      </c>
      <c r="B23" s="11" t="s">
        <v>97</v>
      </c>
      <c r="C23" s="86">
        <v>1E-3</v>
      </c>
      <c r="D23" s="34">
        <v>0</v>
      </c>
      <c r="E23" s="84">
        <v>264638175994.86929</v>
      </c>
      <c r="F23" s="35"/>
      <c r="G23" s="9" t="s">
        <v>38</v>
      </c>
      <c r="H23" s="136" t="s">
        <v>37</v>
      </c>
      <c r="I23" s="137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81" t="s">
        <v>233</v>
      </c>
      <c r="P23" s="39">
        <f t="shared" si="2"/>
        <v>4035</v>
      </c>
      <c r="Q23" s="70">
        <f t="shared" si="3"/>
        <v>3.7313432999999999E-3</v>
      </c>
      <c r="R23" s="79">
        <f t="shared" si="5"/>
        <v>373857.77117481001</v>
      </c>
    </row>
    <row r="24" spans="1:18">
      <c r="A24" s="40" t="s">
        <v>252</v>
      </c>
      <c r="B24" s="11" t="s">
        <v>253</v>
      </c>
      <c r="C24" s="86">
        <v>108</v>
      </c>
      <c r="D24" s="34">
        <v>0</v>
      </c>
      <c r="E24" s="84">
        <v>156551994.10342193</v>
      </c>
      <c r="F24" s="35"/>
      <c r="G24" s="210">
        <f>_xlfn.IFNA(VLOOKUP(G21, $B$2:$D$200, 3, FALSE), "-")</f>
        <v>-3.5834267E-3</v>
      </c>
      <c r="H24" s="204">
        <f>_xlfn.IFNA(VLOOKUP(G21, $B$2:$D$200, 2, FALSE), "-")</f>
        <v>31143000</v>
      </c>
      <c r="I24" s="205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81" t="s">
        <v>165</v>
      </c>
      <c r="P24" s="39">
        <f t="shared" si="2"/>
        <v>1730</v>
      </c>
      <c r="Q24" s="70">
        <f t="shared" si="3"/>
        <v>2.8985507E-3</v>
      </c>
      <c r="R24" s="79">
        <f t="shared" si="5"/>
        <v>2149449.09978473</v>
      </c>
    </row>
    <row r="25" spans="1:18" ht="17.25" thickBot="1">
      <c r="A25" s="40" t="s">
        <v>112</v>
      </c>
      <c r="B25" s="11" t="s">
        <v>113</v>
      </c>
      <c r="C25" s="86">
        <v>1845</v>
      </c>
      <c r="D25" s="34">
        <v>0</v>
      </c>
      <c r="E25" s="84">
        <v>4119372.2788897902</v>
      </c>
      <c r="F25" s="35"/>
      <c r="G25" s="211"/>
      <c r="H25" s="206"/>
      <c r="I25" s="207"/>
      <c r="K25" s="53">
        <f ca="1">IFERROR(OFFSET(INDIRECT($H$3 &amp; "!A17"), 19, 0), "")</f>
        <v>0</v>
      </c>
      <c r="L25" s="37" t="str">
        <f t="shared" ca="1" si="0"/>
        <v/>
      </c>
      <c r="M25" s="72" t="str">
        <f t="shared" ca="1" si="1"/>
        <v/>
      </c>
      <c r="N25" s="80" t="str">
        <f t="shared" ca="1" si="4"/>
        <v/>
      </c>
      <c r="O25" s="67" t="s">
        <v>103</v>
      </c>
      <c r="P25" s="37">
        <f t="shared" si="2"/>
        <v>349</v>
      </c>
      <c r="Q25" s="72">
        <f t="shared" si="3"/>
        <v>2.8735632000000001E-3</v>
      </c>
      <c r="R25" s="80">
        <f t="shared" si="5"/>
        <v>9152694.6395379901</v>
      </c>
    </row>
    <row r="26" spans="1:18">
      <c r="A26" s="40" t="s">
        <v>192</v>
      </c>
      <c r="B26" s="11" t="s">
        <v>193</v>
      </c>
      <c r="C26" s="86">
        <v>26.6</v>
      </c>
      <c r="D26" s="34">
        <v>0</v>
      </c>
      <c r="E26" s="84">
        <v>562262409.50255811</v>
      </c>
      <c r="F26" s="35"/>
    </row>
    <row r="27" spans="1:18" ht="17.25" thickBot="1">
      <c r="A27" s="40" t="s">
        <v>92</v>
      </c>
      <c r="B27" s="11" t="s">
        <v>93</v>
      </c>
      <c r="C27" s="86">
        <v>2173000</v>
      </c>
      <c r="D27" s="34">
        <v>-4.5998159999999997E-4</v>
      </c>
      <c r="E27" s="84">
        <v>9591.2455100400002</v>
      </c>
      <c r="F27" s="35"/>
    </row>
    <row r="28" spans="1:18" ht="17.25" thickBot="1">
      <c r="A28" s="40" t="s">
        <v>177</v>
      </c>
      <c r="B28" s="11" t="s">
        <v>178</v>
      </c>
      <c r="C28" s="86">
        <v>2550</v>
      </c>
      <c r="D28" s="34">
        <v>-1.9569472000000002E-3</v>
      </c>
      <c r="E28" s="84">
        <v>2401046.0695062401</v>
      </c>
      <c r="F28" s="35"/>
      <c r="G28" s="135" t="s">
        <v>46</v>
      </c>
      <c r="H28" s="136"/>
      <c r="I28" s="136"/>
      <c r="J28" s="137"/>
      <c r="K28" s="135" t="s">
        <v>44</v>
      </c>
      <c r="L28" s="136"/>
      <c r="M28" s="136"/>
      <c r="N28" s="137"/>
      <c r="O28" s="135" t="s">
        <v>45</v>
      </c>
      <c r="P28" s="136"/>
      <c r="Q28" s="136"/>
      <c r="R28" s="137"/>
    </row>
    <row r="29" spans="1:18" ht="17.25" thickBot="1">
      <c r="A29" s="40" t="s">
        <v>88</v>
      </c>
      <c r="B29" s="11" t="s">
        <v>89</v>
      </c>
      <c r="C29" s="86">
        <v>502</v>
      </c>
      <c r="D29" s="34">
        <v>-1.9880715999999999E-3</v>
      </c>
      <c r="E29" s="84">
        <v>110841231.79467778</v>
      </c>
      <c r="F29" s="35"/>
      <c r="G29" s="200" t="s">
        <v>54</v>
      </c>
      <c r="H29" s="212">
        <f ca="1">NOW()</f>
        <v>44992.000794791667</v>
      </c>
      <c r="I29" s="213"/>
      <c r="J29" s="214"/>
      <c r="K29" s="203" t="s">
        <v>54</v>
      </c>
      <c r="L29" s="212">
        <f ca="1">NOW()</f>
        <v>44992.000794791667</v>
      </c>
      <c r="M29" s="213"/>
      <c r="N29" s="214"/>
      <c r="O29" s="203" t="s">
        <v>54</v>
      </c>
      <c r="P29" s="212">
        <f ca="1">NOW()</f>
        <v>44992.000794791667</v>
      </c>
      <c r="Q29" s="213"/>
      <c r="R29" s="214"/>
    </row>
    <row r="30" spans="1:18" ht="17.25" thickBot="1">
      <c r="A30" s="40" t="s">
        <v>194</v>
      </c>
      <c r="B30" s="11" t="s">
        <v>195</v>
      </c>
      <c r="C30" s="86">
        <v>9.1999999999999993</v>
      </c>
      <c r="D30" s="34">
        <v>-2.1691974E-3</v>
      </c>
      <c r="E30" s="84">
        <v>89059384.90240781</v>
      </c>
      <c r="F30" s="35"/>
      <c r="G30" s="197"/>
      <c r="H30" s="36" t="s">
        <v>57</v>
      </c>
      <c r="I30" s="36" t="s">
        <v>58</v>
      </c>
      <c r="J30" s="64" t="s">
        <v>251</v>
      </c>
      <c r="K30" s="152"/>
      <c r="L30" s="36" t="s">
        <v>57</v>
      </c>
      <c r="M30" s="36" t="s">
        <v>58</v>
      </c>
      <c r="N30" s="64" t="s">
        <v>251</v>
      </c>
      <c r="O30" s="152"/>
      <c r="P30" s="36" t="s">
        <v>57</v>
      </c>
      <c r="Q30" s="36" t="s">
        <v>58</v>
      </c>
      <c r="R30" s="64" t="s">
        <v>251</v>
      </c>
    </row>
    <row r="31" spans="1:18">
      <c r="A31" s="40" t="s">
        <v>218</v>
      </c>
      <c r="B31" s="11" t="s">
        <v>219</v>
      </c>
      <c r="C31" s="86">
        <v>600</v>
      </c>
      <c r="D31" s="34">
        <v>-3.3222591000000002E-3</v>
      </c>
      <c r="E31" s="84">
        <v>5662050.6278512599</v>
      </c>
      <c r="F31" s="35"/>
      <c r="G31" s="46" t="s">
        <v>225</v>
      </c>
      <c r="H31" s="38">
        <f t="shared" ref="H31:H50" si="6">_xlfn.IFNA(VLOOKUP(G31, $B$2:$D$200, 2, FALSE), "")</f>
        <v>81.7</v>
      </c>
      <c r="I31" s="69">
        <f t="shared" ref="I31:I50" si="7">_xlfn.IFNA(VLOOKUP(G31, $B$2:$D$200, 3, FALSE), "")</f>
        <v>5.8290155400000002E-2</v>
      </c>
      <c r="J31" s="78">
        <f>_xlfn.IFNA(VLOOKUP(G31, $B$2:$E$200, 4, FALSE), "")</f>
        <v>1424000269.6102948</v>
      </c>
      <c r="K31" s="74" t="s">
        <v>225</v>
      </c>
      <c r="L31" s="38">
        <f t="shared" ref="L31:L50" si="8">_xlfn.IFNA(VLOOKUP(K31, $B$2:$D$200, 2, FALSE), "")</f>
        <v>81.7</v>
      </c>
      <c r="M31" s="69">
        <f t="shared" ref="M31:M50" si="9">_xlfn.IFNA(VLOOKUP(K31, $B$2:$D$200, 3, FALSE), "")</f>
        <v>5.8290155400000002E-2</v>
      </c>
      <c r="N31" s="78">
        <f>_xlfn.IFNA(VLOOKUP(K31, $B$2:$E$200, 4, FALSE), "")</f>
        <v>1424000269.6102948</v>
      </c>
      <c r="O31" s="74" t="s">
        <v>207</v>
      </c>
      <c r="P31" s="38">
        <f t="shared" ref="P31:P50" si="10">_xlfn.IFNA(VLOOKUP(O31, $B$2:$D$200, 2, FALSE), "")</f>
        <v>101</v>
      </c>
      <c r="Q31" s="69">
        <f t="shared" ref="Q31:Q50" si="11">_xlfn.IFNA(VLOOKUP(O31, $B$2:$D$200, 3, FALSE), "")</f>
        <v>4.6632124400000002E-2</v>
      </c>
      <c r="R31" s="78">
        <f>_xlfn.IFNA(VLOOKUP(O31, $B$2:$E$200, 4, FALSE), "")</f>
        <v>122337512.81191894</v>
      </c>
    </row>
    <row r="32" spans="1:18">
      <c r="A32" s="40" t="s">
        <v>238</v>
      </c>
      <c r="B32" s="11" t="s">
        <v>239</v>
      </c>
      <c r="C32" s="86">
        <v>594</v>
      </c>
      <c r="D32" s="34">
        <v>-3.3557047E-3</v>
      </c>
      <c r="E32" s="84">
        <v>3887049.2881883001</v>
      </c>
      <c r="F32" s="35"/>
      <c r="G32" s="47" t="s">
        <v>83</v>
      </c>
      <c r="H32" s="39">
        <f t="shared" si="6"/>
        <v>1575</v>
      </c>
      <c r="I32" s="70">
        <f t="shared" si="7"/>
        <v>0.05</v>
      </c>
      <c r="J32" s="79">
        <f t="shared" ref="J32:J50" si="12">_xlfn.IFNA(VLOOKUP(G32, $B$2:$E$200, 4, FALSE), "")</f>
        <v>21575071.012892101</v>
      </c>
      <c r="K32" s="75" t="s">
        <v>191</v>
      </c>
      <c r="L32" s="39">
        <f t="shared" si="8"/>
        <v>94.2</v>
      </c>
      <c r="M32" s="70">
        <f t="shared" si="9"/>
        <v>4.08839779E-2</v>
      </c>
      <c r="N32" s="79">
        <f t="shared" ref="N32:N50" si="13">_xlfn.IFNA(VLOOKUP(K32, $B$2:$E$200, 4, FALSE), "")</f>
        <v>784644368.05512321</v>
      </c>
      <c r="O32" s="75" t="s">
        <v>157</v>
      </c>
      <c r="P32" s="39">
        <f t="shared" si="10"/>
        <v>371</v>
      </c>
      <c r="Q32" s="70">
        <f t="shared" si="11"/>
        <v>3.0555555599999999E-2</v>
      </c>
      <c r="R32" s="79">
        <f t="shared" ref="R32:R50" si="14">_xlfn.IFNA(VLOOKUP(O32, $B$2:$E$200, 4, FALSE), "")</f>
        <v>32178409.653008431</v>
      </c>
    </row>
    <row r="33" spans="1:18">
      <c r="A33" s="40" t="s">
        <v>48</v>
      </c>
      <c r="B33" s="11" t="s">
        <v>49</v>
      </c>
      <c r="C33" s="86">
        <v>31143000</v>
      </c>
      <c r="D33" s="34">
        <v>-3.5834267E-3</v>
      </c>
      <c r="E33" s="84">
        <v>2608.5080565899998</v>
      </c>
      <c r="F33" s="35"/>
      <c r="G33" s="47" t="s">
        <v>207</v>
      </c>
      <c r="H33" s="39">
        <f t="shared" si="6"/>
        <v>101</v>
      </c>
      <c r="I33" s="70">
        <f t="shared" si="7"/>
        <v>4.6632124400000002E-2</v>
      </c>
      <c r="J33" s="79">
        <f t="shared" si="12"/>
        <v>122337512.81191894</v>
      </c>
      <c r="K33" s="75" t="s">
        <v>221</v>
      </c>
      <c r="L33" s="39">
        <f t="shared" si="8"/>
        <v>30.7</v>
      </c>
      <c r="M33" s="70">
        <f t="shared" si="9"/>
        <v>4.0677966099999997E-2</v>
      </c>
      <c r="N33" s="79">
        <f t="shared" si="13"/>
        <v>3721295736.9264164</v>
      </c>
      <c r="O33" s="75" t="s">
        <v>167</v>
      </c>
      <c r="P33" s="39">
        <f t="shared" si="10"/>
        <v>291</v>
      </c>
      <c r="Q33" s="70">
        <f t="shared" si="11"/>
        <v>2.8268551199999999E-2</v>
      </c>
      <c r="R33" s="79">
        <f t="shared" si="14"/>
        <v>148671900.50679392</v>
      </c>
    </row>
    <row r="34" spans="1:18">
      <c r="A34" s="40" t="s">
        <v>144</v>
      </c>
      <c r="B34" s="11" t="s">
        <v>145</v>
      </c>
      <c r="C34" s="86">
        <v>92.1</v>
      </c>
      <c r="D34" s="34">
        <v>-4.3243242999999997E-3</v>
      </c>
      <c r="E34" s="84">
        <v>88480883.864876881</v>
      </c>
      <c r="F34" s="35"/>
      <c r="G34" s="47" t="s">
        <v>191</v>
      </c>
      <c r="H34" s="39">
        <f t="shared" si="6"/>
        <v>94.2</v>
      </c>
      <c r="I34" s="70">
        <f t="shared" si="7"/>
        <v>4.08839779E-2</v>
      </c>
      <c r="J34" s="79">
        <f t="shared" si="12"/>
        <v>784644368.05512321</v>
      </c>
      <c r="K34" s="75" t="s">
        <v>107</v>
      </c>
      <c r="L34" s="39">
        <f t="shared" si="8"/>
        <v>58</v>
      </c>
      <c r="M34" s="70">
        <f t="shared" si="9"/>
        <v>2.47349823E-2</v>
      </c>
      <c r="N34" s="79">
        <f t="shared" si="13"/>
        <v>1143393611.8264434</v>
      </c>
      <c r="O34" s="75" t="s">
        <v>120</v>
      </c>
      <c r="P34" s="39">
        <f t="shared" si="10"/>
        <v>164</v>
      </c>
      <c r="Q34" s="70">
        <f t="shared" si="11"/>
        <v>2.5000000000000001E-2</v>
      </c>
      <c r="R34" s="79">
        <f t="shared" si="14"/>
        <v>58001146.584064066</v>
      </c>
    </row>
    <row r="35" spans="1:18">
      <c r="A35" s="40" t="s">
        <v>316</v>
      </c>
      <c r="B35" s="11" t="s">
        <v>317</v>
      </c>
      <c r="C35" s="86">
        <v>1.6500000000000001E-2</v>
      </c>
      <c r="D35" s="34">
        <v>-6.0240963999999998E-3</v>
      </c>
      <c r="E35" s="84">
        <v>497701896087.50421</v>
      </c>
      <c r="F35" s="35"/>
      <c r="G35" s="47" t="s">
        <v>221</v>
      </c>
      <c r="H35" s="44">
        <f t="shared" si="6"/>
        <v>30.7</v>
      </c>
      <c r="I35" s="71">
        <f t="shared" si="7"/>
        <v>4.0677966099999997E-2</v>
      </c>
      <c r="J35" s="83">
        <f t="shared" si="12"/>
        <v>3721295736.9264164</v>
      </c>
      <c r="K35" s="76" t="s">
        <v>185</v>
      </c>
      <c r="L35" s="44">
        <f t="shared" si="8"/>
        <v>47.4</v>
      </c>
      <c r="M35" s="71">
        <f t="shared" si="9"/>
        <v>1.4989293399999999E-2</v>
      </c>
      <c r="N35" s="83">
        <f t="shared" si="13"/>
        <v>724430095.08711815</v>
      </c>
      <c r="O35" s="76" t="s">
        <v>201</v>
      </c>
      <c r="P35" s="44">
        <f t="shared" si="10"/>
        <v>359</v>
      </c>
      <c r="Q35" s="71">
        <f t="shared" si="11"/>
        <v>1.9886363600000002E-2</v>
      </c>
      <c r="R35" s="83">
        <f t="shared" si="14"/>
        <v>61102830.704379506</v>
      </c>
    </row>
    <row r="36" spans="1:18">
      <c r="A36" s="40" t="s">
        <v>234</v>
      </c>
      <c r="B36" s="11" t="s">
        <v>235</v>
      </c>
      <c r="C36" s="86">
        <v>810</v>
      </c>
      <c r="D36" s="34">
        <v>-6.1349693000000002E-3</v>
      </c>
      <c r="E36" s="84">
        <v>11198088.069632789</v>
      </c>
      <c r="F36" s="35"/>
      <c r="G36" s="49" t="s">
        <v>157</v>
      </c>
      <c r="H36" s="39">
        <f t="shared" si="6"/>
        <v>371</v>
      </c>
      <c r="I36" s="70">
        <f t="shared" si="7"/>
        <v>3.0555555599999999E-2</v>
      </c>
      <c r="J36" s="89">
        <f t="shared" si="12"/>
        <v>32178409.653008431</v>
      </c>
      <c r="K36" s="75" t="s">
        <v>132</v>
      </c>
      <c r="L36" s="39">
        <f t="shared" si="8"/>
        <v>81.5</v>
      </c>
      <c r="M36" s="70">
        <f t="shared" si="9"/>
        <v>9.9132590000000007E-3</v>
      </c>
      <c r="N36" s="89">
        <f t="shared" si="13"/>
        <v>263852173.78576455</v>
      </c>
      <c r="O36" s="75" t="s">
        <v>85</v>
      </c>
      <c r="P36" s="39">
        <f t="shared" si="10"/>
        <v>179</v>
      </c>
      <c r="Q36" s="70">
        <f t="shared" si="11"/>
        <v>5.6179775000000003E-3</v>
      </c>
      <c r="R36" s="89">
        <f t="shared" si="14"/>
        <v>30615545.38321805</v>
      </c>
    </row>
    <row r="37" spans="1:18">
      <c r="A37" s="40" t="s">
        <v>180</v>
      </c>
      <c r="B37" s="11" t="s">
        <v>181</v>
      </c>
      <c r="C37" s="86">
        <v>6.28</v>
      </c>
      <c r="D37" s="34">
        <v>-6.3291138999999998E-3</v>
      </c>
      <c r="E37" s="84">
        <v>722722715.92972362</v>
      </c>
      <c r="F37" s="35"/>
      <c r="G37" s="47" t="s">
        <v>167</v>
      </c>
      <c r="H37" s="39">
        <f t="shared" si="6"/>
        <v>291</v>
      </c>
      <c r="I37" s="70">
        <f t="shared" si="7"/>
        <v>2.8268551199999999E-2</v>
      </c>
      <c r="J37" s="79">
        <f t="shared" si="12"/>
        <v>148671900.50679392</v>
      </c>
      <c r="K37" s="75" t="s">
        <v>97</v>
      </c>
      <c r="L37" s="39">
        <f t="shared" si="8"/>
        <v>1E-3</v>
      </c>
      <c r="M37" s="70">
        <f t="shared" si="9"/>
        <v>0</v>
      </c>
      <c r="N37" s="79">
        <f t="shared" si="13"/>
        <v>264638175994.86929</v>
      </c>
      <c r="O37" s="75" t="s">
        <v>103</v>
      </c>
      <c r="P37" s="39">
        <f t="shared" si="10"/>
        <v>349</v>
      </c>
      <c r="Q37" s="70">
        <f t="shared" si="11"/>
        <v>2.8735632000000001E-3</v>
      </c>
      <c r="R37" s="79">
        <f t="shared" si="14"/>
        <v>9152694.6395379901</v>
      </c>
    </row>
    <row r="38" spans="1:18">
      <c r="A38" s="40" t="s">
        <v>318</v>
      </c>
      <c r="B38" s="11" t="s">
        <v>319</v>
      </c>
      <c r="C38" s="86">
        <v>267</v>
      </c>
      <c r="D38" s="34">
        <v>-7.4349441999999998E-3</v>
      </c>
      <c r="E38" s="84">
        <v>27269056.56952421</v>
      </c>
      <c r="F38" s="35"/>
      <c r="G38" s="47" t="s">
        <v>116</v>
      </c>
      <c r="H38" s="39">
        <f t="shared" si="6"/>
        <v>1700</v>
      </c>
      <c r="I38" s="70">
        <f t="shared" si="7"/>
        <v>2.7190332300000002E-2</v>
      </c>
      <c r="J38" s="79">
        <f t="shared" si="12"/>
        <v>9145748.0418828502</v>
      </c>
      <c r="K38" s="75" t="s">
        <v>193</v>
      </c>
      <c r="L38" s="39">
        <f t="shared" si="8"/>
        <v>26.6</v>
      </c>
      <c r="M38" s="70">
        <f t="shared" si="9"/>
        <v>0</v>
      </c>
      <c r="N38" s="79">
        <f t="shared" si="13"/>
        <v>562262409.50255811</v>
      </c>
      <c r="O38" s="75" t="s">
        <v>241</v>
      </c>
      <c r="P38" s="39">
        <f t="shared" si="10"/>
        <v>141</v>
      </c>
      <c r="Q38" s="70">
        <f t="shared" si="11"/>
        <v>0</v>
      </c>
      <c r="R38" s="79">
        <f t="shared" si="14"/>
        <v>12379762.202632951</v>
      </c>
    </row>
    <row r="39" spans="1:18">
      <c r="A39" s="40" t="s">
        <v>80</v>
      </c>
      <c r="B39" s="11" t="s">
        <v>81</v>
      </c>
      <c r="C39" s="86">
        <v>481</v>
      </c>
      <c r="D39" s="34">
        <v>-8.2474226999999997E-3</v>
      </c>
      <c r="E39" s="84">
        <v>10885586.28529593</v>
      </c>
      <c r="F39" s="35"/>
      <c r="G39" s="47" t="s">
        <v>120</v>
      </c>
      <c r="H39" s="39">
        <f t="shared" si="6"/>
        <v>164</v>
      </c>
      <c r="I39" s="70">
        <f t="shared" si="7"/>
        <v>2.5000000000000001E-2</v>
      </c>
      <c r="J39" s="79">
        <f t="shared" si="12"/>
        <v>58001146.584064066</v>
      </c>
      <c r="K39" s="75" t="s">
        <v>195</v>
      </c>
      <c r="L39" s="39">
        <f t="shared" si="8"/>
        <v>9.1999999999999993</v>
      </c>
      <c r="M39" s="70">
        <f t="shared" si="9"/>
        <v>-2.1691974E-3</v>
      </c>
      <c r="N39" s="79">
        <f t="shared" si="13"/>
        <v>89059384.90240781</v>
      </c>
      <c r="O39" s="75" t="s">
        <v>253</v>
      </c>
      <c r="P39" s="39">
        <f t="shared" si="10"/>
        <v>108</v>
      </c>
      <c r="Q39" s="70">
        <f t="shared" si="11"/>
        <v>0</v>
      </c>
      <c r="R39" s="79">
        <f t="shared" si="14"/>
        <v>156551994.10342193</v>
      </c>
    </row>
    <row r="40" spans="1:18" ht="17.25" thickBot="1">
      <c r="A40" s="40" t="s">
        <v>228</v>
      </c>
      <c r="B40" s="11" t="s">
        <v>229</v>
      </c>
      <c r="C40" s="86">
        <v>358</v>
      </c>
      <c r="D40" s="34">
        <v>-8.3102492999999993E-3</v>
      </c>
      <c r="E40" s="84">
        <v>8264141.8393007703</v>
      </c>
      <c r="F40" s="35"/>
      <c r="G40" s="48" t="s">
        <v>107</v>
      </c>
      <c r="H40" s="37">
        <f t="shared" si="6"/>
        <v>58</v>
      </c>
      <c r="I40" s="72">
        <f t="shared" si="7"/>
        <v>2.47349823E-2</v>
      </c>
      <c r="J40" s="80">
        <f t="shared" si="12"/>
        <v>1143393611.8264434</v>
      </c>
      <c r="K40" s="77" t="s">
        <v>145</v>
      </c>
      <c r="L40" s="37">
        <f t="shared" si="8"/>
        <v>92.1</v>
      </c>
      <c r="M40" s="72">
        <f t="shared" si="9"/>
        <v>-4.3243242999999997E-3</v>
      </c>
      <c r="N40" s="80">
        <f t="shared" si="13"/>
        <v>88480883.864876881</v>
      </c>
      <c r="O40" s="77" t="s">
        <v>89</v>
      </c>
      <c r="P40" s="37">
        <f t="shared" si="10"/>
        <v>502</v>
      </c>
      <c r="Q40" s="72">
        <f t="shared" si="11"/>
        <v>-1.9880715999999999E-3</v>
      </c>
      <c r="R40" s="80">
        <f t="shared" si="14"/>
        <v>110841231.79467778</v>
      </c>
    </row>
    <row r="41" spans="1:18">
      <c r="A41" s="40" t="s">
        <v>50</v>
      </c>
      <c r="B41" s="11" t="s">
        <v>51</v>
      </c>
      <c r="C41" s="86">
        <v>117</v>
      </c>
      <c r="D41" s="34">
        <v>-8.4745762999999998E-3</v>
      </c>
      <c r="E41" s="84">
        <v>15109156.76040313</v>
      </c>
      <c r="F41" s="35"/>
      <c r="G41" s="46" t="s">
        <v>201</v>
      </c>
      <c r="H41" s="38">
        <f t="shared" si="6"/>
        <v>359</v>
      </c>
      <c r="I41" s="69">
        <f t="shared" si="7"/>
        <v>1.9886363600000002E-2</v>
      </c>
      <c r="J41" s="78">
        <f t="shared" si="12"/>
        <v>61102830.704379506</v>
      </c>
      <c r="K41" s="74" t="s">
        <v>317</v>
      </c>
      <c r="L41" s="38">
        <f t="shared" si="8"/>
        <v>1.6500000000000001E-2</v>
      </c>
      <c r="M41" s="69">
        <f t="shared" si="9"/>
        <v>-6.0240963999999998E-3</v>
      </c>
      <c r="N41" s="78">
        <f t="shared" si="13"/>
        <v>497701896087.50421</v>
      </c>
      <c r="O41" s="74" t="s">
        <v>219</v>
      </c>
      <c r="P41" s="38">
        <f t="shared" si="10"/>
        <v>600</v>
      </c>
      <c r="Q41" s="69">
        <f t="shared" si="11"/>
        <v>-3.3222591000000002E-3</v>
      </c>
      <c r="R41" s="78">
        <f t="shared" si="14"/>
        <v>5662050.6278512599</v>
      </c>
    </row>
    <row r="42" spans="1:18">
      <c r="A42" s="40" t="s">
        <v>179</v>
      </c>
      <c r="B42" s="11" t="s">
        <v>320</v>
      </c>
      <c r="C42" s="86">
        <v>7.01</v>
      </c>
      <c r="D42" s="34">
        <v>-8.4865628999999995E-3</v>
      </c>
      <c r="E42" s="84">
        <v>331550170.44122434</v>
      </c>
      <c r="F42" s="35"/>
      <c r="G42" s="47" t="s">
        <v>185</v>
      </c>
      <c r="H42" s="39">
        <f t="shared" si="6"/>
        <v>47.4</v>
      </c>
      <c r="I42" s="70">
        <f t="shared" si="7"/>
        <v>1.4989293399999999E-2</v>
      </c>
      <c r="J42" s="79">
        <f t="shared" si="12"/>
        <v>724430095.08711815</v>
      </c>
      <c r="K42" s="75" t="s">
        <v>181</v>
      </c>
      <c r="L42" s="39">
        <f t="shared" si="8"/>
        <v>6.28</v>
      </c>
      <c r="M42" s="70">
        <f t="shared" si="9"/>
        <v>-6.3291138999999998E-3</v>
      </c>
      <c r="N42" s="79">
        <f t="shared" si="13"/>
        <v>722722715.92972362</v>
      </c>
      <c r="O42" s="75" t="s">
        <v>239</v>
      </c>
      <c r="P42" s="39">
        <f t="shared" si="10"/>
        <v>594</v>
      </c>
      <c r="Q42" s="70">
        <f t="shared" si="11"/>
        <v>-3.3557047E-3</v>
      </c>
      <c r="R42" s="79">
        <f t="shared" si="14"/>
        <v>3887049.2881883001</v>
      </c>
    </row>
    <row r="43" spans="1:18">
      <c r="A43" s="40" t="s">
        <v>86</v>
      </c>
      <c r="B43" s="11" t="s">
        <v>87</v>
      </c>
      <c r="C43" s="86">
        <v>55110</v>
      </c>
      <c r="D43" s="34">
        <v>-8.6346465000000008E-3</v>
      </c>
      <c r="E43" s="84">
        <v>34907.14699116</v>
      </c>
      <c r="F43" s="35"/>
      <c r="G43" s="47" t="s">
        <v>211</v>
      </c>
      <c r="H43" s="39">
        <f t="shared" si="6"/>
        <v>1575</v>
      </c>
      <c r="I43" s="70">
        <f t="shared" si="7"/>
        <v>1.2861736299999999E-2</v>
      </c>
      <c r="J43" s="79">
        <f t="shared" si="12"/>
        <v>1962330.68829563</v>
      </c>
      <c r="K43" s="75" t="s">
        <v>320</v>
      </c>
      <c r="L43" s="39">
        <f t="shared" si="8"/>
        <v>7.01</v>
      </c>
      <c r="M43" s="70">
        <f t="shared" si="9"/>
        <v>-8.4865628999999995E-3</v>
      </c>
      <c r="N43" s="79">
        <f t="shared" si="13"/>
        <v>331550170.44122434</v>
      </c>
      <c r="O43" s="75" t="s">
        <v>235</v>
      </c>
      <c r="P43" s="39">
        <f t="shared" si="10"/>
        <v>810</v>
      </c>
      <c r="Q43" s="70">
        <f t="shared" si="11"/>
        <v>-6.1349693000000002E-3</v>
      </c>
      <c r="R43" s="79">
        <f t="shared" si="14"/>
        <v>11198088.069632789</v>
      </c>
    </row>
    <row r="44" spans="1:18">
      <c r="A44" s="40" t="s">
        <v>321</v>
      </c>
      <c r="B44" s="11" t="s">
        <v>322</v>
      </c>
      <c r="C44" s="86">
        <v>1635</v>
      </c>
      <c r="D44" s="34">
        <v>-9.0909091000000008E-3</v>
      </c>
      <c r="E44" s="84">
        <v>8678251.5155143104</v>
      </c>
      <c r="F44" s="35"/>
      <c r="G44" s="47" t="s">
        <v>75</v>
      </c>
      <c r="H44" s="39">
        <f t="shared" si="6"/>
        <v>9800</v>
      </c>
      <c r="I44" s="70">
        <f t="shared" si="7"/>
        <v>1.13519092E-2</v>
      </c>
      <c r="J44" s="79">
        <f t="shared" si="12"/>
        <v>435301.86827997002</v>
      </c>
      <c r="K44" s="75" t="s">
        <v>332</v>
      </c>
      <c r="L44" s="39">
        <f t="shared" si="8"/>
        <v>9.48</v>
      </c>
      <c r="M44" s="70">
        <f t="shared" si="9"/>
        <v>-1.35275754E-2</v>
      </c>
      <c r="N44" s="79">
        <f t="shared" si="13"/>
        <v>305043467.97975081</v>
      </c>
      <c r="O44" s="75" t="s">
        <v>319</v>
      </c>
      <c r="P44" s="39">
        <f t="shared" si="10"/>
        <v>267</v>
      </c>
      <c r="Q44" s="70">
        <f t="shared" si="11"/>
        <v>-7.4349441999999998E-3</v>
      </c>
      <c r="R44" s="79">
        <f t="shared" si="14"/>
        <v>27269056.56952421</v>
      </c>
    </row>
    <row r="45" spans="1:18">
      <c r="A45" s="40" t="s">
        <v>59</v>
      </c>
      <c r="B45" s="11" t="s">
        <v>60</v>
      </c>
      <c r="C45" s="86">
        <v>863</v>
      </c>
      <c r="D45" s="34">
        <v>-9.1848450000000005E-3</v>
      </c>
      <c r="E45" s="84">
        <v>6878302.5641673096</v>
      </c>
      <c r="F45" s="35"/>
      <c r="G45" s="47" t="s">
        <v>132</v>
      </c>
      <c r="H45" s="44">
        <f t="shared" si="6"/>
        <v>81.5</v>
      </c>
      <c r="I45" s="71">
        <f t="shared" si="7"/>
        <v>9.9132590000000007E-3</v>
      </c>
      <c r="J45" s="83">
        <f t="shared" si="12"/>
        <v>263852173.78576455</v>
      </c>
      <c r="K45" s="76" t="s">
        <v>118</v>
      </c>
      <c r="L45" s="44">
        <f t="shared" si="8"/>
        <v>9.15</v>
      </c>
      <c r="M45" s="71">
        <f t="shared" si="9"/>
        <v>-1.5069967700000001E-2</v>
      </c>
      <c r="N45" s="83">
        <f t="shared" si="13"/>
        <v>316983219.67469668</v>
      </c>
      <c r="O45" s="76" t="s">
        <v>81</v>
      </c>
      <c r="P45" s="44">
        <f t="shared" si="10"/>
        <v>481</v>
      </c>
      <c r="Q45" s="71">
        <f t="shared" si="11"/>
        <v>-8.2474226999999997E-3</v>
      </c>
      <c r="R45" s="83">
        <f t="shared" si="14"/>
        <v>10885586.28529593</v>
      </c>
    </row>
    <row r="46" spans="1:18">
      <c r="A46" s="40" t="s">
        <v>114</v>
      </c>
      <c r="B46" s="11" t="s">
        <v>323</v>
      </c>
      <c r="C46" s="86">
        <v>105</v>
      </c>
      <c r="D46" s="34">
        <v>-9.4339622999999994E-3</v>
      </c>
      <c r="E46" s="84">
        <v>25238325.958106492</v>
      </c>
      <c r="F46" s="35"/>
      <c r="G46" s="49" t="s">
        <v>66</v>
      </c>
      <c r="H46" s="39">
        <f t="shared" si="6"/>
        <v>1070</v>
      </c>
      <c r="I46" s="70">
        <f t="shared" si="7"/>
        <v>9.4339622999999994E-3</v>
      </c>
      <c r="J46" s="89">
        <f t="shared" si="12"/>
        <v>5820635.40611332</v>
      </c>
      <c r="K46" s="75" t="s">
        <v>334</v>
      </c>
      <c r="L46" s="39">
        <f t="shared" si="8"/>
        <v>51.7</v>
      </c>
      <c r="M46" s="70">
        <f t="shared" si="9"/>
        <v>-1.5238095199999999E-2</v>
      </c>
      <c r="N46" s="89">
        <f t="shared" si="13"/>
        <v>67640929.681523204</v>
      </c>
      <c r="O46" s="75" t="s">
        <v>229</v>
      </c>
      <c r="P46" s="39">
        <f t="shared" si="10"/>
        <v>358</v>
      </c>
      <c r="Q46" s="70">
        <f t="shared" si="11"/>
        <v>-8.3102492999999993E-3</v>
      </c>
      <c r="R46" s="89">
        <f t="shared" si="14"/>
        <v>8264141.8393007703</v>
      </c>
    </row>
    <row r="47" spans="1:18">
      <c r="A47" s="40" t="s">
        <v>94</v>
      </c>
      <c r="B47" s="11" t="s">
        <v>95</v>
      </c>
      <c r="C47" s="86">
        <v>1570</v>
      </c>
      <c r="D47" s="34">
        <v>-9.4637223999999992E-3</v>
      </c>
      <c r="E47" s="84">
        <v>1365797.3735509999</v>
      </c>
      <c r="F47" s="35"/>
      <c r="G47" s="47" t="s">
        <v>85</v>
      </c>
      <c r="H47" s="39">
        <f t="shared" si="6"/>
        <v>179</v>
      </c>
      <c r="I47" s="70">
        <f t="shared" si="7"/>
        <v>5.6179775000000003E-3</v>
      </c>
      <c r="J47" s="79">
        <f t="shared" si="12"/>
        <v>30615545.38321805</v>
      </c>
      <c r="K47" s="75" t="s">
        <v>203</v>
      </c>
      <c r="L47" s="39">
        <f t="shared" si="8"/>
        <v>5.15</v>
      </c>
      <c r="M47" s="70">
        <f t="shared" si="9"/>
        <v>-1.52963671E-2</v>
      </c>
      <c r="N47" s="79">
        <f t="shared" si="13"/>
        <v>417439993.78235406</v>
      </c>
      <c r="O47" s="75" t="s">
        <v>51</v>
      </c>
      <c r="P47" s="39">
        <f t="shared" si="10"/>
        <v>117</v>
      </c>
      <c r="Q47" s="70">
        <f t="shared" si="11"/>
        <v>-8.4745762999999998E-3</v>
      </c>
      <c r="R47" s="79">
        <f t="shared" si="14"/>
        <v>15109156.76040313</v>
      </c>
    </row>
    <row r="48" spans="1:18">
      <c r="A48" s="40" t="s">
        <v>152</v>
      </c>
      <c r="B48" s="11" t="s">
        <v>153</v>
      </c>
      <c r="C48" s="86">
        <v>581</v>
      </c>
      <c r="D48" s="34">
        <v>-1.02214651E-2</v>
      </c>
      <c r="E48" s="84">
        <v>6491551.6918547498</v>
      </c>
      <c r="F48" s="35"/>
      <c r="G48" s="47" t="s">
        <v>233</v>
      </c>
      <c r="H48" s="39">
        <f t="shared" si="6"/>
        <v>4035</v>
      </c>
      <c r="I48" s="70">
        <f t="shared" si="7"/>
        <v>3.7313432999999999E-3</v>
      </c>
      <c r="J48" s="79">
        <f t="shared" si="12"/>
        <v>373857.77117481001</v>
      </c>
      <c r="K48" s="75" t="s">
        <v>335</v>
      </c>
      <c r="L48" s="39">
        <f t="shared" si="8"/>
        <v>94.8</v>
      </c>
      <c r="M48" s="70">
        <f t="shared" si="9"/>
        <v>-1.5576324000000001E-2</v>
      </c>
      <c r="N48" s="79">
        <f t="shared" si="13"/>
        <v>36615033.809804432</v>
      </c>
      <c r="O48" s="75" t="s">
        <v>60</v>
      </c>
      <c r="P48" s="39">
        <f t="shared" si="10"/>
        <v>863</v>
      </c>
      <c r="Q48" s="70">
        <f t="shared" si="11"/>
        <v>-9.1848450000000005E-3</v>
      </c>
      <c r="R48" s="79">
        <f t="shared" si="14"/>
        <v>6878302.5641673096</v>
      </c>
    </row>
    <row r="49" spans="1:18">
      <c r="A49" s="40" t="s">
        <v>324</v>
      </c>
      <c r="B49" s="11" t="s">
        <v>325</v>
      </c>
      <c r="C49" s="86">
        <v>764</v>
      </c>
      <c r="D49" s="34">
        <v>-1.0362694299999999E-2</v>
      </c>
      <c r="E49" s="84">
        <v>4506090.6864566198</v>
      </c>
      <c r="F49" s="35"/>
      <c r="G49" s="47" t="s">
        <v>165</v>
      </c>
      <c r="H49" s="39">
        <f t="shared" si="6"/>
        <v>1730</v>
      </c>
      <c r="I49" s="70">
        <f t="shared" si="7"/>
        <v>2.8985507E-3</v>
      </c>
      <c r="J49" s="79">
        <f t="shared" si="12"/>
        <v>2149449.09978473</v>
      </c>
      <c r="K49" s="75" t="s">
        <v>197</v>
      </c>
      <c r="L49" s="39">
        <f t="shared" si="8"/>
        <v>12.4</v>
      </c>
      <c r="M49" s="70">
        <f t="shared" si="9"/>
        <v>-1.5873015899999999E-2</v>
      </c>
      <c r="N49" s="79">
        <f t="shared" si="13"/>
        <v>228710564.81267941</v>
      </c>
      <c r="O49" s="75" t="s">
        <v>323</v>
      </c>
      <c r="P49" s="39">
        <f t="shared" si="10"/>
        <v>105</v>
      </c>
      <c r="Q49" s="70">
        <f t="shared" si="11"/>
        <v>-9.4339622999999994E-3</v>
      </c>
      <c r="R49" s="79">
        <f t="shared" si="14"/>
        <v>25238325.958106492</v>
      </c>
    </row>
    <row r="50" spans="1:18" ht="17.25" thickBot="1">
      <c r="A50" s="40" t="s">
        <v>182</v>
      </c>
      <c r="B50" s="11" t="s">
        <v>183</v>
      </c>
      <c r="C50" s="86">
        <v>186</v>
      </c>
      <c r="D50" s="34">
        <v>-1.06382979E-2</v>
      </c>
      <c r="E50" s="84">
        <v>15662111.290231161</v>
      </c>
      <c r="F50" s="35"/>
      <c r="G50" s="48" t="s">
        <v>103</v>
      </c>
      <c r="H50" s="37">
        <f t="shared" si="6"/>
        <v>349</v>
      </c>
      <c r="I50" s="72">
        <f t="shared" si="7"/>
        <v>2.8735632000000001E-3</v>
      </c>
      <c r="J50" s="80">
        <f t="shared" si="12"/>
        <v>9152694.6395379901</v>
      </c>
      <c r="K50" s="77" t="s">
        <v>338</v>
      </c>
      <c r="L50" s="37">
        <f t="shared" si="8"/>
        <v>4.5900000000000003E-2</v>
      </c>
      <c r="M50" s="72">
        <f t="shared" si="9"/>
        <v>-1.9230769200000001E-2</v>
      </c>
      <c r="N50" s="80">
        <f t="shared" si="13"/>
        <v>88865858402.019012</v>
      </c>
      <c r="O50" s="77" t="s">
        <v>153</v>
      </c>
      <c r="P50" s="37">
        <f t="shared" si="10"/>
        <v>581</v>
      </c>
      <c r="Q50" s="72">
        <f t="shared" si="11"/>
        <v>-1.02214651E-2</v>
      </c>
      <c r="R50" s="80">
        <f t="shared" si="14"/>
        <v>6491551.6918547498</v>
      </c>
    </row>
    <row r="51" spans="1:18">
      <c r="A51" s="40" t="s">
        <v>90</v>
      </c>
      <c r="B51" s="11" t="s">
        <v>91</v>
      </c>
      <c r="C51" s="86">
        <v>22780</v>
      </c>
      <c r="D51" s="34">
        <v>-1.12847222E-2</v>
      </c>
      <c r="E51" s="84">
        <v>66842.771269019999</v>
      </c>
      <c r="F51" s="35"/>
    </row>
    <row r="52" spans="1:18" ht="17.25" thickBot="1">
      <c r="A52" s="40" t="s">
        <v>98</v>
      </c>
      <c r="B52" s="11" t="s">
        <v>99</v>
      </c>
      <c r="C52" s="86">
        <v>28010</v>
      </c>
      <c r="D52" s="34">
        <v>-1.12954465E-2</v>
      </c>
      <c r="E52" s="84">
        <v>509533.12837489002</v>
      </c>
      <c r="F52" s="35"/>
    </row>
    <row r="53" spans="1:18" ht="17.25" thickBot="1">
      <c r="A53" s="40" t="s">
        <v>326</v>
      </c>
      <c r="B53" s="11" t="s">
        <v>327</v>
      </c>
      <c r="C53" s="86">
        <v>603</v>
      </c>
      <c r="D53" s="34">
        <v>-1.1475409799999999E-2</v>
      </c>
      <c r="E53" s="84">
        <v>4919401.69536852</v>
      </c>
      <c r="F53" s="35"/>
      <c r="G53" s="135" t="s">
        <v>242</v>
      </c>
      <c r="H53" s="136"/>
      <c r="I53" s="136"/>
      <c r="J53" s="137"/>
      <c r="K53" s="135" t="s">
        <v>245</v>
      </c>
      <c r="L53" s="136"/>
      <c r="M53" s="136"/>
      <c r="N53" s="137"/>
      <c r="O53" s="135" t="s">
        <v>246</v>
      </c>
      <c r="P53" s="136"/>
      <c r="Q53" s="136"/>
      <c r="R53" s="137"/>
    </row>
    <row r="54" spans="1:18" ht="17.25" thickBot="1">
      <c r="A54" s="40" t="s">
        <v>173</v>
      </c>
      <c r="B54" s="11" t="s">
        <v>174</v>
      </c>
      <c r="C54" s="86">
        <v>20750</v>
      </c>
      <c r="D54" s="34">
        <v>-1.19047619E-2</v>
      </c>
      <c r="E54" s="84">
        <v>107187.19806653001</v>
      </c>
      <c r="F54" s="35"/>
      <c r="G54" s="200" t="s">
        <v>54</v>
      </c>
      <c r="H54" s="212">
        <f ca="1">NOW()</f>
        <v>44992.000794791667</v>
      </c>
      <c r="I54" s="213"/>
      <c r="J54" s="214"/>
      <c r="K54" s="203" t="s">
        <v>54</v>
      </c>
      <c r="L54" s="212">
        <f ca="1">NOW()</f>
        <v>44992.000794791667</v>
      </c>
      <c r="M54" s="213"/>
      <c r="N54" s="214"/>
      <c r="O54" s="203" t="s">
        <v>54</v>
      </c>
      <c r="P54" s="212">
        <f ca="1">NOW()</f>
        <v>44992.000794791667</v>
      </c>
      <c r="Q54" s="213"/>
      <c r="R54" s="214"/>
    </row>
    <row r="55" spans="1:18" ht="17.25" thickBot="1">
      <c r="A55" s="40" t="s">
        <v>328</v>
      </c>
      <c r="B55" s="11" t="s">
        <v>329</v>
      </c>
      <c r="C55" s="86">
        <v>653</v>
      </c>
      <c r="D55" s="34">
        <v>-1.21028744E-2</v>
      </c>
      <c r="E55" s="84">
        <v>2881514.1584570799</v>
      </c>
      <c r="F55" s="35"/>
      <c r="G55" s="197"/>
      <c r="H55" s="36" t="s">
        <v>57</v>
      </c>
      <c r="I55" s="36" t="s">
        <v>58</v>
      </c>
      <c r="J55" s="64" t="s">
        <v>251</v>
      </c>
      <c r="K55" s="152"/>
      <c r="L55" s="36" t="s">
        <v>57</v>
      </c>
      <c r="M55" s="36" t="s">
        <v>58</v>
      </c>
      <c r="N55" s="64" t="s">
        <v>251</v>
      </c>
      <c r="O55" s="152"/>
      <c r="P55" s="36" t="s">
        <v>57</v>
      </c>
      <c r="Q55" s="36" t="s">
        <v>58</v>
      </c>
      <c r="R55" s="64" t="s">
        <v>251</v>
      </c>
    </row>
    <row r="56" spans="1:18">
      <c r="A56" s="40" t="s">
        <v>108</v>
      </c>
      <c r="B56" s="11" t="s">
        <v>109</v>
      </c>
      <c r="C56" s="86">
        <v>1550</v>
      </c>
      <c r="D56" s="34">
        <v>-1.2738853499999999E-2</v>
      </c>
      <c r="E56" s="84">
        <v>814081.10608358996</v>
      </c>
      <c r="F56" s="35"/>
      <c r="G56" s="51" t="s">
        <v>352</v>
      </c>
      <c r="H56" s="38">
        <f t="shared" ref="H56:H75" si="15">_xlfn.IFNA(VLOOKUP(G56, $B$2:$D$200, 2, FALSE), "")</f>
        <v>199</v>
      </c>
      <c r="I56" s="69">
        <f t="shared" ref="I56:I65" si="16">_xlfn.IFNA(VLOOKUP(G56, $B$2:$D$200, 3, FALSE), "")</f>
        <v>-2.92682927E-2</v>
      </c>
      <c r="J56" s="78">
        <f>_xlfn.IFNA(VLOOKUP(G56, $B$2:$E$200, 4, FALSE), "")</f>
        <v>17627477.747375831</v>
      </c>
      <c r="K56" s="74" t="s">
        <v>320</v>
      </c>
      <c r="L56" s="38">
        <f t="shared" ref="L56:L75" si="17">_xlfn.IFNA(VLOOKUP(K56, $B$2:$D$200, 2, FALSE), "")</f>
        <v>7.01</v>
      </c>
      <c r="M56" s="69">
        <f t="shared" ref="M56:M75" si="18">_xlfn.IFNA(VLOOKUP(K56, $B$2:$D$200, 3, FALSE), "")</f>
        <v>-8.4865628999999995E-3</v>
      </c>
      <c r="N56" s="78">
        <f>_xlfn.IFNA(VLOOKUP(K56, $B$2:$E$200, 4, FALSE), "")</f>
        <v>331550170.44122434</v>
      </c>
      <c r="O56" s="74" t="s">
        <v>231</v>
      </c>
      <c r="P56" s="38">
        <f t="shared" ref="P56:P75" si="19">_xlfn.IFNA(VLOOKUP(O56, $B$2:$D$200, 2, FALSE), "")</f>
        <v>517</v>
      </c>
      <c r="Q56" s="69">
        <f t="shared" ref="Q56:Q75" si="20">_xlfn.IFNA(VLOOKUP(O56, $B$2:$D$200, 3, FALSE), "")</f>
        <v>-1.7110266200000002E-2</v>
      </c>
      <c r="R56" s="78">
        <f>_xlfn.IFNA(VLOOKUP(O56, $B$2:$E$200, 4, FALSE), "")</f>
        <v>4424108.7779733399</v>
      </c>
    </row>
    <row r="57" spans="1:18">
      <c r="A57" s="40" t="s">
        <v>146</v>
      </c>
      <c r="B57" s="11" t="s">
        <v>147</v>
      </c>
      <c r="C57" s="86">
        <v>13130</v>
      </c>
      <c r="D57" s="34">
        <v>-1.27819549E-2</v>
      </c>
      <c r="E57" s="84">
        <v>623754.72018235002</v>
      </c>
      <c r="F57" s="35"/>
      <c r="G57" s="52" t="s">
        <v>79</v>
      </c>
      <c r="H57" s="39">
        <f t="shared" si="15"/>
        <v>394</v>
      </c>
      <c r="I57" s="70">
        <f t="shared" si="16"/>
        <v>-2.9556650199999999E-2</v>
      </c>
      <c r="J57" s="79">
        <f t="shared" ref="J57:J75" si="21">_xlfn.IFNA(VLOOKUP(G57, $B$2:$E$200, 4, FALSE), "")</f>
        <v>7466111.6844329899</v>
      </c>
      <c r="K57" s="75" t="s">
        <v>332</v>
      </c>
      <c r="L57" s="39">
        <f t="shared" si="17"/>
        <v>9.48</v>
      </c>
      <c r="M57" s="70">
        <f t="shared" si="18"/>
        <v>-1.35275754E-2</v>
      </c>
      <c r="N57" s="79">
        <f t="shared" ref="N57:N75" si="22">_xlfn.IFNA(VLOOKUP(K57, $B$2:$E$200, 4, FALSE), "")</f>
        <v>305043467.97975081</v>
      </c>
      <c r="O57" s="75" t="s">
        <v>217</v>
      </c>
      <c r="P57" s="39">
        <f t="shared" si="19"/>
        <v>111</v>
      </c>
      <c r="Q57" s="70">
        <f t="shared" si="20"/>
        <v>-1.7699115000000001E-2</v>
      </c>
      <c r="R57" s="79">
        <f t="shared" ref="R57:R75" si="23">_xlfn.IFNA(VLOOKUP(O57, $B$2:$E$200, 4, FALSE), "")</f>
        <v>45597724.389488026</v>
      </c>
    </row>
    <row r="58" spans="1:18">
      <c r="A58" s="40" t="s">
        <v>330</v>
      </c>
      <c r="B58" s="11" t="s">
        <v>331</v>
      </c>
      <c r="C58" s="86">
        <v>29600</v>
      </c>
      <c r="D58" s="34">
        <v>-1.33333333E-2</v>
      </c>
      <c r="E58" s="84">
        <v>417128.27697001997</v>
      </c>
      <c r="F58" s="35"/>
      <c r="G58" s="52" t="s">
        <v>237</v>
      </c>
      <c r="H58" s="39">
        <f t="shared" si="15"/>
        <v>39.4</v>
      </c>
      <c r="I58" s="70">
        <f t="shared" si="16"/>
        <v>-2.9556650199999999E-2</v>
      </c>
      <c r="J58" s="79">
        <f t="shared" si="21"/>
        <v>50347872.870927133</v>
      </c>
      <c r="K58" s="75" t="s">
        <v>118</v>
      </c>
      <c r="L58" s="39">
        <f t="shared" si="17"/>
        <v>9.15</v>
      </c>
      <c r="M58" s="70">
        <f t="shared" si="18"/>
        <v>-1.5069967700000001E-2</v>
      </c>
      <c r="N58" s="79">
        <f t="shared" si="22"/>
        <v>316983219.67469668</v>
      </c>
      <c r="O58" s="75" t="s">
        <v>176</v>
      </c>
      <c r="P58" s="39">
        <f t="shared" si="19"/>
        <v>440</v>
      </c>
      <c r="Q58" s="70">
        <f t="shared" si="20"/>
        <v>-1.7857142900000001E-2</v>
      </c>
      <c r="R58" s="79">
        <f t="shared" si="23"/>
        <v>2974228.3476281799</v>
      </c>
    </row>
    <row r="59" spans="1:18">
      <c r="A59" s="40" t="s">
        <v>186</v>
      </c>
      <c r="B59" s="11" t="s">
        <v>187</v>
      </c>
      <c r="C59" s="86">
        <v>1105</v>
      </c>
      <c r="D59" s="34">
        <v>-1.3392857100000001E-2</v>
      </c>
      <c r="E59" s="84">
        <v>1373040.1953230801</v>
      </c>
      <c r="F59" s="35"/>
      <c r="G59" s="52" t="s">
        <v>213</v>
      </c>
      <c r="H59" s="39">
        <f t="shared" si="15"/>
        <v>687</v>
      </c>
      <c r="I59" s="70">
        <f t="shared" si="16"/>
        <v>-3.1029619200000001E-2</v>
      </c>
      <c r="J59" s="79">
        <f t="shared" si="21"/>
        <v>10031787.28147185</v>
      </c>
      <c r="K59" s="75" t="s">
        <v>334</v>
      </c>
      <c r="L59" s="39">
        <f t="shared" si="17"/>
        <v>51.7</v>
      </c>
      <c r="M59" s="70">
        <f t="shared" si="18"/>
        <v>-1.5238095199999999E-2</v>
      </c>
      <c r="N59" s="79">
        <f t="shared" si="22"/>
        <v>67640929.681523204</v>
      </c>
      <c r="O59" s="75" t="s">
        <v>169</v>
      </c>
      <c r="P59" s="39">
        <f t="shared" si="19"/>
        <v>324</v>
      </c>
      <c r="Q59" s="70">
        <f t="shared" si="20"/>
        <v>-1.8181818200000002E-2</v>
      </c>
      <c r="R59" s="79">
        <f t="shared" si="23"/>
        <v>4353535.42146945</v>
      </c>
    </row>
    <row r="60" spans="1:18">
      <c r="A60" s="40" t="s">
        <v>170</v>
      </c>
      <c r="B60" s="11" t="s">
        <v>332</v>
      </c>
      <c r="C60" s="86">
        <v>9.48</v>
      </c>
      <c r="D60" s="34">
        <v>-1.35275754E-2</v>
      </c>
      <c r="E60" s="84">
        <v>305043467.97975081</v>
      </c>
      <c r="F60" s="35"/>
      <c r="G60" s="52" t="s">
        <v>68</v>
      </c>
      <c r="H60" s="39">
        <f t="shared" si="15"/>
        <v>639</v>
      </c>
      <c r="I60" s="70">
        <f t="shared" si="16"/>
        <v>-3.6199095000000001E-2</v>
      </c>
      <c r="J60" s="83">
        <f t="shared" si="21"/>
        <v>8839395.4664429706</v>
      </c>
      <c r="K60" s="76" t="s">
        <v>203</v>
      </c>
      <c r="L60" s="44">
        <f t="shared" si="17"/>
        <v>5.15</v>
      </c>
      <c r="M60" s="71">
        <f t="shared" si="18"/>
        <v>-1.52963671E-2</v>
      </c>
      <c r="N60" s="83">
        <f t="shared" si="22"/>
        <v>417439993.78235406</v>
      </c>
      <c r="O60" s="76" t="s">
        <v>336</v>
      </c>
      <c r="P60" s="44">
        <f t="shared" si="19"/>
        <v>431</v>
      </c>
      <c r="Q60" s="71">
        <f t="shared" si="20"/>
        <v>-1.8223234599999999E-2</v>
      </c>
      <c r="R60" s="83">
        <f t="shared" si="23"/>
        <v>6184769.2895233398</v>
      </c>
    </row>
    <row r="61" spans="1:18">
      <c r="A61" s="40" t="s">
        <v>150</v>
      </c>
      <c r="B61" s="11" t="s">
        <v>151</v>
      </c>
      <c r="C61" s="86">
        <v>3550</v>
      </c>
      <c r="D61" s="34">
        <v>-1.38888889E-2</v>
      </c>
      <c r="E61" s="84">
        <v>1366856.0390632099</v>
      </c>
      <c r="F61" s="35"/>
      <c r="G61" s="56" t="s">
        <v>215</v>
      </c>
      <c r="H61" s="45">
        <f t="shared" si="15"/>
        <v>553</v>
      </c>
      <c r="I61" s="73">
        <f t="shared" si="16"/>
        <v>-3.65853659E-2</v>
      </c>
      <c r="J61" s="89">
        <f t="shared" si="21"/>
        <v>28190690.16532011</v>
      </c>
      <c r="K61" s="75" t="s">
        <v>335</v>
      </c>
      <c r="L61" s="39">
        <f t="shared" si="17"/>
        <v>94.8</v>
      </c>
      <c r="M61" s="70">
        <f t="shared" si="18"/>
        <v>-1.5576324000000001E-2</v>
      </c>
      <c r="N61" s="89">
        <f t="shared" si="22"/>
        <v>36615033.809804432</v>
      </c>
      <c r="O61" s="75" t="s">
        <v>223</v>
      </c>
      <c r="P61" s="39">
        <f t="shared" si="19"/>
        <v>314</v>
      </c>
      <c r="Q61" s="70">
        <f t="shared" si="20"/>
        <v>-1.8749999999999999E-2</v>
      </c>
      <c r="R61" s="89">
        <f t="shared" si="23"/>
        <v>9261930.7022028901</v>
      </c>
    </row>
    <row r="62" spans="1:18">
      <c r="A62" s="40" t="s">
        <v>76</v>
      </c>
      <c r="B62" s="11" t="s">
        <v>77</v>
      </c>
      <c r="C62" s="86">
        <v>177200</v>
      </c>
      <c r="D62" s="34">
        <v>-1.4734501000000001E-2</v>
      </c>
      <c r="E62" s="84">
        <v>12756.34150074</v>
      </c>
      <c r="F62" s="35"/>
      <c r="G62" s="52" t="s">
        <v>105</v>
      </c>
      <c r="H62" s="39">
        <f t="shared" si="15"/>
        <v>335</v>
      </c>
      <c r="I62" s="70">
        <f t="shared" si="16"/>
        <v>-3.7356321800000002E-2</v>
      </c>
      <c r="J62" s="79">
        <f t="shared" si="21"/>
        <v>13756784.288343299</v>
      </c>
      <c r="K62" s="75" t="s">
        <v>197</v>
      </c>
      <c r="L62" s="39">
        <f t="shared" si="17"/>
        <v>12.4</v>
      </c>
      <c r="M62" s="70">
        <f t="shared" si="18"/>
        <v>-1.5873015899999999E-2</v>
      </c>
      <c r="N62" s="79">
        <f t="shared" si="22"/>
        <v>228710564.81267941</v>
      </c>
      <c r="O62" s="75" t="s">
        <v>111</v>
      </c>
      <c r="P62" s="39">
        <f t="shared" si="19"/>
        <v>930</v>
      </c>
      <c r="Q62" s="70">
        <f t="shared" si="20"/>
        <v>-1.8987341800000002E-2</v>
      </c>
      <c r="R62" s="79">
        <f t="shared" si="23"/>
        <v>16624066.38113513</v>
      </c>
    </row>
    <row r="63" spans="1:18">
      <c r="A63" s="40" t="s">
        <v>117</v>
      </c>
      <c r="B63" s="11" t="s">
        <v>118</v>
      </c>
      <c r="C63" s="86">
        <v>9.15</v>
      </c>
      <c r="D63" s="34">
        <v>-1.5069967700000001E-2</v>
      </c>
      <c r="E63" s="84">
        <v>316983219.67469668</v>
      </c>
      <c r="F63" s="35"/>
      <c r="G63" s="52" t="s">
        <v>134</v>
      </c>
      <c r="H63" s="39">
        <f t="shared" si="15"/>
        <v>2295</v>
      </c>
      <c r="I63" s="70">
        <f t="shared" si="16"/>
        <v>-3.7735849100000003E-2</v>
      </c>
      <c r="J63" s="79">
        <f t="shared" si="21"/>
        <v>1620370.0290272699</v>
      </c>
      <c r="K63" s="75" t="s">
        <v>338</v>
      </c>
      <c r="L63" s="39">
        <f t="shared" si="17"/>
        <v>4.5900000000000003E-2</v>
      </c>
      <c r="M63" s="70">
        <f t="shared" si="18"/>
        <v>-1.9230769200000001E-2</v>
      </c>
      <c r="N63" s="79">
        <f t="shared" si="22"/>
        <v>88865858402.019012</v>
      </c>
      <c r="O63" s="75" t="s">
        <v>199</v>
      </c>
      <c r="P63" s="39">
        <f t="shared" si="19"/>
        <v>423</v>
      </c>
      <c r="Q63" s="70">
        <f t="shared" si="20"/>
        <v>-2.08333333E-2</v>
      </c>
      <c r="R63" s="79">
        <f t="shared" si="23"/>
        <v>6438206.9370870898</v>
      </c>
    </row>
    <row r="64" spans="1:18">
      <c r="A64" s="40" t="s">
        <v>333</v>
      </c>
      <c r="B64" s="11" t="s">
        <v>334</v>
      </c>
      <c r="C64" s="86">
        <v>51.7</v>
      </c>
      <c r="D64" s="34">
        <v>-1.5238095199999999E-2</v>
      </c>
      <c r="E64" s="84">
        <v>67640929.681523204</v>
      </c>
      <c r="F64" s="35"/>
      <c r="G64" s="52" t="s">
        <v>155</v>
      </c>
      <c r="H64" s="39">
        <f t="shared" si="15"/>
        <v>40.200000000000003</v>
      </c>
      <c r="I64" s="70">
        <f t="shared" si="16"/>
        <v>-3.8277512E-2</v>
      </c>
      <c r="J64" s="79">
        <f t="shared" si="21"/>
        <v>150388748.69252172</v>
      </c>
      <c r="K64" s="75" t="s">
        <v>64</v>
      </c>
      <c r="L64" s="39">
        <f t="shared" si="17"/>
        <v>15.1</v>
      </c>
      <c r="M64" s="70">
        <f t="shared" si="18"/>
        <v>-1.9480519500000001E-2</v>
      </c>
      <c r="N64" s="79">
        <f t="shared" si="22"/>
        <v>109574868.50750466</v>
      </c>
      <c r="O64" s="75" t="s">
        <v>149</v>
      </c>
      <c r="P64" s="39">
        <f t="shared" si="19"/>
        <v>628</v>
      </c>
      <c r="Q64" s="70">
        <f t="shared" si="20"/>
        <v>-2.33281493E-2</v>
      </c>
      <c r="R64" s="79">
        <f t="shared" si="23"/>
        <v>2936428.9743726701</v>
      </c>
    </row>
    <row r="65" spans="1:18" ht="17.25" thickBot="1">
      <c r="A65" s="40" t="s">
        <v>202</v>
      </c>
      <c r="B65" s="11" t="s">
        <v>203</v>
      </c>
      <c r="C65" s="86">
        <v>5.15</v>
      </c>
      <c r="D65" s="34">
        <v>-1.52963671E-2</v>
      </c>
      <c r="E65" s="84">
        <v>417439993.78235406</v>
      </c>
      <c r="F65" s="35"/>
      <c r="G65" s="53" t="s">
        <v>130</v>
      </c>
      <c r="H65" s="37">
        <f t="shared" si="15"/>
        <v>1125</v>
      </c>
      <c r="I65" s="72">
        <f t="shared" si="16"/>
        <v>-3.8461538500000003E-2</v>
      </c>
      <c r="J65" s="80">
        <f t="shared" si="21"/>
        <v>4745047.2301752698</v>
      </c>
      <c r="K65" s="77" t="s">
        <v>126</v>
      </c>
      <c r="L65" s="37">
        <f t="shared" si="17"/>
        <v>42.3</v>
      </c>
      <c r="M65" s="72">
        <f t="shared" si="18"/>
        <v>-2.08333333E-2</v>
      </c>
      <c r="N65" s="80">
        <f t="shared" si="22"/>
        <v>123094314.02280647</v>
      </c>
      <c r="O65" s="77" t="s">
        <v>209</v>
      </c>
      <c r="P65" s="37">
        <f t="shared" si="19"/>
        <v>148</v>
      </c>
      <c r="Q65" s="72">
        <f t="shared" si="20"/>
        <v>-2.6315789499999999E-2</v>
      </c>
      <c r="R65" s="80">
        <f t="shared" si="23"/>
        <v>64782059.785865448</v>
      </c>
    </row>
    <row r="66" spans="1:18">
      <c r="A66" s="40" t="s">
        <v>53</v>
      </c>
      <c r="B66" s="11" t="s">
        <v>335</v>
      </c>
      <c r="C66" s="86">
        <v>94.8</v>
      </c>
      <c r="D66" s="34">
        <v>-1.5576324000000001E-2</v>
      </c>
      <c r="E66" s="84">
        <v>36615033.809804432</v>
      </c>
      <c r="F66" s="35"/>
      <c r="G66" s="52" t="s">
        <v>124</v>
      </c>
      <c r="H66" s="38">
        <f t="shared" si="15"/>
        <v>47.1</v>
      </c>
      <c r="I66" s="69">
        <f t="shared" ref="I66:I75" si="24">_xlfn.IFNA(VLOOKUP(G66, $B$2:$D$200, 3, FALSE), "")</f>
        <v>-3.8775510200000002E-2</v>
      </c>
      <c r="J66" s="78">
        <f t="shared" si="21"/>
        <v>139317467.46827576</v>
      </c>
      <c r="K66" s="74" t="s">
        <v>141</v>
      </c>
      <c r="L66" s="38">
        <f t="shared" si="17"/>
        <v>6.02</v>
      </c>
      <c r="M66" s="69">
        <f t="shared" si="18"/>
        <v>-2.2727272699999999E-2</v>
      </c>
      <c r="N66" s="78">
        <f t="shared" si="22"/>
        <v>1031632843.0687228</v>
      </c>
      <c r="O66" s="74" t="s">
        <v>346</v>
      </c>
      <c r="P66" s="38">
        <f t="shared" si="19"/>
        <v>331</v>
      </c>
      <c r="Q66" s="69">
        <f t="shared" si="20"/>
        <v>-2.6470588199999999E-2</v>
      </c>
      <c r="R66" s="78">
        <f t="shared" si="23"/>
        <v>10788846.931338221</v>
      </c>
    </row>
    <row r="67" spans="1:18">
      <c r="A67" s="40" t="s">
        <v>196</v>
      </c>
      <c r="B67" s="11" t="s">
        <v>197</v>
      </c>
      <c r="C67" s="86">
        <v>12.4</v>
      </c>
      <c r="D67" s="34">
        <v>-1.5873015899999999E-2</v>
      </c>
      <c r="E67" s="84">
        <v>228710564.81267941</v>
      </c>
      <c r="F67" s="35"/>
      <c r="G67" s="52" t="s">
        <v>101</v>
      </c>
      <c r="H67" s="39">
        <f t="shared" si="15"/>
        <v>335</v>
      </c>
      <c r="I67" s="70">
        <f t="shared" si="24"/>
        <v>-4.0114613200000003E-2</v>
      </c>
      <c r="J67" s="79">
        <f t="shared" si="21"/>
        <v>7926135.0923579698</v>
      </c>
      <c r="K67" s="75" t="s">
        <v>143</v>
      </c>
      <c r="L67" s="39">
        <f t="shared" si="17"/>
        <v>6.63</v>
      </c>
      <c r="M67" s="70">
        <f t="shared" si="18"/>
        <v>-2.3564064799999999E-2</v>
      </c>
      <c r="N67" s="79">
        <f t="shared" si="22"/>
        <v>252013066.06666037</v>
      </c>
      <c r="O67" s="75" t="s">
        <v>352</v>
      </c>
      <c r="P67" s="39">
        <f t="shared" si="19"/>
        <v>199</v>
      </c>
      <c r="Q67" s="70">
        <f t="shared" si="20"/>
        <v>-2.92682927E-2</v>
      </c>
      <c r="R67" s="79">
        <f t="shared" si="23"/>
        <v>17627477.747375831</v>
      </c>
    </row>
    <row r="68" spans="1:18">
      <c r="A68" s="40" t="s">
        <v>230</v>
      </c>
      <c r="B68" s="11" t="s">
        <v>231</v>
      </c>
      <c r="C68" s="86">
        <v>517</v>
      </c>
      <c r="D68" s="34">
        <v>-1.7110266200000002E-2</v>
      </c>
      <c r="E68" s="84">
        <v>4424108.7779733399</v>
      </c>
      <c r="F68" s="35"/>
      <c r="G68" s="52" t="s">
        <v>161</v>
      </c>
      <c r="H68" s="39">
        <f t="shared" si="15"/>
        <v>1155</v>
      </c>
      <c r="I68" s="70">
        <f t="shared" si="24"/>
        <v>-4.5454545499999999E-2</v>
      </c>
      <c r="J68" s="79">
        <f t="shared" si="21"/>
        <v>97067320.68293114</v>
      </c>
      <c r="K68" s="75" t="s">
        <v>122</v>
      </c>
      <c r="L68" s="39">
        <f t="shared" si="17"/>
        <v>36.6</v>
      </c>
      <c r="M68" s="70">
        <f t="shared" si="18"/>
        <v>-2.4E-2</v>
      </c>
      <c r="N68" s="79">
        <f t="shared" si="22"/>
        <v>116534677.83615109</v>
      </c>
      <c r="O68" s="75" t="s">
        <v>79</v>
      </c>
      <c r="P68" s="39">
        <f t="shared" si="19"/>
        <v>394</v>
      </c>
      <c r="Q68" s="70">
        <f t="shared" si="20"/>
        <v>-2.9556650199999999E-2</v>
      </c>
      <c r="R68" s="79">
        <f t="shared" si="23"/>
        <v>7466111.6844329899</v>
      </c>
    </row>
    <row r="69" spans="1:18">
      <c r="A69" s="40" t="s">
        <v>216</v>
      </c>
      <c r="B69" s="11" t="s">
        <v>217</v>
      </c>
      <c r="C69" s="86">
        <v>111</v>
      </c>
      <c r="D69" s="34">
        <v>-1.7699115000000001E-2</v>
      </c>
      <c r="E69" s="84">
        <v>45597724.389488026</v>
      </c>
      <c r="F69" s="35"/>
      <c r="G69" s="52" t="s">
        <v>159</v>
      </c>
      <c r="H69" s="39">
        <f t="shared" si="15"/>
        <v>288</v>
      </c>
      <c r="I69" s="70">
        <f t="shared" si="24"/>
        <v>-4.6357615900000003E-2</v>
      </c>
      <c r="J69" s="79">
        <f t="shared" si="21"/>
        <v>59012103.086027943</v>
      </c>
      <c r="K69" s="75" t="s">
        <v>71</v>
      </c>
      <c r="L69" s="39">
        <f t="shared" si="17"/>
        <v>15.5</v>
      </c>
      <c r="M69" s="70">
        <f t="shared" si="18"/>
        <v>-2.5157232700000001E-2</v>
      </c>
      <c r="N69" s="79">
        <f t="shared" si="22"/>
        <v>100173346.78211758</v>
      </c>
      <c r="O69" s="75" t="s">
        <v>213</v>
      </c>
      <c r="P69" s="39">
        <f t="shared" si="19"/>
        <v>687</v>
      </c>
      <c r="Q69" s="70">
        <f t="shared" si="20"/>
        <v>-3.1029619200000001E-2</v>
      </c>
      <c r="R69" s="79">
        <f t="shared" si="23"/>
        <v>10031787.28147185</v>
      </c>
    </row>
    <row r="70" spans="1:18">
      <c r="A70" s="40" t="s">
        <v>175</v>
      </c>
      <c r="B70" s="11" t="s">
        <v>176</v>
      </c>
      <c r="C70" s="86">
        <v>440</v>
      </c>
      <c r="D70" s="34">
        <v>-1.7857142900000001E-2</v>
      </c>
      <c r="E70" s="84">
        <v>2974228.3476281799</v>
      </c>
      <c r="F70" s="35"/>
      <c r="G70" s="52" t="s">
        <v>138</v>
      </c>
      <c r="H70" s="39">
        <f t="shared" si="15"/>
        <v>53.5</v>
      </c>
      <c r="I70" s="70">
        <f t="shared" si="24"/>
        <v>-4.97335702E-2</v>
      </c>
      <c r="J70" s="83">
        <f t="shared" si="21"/>
        <v>756713658.27155209</v>
      </c>
      <c r="K70" s="76" t="s">
        <v>227</v>
      </c>
      <c r="L70" s="44">
        <f t="shared" si="17"/>
        <v>64.8</v>
      </c>
      <c r="M70" s="71">
        <f t="shared" si="18"/>
        <v>-2.8485757099999998E-2</v>
      </c>
      <c r="N70" s="83">
        <f t="shared" si="22"/>
        <v>110408109.27523087</v>
      </c>
      <c r="O70" s="76" t="s">
        <v>68</v>
      </c>
      <c r="P70" s="44">
        <f t="shared" si="19"/>
        <v>639</v>
      </c>
      <c r="Q70" s="71">
        <f t="shared" si="20"/>
        <v>-3.6199095000000001E-2</v>
      </c>
      <c r="R70" s="83">
        <f t="shared" si="23"/>
        <v>8839395.4664429706</v>
      </c>
    </row>
    <row r="71" spans="1:18">
      <c r="A71" s="40" t="s">
        <v>168</v>
      </c>
      <c r="B71" s="11" t="s">
        <v>169</v>
      </c>
      <c r="C71" s="86">
        <v>324</v>
      </c>
      <c r="D71" s="34">
        <v>-1.8181818200000002E-2</v>
      </c>
      <c r="E71" s="84">
        <v>4353535.42146945</v>
      </c>
      <c r="F71" s="35"/>
      <c r="G71" s="56" t="s">
        <v>172</v>
      </c>
      <c r="H71" s="45">
        <f t="shared" si="15"/>
        <v>4410</v>
      </c>
      <c r="I71" s="73">
        <f t="shared" si="24"/>
        <v>-5.1612903199999997E-2</v>
      </c>
      <c r="J71" s="89">
        <f t="shared" si="21"/>
        <v>1174314.1296940499</v>
      </c>
      <c r="K71" s="75" t="s">
        <v>237</v>
      </c>
      <c r="L71" s="39">
        <f t="shared" si="17"/>
        <v>39.4</v>
      </c>
      <c r="M71" s="70">
        <f t="shared" si="18"/>
        <v>-2.9556650199999999E-2</v>
      </c>
      <c r="N71" s="89">
        <f t="shared" si="22"/>
        <v>50347872.870927133</v>
      </c>
      <c r="O71" s="75" t="s">
        <v>215</v>
      </c>
      <c r="P71" s="39">
        <f t="shared" si="19"/>
        <v>553</v>
      </c>
      <c r="Q71" s="70">
        <f t="shared" si="20"/>
        <v>-3.65853659E-2</v>
      </c>
      <c r="R71" s="89">
        <f t="shared" si="23"/>
        <v>28190690.16532011</v>
      </c>
    </row>
    <row r="72" spans="1:18">
      <c r="A72" s="40" t="s">
        <v>139</v>
      </c>
      <c r="B72" s="11" t="s">
        <v>336</v>
      </c>
      <c r="C72" s="86">
        <v>431</v>
      </c>
      <c r="D72" s="34">
        <v>-1.8223234599999999E-2</v>
      </c>
      <c r="E72" s="84">
        <v>6184769.2895233398</v>
      </c>
      <c r="F72" s="35"/>
      <c r="G72" s="52" t="s">
        <v>205</v>
      </c>
      <c r="H72" s="39">
        <f t="shared" si="15"/>
        <v>158</v>
      </c>
      <c r="I72" s="70">
        <f t="shared" si="24"/>
        <v>-5.3892215600000001E-2</v>
      </c>
      <c r="J72" s="79">
        <f t="shared" si="21"/>
        <v>49040155.593372203</v>
      </c>
      <c r="K72" s="75" t="s">
        <v>155</v>
      </c>
      <c r="L72" s="39">
        <f t="shared" si="17"/>
        <v>40.200000000000003</v>
      </c>
      <c r="M72" s="70">
        <f t="shared" si="18"/>
        <v>-3.8277512E-2</v>
      </c>
      <c r="N72" s="79">
        <f t="shared" si="22"/>
        <v>150388748.69252172</v>
      </c>
      <c r="O72" s="75" t="s">
        <v>105</v>
      </c>
      <c r="P72" s="39">
        <f t="shared" si="19"/>
        <v>335</v>
      </c>
      <c r="Q72" s="70">
        <f t="shared" si="20"/>
        <v>-3.7356321800000002E-2</v>
      </c>
      <c r="R72" s="79">
        <f t="shared" si="23"/>
        <v>13756784.288343299</v>
      </c>
    </row>
    <row r="73" spans="1:18">
      <c r="A73" s="40" t="s">
        <v>222</v>
      </c>
      <c r="B73" s="11" t="s">
        <v>223</v>
      </c>
      <c r="C73" s="86">
        <v>314</v>
      </c>
      <c r="D73" s="34">
        <v>-1.8749999999999999E-2</v>
      </c>
      <c r="E73" s="84">
        <v>9261930.7022028901</v>
      </c>
      <c r="F73" s="35"/>
      <c r="G73" s="52" t="s">
        <v>136</v>
      </c>
      <c r="H73" s="39">
        <f t="shared" si="15"/>
        <v>4580</v>
      </c>
      <c r="I73" s="70">
        <f t="shared" si="24"/>
        <v>-5.7613168700000002E-2</v>
      </c>
      <c r="J73" s="79">
        <f t="shared" si="21"/>
        <v>2893494.8959110798</v>
      </c>
      <c r="K73" s="75" t="s">
        <v>124</v>
      </c>
      <c r="L73" s="39">
        <f t="shared" si="17"/>
        <v>47.1</v>
      </c>
      <c r="M73" s="70">
        <f t="shared" si="18"/>
        <v>-3.8775510200000002E-2</v>
      </c>
      <c r="N73" s="79">
        <f t="shared" si="22"/>
        <v>139317467.46827576</v>
      </c>
      <c r="O73" s="75" t="s">
        <v>101</v>
      </c>
      <c r="P73" s="39">
        <f t="shared" si="19"/>
        <v>335</v>
      </c>
      <c r="Q73" s="70">
        <f t="shared" si="20"/>
        <v>-4.0114613200000003E-2</v>
      </c>
      <c r="R73" s="79">
        <f t="shared" si="23"/>
        <v>7926135.0923579698</v>
      </c>
    </row>
    <row r="74" spans="1:18">
      <c r="A74" s="40" t="s">
        <v>110</v>
      </c>
      <c r="B74" s="11" t="s">
        <v>111</v>
      </c>
      <c r="C74" s="86">
        <v>930</v>
      </c>
      <c r="D74" s="34">
        <v>-1.8987341800000002E-2</v>
      </c>
      <c r="E74" s="84">
        <v>16624066.38113513</v>
      </c>
      <c r="F74" s="35"/>
      <c r="G74" s="52" t="s">
        <v>62</v>
      </c>
      <c r="H74" s="39">
        <f t="shared" si="15"/>
        <v>16410</v>
      </c>
      <c r="I74" s="70">
        <f t="shared" si="24"/>
        <v>-6.7083570199999998E-2</v>
      </c>
      <c r="J74" s="79">
        <f t="shared" si="21"/>
        <v>1598125.09635138</v>
      </c>
      <c r="K74" s="75" t="s">
        <v>138</v>
      </c>
      <c r="L74" s="39">
        <f t="shared" si="17"/>
        <v>53.5</v>
      </c>
      <c r="M74" s="70">
        <f t="shared" si="18"/>
        <v>-4.97335702E-2</v>
      </c>
      <c r="N74" s="79">
        <f t="shared" si="22"/>
        <v>756713658.27155209</v>
      </c>
      <c r="O74" s="75" t="s">
        <v>159</v>
      </c>
      <c r="P74" s="39">
        <f t="shared" si="19"/>
        <v>288</v>
      </c>
      <c r="Q74" s="70">
        <f t="shared" si="20"/>
        <v>-4.6357615900000003E-2</v>
      </c>
      <c r="R74" s="79">
        <f t="shared" si="23"/>
        <v>59012103.086027943</v>
      </c>
    </row>
    <row r="75" spans="1:18" ht="17.25" thickBot="1">
      <c r="A75" s="40" t="s">
        <v>337</v>
      </c>
      <c r="B75" s="11" t="s">
        <v>338</v>
      </c>
      <c r="C75" s="86">
        <v>4.5900000000000003E-2</v>
      </c>
      <c r="D75" s="34">
        <v>-1.9230769200000001E-2</v>
      </c>
      <c r="E75" s="84">
        <v>88865858402.019012</v>
      </c>
      <c r="F75" s="35"/>
      <c r="G75" s="53" t="s">
        <v>56</v>
      </c>
      <c r="H75" s="37">
        <f t="shared" si="15"/>
        <v>69</v>
      </c>
      <c r="I75" s="72">
        <f t="shared" si="24"/>
        <v>-0.1198979592</v>
      </c>
      <c r="J75" s="80">
        <f t="shared" si="21"/>
        <v>2079439141.4146214</v>
      </c>
      <c r="K75" s="77" t="s">
        <v>56</v>
      </c>
      <c r="L75" s="37">
        <f t="shared" si="17"/>
        <v>69</v>
      </c>
      <c r="M75" s="72">
        <f t="shared" si="18"/>
        <v>-0.1198979592</v>
      </c>
      <c r="N75" s="80">
        <f t="shared" si="22"/>
        <v>2079439141.4146214</v>
      </c>
      <c r="O75" s="77" t="s">
        <v>205</v>
      </c>
      <c r="P75" s="37">
        <f t="shared" si="19"/>
        <v>158</v>
      </c>
      <c r="Q75" s="72">
        <f t="shared" si="20"/>
        <v>-5.3892215600000001E-2</v>
      </c>
      <c r="R75" s="80">
        <f t="shared" si="23"/>
        <v>49040155.593372203</v>
      </c>
    </row>
    <row r="76" spans="1:18">
      <c r="A76" s="40" t="s">
        <v>339</v>
      </c>
      <c r="B76" s="11" t="s">
        <v>340</v>
      </c>
      <c r="C76" s="86">
        <v>1015</v>
      </c>
      <c r="D76" s="34">
        <v>-1.93236715E-2</v>
      </c>
      <c r="E76" s="84">
        <v>4555705.9293432403</v>
      </c>
      <c r="F76" s="35"/>
      <c r="G76" s="35"/>
      <c r="H76" s="35"/>
      <c r="I76" s="35"/>
    </row>
    <row r="77" spans="1:18">
      <c r="A77" s="40" t="s">
        <v>63</v>
      </c>
      <c r="B77" s="11" t="s">
        <v>64</v>
      </c>
      <c r="C77" s="86">
        <v>15.1</v>
      </c>
      <c r="D77" s="34">
        <v>-1.9480519500000001E-2</v>
      </c>
      <c r="E77" s="84">
        <v>109574868.50750466</v>
      </c>
      <c r="F77" s="35"/>
      <c r="G77" s="35"/>
      <c r="H77" s="35"/>
      <c r="I77" s="35"/>
    </row>
    <row r="78" spans="1:18">
      <c r="A78" s="40" t="s">
        <v>341</v>
      </c>
      <c r="B78" s="11" t="s">
        <v>342</v>
      </c>
      <c r="C78" s="86">
        <v>104750</v>
      </c>
      <c r="D78" s="34">
        <v>-2.0112254400000001E-2</v>
      </c>
      <c r="E78" s="84">
        <v>23355.785593929999</v>
      </c>
      <c r="F78" s="35"/>
      <c r="G78" s="35"/>
      <c r="H78" s="35"/>
      <c r="I78" s="35"/>
    </row>
    <row r="79" spans="1:18">
      <c r="A79" s="40" t="s">
        <v>198</v>
      </c>
      <c r="B79" s="11" t="s">
        <v>199</v>
      </c>
      <c r="C79" s="86">
        <v>423</v>
      </c>
      <c r="D79" s="34">
        <v>-2.08333333E-2</v>
      </c>
      <c r="E79" s="84">
        <v>6438206.9370870898</v>
      </c>
      <c r="F79" s="35"/>
      <c r="G79" s="35"/>
      <c r="H79" s="35"/>
      <c r="I79" s="35"/>
    </row>
    <row r="80" spans="1:18">
      <c r="A80" s="40" t="s">
        <v>125</v>
      </c>
      <c r="B80" s="11" t="s">
        <v>126</v>
      </c>
      <c r="C80" s="86">
        <v>42.3</v>
      </c>
      <c r="D80" s="34">
        <v>-2.08333333E-2</v>
      </c>
      <c r="E80" s="84">
        <v>123094314.02280647</v>
      </c>
      <c r="F80" s="35"/>
      <c r="G80" s="35"/>
      <c r="H80" s="35"/>
      <c r="I80" s="35"/>
    </row>
    <row r="81" spans="1:9">
      <c r="A81" s="40" t="s">
        <v>188</v>
      </c>
      <c r="B81" s="11" t="s">
        <v>189</v>
      </c>
      <c r="C81" s="86">
        <v>1580</v>
      </c>
      <c r="D81" s="34">
        <v>-2.1671826599999999E-2</v>
      </c>
      <c r="E81" s="84">
        <v>5041711.0028890604</v>
      </c>
      <c r="F81" s="35"/>
      <c r="G81" s="35"/>
      <c r="H81" s="35"/>
      <c r="I81" s="35"/>
    </row>
    <row r="82" spans="1:9">
      <c r="A82" s="40" t="s">
        <v>343</v>
      </c>
      <c r="B82" s="11" t="s">
        <v>344</v>
      </c>
      <c r="C82" s="86">
        <v>16100</v>
      </c>
      <c r="D82" s="34">
        <v>-2.1871202900000001E-2</v>
      </c>
      <c r="E82" s="84">
        <v>1794396.5190047501</v>
      </c>
      <c r="F82" s="35"/>
      <c r="G82" s="35"/>
      <c r="H82" s="35"/>
      <c r="I82" s="35"/>
    </row>
    <row r="83" spans="1:9">
      <c r="A83" s="40" t="s">
        <v>140</v>
      </c>
      <c r="B83" s="11" t="s">
        <v>141</v>
      </c>
      <c r="C83" s="86">
        <v>6.02</v>
      </c>
      <c r="D83" s="34">
        <v>-2.2727272699999999E-2</v>
      </c>
      <c r="E83" s="84">
        <v>1031632843.0687228</v>
      </c>
      <c r="F83" s="35"/>
      <c r="G83" s="35"/>
      <c r="H83" s="35"/>
      <c r="I83" s="35"/>
    </row>
    <row r="84" spans="1:9">
      <c r="A84" s="40" t="s">
        <v>127</v>
      </c>
      <c r="B84" s="11" t="s">
        <v>128</v>
      </c>
      <c r="C84" s="86">
        <v>8580</v>
      </c>
      <c r="D84" s="34">
        <v>-2.2779043299999999E-2</v>
      </c>
      <c r="E84" s="84">
        <v>271096.64259325998</v>
      </c>
      <c r="F84" s="35"/>
      <c r="G84" s="35"/>
      <c r="H84" s="35"/>
      <c r="I84" s="35"/>
    </row>
    <row r="85" spans="1:9">
      <c r="A85" s="40" t="s">
        <v>148</v>
      </c>
      <c r="B85" s="11" t="s">
        <v>149</v>
      </c>
      <c r="C85" s="86">
        <v>628</v>
      </c>
      <c r="D85" s="34">
        <v>-2.33281493E-2</v>
      </c>
      <c r="E85" s="84">
        <v>2936428.9743726701</v>
      </c>
      <c r="F85" s="35"/>
      <c r="G85" s="35"/>
      <c r="H85" s="35"/>
      <c r="I85" s="35"/>
    </row>
    <row r="86" spans="1:9">
      <c r="A86" s="40" t="s">
        <v>142</v>
      </c>
      <c r="B86" s="11" t="s">
        <v>143</v>
      </c>
      <c r="C86" s="86">
        <v>6.63</v>
      </c>
      <c r="D86" s="34">
        <v>-2.3564064799999999E-2</v>
      </c>
      <c r="E86" s="84">
        <v>252013066.06666037</v>
      </c>
      <c r="F86" s="35"/>
      <c r="G86" s="35"/>
      <c r="H86" s="35"/>
      <c r="I86" s="35"/>
    </row>
    <row r="87" spans="1:9">
      <c r="A87" s="40" t="s">
        <v>121</v>
      </c>
      <c r="B87" s="11" t="s">
        <v>122</v>
      </c>
      <c r="C87" s="86">
        <v>36.6</v>
      </c>
      <c r="D87" s="34">
        <v>-2.4E-2</v>
      </c>
      <c r="E87" s="84">
        <v>116534677.83615109</v>
      </c>
      <c r="F87" s="35"/>
      <c r="G87" s="35"/>
      <c r="H87" s="35"/>
      <c r="I87" s="35"/>
    </row>
    <row r="88" spans="1:9">
      <c r="A88" s="40" t="s">
        <v>70</v>
      </c>
      <c r="B88" s="11" t="s">
        <v>71</v>
      </c>
      <c r="C88" s="86">
        <v>15.5</v>
      </c>
      <c r="D88" s="34">
        <v>-2.5157232700000001E-2</v>
      </c>
      <c r="E88" s="84">
        <v>100173346.78211758</v>
      </c>
      <c r="F88" s="35"/>
      <c r="G88" s="35"/>
      <c r="H88" s="35"/>
      <c r="I88" s="35"/>
    </row>
    <row r="89" spans="1:9">
      <c r="A89" s="40" t="s">
        <v>72</v>
      </c>
      <c r="B89" s="11" t="s">
        <v>73</v>
      </c>
      <c r="C89" s="86">
        <v>16620</v>
      </c>
      <c r="D89" s="34">
        <v>-2.57913247E-2</v>
      </c>
      <c r="E89" s="84">
        <v>223586.37874078</v>
      </c>
      <c r="F89" s="35"/>
      <c r="G89" s="35"/>
      <c r="H89" s="35"/>
      <c r="I89" s="35"/>
    </row>
    <row r="90" spans="1:9">
      <c r="A90" s="40" t="s">
        <v>208</v>
      </c>
      <c r="B90" s="11" t="s">
        <v>209</v>
      </c>
      <c r="C90" s="86">
        <v>148</v>
      </c>
      <c r="D90" s="34">
        <v>-2.6315789499999999E-2</v>
      </c>
      <c r="E90" s="84">
        <v>64782059.785865448</v>
      </c>
      <c r="F90" s="35"/>
      <c r="G90" s="35"/>
      <c r="H90" s="35"/>
      <c r="I90" s="35"/>
    </row>
    <row r="91" spans="1:9">
      <c r="A91" s="40" t="s">
        <v>345</v>
      </c>
      <c r="B91" s="11" t="s">
        <v>346</v>
      </c>
      <c r="C91" s="86">
        <v>331</v>
      </c>
      <c r="D91" s="34">
        <v>-2.6470588199999999E-2</v>
      </c>
      <c r="E91" s="84">
        <v>10788846.931338221</v>
      </c>
      <c r="F91" s="35"/>
      <c r="G91" s="35"/>
      <c r="H91" s="35"/>
      <c r="I91" s="35"/>
    </row>
    <row r="92" spans="1:9">
      <c r="A92" s="40" t="s">
        <v>162</v>
      </c>
      <c r="B92" s="11" t="s">
        <v>163</v>
      </c>
      <c r="C92" s="86">
        <v>12060</v>
      </c>
      <c r="D92" s="34">
        <v>-2.74193548E-2</v>
      </c>
      <c r="E92" s="84">
        <v>377259.71018991998</v>
      </c>
      <c r="F92" s="35"/>
      <c r="G92" s="35"/>
      <c r="H92" s="35"/>
      <c r="I92" s="35"/>
    </row>
    <row r="93" spans="1:9">
      <c r="A93" s="40" t="s">
        <v>347</v>
      </c>
      <c r="B93" s="11" t="s">
        <v>348</v>
      </c>
      <c r="C93" s="86">
        <v>23240</v>
      </c>
      <c r="D93" s="34">
        <v>-2.76150628E-2</v>
      </c>
      <c r="E93" s="84">
        <v>251216.42631245</v>
      </c>
      <c r="F93" s="35"/>
      <c r="G93" s="35"/>
      <c r="H93" s="35"/>
      <c r="I93" s="35"/>
    </row>
    <row r="94" spans="1:9">
      <c r="A94" s="40" t="s">
        <v>226</v>
      </c>
      <c r="B94" s="11" t="s">
        <v>227</v>
      </c>
      <c r="C94" s="86">
        <v>64.8</v>
      </c>
      <c r="D94" s="34">
        <v>-2.8485757099999998E-2</v>
      </c>
      <c r="E94" s="84">
        <v>110408109.27523087</v>
      </c>
      <c r="F94" s="35"/>
      <c r="G94" s="35"/>
      <c r="H94" s="35"/>
      <c r="I94" s="35"/>
    </row>
    <row r="95" spans="1:9">
      <c r="A95" s="40" t="s">
        <v>349</v>
      </c>
      <c r="B95" s="11" t="s">
        <v>350</v>
      </c>
      <c r="C95" s="86">
        <v>3030</v>
      </c>
      <c r="D95" s="34">
        <v>-2.88461538E-2</v>
      </c>
      <c r="E95" s="84">
        <v>1804079.6933023201</v>
      </c>
      <c r="F95" s="35"/>
      <c r="G95" s="35"/>
      <c r="H95" s="35"/>
      <c r="I95" s="35"/>
    </row>
    <row r="96" spans="1:9">
      <c r="A96" s="40" t="s">
        <v>351</v>
      </c>
      <c r="B96" s="11" t="s">
        <v>352</v>
      </c>
      <c r="C96" s="86">
        <v>199</v>
      </c>
      <c r="D96" s="34">
        <v>-2.92682927E-2</v>
      </c>
      <c r="E96" s="84">
        <v>17627477.747375831</v>
      </c>
      <c r="F96" s="35"/>
      <c r="G96" s="35"/>
      <c r="H96" s="35"/>
      <c r="I96" s="35"/>
    </row>
    <row r="97" spans="1:9">
      <c r="A97" s="40" t="s">
        <v>78</v>
      </c>
      <c r="B97" s="11" t="s">
        <v>79</v>
      </c>
      <c r="C97" s="86">
        <v>394</v>
      </c>
      <c r="D97" s="34">
        <v>-2.9556650199999999E-2</v>
      </c>
      <c r="E97" s="84">
        <v>7466111.6844329899</v>
      </c>
      <c r="F97" s="35"/>
      <c r="G97" s="35"/>
      <c r="H97" s="35"/>
      <c r="I97" s="35"/>
    </row>
    <row r="98" spans="1:9">
      <c r="A98" s="40" t="s">
        <v>236</v>
      </c>
      <c r="B98" s="11" t="s">
        <v>237</v>
      </c>
      <c r="C98" s="86">
        <v>39.4</v>
      </c>
      <c r="D98" s="34">
        <v>-2.9556650199999999E-2</v>
      </c>
      <c r="E98" s="84">
        <v>50347872.870927133</v>
      </c>
      <c r="F98" s="35"/>
      <c r="G98" s="35"/>
      <c r="H98" s="35"/>
      <c r="I98" s="35"/>
    </row>
    <row r="99" spans="1:9">
      <c r="A99" s="40" t="s">
        <v>212</v>
      </c>
      <c r="B99" s="11" t="s">
        <v>213</v>
      </c>
      <c r="C99" s="86">
        <v>687</v>
      </c>
      <c r="D99" s="34">
        <v>-3.1029619200000001E-2</v>
      </c>
      <c r="E99" s="84">
        <v>10031787.28147185</v>
      </c>
      <c r="F99" s="35"/>
      <c r="G99" s="35"/>
      <c r="H99" s="35"/>
      <c r="I99" s="35"/>
    </row>
    <row r="100" spans="1:9">
      <c r="A100" s="40" t="s">
        <v>67</v>
      </c>
      <c r="B100" s="11" t="s">
        <v>68</v>
      </c>
      <c r="C100" s="86">
        <v>639</v>
      </c>
      <c r="D100" s="34">
        <v>-3.6199095000000001E-2</v>
      </c>
      <c r="E100" s="84">
        <v>8839395.4664429706</v>
      </c>
      <c r="F100" s="35"/>
      <c r="G100" s="35"/>
      <c r="H100" s="35"/>
      <c r="I100" s="35"/>
    </row>
    <row r="101" spans="1:9">
      <c r="A101" s="40" t="s">
        <v>214</v>
      </c>
      <c r="B101" s="11" t="s">
        <v>215</v>
      </c>
      <c r="C101" s="86">
        <v>553</v>
      </c>
      <c r="D101" s="34">
        <v>-3.65853659E-2</v>
      </c>
      <c r="E101" s="84">
        <v>28190690.16532011</v>
      </c>
      <c r="F101" s="35"/>
      <c r="G101" s="35"/>
      <c r="H101" s="35"/>
      <c r="I101" s="35"/>
    </row>
    <row r="102" spans="1:9">
      <c r="A102" s="40" t="s">
        <v>104</v>
      </c>
      <c r="B102" s="11" t="s">
        <v>105</v>
      </c>
      <c r="C102" s="86">
        <v>335</v>
      </c>
      <c r="D102" s="34">
        <v>-3.7356321800000002E-2</v>
      </c>
      <c r="E102" s="84">
        <v>13756784.288343299</v>
      </c>
      <c r="F102" s="35"/>
      <c r="G102" s="35"/>
      <c r="H102" s="35"/>
      <c r="I102" s="35"/>
    </row>
    <row r="103" spans="1:9">
      <c r="A103" s="40" t="s">
        <v>133</v>
      </c>
      <c r="B103" s="11" t="s">
        <v>134</v>
      </c>
      <c r="C103" s="86">
        <v>2295</v>
      </c>
      <c r="D103" s="34">
        <v>-3.7735849100000003E-2</v>
      </c>
      <c r="E103" s="84">
        <v>1620370.0290272699</v>
      </c>
      <c r="F103" s="35"/>
      <c r="G103" s="35"/>
      <c r="H103" s="35"/>
      <c r="I103" s="35"/>
    </row>
    <row r="104" spans="1:9">
      <c r="A104" s="40" t="s">
        <v>154</v>
      </c>
      <c r="B104" s="11" t="s">
        <v>155</v>
      </c>
      <c r="C104" s="86">
        <v>40.200000000000003</v>
      </c>
      <c r="D104" s="34">
        <v>-3.8277512E-2</v>
      </c>
      <c r="E104" s="84">
        <v>150388748.69252172</v>
      </c>
      <c r="F104" s="35"/>
      <c r="G104" s="35"/>
      <c r="H104" s="35"/>
      <c r="I104" s="35"/>
    </row>
    <row r="105" spans="1:9">
      <c r="A105" s="40" t="s">
        <v>129</v>
      </c>
      <c r="B105" s="11" t="s">
        <v>130</v>
      </c>
      <c r="C105" s="86">
        <v>1125</v>
      </c>
      <c r="D105" s="34">
        <v>-3.8461538500000003E-2</v>
      </c>
      <c r="E105" s="84">
        <v>4745047.2301752698</v>
      </c>
      <c r="F105" s="35"/>
      <c r="G105" s="35"/>
      <c r="H105" s="35"/>
      <c r="I105" s="35"/>
    </row>
    <row r="106" spans="1:9">
      <c r="A106" s="40" t="s">
        <v>123</v>
      </c>
      <c r="B106" s="11" t="s">
        <v>124</v>
      </c>
      <c r="C106" s="86">
        <v>47.1</v>
      </c>
      <c r="D106" s="34">
        <v>-3.8775510200000002E-2</v>
      </c>
      <c r="E106" s="84">
        <v>139317467.46827576</v>
      </c>
      <c r="F106" s="35"/>
      <c r="G106" s="35"/>
      <c r="H106" s="35"/>
      <c r="I106" s="35"/>
    </row>
    <row r="107" spans="1:9">
      <c r="A107" s="40" t="s">
        <v>100</v>
      </c>
      <c r="B107" s="11" t="s">
        <v>101</v>
      </c>
      <c r="C107" s="86">
        <v>335</v>
      </c>
      <c r="D107" s="34">
        <v>-4.0114613200000003E-2</v>
      </c>
      <c r="E107" s="84">
        <v>7926135.0923579698</v>
      </c>
      <c r="F107" s="35"/>
      <c r="G107" s="35"/>
      <c r="H107" s="35"/>
      <c r="I107" s="35"/>
    </row>
    <row r="108" spans="1:9">
      <c r="A108" s="40" t="s">
        <v>160</v>
      </c>
      <c r="B108" s="11" t="s">
        <v>161</v>
      </c>
      <c r="C108" s="86">
        <v>1155</v>
      </c>
      <c r="D108" s="34">
        <v>-4.5454545499999999E-2</v>
      </c>
      <c r="E108" s="84">
        <v>97067320.68293114</v>
      </c>
      <c r="F108" s="35"/>
      <c r="G108" s="35"/>
      <c r="H108" s="35"/>
      <c r="I108" s="35"/>
    </row>
    <row r="109" spans="1:9">
      <c r="A109" s="40" t="s">
        <v>158</v>
      </c>
      <c r="B109" s="11" t="s">
        <v>159</v>
      </c>
      <c r="C109" s="86">
        <v>288</v>
      </c>
      <c r="D109" s="34">
        <v>-4.6357615900000003E-2</v>
      </c>
      <c r="E109" s="41">
        <v>59012103.086027943</v>
      </c>
    </row>
    <row r="110" spans="1:9">
      <c r="A110" s="40" t="s">
        <v>137</v>
      </c>
      <c r="B110" s="11" t="s">
        <v>138</v>
      </c>
      <c r="C110" s="86">
        <v>53.5</v>
      </c>
      <c r="D110" s="34">
        <v>-4.97335702E-2</v>
      </c>
      <c r="E110" s="41">
        <v>756713658.27155209</v>
      </c>
    </row>
    <row r="111" spans="1:9">
      <c r="A111" s="40" t="s">
        <v>171</v>
      </c>
      <c r="B111" s="11" t="s">
        <v>172</v>
      </c>
      <c r="C111" s="86">
        <v>4410</v>
      </c>
      <c r="D111" s="34">
        <v>-5.1612903199999997E-2</v>
      </c>
      <c r="E111" s="41">
        <v>1174314.1296940499</v>
      </c>
    </row>
    <row r="112" spans="1:9">
      <c r="A112" s="40" t="s">
        <v>204</v>
      </c>
      <c r="B112" s="11" t="s">
        <v>205</v>
      </c>
      <c r="C112" s="86">
        <v>158</v>
      </c>
      <c r="D112" s="34">
        <v>-5.3892215600000001E-2</v>
      </c>
      <c r="E112" s="41">
        <v>49040155.593372203</v>
      </c>
    </row>
    <row r="113" spans="1:5">
      <c r="A113" s="40" t="s">
        <v>135</v>
      </c>
      <c r="B113" s="11" t="s">
        <v>136</v>
      </c>
      <c r="C113" s="86">
        <v>4580</v>
      </c>
      <c r="D113" s="34">
        <v>-5.7613168700000002E-2</v>
      </c>
      <c r="E113" s="41">
        <v>2893494.8959110798</v>
      </c>
    </row>
    <row r="114" spans="1:5">
      <c r="A114" s="40" t="s">
        <v>61</v>
      </c>
      <c r="B114" s="11" t="s">
        <v>62</v>
      </c>
      <c r="C114" s="86">
        <v>16410</v>
      </c>
      <c r="D114" s="34">
        <v>-6.7083570199999998E-2</v>
      </c>
      <c r="E114" s="41">
        <v>1598125.09635138</v>
      </c>
    </row>
    <row r="115" spans="1:5">
      <c r="A115" s="40" t="s">
        <v>55</v>
      </c>
      <c r="B115" s="11" t="s">
        <v>56</v>
      </c>
      <c r="C115" s="86">
        <v>69</v>
      </c>
      <c r="D115" s="34">
        <v>-0.1198979592</v>
      </c>
      <c r="E115" s="41">
        <v>2079439141.4146214</v>
      </c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06"/>
    <col min="2" max="2" width="11.875" style="106" bestFit="1" customWidth="1"/>
    <col min="3" max="3" width="21.25" style="106" customWidth="1"/>
    <col min="4" max="4" width="16.25" style="106" bestFit="1" customWidth="1"/>
    <col min="5" max="5" width="9" style="106"/>
    <col min="6" max="6" width="14.375" style="106" bestFit="1" customWidth="1"/>
    <col min="7" max="7" width="16.25" style="106" bestFit="1" customWidth="1"/>
    <col min="8" max="8" width="9" style="106"/>
    <col min="9" max="9" width="14.5" style="106" customWidth="1"/>
    <col min="10" max="10" width="16.25" style="106" bestFit="1" customWidth="1"/>
    <col min="11" max="11" width="9" style="106"/>
    <col min="12" max="13" width="16.25" style="106" bestFit="1" customWidth="1"/>
    <col min="14" max="14" width="9" style="106"/>
    <col min="15" max="15" width="15.25" style="106" bestFit="1" customWidth="1"/>
    <col min="16" max="16" width="9" style="106" customWidth="1"/>
    <col min="17" max="19" width="12.125" style="106" customWidth="1"/>
    <col min="20" max="16384" width="9" style="106"/>
  </cols>
  <sheetData>
    <row r="1" spans="1:15" ht="16.5" customHeight="1" thickBot="1">
      <c r="A1" s="138" t="str">
        <f>TEXT(투자전략!$G$1, "[$-ko-KR]yyyy년 mm월") &amp; " 총결산"</f>
        <v>2023년 03월 총결산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40"/>
    </row>
    <row r="2" spans="1:15" ht="16.5" customHeight="1" thickBot="1">
      <c r="A2" s="144" t="s">
        <v>276</v>
      </c>
      <c r="B2" s="145"/>
      <c r="C2" s="145"/>
      <c r="D2" s="136" t="s">
        <v>272</v>
      </c>
      <c r="E2" s="136"/>
      <c r="F2" s="137"/>
      <c r="G2" s="138" t="s">
        <v>273</v>
      </c>
      <c r="H2" s="139"/>
      <c r="I2" s="140"/>
      <c r="J2" s="135" t="s">
        <v>274</v>
      </c>
      <c r="K2" s="136"/>
      <c r="L2" s="136"/>
      <c r="M2" s="136" t="s">
        <v>275</v>
      </c>
      <c r="N2" s="136"/>
      <c r="O2" s="137"/>
    </row>
    <row r="3" spans="1:15" ht="16.5" customHeight="1">
      <c r="A3" s="215">
        <v>1</v>
      </c>
      <c r="B3" s="1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146"/>
      <c r="D3" s="144" t="s">
        <v>277</v>
      </c>
      <c r="E3" s="145"/>
      <c r="F3" s="146"/>
      <c r="G3" s="144" t="s">
        <v>284</v>
      </c>
      <c r="H3" s="145"/>
      <c r="I3" s="146"/>
      <c r="J3" s="144" t="s">
        <v>291</v>
      </c>
      <c r="K3" s="145"/>
      <c r="L3" s="146"/>
      <c r="M3" s="144" t="s">
        <v>298</v>
      </c>
      <c r="N3" s="145"/>
      <c r="O3" s="146"/>
    </row>
    <row r="4" spans="1:15" ht="16.5" customHeight="1" thickBot="1">
      <c r="A4" s="216"/>
      <c r="B4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4" s="152"/>
      <c r="D4" s="150" t="str">
        <f ca="1" xml:space="preserve"> TEXT($F$92, "#,##0") &amp; " KRW (" &amp; TEXT($E$92, "0.00%)")</f>
        <v>0 KRW (0.00%)</v>
      </c>
      <c r="E4" s="151"/>
      <c r="F4" s="152"/>
      <c r="G4" s="150" t="str">
        <f ca="1" xml:space="preserve"> TEXT($I$92, "#,##0") &amp; " KRW (" &amp; TEXT($H$92, "0.00%)")</f>
        <v>0 KRW (0.00%)</v>
      </c>
      <c r="H4" s="151"/>
      <c r="I4" s="152"/>
      <c r="J4" s="150" t="str">
        <f ca="1" xml:space="preserve"> TEXT($L$92, "#,##0") &amp; " KRW (" &amp; TEXT($K$92, "0.00%)")</f>
        <v>0 KRW (0.00%)</v>
      </c>
      <c r="K4" s="151"/>
      <c r="L4" s="152"/>
      <c r="M4" s="150" t="str">
        <f ca="1" xml:space="preserve"> TEXT($O$92, "#,##0") &amp; " KRW (" &amp; TEXT($N$92, "0.00%)")</f>
        <v>0 KRW (0.00%)</v>
      </c>
      <c r="N4" s="151"/>
      <c r="O4" s="152"/>
    </row>
    <row r="5" spans="1:15" ht="16.5" customHeight="1">
      <c r="A5" s="215">
        <v>2</v>
      </c>
      <c r="B5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146"/>
      <c r="D5" s="144" t="s">
        <v>278</v>
      </c>
      <c r="E5" s="145"/>
      <c r="F5" s="146"/>
      <c r="G5" s="144" t="s">
        <v>285</v>
      </c>
      <c r="H5" s="145"/>
      <c r="I5" s="146"/>
      <c r="J5" s="144" t="s">
        <v>292</v>
      </c>
      <c r="K5" s="145"/>
      <c r="L5" s="146"/>
      <c r="M5" s="144" t="s">
        <v>299</v>
      </c>
      <c r="N5" s="145"/>
      <c r="O5" s="146"/>
    </row>
    <row r="6" spans="1:15" ht="16.5" customHeight="1" thickBot="1">
      <c r="A6" s="216"/>
      <c r="B6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6" s="152"/>
      <c r="D6" s="150" t="str">
        <f ca="1" xml:space="preserve"> TEXT($F$130, "#,##0") &amp; " KRW (" &amp; TEXT($E$130, "0.00%)")</f>
        <v>0 KRW (0.00%)</v>
      </c>
      <c r="E6" s="151"/>
      <c r="F6" s="152"/>
      <c r="G6" s="150" t="str">
        <f ca="1" xml:space="preserve"> TEXT($I$130, "#,##0") &amp; " KRW (" &amp; TEXT($H$130, "0.00%)")</f>
        <v>0 KRW (0.00%)</v>
      </c>
      <c r="H6" s="151"/>
      <c r="I6" s="152"/>
      <c r="J6" s="150" t="str">
        <f ca="1" xml:space="preserve"> TEXT($L$130, "#,##0") &amp; " KRW (" &amp; TEXT($K$130, "0.00%)")</f>
        <v>0 KRW (0.00%)</v>
      </c>
      <c r="K6" s="151"/>
      <c r="L6" s="152"/>
      <c r="M6" s="150" t="str">
        <f ca="1" xml:space="preserve"> TEXT($O$130, "#,##0") &amp; " KRW (" &amp; TEXT($N$130, "0.00%)")</f>
        <v>0 KRW (0.00%)</v>
      </c>
      <c r="N6" s="151"/>
      <c r="O6" s="152"/>
    </row>
    <row r="7" spans="1:15" ht="16.5" customHeight="1">
      <c r="A7" s="215">
        <v>3</v>
      </c>
      <c r="B7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146"/>
      <c r="D7" s="144" t="s">
        <v>279</v>
      </c>
      <c r="E7" s="145"/>
      <c r="F7" s="146"/>
      <c r="G7" s="144" t="s">
        <v>286</v>
      </c>
      <c r="H7" s="145"/>
      <c r="I7" s="146"/>
      <c r="J7" s="144" t="s">
        <v>293</v>
      </c>
      <c r="K7" s="145"/>
      <c r="L7" s="146"/>
      <c r="M7" s="144" t="s">
        <v>300</v>
      </c>
      <c r="N7" s="145"/>
      <c r="O7" s="146"/>
    </row>
    <row r="8" spans="1:15" ht="16.5" customHeight="1" thickBot="1">
      <c r="A8" s="216"/>
      <c r="B8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8" s="152"/>
      <c r="D8" s="150" t="str">
        <f ca="1" xml:space="preserve"> TEXT($F$206, "#,##0") &amp; " KRW (" &amp; TEXT($E$206, "0.00%)")</f>
        <v>0 KRW (0.00%)</v>
      </c>
      <c r="E8" s="151"/>
      <c r="F8" s="152"/>
      <c r="G8" s="150" t="str">
        <f ca="1" xml:space="preserve"> TEXT($I$206, "#,##0") &amp; " KRW (" &amp; TEXT($H$206, "0.00%)")</f>
        <v>0 KRW (0.00%)</v>
      </c>
      <c r="H8" s="151"/>
      <c r="I8" s="152"/>
      <c r="J8" s="150" t="str">
        <f ca="1" xml:space="preserve"> TEXT($L$206, "#,##0") &amp; " KRW (" &amp; TEXT($K$206, "0.00%)")</f>
        <v>0 KRW (0.00%)</v>
      </c>
      <c r="K8" s="151"/>
      <c r="L8" s="152"/>
      <c r="M8" s="150" t="str">
        <f ca="1" xml:space="preserve"> TEXT($O$206, "#,##0") &amp; " KRW (" &amp; TEXT($N$206, "0.00%)")</f>
        <v>0 KRW (0.00%)</v>
      </c>
      <c r="N8" s="151"/>
      <c r="O8" s="152"/>
    </row>
    <row r="9" spans="1:15" ht="16.5" customHeight="1">
      <c r="A9" s="215">
        <v>4</v>
      </c>
      <c r="B9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146"/>
      <c r="D9" s="144" t="s">
        <v>280</v>
      </c>
      <c r="E9" s="145"/>
      <c r="F9" s="146"/>
      <c r="G9" s="144" t="s">
        <v>287</v>
      </c>
      <c r="H9" s="145"/>
      <c r="I9" s="146"/>
      <c r="J9" s="144" t="s">
        <v>294</v>
      </c>
      <c r="K9" s="145"/>
      <c r="L9" s="146"/>
      <c r="M9" s="144" t="s">
        <v>301</v>
      </c>
      <c r="N9" s="145"/>
      <c r="O9" s="146"/>
    </row>
    <row r="10" spans="1:15" ht="16.5" customHeight="1" thickBot="1">
      <c r="A10" s="216"/>
      <c r="B10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152"/>
      <c r="D10" s="150" t="str">
        <f ca="1" xml:space="preserve"> TEXT($F$244, "#,##0") &amp; " KRW (" &amp; TEXT($E$244, "0.00%)")</f>
        <v>0 KRW (0.00%)</v>
      </c>
      <c r="E10" s="151"/>
      <c r="F10" s="152"/>
      <c r="G10" s="150" t="str">
        <f ca="1" xml:space="preserve"> TEXT($I$244, "#,##0") &amp; " KRW (" &amp; TEXT($H$244, "0.00%)")</f>
        <v>0 KRW (0.00%)</v>
      </c>
      <c r="H10" s="151"/>
      <c r="I10" s="152"/>
      <c r="J10" s="150" t="str">
        <f ca="1" xml:space="preserve"> TEXT($L$244, "#,##0") &amp; " KRW (" &amp; TEXT($K$244, "0.00%)")</f>
        <v>0 KRW (0.00%)</v>
      </c>
      <c r="K10" s="151"/>
      <c r="L10" s="152"/>
      <c r="M10" s="150" t="str">
        <f ca="1" xml:space="preserve"> TEXT($O$244, "#,##0") &amp; " KRW (" &amp; TEXT($N$244, "0.00%)")</f>
        <v>0 KRW (0.00%)</v>
      </c>
      <c r="N10" s="151"/>
      <c r="O10" s="152"/>
    </row>
    <row r="11" spans="1:15" ht="16.5" customHeight="1">
      <c r="A11" s="215">
        <v>5</v>
      </c>
      <c r="B11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146"/>
      <c r="D11" s="144" t="s">
        <v>281</v>
      </c>
      <c r="E11" s="145"/>
      <c r="F11" s="146"/>
      <c r="G11" s="144" t="s">
        <v>288</v>
      </c>
      <c r="H11" s="145"/>
      <c r="I11" s="146"/>
      <c r="J11" s="144" t="s">
        <v>295</v>
      </c>
      <c r="K11" s="145"/>
      <c r="L11" s="146"/>
      <c r="M11" s="144" t="s">
        <v>302</v>
      </c>
      <c r="N11" s="145"/>
      <c r="O11" s="146"/>
    </row>
    <row r="12" spans="1:15" ht="16.5" customHeight="1" thickBot="1">
      <c r="A12" s="216"/>
      <c r="B12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2" s="152"/>
      <c r="D12" s="150" t="str">
        <f ca="1" xml:space="preserve"> TEXT($F$168, "#,##0") &amp; " KRW (" &amp; TEXT($E$168, "0.00%)")</f>
        <v>0 KRW (0.00%)</v>
      </c>
      <c r="E12" s="151"/>
      <c r="F12" s="152"/>
      <c r="G12" s="150" t="str">
        <f ca="1" xml:space="preserve"> TEXT($I$168, "#,##0") &amp; " KRW (" &amp; TEXT($H$168, "0.00%)")</f>
        <v>0 KRW (0.00%)</v>
      </c>
      <c r="H12" s="151"/>
      <c r="I12" s="152"/>
      <c r="J12" s="150" t="str">
        <f ca="1" xml:space="preserve"> TEXT($L$168, "#,##0") &amp; " KRW (" &amp; TEXT($K$168, "0.00%)")</f>
        <v>0 KRW (0.00%)</v>
      </c>
      <c r="K12" s="151"/>
      <c r="L12" s="152"/>
      <c r="M12" s="150" t="str">
        <f ca="1" xml:space="preserve"> TEXT($O$168, "#,##0") &amp; " KRW (" &amp; TEXT($N$168, "0.00%)")</f>
        <v>0 KRW (0.00%)</v>
      </c>
      <c r="N12" s="151"/>
      <c r="O12" s="152"/>
    </row>
    <row r="13" spans="1:15" ht="16.5" customHeight="1">
      <c r="A13" s="215">
        <v>6</v>
      </c>
      <c r="B13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146"/>
      <c r="D13" s="144" t="s">
        <v>282</v>
      </c>
      <c r="E13" s="145"/>
      <c r="F13" s="146"/>
      <c r="G13" s="144" t="s">
        <v>289</v>
      </c>
      <c r="H13" s="145"/>
      <c r="I13" s="146"/>
      <c r="J13" s="144" t="s">
        <v>296</v>
      </c>
      <c r="K13" s="145"/>
      <c r="L13" s="146"/>
      <c r="M13" s="144" t="s">
        <v>303</v>
      </c>
      <c r="N13" s="145"/>
      <c r="O13" s="146"/>
    </row>
    <row r="14" spans="1:15" ht="16.5" customHeight="1" thickBot="1">
      <c r="A14" s="216"/>
      <c r="B14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152"/>
      <c r="D14" s="150" t="str">
        <f ca="1" xml:space="preserve"> TEXT($F$282, "#,##0") &amp; " KRW (" &amp; TEXT($E$282, "0.00%)")</f>
        <v>0 KRW (0.00%)</v>
      </c>
      <c r="E14" s="151"/>
      <c r="F14" s="152"/>
      <c r="G14" s="150" t="str">
        <f ca="1" xml:space="preserve"> TEXT($I$282, "#,##0") &amp; " KRW (" &amp; TEXT($H$282, "0.00%)")</f>
        <v>0 KRW (0.00%)</v>
      </c>
      <c r="H14" s="151"/>
      <c r="I14" s="152"/>
      <c r="J14" s="150" t="str">
        <f ca="1" xml:space="preserve"> TEXT($L$282, "#,##0") &amp; " KRW (" &amp; TEXT($K$282, "0.00%)")</f>
        <v>0 KRW (0.00%)</v>
      </c>
      <c r="K14" s="151"/>
      <c r="L14" s="152"/>
      <c r="M14" s="150" t="str">
        <f ca="1" xml:space="preserve"> TEXT($O$282, "#,##0") &amp; " KRW (" &amp; TEXT($N$282, "0.00%)")</f>
        <v>0 KRW (0.00%)</v>
      </c>
      <c r="N14" s="151"/>
      <c r="O14" s="152"/>
    </row>
    <row r="15" spans="1:15" ht="16.5" customHeight="1">
      <c r="A15" s="215">
        <v>7</v>
      </c>
      <c r="B15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146"/>
      <c r="D15" s="144" t="s">
        <v>283</v>
      </c>
      <c r="E15" s="145"/>
      <c r="F15" s="146"/>
      <c r="G15" s="144" t="s">
        <v>290</v>
      </c>
      <c r="H15" s="145"/>
      <c r="I15" s="146"/>
      <c r="J15" s="144" t="s">
        <v>297</v>
      </c>
      <c r="K15" s="145"/>
      <c r="L15" s="146"/>
      <c r="M15" s="144" t="s">
        <v>304</v>
      </c>
      <c r="N15" s="145"/>
      <c r="O15" s="146"/>
    </row>
    <row r="16" spans="1:15" ht="16.5" customHeight="1" thickBot="1">
      <c r="A16" s="216"/>
      <c r="B16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152"/>
      <c r="D16" s="150" t="str">
        <f ca="1" xml:space="preserve"> TEXT($F$54, "#,##0") &amp; " KRW (" &amp; TEXT($E$54, "0.00%)")</f>
        <v>0 KRW (0.00%)</v>
      </c>
      <c r="E16" s="151"/>
      <c r="F16" s="152"/>
      <c r="G16" s="150" t="str">
        <f ca="1" xml:space="preserve"> TEXT($I$54, "#,##0") &amp; " KRW (" &amp; TEXT($H$54, "0.00%)")</f>
        <v>0 KRW (0.00%)</v>
      </c>
      <c r="H16" s="151"/>
      <c r="I16" s="152"/>
      <c r="J16" s="150" t="str">
        <f ca="1" xml:space="preserve"> TEXT($L$54, "#,##0") &amp; " KRW (" &amp; TEXT($K$54, "0.00%)")</f>
        <v>0 KRW (0.00%)</v>
      </c>
      <c r="K16" s="151"/>
      <c r="L16" s="152"/>
      <c r="M16" s="150" t="str">
        <f ca="1" xml:space="preserve"> TEXT($O$54, "#,##0") &amp; " KRW (" &amp; TEXT($N$54, "0.00%)")</f>
        <v>0 KRW (0.00%)</v>
      </c>
      <c r="N16" s="151"/>
      <c r="O16" s="152"/>
    </row>
    <row r="18" spans="1:15" ht="16.5" customHeight="1" thickBot="1"/>
    <row r="19" spans="1:15" ht="16.5" customHeight="1" thickBot="1">
      <c r="A19" s="135" t="str">
        <f>TEXT(투자전략!$G$1, "[$-ko-KR]yyyy년 mm월 ") &amp; "실거래 월말결산"</f>
        <v>2023년 03월 실거래 월말결산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7"/>
    </row>
    <row r="20" spans="1:15" ht="16.5" customHeight="1" thickBot="1">
      <c r="A20" s="196" t="s">
        <v>271</v>
      </c>
      <c r="B20" s="150" t="s">
        <v>269</v>
      </c>
      <c r="C20" s="152"/>
      <c r="D20" s="150" t="s">
        <v>261</v>
      </c>
      <c r="E20" s="151"/>
      <c r="F20" s="152"/>
      <c r="G20" s="150" t="s">
        <v>262</v>
      </c>
      <c r="H20" s="151"/>
      <c r="I20" s="152"/>
      <c r="J20" s="150" t="s">
        <v>263</v>
      </c>
      <c r="K20" s="151"/>
      <c r="L20" s="152"/>
      <c r="M20" s="150" t="s">
        <v>264</v>
      </c>
      <c r="N20" s="151"/>
      <c r="O20" s="152"/>
    </row>
    <row r="21" spans="1:15" ht="16.5" customHeight="1" thickBot="1">
      <c r="A21" s="200"/>
      <c r="B21" s="46" t="s">
        <v>259</v>
      </c>
      <c r="C21" s="46" t="s">
        <v>42</v>
      </c>
      <c r="D21" s="105" t="s">
        <v>260</v>
      </c>
      <c r="E21" s="106" t="s">
        <v>40</v>
      </c>
      <c r="F21" s="81" t="s">
        <v>41</v>
      </c>
      <c r="G21" s="105" t="s">
        <v>260</v>
      </c>
      <c r="H21" s="106" t="s">
        <v>40</v>
      </c>
      <c r="I21" s="81" t="s">
        <v>41</v>
      </c>
      <c r="J21" s="105" t="s">
        <v>260</v>
      </c>
      <c r="K21" s="106" t="s">
        <v>40</v>
      </c>
      <c r="L21" s="81" t="s">
        <v>41</v>
      </c>
      <c r="M21" s="105" t="s">
        <v>260</v>
      </c>
      <c r="N21" s="106" t="s">
        <v>40</v>
      </c>
      <c r="O21" s="81" t="s">
        <v>41</v>
      </c>
    </row>
    <row r="22" spans="1:15" ht="16.5" customHeight="1">
      <c r="A22" s="46">
        <v>1</v>
      </c>
      <c r="B22" s="126" t="str">
        <f>HYPERLINK("#'" &amp; TEXT(투자전략!$G$1+0, "[$-ko-KR]yyyy.mm.dd") &amp; "'!A13:O37", TEXT(투자전략!$G$1+0, "[$-ko-KR]yyyy.mm.dd"))</f>
        <v>2023.03.01</v>
      </c>
      <c r="C22" s="117">
        <f ca="1">IFERROR(COUNTA(INDIRECT($B22&amp;"!A17:A36")) * INDIRECT($B22&amp;"!B37"), "")</f>
        <v>0</v>
      </c>
      <c r="D22" s="125">
        <f ca="1">IFERROR($C22 * (1 + E22), "")</f>
        <v>0</v>
      </c>
      <c r="E22" s="69">
        <f ca="1">IFERROR(INDIRECT($B22&amp;"!E37"), "")</f>
        <v>0</v>
      </c>
      <c r="F22" s="124">
        <f ca="1">IFERROR(INDIRECT($B22&amp;"!F37"), "")</f>
        <v>0</v>
      </c>
      <c r="G22" s="125">
        <f ca="1">IFERROR($C22 * (1 + H22), "")</f>
        <v>0</v>
      </c>
      <c r="H22" s="69">
        <f ca="1">IFERROR(INDIRECT($B22&amp;"!H37"), "")</f>
        <v>0</v>
      </c>
      <c r="I22" s="124">
        <f ca="1">IFERROR(INDIRECT($B22&amp;"!I37"), "")</f>
        <v>0</v>
      </c>
      <c r="J22" s="125">
        <f ca="1">IFERROR($C22 * (1 + K22), "")</f>
        <v>0</v>
      </c>
      <c r="K22" s="69">
        <f ca="1">IFERROR(INDIRECT($B22&amp;"!K37"), "")</f>
        <v>0</v>
      </c>
      <c r="L22" s="124">
        <f ca="1">IFERROR(INDIRECT($B22&amp;"!L37"), "")</f>
        <v>0</v>
      </c>
      <c r="M22" s="125">
        <f ca="1">IFERROR($C22 * (1 + N22), "")</f>
        <v>0</v>
      </c>
      <c r="N22" s="69">
        <f ca="1">IFERROR(INDIRECT($B22&amp;"!N37"), "")</f>
        <v>0</v>
      </c>
      <c r="O22" s="124">
        <f ca="1">IFERROR(INDIRECT($B22&amp;"!O37"), "")</f>
        <v>0</v>
      </c>
    </row>
    <row r="23" spans="1:15" ht="16.5" customHeight="1">
      <c r="A23" s="47">
        <v>2</v>
      </c>
      <c r="B23" s="127" t="str">
        <f>HYPERLINK("#'" &amp; TEXT(투자전략!$G$1+1, "[$-ko-KR]yyyy.mm.dd") &amp; "'!A13:O37", TEXT(투자전략!$G$1+1, "[$-ko-KR]yyyy.mm.dd"))</f>
        <v>2023.03.02</v>
      </c>
      <c r="C23" s="118" t="str">
        <f t="shared" ref="C23:C52" ca="1" si="0">IFERROR(COUNTA(INDIRECT($B23&amp;"!A17:A36")) * INDIRECT($B23&amp;"!B37"), "")</f>
        <v/>
      </c>
      <c r="D23" s="122" t="str">
        <f t="shared" ref="D23:D52" ca="1" si="1">IFERROR($C23 * (1 + E23), "")</f>
        <v/>
      </c>
      <c r="E23" s="70" t="str">
        <f t="shared" ref="E23:E52" ca="1" si="2">IFERROR(INDIRECT($B23&amp;"!E37"), "")</f>
        <v/>
      </c>
      <c r="F23" s="120" t="str">
        <f t="shared" ref="F23:F52" ca="1" si="3">IFERROR(INDIRECT($B23&amp;"!F37"), "")</f>
        <v/>
      </c>
      <c r="G23" s="122" t="str">
        <f t="shared" ref="G23:G52" ca="1" si="4">IFERROR($C23 * (1 + H23), "")</f>
        <v/>
      </c>
      <c r="H23" s="70" t="str">
        <f t="shared" ref="H23:H52" ca="1" si="5">IFERROR(INDIRECT($B23&amp;"!H37"), "")</f>
        <v/>
      </c>
      <c r="I23" s="120" t="str">
        <f t="shared" ref="I23:I52" ca="1" si="6">IFERROR(INDIRECT($B23&amp;"!I37"), "")</f>
        <v/>
      </c>
      <c r="J23" s="122" t="str">
        <f t="shared" ref="J23:J52" ca="1" si="7">IFERROR($C23 * (1 + K23), "")</f>
        <v/>
      </c>
      <c r="K23" s="70" t="str">
        <f t="shared" ref="K23:K52" ca="1" si="8">IFERROR(INDIRECT($B23&amp;"!K37"), "")</f>
        <v/>
      </c>
      <c r="L23" s="120" t="str">
        <f t="shared" ref="L23:L52" ca="1" si="9">IFERROR(INDIRECT($B23&amp;"!L37"), "")</f>
        <v/>
      </c>
      <c r="M23" s="122" t="str">
        <f t="shared" ref="M23:M52" ca="1" si="10">IFERROR($C23 * (1 + N23), "")</f>
        <v/>
      </c>
      <c r="N23" s="70" t="str">
        <f t="shared" ref="N23:N52" ca="1" si="11">IFERROR(INDIRECT($B23&amp;"!N37"), "")</f>
        <v/>
      </c>
      <c r="O23" s="120" t="str">
        <f t="shared" ref="O23:O52" ca="1" si="12">IFERROR(INDIRECT($B23&amp;"!O37"), "")</f>
        <v/>
      </c>
    </row>
    <row r="24" spans="1:15" ht="16.5" customHeight="1">
      <c r="A24" s="47">
        <v>3</v>
      </c>
      <c r="B24" s="127" t="str">
        <f>HYPERLINK("#'" &amp; TEXT(투자전략!$G$1+2, "[$-ko-KR]yyyy.mm.dd") &amp; "'!A13:O37", TEXT(투자전략!$G$1+2, "[$-ko-KR]yyyy.mm.dd"))</f>
        <v>2023.03.03</v>
      </c>
      <c r="C24" s="118" t="str">
        <f t="shared" ca="1" si="0"/>
        <v/>
      </c>
      <c r="D24" s="122" t="str">
        <f t="shared" ca="1" si="1"/>
        <v/>
      </c>
      <c r="E24" s="70" t="str">
        <f t="shared" ca="1" si="2"/>
        <v/>
      </c>
      <c r="F24" s="120" t="str">
        <f t="shared" ca="1" si="3"/>
        <v/>
      </c>
      <c r="G24" s="122" t="str">
        <f t="shared" ca="1" si="4"/>
        <v/>
      </c>
      <c r="H24" s="70" t="str">
        <f t="shared" ca="1" si="5"/>
        <v/>
      </c>
      <c r="I24" s="120" t="str">
        <f t="shared" ca="1" si="6"/>
        <v/>
      </c>
      <c r="J24" s="122" t="str">
        <f t="shared" ca="1" si="7"/>
        <v/>
      </c>
      <c r="K24" s="70" t="str">
        <f t="shared" ca="1" si="8"/>
        <v/>
      </c>
      <c r="L24" s="120" t="str">
        <f t="shared" ca="1" si="9"/>
        <v/>
      </c>
      <c r="M24" s="122" t="str">
        <f t="shared" ca="1" si="10"/>
        <v/>
      </c>
      <c r="N24" s="70" t="str">
        <f t="shared" ca="1" si="11"/>
        <v/>
      </c>
      <c r="O24" s="120" t="str">
        <f t="shared" ca="1" si="12"/>
        <v/>
      </c>
    </row>
    <row r="25" spans="1:15" ht="16.5" customHeight="1">
      <c r="A25" s="47">
        <v>4</v>
      </c>
      <c r="B25" s="127" t="str">
        <f>HYPERLINK("#'" &amp; TEXT(투자전략!$G$1+3, "[$-ko-KR]yyyy.mm.dd") &amp; "'!A13:O37", TEXT(투자전략!$G$1+3, "[$-ko-KR]yyyy.mm.dd"))</f>
        <v>2023.03.04</v>
      </c>
      <c r="C25" s="118" t="str">
        <f t="shared" ca="1" si="0"/>
        <v/>
      </c>
      <c r="D25" s="122" t="str">
        <f t="shared" ca="1" si="1"/>
        <v/>
      </c>
      <c r="E25" s="70" t="str">
        <f t="shared" ca="1" si="2"/>
        <v/>
      </c>
      <c r="F25" s="120" t="str">
        <f t="shared" ca="1" si="3"/>
        <v/>
      </c>
      <c r="G25" s="122" t="str">
        <f t="shared" ca="1" si="4"/>
        <v/>
      </c>
      <c r="H25" s="70" t="str">
        <f t="shared" ca="1" si="5"/>
        <v/>
      </c>
      <c r="I25" s="120" t="str">
        <f t="shared" ca="1" si="6"/>
        <v/>
      </c>
      <c r="J25" s="122" t="str">
        <f t="shared" ca="1" si="7"/>
        <v/>
      </c>
      <c r="K25" s="70" t="str">
        <f t="shared" ca="1" si="8"/>
        <v/>
      </c>
      <c r="L25" s="120" t="str">
        <f t="shared" ca="1" si="9"/>
        <v/>
      </c>
      <c r="M25" s="122" t="str">
        <f t="shared" ca="1" si="10"/>
        <v/>
      </c>
      <c r="N25" s="70" t="str">
        <f t="shared" ca="1" si="11"/>
        <v/>
      </c>
      <c r="O25" s="120" t="str">
        <f t="shared" ca="1" si="12"/>
        <v/>
      </c>
    </row>
    <row r="26" spans="1:15" ht="16.5" customHeight="1">
      <c r="A26" s="47">
        <v>5</v>
      </c>
      <c r="B26" s="127" t="str">
        <f>HYPERLINK("#'" &amp; TEXT(투자전략!$G$1+4, "[$-ko-KR]yyyy.mm.dd") &amp; "'!A13:O37", TEXT(투자전략!$G$1+4, "[$-ko-KR]yyyy.mm.dd"))</f>
        <v>2023.03.05</v>
      </c>
      <c r="C26" s="118" t="str">
        <f t="shared" ca="1" si="0"/>
        <v/>
      </c>
      <c r="D26" s="122" t="str">
        <f t="shared" ca="1" si="1"/>
        <v/>
      </c>
      <c r="E26" s="70" t="str">
        <f t="shared" ca="1" si="2"/>
        <v/>
      </c>
      <c r="F26" s="120" t="str">
        <f t="shared" ca="1" si="3"/>
        <v/>
      </c>
      <c r="G26" s="122" t="str">
        <f t="shared" ca="1" si="4"/>
        <v/>
      </c>
      <c r="H26" s="70" t="str">
        <f t="shared" ca="1" si="5"/>
        <v/>
      </c>
      <c r="I26" s="120" t="str">
        <f t="shared" ca="1" si="6"/>
        <v/>
      </c>
      <c r="J26" s="122" t="str">
        <f t="shared" ca="1" si="7"/>
        <v/>
      </c>
      <c r="K26" s="70" t="str">
        <f t="shared" ca="1" si="8"/>
        <v/>
      </c>
      <c r="L26" s="120" t="str">
        <f t="shared" ca="1" si="9"/>
        <v/>
      </c>
      <c r="M26" s="122" t="str">
        <f t="shared" ca="1" si="10"/>
        <v/>
      </c>
      <c r="N26" s="70" t="str">
        <f t="shared" ca="1" si="11"/>
        <v/>
      </c>
      <c r="O26" s="120" t="str">
        <f t="shared" ca="1" si="12"/>
        <v/>
      </c>
    </row>
    <row r="27" spans="1:15" ht="16.5" customHeight="1">
      <c r="A27" s="47">
        <v>6</v>
      </c>
      <c r="B27" s="127" t="str">
        <f>HYPERLINK("#'" &amp; TEXT(투자전략!$G$1+5, "[$-ko-KR]yyyy.mm.dd") &amp; "'!A13:O37", TEXT(투자전략!$G$1+5, "[$-ko-KR]yyyy.mm.dd"))</f>
        <v>2023.03.06</v>
      </c>
      <c r="C27" s="118" t="str">
        <f t="shared" ca="1" si="0"/>
        <v/>
      </c>
      <c r="D27" s="122" t="str">
        <f t="shared" ca="1" si="1"/>
        <v/>
      </c>
      <c r="E27" s="70" t="str">
        <f t="shared" ca="1" si="2"/>
        <v/>
      </c>
      <c r="F27" s="120" t="str">
        <f t="shared" ca="1" si="3"/>
        <v/>
      </c>
      <c r="G27" s="122" t="str">
        <f t="shared" ca="1" si="4"/>
        <v/>
      </c>
      <c r="H27" s="70" t="str">
        <f t="shared" ca="1" si="5"/>
        <v/>
      </c>
      <c r="I27" s="120" t="str">
        <f t="shared" ca="1" si="6"/>
        <v/>
      </c>
      <c r="J27" s="122" t="str">
        <f t="shared" ca="1" si="7"/>
        <v/>
      </c>
      <c r="K27" s="70" t="str">
        <f t="shared" ca="1" si="8"/>
        <v/>
      </c>
      <c r="L27" s="120" t="str">
        <f t="shared" ca="1" si="9"/>
        <v/>
      </c>
      <c r="M27" s="122" t="str">
        <f t="shared" ca="1" si="10"/>
        <v/>
      </c>
      <c r="N27" s="70" t="str">
        <f t="shared" ca="1" si="11"/>
        <v/>
      </c>
      <c r="O27" s="120" t="str">
        <f t="shared" ca="1" si="12"/>
        <v/>
      </c>
    </row>
    <row r="28" spans="1:15" ht="16.5" customHeight="1" thickBot="1">
      <c r="A28" s="48">
        <v>7</v>
      </c>
      <c r="B28" s="128" t="str">
        <f>HYPERLINK("#'" &amp; TEXT(투자전략!$G$1+6, "[$-ko-KR]yyyy.mm.dd") &amp; "'!A13:O37", TEXT(투자전략!$G$1+6, "[$-ko-KR]yyyy.mm.dd"))</f>
        <v>2023.03.07</v>
      </c>
      <c r="C28" s="119" t="str">
        <f t="shared" ca="1" si="0"/>
        <v/>
      </c>
      <c r="D28" s="123" t="str">
        <f t="shared" ca="1" si="1"/>
        <v/>
      </c>
      <c r="E28" s="72" t="str">
        <f t="shared" ca="1" si="2"/>
        <v/>
      </c>
      <c r="F28" s="121" t="str">
        <f t="shared" ca="1" si="3"/>
        <v/>
      </c>
      <c r="G28" s="123" t="str">
        <f t="shared" ca="1" si="4"/>
        <v/>
      </c>
      <c r="H28" s="72" t="str">
        <f t="shared" ca="1" si="5"/>
        <v/>
      </c>
      <c r="I28" s="121" t="str">
        <f t="shared" ca="1" si="6"/>
        <v/>
      </c>
      <c r="J28" s="123" t="str">
        <f t="shared" ca="1" si="7"/>
        <v/>
      </c>
      <c r="K28" s="72" t="str">
        <f t="shared" ca="1" si="8"/>
        <v/>
      </c>
      <c r="L28" s="121" t="str">
        <f t="shared" ca="1" si="9"/>
        <v/>
      </c>
      <c r="M28" s="123" t="str">
        <f t="shared" ca="1" si="10"/>
        <v/>
      </c>
      <c r="N28" s="72" t="str">
        <f t="shared" ca="1" si="11"/>
        <v/>
      </c>
      <c r="O28" s="121" t="str">
        <f t="shared" ca="1" si="12"/>
        <v/>
      </c>
    </row>
    <row r="29" spans="1:15" ht="16.5" customHeight="1">
      <c r="A29" s="46">
        <v>8</v>
      </c>
      <c r="B29" s="126" t="str">
        <f>HYPERLINK("#'" &amp; TEXT(투자전략!$G$1+7, "[$-ko-KR]yyyy.mm.dd") &amp; "'!A13:O37", TEXT(투자전략!$G$1+7, "[$-ko-KR]yyyy.mm.dd"))</f>
        <v>2023.03.08</v>
      </c>
      <c r="C29" s="117" t="str">
        <f t="shared" ca="1" si="0"/>
        <v/>
      </c>
      <c r="D29" s="125" t="str">
        <f t="shared" ca="1" si="1"/>
        <v/>
      </c>
      <c r="E29" s="69" t="str">
        <f t="shared" ca="1" si="2"/>
        <v/>
      </c>
      <c r="F29" s="124" t="str">
        <f t="shared" ca="1" si="3"/>
        <v/>
      </c>
      <c r="G29" s="125" t="str">
        <f t="shared" ca="1" si="4"/>
        <v/>
      </c>
      <c r="H29" s="69" t="str">
        <f t="shared" ca="1" si="5"/>
        <v/>
      </c>
      <c r="I29" s="124" t="str">
        <f t="shared" ca="1" si="6"/>
        <v/>
      </c>
      <c r="J29" s="125" t="str">
        <f t="shared" ca="1" si="7"/>
        <v/>
      </c>
      <c r="K29" s="69" t="str">
        <f t="shared" ca="1" si="8"/>
        <v/>
      </c>
      <c r="L29" s="124" t="str">
        <f t="shared" ca="1" si="9"/>
        <v/>
      </c>
      <c r="M29" s="125" t="str">
        <f t="shared" ca="1" si="10"/>
        <v/>
      </c>
      <c r="N29" s="69" t="str">
        <f t="shared" ca="1" si="11"/>
        <v/>
      </c>
      <c r="O29" s="124" t="str">
        <f t="shared" ca="1" si="12"/>
        <v/>
      </c>
    </row>
    <row r="30" spans="1:15" ht="16.5" customHeight="1">
      <c r="A30" s="47">
        <v>9</v>
      </c>
      <c r="B30" s="127" t="str">
        <f>HYPERLINK("#'" &amp; TEXT(투자전략!$G$1+8, "[$-ko-KR]yyyy.mm.dd") &amp; "'!A13:O37", TEXT(투자전략!$G$1+8, "[$-ko-KR]yyyy.mm.dd"))</f>
        <v>2023.03.09</v>
      </c>
      <c r="C30" s="118" t="str">
        <f t="shared" ca="1" si="0"/>
        <v/>
      </c>
      <c r="D30" s="122" t="str">
        <f t="shared" ca="1" si="1"/>
        <v/>
      </c>
      <c r="E30" s="70" t="str">
        <f t="shared" ca="1" si="2"/>
        <v/>
      </c>
      <c r="F30" s="120" t="str">
        <f t="shared" ca="1" si="3"/>
        <v/>
      </c>
      <c r="G30" s="122" t="str">
        <f t="shared" ca="1" si="4"/>
        <v/>
      </c>
      <c r="H30" s="70" t="str">
        <f t="shared" ca="1" si="5"/>
        <v/>
      </c>
      <c r="I30" s="120" t="str">
        <f t="shared" ca="1" si="6"/>
        <v/>
      </c>
      <c r="J30" s="122" t="str">
        <f t="shared" ca="1" si="7"/>
        <v/>
      </c>
      <c r="K30" s="70" t="str">
        <f t="shared" ca="1" si="8"/>
        <v/>
      </c>
      <c r="L30" s="120" t="str">
        <f t="shared" ca="1" si="9"/>
        <v/>
      </c>
      <c r="M30" s="122" t="str">
        <f t="shared" ca="1" si="10"/>
        <v/>
      </c>
      <c r="N30" s="70" t="str">
        <f t="shared" ca="1" si="11"/>
        <v/>
      </c>
      <c r="O30" s="120" t="str">
        <f t="shared" ca="1" si="12"/>
        <v/>
      </c>
    </row>
    <row r="31" spans="1:15" ht="16.5" customHeight="1">
      <c r="A31" s="47">
        <v>10</v>
      </c>
      <c r="B31" s="127" t="str">
        <f>HYPERLINK("#'" &amp; TEXT(투자전략!$G$1+9, "[$-ko-KR]yyyy.mm.dd") &amp; "'!A13:O37", TEXT(투자전략!$G$1+9, "[$-ko-KR]yyyy.mm.dd"))</f>
        <v>2023.03.10</v>
      </c>
      <c r="C31" s="118" t="str">
        <f t="shared" ca="1" si="0"/>
        <v/>
      </c>
      <c r="D31" s="122" t="str">
        <f t="shared" ca="1" si="1"/>
        <v/>
      </c>
      <c r="E31" s="70" t="str">
        <f t="shared" ca="1" si="2"/>
        <v/>
      </c>
      <c r="F31" s="120" t="str">
        <f t="shared" ca="1" si="3"/>
        <v/>
      </c>
      <c r="G31" s="122" t="str">
        <f t="shared" ca="1" si="4"/>
        <v/>
      </c>
      <c r="H31" s="70" t="str">
        <f t="shared" ca="1" si="5"/>
        <v/>
      </c>
      <c r="I31" s="120" t="str">
        <f t="shared" ca="1" si="6"/>
        <v/>
      </c>
      <c r="J31" s="122" t="str">
        <f t="shared" ca="1" si="7"/>
        <v/>
      </c>
      <c r="K31" s="70" t="str">
        <f t="shared" ca="1" si="8"/>
        <v/>
      </c>
      <c r="L31" s="120" t="str">
        <f t="shared" ca="1" si="9"/>
        <v/>
      </c>
      <c r="M31" s="122" t="str">
        <f t="shared" ca="1" si="10"/>
        <v/>
      </c>
      <c r="N31" s="70" t="str">
        <f t="shared" ca="1" si="11"/>
        <v/>
      </c>
      <c r="O31" s="120" t="str">
        <f t="shared" ca="1" si="12"/>
        <v/>
      </c>
    </row>
    <row r="32" spans="1:15" ht="16.5" customHeight="1">
      <c r="A32" s="47">
        <v>11</v>
      </c>
      <c r="B32" s="127" t="str">
        <f>HYPERLINK("#'" &amp; TEXT(투자전략!$G$1+10, "[$-ko-KR]yyyy.mm.dd") &amp; "'!A13:O37", TEXT(투자전략!$G$1+10, "[$-ko-KR]yyyy.mm.dd"))</f>
        <v>2023.03.11</v>
      </c>
      <c r="C32" s="118" t="str">
        <f t="shared" ca="1" si="0"/>
        <v/>
      </c>
      <c r="D32" s="122" t="str">
        <f t="shared" ca="1" si="1"/>
        <v/>
      </c>
      <c r="E32" s="70" t="str">
        <f t="shared" ca="1" si="2"/>
        <v/>
      </c>
      <c r="F32" s="120" t="str">
        <f t="shared" ca="1" si="3"/>
        <v/>
      </c>
      <c r="G32" s="122" t="str">
        <f t="shared" ca="1" si="4"/>
        <v/>
      </c>
      <c r="H32" s="70" t="str">
        <f t="shared" ca="1" si="5"/>
        <v/>
      </c>
      <c r="I32" s="120" t="str">
        <f t="shared" ca="1" si="6"/>
        <v/>
      </c>
      <c r="J32" s="122" t="str">
        <f t="shared" ca="1" si="7"/>
        <v/>
      </c>
      <c r="K32" s="70" t="str">
        <f t="shared" ca="1" si="8"/>
        <v/>
      </c>
      <c r="L32" s="120" t="str">
        <f t="shared" ca="1" si="9"/>
        <v/>
      </c>
      <c r="M32" s="122" t="str">
        <f t="shared" ca="1" si="10"/>
        <v/>
      </c>
      <c r="N32" s="70" t="str">
        <f t="shared" ca="1" si="11"/>
        <v/>
      </c>
      <c r="O32" s="120" t="str">
        <f t="shared" ca="1" si="12"/>
        <v/>
      </c>
    </row>
    <row r="33" spans="1:15" ht="16.5" customHeight="1">
      <c r="A33" s="47">
        <v>12</v>
      </c>
      <c r="B33" s="127" t="str">
        <f>HYPERLINK("#'" &amp; TEXT(투자전략!$G$1+11, "[$-ko-KR]yyyy.mm.dd") &amp; "'!A13:O37", TEXT(투자전략!$G$1+11, "[$-ko-KR]yyyy.mm.dd"))</f>
        <v>2023.03.12</v>
      </c>
      <c r="C33" s="118" t="str">
        <f t="shared" ca="1" si="0"/>
        <v/>
      </c>
      <c r="D33" s="122" t="str">
        <f t="shared" ca="1" si="1"/>
        <v/>
      </c>
      <c r="E33" s="70" t="str">
        <f t="shared" ca="1" si="2"/>
        <v/>
      </c>
      <c r="F33" s="120" t="str">
        <f t="shared" ca="1" si="3"/>
        <v/>
      </c>
      <c r="G33" s="122" t="str">
        <f t="shared" ca="1" si="4"/>
        <v/>
      </c>
      <c r="H33" s="70" t="str">
        <f t="shared" ca="1" si="5"/>
        <v/>
      </c>
      <c r="I33" s="120" t="str">
        <f t="shared" ca="1" si="6"/>
        <v/>
      </c>
      <c r="J33" s="122" t="str">
        <f t="shared" ca="1" si="7"/>
        <v/>
      </c>
      <c r="K33" s="70" t="str">
        <f t="shared" ca="1" si="8"/>
        <v/>
      </c>
      <c r="L33" s="120" t="str">
        <f t="shared" ca="1" si="9"/>
        <v/>
      </c>
      <c r="M33" s="122" t="str">
        <f t="shared" ca="1" si="10"/>
        <v/>
      </c>
      <c r="N33" s="70" t="str">
        <f t="shared" ca="1" si="11"/>
        <v/>
      </c>
      <c r="O33" s="120" t="str">
        <f t="shared" ca="1" si="12"/>
        <v/>
      </c>
    </row>
    <row r="34" spans="1:15" ht="16.5" customHeight="1">
      <c r="A34" s="47">
        <v>13</v>
      </c>
      <c r="B34" s="127" t="str">
        <f>HYPERLINK("#'" &amp; TEXT(투자전략!$G$1+12, "[$-ko-KR]yyyy.mm.dd") &amp; "'!A13:O37", TEXT(투자전략!$G$1+12, "[$-ko-KR]yyyy.mm.dd"))</f>
        <v>2023.03.13</v>
      </c>
      <c r="C34" s="118" t="str">
        <f t="shared" ca="1" si="0"/>
        <v/>
      </c>
      <c r="D34" s="122" t="str">
        <f t="shared" ca="1" si="1"/>
        <v/>
      </c>
      <c r="E34" s="70" t="str">
        <f t="shared" ca="1" si="2"/>
        <v/>
      </c>
      <c r="F34" s="120" t="str">
        <f t="shared" ca="1" si="3"/>
        <v/>
      </c>
      <c r="G34" s="122" t="str">
        <f t="shared" ca="1" si="4"/>
        <v/>
      </c>
      <c r="H34" s="70" t="str">
        <f t="shared" ca="1" si="5"/>
        <v/>
      </c>
      <c r="I34" s="120" t="str">
        <f t="shared" ca="1" si="6"/>
        <v/>
      </c>
      <c r="J34" s="122" t="str">
        <f t="shared" ca="1" si="7"/>
        <v/>
      </c>
      <c r="K34" s="70" t="str">
        <f t="shared" ca="1" si="8"/>
        <v/>
      </c>
      <c r="L34" s="120" t="str">
        <f t="shared" ca="1" si="9"/>
        <v/>
      </c>
      <c r="M34" s="122" t="str">
        <f t="shared" ca="1" si="10"/>
        <v/>
      </c>
      <c r="N34" s="70" t="str">
        <f t="shared" ca="1" si="11"/>
        <v/>
      </c>
      <c r="O34" s="120" t="str">
        <f t="shared" ca="1" si="12"/>
        <v/>
      </c>
    </row>
    <row r="35" spans="1:15" ht="16.5" customHeight="1" thickBot="1">
      <c r="A35" s="48">
        <v>14</v>
      </c>
      <c r="B35" s="128" t="str">
        <f>HYPERLINK("#'" &amp; TEXT(투자전략!$G$1+13, "[$-ko-KR]yyyy.mm.dd") &amp; "'!A13:O37", TEXT(투자전략!$G$1+13, "[$-ko-KR]yyyy.mm.dd"))</f>
        <v>2023.03.14</v>
      </c>
      <c r="C35" s="119" t="str">
        <f t="shared" ca="1" si="0"/>
        <v/>
      </c>
      <c r="D35" s="123" t="str">
        <f t="shared" ca="1" si="1"/>
        <v/>
      </c>
      <c r="E35" s="72" t="str">
        <f t="shared" ca="1" si="2"/>
        <v/>
      </c>
      <c r="F35" s="121" t="str">
        <f t="shared" ca="1" si="3"/>
        <v/>
      </c>
      <c r="G35" s="123" t="str">
        <f t="shared" ca="1" si="4"/>
        <v/>
      </c>
      <c r="H35" s="72" t="str">
        <f t="shared" ca="1" si="5"/>
        <v/>
      </c>
      <c r="I35" s="121" t="str">
        <f t="shared" ca="1" si="6"/>
        <v/>
      </c>
      <c r="J35" s="123" t="str">
        <f t="shared" ca="1" si="7"/>
        <v/>
      </c>
      <c r="K35" s="72" t="str">
        <f t="shared" ca="1" si="8"/>
        <v/>
      </c>
      <c r="L35" s="121" t="str">
        <f t="shared" ca="1" si="9"/>
        <v/>
      </c>
      <c r="M35" s="123" t="str">
        <f t="shared" ca="1" si="10"/>
        <v/>
      </c>
      <c r="N35" s="72" t="str">
        <f t="shared" ca="1" si="11"/>
        <v/>
      </c>
      <c r="O35" s="121" t="str">
        <f t="shared" ca="1" si="12"/>
        <v/>
      </c>
    </row>
    <row r="36" spans="1:15" ht="16.5" customHeight="1">
      <c r="A36" s="46">
        <v>15</v>
      </c>
      <c r="B36" s="126" t="str">
        <f>HYPERLINK("#'" &amp; TEXT(투자전략!$G$1+14, "[$-ko-KR]yyyy.mm.dd") &amp; "'!A13:O37", TEXT(투자전략!$G$1+14, "[$-ko-KR]yyyy.mm.dd"))</f>
        <v>2023.03.15</v>
      </c>
      <c r="C36" s="117" t="str">
        <f t="shared" ca="1" si="0"/>
        <v/>
      </c>
      <c r="D36" s="125" t="str">
        <f t="shared" ca="1" si="1"/>
        <v/>
      </c>
      <c r="E36" s="69" t="str">
        <f t="shared" ca="1" si="2"/>
        <v/>
      </c>
      <c r="F36" s="124" t="str">
        <f t="shared" ca="1" si="3"/>
        <v/>
      </c>
      <c r="G36" s="125" t="str">
        <f t="shared" ca="1" si="4"/>
        <v/>
      </c>
      <c r="H36" s="69" t="str">
        <f t="shared" ca="1" si="5"/>
        <v/>
      </c>
      <c r="I36" s="124" t="str">
        <f t="shared" ca="1" si="6"/>
        <v/>
      </c>
      <c r="J36" s="125" t="str">
        <f t="shared" ca="1" si="7"/>
        <v/>
      </c>
      <c r="K36" s="69" t="str">
        <f t="shared" ca="1" si="8"/>
        <v/>
      </c>
      <c r="L36" s="124" t="str">
        <f t="shared" ca="1" si="9"/>
        <v/>
      </c>
      <c r="M36" s="125" t="str">
        <f t="shared" ca="1" si="10"/>
        <v/>
      </c>
      <c r="N36" s="69" t="str">
        <f t="shared" ca="1" si="11"/>
        <v/>
      </c>
      <c r="O36" s="124" t="str">
        <f t="shared" ca="1" si="12"/>
        <v/>
      </c>
    </row>
    <row r="37" spans="1:15" ht="16.5" customHeight="1">
      <c r="A37" s="47">
        <v>16</v>
      </c>
      <c r="B37" s="127" t="str">
        <f>HYPERLINK("#'" &amp; TEXT(투자전략!$G$1+15, "[$-ko-KR]yyyy.mm.dd") &amp; "'!A13:O37", TEXT(투자전략!$G$1+15, "[$-ko-KR]yyyy.mm.dd"))</f>
        <v>2023.03.16</v>
      </c>
      <c r="C37" s="118" t="str">
        <f t="shared" ca="1" si="0"/>
        <v/>
      </c>
      <c r="D37" s="122" t="str">
        <f t="shared" ca="1" si="1"/>
        <v/>
      </c>
      <c r="E37" s="70" t="str">
        <f t="shared" ca="1" si="2"/>
        <v/>
      </c>
      <c r="F37" s="120" t="str">
        <f t="shared" ca="1" si="3"/>
        <v/>
      </c>
      <c r="G37" s="122" t="str">
        <f t="shared" ca="1" si="4"/>
        <v/>
      </c>
      <c r="H37" s="70" t="str">
        <f t="shared" ca="1" si="5"/>
        <v/>
      </c>
      <c r="I37" s="120" t="str">
        <f t="shared" ca="1" si="6"/>
        <v/>
      </c>
      <c r="J37" s="122" t="str">
        <f t="shared" ca="1" si="7"/>
        <v/>
      </c>
      <c r="K37" s="70" t="str">
        <f t="shared" ca="1" si="8"/>
        <v/>
      </c>
      <c r="L37" s="120" t="str">
        <f t="shared" ca="1" si="9"/>
        <v/>
      </c>
      <c r="M37" s="122" t="str">
        <f t="shared" ca="1" si="10"/>
        <v/>
      </c>
      <c r="N37" s="70" t="str">
        <f t="shared" ca="1" si="11"/>
        <v/>
      </c>
      <c r="O37" s="120" t="str">
        <f t="shared" ca="1" si="12"/>
        <v/>
      </c>
    </row>
    <row r="38" spans="1:15" ht="16.5" customHeight="1">
      <c r="A38" s="47">
        <v>17</v>
      </c>
      <c r="B38" s="127" t="str">
        <f>HYPERLINK("#'" &amp; TEXT(투자전략!$G$1+16, "[$-ko-KR]yyyy.mm.dd") &amp; "'!A13:O37", TEXT(투자전략!$G$1+16, "[$-ko-KR]yyyy.mm.dd"))</f>
        <v>2023.03.17</v>
      </c>
      <c r="C38" s="118" t="str">
        <f t="shared" ca="1" si="0"/>
        <v/>
      </c>
      <c r="D38" s="122" t="str">
        <f t="shared" ca="1" si="1"/>
        <v/>
      </c>
      <c r="E38" s="70" t="str">
        <f t="shared" ca="1" si="2"/>
        <v/>
      </c>
      <c r="F38" s="120" t="str">
        <f t="shared" ca="1" si="3"/>
        <v/>
      </c>
      <c r="G38" s="122" t="str">
        <f t="shared" ca="1" si="4"/>
        <v/>
      </c>
      <c r="H38" s="70" t="str">
        <f t="shared" ca="1" si="5"/>
        <v/>
      </c>
      <c r="I38" s="120" t="str">
        <f t="shared" ca="1" si="6"/>
        <v/>
      </c>
      <c r="J38" s="122" t="str">
        <f t="shared" ca="1" si="7"/>
        <v/>
      </c>
      <c r="K38" s="70" t="str">
        <f t="shared" ca="1" si="8"/>
        <v/>
      </c>
      <c r="L38" s="120" t="str">
        <f t="shared" ca="1" si="9"/>
        <v/>
      </c>
      <c r="M38" s="122" t="str">
        <f t="shared" ca="1" si="10"/>
        <v/>
      </c>
      <c r="N38" s="70" t="str">
        <f t="shared" ca="1" si="11"/>
        <v/>
      </c>
      <c r="O38" s="120" t="str">
        <f t="shared" ca="1" si="12"/>
        <v/>
      </c>
    </row>
    <row r="39" spans="1:15" ht="16.5" customHeight="1">
      <c r="A39" s="47">
        <v>18</v>
      </c>
      <c r="B39" s="127" t="str">
        <f>HYPERLINK("#'" &amp; TEXT(투자전략!$G$1+17, "[$-ko-KR]yyyy.mm.dd") &amp; "'!A13:O37", TEXT(투자전략!$G$1+17, "[$-ko-KR]yyyy.mm.dd"))</f>
        <v>2023.03.18</v>
      </c>
      <c r="C39" s="118" t="str">
        <f t="shared" ca="1" si="0"/>
        <v/>
      </c>
      <c r="D39" s="122" t="str">
        <f t="shared" ca="1" si="1"/>
        <v/>
      </c>
      <c r="E39" s="70" t="str">
        <f t="shared" ca="1" si="2"/>
        <v/>
      </c>
      <c r="F39" s="120" t="str">
        <f t="shared" ca="1" si="3"/>
        <v/>
      </c>
      <c r="G39" s="122" t="str">
        <f t="shared" ca="1" si="4"/>
        <v/>
      </c>
      <c r="H39" s="70" t="str">
        <f t="shared" ca="1" si="5"/>
        <v/>
      </c>
      <c r="I39" s="120" t="str">
        <f t="shared" ca="1" si="6"/>
        <v/>
      </c>
      <c r="J39" s="122" t="str">
        <f t="shared" ca="1" si="7"/>
        <v/>
      </c>
      <c r="K39" s="70" t="str">
        <f t="shared" ca="1" si="8"/>
        <v/>
      </c>
      <c r="L39" s="120" t="str">
        <f t="shared" ca="1" si="9"/>
        <v/>
      </c>
      <c r="M39" s="122" t="str">
        <f t="shared" ca="1" si="10"/>
        <v/>
      </c>
      <c r="N39" s="70" t="str">
        <f t="shared" ca="1" si="11"/>
        <v/>
      </c>
      <c r="O39" s="120" t="str">
        <f t="shared" ca="1" si="12"/>
        <v/>
      </c>
    </row>
    <row r="40" spans="1:15" ht="16.5" customHeight="1">
      <c r="A40" s="47">
        <v>19</v>
      </c>
      <c r="B40" s="127" t="str">
        <f>HYPERLINK("#'" &amp; TEXT(투자전략!$G$1+18, "[$-ko-KR]yyyy.mm.dd") &amp; "'!A13:O37", TEXT(투자전략!$G$1+18, "[$-ko-KR]yyyy.mm.dd"))</f>
        <v>2023.03.19</v>
      </c>
      <c r="C40" s="118" t="str">
        <f t="shared" ca="1" si="0"/>
        <v/>
      </c>
      <c r="D40" s="122" t="str">
        <f t="shared" ca="1" si="1"/>
        <v/>
      </c>
      <c r="E40" s="70" t="str">
        <f t="shared" ca="1" si="2"/>
        <v/>
      </c>
      <c r="F40" s="120" t="str">
        <f t="shared" ca="1" si="3"/>
        <v/>
      </c>
      <c r="G40" s="122" t="str">
        <f t="shared" ca="1" si="4"/>
        <v/>
      </c>
      <c r="H40" s="70" t="str">
        <f t="shared" ca="1" si="5"/>
        <v/>
      </c>
      <c r="I40" s="120" t="str">
        <f t="shared" ca="1" si="6"/>
        <v/>
      </c>
      <c r="J40" s="122" t="str">
        <f t="shared" ca="1" si="7"/>
        <v/>
      </c>
      <c r="K40" s="70" t="str">
        <f t="shared" ca="1" si="8"/>
        <v/>
      </c>
      <c r="L40" s="120" t="str">
        <f t="shared" ca="1" si="9"/>
        <v/>
      </c>
      <c r="M40" s="122" t="str">
        <f t="shared" ca="1" si="10"/>
        <v/>
      </c>
      <c r="N40" s="70" t="str">
        <f t="shared" ca="1" si="11"/>
        <v/>
      </c>
      <c r="O40" s="120" t="str">
        <f t="shared" ca="1" si="12"/>
        <v/>
      </c>
    </row>
    <row r="41" spans="1:15" ht="16.5" customHeight="1">
      <c r="A41" s="47">
        <v>20</v>
      </c>
      <c r="B41" s="127" t="str">
        <f>HYPERLINK("#'" &amp; TEXT(투자전략!$G$1+19, "[$-ko-KR]yyyy.mm.dd") &amp; "'!A13:O37", TEXT(투자전략!$G$1+19, "[$-ko-KR]yyyy.mm.dd"))</f>
        <v>2023.03.20</v>
      </c>
      <c r="C41" s="118" t="str">
        <f t="shared" ca="1" si="0"/>
        <v/>
      </c>
      <c r="D41" s="122" t="str">
        <f t="shared" ca="1" si="1"/>
        <v/>
      </c>
      <c r="E41" s="70" t="str">
        <f t="shared" ca="1" si="2"/>
        <v/>
      </c>
      <c r="F41" s="120" t="str">
        <f t="shared" ca="1" si="3"/>
        <v/>
      </c>
      <c r="G41" s="122" t="str">
        <f t="shared" ca="1" si="4"/>
        <v/>
      </c>
      <c r="H41" s="70" t="str">
        <f t="shared" ca="1" si="5"/>
        <v/>
      </c>
      <c r="I41" s="120" t="str">
        <f t="shared" ca="1" si="6"/>
        <v/>
      </c>
      <c r="J41" s="122" t="str">
        <f t="shared" ca="1" si="7"/>
        <v/>
      </c>
      <c r="K41" s="70" t="str">
        <f t="shared" ca="1" si="8"/>
        <v/>
      </c>
      <c r="L41" s="120" t="str">
        <f t="shared" ca="1" si="9"/>
        <v/>
      </c>
      <c r="M41" s="122" t="str">
        <f t="shared" ca="1" si="10"/>
        <v/>
      </c>
      <c r="N41" s="70" t="str">
        <f t="shared" ca="1" si="11"/>
        <v/>
      </c>
      <c r="O41" s="120" t="str">
        <f t="shared" ca="1" si="12"/>
        <v/>
      </c>
    </row>
    <row r="42" spans="1:15" ht="16.5" customHeight="1" thickBot="1">
      <c r="A42" s="48">
        <v>21</v>
      </c>
      <c r="B42" s="128" t="str">
        <f>HYPERLINK("#'" &amp; TEXT(투자전략!$G$1+20, "[$-ko-KR]yyyy.mm.dd") &amp; "'!A13:O37", TEXT(투자전략!$G$1+20, "[$-ko-KR]yyyy.mm.dd"))</f>
        <v>2023.03.21</v>
      </c>
      <c r="C42" s="119" t="str">
        <f t="shared" ca="1" si="0"/>
        <v/>
      </c>
      <c r="D42" s="123" t="str">
        <f t="shared" ca="1" si="1"/>
        <v/>
      </c>
      <c r="E42" s="72" t="str">
        <f t="shared" ca="1" si="2"/>
        <v/>
      </c>
      <c r="F42" s="121" t="str">
        <f t="shared" ca="1" si="3"/>
        <v/>
      </c>
      <c r="G42" s="123" t="str">
        <f t="shared" ca="1" si="4"/>
        <v/>
      </c>
      <c r="H42" s="72" t="str">
        <f t="shared" ca="1" si="5"/>
        <v/>
      </c>
      <c r="I42" s="121" t="str">
        <f t="shared" ca="1" si="6"/>
        <v/>
      </c>
      <c r="J42" s="123" t="str">
        <f t="shared" ca="1" si="7"/>
        <v/>
      </c>
      <c r="K42" s="72" t="str">
        <f t="shared" ca="1" si="8"/>
        <v/>
      </c>
      <c r="L42" s="121" t="str">
        <f t="shared" ca="1" si="9"/>
        <v/>
      </c>
      <c r="M42" s="123" t="str">
        <f t="shared" ca="1" si="10"/>
        <v/>
      </c>
      <c r="N42" s="72" t="str">
        <f t="shared" ca="1" si="11"/>
        <v/>
      </c>
      <c r="O42" s="121" t="str">
        <f t="shared" ca="1" si="12"/>
        <v/>
      </c>
    </row>
    <row r="43" spans="1:15" ht="16.5" customHeight="1">
      <c r="A43" s="46">
        <v>22</v>
      </c>
      <c r="B43" s="126" t="str">
        <f>HYPERLINK("#'" &amp; TEXT(투자전략!$G$1+21, "[$-ko-KR]yyyy.mm.dd") &amp; "'!A13:O37", TEXT(투자전략!$G$1+21, "[$-ko-KR]yyyy.mm.dd"))</f>
        <v>2023.03.22</v>
      </c>
      <c r="C43" s="117" t="str">
        <f t="shared" ca="1" si="0"/>
        <v/>
      </c>
      <c r="D43" s="125" t="str">
        <f t="shared" ca="1" si="1"/>
        <v/>
      </c>
      <c r="E43" s="69" t="str">
        <f t="shared" ca="1" si="2"/>
        <v/>
      </c>
      <c r="F43" s="124" t="str">
        <f t="shared" ca="1" si="3"/>
        <v/>
      </c>
      <c r="G43" s="125" t="str">
        <f t="shared" ca="1" si="4"/>
        <v/>
      </c>
      <c r="H43" s="69" t="str">
        <f t="shared" ca="1" si="5"/>
        <v/>
      </c>
      <c r="I43" s="124" t="str">
        <f t="shared" ca="1" si="6"/>
        <v/>
      </c>
      <c r="J43" s="125" t="str">
        <f t="shared" ca="1" si="7"/>
        <v/>
      </c>
      <c r="K43" s="69" t="str">
        <f t="shared" ca="1" si="8"/>
        <v/>
      </c>
      <c r="L43" s="124" t="str">
        <f t="shared" ca="1" si="9"/>
        <v/>
      </c>
      <c r="M43" s="125" t="str">
        <f t="shared" ca="1" si="10"/>
        <v/>
      </c>
      <c r="N43" s="69" t="str">
        <f t="shared" ca="1" si="11"/>
        <v/>
      </c>
      <c r="O43" s="124" t="str">
        <f t="shared" ca="1" si="12"/>
        <v/>
      </c>
    </row>
    <row r="44" spans="1:15" ht="16.5" customHeight="1">
      <c r="A44" s="47">
        <v>23</v>
      </c>
      <c r="B44" s="127" t="str">
        <f>HYPERLINK("#'" &amp; TEXT(투자전략!$G$1+22, "[$-ko-KR]yyyy.mm.dd") &amp; "'!A13:O37", TEXT(투자전략!$G$1+22, "[$-ko-KR]yyyy.mm.dd"))</f>
        <v>2023.03.23</v>
      </c>
      <c r="C44" s="118" t="str">
        <f t="shared" ca="1" si="0"/>
        <v/>
      </c>
      <c r="D44" s="122" t="str">
        <f t="shared" ca="1" si="1"/>
        <v/>
      </c>
      <c r="E44" s="70" t="str">
        <f t="shared" ca="1" si="2"/>
        <v/>
      </c>
      <c r="F44" s="120" t="str">
        <f t="shared" ca="1" si="3"/>
        <v/>
      </c>
      <c r="G44" s="122" t="str">
        <f t="shared" ca="1" si="4"/>
        <v/>
      </c>
      <c r="H44" s="70" t="str">
        <f t="shared" ca="1" si="5"/>
        <v/>
      </c>
      <c r="I44" s="120" t="str">
        <f t="shared" ca="1" si="6"/>
        <v/>
      </c>
      <c r="J44" s="122" t="str">
        <f t="shared" ca="1" si="7"/>
        <v/>
      </c>
      <c r="K44" s="70" t="str">
        <f t="shared" ca="1" si="8"/>
        <v/>
      </c>
      <c r="L44" s="120" t="str">
        <f t="shared" ca="1" si="9"/>
        <v/>
      </c>
      <c r="M44" s="122" t="str">
        <f t="shared" ca="1" si="10"/>
        <v/>
      </c>
      <c r="N44" s="70" t="str">
        <f t="shared" ca="1" si="11"/>
        <v/>
      </c>
      <c r="O44" s="120" t="str">
        <f t="shared" ca="1" si="12"/>
        <v/>
      </c>
    </row>
    <row r="45" spans="1:15" ht="16.5" customHeight="1">
      <c r="A45" s="47">
        <v>24</v>
      </c>
      <c r="B45" s="127" t="str">
        <f>HYPERLINK("#'" &amp; TEXT(투자전략!$G$1+23, "[$-ko-KR]yyyy.mm.dd") &amp; "'!A13:O37", TEXT(투자전략!$G$1+23, "[$-ko-KR]yyyy.mm.dd"))</f>
        <v>2023.03.24</v>
      </c>
      <c r="C45" s="118" t="str">
        <f t="shared" ca="1" si="0"/>
        <v/>
      </c>
      <c r="D45" s="122" t="str">
        <f t="shared" ca="1" si="1"/>
        <v/>
      </c>
      <c r="E45" s="70" t="str">
        <f t="shared" ca="1" si="2"/>
        <v/>
      </c>
      <c r="F45" s="120" t="str">
        <f t="shared" ca="1" si="3"/>
        <v/>
      </c>
      <c r="G45" s="122" t="str">
        <f t="shared" ca="1" si="4"/>
        <v/>
      </c>
      <c r="H45" s="70" t="str">
        <f t="shared" ca="1" si="5"/>
        <v/>
      </c>
      <c r="I45" s="120" t="str">
        <f t="shared" ca="1" si="6"/>
        <v/>
      </c>
      <c r="J45" s="122" t="str">
        <f t="shared" ca="1" si="7"/>
        <v/>
      </c>
      <c r="K45" s="70" t="str">
        <f t="shared" ca="1" si="8"/>
        <v/>
      </c>
      <c r="L45" s="120" t="str">
        <f t="shared" ca="1" si="9"/>
        <v/>
      </c>
      <c r="M45" s="122" t="str">
        <f t="shared" ca="1" si="10"/>
        <v/>
      </c>
      <c r="N45" s="70" t="str">
        <f t="shared" ca="1" si="11"/>
        <v/>
      </c>
      <c r="O45" s="120" t="str">
        <f t="shared" ca="1" si="12"/>
        <v/>
      </c>
    </row>
    <row r="46" spans="1:15" ht="16.5" customHeight="1">
      <c r="A46" s="47">
        <v>25</v>
      </c>
      <c r="B46" s="127" t="str">
        <f>HYPERLINK("#'" &amp; TEXT(투자전략!$G$1+24, "[$-ko-KR]yyyy.mm.dd") &amp; "'!A13:O37", TEXT(투자전략!$G$1+24, "[$-ko-KR]yyyy.mm.dd"))</f>
        <v>2023.03.25</v>
      </c>
      <c r="C46" s="118" t="str">
        <f t="shared" ca="1" si="0"/>
        <v/>
      </c>
      <c r="D46" s="122" t="str">
        <f t="shared" ca="1" si="1"/>
        <v/>
      </c>
      <c r="E46" s="70" t="str">
        <f t="shared" ca="1" si="2"/>
        <v/>
      </c>
      <c r="F46" s="120" t="str">
        <f t="shared" ca="1" si="3"/>
        <v/>
      </c>
      <c r="G46" s="122" t="str">
        <f t="shared" ca="1" si="4"/>
        <v/>
      </c>
      <c r="H46" s="70" t="str">
        <f t="shared" ca="1" si="5"/>
        <v/>
      </c>
      <c r="I46" s="120" t="str">
        <f t="shared" ca="1" si="6"/>
        <v/>
      </c>
      <c r="J46" s="122" t="str">
        <f t="shared" ca="1" si="7"/>
        <v/>
      </c>
      <c r="K46" s="70" t="str">
        <f t="shared" ca="1" si="8"/>
        <v/>
      </c>
      <c r="L46" s="120" t="str">
        <f t="shared" ca="1" si="9"/>
        <v/>
      </c>
      <c r="M46" s="122" t="str">
        <f t="shared" ca="1" si="10"/>
        <v/>
      </c>
      <c r="N46" s="70" t="str">
        <f t="shared" ca="1" si="11"/>
        <v/>
      </c>
      <c r="O46" s="120" t="str">
        <f t="shared" ca="1" si="12"/>
        <v/>
      </c>
    </row>
    <row r="47" spans="1:15" ht="16.5" customHeight="1">
      <c r="A47" s="47">
        <v>26</v>
      </c>
      <c r="B47" s="127" t="str">
        <f>HYPERLINK("#'" &amp; TEXT(투자전략!$G$1+25, "[$-ko-KR]yyyy.mm.dd") &amp; "'!A13:O37", TEXT(투자전략!$G$1+25, "[$-ko-KR]yyyy.mm.dd"))</f>
        <v>2023.03.26</v>
      </c>
      <c r="C47" s="118" t="str">
        <f t="shared" ca="1" si="0"/>
        <v/>
      </c>
      <c r="D47" s="122" t="str">
        <f t="shared" ca="1" si="1"/>
        <v/>
      </c>
      <c r="E47" s="70" t="str">
        <f t="shared" ca="1" si="2"/>
        <v/>
      </c>
      <c r="F47" s="120" t="str">
        <f t="shared" ca="1" si="3"/>
        <v/>
      </c>
      <c r="G47" s="122" t="str">
        <f t="shared" ca="1" si="4"/>
        <v/>
      </c>
      <c r="H47" s="70" t="str">
        <f t="shared" ca="1" si="5"/>
        <v/>
      </c>
      <c r="I47" s="120" t="str">
        <f t="shared" ca="1" si="6"/>
        <v/>
      </c>
      <c r="J47" s="122" t="str">
        <f t="shared" ca="1" si="7"/>
        <v/>
      </c>
      <c r="K47" s="70" t="str">
        <f t="shared" ca="1" si="8"/>
        <v/>
      </c>
      <c r="L47" s="120" t="str">
        <f t="shared" ca="1" si="9"/>
        <v/>
      </c>
      <c r="M47" s="122" t="str">
        <f t="shared" ca="1" si="10"/>
        <v/>
      </c>
      <c r="N47" s="70" t="str">
        <f t="shared" ca="1" si="11"/>
        <v/>
      </c>
      <c r="O47" s="120" t="str">
        <f t="shared" ca="1" si="12"/>
        <v/>
      </c>
    </row>
    <row r="48" spans="1:15" ht="16.5" customHeight="1">
      <c r="A48" s="47">
        <v>27</v>
      </c>
      <c r="B48" s="127" t="str">
        <f>HYPERLINK("#'" &amp; TEXT(투자전략!$G$1+26, "[$-ko-KR]yyyy.mm.dd") &amp; "'!A13:O37", TEXT(투자전략!$G$1+26, "[$-ko-KR]yyyy.mm.dd"))</f>
        <v>2023.03.27</v>
      </c>
      <c r="C48" s="118" t="str">
        <f t="shared" ca="1" si="0"/>
        <v/>
      </c>
      <c r="D48" s="122" t="str">
        <f t="shared" ca="1" si="1"/>
        <v/>
      </c>
      <c r="E48" s="70" t="str">
        <f t="shared" ca="1" si="2"/>
        <v/>
      </c>
      <c r="F48" s="120" t="str">
        <f t="shared" ca="1" si="3"/>
        <v/>
      </c>
      <c r="G48" s="122" t="str">
        <f t="shared" ca="1" si="4"/>
        <v/>
      </c>
      <c r="H48" s="70" t="str">
        <f t="shared" ca="1" si="5"/>
        <v/>
      </c>
      <c r="I48" s="120" t="str">
        <f t="shared" ca="1" si="6"/>
        <v/>
      </c>
      <c r="J48" s="122" t="str">
        <f t="shared" ca="1" si="7"/>
        <v/>
      </c>
      <c r="K48" s="70" t="str">
        <f t="shared" ca="1" si="8"/>
        <v/>
      </c>
      <c r="L48" s="120" t="str">
        <f t="shared" ca="1" si="9"/>
        <v/>
      </c>
      <c r="M48" s="122" t="str">
        <f t="shared" ca="1" si="10"/>
        <v/>
      </c>
      <c r="N48" s="70" t="str">
        <f t="shared" ca="1" si="11"/>
        <v/>
      </c>
      <c r="O48" s="120" t="str">
        <f t="shared" ca="1" si="12"/>
        <v/>
      </c>
    </row>
    <row r="49" spans="1:15" ht="16.5" customHeight="1" thickBot="1">
      <c r="A49" s="48">
        <v>28</v>
      </c>
      <c r="B49" s="128" t="str">
        <f>HYPERLINK("#'" &amp; TEXT(투자전략!$G$1+27, "[$-ko-KR]yyyy.mm.dd") &amp; "'!A13:O37", TEXT(투자전략!$G$1+27, "[$-ko-KR]yyyy.mm.dd"))</f>
        <v>2023.03.28</v>
      </c>
      <c r="C49" s="119" t="str">
        <f t="shared" ca="1" si="0"/>
        <v/>
      </c>
      <c r="D49" s="123" t="str">
        <f t="shared" ca="1" si="1"/>
        <v/>
      </c>
      <c r="E49" s="72" t="str">
        <f t="shared" ca="1" si="2"/>
        <v/>
      </c>
      <c r="F49" s="121" t="str">
        <f t="shared" ca="1" si="3"/>
        <v/>
      </c>
      <c r="G49" s="123" t="str">
        <f t="shared" ca="1" si="4"/>
        <v/>
      </c>
      <c r="H49" s="72" t="str">
        <f t="shared" ca="1" si="5"/>
        <v/>
      </c>
      <c r="I49" s="121" t="str">
        <f t="shared" ca="1" si="6"/>
        <v/>
      </c>
      <c r="J49" s="123" t="str">
        <f t="shared" ca="1" si="7"/>
        <v/>
      </c>
      <c r="K49" s="72" t="str">
        <f t="shared" ca="1" si="8"/>
        <v/>
      </c>
      <c r="L49" s="121" t="str">
        <f t="shared" ca="1" si="9"/>
        <v/>
      </c>
      <c r="M49" s="123" t="str">
        <f t="shared" ca="1" si="10"/>
        <v/>
      </c>
      <c r="N49" s="72" t="str">
        <f t="shared" ca="1" si="11"/>
        <v/>
      </c>
      <c r="O49" s="121" t="str">
        <f t="shared" ca="1" si="12"/>
        <v/>
      </c>
    </row>
    <row r="50" spans="1:15" ht="16.5" customHeight="1">
      <c r="A50" s="105">
        <v>29</v>
      </c>
      <c r="B50" s="126" t="str">
        <f>HYPERLINK("#'" &amp; TEXT(투자전략!$G$1+28, "[$-ko-KR]yyyy.mm.dd") &amp; "'!A13:O37", TEXT(투자전략!$G$1+28, "[$-ko-KR]yyyy.mm.dd"))</f>
        <v>2023.03.29</v>
      </c>
      <c r="C50" s="118" t="str">
        <f t="shared" ca="1" si="0"/>
        <v/>
      </c>
      <c r="D50" s="122" t="str">
        <f t="shared" ca="1" si="1"/>
        <v/>
      </c>
      <c r="E50" s="70" t="str">
        <f t="shared" ca="1" si="2"/>
        <v/>
      </c>
      <c r="F50" s="120" t="str">
        <f t="shared" ca="1" si="3"/>
        <v/>
      </c>
      <c r="G50" s="122" t="str">
        <f t="shared" ca="1" si="4"/>
        <v/>
      </c>
      <c r="H50" s="70" t="str">
        <f t="shared" ca="1" si="5"/>
        <v/>
      </c>
      <c r="I50" s="120" t="str">
        <f t="shared" ca="1" si="6"/>
        <v/>
      </c>
      <c r="J50" s="122" t="str">
        <f t="shared" ca="1" si="7"/>
        <v/>
      </c>
      <c r="K50" s="70" t="str">
        <f t="shared" ca="1" si="8"/>
        <v/>
      </c>
      <c r="L50" s="120" t="str">
        <f t="shared" ca="1" si="9"/>
        <v/>
      </c>
      <c r="M50" s="122" t="str">
        <f t="shared" ca="1" si="10"/>
        <v/>
      </c>
      <c r="N50" s="70" t="str">
        <f t="shared" ca="1" si="11"/>
        <v/>
      </c>
      <c r="O50" s="120" t="str">
        <f t="shared" ca="1" si="12"/>
        <v/>
      </c>
    </row>
    <row r="51" spans="1:15" ht="16.5" customHeight="1">
      <c r="A51" s="105">
        <v>30</v>
      </c>
      <c r="B51" s="127" t="str">
        <f>HYPERLINK("#'" &amp; TEXT(투자전략!$G$1+29, "[$-ko-KR]yyyy.mm.dd") &amp; "'!A13:O37", TEXT(투자전략!$G$1+29, "[$-ko-KR]yyyy.mm.dd"))</f>
        <v>2023.03.30</v>
      </c>
      <c r="C51" s="118" t="str">
        <f t="shared" ca="1" si="0"/>
        <v/>
      </c>
      <c r="D51" s="122" t="str">
        <f t="shared" ca="1" si="1"/>
        <v/>
      </c>
      <c r="E51" s="70" t="str">
        <f t="shared" ca="1" si="2"/>
        <v/>
      </c>
      <c r="F51" s="120" t="str">
        <f t="shared" ca="1" si="3"/>
        <v/>
      </c>
      <c r="G51" s="122" t="str">
        <f t="shared" ca="1" si="4"/>
        <v/>
      </c>
      <c r="H51" s="70" t="str">
        <f t="shared" ca="1" si="5"/>
        <v/>
      </c>
      <c r="I51" s="120" t="str">
        <f t="shared" ca="1" si="6"/>
        <v/>
      </c>
      <c r="J51" s="122" t="str">
        <f t="shared" ca="1" si="7"/>
        <v/>
      </c>
      <c r="K51" s="70" t="str">
        <f t="shared" ca="1" si="8"/>
        <v/>
      </c>
      <c r="L51" s="120" t="str">
        <f t="shared" ca="1" si="9"/>
        <v/>
      </c>
      <c r="M51" s="122" t="str">
        <f t="shared" ca="1" si="10"/>
        <v/>
      </c>
      <c r="N51" s="70" t="str">
        <f t="shared" ca="1" si="11"/>
        <v/>
      </c>
      <c r="O51" s="120" t="str">
        <f t="shared" ca="1" si="12"/>
        <v/>
      </c>
    </row>
    <row r="52" spans="1:15" ht="16.5" customHeight="1" thickBot="1">
      <c r="A52" s="105">
        <v>31</v>
      </c>
      <c r="B52" s="127" t="str">
        <f>HYPERLINK("#'" &amp; TEXT(투자전략!$G$1+30, "[$-ko-KR]yyyy.mm.dd") &amp; "'!A13:O37", TEXT(투자전략!$G$1+30, "[$-ko-KR]yyyy.mm.dd"))</f>
        <v>2023.03.31</v>
      </c>
      <c r="C52" s="118" t="str">
        <f t="shared" ca="1" si="0"/>
        <v/>
      </c>
      <c r="D52" s="122" t="str">
        <f t="shared" ca="1" si="1"/>
        <v/>
      </c>
      <c r="E52" s="70" t="str">
        <f t="shared" ca="1" si="2"/>
        <v/>
      </c>
      <c r="F52" s="120" t="str">
        <f t="shared" ca="1" si="3"/>
        <v/>
      </c>
      <c r="G52" s="122" t="str">
        <f t="shared" ca="1" si="4"/>
        <v/>
      </c>
      <c r="H52" s="70" t="str">
        <f t="shared" ca="1" si="5"/>
        <v/>
      </c>
      <c r="I52" s="120" t="str">
        <f t="shared" ca="1" si="6"/>
        <v/>
      </c>
      <c r="J52" s="122" t="str">
        <f t="shared" ca="1" si="7"/>
        <v/>
      </c>
      <c r="K52" s="70" t="str">
        <f t="shared" ca="1" si="8"/>
        <v/>
      </c>
      <c r="L52" s="120" t="str">
        <f t="shared" ca="1" si="9"/>
        <v/>
      </c>
      <c r="M52" s="122" t="str">
        <f t="shared" ca="1" si="10"/>
        <v/>
      </c>
      <c r="N52" s="70" t="str">
        <f t="shared" ca="1" si="11"/>
        <v/>
      </c>
      <c r="O52" s="120" t="str">
        <f t="shared" ca="1" si="12"/>
        <v/>
      </c>
    </row>
    <row r="53" spans="1:15" ht="16.5" customHeight="1" thickBot="1">
      <c r="A53" s="144" t="s">
        <v>270</v>
      </c>
      <c r="B53" s="146"/>
      <c r="C53" s="116" t="s">
        <v>265</v>
      </c>
      <c r="D53" s="9" t="s">
        <v>266</v>
      </c>
      <c r="E53" s="63" t="s">
        <v>267</v>
      </c>
      <c r="F53" s="64" t="s">
        <v>268</v>
      </c>
      <c r="G53" s="9" t="s">
        <v>266</v>
      </c>
      <c r="H53" s="63" t="s">
        <v>267</v>
      </c>
      <c r="I53" s="64" t="s">
        <v>268</v>
      </c>
      <c r="J53" s="9" t="s">
        <v>266</v>
      </c>
      <c r="K53" s="63" t="s">
        <v>267</v>
      </c>
      <c r="L53" s="64" t="s">
        <v>268</v>
      </c>
      <c r="M53" s="9" t="s">
        <v>266</v>
      </c>
      <c r="N53" s="63" t="s">
        <v>267</v>
      </c>
      <c r="O53" s="64" t="s">
        <v>268</v>
      </c>
    </row>
    <row r="54" spans="1:15" ht="16.5" customHeight="1" thickBot="1">
      <c r="A54" s="150"/>
      <c r="B54" s="152"/>
      <c r="C54" s="119">
        <f ca="1">SUM(C22:C52)</f>
        <v>0</v>
      </c>
      <c r="D54" s="123">
        <f ca="1">SUM(D22:D52)</f>
        <v>0</v>
      </c>
      <c r="E54" s="72">
        <f ca="1">IFERROR(F54 / (SUM($C22:$C52) / COUNT($C22:$C52)), 0)</f>
        <v>0</v>
      </c>
      <c r="F54" s="121">
        <f ca="1">SUM(F22:F52)</f>
        <v>0</v>
      </c>
      <c r="G54" s="123">
        <f ca="1">SUM(G22:G52)</f>
        <v>0</v>
      </c>
      <c r="H54" s="72">
        <f ca="1">IFERROR(I54 / (SUM($C22:$C52) / COUNT($C22:$C52)), 0)</f>
        <v>0</v>
      </c>
      <c r="I54" s="121">
        <f ca="1">SUM(I22:I52)</f>
        <v>0</v>
      </c>
      <c r="J54" s="123">
        <f ca="1">SUM(J22:J52)</f>
        <v>0</v>
      </c>
      <c r="K54" s="72">
        <f ca="1">IFERROR(L54 / (SUM($C22:$C52) / COUNT($C22:$C52)), 0)</f>
        <v>0</v>
      </c>
      <c r="L54" s="121">
        <f ca="1">SUM(L22:L52)</f>
        <v>0</v>
      </c>
      <c r="M54" s="123">
        <f ca="1">SUM(M22:M52)</f>
        <v>0</v>
      </c>
      <c r="N54" s="72">
        <f ca="1">IFERROR(O54 / (SUM($C22:$C52) / COUNT($C22:$C52)), 0)</f>
        <v>0</v>
      </c>
      <c r="O54" s="121">
        <f ca="1">SUM(O22:O52)</f>
        <v>0</v>
      </c>
    </row>
    <row r="56" spans="1:15" ht="16.5" customHeight="1" thickBot="1"/>
    <row r="57" spans="1:15" ht="16.5" customHeight="1" thickBot="1">
      <c r="A57" s="135" t="str">
        <f>TEXT(투자전략!$G$1, "[$-ko-KR]yyyy년 mm월 ") &amp; "[엽전코인] 전일대비 상승률 Top20 월말결산"</f>
        <v>2023년 03월 [엽전코인] 전일대비 상승률 Top20 월말결산</v>
      </c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7"/>
    </row>
    <row r="58" spans="1:15" ht="16.5" customHeight="1" thickBot="1">
      <c r="A58" s="196" t="s">
        <v>271</v>
      </c>
      <c r="B58" s="150" t="s">
        <v>269</v>
      </c>
      <c r="C58" s="152"/>
      <c r="D58" s="150" t="s">
        <v>261</v>
      </c>
      <c r="E58" s="151"/>
      <c r="F58" s="152"/>
      <c r="G58" s="150" t="s">
        <v>262</v>
      </c>
      <c r="H58" s="151"/>
      <c r="I58" s="152"/>
      <c r="J58" s="150" t="s">
        <v>263</v>
      </c>
      <c r="K58" s="151"/>
      <c r="L58" s="152"/>
      <c r="M58" s="150" t="s">
        <v>264</v>
      </c>
      <c r="N58" s="151"/>
      <c r="O58" s="152"/>
    </row>
    <row r="59" spans="1:15" ht="16.5" customHeight="1" thickBot="1">
      <c r="A59" s="200"/>
      <c r="B59" s="46" t="s">
        <v>259</v>
      </c>
      <c r="C59" s="46" t="s">
        <v>42</v>
      </c>
      <c r="D59" s="105" t="s">
        <v>260</v>
      </c>
      <c r="E59" s="106" t="s">
        <v>40</v>
      </c>
      <c r="F59" s="81" t="s">
        <v>41</v>
      </c>
      <c r="G59" s="105" t="s">
        <v>260</v>
      </c>
      <c r="H59" s="106" t="s">
        <v>40</v>
      </c>
      <c r="I59" s="81" t="s">
        <v>41</v>
      </c>
      <c r="J59" s="105" t="s">
        <v>260</v>
      </c>
      <c r="K59" s="106" t="s">
        <v>40</v>
      </c>
      <c r="L59" s="81" t="s">
        <v>41</v>
      </c>
      <c r="M59" s="105" t="s">
        <v>260</v>
      </c>
      <c r="N59" s="106" t="s">
        <v>40</v>
      </c>
      <c r="O59" s="81" t="s">
        <v>41</v>
      </c>
    </row>
    <row r="60" spans="1:15" ht="16.5" customHeight="1">
      <c r="A60" s="46">
        <v>1</v>
      </c>
      <c r="B60" s="129" t="str">
        <f>HYPERLINK("#'" &amp; TEXT(투자전략!$G$1+0, "[$-ko-KR]yyyy.mm.dd") &amp; "'!A40:O64", TEXT(투자전략!$G$1+0, "[$-ko-KR]yyyy.mm.dd"))</f>
        <v>2023.03.01</v>
      </c>
      <c r="C60" s="117">
        <f ca="1">IFERROR(COUNTA(INDIRECT($B60&amp;"!A44:A63")) * INDIRECT($B60&amp;"!B64"), "")</f>
        <v>3000000</v>
      </c>
      <c r="D60" s="125">
        <f ca="1">IFERROR($C60 * (1 + E60), "")</f>
        <v>3000000</v>
      </c>
      <c r="E60" s="69">
        <f ca="1">IFERROR(INDIRECT($B60&amp;"!E64"), "")</f>
        <v>0</v>
      </c>
      <c r="F60" s="124">
        <f ca="1">IFERROR(INDIRECT($B60&amp;"!F64"), "")</f>
        <v>0</v>
      </c>
      <c r="G60" s="125">
        <f ca="1">IFERROR($C60 * (1 + H60), "")</f>
        <v>3000000</v>
      </c>
      <c r="H60" s="69">
        <f ca="1">IFERROR(INDIRECT($B60&amp;"!H64"), "")</f>
        <v>0</v>
      </c>
      <c r="I60" s="124">
        <f ca="1">IFERROR(INDIRECT($B60&amp;"!I64"), "")</f>
        <v>0</v>
      </c>
      <c r="J60" s="125">
        <f ca="1">IFERROR($C60 * (1 + K60), "")</f>
        <v>3000000</v>
      </c>
      <c r="K60" s="69">
        <f ca="1">IFERROR(INDIRECT($B60&amp;"!K64"), "")</f>
        <v>0</v>
      </c>
      <c r="L60" s="124">
        <f ca="1">IFERROR(INDIRECT($B60&amp;"!L64"), "")</f>
        <v>0</v>
      </c>
      <c r="M60" s="125">
        <f ca="1">IFERROR($C60 * (1 + N60), "")</f>
        <v>3000000</v>
      </c>
      <c r="N60" s="69">
        <f ca="1">IFERROR(INDIRECT($B60&amp;"!N64"), "")</f>
        <v>0</v>
      </c>
      <c r="O60" s="124">
        <f ca="1">IFERROR(INDIRECT($B60&amp;"!O64"), "")</f>
        <v>0</v>
      </c>
    </row>
    <row r="61" spans="1:15" ht="16.5" customHeight="1">
      <c r="A61" s="47">
        <v>2</v>
      </c>
      <c r="B61" s="130" t="str">
        <f>HYPERLINK("#'" &amp; TEXT(투자전략!$G$1+1, "[$-ko-KR]yyyy.mm.dd") &amp; "'!A40:O64", TEXT(투자전략!$G$1+1, "[$-ko-KR]yyyy.mm.dd"))</f>
        <v>2023.03.02</v>
      </c>
      <c r="C61" s="118" t="str">
        <f t="shared" ref="C61:C90" ca="1" si="13">IFERROR(COUNTA(INDIRECT($B61&amp;"!A44:A63")) * INDIRECT($B61&amp;"!B64"), "")</f>
        <v/>
      </c>
      <c r="D61" s="122" t="str">
        <f t="shared" ref="D61:D90" ca="1" si="14">IFERROR($C61 * (1 + E61), "")</f>
        <v/>
      </c>
      <c r="E61" s="70" t="str">
        <f t="shared" ref="E61:E90" ca="1" si="15">IFERROR(INDIRECT($B61&amp;"!E64"), "")</f>
        <v/>
      </c>
      <c r="F61" s="120" t="str">
        <f t="shared" ref="F61:F90" ca="1" si="16">IFERROR(INDIRECT($B61&amp;"!F64"), "")</f>
        <v/>
      </c>
      <c r="G61" s="122" t="str">
        <f t="shared" ref="G61:G90" ca="1" si="17">IFERROR($C61 * (1 + H61), "")</f>
        <v/>
      </c>
      <c r="H61" s="70" t="str">
        <f t="shared" ref="H61:H90" ca="1" si="18">IFERROR(INDIRECT($B61&amp;"!H64"), "")</f>
        <v/>
      </c>
      <c r="I61" s="120" t="str">
        <f t="shared" ref="I61:I90" ca="1" si="19">IFERROR(INDIRECT($B61&amp;"!I64"), "")</f>
        <v/>
      </c>
      <c r="J61" s="122" t="str">
        <f t="shared" ref="J61:J90" ca="1" si="20">IFERROR($C61 * (1 + K61), "")</f>
        <v/>
      </c>
      <c r="K61" s="70" t="str">
        <f t="shared" ref="K61:K90" ca="1" si="21">IFERROR(INDIRECT($B61&amp;"!K64"), "")</f>
        <v/>
      </c>
      <c r="L61" s="120" t="str">
        <f t="shared" ref="L61:L90" ca="1" si="22">IFERROR(INDIRECT($B61&amp;"!L64"), "")</f>
        <v/>
      </c>
      <c r="M61" s="122" t="str">
        <f t="shared" ref="M61:M90" ca="1" si="23">IFERROR($C61 * (1 + N61), "")</f>
        <v/>
      </c>
      <c r="N61" s="70" t="str">
        <f t="shared" ref="N61:N90" ca="1" si="24">IFERROR(INDIRECT($B61&amp;"!N64"), "")</f>
        <v/>
      </c>
      <c r="O61" s="120" t="str">
        <f t="shared" ref="O61:O90" ca="1" si="25">IFERROR(INDIRECT($B61&amp;"!O64"), "")</f>
        <v/>
      </c>
    </row>
    <row r="62" spans="1:15" ht="16.5" customHeight="1">
      <c r="A62" s="47">
        <v>3</v>
      </c>
      <c r="B62" s="130" t="str">
        <f>HYPERLINK("#'" &amp; TEXT(투자전략!$G$1+2, "[$-ko-KR]yyyy.mm.dd") &amp; "'!A40:O64", TEXT(투자전략!$G$1+2, "[$-ko-KR]yyyy.mm.dd"))</f>
        <v>2023.03.03</v>
      </c>
      <c r="C62" s="118" t="str">
        <f t="shared" ca="1" si="13"/>
        <v/>
      </c>
      <c r="D62" s="122" t="str">
        <f t="shared" ca="1" si="14"/>
        <v/>
      </c>
      <c r="E62" s="70" t="str">
        <f t="shared" ca="1" si="15"/>
        <v/>
      </c>
      <c r="F62" s="120" t="str">
        <f t="shared" ca="1" si="16"/>
        <v/>
      </c>
      <c r="G62" s="122" t="str">
        <f t="shared" ca="1" si="17"/>
        <v/>
      </c>
      <c r="H62" s="70" t="str">
        <f t="shared" ca="1" si="18"/>
        <v/>
      </c>
      <c r="I62" s="120" t="str">
        <f t="shared" ca="1" si="19"/>
        <v/>
      </c>
      <c r="J62" s="122" t="str">
        <f t="shared" ca="1" si="20"/>
        <v/>
      </c>
      <c r="K62" s="70" t="str">
        <f t="shared" ca="1" si="21"/>
        <v/>
      </c>
      <c r="L62" s="120" t="str">
        <f t="shared" ca="1" si="22"/>
        <v/>
      </c>
      <c r="M62" s="122" t="str">
        <f t="shared" ca="1" si="23"/>
        <v/>
      </c>
      <c r="N62" s="70" t="str">
        <f t="shared" ca="1" si="24"/>
        <v/>
      </c>
      <c r="O62" s="120" t="str">
        <f t="shared" ca="1" si="25"/>
        <v/>
      </c>
    </row>
    <row r="63" spans="1:15" ht="16.5" customHeight="1">
      <c r="A63" s="47">
        <v>4</v>
      </c>
      <c r="B63" s="130" t="str">
        <f>HYPERLINK("#'" &amp; TEXT(투자전략!$G$1+3, "[$-ko-KR]yyyy.mm.dd") &amp; "'!A40:O64", TEXT(투자전략!$G$1+3, "[$-ko-KR]yyyy.mm.dd"))</f>
        <v>2023.03.04</v>
      </c>
      <c r="C63" s="118" t="str">
        <f t="shared" ca="1" si="13"/>
        <v/>
      </c>
      <c r="D63" s="122" t="str">
        <f t="shared" ca="1" si="14"/>
        <v/>
      </c>
      <c r="E63" s="70" t="str">
        <f t="shared" ca="1" si="15"/>
        <v/>
      </c>
      <c r="F63" s="120" t="str">
        <f t="shared" ca="1" si="16"/>
        <v/>
      </c>
      <c r="G63" s="122" t="str">
        <f t="shared" ca="1" si="17"/>
        <v/>
      </c>
      <c r="H63" s="70" t="str">
        <f t="shared" ca="1" si="18"/>
        <v/>
      </c>
      <c r="I63" s="120" t="str">
        <f t="shared" ca="1" si="19"/>
        <v/>
      </c>
      <c r="J63" s="122" t="str">
        <f t="shared" ca="1" si="20"/>
        <v/>
      </c>
      <c r="K63" s="70" t="str">
        <f t="shared" ca="1" si="21"/>
        <v/>
      </c>
      <c r="L63" s="120" t="str">
        <f t="shared" ca="1" si="22"/>
        <v/>
      </c>
      <c r="M63" s="122" t="str">
        <f t="shared" ca="1" si="23"/>
        <v/>
      </c>
      <c r="N63" s="70" t="str">
        <f t="shared" ca="1" si="24"/>
        <v/>
      </c>
      <c r="O63" s="120" t="str">
        <f t="shared" ca="1" si="25"/>
        <v/>
      </c>
    </row>
    <row r="64" spans="1:15" ht="16.5" customHeight="1">
      <c r="A64" s="47">
        <v>5</v>
      </c>
      <c r="B64" s="130" t="str">
        <f>HYPERLINK("#'" &amp; TEXT(투자전략!$G$1+4, "[$-ko-KR]yyyy.mm.dd") &amp; "'!A40:O64", TEXT(투자전략!$G$1+4, "[$-ko-KR]yyyy.mm.dd"))</f>
        <v>2023.03.05</v>
      </c>
      <c r="C64" s="118" t="str">
        <f t="shared" ca="1" si="13"/>
        <v/>
      </c>
      <c r="D64" s="122" t="str">
        <f t="shared" ca="1" si="14"/>
        <v/>
      </c>
      <c r="E64" s="70" t="str">
        <f t="shared" ca="1" si="15"/>
        <v/>
      </c>
      <c r="F64" s="120" t="str">
        <f t="shared" ca="1" si="16"/>
        <v/>
      </c>
      <c r="G64" s="122" t="str">
        <f t="shared" ca="1" si="17"/>
        <v/>
      </c>
      <c r="H64" s="70" t="str">
        <f t="shared" ca="1" si="18"/>
        <v/>
      </c>
      <c r="I64" s="120" t="str">
        <f t="shared" ca="1" si="19"/>
        <v/>
      </c>
      <c r="J64" s="122" t="str">
        <f t="shared" ca="1" si="20"/>
        <v/>
      </c>
      <c r="K64" s="70" t="str">
        <f t="shared" ca="1" si="21"/>
        <v/>
      </c>
      <c r="L64" s="120" t="str">
        <f t="shared" ca="1" si="22"/>
        <v/>
      </c>
      <c r="M64" s="122" t="str">
        <f t="shared" ca="1" si="23"/>
        <v/>
      </c>
      <c r="N64" s="70" t="str">
        <f t="shared" ca="1" si="24"/>
        <v/>
      </c>
      <c r="O64" s="120" t="str">
        <f t="shared" ca="1" si="25"/>
        <v/>
      </c>
    </row>
    <row r="65" spans="1:15" ht="16.5" customHeight="1">
      <c r="A65" s="47">
        <v>6</v>
      </c>
      <c r="B65" s="130" t="str">
        <f>HYPERLINK("#'" &amp; TEXT(투자전략!$G$1+5, "[$-ko-KR]yyyy.mm.dd") &amp; "'!A40:O64", TEXT(투자전략!$G$1+5, "[$-ko-KR]yyyy.mm.dd"))</f>
        <v>2023.03.06</v>
      </c>
      <c r="C65" s="118" t="str">
        <f t="shared" ca="1" si="13"/>
        <v/>
      </c>
      <c r="D65" s="122" t="str">
        <f t="shared" ca="1" si="14"/>
        <v/>
      </c>
      <c r="E65" s="70" t="str">
        <f t="shared" ca="1" si="15"/>
        <v/>
      </c>
      <c r="F65" s="120" t="str">
        <f t="shared" ca="1" si="16"/>
        <v/>
      </c>
      <c r="G65" s="122" t="str">
        <f t="shared" ca="1" si="17"/>
        <v/>
      </c>
      <c r="H65" s="70" t="str">
        <f t="shared" ca="1" si="18"/>
        <v/>
      </c>
      <c r="I65" s="120" t="str">
        <f t="shared" ca="1" si="19"/>
        <v/>
      </c>
      <c r="J65" s="122" t="str">
        <f t="shared" ca="1" si="20"/>
        <v/>
      </c>
      <c r="K65" s="70" t="str">
        <f t="shared" ca="1" si="21"/>
        <v/>
      </c>
      <c r="L65" s="120" t="str">
        <f t="shared" ca="1" si="22"/>
        <v/>
      </c>
      <c r="M65" s="122" t="str">
        <f t="shared" ca="1" si="23"/>
        <v/>
      </c>
      <c r="N65" s="70" t="str">
        <f t="shared" ca="1" si="24"/>
        <v/>
      </c>
      <c r="O65" s="120" t="str">
        <f t="shared" ca="1" si="25"/>
        <v/>
      </c>
    </row>
    <row r="66" spans="1:15" ht="16.5" customHeight="1" thickBot="1">
      <c r="A66" s="48">
        <v>7</v>
      </c>
      <c r="B66" s="131" t="str">
        <f>HYPERLINK("#'" &amp; TEXT(투자전략!$G$1+6, "[$-ko-KR]yyyy.mm.dd") &amp; "'!A40:O64", TEXT(투자전략!$G$1+6, "[$-ko-KR]yyyy.mm.dd"))</f>
        <v>2023.03.07</v>
      </c>
      <c r="C66" s="118" t="str">
        <f t="shared" ca="1" si="13"/>
        <v/>
      </c>
      <c r="D66" s="122" t="str">
        <f t="shared" ca="1" si="14"/>
        <v/>
      </c>
      <c r="E66" s="70" t="str">
        <f t="shared" ca="1" si="15"/>
        <v/>
      </c>
      <c r="F66" s="120" t="str">
        <f t="shared" ca="1" si="16"/>
        <v/>
      </c>
      <c r="G66" s="122" t="str">
        <f t="shared" ca="1" si="17"/>
        <v/>
      </c>
      <c r="H66" s="70" t="str">
        <f t="shared" ca="1" si="18"/>
        <v/>
      </c>
      <c r="I66" s="120" t="str">
        <f t="shared" ca="1" si="19"/>
        <v/>
      </c>
      <c r="J66" s="122" t="str">
        <f t="shared" ca="1" si="20"/>
        <v/>
      </c>
      <c r="K66" s="70" t="str">
        <f t="shared" ca="1" si="21"/>
        <v/>
      </c>
      <c r="L66" s="120" t="str">
        <f t="shared" ca="1" si="22"/>
        <v/>
      </c>
      <c r="M66" s="122" t="str">
        <f t="shared" ca="1" si="23"/>
        <v/>
      </c>
      <c r="N66" s="70" t="str">
        <f t="shared" ca="1" si="24"/>
        <v/>
      </c>
      <c r="O66" s="120" t="str">
        <f t="shared" ca="1" si="25"/>
        <v/>
      </c>
    </row>
    <row r="67" spans="1:15" ht="16.5" customHeight="1">
      <c r="A67" s="46">
        <v>8</v>
      </c>
      <c r="B67" s="129" t="str">
        <f>HYPERLINK("#'" &amp; TEXT(투자전략!$G$1+7, "[$-ko-KR]yyyy.mm.dd") &amp; "'!A40:O64", TEXT(투자전략!$G$1+7, "[$-ko-KR]yyyy.mm.dd"))</f>
        <v>2023.03.08</v>
      </c>
      <c r="C67" s="117" t="str">
        <f t="shared" ca="1" si="13"/>
        <v/>
      </c>
      <c r="D67" s="125" t="str">
        <f t="shared" ca="1" si="14"/>
        <v/>
      </c>
      <c r="E67" s="69" t="str">
        <f t="shared" ca="1" si="15"/>
        <v/>
      </c>
      <c r="F67" s="124" t="str">
        <f t="shared" ca="1" si="16"/>
        <v/>
      </c>
      <c r="G67" s="125" t="str">
        <f t="shared" ca="1" si="17"/>
        <v/>
      </c>
      <c r="H67" s="69" t="str">
        <f t="shared" ca="1" si="18"/>
        <v/>
      </c>
      <c r="I67" s="124" t="str">
        <f t="shared" ca="1" si="19"/>
        <v/>
      </c>
      <c r="J67" s="125" t="str">
        <f t="shared" ca="1" si="20"/>
        <v/>
      </c>
      <c r="K67" s="69" t="str">
        <f t="shared" ca="1" si="21"/>
        <v/>
      </c>
      <c r="L67" s="124" t="str">
        <f t="shared" ca="1" si="22"/>
        <v/>
      </c>
      <c r="M67" s="125" t="str">
        <f t="shared" ca="1" si="23"/>
        <v/>
      </c>
      <c r="N67" s="69" t="str">
        <f t="shared" ca="1" si="24"/>
        <v/>
      </c>
      <c r="O67" s="124" t="str">
        <f t="shared" ca="1" si="25"/>
        <v/>
      </c>
    </row>
    <row r="68" spans="1:15" ht="16.5" customHeight="1">
      <c r="A68" s="47">
        <v>9</v>
      </c>
      <c r="B68" s="130" t="str">
        <f>HYPERLINK("#'" &amp; TEXT(투자전략!$G$1+8, "[$-ko-KR]yyyy.mm.dd") &amp; "'!A40:O64", TEXT(투자전략!$G$1+8, "[$-ko-KR]yyyy.mm.dd"))</f>
        <v>2023.03.09</v>
      </c>
      <c r="C68" s="118" t="str">
        <f t="shared" ca="1" si="13"/>
        <v/>
      </c>
      <c r="D68" s="122" t="str">
        <f t="shared" ca="1" si="14"/>
        <v/>
      </c>
      <c r="E68" s="70" t="str">
        <f t="shared" ca="1" si="15"/>
        <v/>
      </c>
      <c r="F68" s="120" t="str">
        <f t="shared" ca="1" si="16"/>
        <v/>
      </c>
      <c r="G68" s="122" t="str">
        <f t="shared" ca="1" si="17"/>
        <v/>
      </c>
      <c r="H68" s="70" t="str">
        <f t="shared" ca="1" si="18"/>
        <v/>
      </c>
      <c r="I68" s="120" t="str">
        <f t="shared" ca="1" si="19"/>
        <v/>
      </c>
      <c r="J68" s="122" t="str">
        <f t="shared" ca="1" si="20"/>
        <v/>
      </c>
      <c r="K68" s="70" t="str">
        <f t="shared" ca="1" si="21"/>
        <v/>
      </c>
      <c r="L68" s="120" t="str">
        <f t="shared" ca="1" si="22"/>
        <v/>
      </c>
      <c r="M68" s="122" t="str">
        <f t="shared" ca="1" si="23"/>
        <v/>
      </c>
      <c r="N68" s="70" t="str">
        <f t="shared" ca="1" si="24"/>
        <v/>
      </c>
      <c r="O68" s="120" t="str">
        <f t="shared" ca="1" si="25"/>
        <v/>
      </c>
    </row>
    <row r="69" spans="1:15" ht="16.5" customHeight="1">
      <c r="A69" s="47">
        <v>10</v>
      </c>
      <c r="B69" s="130" t="str">
        <f>HYPERLINK("#'" &amp; TEXT(투자전략!$G$1+9, "[$-ko-KR]yyyy.mm.dd") &amp; "'!A40:O64", TEXT(투자전략!$G$1+9, "[$-ko-KR]yyyy.mm.dd"))</f>
        <v>2023.03.10</v>
      </c>
      <c r="C69" s="118" t="str">
        <f t="shared" ca="1" si="13"/>
        <v/>
      </c>
      <c r="D69" s="122" t="str">
        <f t="shared" ca="1" si="14"/>
        <v/>
      </c>
      <c r="E69" s="70" t="str">
        <f t="shared" ca="1" si="15"/>
        <v/>
      </c>
      <c r="F69" s="120" t="str">
        <f t="shared" ca="1" si="16"/>
        <v/>
      </c>
      <c r="G69" s="122" t="str">
        <f t="shared" ca="1" si="17"/>
        <v/>
      </c>
      <c r="H69" s="70" t="str">
        <f t="shared" ca="1" si="18"/>
        <v/>
      </c>
      <c r="I69" s="120" t="str">
        <f t="shared" ca="1" si="19"/>
        <v/>
      </c>
      <c r="J69" s="122" t="str">
        <f t="shared" ca="1" si="20"/>
        <v/>
      </c>
      <c r="K69" s="70" t="str">
        <f t="shared" ca="1" si="21"/>
        <v/>
      </c>
      <c r="L69" s="120" t="str">
        <f t="shared" ca="1" si="22"/>
        <v/>
      </c>
      <c r="M69" s="122" t="str">
        <f t="shared" ca="1" si="23"/>
        <v/>
      </c>
      <c r="N69" s="70" t="str">
        <f t="shared" ca="1" si="24"/>
        <v/>
      </c>
      <c r="O69" s="120" t="str">
        <f t="shared" ca="1" si="25"/>
        <v/>
      </c>
    </row>
    <row r="70" spans="1:15" ht="16.5" customHeight="1">
      <c r="A70" s="47">
        <v>11</v>
      </c>
      <c r="B70" s="130" t="str">
        <f>HYPERLINK("#'" &amp; TEXT(투자전략!$G$1+10, "[$-ko-KR]yyyy.mm.dd") &amp; "'!A40:O64", TEXT(투자전략!$G$1+10, "[$-ko-KR]yyyy.mm.dd"))</f>
        <v>2023.03.11</v>
      </c>
      <c r="C70" s="118" t="str">
        <f t="shared" ca="1" si="13"/>
        <v/>
      </c>
      <c r="D70" s="122" t="str">
        <f t="shared" ca="1" si="14"/>
        <v/>
      </c>
      <c r="E70" s="70" t="str">
        <f t="shared" ca="1" si="15"/>
        <v/>
      </c>
      <c r="F70" s="120" t="str">
        <f t="shared" ca="1" si="16"/>
        <v/>
      </c>
      <c r="G70" s="122" t="str">
        <f t="shared" ca="1" si="17"/>
        <v/>
      </c>
      <c r="H70" s="70" t="str">
        <f t="shared" ca="1" si="18"/>
        <v/>
      </c>
      <c r="I70" s="120" t="str">
        <f t="shared" ca="1" si="19"/>
        <v/>
      </c>
      <c r="J70" s="122" t="str">
        <f t="shared" ca="1" si="20"/>
        <v/>
      </c>
      <c r="K70" s="70" t="str">
        <f t="shared" ca="1" si="21"/>
        <v/>
      </c>
      <c r="L70" s="120" t="str">
        <f t="shared" ca="1" si="22"/>
        <v/>
      </c>
      <c r="M70" s="122" t="str">
        <f t="shared" ca="1" si="23"/>
        <v/>
      </c>
      <c r="N70" s="70" t="str">
        <f t="shared" ca="1" si="24"/>
        <v/>
      </c>
      <c r="O70" s="120" t="str">
        <f t="shared" ca="1" si="25"/>
        <v/>
      </c>
    </row>
    <row r="71" spans="1:15" ht="16.5" customHeight="1">
      <c r="A71" s="47">
        <v>12</v>
      </c>
      <c r="B71" s="130" t="str">
        <f>HYPERLINK("#'" &amp; TEXT(투자전략!$G$1+11, "[$-ko-KR]yyyy.mm.dd") &amp; "'!A40:O64", TEXT(투자전략!$G$1+11, "[$-ko-KR]yyyy.mm.dd"))</f>
        <v>2023.03.12</v>
      </c>
      <c r="C71" s="118" t="str">
        <f t="shared" ca="1" si="13"/>
        <v/>
      </c>
      <c r="D71" s="122" t="str">
        <f t="shared" ca="1" si="14"/>
        <v/>
      </c>
      <c r="E71" s="70" t="str">
        <f t="shared" ca="1" si="15"/>
        <v/>
      </c>
      <c r="F71" s="120" t="str">
        <f t="shared" ca="1" si="16"/>
        <v/>
      </c>
      <c r="G71" s="122" t="str">
        <f t="shared" ca="1" si="17"/>
        <v/>
      </c>
      <c r="H71" s="70" t="str">
        <f t="shared" ca="1" si="18"/>
        <v/>
      </c>
      <c r="I71" s="120" t="str">
        <f t="shared" ca="1" si="19"/>
        <v/>
      </c>
      <c r="J71" s="122" t="str">
        <f t="shared" ca="1" si="20"/>
        <v/>
      </c>
      <c r="K71" s="70" t="str">
        <f t="shared" ca="1" si="21"/>
        <v/>
      </c>
      <c r="L71" s="120" t="str">
        <f t="shared" ca="1" si="22"/>
        <v/>
      </c>
      <c r="M71" s="122" t="str">
        <f t="shared" ca="1" si="23"/>
        <v/>
      </c>
      <c r="N71" s="70" t="str">
        <f t="shared" ca="1" si="24"/>
        <v/>
      </c>
      <c r="O71" s="120" t="str">
        <f t="shared" ca="1" si="25"/>
        <v/>
      </c>
    </row>
    <row r="72" spans="1:15" ht="16.5" customHeight="1">
      <c r="A72" s="47">
        <v>13</v>
      </c>
      <c r="B72" s="130" t="str">
        <f>HYPERLINK("#'" &amp; TEXT(투자전략!$G$1+12, "[$-ko-KR]yyyy.mm.dd") &amp; "'!A40:O64", TEXT(투자전략!$G$1+12, "[$-ko-KR]yyyy.mm.dd"))</f>
        <v>2023.03.13</v>
      </c>
      <c r="C72" s="118" t="str">
        <f t="shared" ca="1" si="13"/>
        <v/>
      </c>
      <c r="D72" s="122" t="str">
        <f t="shared" ca="1" si="14"/>
        <v/>
      </c>
      <c r="E72" s="70" t="str">
        <f t="shared" ca="1" si="15"/>
        <v/>
      </c>
      <c r="F72" s="120" t="str">
        <f t="shared" ca="1" si="16"/>
        <v/>
      </c>
      <c r="G72" s="122" t="str">
        <f t="shared" ca="1" si="17"/>
        <v/>
      </c>
      <c r="H72" s="70" t="str">
        <f t="shared" ca="1" si="18"/>
        <v/>
      </c>
      <c r="I72" s="120" t="str">
        <f t="shared" ca="1" si="19"/>
        <v/>
      </c>
      <c r="J72" s="122" t="str">
        <f t="shared" ca="1" si="20"/>
        <v/>
      </c>
      <c r="K72" s="70" t="str">
        <f t="shared" ca="1" si="21"/>
        <v/>
      </c>
      <c r="L72" s="120" t="str">
        <f t="shared" ca="1" si="22"/>
        <v/>
      </c>
      <c r="M72" s="122" t="str">
        <f t="shared" ca="1" si="23"/>
        <v/>
      </c>
      <c r="N72" s="70" t="str">
        <f t="shared" ca="1" si="24"/>
        <v/>
      </c>
      <c r="O72" s="120" t="str">
        <f t="shared" ca="1" si="25"/>
        <v/>
      </c>
    </row>
    <row r="73" spans="1:15" ht="16.5" customHeight="1" thickBot="1">
      <c r="A73" s="48">
        <v>14</v>
      </c>
      <c r="B73" s="131" t="str">
        <f>HYPERLINK("#'" &amp; TEXT(투자전략!$G$1+13, "[$-ko-KR]yyyy.mm.dd") &amp; "'!A40:O64", TEXT(투자전략!$G$1+13, "[$-ko-KR]yyyy.mm.dd"))</f>
        <v>2023.03.14</v>
      </c>
      <c r="C73" s="119" t="str">
        <f t="shared" ca="1" si="13"/>
        <v/>
      </c>
      <c r="D73" s="123" t="str">
        <f t="shared" ca="1" si="14"/>
        <v/>
      </c>
      <c r="E73" s="72" t="str">
        <f t="shared" ca="1" si="15"/>
        <v/>
      </c>
      <c r="F73" s="121" t="str">
        <f t="shared" ca="1" si="16"/>
        <v/>
      </c>
      <c r="G73" s="123" t="str">
        <f t="shared" ca="1" si="17"/>
        <v/>
      </c>
      <c r="H73" s="72" t="str">
        <f t="shared" ca="1" si="18"/>
        <v/>
      </c>
      <c r="I73" s="121" t="str">
        <f t="shared" ca="1" si="19"/>
        <v/>
      </c>
      <c r="J73" s="123" t="str">
        <f t="shared" ca="1" si="20"/>
        <v/>
      </c>
      <c r="K73" s="72" t="str">
        <f t="shared" ca="1" si="21"/>
        <v/>
      </c>
      <c r="L73" s="121" t="str">
        <f t="shared" ca="1" si="22"/>
        <v/>
      </c>
      <c r="M73" s="123" t="str">
        <f t="shared" ca="1" si="23"/>
        <v/>
      </c>
      <c r="N73" s="72" t="str">
        <f t="shared" ca="1" si="24"/>
        <v/>
      </c>
      <c r="O73" s="121" t="str">
        <f t="shared" ca="1" si="25"/>
        <v/>
      </c>
    </row>
    <row r="74" spans="1:15" ht="16.5" customHeight="1">
      <c r="A74" s="46">
        <v>15</v>
      </c>
      <c r="B74" s="129" t="str">
        <f>HYPERLINK("#'" &amp; TEXT(투자전략!$G$1+14, "[$-ko-KR]yyyy.mm.dd") &amp; "'!A40:O64", TEXT(투자전략!$G$1+14, "[$-ko-KR]yyyy.mm.dd"))</f>
        <v>2023.03.15</v>
      </c>
      <c r="C74" s="118" t="str">
        <f t="shared" ca="1" si="13"/>
        <v/>
      </c>
      <c r="D74" s="122" t="str">
        <f t="shared" ca="1" si="14"/>
        <v/>
      </c>
      <c r="E74" s="70" t="str">
        <f t="shared" ca="1" si="15"/>
        <v/>
      </c>
      <c r="F74" s="120" t="str">
        <f t="shared" ca="1" si="16"/>
        <v/>
      </c>
      <c r="G74" s="122" t="str">
        <f t="shared" ca="1" si="17"/>
        <v/>
      </c>
      <c r="H74" s="70" t="str">
        <f t="shared" ca="1" si="18"/>
        <v/>
      </c>
      <c r="I74" s="120" t="str">
        <f t="shared" ca="1" si="19"/>
        <v/>
      </c>
      <c r="J74" s="122" t="str">
        <f t="shared" ca="1" si="20"/>
        <v/>
      </c>
      <c r="K74" s="70" t="str">
        <f t="shared" ca="1" si="21"/>
        <v/>
      </c>
      <c r="L74" s="120" t="str">
        <f t="shared" ca="1" si="22"/>
        <v/>
      </c>
      <c r="M74" s="122" t="str">
        <f t="shared" ca="1" si="23"/>
        <v/>
      </c>
      <c r="N74" s="70" t="str">
        <f t="shared" ca="1" si="24"/>
        <v/>
      </c>
      <c r="O74" s="120" t="str">
        <f t="shared" ca="1" si="25"/>
        <v/>
      </c>
    </row>
    <row r="75" spans="1:15" ht="16.5" customHeight="1">
      <c r="A75" s="47">
        <v>16</v>
      </c>
      <c r="B75" s="130" t="str">
        <f>HYPERLINK("#'" &amp; TEXT(투자전략!$G$1+15, "[$-ko-KR]yyyy.mm.dd") &amp; "'!A40:O64", TEXT(투자전략!$G$1+15, "[$-ko-KR]yyyy.mm.dd"))</f>
        <v>2023.03.16</v>
      </c>
      <c r="C75" s="118" t="str">
        <f t="shared" ca="1" si="13"/>
        <v/>
      </c>
      <c r="D75" s="122" t="str">
        <f t="shared" ca="1" si="14"/>
        <v/>
      </c>
      <c r="E75" s="70" t="str">
        <f t="shared" ca="1" si="15"/>
        <v/>
      </c>
      <c r="F75" s="120" t="str">
        <f t="shared" ca="1" si="16"/>
        <v/>
      </c>
      <c r="G75" s="122" t="str">
        <f t="shared" ca="1" si="17"/>
        <v/>
      </c>
      <c r="H75" s="70" t="str">
        <f t="shared" ca="1" si="18"/>
        <v/>
      </c>
      <c r="I75" s="120" t="str">
        <f t="shared" ca="1" si="19"/>
        <v/>
      </c>
      <c r="J75" s="122" t="str">
        <f t="shared" ca="1" si="20"/>
        <v/>
      </c>
      <c r="K75" s="70" t="str">
        <f t="shared" ca="1" si="21"/>
        <v/>
      </c>
      <c r="L75" s="120" t="str">
        <f t="shared" ca="1" si="22"/>
        <v/>
      </c>
      <c r="M75" s="122" t="str">
        <f t="shared" ca="1" si="23"/>
        <v/>
      </c>
      <c r="N75" s="70" t="str">
        <f t="shared" ca="1" si="24"/>
        <v/>
      </c>
      <c r="O75" s="120" t="str">
        <f t="shared" ca="1" si="25"/>
        <v/>
      </c>
    </row>
    <row r="76" spans="1:15" ht="16.5" customHeight="1">
      <c r="A76" s="47">
        <v>17</v>
      </c>
      <c r="B76" s="130" t="str">
        <f>HYPERLINK("#'" &amp; TEXT(투자전략!$G$1+16, "[$-ko-KR]yyyy.mm.dd") &amp; "'!A40:O64", TEXT(투자전략!$G$1+16, "[$-ko-KR]yyyy.mm.dd"))</f>
        <v>2023.03.17</v>
      </c>
      <c r="C76" s="118" t="str">
        <f t="shared" ca="1" si="13"/>
        <v/>
      </c>
      <c r="D76" s="122" t="str">
        <f t="shared" ca="1" si="14"/>
        <v/>
      </c>
      <c r="E76" s="70" t="str">
        <f t="shared" ca="1" si="15"/>
        <v/>
      </c>
      <c r="F76" s="120" t="str">
        <f t="shared" ca="1" si="16"/>
        <v/>
      </c>
      <c r="G76" s="122" t="str">
        <f t="shared" ca="1" si="17"/>
        <v/>
      </c>
      <c r="H76" s="70" t="str">
        <f t="shared" ca="1" si="18"/>
        <v/>
      </c>
      <c r="I76" s="120" t="str">
        <f t="shared" ca="1" si="19"/>
        <v/>
      </c>
      <c r="J76" s="122" t="str">
        <f t="shared" ca="1" si="20"/>
        <v/>
      </c>
      <c r="K76" s="70" t="str">
        <f t="shared" ca="1" si="21"/>
        <v/>
      </c>
      <c r="L76" s="120" t="str">
        <f t="shared" ca="1" si="22"/>
        <v/>
      </c>
      <c r="M76" s="122" t="str">
        <f t="shared" ca="1" si="23"/>
        <v/>
      </c>
      <c r="N76" s="70" t="str">
        <f t="shared" ca="1" si="24"/>
        <v/>
      </c>
      <c r="O76" s="120" t="str">
        <f t="shared" ca="1" si="25"/>
        <v/>
      </c>
    </row>
    <row r="77" spans="1:15" ht="16.5" customHeight="1">
      <c r="A77" s="47">
        <v>18</v>
      </c>
      <c r="B77" s="130" t="str">
        <f>HYPERLINK("#'" &amp; TEXT(투자전략!$G$1+17, "[$-ko-KR]yyyy.mm.dd") &amp; "'!A40:O64", TEXT(투자전략!$G$1+17, "[$-ko-KR]yyyy.mm.dd"))</f>
        <v>2023.03.18</v>
      </c>
      <c r="C77" s="118" t="str">
        <f t="shared" ca="1" si="13"/>
        <v/>
      </c>
      <c r="D77" s="122" t="str">
        <f t="shared" ca="1" si="14"/>
        <v/>
      </c>
      <c r="E77" s="70" t="str">
        <f t="shared" ca="1" si="15"/>
        <v/>
      </c>
      <c r="F77" s="120" t="str">
        <f t="shared" ca="1" si="16"/>
        <v/>
      </c>
      <c r="G77" s="122" t="str">
        <f t="shared" ca="1" si="17"/>
        <v/>
      </c>
      <c r="H77" s="70" t="str">
        <f t="shared" ca="1" si="18"/>
        <v/>
      </c>
      <c r="I77" s="120" t="str">
        <f t="shared" ca="1" si="19"/>
        <v/>
      </c>
      <c r="J77" s="122" t="str">
        <f t="shared" ca="1" si="20"/>
        <v/>
      </c>
      <c r="K77" s="70" t="str">
        <f t="shared" ca="1" si="21"/>
        <v/>
      </c>
      <c r="L77" s="120" t="str">
        <f t="shared" ca="1" si="22"/>
        <v/>
      </c>
      <c r="M77" s="122" t="str">
        <f t="shared" ca="1" si="23"/>
        <v/>
      </c>
      <c r="N77" s="70" t="str">
        <f t="shared" ca="1" si="24"/>
        <v/>
      </c>
      <c r="O77" s="120" t="str">
        <f t="shared" ca="1" si="25"/>
        <v/>
      </c>
    </row>
    <row r="78" spans="1:15" ht="16.5" customHeight="1">
      <c r="A78" s="47">
        <v>19</v>
      </c>
      <c r="B78" s="130" t="str">
        <f>HYPERLINK("#'" &amp; TEXT(투자전략!$G$1+18, "[$-ko-KR]yyyy.mm.dd") &amp; "'!A40:O64", TEXT(투자전략!$G$1+18, "[$-ko-KR]yyyy.mm.dd"))</f>
        <v>2023.03.19</v>
      </c>
      <c r="C78" s="118" t="str">
        <f t="shared" ca="1" si="13"/>
        <v/>
      </c>
      <c r="D78" s="122" t="str">
        <f t="shared" ca="1" si="14"/>
        <v/>
      </c>
      <c r="E78" s="70" t="str">
        <f t="shared" ca="1" si="15"/>
        <v/>
      </c>
      <c r="F78" s="120" t="str">
        <f t="shared" ca="1" si="16"/>
        <v/>
      </c>
      <c r="G78" s="122" t="str">
        <f t="shared" ca="1" si="17"/>
        <v/>
      </c>
      <c r="H78" s="70" t="str">
        <f t="shared" ca="1" si="18"/>
        <v/>
      </c>
      <c r="I78" s="120" t="str">
        <f t="shared" ca="1" si="19"/>
        <v/>
      </c>
      <c r="J78" s="122" t="str">
        <f t="shared" ca="1" si="20"/>
        <v/>
      </c>
      <c r="K78" s="70" t="str">
        <f t="shared" ca="1" si="21"/>
        <v/>
      </c>
      <c r="L78" s="120" t="str">
        <f t="shared" ca="1" si="22"/>
        <v/>
      </c>
      <c r="M78" s="122" t="str">
        <f t="shared" ca="1" si="23"/>
        <v/>
      </c>
      <c r="N78" s="70" t="str">
        <f t="shared" ca="1" si="24"/>
        <v/>
      </c>
      <c r="O78" s="120" t="str">
        <f t="shared" ca="1" si="25"/>
        <v/>
      </c>
    </row>
    <row r="79" spans="1:15" ht="16.5" customHeight="1">
      <c r="A79" s="47">
        <v>20</v>
      </c>
      <c r="B79" s="130" t="str">
        <f>HYPERLINK("#'" &amp; TEXT(투자전략!$G$1+19, "[$-ko-KR]yyyy.mm.dd") &amp; "'!A40:O64", TEXT(투자전략!$G$1+19, "[$-ko-KR]yyyy.mm.dd"))</f>
        <v>2023.03.20</v>
      </c>
      <c r="C79" s="118" t="str">
        <f t="shared" ca="1" si="13"/>
        <v/>
      </c>
      <c r="D79" s="122" t="str">
        <f t="shared" ca="1" si="14"/>
        <v/>
      </c>
      <c r="E79" s="70" t="str">
        <f t="shared" ca="1" si="15"/>
        <v/>
      </c>
      <c r="F79" s="120" t="str">
        <f t="shared" ca="1" si="16"/>
        <v/>
      </c>
      <c r="G79" s="122" t="str">
        <f t="shared" ca="1" si="17"/>
        <v/>
      </c>
      <c r="H79" s="70" t="str">
        <f t="shared" ca="1" si="18"/>
        <v/>
      </c>
      <c r="I79" s="120" t="str">
        <f t="shared" ca="1" si="19"/>
        <v/>
      </c>
      <c r="J79" s="122" t="str">
        <f t="shared" ca="1" si="20"/>
        <v/>
      </c>
      <c r="K79" s="70" t="str">
        <f t="shared" ca="1" si="21"/>
        <v/>
      </c>
      <c r="L79" s="120" t="str">
        <f t="shared" ca="1" si="22"/>
        <v/>
      </c>
      <c r="M79" s="122" t="str">
        <f t="shared" ca="1" si="23"/>
        <v/>
      </c>
      <c r="N79" s="70" t="str">
        <f t="shared" ca="1" si="24"/>
        <v/>
      </c>
      <c r="O79" s="120" t="str">
        <f t="shared" ca="1" si="25"/>
        <v/>
      </c>
    </row>
    <row r="80" spans="1:15" ht="16.5" customHeight="1" thickBot="1">
      <c r="A80" s="48">
        <v>21</v>
      </c>
      <c r="B80" s="131" t="str">
        <f>HYPERLINK("#'" &amp; TEXT(투자전략!$G$1+20, "[$-ko-KR]yyyy.mm.dd") &amp; "'!A40:O64", TEXT(투자전략!$G$1+20, "[$-ko-KR]yyyy.mm.dd"))</f>
        <v>2023.03.21</v>
      </c>
      <c r="C80" s="118" t="str">
        <f t="shared" ca="1" si="13"/>
        <v/>
      </c>
      <c r="D80" s="122" t="str">
        <f t="shared" ca="1" si="14"/>
        <v/>
      </c>
      <c r="E80" s="70" t="str">
        <f t="shared" ca="1" si="15"/>
        <v/>
      </c>
      <c r="F80" s="120" t="str">
        <f t="shared" ca="1" si="16"/>
        <v/>
      </c>
      <c r="G80" s="122" t="str">
        <f t="shared" ca="1" si="17"/>
        <v/>
      </c>
      <c r="H80" s="70" t="str">
        <f t="shared" ca="1" si="18"/>
        <v/>
      </c>
      <c r="I80" s="120" t="str">
        <f t="shared" ca="1" si="19"/>
        <v/>
      </c>
      <c r="J80" s="122" t="str">
        <f t="shared" ca="1" si="20"/>
        <v/>
      </c>
      <c r="K80" s="70" t="str">
        <f t="shared" ca="1" si="21"/>
        <v/>
      </c>
      <c r="L80" s="120" t="str">
        <f t="shared" ca="1" si="22"/>
        <v/>
      </c>
      <c r="M80" s="122" t="str">
        <f t="shared" ca="1" si="23"/>
        <v/>
      </c>
      <c r="N80" s="70" t="str">
        <f t="shared" ca="1" si="24"/>
        <v/>
      </c>
      <c r="O80" s="120" t="str">
        <f t="shared" ca="1" si="25"/>
        <v/>
      </c>
    </row>
    <row r="81" spans="1:15" ht="16.5" customHeight="1">
      <c r="A81" s="46">
        <v>22</v>
      </c>
      <c r="B81" s="129" t="str">
        <f>HYPERLINK("#'" &amp; TEXT(투자전략!$G$1+21, "[$-ko-KR]yyyy.mm.dd") &amp; "'!A40:O64", TEXT(투자전략!$G$1+21, "[$-ko-KR]yyyy.mm.dd"))</f>
        <v>2023.03.22</v>
      </c>
      <c r="C81" s="117" t="str">
        <f t="shared" ca="1" si="13"/>
        <v/>
      </c>
      <c r="D81" s="125" t="str">
        <f t="shared" ca="1" si="14"/>
        <v/>
      </c>
      <c r="E81" s="69" t="str">
        <f t="shared" ca="1" si="15"/>
        <v/>
      </c>
      <c r="F81" s="124" t="str">
        <f t="shared" ca="1" si="16"/>
        <v/>
      </c>
      <c r="G81" s="125" t="str">
        <f t="shared" ca="1" si="17"/>
        <v/>
      </c>
      <c r="H81" s="69" t="str">
        <f t="shared" ca="1" si="18"/>
        <v/>
      </c>
      <c r="I81" s="124" t="str">
        <f t="shared" ca="1" si="19"/>
        <v/>
      </c>
      <c r="J81" s="125" t="str">
        <f t="shared" ca="1" si="20"/>
        <v/>
      </c>
      <c r="K81" s="69" t="str">
        <f t="shared" ca="1" si="21"/>
        <v/>
      </c>
      <c r="L81" s="124" t="str">
        <f t="shared" ca="1" si="22"/>
        <v/>
      </c>
      <c r="M81" s="125" t="str">
        <f t="shared" ca="1" si="23"/>
        <v/>
      </c>
      <c r="N81" s="69" t="str">
        <f t="shared" ca="1" si="24"/>
        <v/>
      </c>
      <c r="O81" s="124" t="str">
        <f t="shared" ca="1" si="25"/>
        <v/>
      </c>
    </row>
    <row r="82" spans="1:15" ht="16.5" customHeight="1">
      <c r="A82" s="47">
        <v>23</v>
      </c>
      <c r="B82" s="130" t="str">
        <f>HYPERLINK("#'" &amp; TEXT(투자전략!$G$1+22, "[$-ko-KR]yyyy.mm.dd") &amp; "'!A40:O64", TEXT(투자전략!$G$1+22, "[$-ko-KR]yyyy.mm.dd"))</f>
        <v>2023.03.23</v>
      </c>
      <c r="C82" s="118" t="str">
        <f t="shared" ca="1" si="13"/>
        <v/>
      </c>
      <c r="D82" s="122" t="str">
        <f t="shared" ca="1" si="14"/>
        <v/>
      </c>
      <c r="E82" s="70" t="str">
        <f t="shared" ca="1" si="15"/>
        <v/>
      </c>
      <c r="F82" s="120" t="str">
        <f t="shared" ca="1" si="16"/>
        <v/>
      </c>
      <c r="G82" s="122" t="str">
        <f t="shared" ca="1" si="17"/>
        <v/>
      </c>
      <c r="H82" s="70" t="str">
        <f t="shared" ca="1" si="18"/>
        <v/>
      </c>
      <c r="I82" s="120" t="str">
        <f t="shared" ca="1" si="19"/>
        <v/>
      </c>
      <c r="J82" s="122" t="str">
        <f t="shared" ca="1" si="20"/>
        <v/>
      </c>
      <c r="K82" s="70" t="str">
        <f t="shared" ca="1" si="21"/>
        <v/>
      </c>
      <c r="L82" s="120" t="str">
        <f t="shared" ca="1" si="22"/>
        <v/>
      </c>
      <c r="M82" s="122" t="str">
        <f t="shared" ca="1" si="23"/>
        <v/>
      </c>
      <c r="N82" s="70" t="str">
        <f t="shared" ca="1" si="24"/>
        <v/>
      </c>
      <c r="O82" s="120" t="str">
        <f t="shared" ca="1" si="25"/>
        <v/>
      </c>
    </row>
    <row r="83" spans="1:15" ht="16.5" customHeight="1">
      <c r="A83" s="47">
        <v>24</v>
      </c>
      <c r="B83" s="130" t="str">
        <f>HYPERLINK("#'" &amp; TEXT(투자전략!$G$1+23, "[$-ko-KR]yyyy.mm.dd") &amp; "'!A40:O64", TEXT(투자전략!$G$1+23, "[$-ko-KR]yyyy.mm.dd"))</f>
        <v>2023.03.24</v>
      </c>
      <c r="C83" s="118" t="str">
        <f t="shared" ca="1" si="13"/>
        <v/>
      </c>
      <c r="D83" s="122" t="str">
        <f t="shared" ca="1" si="14"/>
        <v/>
      </c>
      <c r="E83" s="70" t="str">
        <f t="shared" ca="1" si="15"/>
        <v/>
      </c>
      <c r="F83" s="120" t="str">
        <f t="shared" ca="1" si="16"/>
        <v/>
      </c>
      <c r="G83" s="122" t="str">
        <f t="shared" ca="1" si="17"/>
        <v/>
      </c>
      <c r="H83" s="70" t="str">
        <f t="shared" ca="1" si="18"/>
        <v/>
      </c>
      <c r="I83" s="120" t="str">
        <f t="shared" ca="1" si="19"/>
        <v/>
      </c>
      <c r="J83" s="122" t="str">
        <f t="shared" ca="1" si="20"/>
        <v/>
      </c>
      <c r="K83" s="70" t="str">
        <f t="shared" ca="1" si="21"/>
        <v/>
      </c>
      <c r="L83" s="120" t="str">
        <f t="shared" ca="1" si="22"/>
        <v/>
      </c>
      <c r="M83" s="122" t="str">
        <f t="shared" ca="1" si="23"/>
        <v/>
      </c>
      <c r="N83" s="70" t="str">
        <f t="shared" ca="1" si="24"/>
        <v/>
      </c>
      <c r="O83" s="120" t="str">
        <f t="shared" ca="1" si="25"/>
        <v/>
      </c>
    </row>
    <row r="84" spans="1:15" ht="16.5" customHeight="1">
      <c r="A84" s="47">
        <v>25</v>
      </c>
      <c r="B84" s="130" t="str">
        <f>HYPERLINK("#'" &amp; TEXT(투자전략!$G$1+24, "[$-ko-KR]yyyy.mm.dd") &amp; "'!A40:O64", TEXT(투자전략!$G$1+24, "[$-ko-KR]yyyy.mm.dd"))</f>
        <v>2023.03.25</v>
      </c>
      <c r="C84" s="118" t="str">
        <f t="shared" ca="1" si="13"/>
        <v/>
      </c>
      <c r="D84" s="122" t="str">
        <f t="shared" ca="1" si="14"/>
        <v/>
      </c>
      <c r="E84" s="70" t="str">
        <f t="shared" ca="1" si="15"/>
        <v/>
      </c>
      <c r="F84" s="120" t="str">
        <f t="shared" ca="1" si="16"/>
        <v/>
      </c>
      <c r="G84" s="122" t="str">
        <f t="shared" ca="1" si="17"/>
        <v/>
      </c>
      <c r="H84" s="70" t="str">
        <f t="shared" ca="1" si="18"/>
        <v/>
      </c>
      <c r="I84" s="120" t="str">
        <f t="shared" ca="1" si="19"/>
        <v/>
      </c>
      <c r="J84" s="122" t="str">
        <f t="shared" ca="1" si="20"/>
        <v/>
      </c>
      <c r="K84" s="70" t="str">
        <f t="shared" ca="1" si="21"/>
        <v/>
      </c>
      <c r="L84" s="120" t="str">
        <f t="shared" ca="1" si="22"/>
        <v/>
      </c>
      <c r="M84" s="122" t="str">
        <f t="shared" ca="1" si="23"/>
        <v/>
      </c>
      <c r="N84" s="70" t="str">
        <f t="shared" ca="1" si="24"/>
        <v/>
      </c>
      <c r="O84" s="120" t="str">
        <f t="shared" ca="1" si="25"/>
        <v/>
      </c>
    </row>
    <row r="85" spans="1:15" ht="16.5" customHeight="1">
      <c r="A85" s="47">
        <v>26</v>
      </c>
      <c r="B85" s="130" t="str">
        <f>HYPERLINK("#'" &amp; TEXT(투자전략!$G$1+25, "[$-ko-KR]yyyy.mm.dd") &amp; "'!A40:O64", TEXT(투자전략!$G$1+25, "[$-ko-KR]yyyy.mm.dd"))</f>
        <v>2023.03.26</v>
      </c>
      <c r="C85" s="118" t="str">
        <f t="shared" ca="1" si="13"/>
        <v/>
      </c>
      <c r="D85" s="122" t="str">
        <f t="shared" ca="1" si="14"/>
        <v/>
      </c>
      <c r="E85" s="70" t="str">
        <f t="shared" ca="1" si="15"/>
        <v/>
      </c>
      <c r="F85" s="120" t="str">
        <f t="shared" ca="1" si="16"/>
        <v/>
      </c>
      <c r="G85" s="122" t="str">
        <f t="shared" ca="1" si="17"/>
        <v/>
      </c>
      <c r="H85" s="70" t="str">
        <f t="shared" ca="1" si="18"/>
        <v/>
      </c>
      <c r="I85" s="120" t="str">
        <f t="shared" ca="1" si="19"/>
        <v/>
      </c>
      <c r="J85" s="122" t="str">
        <f t="shared" ca="1" si="20"/>
        <v/>
      </c>
      <c r="K85" s="70" t="str">
        <f t="shared" ca="1" si="21"/>
        <v/>
      </c>
      <c r="L85" s="120" t="str">
        <f t="shared" ca="1" si="22"/>
        <v/>
      </c>
      <c r="M85" s="122" t="str">
        <f t="shared" ca="1" si="23"/>
        <v/>
      </c>
      <c r="N85" s="70" t="str">
        <f t="shared" ca="1" si="24"/>
        <v/>
      </c>
      <c r="O85" s="120" t="str">
        <f t="shared" ca="1" si="25"/>
        <v/>
      </c>
    </row>
    <row r="86" spans="1:15" ht="16.5" customHeight="1">
      <c r="A86" s="47">
        <v>27</v>
      </c>
      <c r="B86" s="130" t="str">
        <f>HYPERLINK("#'" &amp; TEXT(투자전략!$G$1+26, "[$-ko-KR]yyyy.mm.dd") &amp; "'!A40:O64", TEXT(투자전략!$G$1+26, "[$-ko-KR]yyyy.mm.dd"))</f>
        <v>2023.03.27</v>
      </c>
      <c r="C86" s="118" t="str">
        <f t="shared" ca="1" si="13"/>
        <v/>
      </c>
      <c r="D86" s="122" t="str">
        <f t="shared" ca="1" si="14"/>
        <v/>
      </c>
      <c r="E86" s="70" t="str">
        <f t="shared" ca="1" si="15"/>
        <v/>
      </c>
      <c r="F86" s="120" t="str">
        <f t="shared" ca="1" si="16"/>
        <v/>
      </c>
      <c r="G86" s="122" t="str">
        <f t="shared" ca="1" si="17"/>
        <v/>
      </c>
      <c r="H86" s="70" t="str">
        <f t="shared" ca="1" si="18"/>
        <v/>
      </c>
      <c r="I86" s="120" t="str">
        <f t="shared" ca="1" si="19"/>
        <v/>
      </c>
      <c r="J86" s="122" t="str">
        <f t="shared" ca="1" si="20"/>
        <v/>
      </c>
      <c r="K86" s="70" t="str">
        <f t="shared" ca="1" si="21"/>
        <v/>
      </c>
      <c r="L86" s="120" t="str">
        <f t="shared" ca="1" si="22"/>
        <v/>
      </c>
      <c r="M86" s="122" t="str">
        <f t="shared" ca="1" si="23"/>
        <v/>
      </c>
      <c r="N86" s="70" t="str">
        <f t="shared" ca="1" si="24"/>
        <v/>
      </c>
      <c r="O86" s="120" t="str">
        <f t="shared" ca="1" si="25"/>
        <v/>
      </c>
    </row>
    <row r="87" spans="1:15" ht="16.5" customHeight="1" thickBot="1">
      <c r="A87" s="48">
        <v>28</v>
      </c>
      <c r="B87" s="131" t="str">
        <f>HYPERLINK("#'" &amp; TEXT(투자전략!$G$1+27, "[$-ko-KR]yyyy.mm.dd") &amp; "'!A40:O64", TEXT(투자전략!$G$1+27, "[$-ko-KR]yyyy.mm.dd"))</f>
        <v>2023.03.28</v>
      </c>
      <c r="C87" s="119" t="str">
        <f t="shared" ca="1" si="13"/>
        <v/>
      </c>
      <c r="D87" s="123" t="str">
        <f t="shared" ca="1" si="14"/>
        <v/>
      </c>
      <c r="E87" s="72" t="str">
        <f t="shared" ca="1" si="15"/>
        <v/>
      </c>
      <c r="F87" s="121" t="str">
        <f t="shared" ca="1" si="16"/>
        <v/>
      </c>
      <c r="G87" s="123" t="str">
        <f t="shared" ca="1" si="17"/>
        <v/>
      </c>
      <c r="H87" s="72" t="str">
        <f t="shared" ca="1" si="18"/>
        <v/>
      </c>
      <c r="I87" s="121" t="str">
        <f t="shared" ca="1" si="19"/>
        <v/>
      </c>
      <c r="J87" s="123" t="str">
        <f t="shared" ca="1" si="20"/>
        <v/>
      </c>
      <c r="K87" s="72" t="str">
        <f t="shared" ca="1" si="21"/>
        <v/>
      </c>
      <c r="L87" s="121" t="str">
        <f t="shared" ca="1" si="22"/>
        <v/>
      </c>
      <c r="M87" s="123" t="str">
        <f t="shared" ca="1" si="23"/>
        <v/>
      </c>
      <c r="N87" s="72" t="str">
        <f t="shared" ca="1" si="24"/>
        <v/>
      </c>
      <c r="O87" s="121" t="str">
        <f t="shared" ca="1" si="25"/>
        <v/>
      </c>
    </row>
    <row r="88" spans="1:15" ht="16.5" customHeight="1">
      <c r="A88" s="105">
        <v>29</v>
      </c>
      <c r="B88" s="129" t="str">
        <f>HYPERLINK("#'" &amp; TEXT(투자전략!$G$1+28, "[$-ko-KR]yyyy.mm.dd") &amp; "'!A40:O64", TEXT(투자전략!$G$1+28, "[$-ko-KR]yyyy.mm.dd"))</f>
        <v>2023.03.29</v>
      </c>
      <c r="C88" s="118" t="str">
        <f t="shared" ca="1" si="13"/>
        <v/>
      </c>
      <c r="D88" s="122" t="str">
        <f t="shared" ca="1" si="14"/>
        <v/>
      </c>
      <c r="E88" s="70" t="str">
        <f t="shared" ca="1" si="15"/>
        <v/>
      </c>
      <c r="F88" s="120" t="str">
        <f t="shared" ca="1" si="16"/>
        <v/>
      </c>
      <c r="G88" s="122" t="str">
        <f t="shared" ca="1" si="17"/>
        <v/>
      </c>
      <c r="H88" s="70" t="str">
        <f t="shared" ca="1" si="18"/>
        <v/>
      </c>
      <c r="I88" s="120" t="str">
        <f t="shared" ca="1" si="19"/>
        <v/>
      </c>
      <c r="J88" s="122" t="str">
        <f t="shared" ca="1" si="20"/>
        <v/>
      </c>
      <c r="K88" s="70" t="str">
        <f t="shared" ca="1" si="21"/>
        <v/>
      </c>
      <c r="L88" s="120" t="str">
        <f t="shared" ca="1" si="22"/>
        <v/>
      </c>
      <c r="M88" s="122" t="str">
        <f t="shared" ca="1" si="23"/>
        <v/>
      </c>
      <c r="N88" s="70" t="str">
        <f t="shared" ca="1" si="24"/>
        <v/>
      </c>
      <c r="O88" s="120" t="str">
        <f t="shared" ca="1" si="25"/>
        <v/>
      </c>
    </row>
    <row r="89" spans="1:15" ht="16.5" customHeight="1">
      <c r="A89" s="105">
        <v>30</v>
      </c>
      <c r="B89" s="130" t="str">
        <f>HYPERLINK("#'" &amp; TEXT(투자전략!$G$1+29, "[$-ko-KR]yyyy.mm.dd") &amp; "'!A40:O64", TEXT(투자전략!$G$1+29, "[$-ko-KR]yyyy.mm.dd"))</f>
        <v>2023.03.30</v>
      </c>
      <c r="C89" s="118" t="str">
        <f t="shared" ca="1" si="13"/>
        <v/>
      </c>
      <c r="D89" s="122" t="str">
        <f t="shared" ca="1" si="14"/>
        <v/>
      </c>
      <c r="E89" s="70" t="str">
        <f t="shared" ca="1" si="15"/>
        <v/>
      </c>
      <c r="F89" s="120" t="str">
        <f t="shared" ca="1" si="16"/>
        <v/>
      </c>
      <c r="G89" s="122" t="str">
        <f t="shared" ca="1" si="17"/>
        <v/>
      </c>
      <c r="H89" s="70" t="str">
        <f t="shared" ca="1" si="18"/>
        <v/>
      </c>
      <c r="I89" s="120" t="str">
        <f t="shared" ca="1" si="19"/>
        <v/>
      </c>
      <c r="J89" s="122" t="str">
        <f t="shared" ca="1" si="20"/>
        <v/>
      </c>
      <c r="K89" s="70" t="str">
        <f t="shared" ca="1" si="21"/>
        <v/>
      </c>
      <c r="L89" s="120" t="str">
        <f t="shared" ca="1" si="22"/>
        <v/>
      </c>
      <c r="M89" s="122" t="str">
        <f t="shared" ca="1" si="23"/>
        <v/>
      </c>
      <c r="N89" s="70" t="str">
        <f t="shared" ca="1" si="24"/>
        <v/>
      </c>
      <c r="O89" s="120" t="str">
        <f t="shared" ca="1" si="25"/>
        <v/>
      </c>
    </row>
    <row r="90" spans="1:15" ht="16.5" customHeight="1" thickBot="1">
      <c r="A90" s="105">
        <v>31</v>
      </c>
      <c r="B90" s="130" t="str">
        <f>HYPERLINK("#'" &amp; TEXT(투자전략!$G$1+30, "[$-ko-KR]yyyy.mm.dd") &amp; "'!A40:O64", TEXT(투자전략!$G$1+30, "[$-ko-KR]yyyy.mm.dd"))</f>
        <v>2023.03.31</v>
      </c>
      <c r="C90" s="119" t="str">
        <f t="shared" ca="1" si="13"/>
        <v/>
      </c>
      <c r="D90" s="123" t="str">
        <f t="shared" ca="1" si="14"/>
        <v/>
      </c>
      <c r="E90" s="72" t="str">
        <f t="shared" ca="1" si="15"/>
        <v/>
      </c>
      <c r="F90" s="121" t="str">
        <f t="shared" ca="1" si="16"/>
        <v/>
      </c>
      <c r="G90" s="123" t="str">
        <f t="shared" ca="1" si="17"/>
        <v/>
      </c>
      <c r="H90" s="72" t="str">
        <f t="shared" ca="1" si="18"/>
        <v/>
      </c>
      <c r="I90" s="121" t="str">
        <f t="shared" ca="1" si="19"/>
        <v/>
      </c>
      <c r="J90" s="123" t="str">
        <f t="shared" ca="1" si="20"/>
        <v/>
      </c>
      <c r="K90" s="72" t="str">
        <f t="shared" ca="1" si="21"/>
        <v/>
      </c>
      <c r="L90" s="121" t="str">
        <f t="shared" ca="1" si="22"/>
        <v/>
      </c>
      <c r="M90" s="123" t="str">
        <f t="shared" ca="1" si="23"/>
        <v/>
      </c>
      <c r="N90" s="72" t="str">
        <f t="shared" ca="1" si="24"/>
        <v/>
      </c>
      <c r="O90" s="121" t="str">
        <f t="shared" ca="1" si="25"/>
        <v/>
      </c>
    </row>
    <row r="91" spans="1:15" ht="16.5" customHeight="1" thickBot="1">
      <c r="A91" s="144" t="s">
        <v>270</v>
      </c>
      <c r="B91" s="146"/>
      <c r="C91" s="116" t="s">
        <v>265</v>
      </c>
      <c r="D91" s="9" t="s">
        <v>266</v>
      </c>
      <c r="E91" s="63" t="s">
        <v>267</v>
      </c>
      <c r="F91" s="64" t="s">
        <v>268</v>
      </c>
      <c r="G91" s="9" t="s">
        <v>266</v>
      </c>
      <c r="H91" s="63" t="s">
        <v>267</v>
      </c>
      <c r="I91" s="64" t="s">
        <v>268</v>
      </c>
      <c r="J91" s="9" t="s">
        <v>266</v>
      </c>
      <c r="K91" s="63" t="s">
        <v>267</v>
      </c>
      <c r="L91" s="64" t="s">
        <v>268</v>
      </c>
      <c r="M91" s="9" t="s">
        <v>266</v>
      </c>
      <c r="N91" s="63" t="s">
        <v>267</v>
      </c>
      <c r="O91" s="64" t="s">
        <v>268</v>
      </c>
    </row>
    <row r="92" spans="1:15" ht="16.5" customHeight="1" thickBot="1">
      <c r="A92" s="150"/>
      <c r="B92" s="152"/>
      <c r="C92" s="119">
        <f ca="1">SUM(C60:C90)</f>
        <v>3000000</v>
      </c>
      <c r="D92" s="123">
        <f ca="1">SUM(D60:D90)</f>
        <v>3000000</v>
      </c>
      <c r="E92" s="72">
        <f ca="1">IFERROR(F92 / (SUM($C60:$C90) / COUNT($C60:$C90)), 0)</f>
        <v>0</v>
      </c>
      <c r="F92" s="121">
        <f ca="1">SUM(F60:F90)</f>
        <v>0</v>
      </c>
      <c r="G92" s="123">
        <f ca="1">SUM(G60:G90)</f>
        <v>3000000</v>
      </c>
      <c r="H92" s="72">
        <f ca="1">IFERROR(I92 / (SUM($C60:$C90) / COUNT($C60:$C90)), 0)</f>
        <v>0</v>
      </c>
      <c r="I92" s="121">
        <f ca="1">SUM(I60:I90)</f>
        <v>0</v>
      </c>
      <c r="J92" s="123">
        <f ca="1">SUM(J60:J90)</f>
        <v>3000000</v>
      </c>
      <c r="K92" s="72">
        <f ca="1">IFERROR(L92 / (SUM($C60:$C90) / COUNT($C60:$C90)), 0)</f>
        <v>0</v>
      </c>
      <c r="L92" s="121">
        <f ca="1">SUM(L60:L90)</f>
        <v>0</v>
      </c>
      <c r="M92" s="123">
        <f ca="1">SUM(M60:M90)</f>
        <v>3000000</v>
      </c>
      <c r="N92" s="72">
        <f ca="1">IFERROR(O92 / (SUM($C60:$C90) / COUNT($C60:$C90)), 0)</f>
        <v>0</v>
      </c>
      <c r="O92" s="121">
        <f ca="1">SUM(O60:O90)</f>
        <v>0</v>
      </c>
    </row>
    <row r="94" spans="1:15" ht="16.5" customHeight="1" thickBot="1"/>
    <row r="95" spans="1:15" ht="16.5" customHeight="1" thickBot="1">
      <c r="A95" s="135" t="str">
        <f>TEXT(투자전략!$G$1, "[$-ko-KR]yyyy년 mm월 ") &amp; "[동전코인] 전일대비 상승률 Top20 월말결산"</f>
        <v>2023년 03월 [동전코인] 전일대비 상승률 Top20 월말결산</v>
      </c>
      <c r="B95" s="136"/>
      <c r="C95" s="136"/>
      <c r="D95" s="136"/>
      <c r="E95" s="136"/>
      <c r="F95" s="136"/>
      <c r="G95" s="136"/>
      <c r="H95" s="136"/>
      <c r="I95" s="136"/>
      <c r="J95" s="136"/>
      <c r="K95" s="136"/>
      <c r="L95" s="136"/>
      <c r="M95" s="136"/>
      <c r="N95" s="136"/>
      <c r="O95" s="137"/>
    </row>
    <row r="96" spans="1:15" ht="16.5" customHeight="1" thickBot="1">
      <c r="A96" s="196" t="s">
        <v>271</v>
      </c>
      <c r="B96" s="150" t="s">
        <v>269</v>
      </c>
      <c r="C96" s="152"/>
      <c r="D96" s="150" t="s">
        <v>261</v>
      </c>
      <c r="E96" s="151"/>
      <c r="F96" s="152"/>
      <c r="G96" s="150" t="s">
        <v>262</v>
      </c>
      <c r="H96" s="151"/>
      <c r="I96" s="152"/>
      <c r="J96" s="150" t="s">
        <v>263</v>
      </c>
      <c r="K96" s="151"/>
      <c r="L96" s="152"/>
      <c r="M96" s="150" t="s">
        <v>264</v>
      </c>
      <c r="N96" s="151"/>
      <c r="O96" s="152"/>
    </row>
    <row r="97" spans="1:15" ht="16.5" customHeight="1" thickBot="1">
      <c r="A97" s="200"/>
      <c r="B97" s="46" t="s">
        <v>259</v>
      </c>
      <c r="C97" s="46" t="s">
        <v>42</v>
      </c>
      <c r="D97" s="105" t="s">
        <v>260</v>
      </c>
      <c r="E97" s="106" t="s">
        <v>40</v>
      </c>
      <c r="F97" s="81" t="s">
        <v>41</v>
      </c>
      <c r="G97" s="105" t="s">
        <v>260</v>
      </c>
      <c r="H97" s="106" t="s">
        <v>40</v>
      </c>
      <c r="I97" s="81" t="s">
        <v>41</v>
      </c>
      <c r="J97" s="105" t="s">
        <v>260</v>
      </c>
      <c r="K97" s="106" t="s">
        <v>40</v>
      </c>
      <c r="L97" s="81" t="s">
        <v>41</v>
      </c>
      <c r="M97" s="105" t="s">
        <v>260</v>
      </c>
      <c r="N97" s="106" t="s">
        <v>40</v>
      </c>
      <c r="O97" s="81" t="s">
        <v>41</v>
      </c>
    </row>
    <row r="98" spans="1:15" ht="16.5" customHeight="1">
      <c r="A98" s="46">
        <v>1</v>
      </c>
      <c r="B98" s="129" t="str">
        <f>HYPERLINK("#'" &amp; TEXT(투자전략!$G$1+0, "[$-ko-KR]yyyy.mm.dd") &amp; "'!A67:O91", TEXT(투자전략!$G$1+0, "[$-ko-KR]yyyy.mm.dd"))</f>
        <v>2023.03.01</v>
      </c>
      <c r="C98" s="117">
        <f ca="1">IFERROR(COUNTA(INDIRECT($B98&amp;"!A71:A90")) * INDIRECT($B98&amp;"!B91"), "")</f>
        <v>3000000</v>
      </c>
      <c r="D98" s="125">
        <f ca="1">IFERROR($C98 * (1 + E98), "")</f>
        <v>3000000</v>
      </c>
      <c r="E98" s="69">
        <f ca="1">IFERROR(INDIRECT($B98&amp;"!E91"), "")</f>
        <v>0</v>
      </c>
      <c r="F98" s="124">
        <f ca="1">IFERROR(INDIRECT($B98&amp;"!F91"), "")</f>
        <v>0</v>
      </c>
      <c r="G98" s="125">
        <f ca="1">IFERROR($C98 * (1 + H98), "")</f>
        <v>3000000</v>
      </c>
      <c r="H98" s="69">
        <f ca="1">IFERROR(INDIRECT($B98&amp;"!H91"), "")</f>
        <v>0</v>
      </c>
      <c r="I98" s="124">
        <f ca="1">IFERROR(INDIRECT($B98&amp;"!I91"), "")</f>
        <v>0</v>
      </c>
      <c r="J98" s="125">
        <f ca="1">IFERROR($C98 * (1 + K98), "")</f>
        <v>3000000</v>
      </c>
      <c r="K98" s="69">
        <f ca="1">IFERROR(INDIRECT($B98&amp;"!K91"), "")</f>
        <v>0</v>
      </c>
      <c r="L98" s="124">
        <f ca="1">IFERROR(INDIRECT($B98&amp;"!L91"), "")</f>
        <v>0</v>
      </c>
      <c r="M98" s="125">
        <f ca="1">IFERROR($C98 * (1 + N98), "")</f>
        <v>3000000</v>
      </c>
      <c r="N98" s="69">
        <f ca="1">IFERROR(INDIRECT($B98&amp;"!N91"), "")</f>
        <v>0</v>
      </c>
      <c r="O98" s="124">
        <f ca="1">IFERROR(INDIRECT($B98&amp;"!O91"), "")</f>
        <v>0</v>
      </c>
    </row>
    <row r="99" spans="1:15" ht="16.5" customHeight="1">
      <c r="A99" s="47">
        <v>2</v>
      </c>
      <c r="B99" s="130" t="str">
        <f>HYPERLINK("#'" &amp; TEXT(투자전략!$G$1+1, "[$-ko-KR]yyyy.mm.dd") &amp; "'!A67:O91", TEXT(투자전략!$G$1+1, "[$-ko-KR]yyyy.mm.dd"))</f>
        <v>2023.03.02</v>
      </c>
      <c r="C99" s="118" t="str">
        <f t="shared" ref="C99:C128" ca="1" si="26">IFERROR(COUNTA(INDIRECT($B99&amp;"!A71:A90")) * INDIRECT($B99&amp;"!B91"), "")</f>
        <v/>
      </c>
      <c r="D99" s="122" t="str">
        <f t="shared" ref="D99:D128" ca="1" si="27">IFERROR($C99 * (1 + E99), "")</f>
        <v/>
      </c>
      <c r="E99" s="70" t="str">
        <f t="shared" ref="E99:E128" ca="1" si="28">IFERROR(INDIRECT($B99&amp;"!E91"), "")</f>
        <v/>
      </c>
      <c r="F99" s="120" t="str">
        <f t="shared" ref="F99:F128" ca="1" si="29">IFERROR(INDIRECT($B99&amp;"!F91"), "")</f>
        <v/>
      </c>
      <c r="G99" s="122" t="str">
        <f t="shared" ref="G99:G128" ca="1" si="30">IFERROR($C99 * (1 + H99), "")</f>
        <v/>
      </c>
      <c r="H99" s="70" t="str">
        <f t="shared" ref="H99:H128" ca="1" si="31">IFERROR(INDIRECT($B99&amp;"!H91"), "")</f>
        <v/>
      </c>
      <c r="I99" s="120" t="str">
        <f t="shared" ref="I99:I128" ca="1" si="32">IFERROR(INDIRECT($B99&amp;"!I91"), "")</f>
        <v/>
      </c>
      <c r="J99" s="122" t="str">
        <f t="shared" ref="J99:J128" ca="1" si="33">IFERROR($C99 * (1 + K99), "")</f>
        <v/>
      </c>
      <c r="K99" s="70" t="str">
        <f t="shared" ref="K99:K128" ca="1" si="34">IFERROR(INDIRECT($B99&amp;"!K91"), "")</f>
        <v/>
      </c>
      <c r="L99" s="120" t="str">
        <f t="shared" ref="L99:L128" ca="1" si="35">IFERROR(INDIRECT($B99&amp;"!L91"), "")</f>
        <v/>
      </c>
      <c r="M99" s="122" t="str">
        <f t="shared" ref="M99:M128" ca="1" si="36">IFERROR($C99 * (1 + N99), "")</f>
        <v/>
      </c>
      <c r="N99" s="70" t="str">
        <f t="shared" ref="N99:N128" ca="1" si="37">IFERROR(INDIRECT($B99&amp;"!N91"), "")</f>
        <v/>
      </c>
      <c r="O99" s="120" t="str">
        <f t="shared" ref="O99:O128" ca="1" si="38">IFERROR(INDIRECT($B99&amp;"!O91"), "")</f>
        <v/>
      </c>
    </row>
    <row r="100" spans="1:15" ht="16.5" customHeight="1">
      <c r="A100" s="47">
        <v>3</v>
      </c>
      <c r="B100" s="130" t="str">
        <f>HYPERLINK("#'" &amp; TEXT(투자전략!$G$1+2, "[$-ko-KR]yyyy.mm.dd") &amp; "'!A67:O91", TEXT(투자전략!$G$1+2, "[$-ko-KR]yyyy.mm.dd"))</f>
        <v>2023.03.03</v>
      </c>
      <c r="C100" s="118" t="str">
        <f t="shared" ca="1" si="26"/>
        <v/>
      </c>
      <c r="D100" s="122" t="str">
        <f t="shared" ca="1" si="27"/>
        <v/>
      </c>
      <c r="E100" s="70" t="str">
        <f t="shared" ca="1" si="28"/>
        <v/>
      </c>
      <c r="F100" s="120" t="str">
        <f t="shared" ca="1" si="29"/>
        <v/>
      </c>
      <c r="G100" s="122" t="str">
        <f t="shared" ca="1" si="30"/>
        <v/>
      </c>
      <c r="H100" s="70" t="str">
        <f t="shared" ca="1" si="31"/>
        <v/>
      </c>
      <c r="I100" s="120" t="str">
        <f t="shared" ca="1" si="32"/>
        <v/>
      </c>
      <c r="J100" s="122" t="str">
        <f t="shared" ca="1" si="33"/>
        <v/>
      </c>
      <c r="K100" s="70" t="str">
        <f t="shared" ca="1" si="34"/>
        <v/>
      </c>
      <c r="L100" s="120" t="str">
        <f t="shared" ca="1" si="35"/>
        <v/>
      </c>
      <c r="M100" s="122" t="str">
        <f t="shared" ca="1" si="36"/>
        <v/>
      </c>
      <c r="N100" s="70" t="str">
        <f t="shared" ca="1" si="37"/>
        <v/>
      </c>
      <c r="O100" s="120" t="str">
        <f t="shared" ca="1" si="38"/>
        <v/>
      </c>
    </row>
    <row r="101" spans="1:15" ht="16.5" customHeight="1">
      <c r="A101" s="47">
        <v>4</v>
      </c>
      <c r="B101" s="130" t="str">
        <f>HYPERLINK("#'" &amp; TEXT(투자전략!$G$1+3, "[$-ko-KR]yyyy.mm.dd") &amp; "'!A67:O91", TEXT(투자전략!$G$1+3, "[$-ko-KR]yyyy.mm.dd"))</f>
        <v>2023.03.04</v>
      </c>
      <c r="C101" s="118" t="str">
        <f t="shared" ca="1" si="26"/>
        <v/>
      </c>
      <c r="D101" s="122" t="str">
        <f t="shared" ca="1" si="27"/>
        <v/>
      </c>
      <c r="E101" s="70" t="str">
        <f t="shared" ca="1" si="28"/>
        <v/>
      </c>
      <c r="F101" s="120" t="str">
        <f t="shared" ca="1" si="29"/>
        <v/>
      </c>
      <c r="G101" s="122" t="str">
        <f t="shared" ca="1" si="30"/>
        <v/>
      </c>
      <c r="H101" s="70" t="str">
        <f t="shared" ca="1" si="31"/>
        <v/>
      </c>
      <c r="I101" s="120" t="str">
        <f t="shared" ca="1" si="32"/>
        <v/>
      </c>
      <c r="J101" s="122" t="str">
        <f t="shared" ca="1" si="33"/>
        <v/>
      </c>
      <c r="K101" s="70" t="str">
        <f t="shared" ca="1" si="34"/>
        <v/>
      </c>
      <c r="L101" s="120" t="str">
        <f t="shared" ca="1" si="35"/>
        <v/>
      </c>
      <c r="M101" s="122" t="str">
        <f t="shared" ca="1" si="36"/>
        <v/>
      </c>
      <c r="N101" s="70" t="str">
        <f t="shared" ca="1" si="37"/>
        <v/>
      </c>
      <c r="O101" s="120" t="str">
        <f t="shared" ca="1" si="38"/>
        <v/>
      </c>
    </row>
    <row r="102" spans="1:15" ht="16.5" customHeight="1">
      <c r="A102" s="47">
        <v>5</v>
      </c>
      <c r="B102" s="130" t="str">
        <f>HYPERLINK("#'" &amp; TEXT(투자전략!$G$1+4, "[$-ko-KR]yyyy.mm.dd") &amp; "'!A67:O91", TEXT(투자전략!$G$1+4, "[$-ko-KR]yyyy.mm.dd"))</f>
        <v>2023.03.05</v>
      </c>
      <c r="C102" s="118" t="str">
        <f t="shared" ca="1" si="26"/>
        <v/>
      </c>
      <c r="D102" s="122" t="str">
        <f t="shared" ca="1" si="27"/>
        <v/>
      </c>
      <c r="E102" s="70" t="str">
        <f t="shared" ca="1" si="28"/>
        <v/>
      </c>
      <c r="F102" s="120" t="str">
        <f t="shared" ca="1" si="29"/>
        <v/>
      </c>
      <c r="G102" s="122" t="str">
        <f t="shared" ca="1" si="30"/>
        <v/>
      </c>
      <c r="H102" s="70" t="str">
        <f t="shared" ca="1" si="31"/>
        <v/>
      </c>
      <c r="I102" s="120" t="str">
        <f t="shared" ca="1" si="32"/>
        <v/>
      </c>
      <c r="J102" s="122" t="str">
        <f t="shared" ca="1" si="33"/>
        <v/>
      </c>
      <c r="K102" s="70" t="str">
        <f t="shared" ca="1" si="34"/>
        <v/>
      </c>
      <c r="L102" s="120" t="str">
        <f t="shared" ca="1" si="35"/>
        <v/>
      </c>
      <c r="M102" s="122" t="str">
        <f t="shared" ca="1" si="36"/>
        <v/>
      </c>
      <c r="N102" s="70" t="str">
        <f t="shared" ca="1" si="37"/>
        <v/>
      </c>
      <c r="O102" s="120" t="str">
        <f t="shared" ca="1" si="38"/>
        <v/>
      </c>
    </row>
    <row r="103" spans="1:15" ht="16.5" customHeight="1">
      <c r="A103" s="47">
        <v>6</v>
      </c>
      <c r="B103" s="130" t="str">
        <f>HYPERLINK("#'" &amp; TEXT(투자전략!$G$1+5, "[$-ko-KR]yyyy.mm.dd") &amp; "'!A67:O91", TEXT(투자전략!$G$1+5, "[$-ko-KR]yyyy.mm.dd"))</f>
        <v>2023.03.06</v>
      </c>
      <c r="C103" s="118" t="str">
        <f t="shared" ca="1" si="26"/>
        <v/>
      </c>
      <c r="D103" s="122" t="str">
        <f t="shared" ca="1" si="27"/>
        <v/>
      </c>
      <c r="E103" s="70" t="str">
        <f t="shared" ca="1" si="28"/>
        <v/>
      </c>
      <c r="F103" s="120" t="str">
        <f t="shared" ca="1" si="29"/>
        <v/>
      </c>
      <c r="G103" s="122" t="str">
        <f t="shared" ca="1" si="30"/>
        <v/>
      </c>
      <c r="H103" s="70" t="str">
        <f t="shared" ca="1" si="31"/>
        <v/>
      </c>
      <c r="I103" s="120" t="str">
        <f t="shared" ca="1" si="32"/>
        <v/>
      </c>
      <c r="J103" s="122" t="str">
        <f t="shared" ca="1" si="33"/>
        <v/>
      </c>
      <c r="K103" s="70" t="str">
        <f t="shared" ca="1" si="34"/>
        <v/>
      </c>
      <c r="L103" s="120" t="str">
        <f t="shared" ca="1" si="35"/>
        <v/>
      </c>
      <c r="M103" s="122" t="str">
        <f t="shared" ca="1" si="36"/>
        <v/>
      </c>
      <c r="N103" s="70" t="str">
        <f t="shared" ca="1" si="37"/>
        <v/>
      </c>
      <c r="O103" s="120" t="str">
        <f t="shared" ca="1" si="38"/>
        <v/>
      </c>
    </row>
    <row r="104" spans="1:15" ht="16.5" customHeight="1" thickBot="1">
      <c r="A104" s="48">
        <v>7</v>
      </c>
      <c r="B104" s="131" t="str">
        <f>HYPERLINK("#'" &amp; TEXT(투자전략!$G$1+6, "[$-ko-KR]yyyy.mm.dd") &amp; "'!A67:O91", TEXT(투자전략!$G$1+6, "[$-ko-KR]yyyy.mm.dd"))</f>
        <v>2023.03.07</v>
      </c>
      <c r="C104" s="118" t="str">
        <f t="shared" ca="1" si="26"/>
        <v/>
      </c>
      <c r="D104" s="122" t="str">
        <f t="shared" ca="1" si="27"/>
        <v/>
      </c>
      <c r="E104" s="70" t="str">
        <f t="shared" ca="1" si="28"/>
        <v/>
      </c>
      <c r="F104" s="120" t="str">
        <f t="shared" ca="1" si="29"/>
        <v/>
      </c>
      <c r="G104" s="122" t="str">
        <f t="shared" ca="1" si="30"/>
        <v/>
      </c>
      <c r="H104" s="70" t="str">
        <f t="shared" ca="1" si="31"/>
        <v/>
      </c>
      <c r="I104" s="120" t="str">
        <f t="shared" ca="1" si="32"/>
        <v/>
      </c>
      <c r="J104" s="122" t="str">
        <f t="shared" ca="1" si="33"/>
        <v/>
      </c>
      <c r="K104" s="70" t="str">
        <f t="shared" ca="1" si="34"/>
        <v/>
      </c>
      <c r="L104" s="120" t="str">
        <f t="shared" ca="1" si="35"/>
        <v/>
      </c>
      <c r="M104" s="122" t="str">
        <f t="shared" ca="1" si="36"/>
        <v/>
      </c>
      <c r="N104" s="70" t="str">
        <f t="shared" ca="1" si="37"/>
        <v/>
      </c>
      <c r="O104" s="120" t="str">
        <f t="shared" ca="1" si="38"/>
        <v/>
      </c>
    </row>
    <row r="105" spans="1:15" ht="16.5" customHeight="1">
      <c r="A105" s="46">
        <v>8</v>
      </c>
      <c r="B105" s="129" t="str">
        <f>HYPERLINK("#'" &amp; TEXT(투자전략!$G$1+7, "[$-ko-KR]yyyy.mm.dd") &amp; "'!A67:O91", TEXT(투자전략!$G$1+7, "[$-ko-KR]yyyy.mm.dd"))</f>
        <v>2023.03.08</v>
      </c>
      <c r="C105" s="117" t="str">
        <f t="shared" ca="1" si="26"/>
        <v/>
      </c>
      <c r="D105" s="125" t="str">
        <f t="shared" ca="1" si="27"/>
        <v/>
      </c>
      <c r="E105" s="69" t="str">
        <f t="shared" ca="1" si="28"/>
        <v/>
      </c>
      <c r="F105" s="124" t="str">
        <f t="shared" ca="1" si="29"/>
        <v/>
      </c>
      <c r="G105" s="125" t="str">
        <f t="shared" ca="1" si="30"/>
        <v/>
      </c>
      <c r="H105" s="69" t="str">
        <f t="shared" ca="1" si="31"/>
        <v/>
      </c>
      <c r="I105" s="124" t="str">
        <f t="shared" ca="1" si="32"/>
        <v/>
      </c>
      <c r="J105" s="125" t="str">
        <f t="shared" ca="1" si="33"/>
        <v/>
      </c>
      <c r="K105" s="69" t="str">
        <f t="shared" ca="1" si="34"/>
        <v/>
      </c>
      <c r="L105" s="124" t="str">
        <f t="shared" ca="1" si="35"/>
        <v/>
      </c>
      <c r="M105" s="125" t="str">
        <f t="shared" ca="1" si="36"/>
        <v/>
      </c>
      <c r="N105" s="69" t="str">
        <f t="shared" ca="1" si="37"/>
        <v/>
      </c>
      <c r="O105" s="124" t="str">
        <f t="shared" ca="1" si="38"/>
        <v/>
      </c>
    </row>
    <row r="106" spans="1:15" ht="16.5" customHeight="1">
      <c r="A106" s="47">
        <v>9</v>
      </c>
      <c r="B106" s="130" t="str">
        <f>HYPERLINK("#'" &amp; TEXT(투자전략!$G$1+8, "[$-ko-KR]yyyy.mm.dd") &amp; "'!A67:O91", TEXT(투자전략!$G$1+8, "[$-ko-KR]yyyy.mm.dd"))</f>
        <v>2023.03.09</v>
      </c>
      <c r="C106" s="118" t="str">
        <f t="shared" ca="1" si="26"/>
        <v/>
      </c>
      <c r="D106" s="122" t="str">
        <f t="shared" ca="1" si="27"/>
        <v/>
      </c>
      <c r="E106" s="70" t="str">
        <f t="shared" ca="1" si="28"/>
        <v/>
      </c>
      <c r="F106" s="120" t="str">
        <f t="shared" ca="1" si="29"/>
        <v/>
      </c>
      <c r="G106" s="122" t="str">
        <f t="shared" ca="1" si="30"/>
        <v/>
      </c>
      <c r="H106" s="70" t="str">
        <f t="shared" ca="1" si="31"/>
        <v/>
      </c>
      <c r="I106" s="120" t="str">
        <f t="shared" ca="1" si="32"/>
        <v/>
      </c>
      <c r="J106" s="122" t="str">
        <f t="shared" ca="1" si="33"/>
        <v/>
      </c>
      <c r="K106" s="70" t="str">
        <f t="shared" ca="1" si="34"/>
        <v/>
      </c>
      <c r="L106" s="120" t="str">
        <f t="shared" ca="1" si="35"/>
        <v/>
      </c>
      <c r="M106" s="122" t="str">
        <f t="shared" ca="1" si="36"/>
        <v/>
      </c>
      <c r="N106" s="70" t="str">
        <f t="shared" ca="1" si="37"/>
        <v/>
      </c>
      <c r="O106" s="120" t="str">
        <f t="shared" ca="1" si="38"/>
        <v/>
      </c>
    </row>
    <row r="107" spans="1:15" ht="16.5" customHeight="1">
      <c r="A107" s="47">
        <v>10</v>
      </c>
      <c r="B107" s="130" t="str">
        <f>HYPERLINK("#'" &amp; TEXT(투자전략!$G$1+9, "[$-ko-KR]yyyy.mm.dd") &amp; "'!A67:O91", TEXT(투자전략!$G$1+9, "[$-ko-KR]yyyy.mm.dd"))</f>
        <v>2023.03.10</v>
      </c>
      <c r="C107" s="118" t="str">
        <f t="shared" ca="1" si="26"/>
        <v/>
      </c>
      <c r="D107" s="122" t="str">
        <f t="shared" ca="1" si="27"/>
        <v/>
      </c>
      <c r="E107" s="70" t="str">
        <f t="shared" ca="1" si="28"/>
        <v/>
      </c>
      <c r="F107" s="120" t="str">
        <f t="shared" ca="1" si="29"/>
        <v/>
      </c>
      <c r="G107" s="122" t="str">
        <f t="shared" ca="1" si="30"/>
        <v/>
      </c>
      <c r="H107" s="70" t="str">
        <f t="shared" ca="1" si="31"/>
        <v/>
      </c>
      <c r="I107" s="120" t="str">
        <f t="shared" ca="1" si="32"/>
        <v/>
      </c>
      <c r="J107" s="122" t="str">
        <f t="shared" ca="1" si="33"/>
        <v/>
      </c>
      <c r="K107" s="70" t="str">
        <f t="shared" ca="1" si="34"/>
        <v/>
      </c>
      <c r="L107" s="120" t="str">
        <f t="shared" ca="1" si="35"/>
        <v/>
      </c>
      <c r="M107" s="122" t="str">
        <f t="shared" ca="1" si="36"/>
        <v/>
      </c>
      <c r="N107" s="70" t="str">
        <f t="shared" ca="1" si="37"/>
        <v/>
      </c>
      <c r="O107" s="120" t="str">
        <f t="shared" ca="1" si="38"/>
        <v/>
      </c>
    </row>
    <row r="108" spans="1:15" ht="16.5" customHeight="1">
      <c r="A108" s="47">
        <v>11</v>
      </c>
      <c r="B108" s="130" t="str">
        <f>HYPERLINK("#'" &amp; TEXT(투자전략!$G$1+10, "[$-ko-KR]yyyy.mm.dd") &amp; "'!A67:O91", TEXT(투자전략!$G$1+10, "[$-ko-KR]yyyy.mm.dd"))</f>
        <v>2023.03.11</v>
      </c>
      <c r="C108" s="118" t="str">
        <f t="shared" ca="1" si="26"/>
        <v/>
      </c>
      <c r="D108" s="122" t="str">
        <f t="shared" ca="1" si="27"/>
        <v/>
      </c>
      <c r="E108" s="70" t="str">
        <f t="shared" ca="1" si="28"/>
        <v/>
      </c>
      <c r="F108" s="120" t="str">
        <f t="shared" ca="1" si="29"/>
        <v/>
      </c>
      <c r="G108" s="122" t="str">
        <f t="shared" ca="1" si="30"/>
        <v/>
      </c>
      <c r="H108" s="70" t="str">
        <f t="shared" ca="1" si="31"/>
        <v/>
      </c>
      <c r="I108" s="120" t="str">
        <f t="shared" ca="1" si="32"/>
        <v/>
      </c>
      <c r="J108" s="122" t="str">
        <f t="shared" ca="1" si="33"/>
        <v/>
      </c>
      <c r="K108" s="70" t="str">
        <f t="shared" ca="1" si="34"/>
        <v/>
      </c>
      <c r="L108" s="120" t="str">
        <f t="shared" ca="1" si="35"/>
        <v/>
      </c>
      <c r="M108" s="122" t="str">
        <f t="shared" ca="1" si="36"/>
        <v/>
      </c>
      <c r="N108" s="70" t="str">
        <f t="shared" ca="1" si="37"/>
        <v/>
      </c>
      <c r="O108" s="120" t="str">
        <f t="shared" ca="1" si="38"/>
        <v/>
      </c>
    </row>
    <row r="109" spans="1:15" ht="16.5" customHeight="1">
      <c r="A109" s="47">
        <v>12</v>
      </c>
      <c r="B109" s="130" t="str">
        <f>HYPERLINK("#'" &amp; TEXT(투자전략!$G$1+11, "[$-ko-KR]yyyy.mm.dd") &amp; "'!A67:O91", TEXT(투자전략!$G$1+11, "[$-ko-KR]yyyy.mm.dd"))</f>
        <v>2023.03.12</v>
      </c>
      <c r="C109" s="118" t="str">
        <f t="shared" ca="1" si="26"/>
        <v/>
      </c>
      <c r="D109" s="122" t="str">
        <f t="shared" ca="1" si="27"/>
        <v/>
      </c>
      <c r="E109" s="70" t="str">
        <f t="shared" ca="1" si="28"/>
        <v/>
      </c>
      <c r="F109" s="120" t="str">
        <f t="shared" ca="1" si="29"/>
        <v/>
      </c>
      <c r="G109" s="122" t="str">
        <f t="shared" ca="1" si="30"/>
        <v/>
      </c>
      <c r="H109" s="70" t="str">
        <f t="shared" ca="1" si="31"/>
        <v/>
      </c>
      <c r="I109" s="120" t="str">
        <f t="shared" ca="1" si="32"/>
        <v/>
      </c>
      <c r="J109" s="122" t="str">
        <f t="shared" ca="1" si="33"/>
        <v/>
      </c>
      <c r="K109" s="70" t="str">
        <f t="shared" ca="1" si="34"/>
        <v/>
      </c>
      <c r="L109" s="120" t="str">
        <f t="shared" ca="1" si="35"/>
        <v/>
      </c>
      <c r="M109" s="122" t="str">
        <f t="shared" ca="1" si="36"/>
        <v/>
      </c>
      <c r="N109" s="70" t="str">
        <f t="shared" ca="1" si="37"/>
        <v/>
      </c>
      <c r="O109" s="120" t="str">
        <f t="shared" ca="1" si="38"/>
        <v/>
      </c>
    </row>
    <row r="110" spans="1:15" ht="16.5" customHeight="1">
      <c r="A110" s="47">
        <v>13</v>
      </c>
      <c r="B110" s="130" t="str">
        <f>HYPERLINK("#'" &amp; TEXT(투자전략!$G$1+12, "[$-ko-KR]yyyy.mm.dd") &amp; "'!A67:O91", TEXT(투자전략!$G$1+12, "[$-ko-KR]yyyy.mm.dd"))</f>
        <v>2023.03.13</v>
      </c>
      <c r="C110" s="118" t="str">
        <f t="shared" ca="1" si="26"/>
        <v/>
      </c>
      <c r="D110" s="122" t="str">
        <f t="shared" ca="1" si="27"/>
        <v/>
      </c>
      <c r="E110" s="70" t="str">
        <f t="shared" ca="1" si="28"/>
        <v/>
      </c>
      <c r="F110" s="120" t="str">
        <f t="shared" ca="1" si="29"/>
        <v/>
      </c>
      <c r="G110" s="122" t="str">
        <f t="shared" ca="1" si="30"/>
        <v/>
      </c>
      <c r="H110" s="70" t="str">
        <f t="shared" ca="1" si="31"/>
        <v/>
      </c>
      <c r="I110" s="120" t="str">
        <f t="shared" ca="1" si="32"/>
        <v/>
      </c>
      <c r="J110" s="122" t="str">
        <f t="shared" ca="1" si="33"/>
        <v/>
      </c>
      <c r="K110" s="70" t="str">
        <f t="shared" ca="1" si="34"/>
        <v/>
      </c>
      <c r="L110" s="120" t="str">
        <f t="shared" ca="1" si="35"/>
        <v/>
      </c>
      <c r="M110" s="122" t="str">
        <f t="shared" ca="1" si="36"/>
        <v/>
      </c>
      <c r="N110" s="70" t="str">
        <f t="shared" ca="1" si="37"/>
        <v/>
      </c>
      <c r="O110" s="120" t="str">
        <f t="shared" ca="1" si="38"/>
        <v/>
      </c>
    </row>
    <row r="111" spans="1:15" ht="16.5" customHeight="1" thickBot="1">
      <c r="A111" s="48">
        <v>14</v>
      </c>
      <c r="B111" s="131" t="str">
        <f>HYPERLINK("#'" &amp; TEXT(투자전략!$G$1+13, "[$-ko-KR]yyyy.mm.dd") &amp; "'!A67:O91", TEXT(투자전략!$G$1+13, "[$-ko-KR]yyyy.mm.dd"))</f>
        <v>2023.03.14</v>
      </c>
      <c r="C111" s="119" t="str">
        <f t="shared" ca="1" si="26"/>
        <v/>
      </c>
      <c r="D111" s="123" t="str">
        <f t="shared" ca="1" si="27"/>
        <v/>
      </c>
      <c r="E111" s="72" t="str">
        <f t="shared" ca="1" si="28"/>
        <v/>
      </c>
      <c r="F111" s="121" t="str">
        <f t="shared" ca="1" si="29"/>
        <v/>
      </c>
      <c r="G111" s="123" t="str">
        <f t="shared" ca="1" si="30"/>
        <v/>
      </c>
      <c r="H111" s="72" t="str">
        <f t="shared" ca="1" si="31"/>
        <v/>
      </c>
      <c r="I111" s="121" t="str">
        <f t="shared" ca="1" si="32"/>
        <v/>
      </c>
      <c r="J111" s="123" t="str">
        <f t="shared" ca="1" si="33"/>
        <v/>
      </c>
      <c r="K111" s="72" t="str">
        <f t="shared" ca="1" si="34"/>
        <v/>
      </c>
      <c r="L111" s="121" t="str">
        <f t="shared" ca="1" si="35"/>
        <v/>
      </c>
      <c r="M111" s="123" t="str">
        <f t="shared" ca="1" si="36"/>
        <v/>
      </c>
      <c r="N111" s="72" t="str">
        <f t="shared" ca="1" si="37"/>
        <v/>
      </c>
      <c r="O111" s="121" t="str">
        <f t="shared" ca="1" si="38"/>
        <v/>
      </c>
    </row>
    <row r="112" spans="1:15" ht="16.5" customHeight="1">
      <c r="A112" s="46">
        <v>15</v>
      </c>
      <c r="B112" s="129" t="str">
        <f>HYPERLINK("#'" &amp; TEXT(투자전략!$G$1+14, "[$-ko-KR]yyyy.mm.dd") &amp; "'!A67:O91", TEXT(투자전략!$G$1+14, "[$-ko-KR]yyyy.mm.dd"))</f>
        <v>2023.03.15</v>
      </c>
      <c r="C112" s="118" t="str">
        <f t="shared" ca="1" si="26"/>
        <v/>
      </c>
      <c r="D112" s="122" t="str">
        <f t="shared" ca="1" si="27"/>
        <v/>
      </c>
      <c r="E112" s="70" t="str">
        <f t="shared" ca="1" si="28"/>
        <v/>
      </c>
      <c r="F112" s="120" t="str">
        <f t="shared" ca="1" si="29"/>
        <v/>
      </c>
      <c r="G112" s="122" t="str">
        <f t="shared" ca="1" si="30"/>
        <v/>
      </c>
      <c r="H112" s="70" t="str">
        <f t="shared" ca="1" si="31"/>
        <v/>
      </c>
      <c r="I112" s="120" t="str">
        <f t="shared" ca="1" si="32"/>
        <v/>
      </c>
      <c r="J112" s="122" t="str">
        <f t="shared" ca="1" si="33"/>
        <v/>
      </c>
      <c r="K112" s="70" t="str">
        <f t="shared" ca="1" si="34"/>
        <v/>
      </c>
      <c r="L112" s="120" t="str">
        <f t="shared" ca="1" si="35"/>
        <v/>
      </c>
      <c r="M112" s="122" t="str">
        <f t="shared" ca="1" si="36"/>
        <v/>
      </c>
      <c r="N112" s="70" t="str">
        <f t="shared" ca="1" si="37"/>
        <v/>
      </c>
      <c r="O112" s="120" t="str">
        <f t="shared" ca="1" si="38"/>
        <v/>
      </c>
    </row>
    <row r="113" spans="1:15" ht="16.5" customHeight="1">
      <c r="A113" s="47">
        <v>16</v>
      </c>
      <c r="B113" s="130" t="str">
        <f>HYPERLINK("#'" &amp; TEXT(투자전략!$G$1+15, "[$-ko-KR]yyyy.mm.dd") &amp; "'!A67:O91", TEXT(투자전략!$G$1+15, "[$-ko-KR]yyyy.mm.dd"))</f>
        <v>2023.03.16</v>
      </c>
      <c r="C113" s="118" t="str">
        <f t="shared" ca="1" si="26"/>
        <v/>
      </c>
      <c r="D113" s="122" t="str">
        <f t="shared" ca="1" si="27"/>
        <v/>
      </c>
      <c r="E113" s="70" t="str">
        <f t="shared" ca="1" si="28"/>
        <v/>
      </c>
      <c r="F113" s="120" t="str">
        <f t="shared" ca="1" si="29"/>
        <v/>
      </c>
      <c r="G113" s="122" t="str">
        <f t="shared" ca="1" si="30"/>
        <v/>
      </c>
      <c r="H113" s="70" t="str">
        <f t="shared" ca="1" si="31"/>
        <v/>
      </c>
      <c r="I113" s="120" t="str">
        <f t="shared" ca="1" si="32"/>
        <v/>
      </c>
      <c r="J113" s="122" t="str">
        <f t="shared" ca="1" si="33"/>
        <v/>
      </c>
      <c r="K113" s="70" t="str">
        <f t="shared" ca="1" si="34"/>
        <v/>
      </c>
      <c r="L113" s="120" t="str">
        <f t="shared" ca="1" si="35"/>
        <v/>
      </c>
      <c r="M113" s="122" t="str">
        <f t="shared" ca="1" si="36"/>
        <v/>
      </c>
      <c r="N113" s="70" t="str">
        <f t="shared" ca="1" si="37"/>
        <v/>
      </c>
      <c r="O113" s="120" t="str">
        <f t="shared" ca="1" si="38"/>
        <v/>
      </c>
    </row>
    <row r="114" spans="1:15" ht="16.5" customHeight="1">
      <c r="A114" s="47">
        <v>17</v>
      </c>
      <c r="B114" s="130" t="str">
        <f>HYPERLINK("#'" &amp; TEXT(투자전략!$G$1+16, "[$-ko-KR]yyyy.mm.dd") &amp; "'!A67:O91", TEXT(투자전략!$G$1+16, "[$-ko-KR]yyyy.mm.dd"))</f>
        <v>2023.03.17</v>
      </c>
      <c r="C114" s="118" t="str">
        <f t="shared" ca="1" si="26"/>
        <v/>
      </c>
      <c r="D114" s="122" t="str">
        <f t="shared" ca="1" si="27"/>
        <v/>
      </c>
      <c r="E114" s="70" t="str">
        <f t="shared" ca="1" si="28"/>
        <v/>
      </c>
      <c r="F114" s="120" t="str">
        <f t="shared" ca="1" si="29"/>
        <v/>
      </c>
      <c r="G114" s="122" t="str">
        <f t="shared" ca="1" si="30"/>
        <v/>
      </c>
      <c r="H114" s="70" t="str">
        <f t="shared" ca="1" si="31"/>
        <v/>
      </c>
      <c r="I114" s="120" t="str">
        <f t="shared" ca="1" si="32"/>
        <v/>
      </c>
      <c r="J114" s="122" t="str">
        <f t="shared" ca="1" si="33"/>
        <v/>
      </c>
      <c r="K114" s="70" t="str">
        <f t="shared" ca="1" si="34"/>
        <v/>
      </c>
      <c r="L114" s="120" t="str">
        <f t="shared" ca="1" si="35"/>
        <v/>
      </c>
      <c r="M114" s="122" t="str">
        <f t="shared" ca="1" si="36"/>
        <v/>
      </c>
      <c r="N114" s="70" t="str">
        <f t="shared" ca="1" si="37"/>
        <v/>
      </c>
      <c r="O114" s="120" t="str">
        <f t="shared" ca="1" si="38"/>
        <v/>
      </c>
    </row>
    <row r="115" spans="1:15" ht="16.5" customHeight="1">
      <c r="A115" s="47">
        <v>18</v>
      </c>
      <c r="B115" s="130" t="str">
        <f>HYPERLINK("#'" &amp; TEXT(투자전략!$G$1+17, "[$-ko-KR]yyyy.mm.dd") &amp; "'!A67:O91", TEXT(투자전략!$G$1+17, "[$-ko-KR]yyyy.mm.dd"))</f>
        <v>2023.03.18</v>
      </c>
      <c r="C115" s="118" t="str">
        <f t="shared" ca="1" si="26"/>
        <v/>
      </c>
      <c r="D115" s="122" t="str">
        <f t="shared" ca="1" si="27"/>
        <v/>
      </c>
      <c r="E115" s="70" t="str">
        <f t="shared" ca="1" si="28"/>
        <v/>
      </c>
      <c r="F115" s="120" t="str">
        <f t="shared" ca="1" si="29"/>
        <v/>
      </c>
      <c r="G115" s="122" t="str">
        <f t="shared" ca="1" si="30"/>
        <v/>
      </c>
      <c r="H115" s="70" t="str">
        <f t="shared" ca="1" si="31"/>
        <v/>
      </c>
      <c r="I115" s="120" t="str">
        <f t="shared" ca="1" si="32"/>
        <v/>
      </c>
      <c r="J115" s="122" t="str">
        <f t="shared" ca="1" si="33"/>
        <v/>
      </c>
      <c r="K115" s="70" t="str">
        <f t="shared" ca="1" si="34"/>
        <v/>
      </c>
      <c r="L115" s="120" t="str">
        <f t="shared" ca="1" si="35"/>
        <v/>
      </c>
      <c r="M115" s="122" t="str">
        <f t="shared" ca="1" si="36"/>
        <v/>
      </c>
      <c r="N115" s="70" t="str">
        <f t="shared" ca="1" si="37"/>
        <v/>
      </c>
      <c r="O115" s="120" t="str">
        <f t="shared" ca="1" si="38"/>
        <v/>
      </c>
    </row>
    <row r="116" spans="1:15" ht="16.5" customHeight="1">
      <c r="A116" s="47">
        <v>19</v>
      </c>
      <c r="B116" s="130" t="str">
        <f>HYPERLINK("#'" &amp; TEXT(투자전략!$G$1+18, "[$-ko-KR]yyyy.mm.dd") &amp; "'!A67:O91", TEXT(투자전략!$G$1+18, "[$-ko-KR]yyyy.mm.dd"))</f>
        <v>2023.03.19</v>
      </c>
      <c r="C116" s="118" t="str">
        <f t="shared" ca="1" si="26"/>
        <v/>
      </c>
      <c r="D116" s="122" t="str">
        <f t="shared" ca="1" si="27"/>
        <v/>
      </c>
      <c r="E116" s="70" t="str">
        <f t="shared" ca="1" si="28"/>
        <v/>
      </c>
      <c r="F116" s="120" t="str">
        <f t="shared" ca="1" si="29"/>
        <v/>
      </c>
      <c r="G116" s="122" t="str">
        <f t="shared" ca="1" si="30"/>
        <v/>
      </c>
      <c r="H116" s="70" t="str">
        <f t="shared" ca="1" si="31"/>
        <v/>
      </c>
      <c r="I116" s="120" t="str">
        <f t="shared" ca="1" si="32"/>
        <v/>
      </c>
      <c r="J116" s="122" t="str">
        <f t="shared" ca="1" si="33"/>
        <v/>
      </c>
      <c r="K116" s="70" t="str">
        <f t="shared" ca="1" si="34"/>
        <v/>
      </c>
      <c r="L116" s="120" t="str">
        <f t="shared" ca="1" si="35"/>
        <v/>
      </c>
      <c r="M116" s="122" t="str">
        <f t="shared" ca="1" si="36"/>
        <v/>
      </c>
      <c r="N116" s="70" t="str">
        <f t="shared" ca="1" si="37"/>
        <v/>
      </c>
      <c r="O116" s="120" t="str">
        <f t="shared" ca="1" si="38"/>
        <v/>
      </c>
    </row>
    <row r="117" spans="1:15" ht="16.5" customHeight="1">
      <c r="A117" s="47">
        <v>20</v>
      </c>
      <c r="B117" s="130" t="str">
        <f>HYPERLINK("#'" &amp; TEXT(투자전략!$G$1+19, "[$-ko-KR]yyyy.mm.dd") &amp; "'!A67:O91", TEXT(투자전략!$G$1+19, "[$-ko-KR]yyyy.mm.dd"))</f>
        <v>2023.03.20</v>
      </c>
      <c r="C117" s="118" t="str">
        <f t="shared" ca="1" si="26"/>
        <v/>
      </c>
      <c r="D117" s="122" t="str">
        <f t="shared" ca="1" si="27"/>
        <v/>
      </c>
      <c r="E117" s="70" t="str">
        <f t="shared" ca="1" si="28"/>
        <v/>
      </c>
      <c r="F117" s="120" t="str">
        <f t="shared" ca="1" si="29"/>
        <v/>
      </c>
      <c r="G117" s="122" t="str">
        <f t="shared" ca="1" si="30"/>
        <v/>
      </c>
      <c r="H117" s="70" t="str">
        <f t="shared" ca="1" si="31"/>
        <v/>
      </c>
      <c r="I117" s="120" t="str">
        <f t="shared" ca="1" si="32"/>
        <v/>
      </c>
      <c r="J117" s="122" t="str">
        <f t="shared" ca="1" si="33"/>
        <v/>
      </c>
      <c r="K117" s="70" t="str">
        <f t="shared" ca="1" si="34"/>
        <v/>
      </c>
      <c r="L117" s="120" t="str">
        <f t="shared" ca="1" si="35"/>
        <v/>
      </c>
      <c r="M117" s="122" t="str">
        <f t="shared" ca="1" si="36"/>
        <v/>
      </c>
      <c r="N117" s="70" t="str">
        <f t="shared" ca="1" si="37"/>
        <v/>
      </c>
      <c r="O117" s="120" t="str">
        <f t="shared" ca="1" si="38"/>
        <v/>
      </c>
    </row>
    <row r="118" spans="1:15" ht="16.5" customHeight="1" thickBot="1">
      <c r="A118" s="48">
        <v>21</v>
      </c>
      <c r="B118" s="131" t="str">
        <f>HYPERLINK("#'" &amp; TEXT(투자전략!$G$1+20, "[$-ko-KR]yyyy.mm.dd") &amp; "'!A67:O91", TEXT(투자전략!$G$1+20, "[$-ko-KR]yyyy.mm.dd"))</f>
        <v>2023.03.21</v>
      </c>
      <c r="C118" s="118" t="str">
        <f t="shared" ca="1" si="26"/>
        <v/>
      </c>
      <c r="D118" s="122" t="str">
        <f t="shared" ca="1" si="27"/>
        <v/>
      </c>
      <c r="E118" s="70" t="str">
        <f t="shared" ca="1" si="28"/>
        <v/>
      </c>
      <c r="F118" s="120" t="str">
        <f t="shared" ca="1" si="29"/>
        <v/>
      </c>
      <c r="G118" s="122" t="str">
        <f t="shared" ca="1" si="30"/>
        <v/>
      </c>
      <c r="H118" s="70" t="str">
        <f t="shared" ca="1" si="31"/>
        <v/>
      </c>
      <c r="I118" s="120" t="str">
        <f t="shared" ca="1" si="32"/>
        <v/>
      </c>
      <c r="J118" s="122" t="str">
        <f t="shared" ca="1" si="33"/>
        <v/>
      </c>
      <c r="K118" s="70" t="str">
        <f t="shared" ca="1" si="34"/>
        <v/>
      </c>
      <c r="L118" s="120" t="str">
        <f t="shared" ca="1" si="35"/>
        <v/>
      </c>
      <c r="M118" s="122" t="str">
        <f t="shared" ca="1" si="36"/>
        <v/>
      </c>
      <c r="N118" s="70" t="str">
        <f t="shared" ca="1" si="37"/>
        <v/>
      </c>
      <c r="O118" s="120" t="str">
        <f t="shared" ca="1" si="38"/>
        <v/>
      </c>
    </row>
    <row r="119" spans="1:15" ht="16.5" customHeight="1">
      <c r="A119" s="46">
        <v>22</v>
      </c>
      <c r="B119" s="129" t="str">
        <f>HYPERLINK("#'" &amp; TEXT(투자전략!$G$1+21, "[$-ko-KR]yyyy.mm.dd") &amp; "'!A67:O91", TEXT(투자전략!$G$1+21, "[$-ko-KR]yyyy.mm.dd"))</f>
        <v>2023.03.22</v>
      </c>
      <c r="C119" s="117" t="str">
        <f t="shared" ca="1" si="26"/>
        <v/>
      </c>
      <c r="D119" s="125" t="str">
        <f t="shared" ca="1" si="27"/>
        <v/>
      </c>
      <c r="E119" s="69" t="str">
        <f t="shared" ca="1" si="28"/>
        <v/>
      </c>
      <c r="F119" s="124" t="str">
        <f t="shared" ca="1" si="29"/>
        <v/>
      </c>
      <c r="G119" s="125" t="str">
        <f t="shared" ca="1" si="30"/>
        <v/>
      </c>
      <c r="H119" s="69" t="str">
        <f t="shared" ca="1" si="31"/>
        <v/>
      </c>
      <c r="I119" s="124" t="str">
        <f t="shared" ca="1" si="32"/>
        <v/>
      </c>
      <c r="J119" s="125" t="str">
        <f t="shared" ca="1" si="33"/>
        <v/>
      </c>
      <c r="K119" s="69" t="str">
        <f t="shared" ca="1" si="34"/>
        <v/>
      </c>
      <c r="L119" s="124" t="str">
        <f t="shared" ca="1" si="35"/>
        <v/>
      </c>
      <c r="M119" s="125" t="str">
        <f t="shared" ca="1" si="36"/>
        <v/>
      </c>
      <c r="N119" s="69" t="str">
        <f t="shared" ca="1" si="37"/>
        <v/>
      </c>
      <c r="O119" s="124" t="str">
        <f t="shared" ca="1" si="38"/>
        <v/>
      </c>
    </row>
    <row r="120" spans="1:15" ht="16.5" customHeight="1">
      <c r="A120" s="47">
        <v>23</v>
      </c>
      <c r="B120" s="130" t="str">
        <f>HYPERLINK("#'" &amp; TEXT(투자전략!$G$1+22, "[$-ko-KR]yyyy.mm.dd") &amp; "'!A67:O91", TEXT(투자전략!$G$1+22, "[$-ko-KR]yyyy.mm.dd"))</f>
        <v>2023.03.23</v>
      </c>
      <c r="C120" s="118" t="str">
        <f t="shared" ca="1" si="26"/>
        <v/>
      </c>
      <c r="D120" s="122" t="str">
        <f t="shared" ca="1" si="27"/>
        <v/>
      </c>
      <c r="E120" s="70" t="str">
        <f t="shared" ca="1" si="28"/>
        <v/>
      </c>
      <c r="F120" s="120" t="str">
        <f t="shared" ca="1" si="29"/>
        <v/>
      </c>
      <c r="G120" s="122" t="str">
        <f t="shared" ca="1" si="30"/>
        <v/>
      </c>
      <c r="H120" s="70" t="str">
        <f t="shared" ca="1" si="31"/>
        <v/>
      </c>
      <c r="I120" s="120" t="str">
        <f t="shared" ca="1" si="32"/>
        <v/>
      </c>
      <c r="J120" s="122" t="str">
        <f t="shared" ca="1" si="33"/>
        <v/>
      </c>
      <c r="K120" s="70" t="str">
        <f t="shared" ca="1" si="34"/>
        <v/>
      </c>
      <c r="L120" s="120" t="str">
        <f t="shared" ca="1" si="35"/>
        <v/>
      </c>
      <c r="M120" s="122" t="str">
        <f t="shared" ca="1" si="36"/>
        <v/>
      </c>
      <c r="N120" s="70" t="str">
        <f t="shared" ca="1" si="37"/>
        <v/>
      </c>
      <c r="O120" s="120" t="str">
        <f t="shared" ca="1" si="38"/>
        <v/>
      </c>
    </row>
    <row r="121" spans="1:15" ht="16.5" customHeight="1">
      <c r="A121" s="47">
        <v>24</v>
      </c>
      <c r="B121" s="130" t="str">
        <f>HYPERLINK("#'" &amp; TEXT(투자전략!$G$1+23, "[$-ko-KR]yyyy.mm.dd") &amp; "'!A67:O91", TEXT(투자전략!$G$1+23, "[$-ko-KR]yyyy.mm.dd"))</f>
        <v>2023.03.24</v>
      </c>
      <c r="C121" s="118" t="str">
        <f t="shared" ca="1" si="26"/>
        <v/>
      </c>
      <c r="D121" s="122" t="str">
        <f t="shared" ca="1" si="27"/>
        <v/>
      </c>
      <c r="E121" s="70" t="str">
        <f t="shared" ca="1" si="28"/>
        <v/>
      </c>
      <c r="F121" s="120" t="str">
        <f t="shared" ca="1" si="29"/>
        <v/>
      </c>
      <c r="G121" s="122" t="str">
        <f t="shared" ca="1" si="30"/>
        <v/>
      </c>
      <c r="H121" s="70" t="str">
        <f t="shared" ca="1" si="31"/>
        <v/>
      </c>
      <c r="I121" s="120" t="str">
        <f t="shared" ca="1" si="32"/>
        <v/>
      </c>
      <c r="J121" s="122" t="str">
        <f t="shared" ca="1" si="33"/>
        <v/>
      </c>
      <c r="K121" s="70" t="str">
        <f t="shared" ca="1" si="34"/>
        <v/>
      </c>
      <c r="L121" s="120" t="str">
        <f t="shared" ca="1" si="35"/>
        <v/>
      </c>
      <c r="M121" s="122" t="str">
        <f t="shared" ca="1" si="36"/>
        <v/>
      </c>
      <c r="N121" s="70" t="str">
        <f t="shared" ca="1" si="37"/>
        <v/>
      </c>
      <c r="O121" s="120" t="str">
        <f t="shared" ca="1" si="38"/>
        <v/>
      </c>
    </row>
    <row r="122" spans="1:15" ht="16.5" customHeight="1">
      <c r="A122" s="47">
        <v>25</v>
      </c>
      <c r="B122" s="130" t="str">
        <f>HYPERLINK("#'" &amp; TEXT(투자전략!$G$1+24, "[$-ko-KR]yyyy.mm.dd") &amp; "'!A67:O91", TEXT(투자전략!$G$1+24, "[$-ko-KR]yyyy.mm.dd"))</f>
        <v>2023.03.25</v>
      </c>
      <c r="C122" s="118" t="str">
        <f t="shared" ca="1" si="26"/>
        <v/>
      </c>
      <c r="D122" s="122" t="str">
        <f t="shared" ca="1" si="27"/>
        <v/>
      </c>
      <c r="E122" s="70" t="str">
        <f t="shared" ca="1" si="28"/>
        <v/>
      </c>
      <c r="F122" s="120" t="str">
        <f t="shared" ca="1" si="29"/>
        <v/>
      </c>
      <c r="G122" s="122" t="str">
        <f t="shared" ca="1" si="30"/>
        <v/>
      </c>
      <c r="H122" s="70" t="str">
        <f t="shared" ca="1" si="31"/>
        <v/>
      </c>
      <c r="I122" s="120" t="str">
        <f t="shared" ca="1" si="32"/>
        <v/>
      </c>
      <c r="J122" s="122" t="str">
        <f t="shared" ca="1" si="33"/>
        <v/>
      </c>
      <c r="K122" s="70" t="str">
        <f t="shared" ca="1" si="34"/>
        <v/>
      </c>
      <c r="L122" s="120" t="str">
        <f t="shared" ca="1" si="35"/>
        <v/>
      </c>
      <c r="M122" s="122" t="str">
        <f t="shared" ca="1" si="36"/>
        <v/>
      </c>
      <c r="N122" s="70" t="str">
        <f t="shared" ca="1" si="37"/>
        <v/>
      </c>
      <c r="O122" s="120" t="str">
        <f t="shared" ca="1" si="38"/>
        <v/>
      </c>
    </row>
    <row r="123" spans="1:15" ht="16.5" customHeight="1">
      <c r="A123" s="47">
        <v>26</v>
      </c>
      <c r="B123" s="130" t="str">
        <f>HYPERLINK("#'" &amp; TEXT(투자전략!$G$1+25, "[$-ko-KR]yyyy.mm.dd") &amp; "'!A67:O91", TEXT(투자전략!$G$1+25, "[$-ko-KR]yyyy.mm.dd"))</f>
        <v>2023.03.26</v>
      </c>
      <c r="C123" s="118" t="str">
        <f t="shared" ca="1" si="26"/>
        <v/>
      </c>
      <c r="D123" s="122" t="str">
        <f t="shared" ca="1" si="27"/>
        <v/>
      </c>
      <c r="E123" s="70" t="str">
        <f t="shared" ca="1" si="28"/>
        <v/>
      </c>
      <c r="F123" s="120" t="str">
        <f t="shared" ca="1" si="29"/>
        <v/>
      </c>
      <c r="G123" s="122" t="str">
        <f t="shared" ca="1" si="30"/>
        <v/>
      </c>
      <c r="H123" s="70" t="str">
        <f t="shared" ca="1" si="31"/>
        <v/>
      </c>
      <c r="I123" s="120" t="str">
        <f t="shared" ca="1" si="32"/>
        <v/>
      </c>
      <c r="J123" s="122" t="str">
        <f t="shared" ca="1" si="33"/>
        <v/>
      </c>
      <c r="K123" s="70" t="str">
        <f t="shared" ca="1" si="34"/>
        <v/>
      </c>
      <c r="L123" s="120" t="str">
        <f t="shared" ca="1" si="35"/>
        <v/>
      </c>
      <c r="M123" s="122" t="str">
        <f t="shared" ca="1" si="36"/>
        <v/>
      </c>
      <c r="N123" s="70" t="str">
        <f t="shared" ca="1" si="37"/>
        <v/>
      </c>
      <c r="O123" s="120" t="str">
        <f t="shared" ca="1" si="38"/>
        <v/>
      </c>
    </row>
    <row r="124" spans="1:15" ht="16.5" customHeight="1">
      <c r="A124" s="47">
        <v>27</v>
      </c>
      <c r="B124" s="130" t="str">
        <f>HYPERLINK("#'" &amp; TEXT(투자전략!$G$1+26, "[$-ko-KR]yyyy.mm.dd") &amp; "'!A67:O91", TEXT(투자전략!$G$1+26, "[$-ko-KR]yyyy.mm.dd"))</f>
        <v>2023.03.27</v>
      </c>
      <c r="C124" s="118" t="str">
        <f t="shared" ca="1" si="26"/>
        <v/>
      </c>
      <c r="D124" s="122" t="str">
        <f t="shared" ca="1" si="27"/>
        <v/>
      </c>
      <c r="E124" s="70" t="str">
        <f t="shared" ca="1" si="28"/>
        <v/>
      </c>
      <c r="F124" s="120" t="str">
        <f t="shared" ca="1" si="29"/>
        <v/>
      </c>
      <c r="G124" s="122" t="str">
        <f t="shared" ca="1" si="30"/>
        <v/>
      </c>
      <c r="H124" s="70" t="str">
        <f t="shared" ca="1" si="31"/>
        <v/>
      </c>
      <c r="I124" s="120" t="str">
        <f t="shared" ca="1" si="32"/>
        <v/>
      </c>
      <c r="J124" s="122" t="str">
        <f t="shared" ca="1" si="33"/>
        <v/>
      </c>
      <c r="K124" s="70" t="str">
        <f t="shared" ca="1" si="34"/>
        <v/>
      </c>
      <c r="L124" s="120" t="str">
        <f t="shared" ca="1" si="35"/>
        <v/>
      </c>
      <c r="M124" s="122" t="str">
        <f t="shared" ca="1" si="36"/>
        <v/>
      </c>
      <c r="N124" s="70" t="str">
        <f t="shared" ca="1" si="37"/>
        <v/>
      </c>
      <c r="O124" s="120" t="str">
        <f t="shared" ca="1" si="38"/>
        <v/>
      </c>
    </row>
    <row r="125" spans="1:15" ht="16.5" customHeight="1" thickBot="1">
      <c r="A125" s="48">
        <v>28</v>
      </c>
      <c r="B125" s="131" t="str">
        <f>HYPERLINK("#'" &amp; TEXT(투자전략!$G$1+27, "[$-ko-KR]yyyy.mm.dd") &amp; "'!A67:O91", TEXT(투자전략!$G$1+27, "[$-ko-KR]yyyy.mm.dd"))</f>
        <v>2023.03.28</v>
      </c>
      <c r="C125" s="119" t="str">
        <f t="shared" ca="1" si="26"/>
        <v/>
      </c>
      <c r="D125" s="123" t="str">
        <f t="shared" ca="1" si="27"/>
        <v/>
      </c>
      <c r="E125" s="72" t="str">
        <f t="shared" ca="1" si="28"/>
        <v/>
      </c>
      <c r="F125" s="121" t="str">
        <f t="shared" ca="1" si="29"/>
        <v/>
      </c>
      <c r="G125" s="123" t="str">
        <f t="shared" ca="1" si="30"/>
        <v/>
      </c>
      <c r="H125" s="72" t="str">
        <f t="shared" ca="1" si="31"/>
        <v/>
      </c>
      <c r="I125" s="121" t="str">
        <f t="shared" ca="1" si="32"/>
        <v/>
      </c>
      <c r="J125" s="123" t="str">
        <f t="shared" ca="1" si="33"/>
        <v/>
      </c>
      <c r="K125" s="72" t="str">
        <f t="shared" ca="1" si="34"/>
        <v/>
      </c>
      <c r="L125" s="121" t="str">
        <f t="shared" ca="1" si="35"/>
        <v/>
      </c>
      <c r="M125" s="123" t="str">
        <f t="shared" ca="1" si="36"/>
        <v/>
      </c>
      <c r="N125" s="72" t="str">
        <f t="shared" ca="1" si="37"/>
        <v/>
      </c>
      <c r="O125" s="121" t="str">
        <f t="shared" ca="1" si="38"/>
        <v/>
      </c>
    </row>
    <row r="126" spans="1:15" ht="16.5" customHeight="1">
      <c r="A126" s="105">
        <v>29</v>
      </c>
      <c r="B126" s="129" t="str">
        <f>HYPERLINK("#'" &amp; TEXT(투자전략!$G$1+28, "[$-ko-KR]yyyy.mm.dd") &amp; "'!A67:O91", TEXT(투자전략!$G$1+28, "[$-ko-KR]yyyy.mm.dd"))</f>
        <v>2023.03.29</v>
      </c>
      <c r="C126" s="118" t="str">
        <f t="shared" ca="1" si="26"/>
        <v/>
      </c>
      <c r="D126" s="122" t="str">
        <f t="shared" ca="1" si="27"/>
        <v/>
      </c>
      <c r="E126" s="70" t="str">
        <f t="shared" ca="1" si="28"/>
        <v/>
      </c>
      <c r="F126" s="120" t="str">
        <f t="shared" ca="1" si="29"/>
        <v/>
      </c>
      <c r="G126" s="122" t="str">
        <f t="shared" ca="1" si="30"/>
        <v/>
      </c>
      <c r="H126" s="70" t="str">
        <f t="shared" ca="1" si="31"/>
        <v/>
      </c>
      <c r="I126" s="120" t="str">
        <f t="shared" ca="1" si="32"/>
        <v/>
      </c>
      <c r="J126" s="122" t="str">
        <f t="shared" ca="1" si="33"/>
        <v/>
      </c>
      <c r="K126" s="70" t="str">
        <f t="shared" ca="1" si="34"/>
        <v/>
      </c>
      <c r="L126" s="120" t="str">
        <f t="shared" ca="1" si="35"/>
        <v/>
      </c>
      <c r="M126" s="122" t="str">
        <f t="shared" ca="1" si="36"/>
        <v/>
      </c>
      <c r="N126" s="70" t="str">
        <f t="shared" ca="1" si="37"/>
        <v/>
      </c>
      <c r="O126" s="120" t="str">
        <f t="shared" ca="1" si="38"/>
        <v/>
      </c>
    </row>
    <row r="127" spans="1:15" ht="16.5" customHeight="1">
      <c r="A127" s="105">
        <v>30</v>
      </c>
      <c r="B127" s="130" t="str">
        <f>HYPERLINK("#'" &amp; TEXT(투자전략!$G$1+29, "[$-ko-KR]yyyy.mm.dd") &amp; "'!A67:O91", TEXT(투자전략!$G$1+29, "[$-ko-KR]yyyy.mm.dd"))</f>
        <v>2023.03.30</v>
      </c>
      <c r="C127" s="118" t="str">
        <f t="shared" ca="1" si="26"/>
        <v/>
      </c>
      <c r="D127" s="122" t="str">
        <f t="shared" ca="1" si="27"/>
        <v/>
      </c>
      <c r="E127" s="70" t="str">
        <f t="shared" ca="1" si="28"/>
        <v/>
      </c>
      <c r="F127" s="120" t="str">
        <f t="shared" ca="1" si="29"/>
        <v/>
      </c>
      <c r="G127" s="122" t="str">
        <f t="shared" ca="1" si="30"/>
        <v/>
      </c>
      <c r="H127" s="70" t="str">
        <f t="shared" ca="1" si="31"/>
        <v/>
      </c>
      <c r="I127" s="120" t="str">
        <f t="shared" ca="1" si="32"/>
        <v/>
      </c>
      <c r="J127" s="122" t="str">
        <f t="shared" ca="1" si="33"/>
        <v/>
      </c>
      <c r="K127" s="70" t="str">
        <f t="shared" ca="1" si="34"/>
        <v/>
      </c>
      <c r="L127" s="120" t="str">
        <f t="shared" ca="1" si="35"/>
        <v/>
      </c>
      <c r="M127" s="122" t="str">
        <f t="shared" ca="1" si="36"/>
        <v/>
      </c>
      <c r="N127" s="70" t="str">
        <f t="shared" ca="1" si="37"/>
        <v/>
      </c>
      <c r="O127" s="120" t="str">
        <f t="shared" ca="1" si="38"/>
        <v/>
      </c>
    </row>
    <row r="128" spans="1:15" ht="16.5" customHeight="1" thickBot="1">
      <c r="A128" s="105">
        <v>31</v>
      </c>
      <c r="B128" s="130" t="str">
        <f>HYPERLINK("#'" &amp; TEXT(투자전략!$G$1+30, "[$-ko-KR]yyyy.mm.dd") &amp; "'!A67:O91", TEXT(투자전략!$G$1+30, "[$-ko-KR]yyyy.mm.dd"))</f>
        <v>2023.03.31</v>
      </c>
      <c r="C128" s="119" t="str">
        <f t="shared" ca="1" si="26"/>
        <v/>
      </c>
      <c r="D128" s="123" t="str">
        <f t="shared" ca="1" si="27"/>
        <v/>
      </c>
      <c r="E128" s="72" t="str">
        <f t="shared" ca="1" si="28"/>
        <v/>
      </c>
      <c r="F128" s="121" t="str">
        <f t="shared" ca="1" si="29"/>
        <v/>
      </c>
      <c r="G128" s="123" t="str">
        <f t="shared" ca="1" si="30"/>
        <v/>
      </c>
      <c r="H128" s="72" t="str">
        <f t="shared" ca="1" si="31"/>
        <v/>
      </c>
      <c r="I128" s="121" t="str">
        <f t="shared" ca="1" si="32"/>
        <v/>
      </c>
      <c r="J128" s="123" t="str">
        <f t="shared" ca="1" si="33"/>
        <v/>
      </c>
      <c r="K128" s="72" t="str">
        <f t="shared" ca="1" si="34"/>
        <v/>
      </c>
      <c r="L128" s="121" t="str">
        <f t="shared" ca="1" si="35"/>
        <v/>
      </c>
      <c r="M128" s="123" t="str">
        <f t="shared" ca="1" si="36"/>
        <v/>
      </c>
      <c r="N128" s="72" t="str">
        <f t="shared" ca="1" si="37"/>
        <v/>
      </c>
      <c r="O128" s="121" t="str">
        <f t="shared" ca="1" si="38"/>
        <v/>
      </c>
    </row>
    <row r="129" spans="1:15" ht="16.5" customHeight="1" thickBot="1">
      <c r="A129" s="144" t="s">
        <v>270</v>
      </c>
      <c r="B129" s="146"/>
      <c r="C129" s="116" t="s">
        <v>265</v>
      </c>
      <c r="D129" s="9" t="s">
        <v>266</v>
      </c>
      <c r="E129" s="63" t="s">
        <v>267</v>
      </c>
      <c r="F129" s="64" t="s">
        <v>268</v>
      </c>
      <c r="G129" s="9" t="s">
        <v>266</v>
      </c>
      <c r="H129" s="63" t="s">
        <v>267</v>
      </c>
      <c r="I129" s="64" t="s">
        <v>268</v>
      </c>
      <c r="J129" s="9" t="s">
        <v>266</v>
      </c>
      <c r="K129" s="63" t="s">
        <v>267</v>
      </c>
      <c r="L129" s="64" t="s">
        <v>268</v>
      </c>
      <c r="M129" s="9" t="s">
        <v>266</v>
      </c>
      <c r="N129" s="63" t="s">
        <v>267</v>
      </c>
      <c r="O129" s="64" t="s">
        <v>268</v>
      </c>
    </row>
    <row r="130" spans="1:15" ht="16.5" customHeight="1" thickBot="1">
      <c r="A130" s="150"/>
      <c r="B130" s="152"/>
      <c r="C130" s="119">
        <f ca="1">SUM(C98:C128)</f>
        <v>3000000</v>
      </c>
      <c r="D130" s="123">
        <f ca="1">SUM(D98:D128)</f>
        <v>3000000</v>
      </c>
      <c r="E130" s="72">
        <f ca="1">IFERROR(F130 / (SUM($C98:$C128) / COUNT($C98:$C128)), 0)</f>
        <v>0</v>
      </c>
      <c r="F130" s="121">
        <f ca="1">SUM(F98:F128)</f>
        <v>0</v>
      </c>
      <c r="G130" s="123">
        <f ca="1">SUM(G98:G128)</f>
        <v>3000000</v>
      </c>
      <c r="H130" s="72">
        <f ca="1">IFERROR(I130 / (SUM($C98:$C128) / COUNT($C98:$C128)), 0)</f>
        <v>0</v>
      </c>
      <c r="I130" s="121">
        <f ca="1">SUM(I98:I128)</f>
        <v>0</v>
      </c>
      <c r="J130" s="123">
        <f ca="1">SUM(J98:J128)</f>
        <v>3000000</v>
      </c>
      <c r="K130" s="72">
        <f ca="1">IFERROR(L130 / (SUM($C98:$C128) / COUNT($C98:$C128)), 0)</f>
        <v>0</v>
      </c>
      <c r="L130" s="121">
        <f ca="1">SUM(L98:L128)</f>
        <v>0</v>
      </c>
      <c r="M130" s="123">
        <f ca="1">SUM(M98:M128)</f>
        <v>3000000</v>
      </c>
      <c r="N130" s="72">
        <f ca="1">IFERROR(O130 / (SUM($C98:$C128) / COUNT($C98:$C128)), 0)</f>
        <v>0</v>
      </c>
      <c r="O130" s="121">
        <f ca="1">SUM(O98:O128)</f>
        <v>0</v>
      </c>
    </row>
    <row r="132" spans="1:15" ht="16.5" customHeight="1" thickBot="1"/>
    <row r="133" spans="1:15" ht="16.5" customHeight="1" thickBot="1">
      <c r="A133" s="135" t="str">
        <f>TEXT(투자전략!$G$1, "[$-ko-KR]yyyy년 mm월 ") &amp; "전일대비 상승률 Top20 월말결산"</f>
        <v>2023년 03월 전일대비 상승률 Top20 월말결산</v>
      </c>
      <c r="B133" s="136"/>
      <c r="C133" s="136"/>
      <c r="D133" s="136"/>
      <c r="E133" s="136"/>
      <c r="F133" s="136"/>
      <c r="G133" s="136"/>
      <c r="H133" s="136"/>
      <c r="I133" s="136"/>
      <c r="J133" s="136"/>
      <c r="K133" s="136"/>
      <c r="L133" s="136"/>
      <c r="M133" s="136"/>
      <c r="N133" s="136"/>
      <c r="O133" s="137"/>
    </row>
    <row r="134" spans="1:15" ht="16.5" customHeight="1" thickBot="1">
      <c r="A134" s="196" t="s">
        <v>271</v>
      </c>
      <c r="B134" s="150" t="s">
        <v>269</v>
      </c>
      <c r="C134" s="152"/>
      <c r="D134" s="150" t="s">
        <v>261</v>
      </c>
      <c r="E134" s="151"/>
      <c r="F134" s="152"/>
      <c r="G134" s="150" t="s">
        <v>262</v>
      </c>
      <c r="H134" s="151"/>
      <c r="I134" s="152"/>
      <c r="J134" s="150" t="s">
        <v>263</v>
      </c>
      <c r="K134" s="151"/>
      <c r="L134" s="152"/>
      <c r="M134" s="150" t="s">
        <v>264</v>
      </c>
      <c r="N134" s="151"/>
      <c r="O134" s="152"/>
    </row>
    <row r="135" spans="1:15" ht="16.5" customHeight="1" thickBot="1">
      <c r="A135" s="200"/>
      <c r="B135" s="46" t="s">
        <v>259</v>
      </c>
      <c r="C135" s="46" t="s">
        <v>42</v>
      </c>
      <c r="D135" s="105" t="s">
        <v>260</v>
      </c>
      <c r="E135" s="106" t="s">
        <v>40</v>
      </c>
      <c r="F135" s="81" t="s">
        <v>41</v>
      </c>
      <c r="G135" s="105" t="s">
        <v>260</v>
      </c>
      <c r="H135" s="106" t="s">
        <v>40</v>
      </c>
      <c r="I135" s="81" t="s">
        <v>41</v>
      </c>
      <c r="J135" s="105" t="s">
        <v>260</v>
      </c>
      <c r="K135" s="106" t="s">
        <v>40</v>
      </c>
      <c r="L135" s="81" t="s">
        <v>41</v>
      </c>
      <c r="M135" s="105" t="s">
        <v>260</v>
      </c>
      <c r="N135" s="106" t="s">
        <v>40</v>
      </c>
      <c r="O135" s="81" t="s">
        <v>41</v>
      </c>
    </row>
    <row r="136" spans="1:15" ht="16.5" customHeight="1">
      <c r="A136" s="46">
        <v>1</v>
      </c>
      <c r="B136" s="129" t="str">
        <f>HYPERLINK("#'" &amp; TEXT(투자전략!$G$1+0, "[$-ko-KR]yyyy.mm.dd") &amp; "'!A94:O118", TEXT(투자전략!$G$1+0, "[$-ko-KR]yyyy.mm.dd"))</f>
        <v>2023.03.01</v>
      </c>
      <c r="C136" s="117">
        <f ca="1">IFERROR(COUNTA(INDIRECT($B136&amp;"!A98:A117")) * INDIRECT($B136&amp;"!B118"), "")</f>
        <v>3000000</v>
      </c>
      <c r="D136" s="125">
        <f ca="1">IFERROR($C136 * (1 + E136), "")</f>
        <v>3000000</v>
      </c>
      <c r="E136" s="69">
        <f ca="1">IFERROR(INDIRECT($B136&amp;"!E118"), "")</f>
        <v>0</v>
      </c>
      <c r="F136" s="124">
        <f ca="1">IFERROR(INDIRECT($B136&amp;"!F118"), "")</f>
        <v>0</v>
      </c>
      <c r="G136" s="125">
        <f ca="1">IFERROR($C136 * (1 + H136), "")</f>
        <v>3000000</v>
      </c>
      <c r="H136" s="69">
        <f ca="1">IFERROR(INDIRECT($B136&amp;"!H118"), "")</f>
        <v>0</v>
      </c>
      <c r="I136" s="124">
        <f ca="1">IFERROR(INDIRECT($B136&amp;"!I118"), "")</f>
        <v>0</v>
      </c>
      <c r="J136" s="125">
        <f ca="1">IFERROR($C136 * (1 + K136), "")</f>
        <v>3000000</v>
      </c>
      <c r="K136" s="69">
        <f ca="1">IFERROR(INDIRECT($B136&amp;"!K118"), "")</f>
        <v>0</v>
      </c>
      <c r="L136" s="124">
        <f ca="1">IFERROR(INDIRECT($B136&amp;"!L118"), "")</f>
        <v>0</v>
      </c>
      <c r="M136" s="125">
        <f ca="1">IFERROR($C136 * (1 + N136), "")</f>
        <v>3000000</v>
      </c>
      <c r="N136" s="69">
        <f ca="1">IFERROR(INDIRECT($B136&amp;"!N118"), "")</f>
        <v>0</v>
      </c>
      <c r="O136" s="124">
        <f ca="1">IFERROR(INDIRECT($B136&amp;"!O118"), "")</f>
        <v>0</v>
      </c>
    </row>
    <row r="137" spans="1:15" ht="16.5" customHeight="1">
      <c r="A137" s="47">
        <v>2</v>
      </c>
      <c r="B137" s="130" t="str">
        <f>HYPERLINK("#'" &amp; TEXT(투자전략!$G$1+1, "[$-ko-KR]yyyy.mm.dd") &amp; "'!A94:O118", TEXT(투자전략!$G$1+1, "[$-ko-KR]yyyy.mm.dd"))</f>
        <v>2023.03.02</v>
      </c>
      <c r="C137" s="118" t="str">
        <f t="shared" ref="C137:C166" ca="1" si="39">IFERROR(COUNTA(INDIRECT($B137&amp;"!A98:A117")) * INDIRECT($B137&amp;"!B118"), "")</f>
        <v/>
      </c>
      <c r="D137" s="122" t="str">
        <f t="shared" ref="D137:D166" ca="1" si="40">IFERROR($C137 * (1 + E137), "")</f>
        <v/>
      </c>
      <c r="E137" s="70" t="str">
        <f t="shared" ref="E137:E166" ca="1" si="41">IFERROR(INDIRECT($B137&amp;"!E118"), "")</f>
        <v/>
      </c>
      <c r="F137" s="120" t="str">
        <f t="shared" ref="F137:F166" ca="1" si="42">IFERROR(INDIRECT($B137&amp;"!F118"), "")</f>
        <v/>
      </c>
      <c r="G137" s="122" t="str">
        <f t="shared" ref="G137:G166" ca="1" si="43">IFERROR($C137 * (1 + H137), "")</f>
        <v/>
      </c>
      <c r="H137" s="70" t="str">
        <f t="shared" ref="H137:H166" ca="1" si="44">IFERROR(INDIRECT($B137&amp;"!H118"), "")</f>
        <v/>
      </c>
      <c r="I137" s="120" t="str">
        <f t="shared" ref="I137:I166" ca="1" si="45">IFERROR(INDIRECT($B137&amp;"!I118"), "")</f>
        <v/>
      </c>
      <c r="J137" s="122" t="str">
        <f t="shared" ref="J137:J166" ca="1" si="46">IFERROR($C137 * (1 + K137), "")</f>
        <v/>
      </c>
      <c r="K137" s="70" t="str">
        <f t="shared" ref="K137:K166" ca="1" si="47">IFERROR(INDIRECT($B137&amp;"!K118"), "")</f>
        <v/>
      </c>
      <c r="L137" s="120" t="str">
        <f t="shared" ref="L137:L166" ca="1" si="48">IFERROR(INDIRECT($B137&amp;"!L118"), "")</f>
        <v/>
      </c>
      <c r="M137" s="122" t="str">
        <f t="shared" ref="M137:M166" ca="1" si="49">IFERROR($C137 * (1 + N137), "")</f>
        <v/>
      </c>
      <c r="N137" s="70" t="str">
        <f t="shared" ref="N137:N166" ca="1" si="50">IFERROR(INDIRECT($B137&amp;"!N118"), "")</f>
        <v/>
      </c>
      <c r="O137" s="120" t="str">
        <f t="shared" ref="O137:O166" ca="1" si="51">IFERROR(INDIRECT($B137&amp;"!O118"), "")</f>
        <v/>
      </c>
    </row>
    <row r="138" spans="1:15" ht="16.5" customHeight="1">
      <c r="A138" s="47">
        <v>3</v>
      </c>
      <c r="B138" s="130" t="str">
        <f>HYPERLINK("#'" &amp; TEXT(투자전략!$G$1+2, "[$-ko-KR]yyyy.mm.dd") &amp; "'!A94:O118", TEXT(투자전략!$G$1+2, "[$-ko-KR]yyyy.mm.dd"))</f>
        <v>2023.03.03</v>
      </c>
      <c r="C138" s="118" t="str">
        <f t="shared" ca="1" si="39"/>
        <v/>
      </c>
      <c r="D138" s="122" t="str">
        <f t="shared" ca="1" si="40"/>
        <v/>
      </c>
      <c r="E138" s="70" t="str">
        <f t="shared" ca="1" si="41"/>
        <v/>
      </c>
      <c r="F138" s="120" t="str">
        <f t="shared" ca="1" si="42"/>
        <v/>
      </c>
      <c r="G138" s="122" t="str">
        <f t="shared" ca="1" si="43"/>
        <v/>
      </c>
      <c r="H138" s="70" t="str">
        <f t="shared" ca="1" si="44"/>
        <v/>
      </c>
      <c r="I138" s="120" t="str">
        <f t="shared" ca="1" si="45"/>
        <v/>
      </c>
      <c r="J138" s="122" t="str">
        <f t="shared" ca="1" si="46"/>
        <v/>
      </c>
      <c r="K138" s="70" t="str">
        <f t="shared" ca="1" si="47"/>
        <v/>
      </c>
      <c r="L138" s="120" t="str">
        <f t="shared" ca="1" si="48"/>
        <v/>
      </c>
      <c r="M138" s="122" t="str">
        <f t="shared" ca="1" si="49"/>
        <v/>
      </c>
      <c r="N138" s="70" t="str">
        <f t="shared" ca="1" si="50"/>
        <v/>
      </c>
      <c r="O138" s="120" t="str">
        <f t="shared" ca="1" si="51"/>
        <v/>
      </c>
    </row>
    <row r="139" spans="1:15" ht="16.5" customHeight="1">
      <c r="A139" s="47">
        <v>4</v>
      </c>
      <c r="B139" s="130" t="str">
        <f>HYPERLINK("#'" &amp; TEXT(투자전략!$G$1+3, "[$-ko-KR]yyyy.mm.dd") &amp; "'!A94:O118", TEXT(투자전략!$G$1+3, "[$-ko-KR]yyyy.mm.dd"))</f>
        <v>2023.03.04</v>
      </c>
      <c r="C139" s="118" t="str">
        <f t="shared" ca="1" si="39"/>
        <v/>
      </c>
      <c r="D139" s="122" t="str">
        <f t="shared" ca="1" si="40"/>
        <v/>
      </c>
      <c r="E139" s="70" t="str">
        <f t="shared" ca="1" si="41"/>
        <v/>
      </c>
      <c r="F139" s="120" t="str">
        <f t="shared" ca="1" si="42"/>
        <v/>
      </c>
      <c r="G139" s="122" t="str">
        <f t="shared" ca="1" si="43"/>
        <v/>
      </c>
      <c r="H139" s="70" t="str">
        <f t="shared" ca="1" si="44"/>
        <v/>
      </c>
      <c r="I139" s="120" t="str">
        <f t="shared" ca="1" si="45"/>
        <v/>
      </c>
      <c r="J139" s="122" t="str">
        <f t="shared" ca="1" si="46"/>
        <v/>
      </c>
      <c r="K139" s="70" t="str">
        <f t="shared" ca="1" si="47"/>
        <v/>
      </c>
      <c r="L139" s="120" t="str">
        <f t="shared" ca="1" si="48"/>
        <v/>
      </c>
      <c r="M139" s="122" t="str">
        <f t="shared" ca="1" si="49"/>
        <v/>
      </c>
      <c r="N139" s="70" t="str">
        <f t="shared" ca="1" si="50"/>
        <v/>
      </c>
      <c r="O139" s="120" t="str">
        <f t="shared" ca="1" si="51"/>
        <v/>
      </c>
    </row>
    <row r="140" spans="1:15" ht="16.5" customHeight="1">
      <c r="A140" s="47">
        <v>5</v>
      </c>
      <c r="B140" s="130" t="str">
        <f>HYPERLINK("#'" &amp; TEXT(투자전략!$G$1+4, "[$-ko-KR]yyyy.mm.dd") &amp; "'!A94:O118", TEXT(투자전략!$G$1+4, "[$-ko-KR]yyyy.mm.dd"))</f>
        <v>2023.03.05</v>
      </c>
      <c r="C140" s="118" t="str">
        <f t="shared" ca="1" si="39"/>
        <v/>
      </c>
      <c r="D140" s="122" t="str">
        <f t="shared" ca="1" si="40"/>
        <v/>
      </c>
      <c r="E140" s="70" t="str">
        <f t="shared" ca="1" si="41"/>
        <v/>
      </c>
      <c r="F140" s="120" t="str">
        <f t="shared" ca="1" si="42"/>
        <v/>
      </c>
      <c r="G140" s="122" t="str">
        <f t="shared" ca="1" si="43"/>
        <v/>
      </c>
      <c r="H140" s="70" t="str">
        <f t="shared" ca="1" si="44"/>
        <v/>
      </c>
      <c r="I140" s="120" t="str">
        <f t="shared" ca="1" si="45"/>
        <v/>
      </c>
      <c r="J140" s="122" t="str">
        <f t="shared" ca="1" si="46"/>
        <v/>
      </c>
      <c r="K140" s="70" t="str">
        <f t="shared" ca="1" si="47"/>
        <v/>
      </c>
      <c r="L140" s="120" t="str">
        <f t="shared" ca="1" si="48"/>
        <v/>
      </c>
      <c r="M140" s="122" t="str">
        <f t="shared" ca="1" si="49"/>
        <v/>
      </c>
      <c r="N140" s="70" t="str">
        <f t="shared" ca="1" si="50"/>
        <v/>
      </c>
      <c r="O140" s="120" t="str">
        <f t="shared" ca="1" si="51"/>
        <v/>
      </c>
    </row>
    <row r="141" spans="1:15" ht="16.5" customHeight="1">
      <c r="A141" s="47">
        <v>6</v>
      </c>
      <c r="B141" s="130" t="str">
        <f>HYPERLINK("#'" &amp; TEXT(투자전략!$G$1+5, "[$-ko-KR]yyyy.mm.dd") &amp; "'!A94:O118", TEXT(투자전략!$G$1+5, "[$-ko-KR]yyyy.mm.dd"))</f>
        <v>2023.03.06</v>
      </c>
      <c r="C141" s="118" t="str">
        <f t="shared" ca="1" si="39"/>
        <v/>
      </c>
      <c r="D141" s="122" t="str">
        <f t="shared" ca="1" si="40"/>
        <v/>
      </c>
      <c r="E141" s="70" t="str">
        <f t="shared" ca="1" si="41"/>
        <v/>
      </c>
      <c r="F141" s="120" t="str">
        <f t="shared" ca="1" si="42"/>
        <v/>
      </c>
      <c r="G141" s="122" t="str">
        <f t="shared" ca="1" si="43"/>
        <v/>
      </c>
      <c r="H141" s="70" t="str">
        <f t="shared" ca="1" si="44"/>
        <v/>
      </c>
      <c r="I141" s="120" t="str">
        <f t="shared" ca="1" si="45"/>
        <v/>
      </c>
      <c r="J141" s="122" t="str">
        <f t="shared" ca="1" si="46"/>
        <v/>
      </c>
      <c r="K141" s="70" t="str">
        <f t="shared" ca="1" si="47"/>
        <v/>
      </c>
      <c r="L141" s="120" t="str">
        <f t="shared" ca="1" si="48"/>
        <v/>
      </c>
      <c r="M141" s="122" t="str">
        <f t="shared" ca="1" si="49"/>
        <v/>
      </c>
      <c r="N141" s="70" t="str">
        <f t="shared" ca="1" si="50"/>
        <v/>
      </c>
      <c r="O141" s="120" t="str">
        <f t="shared" ca="1" si="51"/>
        <v/>
      </c>
    </row>
    <row r="142" spans="1:15" ht="16.5" customHeight="1" thickBot="1">
      <c r="A142" s="48">
        <v>7</v>
      </c>
      <c r="B142" s="131" t="str">
        <f>HYPERLINK("#'" &amp; TEXT(투자전략!$G$1+6, "[$-ko-KR]yyyy.mm.dd") &amp; "'!A94:O118", TEXT(투자전략!$G$1+6, "[$-ko-KR]yyyy.mm.dd"))</f>
        <v>2023.03.07</v>
      </c>
      <c r="C142" s="118" t="str">
        <f t="shared" ca="1" si="39"/>
        <v/>
      </c>
      <c r="D142" s="122" t="str">
        <f t="shared" ca="1" si="40"/>
        <v/>
      </c>
      <c r="E142" s="70" t="str">
        <f t="shared" ca="1" si="41"/>
        <v/>
      </c>
      <c r="F142" s="120" t="str">
        <f t="shared" ca="1" si="42"/>
        <v/>
      </c>
      <c r="G142" s="122" t="str">
        <f t="shared" ca="1" si="43"/>
        <v/>
      </c>
      <c r="H142" s="70" t="str">
        <f t="shared" ca="1" si="44"/>
        <v/>
      </c>
      <c r="I142" s="120" t="str">
        <f t="shared" ca="1" si="45"/>
        <v/>
      </c>
      <c r="J142" s="122" t="str">
        <f t="shared" ca="1" si="46"/>
        <v/>
      </c>
      <c r="K142" s="70" t="str">
        <f t="shared" ca="1" si="47"/>
        <v/>
      </c>
      <c r="L142" s="120" t="str">
        <f t="shared" ca="1" si="48"/>
        <v/>
      </c>
      <c r="M142" s="122" t="str">
        <f t="shared" ca="1" si="49"/>
        <v/>
      </c>
      <c r="N142" s="70" t="str">
        <f t="shared" ca="1" si="50"/>
        <v/>
      </c>
      <c r="O142" s="120" t="str">
        <f t="shared" ca="1" si="51"/>
        <v/>
      </c>
    </row>
    <row r="143" spans="1:15" ht="16.5" customHeight="1">
      <c r="A143" s="46">
        <v>8</v>
      </c>
      <c r="B143" s="129" t="str">
        <f>HYPERLINK("#'" &amp; TEXT(투자전략!$G$1+7, "[$-ko-KR]yyyy.mm.dd") &amp; "'!A94:O118", TEXT(투자전략!$G$1+7, "[$-ko-KR]yyyy.mm.dd"))</f>
        <v>2023.03.08</v>
      </c>
      <c r="C143" s="117" t="str">
        <f t="shared" ca="1" si="39"/>
        <v/>
      </c>
      <c r="D143" s="125" t="str">
        <f t="shared" ca="1" si="40"/>
        <v/>
      </c>
      <c r="E143" s="69" t="str">
        <f t="shared" ca="1" si="41"/>
        <v/>
      </c>
      <c r="F143" s="124" t="str">
        <f t="shared" ca="1" si="42"/>
        <v/>
      </c>
      <c r="G143" s="125" t="str">
        <f t="shared" ca="1" si="43"/>
        <v/>
      </c>
      <c r="H143" s="69" t="str">
        <f t="shared" ca="1" si="44"/>
        <v/>
      </c>
      <c r="I143" s="124" t="str">
        <f t="shared" ca="1" si="45"/>
        <v/>
      </c>
      <c r="J143" s="125" t="str">
        <f t="shared" ca="1" si="46"/>
        <v/>
      </c>
      <c r="K143" s="69" t="str">
        <f t="shared" ca="1" si="47"/>
        <v/>
      </c>
      <c r="L143" s="124" t="str">
        <f t="shared" ca="1" si="48"/>
        <v/>
      </c>
      <c r="M143" s="125" t="str">
        <f t="shared" ca="1" si="49"/>
        <v/>
      </c>
      <c r="N143" s="69" t="str">
        <f t="shared" ca="1" si="50"/>
        <v/>
      </c>
      <c r="O143" s="124" t="str">
        <f t="shared" ca="1" si="51"/>
        <v/>
      </c>
    </row>
    <row r="144" spans="1:15" ht="16.5" customHeight="1">
      <c r="A144" s="47">
        <v>9</v>
      </c>
      <c r="B144" s="130" t="str">
        <f>HYPERLINK("#'" &amp; TEXT(투자전략!$G$1+8, "[$-ko-KR]yyyy.mm.dd") &amp; "'!A94:O118", TEXT(투자전략!$G$1+8, "[$-ko-KR]yyyy.mm.dd"))</f>
        <v>2023.03.09</v>
      </c>
      <c r="C144" s="118" t="str">
        <f t="shared" ca="1" si="39"/>
        <v/>
      </c>
      <c r="D144" s="122" t="str">
        <f t="shared" ca="1" si="40"/>
        <v/>
      </c>
      <c r="E144" s="70" t="str">
        <f t="shared" ca="1" si="41"/>
        <v/>
      </c>
      <c r="F144" s="120" t="str">
        <f t="shared" ca="1" si="42"/>
        <v/>
      </c>
      <c r="G144" s="122" t="str">
        <f t="shared" ca="1" si="43"/>
        <v/>
      </c>
      <c r="H144" s="70" t="str">
        <f t="shared" ca="1" si="44"/>
        <v/>
      </c>
      <c r="I144" s="120" t="str">
        <f t="shared" ca="1" si="45"/>
        <v/>
      </c>
      <c r="J144" s="122" t="str">
        <f t="shared" ca="1" si="46"/>
        <v/>
      </c>
      <c r="K144" s="70" t="str">
        <f t="shared" ca="1" si="47"/>
        <v/>
      </c>
      <c r="L144" s="120" t="str">
        <f t="shared" ca="1" si="48"/>
        <v/>
      </c>
      <c r="M144" s="122" t="str">
        <f t="shared" ca="1" si="49"/>
        <v/>
      </c>
      <c r="N144" s="70" t="str">
        <f t="shared" ca="1" si="50"/>
        <v/>
      </c>
      <c r="O144" s="120" t="str">
        <f t="shared" ca="1" si="51"/>
        <v/>
      </c>
    </row>
    <row r="145" spans="1:15" ht="16.5" customHeight="1">
      <c r="A145" s="47">
        <v>10</v>
      </c>
      <c r="B145" s="130" t="str">
        <f>HYPERLINK("#'" &amp; TEXT(투자전략!$G$1+9, "[$-ko-KR]yyyy.mm.dd") &amp; "'!A94:O118", TEXT(투자전략!$G$1+9, "[$-ko-KR]yyyy.mm.dd"))</f>
        <v>2023.03.10</v>
      </c>
      <c r="C145" s="118" t="str">
        <f t="shared" ca="1" si="39"/>
        <v/>
      </c>
      <c r="D145" s="122" t="str">
        <f t="shared" ca="1" si="40"/>
        <v/>
      </c>
      <c r="E145" s="70" t="str">
        <f t="shared" ca="1" si="41"/>
        <v/>
      </c>
      <c r="F145" s="120" t="str">
        <f t="shared" ca="1" si="42"/>
        <v/>
      </c>
      <c r="G145" s="122" t="str">
        <f t="shared" ca="1" si="43"/>
        <v/>
      </c>
      <c r="H145" s="70" t="str">
        <f t="shared" ca="1" si="44"/>
        <v/>
      </c>
      <c r="I145" s="120" t="str">
        <f t="shared" ca="1" si="45"/>
        <v/>
      </c>
      <c r="J145" s="122" t="str">
        <f t="shared" ca="1" si="46"/>
        <v/>
      </c>
      <c r="K145" s="70" t="str">
        <f t="shared" ca="1" si="47"/>
        <v/>
      </c>
      <c r="L145" s="120" t="str">
        <f t="shared" ca="1" si="48"/>
        <v/>
      </c>
      <c r="M145" s="122" t="str">
        <f t="shared" ca="1" si="49"/>
        <v/>
      </c>
      <c r="N145" s="70" t="str">
        <f t="shared" ca="1" si="50"/>
        <v/>
      </c>
      <c r="O145" s="120" t="str">
        <f t="shared" ca="1" si="51"/>
        <v/>
      </c>
    </row>
    <row r="146" spans="1:15" ht="16.5" customHeight="1">
      <c r="A146" s="47">
        <v>11</v>
      </c>
      <c r="B146" s="130" t="str">
        <f>HYPERLINK("#'" &amp; TEXT(투자전략!$G$1+10, "[$-ko-KR]yyyy.mm.dd") &amp; "'!A94:O118", TEXT(투자전략!$G$1+10, "[$-ko-KR]yyyy.mm.dd"))</f>
        <v>2023.03.11</v>
      </c>
      <c r="C146" s="118" t="str">
        <f t="shared" ca="1" si="39"/>
        <v/>
      </c>
      <c r="D146" s="122" t="str">
        <f t="shared" ca="1" si="40"/>
        <v/>
      </c>
      <c r="E146" s="70" t="str">
        <f t="shared" ca="1" si="41"/>
        <v/>
      </c>
      <c r="F146" s="120" t="str">
        <f t="shared" ca="1" si="42"/>
        <v/>
      </c>
      <c r="G146" s="122" t="str">
        <f t="shared" ca="1" si="43"/>
        <v/>
      </c>
      <c r="H146" s="70" t="str">
        <f t="shared" ca="1" si="44"/>
        <v/>
      </c>
      <c r="I146" s="120" t="str">
        <f t="shared" ca="1" si="45"/>
        <v/>
      </c>
      <c r="J146" s="122" t="str">
        <f t="shared" ca="1" si="46"/>
        <v/>
      </c>
      <c r="K146" s="70" t="str">
        <f t="shared" ca="1" si="47"/>
        <v/>
      </c>
      <c r="L146" s="120" t="str">
        <f t="shared" ca="1" si="48"/>
        <v/>
      </c>
      <c r="M146" s="122" t="str">
        <f t="shared" ca="1" si="49"/>
        <v/>
      </c>
      <c r="N146" s="70" t="str">
        <f t="shared" ca="1" si="50"/>
        <v/>
      </c>
      <c r="O146" s="120" t="str">
        <f t="shared" ca="1" si="51"/>
        <v/>
      </c>
    </row>
    <row r="147" spans="1:15" ht="16.5" customHeight="1">
      <c r="A147" s="47">
        <v>12</v>
      </c>
      <c r="B147" s="130" t="str">
        <f>HYPERLINK("#'" &amp; TEXT(투자전략!$G$1+11, "[$-ko-KR]yyyy.mm.dd") &amp; "'!A94:O118", TEXT(투자전략!$G$1+11, "[$-ko-KR]yyyy.mm.dd"))</f>
        <v>2023.03.12</v>
      </c>
      <c r="C147" s="118" t="str">
        <f t="shared" ca="1" si="39"/>
        <v/>
      </c>
      <c r="D147" s="122" t="str">
        <f t="shared" ca="1" si="40"/>
        <v/>
      </c>
      <c r="E147" s="70" t="str">
        <f t="shared" ca="1" si="41"/>
        <v/>
      </c>
      <c r="F147" s="120" t="str">
        <f t="shared" ca="1" si="42"/>
        <v/>
      </c>
      <c r="G147" s="122" t="str">
        <f t="shared" ca="1" si="43"/>
        <v/>
      </c>
      <c r="H147" s="70" t="str">
        <f t="shared" ca="1" si="44"/>
        <v/>
      </c>
      <c r="I147" s="120" t="str">
        <f t="shared" ca="1" si="45"/>
        <v/>
      </c>
      <c r="J147" s="122" t="str">
        <f t="shared" ca="1" si="46"/>
        <v/>
      </c>
      <c r="K147" s="70" t="str">
        <f t="shared" ca="1" si="47"/>
        <v/>
      </c>
      <c r="L147" s="120" t="str">
        <f t="shared" ca="1" si="48"/>
        <v/>
      </c>
      <c r="M147" s="122" t="str">
        <f t="shared" ca="1" si="49"/>
        <v/>
      </c>
      <c r="N147" s="70" t="str">
        <f t="shared" ca="1" si="50"/>
        <v/>
      </c>
      <c r="O147" s="120" t="str">
        <f t="shared" ca="1" si="51"/>
        <v/>
      </c>
    </row>
    <row r="148" spans="1:15" ht="16.5" customHeight="1">
      <c r="A148" s="47">
        <v>13</v>
      </c>
      <c r="B148" s="130" t="str">
        <f>HYPERLINK("#'" &amp; TEXT(투자전략!$G$1+12, "[$-ko-KR]yyyy.mm.dd") &amp; "'!A94:O118", TEXT(투자전략!$G$1+12, "[$-ko-KR]yyyy.mm.dd"))</f>
        <v>2023.03.13</v>
      </c>
      <c r="C148" s="118" t="str">
        <f t="shared" ca="1" si="39"/>
        <v/>
      </c>
      <c r="D148" s="122" t="str">
        <f t="shared" ca="1" si="40"/>
        <v/>
      </c>
      <c r="E148" s="70" t="str">
        <f t="shared" ca="1" si="41"/>
        <v/>
      </c>
      <c r="F148" s="120" t="str">
        <f t="shared" ca="1" si="42"/>
        <v/>
      </c>
      <c r="G148" s="122" t="str">
        <f t="shared" ca="1" si="43"/>
        <v/>
      </c>
      <c r="H148" s="70" t="str">
        <f t="shared" ca="1" si="44"/>
        <v/>
      </c>
      <c r="I148" s="120" t="str">
        <f t="shared" ca="1" si="45"/>
        <v/>
      </c>
      <c r="J148" s="122" t="str">
        <f t="shared" ca="1" si="46"/>
        <v/>
      </c>
      <c r="K148" s="70" t="str">
        <f t="shared" ca="1" si="47"/>
        <v/>
      </c>
      <c r="L148" s="120" t="str">
        <f t="shared" ca="1" si="48"/>
        <v/>
      </c>
      <c r="M148" s="122" t="str">
        <f t="shared" ca="1" si="49"/>
        <v/>
      </c>
      <c r="N148" s="70" t="str">
        <f t="shared" ca="1" si="50"/>
        <v/>
      </c>
      <c r="O148" s="120" t="str">
        <f t="shared" ca="1" si="51"/>
        <v/>
      </c>
    </row>
    <row r="149" spans="1:15" ht="16.5" customHeight="1" thickBot="1">
      <c r="A149" s="48">
        <v>14</v>
      </c>
      <c r="B149" s="131" t="str">
        <f>HYPERLINK("#'" &amp; TEXT(투자전략!$G$1+13, "[$-ko-KR]yyyy.mm.dd") &amp; "'!A94:O118", TEXT(투자전략!$G$1+13, "[$-ko-KR]yyyy.mm.dd"))</f>
        <v>2023.03.14</v>
      </c>
      <c r="C149" s="119" t="str">
        <f t="shared" ca="1" si="39"/>
        <v/>
      </c>
      <c r="D149" s="123" t="str">
        <f t="shared" ca="1" si="40"/>
        <v/>
      </c>
      <c r="E149" s="72" t="str">
        <f t="shared" ca="1" si="41"/>
        <v/>
      </c>
      <c r="F149" s="121" t="str">
        <f t="shared" ca="1" si="42"/>
        <v/>
      </c>
      <c r="G149" s="123" t="str">
        <f t="shared" ca="1" si="43"/>
        <v/>
      </c>
      <c r="H149" s="72" t="str">
        <f t="shared" ca="1" si="44"/>
        <v/>
      </c>
      <c r="I149" s="121" t="str">
        <f t="shared" ca="1" si="45"/>
        <v/>
      </c>
      <c r="J149" s="123" t="str">
        <f t="shared" ca="1" si="46"/>
        <v/>
      </c>
      <c r="K149" s="72" t="str">
        <f t="shared" ca="1" si="47"/>
        <v/>
      </c>
      <c r="L149" s="121" t="str">
        <f t="shared" ca="1" si="48"/>
        <v/>
      </c>
      <c r="M149" s="123" t="str">
        <f t="shared" ca="1" si="49"/>
        <v/>
      </c>
      <c r="N149" s="72" t="str">
        <f t="shared" ca="1" si="50"/>
        <v/>
      </c>
      <c r="O149" s="121" t="str">
        <f t="shared" ca="1" si="51"/>
        <v/>
      </c>
    </row>
    <row r="150" spans="1:15" ht="16.5" customHeight="1">
      <c r="A150" s="46">
        <v>15</v>
      </c>
      <c r="B150" s="129" t="str">
        <f>HYPERLINK("#'" &amp; TEXT(투자전략!$G$1+14, "[$-ko-KR]yyyy.mm.dd") &amp; "'!A94:O118", TEXT(투자전략!$G$1+14, "[$-ko-KR]yyyy.mm.dd"))</f>
        <v>2023.03.15</v>
      </c>
      <c r="C150" s="118" t="str">
        <f t="shared" ca="1" si="39"/>
        <v/>
      </c>
      <c r="D150" s="122" t="str">
        <f t="shared" ca="1" si="40"/>
        <v/>
      </c>
      <c r="E150" s="70" t="str">
        <f t="shared" ca="1" si="41"/>
        <v/>
      </c>
      <c r="F150" s="120" t="str">
        <f t="shared" ca="1" si="42"/>
        <v/>
      </c>
      <c r="G150" s="122" t="str">
        <f t="shared" ca="1" si="43"/>
        <v/>
      </c>
      <c r="H150" s="70" t="str">
        <f t="shared" ca="1" si="44"/>
        <v/>
      </c>
      <c r="I150" s="120" t="str">
        <f t="shared" ca="1" si="45"/>
        <v/>
      </c>
      <c r="J150" s="122" t="str">
        <f t="shared" ca="1" si="46"/>
        <v/>
      </c>
      <c r="K150" s="70" t="str">
        <f t="shared" ca="1" si="47"/>
        <v/>
      </c>
      <c r="L150" s="120" t="str">
        <f t="shared" ca="1" si="48"/>
        <v/>
      </c>
      <c r="M150" s="122" t="str">
        <f t="shared" ca="1" si="49"/>
        <v/>
      </c>
      <c r="N150" s="70" t="str">
        <f t="shared" ca="1" si="50"/>
        <v/>
      </c>
      <c r="O150" s="120" t="str">
        <f t="shared" ca="1" si="51"/>
        <v/>
      </c>
    </row>
    <row r="151" spans="1:15" ht="16.5" customHeight="1">
      <c r="A151" s="47">
        <v>16</v>
      </c>
      <c r="B151" s="130" t="str">
        <f>HYPERLINK("#'" &amp; TEXT(투자전략!$G$1+15, "[$-ko-KR]yyyy.mm.dd") &amp; "'!A94:O118", TEXT(투자전략!$G$1+15, "[$-ko-KR]yyyy.mm.dd"))</f>
        <v>2023.03.16</v>
      </c>
      <c r="C151" s="118" t="str">
        <f t="shared" ca="1" si="39"/>
        <v/>
      </c>
      <c r="D151" s="122" t="str">
        <f t="shared" ca="1" si="40"/>
        <v/>
      </c>
      <c r="E151" s="70" t="str">
        <f t="shared" ca="1" si="41"/>
        <v/>
      </c>
      <c r="F151" s="120" t="str">
        <f t="shared" ca="1" si="42"/>
        <v/>
      </c>
      <c r="G151" s="122" t="str">
        <f t="shared" ca="1" si="43"/>
        <v/>
      </c>
      <c r="H151" s="70" t="str">
        <f t="shared" ca="1" si="44"/>
        <v/>
      </c>
      <c r="I151" s="120" t="str">
        <f t="shared" ca="1" si="45"/>
        <v/>
      </c>
      <c r="J151" s="122" t="str">
        <f t="shared" ca="1" si="46"/>
        <v/>
      </c>
      <c r="K151" s="70" t="str">
        <f t="shared" ca="1" si="47"/>
        <v/>
      </c>
      <c r="L151" s="120" t="str">
        <f t="shared" ca="1" si="48"/>
        <v/>
      </c>
      <c r="M151" s="122" t="str">
        <f t="shared" ca="1" si="49"/>
        <v/>
      </c>
      <c r="N151" s="70" t="str">
        <f t="shared" ca="1" si="50"/>
        <v/>
      </c>
      <c r="O151" s="120" t="str">
        <f t="shared" ca="1" si="51"/>
        <v/>
      </c>
    </row>
    <row r="152" spans="1:15" ht="16.5" customHeight="1">
      <c r="A152" s="47">
        <v>17</v>
      </c>
      <c r="B152" s="130" t="str">
        <f>HYPERLINK("#'" &amp; TEXT(투자전략!$G$1+16, "[$-ko-KR]yyyy.mm.dd") &amp; "'!A94:O118", TEXT(투자전략!$G$1+16, "[$-ko-KR]yyyy.mm.dd"))</f>
        <v>2023.03.17</v>
      </c>
      <c r="C152" s="118" t="str">
        <f t="shared" ca="1" si="39"/>
        <v/>
      </c>
      <c r="D152" s="122" t="str">
        <f t="shared" ca="1" si="40"/>
        <v/>
      </c>
      <c r="E152" s="70" t="str">
        <f t="shared" ca="1" si="41"/>
        <v/>
      </c>
      <c r="F152" s="120" t="str">
        <f t="shared" ca="1" si="42"/>
        <v/>
      </c>
      <c r="G152" s="122" t="str">
        <f t="shared" ca="1" si="43"/>
        <v/>
      </c>
      <c r="H152" s="70" t="str">
        <f t="shared" ca="1" si="44"/>
        <v/>
      </c>
      <c r="I152" s="120" t="str">
        <f t="shared" ca="1" si="45"/>
        <v/>
      </c>
      <c r="J152" s="122" t="str">
        <f t="shared" ca="1" si="46"/>
        <v/>
      </c>
      <c r="K152" s="70" t="str">
        <f t="shared" ca="1" si="47"/>
        <v/>
      </c>
      <c r="L152" s="120" t="str">
        <f t="shared" ca="1" si="48"/>
        <v/>
      </c>
      <c r="M152" s="122" t="str">
        <f t="shared" ca="1" si="49"/>
        <v/>
      </c>
      <c r="N152" s="70" t="str">
        <f t="shared" ca="1" si="50"/>
        <v/>
      </c>
      <c r="O152" s="120" t="str">
        <f t="shared" ca="1" si="51"/>
        <v/>
      </c>
    </row>
    <row r="153" spans="1:15" ht="16.5" customHeight="1">
      <c r="A153" s="47">
        <v>18</v>
      </c>
      <c r="B153" s="130" t="str">
        <f>HYPERLINK("#'" &amp; TEXT(투자전략!$G$1+17, "[$-ko-KR]yyyy.mm.dd") &amp; "'!A94:O118", TEXT(투자전략!$G$1+17, "[$-ko-KR]yyyy.mm.dd"))</f>
        <v>2023.03.18</v>
      </c>
      <c r="C153" s="118" t="str">
        <f t="shared" ca="1" si="39"/>
        <v/>
      </c>
      <c r="D153" s="122" t="str">
        <f t="shared" ca="1" si="40"/>
        <v/>
      </c>
      <c r="E153" s="70" t="str">
        <f t="shared" ca="1" si="41"/>
        <v/>
      </c>
      <c r="F153" s="120" t="str">
        <f t="shared" ca="1" si="42"/>
        <v/>
      </c>
      <c r="G153" s="122" t="str">
        <f t="shared" ca="1" si="43"/>
        <v/>
      </c>
      <c r="H153" s="70" t="str">
        <f t="shared" ca="1" si="44"/>
        <v/>
      </c>
      <c r="I153" s="120" t="str">
        <f t="shared" ca="1" si="45"/>
        <v/>
      </c>
      <c r="J153" s="122" t="str">
        <f t="shared" ca="1" si="46"/>
        <v/>
      </c>
      <c r="K153" s="70" t="str">
        <f t="shared" ca="1" si="47"/>
        <v/>
      </c>
      <c r="L153" s="120" t="str">
        <f t="shared" ca="1" si="48"/>
        <v/>
      </c>
      <c r="M153" s="122" t="str">
        <f t="shared" ca="1" si="49"/>
        <v/>
      </c>
      <c r="N153" s="70" t="str">
        <f t="shared" ca="1" si="50"/>
        <v/>
      </c>
      <c r="O153" s="120" t="str">
        <f t="shared" ca="1" si="51"/>
        <v/>
      </c>
    </row>
    <row r="154" spans="1:15" ht="16.5" customHeight="1">
      <c r="A154" s="47">
        <v>19</v>
      </c>
      <c r="B154" s="130" t="str">
        <f>HYPERLINK("#'" &amp; TEXT(투자전략!$G$1+18, "[$-ko-KR]yyyy.mm.dd") &amp; "'!A94:O118", TEXT(투자전략!$G$1+18, "[$-ko-KR]yyyy.mm.dd"))</f>
        <v>2023.03.19</v>
      </c>
      <c r="C154" s="118" t="str">
        <f t="shared" ca="1" si="39"/>
        <v/>
      </c>
      <c r="D154" s="122" t="str">
        <f t="shared" ca="1" si="40"/>
        <v/>
      </c>
      <c r="E154" s="70" t="str">
        <f t="shared" ca="1" si="41"/>
        <v/>
      </c>
      <c r="F154" s="120" t="str">
        <f t="shared" ca="1" si="42"/>
        <v/>
      </c>
      <c r="G154" s="122" t="str">
        <f t="shared" ca="1" si="43"/>
        <v/>
      </c>
      <c r="H154" s="70" t="str">
        <f t="shared" ca="1" si="44"/>
        <v/>
      </c>
      <c r="I154" s="120" t="str">
        <f t="shared" ca="1" si="45"/>
        <v/>
      </c>
      <c r="J154" s="122" t="str">
        <f t="shared" ca="1" si="46"/>
        <v/>
      </c>
      <c r="K154" s="70" t="str">
        <f t="shared" ca="1" si="47"/>
        <v/>
      </c>
      <c r="L154" s="120" t="str">
        <f t="shared" ca="1" si="48"/>
        <v/>
      </c>
      <c r="M154" s="122" t="str">
        <f t="shared" ca="1" si="49"/>
        <v/>
      </c>
      <c r="N154" s="70" t="str">
        <f t="shared" ca="1" si="50"/>
        <v/>
      </c>
      <c r="O154" s="120" t="str">
        <f t="shared" ca="1" si="51"/>
        <v/>
      </c>
    </row>
    <row r="155" spans="1:15" ht="16.5" customHeight="1">
      <c r="A155" s="47">
        <v>20</v>
      </c>
      <c r="B155" s="130" t="str">
        <f>HYPERLINK("#'" &amp; TEXT(투자전략!$G$1+19, "[$-ko-KR]yyyy.mm.dd") &amp; "'!A94:O118", TEXT(투자전략!$G$1+19, "[$-ko-KR]yyyy.mm.dd"))</f>
        <v>2023.03.20</v>
      </c>
      <c r="C155" s="118" t="str">
        <f t="shared" ca="1" si="39"/>
        <v/>
      </c>
      <c r="D155" s="122" t="str">
        <f t="shared" ca="1" si="40"/>
        <v/>
      </c>
      <c r="E155" s="70" t="str">
        <f t="shared" ca="1" si="41"/>
        <v/>
      </c>
      <c r="F155" s="120" t="str">
        <f t="shared" ca="1" si="42"/>
        <v/>
      </c>
      <c r="G155" s="122" t="str">
        <f t="shared" ca="1" si="43"/>
        <v/>
      </c>
      <c r="H155" s="70" t="str">
        <f t="shared" ca="1" si="44"/>
        <v/>
      </c>
      <c r="I155" s="120" t="str">
        <f t="shared" ca="1" si="45"/>
        <v/>
      </c>
      <c r="J155" s="122" t="str">
        <f t="shared" ca="1" si="46"/>
        <v/>
      </c>
      <c r="K155" s="70" t="str">
        <f t="shared" ca="1" si="47"/>
        <v/>
      </c>
      <c r="L155" s="120" t="str">
        <f t="shared" ca="1" si="48"/>
        <v/>
      </c>
      <c r="M155" s="122" t="str">
        <f t="shared" ca="1" si="49"/>
        <v/>
      </c>
      <c r="N155" s="70" t="str">
        <f t="shared" ca="1" si="50"/>
        <v/>
      </c>
      <c r="O155" s="120" t="str">
        <f t="shared" ca="1" si="51"/>
        <v/>
      </c>
    </row>
    <row r="156" spans="1:15" ht="16.5" customHeight="1" thickBot="1">
      <c r="A156" s="48">
        <v>21</v>
      </c>
      <c r="B156" s="131" t="str">
        <f>HYPERLINK("#'" &amp; TEXT(투자전략!$G$1+20, "[$-ko-KR]yyyy.mm.dd") &amp; "'!A94:O118", TEXT(투자전략!$G$1+20, "[$-ko-KR]yyyy.mm.dd"))</f>
        <v>2023.03.21</v>
      </c>
      <c r="C156" s="118" t="str">
        <f t="shared" ca="1" si="39"/>
        <v/>
      </c>
      <c r="D156" s="122" t="str">
        <f t="shared" ca="1" si="40"/>
        <v/>
      </c>
      <c r="E156" s="70" t="str">
        <f t="shared" ca="1" si="41"/>
        <v/>
      </c>
      <c r="F156" s="120" t="str">
        <f t="shared" ca="1" si="42"/>
        <v/>
      </c>
      <c r="G156" s="122" t="str">
        <f t="shared" ca="1" si="43"/>
        <v/>
      </c>
      <c r="H156" s="70" t="str">
        <f t="shared" ca="1" si="44"/>
        <v/>
      </c>
      <c r="I156" s="120" t="str">
        <f t="shared" ca="1" si="45"/>
        <v/>
      </c>
      <c r="J156" s="122" t="str">
        <f t="shared" ca="1" si="46"/>
        <v/>
      </c>
      <c r="K156" s="70" t="str">
        <f t="shared" ca="1" si="47"/>
        <v/>
      </c>
      <c r="L156" s="120" t="str">
        <f t="shared" ca="1" si="48"/>
        <v/>
      </c>
      <c r="M156" s="122" t="str">
        <f t="shared" ca="1" si="49"/>
        <v/>
      </c>
      <c r="N156" s="70" t="str">
        <f t="shared" ca="1" si="50"/>
        <v/>
      </c>
      <c r="O156" s="120" t="str">
        <f t="shared" ca="1" si="51"/>
        <v/>
      </c>
    </row>
    <row r="157" spans="1:15" ht="16.5" customHeight="1">
      <c r="A157" s="46">
        <v>22</v>
      </c>
      <c r="B157" s="129" t="str">
        <f>HYPERLINK("#'" &amp; TEXT(투자전략!$G$1+21, "[$-ko-KR]yyyy.mm.dd") &amp; "'!A94:O118", TEXT(투자전략!$G$1+21, "[$-ko-KR]yyyy.mm.dd"))</f>
        <v>2023.03.22</v>
      </c>
      <c r="C157" s="117" t="str">
        <f t="shared" ca="1" si="39"/>
        <v/>
      </c>
      <c r="D157" s="125" t="str">
        <f t="shared" ca="1" si="40"/>
        <v/>
      </c>
      <c r="E157" s="69" t="str">
        <f t="shared" ca="1" si="41"/>
        <v/>
      </c>
      <c r="F157" s="124" t="str">
        <f t="shared" ca="1" si="42"/>
        <v/>
      </c>
      <c r="G157" s="125" t="str">
        <f t="shared" ca="1" si="43"/>
        <v/>
      </c>
      <c r="H157" s="69" t="str">
        <f t="shared" ca="1" si="44"/>
        <v/>
      </c>
      <c r="I157" s="124" t="str">
        <f t="shared" ca="1" si="45"/>
        <v/>
      </c>
      <c r="J157" s="125" t="str">
        <f t="shared" ca="1" si="46"/>
        <v/>
      </c>
      <c r="K157" s="69" t="str">
        <f t="shared" ca="1" si="47"/>
        <v/>
      </c>
      <c r="L157" s="124" t="str">
        <f t="shared" ca="1" si="48"/>
        <v/>
      </c>
      <c r="M157" s="125" t="str">
        <f t="shared" ca="1" si="49"/>
        <v/>
      </c>
      <c r="N157" s="69" t="str">
        <f t="shared" ca="1" si="50"/>
        <v/>
      </c>
      <c r="O157" s="124" t="str">
        <f t="shared" ca="1" si="51"/>
        <v/>
      </c>
    </row>
    <row r="158" spans="1:15" ht="16.5" customHeight="1">
      <c r="A158" s="47">
        <v>23</v>
      </c>
      <c r="B158" s="130" t="str">
        <f>HYPERLINK("#'" &amp; TEXT(투자전략!$G$1+22, "[$-ko-KR]yyyy.mm.dd") &amp; "'!A94:O118", TEXT(투자전략!$G$1+22, "[$-ko-KR]yyyy.mm.dd"))</f>
        <v>2023.03.23</v>
      </c>
      <c r="C158" s="118" t="str">
        <f t="shared" ca="1" si="39"/>
        <v/>
      </c>
      <c r="D158" s="122" t="str">
        <f t="shared" ca="1" si="40"/>
        <v/>
      </c>
      <c r="E158" s="70" t="str">
        <f t="shared" ca="1" si="41"/>
        <v/>
      </c>
      <c r="F158" s="120" t="str">
        <f t="shared" ca="1" si="42"/>
        <v/>
      </c>
      <c r="G158" s="122" t="str">
        <f t="shared" ca="1" si="43"/>
        <v/>
      </c>
      <c r="H158" s="70" t="str">
        <f t="shared" ca="1" si="44"/>
        <v/>
      </c>
      <c r="I158" s="120" t="str">
        <f t="shared" ca="1" si="45"/>
        <v/>
      </c>
      <c r="J158" s="122" t="str">
        <f t="shared" ca="1" si="46"/>
        <v/>
      </c>
      <c r="K158" s="70" t="str">
        <f t="shared" ca="1" si="47"/>
        <v/>
      </c>
      <c r="L158" s="120" t="str">
        <f t="shared" ca="1" si="48"/>
        <v/>
      </c>
      <c r="M158" s="122" t="str">
        <f t="shared" ca="1" si="49"/>
        <v/>
      </c>
      <c r="N158" s="70" t="str">
        <f t="shared" ca="1" si="50"/>
        <v/>
      </c>
      <c r="O158" s="120" t="str">
        <f t="shared" ca="1" si="51"/>
        <v/>
      </c>
    </row>
    <row r="159" spans="1:15" ht="16.5" customHeight="1">
      <c r="A159" s="47">
        <v>24</v>
      </c>
      <c r="B159" s="130" t="str">
        <f>HYPERLINK("#'" &amp; TEXT(투자전략!$G$1+23, "[$-ko-KR]yyyy.mm.dd") &amp; "'!A94:O118", TEXT(투자전략!$G$1+23, "[$-ko-KR]yyyy.mm.dd"))</f>
        <v>2023.03.24</v>
      </c>
      <c r="C159" s="118" t="str">
        <f t="shared" ca="1" si="39"/>
        <v/>
      </c>
      <c r="D159" s="122" t="str">
        <f t="shared" ca="1" si="40"/>
        <v/>
      </c>
      <c r="E159" s="70" t="str">
        <f t="shared" ca="1" si="41"/>
        <v/>
      </c>
      <c r="F159" s="120" t="str">
        <f t="shared" ca="1" si="42"/>
        <v/>
      </c>
      <c r="G159" s="122" t="str">
        <f t="shared" ca="1" si="43"/>
        <v/>
      </c>
      <c r="H159" s="70" t="str">
        <f t="shared" ca="1" si="44"/>
        <v/>
      </c>
      <c r="I159" s="120" t="str">
        <f t="shared" ca="1" si="45"/>
        <v/>
      </c>
      <c r="J159" s="122" t="str">
        <f t="shared" ca="1" si="46"/>
        <v/>
      </c>
      <c r="K159" s="70" t="str">
        <f t="shared" ca="1" si="47"/>
        <v/>
      </c>
      <c r="L159" s="120" t="str">
        <f t="shared" ca="1" si="48"/>
        <v/>
      </c>
      <c r="M159" s="122" t="str">
        <f t="shared" ca="1" si="49"/>
        <v/>
      </c>
      <c r="N159" s="70" t="str">
        <f t="shared" ca="1" si="50"/>
        <v/>
      </c>
      <c r="O159" s="120" t="str">
        <f t="shared" ca="1" si="51"/>
        <v/>
      </c>
    </row>
    <row r="160" spans="1:15" ht="16.5" customHeight="1">
      <c r="A160" s="47">
        <v>25</v>
      </c>
      <c r="B160" s="130" t="str">
        <f>HYPERLINK("#'" &amp; TEXT(투자전략!$G$1+24, "[$-ko-KR]yyyy.mm.dd") &amp; "'!A94:O118", TEXT(투자전략!$G$1+24, "[$-ko-KR]yyyy.mm.dd"))</f>
        <v>2023.03.25</v>
      </c>
      <c r="C160" s="118" t="str">
        <f t="shared" ca="1" si="39"/>
        <v/>
      </c>
      <c r="D160" s="122" t="str">
        <f t="shared" ca="1" si="40"/>
        <v/>
      </c>
      <c r="E160" s="70" t="str">
        <f t="shared" ca="1" si="41"/>
        <v/>
      </c>
      <c r="F160" s="120" t="str">
        <f t="shared" ca="1" si="42"/>
        <v/>
      </c>
      <c r="G160" s="122" t="str">
        <f t="shared" ca="1" si="43"/>
        <v/>
      </c>
      <c r="H160" s="70" t="str">
        <f t="shared" ca="1" si="44"/>
        <v/>
      </c>
      <c r="I160" s="120" t="str">
        <f t="shared" ca="1" si="45"/>
        <v/>
      </c>
      <c r="J160" s="122" t="str">
        <f t="shared" ca="1" si="46"/>
        <v/>
      </c>
      <c r="K160" s="70" t="str">
        <f t="shared" ca="1" si="47"/>
        <v/>
      </c>
      <c r="L160" s="120" t="str">
        <f t="shared" ca="1" si="48"/>
        <v/>
      </c>
      <c r="M160" s="122" t="str">
        <f t="shared" ca="1" si="49"/>
        <v/>
      </c>
      <c r="N160" s="70" t="str">
        <f t="shared" ca="1" si="50"/>
        <v/>
      </c>
      <c r="O160" s="120" t="str">
        <f t="shared" ca="1" si="51"/>
        <v/>
      </c>
    </row>
    <row r="161" spans="1:15" ht="16.5" customHeight="1">
      <c r="A161" s="47">
        <v>26</v>
      </c>
      <c r="B161" s="130" t="str">
        <f>HYPERLINK("#'" &amp; TEXT(투자전략!$G$1+25, "[$-ko-KR]yyyy.mm.dd") &amp; "'!A94:O118", TEXT(투자전략!$G$1+25, "[$-ko-KR]yyyy.mm.dd"))</f>
        <v>2023.03.26</v>
      </c>
      <c r="C161" s="118" t="str">
        <f t="shared" ca="1" si="39"/>
        <v/>
      </c>
      <c r="D161" s="122" t="str">
        <f t="shared" ca="1" si="40"/>
        <v/>
      </c>
      <c r="E161" s="70" t="str">
        <f t="shared" ca="1" si="41"/>
        <v/>
      </c>
      <c r="F161" s="120" t="str">
        <f t="shared" ca="1" si="42"/>
        <v/>
      </c>
      <c r="G161" s="122" t="str">
        <f t="shared" ca="1" si="43"/>
        <v/>
      </c>
      <c r="H161" s="70" t="str">
        <f t="shared" ca="1" si="44"/>
        <v/>
      </c>
      <c r="I161" s="120" t="str">
        <f t="shared" ca="1" si="45"/>
        <v/>
      </c>
      <c r="J161" s="122" t="str">
        <f t="shared" ca="1" si="46"/>
        <v/>
      </c>
      <c r="K161" s="70" t="str">
        <f t="shared" ca="1" si="47"/>
        <v/>
      </c>
      <c r="L161" s="120" t="str">
        <f t="shared" ca="1" si="48"/>
        <v/>
      </c>
      <c r="M161" s="122" t="str">
        <f t="shared" ca="1" si="49"/>
        <v/>
      </c>
      <c r="N161" s="70" t="str">
        <f t="shared" ca="1" si="50"/>
        <v/>
      </c>
      <c r="O161" s="120" t="str">
        <f t="shared" ca="1" si="51"/>
        <v/>
      </c>
    </row>
    <row r="162" spans="1:15" ht="16.5" customHeight="1">
      <c r="A162" s="47">
        <v>27</v>
      </c>
      <c r="B162" s="130" t="str">
        <f>HYPERLINK("#'" &amp; TEXT(투자전략!$G$1+26, "[$-ko-KR]yyyy.mm.dd") &amp; "'!A94:O118", TEXT(투자전략!$G$1+26, "[$-ko-KR]yyyy.mm.dd"))</f>
        <v>2023.03.27</v>
      </c>
      <c r="C162" s="118" t="str">
        <f t="shared" ca="1" si="39"/>
        <v/>
      </c>
      <c r="D162" s="122" t="str">
        <f t="shared" ca="1" si="40"/>
        <v/>
      </c>
      <c r="E162" s="70" t="str">
        <f t="shared" ca="1" si="41"/>
        <v/>
      </c>
      <c r="F162" s="120" t="str">
        <f t="shared" ca="1" si="42"/>
        <v/>
      </c>
      <c r="G162" s="122" t="str">
        <f t="shared" ca="1" si="43"/>
        <v/>
      </c>
      <c r="H162" s="70" t="str">
        <f t="shared" ca="1" si="44"/>
        <v/>
      </c>
      <c r="I162" s="120" t="str">
        <f t="shared" ca="1" si="45"/>
        <v/>
      </c>
      <c r="J162" s="122" t="str">
        <f t="shared" ca="1" si="46"/>
        <v/>
      </c>
      <c r="K162" s="70" t="str">
        <f t="shared" ca="1" si="47"/>
        <v/>
      </c>
      <c r="L162" s="120" t="str">
        <f t="shared" ca="1" si="48"/>
        <v/>
      </c>
      <c r="M162" s="122" t="str">
        <f t="shared" ca="1" si="49"/>
        <v/>
      </c>
      <c r="N162" s="70" t="str">
        <f t="shared" ca="1" si="50"/>
        <v/>
      </c>
      <c r="O162" s="120" t="str">
        <f t="shared" ca="1" si="51"/>
        <v/>
      </c>
    </row>
    <row r="163" spans="1:15" ht="16.5" customHeight="1" thickBot="1">
      <c r="A163" s="48">
        <v>28</v>
      </c>
      <c r="B163" s="131" t="str">
        <f>HYPERLINK("#'" &amp; TEXT(투자전략!$G$1+27, "[$-ko-KR]yyyy.mm.dd") &amp; "'!A94:O118", TEXT(투자전략!$G$1+27, "[$-ko-KR]yyyy.mm.dd"))</f>
        <v>2023.03.28</v>
      </c>
      <c r="C163" s="119" t="str">
        <f t="shared" ca="1" si="39"/>
        <v/>
      </c>
      <c r="D163" s="123" t="str">
        <f t="shared" ca="1" si="40"/>
        <v/>
      </c>
      <c r="E163" s="72" t="str">
        <f t="shared" ca="1" si="41"/>
        <v/>
      </c>
      <c r="F163" s="121" t="str">
        <f t="shared" ca="1" si="42"/>
        <v/>
      </c>
      <c r="G163" s="123" t="str">
        <f t="shared" ca="1" si="43"/>
        <v/>
      </c>
      <c r="H163" s="72" t="str">
        <f t="shared" ca="1" si="44"/>
        <v/>
      </c>
      <c r="I163" s="121" t="str">
        <f t="shared" ca="1" si="45"/>
        <v/>
      </c>
      <c r="J163" s="123" t="str">
        <f t="shared" ca="1" si="46"/>
        <v/>
      </c>
      <c r="K163" s="72" t="str">
        <f t="shared" ca="1" si="47"/>
        <v/>
      </c>
      <c r="L163" s="121" t="str">
        <f t="shared" ca="1" si="48"/>
        <v/>
      </c>
      <c r="M163" s="123" t="str">
        <f t="shared" ca="1" si="49"/>
        <v/>
      </c>
      <c r="N163" s="72" t="str">
        <f t="shared" ca="1" si="50"/>
        <v/>
      </c>
      <c r="O163" s="121" t="str">
        <f t="shared" ca="1" si="51"/>
        <v/>
      </c>
    </row>
    <row r="164" spans="1:15" ht="16.5" customHeight="1">
      <c r="A164" s="105">
        <v>29</v>
      </c>
      <c r="B164" s="129" t="str">
        <f>HYPERLINK("#'" &amp; TEXT(투자전략!$G$1+28, "[$-ko-KR]yyyy.mm.dd") &amp; "'!A94:O118", TEXT(투자전략!$G$1+28, "[$-ko-KR]yyyy.mm.dd"))</f>
        <v>2023.03.29</v>
      </c>
      <c r="C164" s="118" t="str">
        <f t="shared" ca="1" si="39"/>
        <v/>
      </c>
      <c r="D164" s="122" t="str">
        <f t="shared" ca="1" si="40"/>
        <v/>
      </c>
      <c r="E164" s="70" t="str">
        <f t="shared" ca="1" si="41"/>
        <v/>
      </c>
      <c r="F164" s="120" t="str">
        <f t="shared" ca="1" si="42"/>
        <v/>
      </c>
      <c r="G164" s="122" t="str">
        <f t="shared" ca="1" si="43"/>
        <v/>
      </c>
      <c r="H164" s="70" t="str">
        <f t="shared" ca="1" si="44"/>
        <v/>
      </c>
      <c r="I164" s="120" t="str">
        <f t="shared" ca="1" si="45"/>
        <v/>
      </c>
      <c r="J164" s="122" t="str">
        <f t="shared" ca="1" si="46"/>
        <v/>
      </c>
      <c r="K164" s="70" t="str">
        <f t="shared" ca="1" si="47"/>
        <v/>
      </c>
      <c r="L164" s="120" t="str">
        <f t="shared" ca="1" si="48"/>
        <v/>
      </c>
      <c r="M164" s="122" t="str">
        <f t="shared" ca="1" si="49"/>
        <v/>
      </c>
      <c r="N164" s="70" t="str">
        <f t="shared" ca="1" si="50"/>
        <v/>
      </c>
      <c r="O164" s="120" t="str">
        <f t="shared" ca="1" si="51"/>
        <v/>
      </c>
    </row>
    <row r="165" spans="1:15" ht="16.5" customHeight="1">
      <c r="A165" s="105">
        <v>30</v>
      </c>
      <c r="B165" s="130" t="str">
        <f>HYPERLINK("#'" &amp; TEXT(투자전략!$G$1+29, "[$-ko-KR]yyyy.mm.dd") &amp; "'!A94:O118", TEXT(투자전략!$G$1+29, "[$-ko-KR]yyyy.mm.dd"))</f>
        <v>2023.03.30</v>
      </c>
      <c r="C165" s="118" t="str">
        <f t="shared" ca="1" si="39"/>
        <v/>
      </c>
      <c r="D165" s="122" t="str">
        <f t="shared" ca="1" si="40"/>
        <v/>
      </c>
      <c r="E165" s="70" t="str">
        <f t="shared" ca="1" si="41"/>
        <v/>
      </c>
      <c r="F165" s="120" t="str">
        <f t="shared" ca="1" si="42"/>
        <v/>
      </c>
      <c r="G165" s="122" t="str">
        <f t="shared" ca="1" si="43"/>
        <v/>
      </c>
      <c r="H165" s="70" t="str">
        <f t="shared" ca="1" si="44"/>
        <v/>
      </c>
      <c r="I165" s="120" t="str">
        <f t="shared" ca="1" si="45"/>
        <v/>
      </c>
      <c r="J165" s="122" t="str">
        <f t="shared" ca="1" si="46"/>
        <v/>
      </c>
      <c r="K165" s="70" t="str">
        <f t="shared" ca="1" si="47"/>
        <v/>
      </c>
      <c r="L165" s="120" t="str">
        <f t="shared" ca="1" si="48"/>
        <v/>
      </c>
      <c r="M165" s="122" t="str">
        <f t="shared" ca="1" si="49"/>
        <v/>
      </c>
      <c r="N165" s="70" t="str">
        <f t="shared" ca="1" si="50"/>
        <v/>
      </c>
      <c r="O165" s="120" t="str">
        <f t="shared" ca="1" si="51"/>
        <v/>
      </c>
    </row>
    <row r="166" spans="1:15" ht="16.5" customHeight="1" thickBot="1">
      <c r="A166" s="105">
        <v>31</v>
      </c>
      <c r="B166" s="130" t="str">
        <f>HYPERLINK("#'" &amp; TEXT(투자전략!$G$1+30, "[$-ko-KR]yyyy.mm.dd") &amp; "'!A94:O118", TEXT(투자전략!$G$1+30, "[$-ko-KR]yyyy.mm.dd"))</f>
        <v>2023.03.31</v>
      </c>
      <c r="C166" s="119" t="str">
        <f t="shared" ca="1" si="39"/>
        <v/>
      </c>
      <c r="D166" s="123" t="str">
        <f t="shared" ca="1" si="40"/>
        <v/>
      </c>
      <c r="E166" s="72" t="str">
        <f t="shared" ca="1" si="41"/>
        <v/>
      </c>
      <c r="F166" s="121" t="str">
        <f t="shared" ca="1" si="42"/>
        <v/>
      </c>
      <c r="G166" s="123" t="str">
        <f t="shared" ca="1" si="43"/>
        <v/>
      </c>
      <c r="H166" s="72" t="str">
        <f t="shared" ca="1" si="44"/>
        <v/>
      </c>
      <c r="I166" s="121" t="str">
        <f t="shared" ca="1" si="45"/>
        <v/>
      </c>
      <c r="J166" s="123" t="str">
        <f t="shared" ca="1" si="46"/>
        <v/>
      </c>
      <c r="K166" s="72" t="str">
        <f t="shared" ca="1" si="47"/>
        <v/>
      </c>
      <c r="L166" s="121" t="str">
        <f t="shared" ca="1" si="48"/>
        <v/>
      </c>
      <c r="M166" s="123" t="str">
        <f t="shared" ca="1" si="49"/>
        <v/>
      </c>
      <c r="N166" s="72" t="str">
        <f t="shared" ca="1" si="50"/>
        <v/>
      </c>
      <c r="O166" s="121" t="str">
        <f t="shared" ca="1" si="51"/>
        <v/>
      </c>
    </row>
    <row r="167" spans="1:15" ht="16.5" customHeight="1" thickBot="1">
      <c r="A167" s="144" t="s">
        <v>270</v>
      </c>
      <c r="B167" s="146"/>
      <c r="C167" s="116" t="s">
        <v>265</v>
      </c>
      <c r="D167" s="9" t="s">
        <v>266</v>
      </c>
      <c r="E167" s="63" t="s">
        <v>267</v>
      </c>
      <c r="F167" s="64" t="s">
        <v>268</v>
      </c>
      <c r="G167" s="9" t="s">
        <v>266</v>
      </c>
      <c r="H167" s="63" t="s">
        <v>267</v>
      </c>
      <c r="I167" s="64" t="s">
        <v>268</v>
      </c>
      <c r="J167" s="9" t="s">
        <v>266</v>
      </c>
      <c r="K167" s="63" t="s">
        <v>267</v>
      </c>
      <c r="L167" s="64" t="s">
        <v>268</v>
      </c>
      <c r="M167" s="9" t="s">
        <v>266</v>
      </c>
      <c r="N167" s="63" t="s">
        <v>267</v>
      </c>
      <c r="O167" s="64" t="s">
        <v>268</v>
      </c>
    </row>
    <row r="168" spans="1:15" ht="16.5" customHeight="1" thickBot="1">
      <c r="A168" s="150"/>
      <c r="B168" s="152"/>
      <c r="C168" s="119">
        <f ca="1">SUM(C136:C166)</f>
        <v>3000000</v>
      </c>
      <c r="D168" s="123">
        <f ca="1">SUM(D136:D166)</f>
        <v>3000000</v>
      </c>
      <c r="E168" s="72">
        <f ca="1">IFERROR(F168 / (SUM($C136:$C166) / COUNT($C136:$C166)), 0)</f>
        <v>0</v>
      </c>
      <c r="F168" s="121">
        <f ca="1">SUM(F136:F166)</f>
        <v>0</v>
      </c>
      <c r="G168" s="123">
        <f ca="1">SUM(G136:G166)</f>
        <v>3000000</v>
      </c>
      <c r="H168" s="72">
        <f ca="1">IFERROR(I168 / (SUM($C136:$C166) / COUNT($C136:$C166)), 0)</f>
        <v>0</v>
      </c>
      <c r="I168" s="121">
        <f ca="1">SUM(I136:I166)</f>
        <v>0</v>
      </c>
      <c r="J168" s="123">
        <f ca="1">SUM(J136:J166)</f>
        <v>3000000</v>
      </c>
      <c r="K168" s="72">
        <f ca="1">IFERROR(L168 / (SUM($C136:$C166) / COUNT($C136:$C166)), 0)</f>
        <v>0</v>
      </c>
      <c r="L168" s="121">
        <f ca="1">SUM(L136:L166)</f>
        <v>0</v>
      </c>
      <c r="M168" s="123">
        <f ca="1">SUM(M136:M166)</f>
        <v>3000000</v>
      </c>
      <c r="N168" s="72">
        <f ca="1">IFERROR(O168 / (SUM($C136:$C166) / COUNT($C136:$C166)), 0)</f>
        <v>0</v>
      </c>
      <c r="O168" s="121">
        <f ca="1">SUM(O136:O166)</f>
        <v>0</v>
      </c>
    </row>
    <row r="170" spans="1:15" ht="16.5" customHeight="1" thickBot="1"/>
    <row r="171" spans="1:15" ht="16.5" customHeight="1" thickBot="1">
      <c r="A171" s="135" t="str">
        <f>TEXT(투자전략!$G$1, "[$-ko-KR]yyyy년 mm월 ") &amp; "[엽전코인] 전일대비 상승률 Bottom20 월말결산"</f>
        <v>2023년 03월 [엽전코인] 전일대비 상승률 Bottom20 월말결산</v>
      </c>
      <c r="B171" s="136"/>
      <c r="C171" s="136"/>
      <c r="D171" s="136"/>
      <c r="E171" s="136"/>
      <c r="F171" s="136"/>
      <c r="G171" s="136"/>
      <c r="H171" s="136"/>
      <c r="I171" s="136"/>
      <c r="J171" s="136"/>
      <c r="K171" s="136"/>
      <c r="L171" s="136"/>
      <c r="M171" s="136"/>
      <c r="N171" s="136"/>
      <c r="O171" s="137"/>
    </row>
    <row r="172" spans="1:15" ht="16.5" customHeight="1" thickBot="1">
      <c r="A172" s="196" t="s">
        <v>271</v>
      </c>
      <c r="B172" s="150" t="s">
        <v>269</v>
      </c>
      <c r="C172" s="152"/>
      <c r="D172" s="150" t="s">
        <v>261</v>
      </c>
      <c r="E172" s="151"/>
      <c r="F172" s="152"/>
      <c r="G172" s="150" t="s">
        <v>262</v>
      </c>
      <c r="H172" s="151"/>
      <c r="I172" s="152"/>
      <c r="J172" s="150" t="s">
        <v>263</v>
      </c>
      <c r="K172" s="151"/>
      <c r="L172" s="152"/>
      <c r="M172" s="150" t="s">
        <v>264</v>
      </c>
      <c r="N172" s="151"/>
      <c r="O172" s="152"/>
    </row>
    <row r="173" spans="1:15" ht="16.5" customHeight="1" thickBot="1">
      <c r="A173" s="200"/>
      <c r="B173" s="46" t="s">
        <v>259</v>
      </c>
      <c r="C173" s="46" t="s">
        <v>42</v>
      </c>
      <c r="D173" s="105" t="s">
        <v>260</v>
      </c>
      <c r="E173" s="106" t="s">
        <v>40</v>
      </c>
      <c r="F173" s="81" t="s">
        <v>41</v>
      </c>
      <c r="G173" s="105" t="s">
        <v>260</v>
      </c>
      <c r="H173" s="106" t="s">
        <v>40</v>
      </c>
      <c r="I173" s="81" t="s">
        <v>41</v>
      </c>
      <c r="J173" s="105" t="s">
        <v>260</v>
      </c>
      <c r="K173" s="106" t="s">
        <v>40</v>
      </c>
      <c r="L173" s="81" t="s">
        <v>41</v>
      </c>
      <c r="M173" s="105" t="s">
        <v>260</v>
      </c>
      <c r="N173" s="106" t="s">
        <v>40</v>
      </c>
      <c r="O173" s="81" t="s">
        <v>41</v>
      </c>
    </row>
    <row r="174" spans="1:15" ht="16.5" customHeight="1">
      <c r="A174" s="46">
        <v>1</v>
      </c>
      <c r="B174" s="132" t="str">
        <f>HYPERLINK("#'" &amp; TEXT(투자전략!$G$1+0, "[$-ko-KR]yyyy.mm.dd") &amp; "'!A121:O145", TEXT(투자전략!$G$1+0, "[$-ko-KR]yyyy.mm.dd"))</f>
        <v>2023.03.01</v>
      </c>
      <c r="C174" s="117">
        <f ca="1">IFERROR(COUNTA(INDIRECT($B174&amp;"!A125:A144")) * INDIRECT($B174&amp;"!B145"), "")</f>
        <v>3000000</v>
      </c>
      <c r="D174" s="125">
        <f ca="1">IFERROR($C174 * (1 + E174), "")</f>
        <v>3000000</v>
      </c>
      <c r="E174" s="69">
        <f ca="1">IFERROR(INDIRECT($B174&amp;"!E145"), "")</f>
        <v>0</v>
      </c>
      <c r="F174" s="124">
        <f ca="1">IFERROR(INDIRECT($B174&amp;"!F145"), "")</f>
        <v>0</v>
      </c>
      <c r="G174" s="125">
        <f ca="1">IFERROR($C174 * (1 + H174), "")</f>
        <v>3000000</v>
      </c>
      <c r="H174" s="69">
        <f ca="1">IFERROR(INDIRECT($B174&amp;"!H145"), "")</f>
        <v>0</v>
      </c>
      <c r="I174" s="124">
        <f ca="1">IFERROR(INDIRECT($B174&amp;"!I145"), "")</f>
        <v>0</v>
      </c>
      <c r="J174" s="125">
        <f ca="1">IFERROR($C174 * (1 + K174), "")</f>
        <v>3000000</v>
      </c>
      <c r="K174" s="69">
        <f ca="1">IFERROR(INDIRECT($B174&amp;"!K145"), "")</f>
        <v>0</v>
      </c>
      <c r="L174" s="124">
        <f ca="1">IFERROR(INDIRECT($B174&amp;"!L145"), "")</f>
        <v>0</v>
      </c>
      <c r="M174" s="125">
        <f ca="1">IFERROR($C174 * (1 + N174), "")</f>
        <v>3000000</v>
      </c>
      <c r="N174" s="69">
        <f ca="1">IFERROR(INDIRECT($B174&amp;"!N145"), "")</f>
        <v>0</v>
      </c>
      <c r="O174" s="124">
        <f ca="1">IFERROR(INDIRECT($B174&amp;"!O145"), "")</f>
        <v>0</v>
      </c>
    </row>
    <row r="175" spans="1:15" ht="16.5" customHeight="1">
      <c r="A175" s="47">
        <v>2</v>
      </c>
      <c r="B175" s="133" t="str">
        <f>HYPERLINK("#'" &amp; TEXT(투자전략!$G$1+1, "[$-ko-KR]yyyy.mm.dd") &amp; "'!A121:O145", TEXT(투자전략!$G$1+1, "[$-ko-KR]yyyy.mm.dd"))</f>
        <v>2023.03.02</v>
      </c>
      <c r="C175" s="118" t="str">
        <f t="shared" ref="C175:C204" ca="1" si="52">IFERROR(COUNTA(INDIRECT($B175&amp;"!A125:A144")) * INDIRECT($B175&amp;"!B145"), "")</f>
        <v/>
      </c>
      <c r="D175" s="122" t="str">
        <f t="shared" ref="D175:D204" ca="1" si="53">IFERROR($C175 * (1 + E175), "")</f>
        <v/>
      </c>
      <c r="E175" s="70" t="str">
        <f t="shared" ref="E175:E204" ca="1" si="54">IFERROR(INDIRECT($B175&amp;"!E145"), "")</f>
        <v/>
      </c>
      <c r="F175" s="120" t="str">
        <f t="shared" ref="F175:F204" ca="1" si="55">IFERROR(INDIRECT($B175&amp;"!F145"), "")</f>
        <v/>
      </c>
      <c r="G175" s="122" t="str">
        <f t="shared" ref="G175:G204" ca="1" si="56">IFERROR($C175 * (1 + H175), "")</f>
        <v/>
      </c>
      <c r="H175" s="70" t="str">
        <f t="shared" ref="H175:H204" ca="1" si="57">IFERROR(INDIRECT($B175&amp;"!H145"), "")</f>
        <v/>
      </c>
      <c r="I175" s="120" t="str">
        <f t="shared" ref="I175:I204" ca="1" si="58">IFERROR(INDIRECT($B175&amp;"!I145"), "")</f>
        <v/>
      </c>
      <c r="J175" s="122" t="str">
        <f t="shared" ref="J175:J204" ca="1" si="59">IFERROR($C175 * (1 + K175), "")</f>
        <v/>
      </c>
      <c r="K175" s="70" t="str">
        <f t="shared" ref="K175:K204" ca="1" si="60">IFERROR(INDIRECT($B175&amp;"!K145"), "")</f>
        <v/>
      </c>
      <c r="L175" s="120" t="str">
        <f t="shared" ref="L175:L204" ca="1" si="61">IFERROR(INDIRECT($B175&amp;"!L145"), "")</f>
        <v/>
      </c>
      <c r="M175" s="122" t="str">
        <f t="shared" ref="M175:M204" ca="1" si="62">IFERROR($C175 * (1 + N175), "")</f>
        <v/>
      </c>
      <c r="N175" s="70" t="str">
        <f t="shared" ref="N175:N204" ca="1" si="63">IFERROR(INDIRECT($B175&amp;"!N145"), "")</f>
        <v/>
      </c>
      <c r="O175" s="120" t="str">
        <f t="shared" ref="O175:O204" ca="1" si="64">IFERROR(INDIRECT($B175&amp;"!O145"), "")</f>
        <v/>
      </c>
    </row>
    <row r="176" spans="1:15" ht="16.5" customHeight="1">
      <c r="A176" s="47">
        <v>3</v>
      </c>
      <c r="B176" s="133" t="str">
        <f>HYPERLINK("#'" &amp; TEXT(투자전략!$G$1+2, "[$-ko-KR]yyyy.mm.dd") &amp; "'!A121:O145", TEXT(투자전략!$G$1+2, "[$-ko-KR]yyyy.mm.dd"))</f>
        <v>2023.03.03</v>
      </c>
      <c r="C176" s="118" t="str">
        <f t="shared" ca="1" si="52"/>
        <v/>
      </c>
      <c r="D176" s="122" t="str">
        <f t="shared" ca="1" si="53"/>
        <v/>
      </c>
      <c r="E176" s="70" t="str">
        <f t="shared" ca="1" si="54"/>
        <v/>
      </c>
      <c r="F176" s="120" t="str">
        <f t="shared" ca="1" si="55"/>
        <v/>
      </c>
      <c r="G176" s="122" t="str">
        <f t="shared" ca="1" si="56"/>
        <v/>
      </c>
      <c r="H176" s="70" t="str">
        <f t="shared" ca="1" si="57"/>
        <v/>
      </c>
      <c r="I176" s="120" t="str">
        <f t="shared" ca="1" si="58"/>
        <v/>
      </c>
      <c r="J176" s="122" t="str">
        <f t="shared" ca="1" si="59"/>
        <v/>
      </c>
      <c r="K176" s="70" t="str">
        <f t="shared" ca="1" si="60"/>
        <v/>
      </c>
      <c r="L176" s="120" t="str">
        <f t="shared" ca="1" si="61"/>
        <v/>
      </c>
      <c r="M176" s="122" t="str">
        <f t="shared" ca="1" si="62"/>
        <v/>
      </c>
      <c r="N176" s="70" t="str">
        <f t="shared" ca="1" si="63"/>
        <v/>
      </c>
      <c r="O176" s="120" t="str">
        <f t="shared" ca="1" si="64"/>
        <v/>
      </c>
    </row>
    <row r="177" spans="1:15" ht="16.5" customHeight="1">
      <c r="A177" s="47">
        <v>4</v>
      </c>
      <c r="B177" s="133" t="str">
        <f>HYPERLINK("#'" &amp; TEXT(투자전략!$G$1+3, "[$-ko-KR]yyyy.mm.dd") &amp; "'!A121:O145", TEXT(투자전략!$G$1+3, "[$-ko-KR]yyyy.mm.dd"))</f>
        <v>2023.03.04</v>
      </c>
      <c r="C177" s="118" t="str">
        <f t="shared" ca="1" si="52"/>
        <v/>
      </c>
      <c r="D177" s="122" t="str">
        <f t="shared" ca="1" si="53"/>
        <v/>
      </c>
      <c r="E177" s="70" t="str">
        <f t="shared" ca="1" si="54"/>
        <v/>
      </c>
      <c r="F177" s="120" t="str">
        <f t="shared" ca="1" si="55"/>
        <v/>
      </c>
      <c r="G177" s="122" t="str">
        <f t="shared" ca="1" si="56"/>
        <v/>
      </c>
      <c r="H177" s="70" t="str">
        <f t="shared" ca="1" si="57"/>
        <v/>
      </c>
      <c r="I177" s="120" t="str">
        <f t="shared" ca="1" si="58"/>
        <v/>
      </c>
      <c r="J177" s="122" t="str">
        <f t="shared" ca="1" si="59"/>
        <v/>
      </c>
      <c r="K177" s="70" t="str">
        <f t="shared" ca="1" si="60"/>
        <v/>
      </c>
      <c r="L177" s="120" t="str">
        <f t="shared" ca="1" si="61"/>
        <v/>
      </c>
      <c r="M177" s="122" t="str">
        <f t="shared" ca="1" si="62"/>
        <v/>
      </c>
      <c r="N177" s="70" t="str">
        <f t="shared" ca="1" si="63"/>
        <v/>
      </c>
      <c r="O177" s="120" t="str">
        <f t="shared" ca="1" si="64"/>
        <v/>
      </c>
    </row>
    <row r="178" spans="1:15" ht="16.5" customHeight="1">
      <c r="A178" s="47">
        <v>5</v>
      </c>
      <c r="B178" s="133" t="str">
        <f>HYPERLINK("#'" &amp; TEXT(투자전략!$G$1+4, "[$-ko-KR]yyyy.mm.dd") &amp; "'!A121:O145", TEXT(투자전략!$G$1+4, "[$-ko-KR]yyyy.mm.dd"))</f>
        <v>2023.03.05</v>
      </c>
      <c r="C178" s="118" t="str">
        <f t="shared" ca="1" si="52"/>
        <v/>
      </c>
      <c r="D178" s="122" t="str">
        <f t="shared" ca="1" si="53"/>
        <v/>
      </c>
      <c r="E178" s="70" t="str">
        <f t="shared" ca="1" si="54"/>
        <v/>
      </c>
      <c r="F178" s="120" t="str">
        <f t="shared" ca="1" si="55"/>
        <v/>
      </c>
      <c r="G178" s="122" t="str">
        <f t="shared" ca="1" si="56"/>
        <v/>
      </c>
      <c r="H178" s="70" t="str">
        <f t="shared" ca="1" si="57"/>
        <v/>
      </c>
      <c r="I178" s="120" t="str">
        <f t="shared" ca="1" si="58"/>
        <v/>
      </c>
      <c r="J178" s="122" t="str">
        <f t="shared" ca="1" si="59"/>
        <v/>
      </c>
      <c r="K178" s="70" t="str">
        <f t="shared" ca="1" si="60"/>
        <v/>
      </c>
      <c r="L178" s="120" t="str">
        <f t="shared" ca="1" si="61"/>
        <v/>
      </c>
      <c r="M178" s="122" t="str">
        <f t="shared" ca="1" si="62"/>
        <v/>
      </c>
      <c r="N178" s="70" t="str">
        <f t="shared" ca="1" si="63"/>
        <v/>
      </c>
      <c r="O178" s="120" t="str">
        <f t="shared" ca="1" si="64"/>
        <v/>
      </c>
    </row>
    <row r="179" spans="1:15" ht="16.5" customHeight="1">
      <c r="A179" s="47">
        <v>6</v>
      </c>
      <c r="B179" s="133" t="str">
        <f>HYPERLINK("#'" &amp; TEXT(투자전략!$G$1+5, "[$-ko-KR]yyyy.mm.dd") &amp; "'!A121:O145", TEXT(투자전략!$G$1+5, "[$-ko-KR]yyyy.mm.dd"))</f>
        <v>2023.03.06</v>
      </c>
      <c r="C179" s="118" t="str">
        <f t="shared" ca="1" si="52"/>
        <v/>
      </c>
      <c r="D179" s="122" t="str">
        <f t="shared" ca="1" si="53"/>
        <v/>
      </c>
      <c r="E179" s="70" t="str">
        <f t="shared" ca="1" si="54"/>
        <v/>
      </c>
      <c r="F179" s="120" t="str">
        <f t="shared" ca="1" si="55"/>
        <v/>
      </c>
      <c r="G179" s="122" t="str">
        <f t="shared" ca="1" si="56"/>
        <v/>
      </c>
      <c r="H179" s="70" t="str">
        <f t="shared" ca="1" si="57"/>
        <v/>
      </c>
      <c r="I179" s="120" t="str">
        <f t="shared" ca="1" si="58"/>
        <v/>
      </c>
      <c r="J179" s="122" t="str">
        <f t="shared" ca="1" si="59"/>
        <v/>
      </c>
      <c r="K179" s="70" t="str">
        <f t="shared" ca="1" si="60"/>
        <v/>
      </c>
      <c r="L179" s="120" t="str">
        <f t="shared" ca="1" si="61"/>
        <v/>
      </c>
      <c r="M179" s="122" t="str">
        <f t="shared" ca="1" si="62"/>
        <v/>
      </c>
      <c r="N179" s="70" t="str">
        <f t="shared" ca="1" si="63"/>
        <v/>
      </c>
      <c r="O179" s="120" t="str">
        <f t="shared" ca="1" si="64"/>
        <v/>
      </c>
    </row>
    <row r="180" spans="1:15" ht="16.5" customHeight="1" thickBot="1">
      <c r="A180" s="48">
        <v>7</v>
      </c>
      <c r="B180" s="134" t="str">
        <f>HYPERLINK("#'" &amp; TEXT(투자전략!$G$1+6, "[$-ko-KR]yyyy.mm.dd") &amp; "'!A121:O145", TEXT(투자전략!$G$1+6, "[$-ko-KR]yyyy.mm.dd"))</f>
        <v>2023.03.07</v>
      </c>
      <c r="C180" s="118" t="str">
        <f t="shared" ca="1" si="52"/>
        <v/>
      </c>
      <c r="D180" s="122" t="str">
        <f t="shared" ca="1" si="53"/>
        <v/>
      </c>
      <c r="E180" s="70" t="str">
        <f t="shared" ca="1" si="54"/>
        <v/>
      </c>
      <c r="F180" s="120" t="str">
        <f t="shared" ca="1" si="55"/>
        <v/>
      </c>
      <c r="G180" s="122" t="str">
        <f t="shared" ca="1" si="56"/>
        <v/>
      </c>
      <c r="H180" s="70" t="str">
        <f t="shared" ca="1" si="57"/>
        <v/>
      </c>
      <c r="I180" s="120" t="str">
        <f t="shared" ca="1" si="58"/>
        <v/>
      </c>
      <c r="J180" s="122" t="str">
        <f t="shared" ca="1" si="59"/>
        <v/>
      </c>
      <c r="K180" s="70" t="str">
        <f t="shared" ca="1" si="60"/>
        <v/>
      </c>
      <c r="L180" s="120" t="str">
        <f t="shared" ca="1" si="61"/>
        <v/>
      </c>
      <c r="M180" s="122" t="str">
        <f t="shared" ca="1" si="62"/>
        <v/>
      </c>
      <c r="N180" s="70" t="str">
        <f t="shared" ca="1" si="63"/>
        <v/>
      </c>
      <c r="O180" s="120" t="str">
        <f t="shared" ca="1" si="64"/>
        <v/>
      </c>
    </row>
    <row r="181" spans="1:15" ht="16.5" customHeight="1">
      <c r="A181" s="46">
        <v>8</v>
      </c>
      <c r="B181" s="132" t="str">
        <f>HYPERLINK("#'" &amp; TEXT(투자전략!$G$1+7, "[$-ko-KR]yyyy.mm.dd") &amp; "'!A121:O145", TEXT(투자전략!$G$1+7, "[$-ko-KR]yyyy.mm.dd"))</f>
        <v>2023.03.08</v>
      </c>
      <c r="C181" s="117" t="str">
        <f t="shared" ca="1" si="52"/>
        <v/>
      </c>
      <c r="D181" s="125" t="str">
        <f t="shared" ca="1" si="53"/>
        <v/>
      </c>
      <c r="E181" s="69" t="str">
        <f t="shared" ca="1" si="54"/>
        <v/>
      </c>
      <c r="F181" s="124" t="str">
        <f t="shared" ca="1" si="55"/>
        <v/>
      </c>
      <c r="G181" s="125" t="str">
        <f t="shared" ca="1" si="56"/>
        <v/>
      </c>
      <c r="H181" s="69" t="str">
        <f t="shared" ca="1" si="57"/>
        <v/>
      </c>
      <c r="I181" s="124" t="str">
        <f t="shared" ca="1" si="58"/>
        <v/>
      </c>
      <c r="J181" s="125" t="str">
        <f t="shared" ca="1" si="59"/>
        <v/>
      </c>
      <c r="K181" s="69" t="str">
        <f t="shared" ca="1" si="60"/>
        <v/>
      </c>
      <c r="L181" s="124" t="str">
        <f t="shared" ca="1" si="61"/>
        <v/>
      </c>
      <c r="M181" s="125" t="str">
        <f t="shared" ca="1" si="62"/>
        <v/>
      </c>
      <c r="N181" s="69" t="str">
        <f t="shared" ca="1" si="63"/>
        <v/>
      </c>
      <c r="O181" s="124" t="str">
        <f t="shared" ca="1" si="64"/>
        <v/>
      </c>
    </row>
    <row r="182" spans="1:15" ht="16.5" customHeight="1">
      <c r="A182" s="47">
        <v>9</v>
      </c>
      <c r="B182" s="133" t="str">
        <f>HYPERLINK("#'" &amp; TEXT(투자전략!$G$1+8, "[$-ko-KR]yyyy.mm.dd") &amp; "'!A121:O145", TEXT(투자전략!$G$1+8, "[$-ko-KR]yyyy.mm.dd"))</f>
        <v>2023.03.09</v>
      </c>
      <c r="C182" s="118" t="str">
        <f t="shared" ca="1" si="52"/>
        <v/>
      </c>
      <c r="D182" s="122" t="str">
        <f t="shared" ca="1" si="53"/>
        <v/>
      </c>
      <c r="E182" s="70" t="str">
        <f t="shared" ca="1" si="54"/>
        <v/>
      </c>
      <c r="F182" s="120" t="str">
        <f t="shared" ca="1" si="55"/>
        <v/>
      </c>
      <c r="G182" s="122" t="str">
        <f t="shared" ca="1" si="56"/>
        <v/>
      </c>
      <c r="H182" s="70" t="str">
        <f t="shared" ca="1" si="57"/>
        <v/>
      </c>
      <c r="I182" s="120" t="str">
        <f t="shared" ca="1" si="58"/>
        <v/>
      </c>
      <c r="J182" s="122" t="str">
        <f t="shared" ca="1" si="59"/>
        <v/>
      </c>
      <c r="K182" s="70" t="str">
        <f t="shared" ca="1" si="60"/>
        <v/>
      </c>
      <c r="L182" s="120" t="str">
        <f t="shared" ca="1" si="61"/>
        <v/>
      </c>
      <c r="M182" s="122" t="str">
        <f t="shared" ca="1" si="62"/>
        <v/>
      </c>
      <c r="N182" s="70" t="str">
        <f t="shared" ca="1" si="63"/>
        <v/>
      </c>
      <c r="O182" s="120" t="str">
        <f t="shared" ca="1" si="64"/>
        <v/>
      </c>
    </row>
    <row r="183" spans="1:15" ht="16.5" customHeight="1">
      <c r="A183" s="47">
        <v>10</v>
      </c>
      <c r="B183" s="133" t="str">
        <f>HYPERLINK("#'" &amp; TEXT(투자전략!$G$1+9, "[$-ko-KR]yyyy.mm.dd") &amp; "'!A121:O145", TEXT(투자전략!$G$1+9, "[$-ko-KR]yyyy.mm.dd"))</f>
        <v>2023.03.10</v>
      </c>
      <c r="C183" s="118" t="str">
        <f t="shared" ca="1" si="52"/>
        <v/>
      </c>
      <c r="D183" s="122" t="str">
        <f t="shared" ca="1" si="53"/>
        <v/>
      </c>
      <c r="E183" s="70" t="str">
        <f t="shared" ca="1" si="54"/>
        <v/>
      </c>
      <c r="F183" s="120" t="str">
        <f t="shared" ca="1" si="55"/>
        <v/>
      </c>
      <c r="G183" s="122" t="str">
        <f t="shared" ca="1" si="56"/>
        <v/>
      </c>
      <c r="H183" s="70" t="str">
        <f t="shared" ca="1" si="57"/>
        <v/>
      </c>
      <c r="I183" s="120" t="str">
        <f t="shared" ca="1" si="58"/>
        <v/>
      </c>
      <c r="J183" s="122" t="str">
        <f t="shared" ca="1" si="59"/>
        <v/>
      </c>
      <c r="K183" s="70" t="str">
        <f t="shared" ca="1" si="60"/>
        <v/>
      </c>
      <c r="L183" s="120" t="str">
        <f t="shared" ca="1" si="61"/>
        <v/>
      </c>
      <c r="M183" s="122" t="str">
        <f t="shared" ca="1" si="62"/>
        <v/>
      </c>
      <c r="N183" s="70" t="str">
        <f t="shared" ca="1" si="63"/>
        <v/>
      </c>
      <c r="O183" s="120" t="str">
        <f t="shared" ca="1" si="64"/>
        <v/>
      </c>
    </row>
    <row r="184" spans="1:15" ht="16.5" customHeight="1">
      <c r="A184" s="47">
        <v>11</v>
      </c>
      <c r="B184" s="133" t="str">
        <f>HYPERLINK("#'" &amp; TEXT(투자전략!$G$1+10, "[$-ko-KR]yyyy.mm.dd") &amp; "'!A121:O145", TEXT(투자전략!$G$1+10, "[$-ko-KR]yyyy.mm.dd"))</f>
        <v>2023.03.11</v>
      </c>
      <c r="C184" s="118" t="str">
        <f t="shared" ca="1" si="52"/>
        <v/>
      </c>
      <c r="D184" s="122" t="str">
        <f t="shared" ca="1" si="53"/>
        <v/>
      </c>
      <c r="E184" s="70" t="str">
        <f t="shared" ca="1" si="54"/>
        <v/>
      </c>
      <c r="F184" s="120" t="str">
        <f t="shared" ca="1" si="55"/>
        <v/>
      </c>
      <c r="G184" s="122" t="str">
        <f t="shared" ca="1" si="56"/>
        <v/>
      </c>
      <c r="H184" s="70" t="str">
        <f t="shared" ca="1" si="57"/>
        <v/>
      </c>
      <c r="I184" s="120" t="str">
        <f t="shared" ca="1" si="58"/>
        <v/>
      </c>
      <c r="J184" s="122" t="str">
        <f t="shared" ca="1" si="59"/>
        <v/>
      </c>
      <c r="K184" s="70" t="str">
        <f t="shared" ca="1" si="60"/>
        <v/>
      </c>
      <c r="L184" s="120" t="str">
        <f t="shared" ca="1" si="61"/>
        <v/>
      </c>
      <c r="M184" s="122" t="str">
        <f t="shared" ca="1" si="62"/>
        <v/>
      </c>
      <c r="N184" s="70" t="str">
        <f t="shared" ca="1" si="63"/>
        <v/>
      </c>
      <c r="O184" s="120" t="str">
        <f t="shared" ca="1" si="64"/>
        <v/>
      </c>
    </row>
    <row r="185" spans="1:15" ht="16.5" customHeight="1">
      <c r="A185" s="47">
        <v>12</v>
      </c>
      <c r="B185" s="133" t="str">
        <f>HYPERLINK("#'" &amp; TEXT(투자전략!$G$1+11, "[$-ko-KR]yyyy.mm.dd") &amp; "'!A121:O145", TEXT(투자전략!$G$1+11, "[$-ko-KR]yyyy.mm.dd"))</f>
        <v>2023.03.12</v>
      </c>
      <c r="C185" s="118" t="str">
        <f t="shared" ca="1" si="52"/>
        <v/>
      </c>
      <c r="D185" s="122" t="str">
        <f t="shared" ca="1" si="53"/>
        <v/>
      </c>
      <c r="E185" s="70" t="str">
        <f t="shared" ca="1" si="54"/>
        <v/>
      </c>
      <c r="F185" s="120" t="str">
        <f t="shared" ca="1" si="55"/>
        <v/>
      </c>
      <c r="G185" s="122" t="str">
        <f t="shared" ca="1" si="56"/>
        <v/>
      </c>
      <c r="H185" s="70" t="str">
        <f t="shared" ca="1" si="57"/>
        <v/>
      </c>
      <c r="I185" s="120" t="str">
        <f t="shared" ca="1" si="58"/>
        <v/>
      </c>
      <c r="J185" s="122" t="str">
        <f t="shared" ca="1" si="59"/>
        <v/>
      </c>
      <c r="K185" s="70" t="str">
        <f t="shared" ca="1" si="60"/>
        <v/>
      </c>
      <c r="L185" s="120" t="str">
        <f t="shared" ca="1" si="61"/>
        <v/>
      </c>
      <c r="M185" s="122" t="str">
        <f t="shared" ca="1" si="62"/>
        <v/>
      </c>
      <c r="N185" s="70" t="str">
        <f t="shared" ca="1" si="63"/>
        <v/>
      </c>
      <c r="O185" s="120" t="str">
        <f t="shared" ca="1" si="64"/>
        <v/>
      </c>
    </row>
    <row r="186" spans="1:15" ht="16.5" customHeight="1">
      <c r="A186" s="47">
        <v>13</v>
      </c>
      <c r="B186" s="133" t="str">
        <f>HYPERLINK("#'" &amp; TEXT(투자전략!$G$1+12, "[$-ko-KR]yyyy.mm.dd") &amp; "'!A121:O145", TEXT(투자전략!$G$1+12, "[$-ko-KR]yyyy.mm.dd"))</f>
        <v>2023.03.13</v>
      </c>
      <c r="C186" s="118" t="str">
        <f t="shared" ca="1" si="52"/>
        <v/>
      </c>
      <c r="D186" s="122" t="str">
        <f t="shared" ca="1" si="53"/>
        <v/>
      </c>
      <c r="E186" s="70" t="str">
        <f t="shared" ca="1" si="54"/>
        <v/>
      </c>
      <c r="F186" s="120" t="str">
        <f t="shared" ca="1" si="55"/>
        <v/>
      </c>
      <c r="G186" s="122" t="str">
        <f t="shared" ca="1" si="56"/>
        <v/>
      </c>
      <c r="H186" s="70" t="str">
        <f t="shared" ca="1" si="57"/>
        <v/>
      </c>
      <c r="I186" s="120" t="str">
        <f t="shared" ca="1" si="58"/>
        <v/>
      </c>
      <c r="J186" s="122" t="str">
        <f t="shared" ca="1" si="59"/>
        <v/>
      </c>
      <c r="K186" s="70" t="str">
        <f t="shared" ca="1" si="60"/>
        <v/>
      </c>
      <c r="L186" s="120" t="str">
        <f t="shared" ca="1" si="61"/>
        <v/>
      </c>
      <c r="M186" s="122" t="str">
        <f t="shared" ca="1" si="62"/>
        <v/>
      </c>
      <c r="N186" s="70" t="str">
        <f t="shared" ca="1" si="63"/>
        <v/>
      </c>
      <c r="O186" s="120" t="str">
        <f t="shared" ca="1" si="64"/>
        <v/>
      </c>
    </row>
    <row r="187" spans="1:15" ht="16.5" customHeight="1" thickBot="1">
      <c r="A187" s="48">
        <v>14</v>
      </c>
      <c r="B187" s="134" t="str">
        <f>HYPERLINK("#'" &amp; TEXT(투자전략!$G$1+13, "[$-ko-KR]yyyy.mm.dd") &amp; "'!A121:O145", TEXT(투자전략!$G$1+13, "[$-ko-KR]yyyy.mm.dd"))</f>
        <v>2023.03.14</v>
      </c>
      <c r="C187" s="119" t="str">
        <f t="shared" ca="1" si="52"/>
        <v/>
      </c>
      <c r="D187" s="123" t="str">
        <f t="shared" ca="1" si="53"/>
        <v/>
      </c>
      <c r="E187" s="72" t="str">
        <f t="shared" ca="1" si="54"/>
        <v/>
      </c>
      <c r="F187" s="121" t="str">
        <f t="shared" ca="1" si="55"/>
        <v/>
      </c>
      <c r="G187" s="123" t="str">
        <f t="shared" ca="1" si="56"/>
        <v/>
      </c>
      <c r="H187" s="72" t="str">
        <f t="shared" ca="1" si="57"/>
        <v/>
      </c>
      <c r="I187" s="121" t="str">
        <f t="shared" ca="1" si="58"/>
        <v/>
      </c>
      <c r="J187" s="123" t="str">
        <f t="shared" ca="1" si="59"/>
        <v/>
      </c>
      <c r="K187" s="72" t="str">
        <f t="shared" ca="1" si="60"/>
        <v/>
      </c>
      <c r="L187" s="121" t="str">
        <f t="shared" ca="1" si="61"/>
        <v/>
      </c>
      <c r="M187" s="123" t="str">
        <f t="shared" ca="1" si="62"/>
        <v/>
      </c>
      <c r="N187" s="72" t="str">
        <f t="shared" ca="1" si="63"/>
        <v/>
      </c>
      <c r="O187" s="121" t="str">
        <f t="shared" ca="1" si="64"/>
        <v/>
      </c>
    </row>
    <row r="188" spans="1:15" ht="16.5" customHeight="1">
      <c r="A188" s="46">
        <v>15</v>
      </c>
      <c r="B188" s="132" t="str">
        <f>HYPERLINK("#'" &amp; TEXT(투자전략!$G$1+14, "[$-ko-KR]yyyy.mm.dd") &amp; "'!A121:O145", TEXT(투자전략!$G$1+14, "[$-ko-KR]yyyy.mm.dd"))</f>
        <v>2023.03.15</v>
      </c>
      <c r="C188" s="118" t="str">
        <f t="shared" ca="1" si="52"/>
        <v/>
      </c>
      <c r="D188" s="122" t="str">
        <f t="shared" ca="1" si="53"/>
        <v/>
      </c>
      <c r="E188" s="70" t="str">
        <f t="shared" ca="1" si="54"/>
        <v/>
      </c>
      <c r="F188" s="120" t="str">
        <f t="shared" ca="1" si="55"/>
        <v/>
      </c>
      <c r="G188" s="122" t="str">
        <f t="shared" ca="1" si="56"/>
        <v/>
      </c>
      <c r="H188" s="70" t="str">
        <f t="shared" ca="1" si="57"/>
        <v/>
      </c>
      <c r="I188" s="120" t="str">
        <f t="shared" ca="1" si="58"/>
        <v/>
      </c>
      <c r="J188" s="122" t="str">
        <f t="shared" ca="1" si="59"/>
        <v/>
      </c>
      <c r="K188" s="70" t="str">
        <f t="shared" ca="1" si="60"/>
        <v/>
      </c>
      <c r="L188" s="120" t="str">
        <f t="shared" ca="1" si="61"/>
        <v/>
      </c>
      <c r="M188" s="122" t="str">
        <f t="shared" ca="1" si="62"/>
        <v/>
      </c>
      <c r="N188" s="70" t="str">
        <f t="shared" ca="1" si="63"/>
        <v/>
      </c>
      <c r="O188" s="120" t="str">
        <f t="shared" ca="1" si="64"/>
        <v/>
      </c>
    </row>
    <row r="189" spans="1:15" ht="16.5" customHeight="1">
      <c r="A189" s="47">
        <v>16</v>
      </c>
      <c r="B189" s="133" t="str">
        <f>HYPERLINK("#'" &amp; TEXT(투자전략!$G$1+15, "[$-ko-KR]yyyy.mm.dd") &amp; "'!A121:O145", TEXT(투자전략!$G$1+15, "[$-ko-KR]yyyy.mm.dd"))</f>
        <v>2023.03.16</v>
      </c>
      <c r="C189" s="118" t="str">
        <f t="shared" ca="1" si="52"/>
        <v/>
      </c>
      <c r="D189" s="122" t="str">
        <f t="shared" ca="1" si="53"/>
        <v/>
      </c>
      <c r="E189" s="70" t="str">
        <f t="shared" ca="1" si="54"/>
        <v/>
      </c>
      <c r="F189" s="120" t="str">
        <f t="shared" ca="1" si="55"/>
        <v/>
      </c>
      <c r="G189" s="122" t="str">
        <f t="shared" ca="1" si="56"/>
        <v/>
      </c>
      <c r="H189" s="70" t="str">
        <f t="shared" ca="1" si="57"/>
        <v/>
      </c>
      <c r="I189" s="120" t="str">
        <f t="shared" ca="1" si="58"/>
        <v/>
      </c>
      <c r="J189" s="122" t="str">
        <f t="shared" ca="1" si="59"/>
        <v/>
      </c>
      <c r="K189" s="70" t="str">
        <f t="shared" ca="1" si="60"/>
        <v/>
      </c>
      <c r="L189" s="120" t="str">
        <f t="shared" ca="1" si="61"/>
        <v/>
      </c>
      <c r="M189" s="122" t="str">
        <f t="shared" ca="1" si="62"/>
        <v/>
      </c>
      <c r="N189" s="70" t="str">
        <f t="shared" ca="1" si="63"/>
        <v/>
      </c>
      <c r="O189" s="120" t="str">
        <f t="shared" ca="1" si="64"/>
        <v/>
      </c>
    </row>
    <row r="190" spans="1:15" ht="16.5" customHeight="1">
      <c r="A190" s="47">
        <v>17</v>
      </c>
      <c r="B190" s="133" t="str">
        <f>HYPERLINK("#'" &amp; TEXT(투자전략!$G$1+16, "[$-ko-KR]yyyy.mm.dd") &amp; "'!A121:O145", TEXT(투자전략!$G$1+16, "[$-ko-KR]yyyy.mm.dd"))</f>
        <v>2023.03.17</v>
      </c>
      <c r="C190" s="118" t="str">
        <f t="shared" ca="1" si="52"/>
        <v/>
      </c>
      <c r="D190" s="122" t="str">
        <f t="shared" ca="1" si="53"/>
        <v/>
      </c>
      <c r="E190" s="70" t="str">
        <f t="shared" ca="1" si="54"/>
        <v/>
      </c>
      <c r="F190" s="120" t="str">
        <f t="shared" ca="1" si="55"/>
        <v/>
      </c>
      <c r="G190" s="122" t="str">
        <f t="shared" ca="1" si="56"/>
        <v/>
      </c>
      <c r="H190" s="70" t="str">
        <f t="shared" ca="1" si="57"/>
        <v/>
      </c>
      <c r="I190" s="120" t="str">
        <f t="shared" ca="1" si="58"/>
        <v/>
      </c>
      <c r="J190" s="122" t="str">
        <f t="shared" ca="1" si="59"/>
        <v/>
      </c>
      <c r="K190" s="70" t="str">
        <f t="shared" ca="1" si="60"/>
        <v/>
      </c>
      <c r="L190" s="120" t="str">
        <f t="shared" ca="1" si="61"/>
        <v/>
      </c>
      <c r="M190" s="122" t="str">
        <f t="shared" ca="1" si="62"/>
        <v/>
      </c>
      <c r="N190" s="70" t="str">
        <f t="shared" ca="1" si="63"/>
        <v/>
      </c>
      <c r="O190" s="120" t="str">
        <f t="shared" ca="1" si="64"/>
        <v/>
      </c>
    </row>
    <row r="191" spans="1:15" ht="16.5" customHeight="1">
      <c r="A191" s="47">
        <v>18</v>
      </c>
      <c r="B191" s="133" t="str">
        <f>HYPERLINK("#'" &amp; TEXT(투자전략!$G$1+17, "[$-ko-KR]yyyy.mm.dd") &amp; "'!A121:O145", TEXT(투자전략!$G$1+17, "[$-ko-KR]yyyy.mm.dd"))</f>
        <v>2023.03.18</v>
      </c>
      <c r="C191" s="118" t="str">
        <f t="shared" ca="1" si="52"/>
        <v/>
      </c>
      <c r="D191" s="122" t="str">
        <f t="shared" ca="1" si="53"/>
        <v/>
      </c>
      <c r="E191" s="70" t="str">
        <f t="shared" ca="1" si="54"/>
        <v/>
      </c>
      <c r="F191" s="120" t="str">
        <f t="shared" ca="1" si="55"/>
        <v/>
      </c>
      <c r="G191" s="122" t="str">
        <f t="shared" ca="1" si="56"/>
        <v/>
      </c>
      <c r="H191" s="70" t="str">
        <f t="shared" ca="1" si="57"/>
        <v/>
      </c>
      <c r="I191" s="120" t="str">
        <f t="shared" ca="1" si="58"/>
        <v/>
      </c>
      <c r="J191" s="122" t="str">
        <f t="shared" ca="1" si="59"/>
        <v/>
      </c>
      <c r="K191" s="70" t="str">
        <f t="shared" ca="1" si="60"/>
        <v/>
      </c>
      <c r="L191" s="120" t="str">
        <f t="shared" ca="1" si="61"/>
        <v/>
      </c>
      <c r="M191" s="122" t="str">
        <f t="shared" ca="1" si="62"/>
        <v/>
      </c>
      <c r="N191" s="70" t="str">
        <f t="shared" ca="1" si="63"/>
        <v/>
      </c>
      <c r="O191" s="120" t="str">
        <f t="shared" ca="1" si="64"/>
        <v/>
      </c>
    </row>
    <row r="192" spans="1:15" ht="16.5" customHeight="1">
      <c r="A192" s="47">
        <v>19</v>
      </c>
      <c r="B192" s="133" t="str">
        <f>HYPERLINK("#'" &amp; TEXT(투자전략!$G$1+18, "[$-ko-KR]yyyy.mm.dd") &amp; "'!A121:O145", TEXT(투자전략!$G$1+18, "[$-ko-KR]yyyy.mm.dd"))</f>
        <v>2023.03.19</v>
      </c>
      <c r="C192" s="118" t="str">
        <f t="shared" ca="1" si="52"/>
        <v/>
      </c>
      <c r="D192" s="122" t="str">
        <f t="shared" ca="1" si="53"/>
        <v/>
      </c>
      <c r="E192" s="70" t="str">
        <f t="shared" ca="1" si="54"/>
        <v/>
      </c>
      <c r="F192" s="120" t="str">
        <f t="shared" ca="1" si="55"/>
        <v/>
      </c>
      <c r="G192" s="122" t="str">
        <f t="shared" ca="1" si="56"/>
        <v/>
      </c>
      <c r="H192" s="70" t="str">
        <f t="shared" ca="1" si="57"/>
        <v/>
      </c>
      <c r="I192" s="120" t="str">
        <f t="shared" ca="1" si="58"/>
        <v/>
      </c>
      <c r="J192" s="122" t="str">
        <f t="shared" ca="1" si="59"/>
        <v/>
      </c>
      <c r="K192" s="70" t="str">
        <f t="shared" ca="1" si="60"/>
        <v/>
      </c>
      <c r="L192" s="120" t="str">
        <f t="shared" ca="1" si="61"/>
        <v/>
      </c>
      <c r="M192" s="122" t="str">
        <f t="shared" ca="1" si="62"/>
        <v/>
      </c>
      <c r="N192" s="70" t="str">
        <f t="shared" ca="1" si="63"/>
        <v/>
      </c>
      <c r="O192" s="120" t="str">
        <f t="shared" ca="1" si="64"/>
        <v/>
      </c>
    </row>
    <row r="193" spans="1:15" ht="16.5" customHeight="1">
      <c r="A193" s="47">
        <v>20</v>
      </c>
      <c r="B193" s="133" t="str">
        <f>HYPERLINK("#'" &amp; TEXT(투자전략!$G$1+19, "[$-ko-KR]yyyy.mm.dd") &amp; "'!A121:O145", TEXT(투자전략!$G$1+19, "[$-ko-KR]yyyy.mm.dd"))</f>
        <v>2023.03.20</v>
      </c>
      <c r="C193" s="118" t="str">
        <f t="shared" ca="1" si="52"/>
        <v/>
      </c>
      <c r="D193" s="122" t="str">
        <f t="shared" ca="1" si="53"/>
        <v/>
      </c>
      <c r="E193" s="70" t="str">
        <f t="shared" ca="1" si="54"/>
        <v/>
      </c>
      <c r="F193" s="120" t="str">
        <f t="shared" ca="1" si="55"/>
        <v/>
      </c>
      <c r="G193" s="122" t="str">
        <f t="shared" ca="1" si="56"/>
        <v/>
      </c>
      <c r="H193" s="70" t="str">
        <f t="shared" ca="1" si="57"/>
        <v/>
      </c>
      <c r="I193" s="120" t="str">
        <f t="shared" ca="1" si="58"/>
        <v/>
      </c>
      <c r="J193" s="122" t="str">
        <f t="shared" ca="1" si="59"/>
        <v/>
      </c>
      <c r="K193" s="70" t="str">
        <f t="shared" ca="1" si="60"/>
        <v/>
      </c>
      <c r="L193" s="120" t="str">
        <f t="shared" ca="1" si="61"/>
        <v/>
      </c>
      <c r="M193" s="122" t="str">
        <f t="shared" ca="1" si="62"/>
        <v/>
      </c>
      <c r="N193" s="70" t="str">
        <f t="shared" ca="1" si="63"/>
        <v/>
      </c>
      <c r="O193" s="120" t="str">
        <f t="shared" ca="1" si="64"/>
        <v/>
      </c>
    </row>
    <row r="194" spans="1:15" ht="16.5" customHeight="1" thickBot="1">
      <c r="A194" s="48">
        <v>21</v>
      </c>
      <c r="B194" s="134" t="str">
        <f>HYPERLINK("#'" &amp; TEXT(투자전략!$G$1+20, "[$-ko-KR]yyyy.mm.dd") &amp; "'!A121:O145", TEXT(투자전략!$G$1+20, "[$-ko-KR]yyyy.mm.dd"))</f>
        <v>2023.03.21</v>
      </c>
      <c r="C194" s="118" t="str">
        <f t="shared" ca="1" si="52"/>
        <v/>
      </c>
      <c r="D194" s="122" t="str">
        <f t="shared" ca="1" si="53"/>
        <v/>
      </c>
      <c r="E194" s="70" t="str">
        <f t="shared" ca="1" si="54"/>
        <v/>
      </c>
      <c r="F194" s="120" t="str">
        <f t="shared" ca="1" si="55"/>
        <v/>
      </c>
      <c r="G194" s="122" t="str">
        <f t="shared" ca="1" si="56"/>
        <v/>
      </c>
      <c r="H194" s="70" t="str">
        <f t="shared" ca="1" si="57"/>
        <v/>
      </c>
      <c r="I194" s="120" t="str">
        <f t="shared" ca="1" si="58"/>
        <v/>
      </c>
      <c r="J194" s="122" t="str">
        <f t="shared" ca="1" si="59"/>
        <v/>
      </c>
      <c r="K194" s="70" t="str">
        <f t="shared" ca="1" si="60"/>
        <v/>
      </c>
      <c r="L194" s="120" t="str">
        <f t="shared" ca="1" si="61"/>
        <v/>
      </c>
      <c r="M194" s="122" t="str">
        <f t="shared" ca="1" si="62"/>
        <v/>
      </c>
      <c r="N194" s="70" t="str">
        <f t="shared" ca="1" si="63"/>
        <v/>
      </c>
      <c r="O194" s="120" t="str">
        <f t="shared" ca="1" si="64"/>
        <v/>
      </c>
    </row>
    <row r="195" spans="1:15" ht="16.5" customHeight="1">
      <c r="A195" s="46">
        <v>22</v>
      </c>
      <c r="B195" s="132" t="str">
        <f>HYPERLINK("#'" &amp; TEXT(투자전략!$G$1+21, "[$-ko-KR]yyyy.mm.dd") &amp; "'!A121:O145", TEXT(투자전략!$G$1+21, "[$-ko-KR]yyyy.mm.dd"))</f>
        <v>2023.03.22</v>
      </c>
      <c r="C195" s="117" t="str">
        <f t="shared" ca="1" si="52"/>
        <v/>
      </c>
      <c r="D195" s="125" t="str">
        <f t="shared" ca="1" si="53"/>
        <v/>
      </c>
      <c r="E195" s="69" t="str">
        <f t="shared" ca="1" si="54"/>
        <v/>
      </c>
      <c r="F195" s="124" t="str">
        <f t="shared" ca="1" si="55"/>
        <v/>
      </c>
      <c r="G195" s="125" t="str">
        <f t="shared" ca="1" si="56"/>
        <v/>
      </c>
      <c r="H195" s="69" t="str">
        <f t="shared" ca="1" si="57"/>
        <v/>
      </c>
      <c r="I195" s="124" t="str">
        <f t="shared" ca="1" si="58"/>
        <v/>
      </c>
      <c r="J195" s="125" t="str">
        <f t="shared" ca="1" si="59"/>
        <v/>
      </c>
      <c r="K195" s="69" t="str">
        <f t="shared" ca="1" si="60"/>
        <v/>
      </c>
      <c r="L195" s="124" t="str">
        <f t="shared" ca="1" si="61"/>
        <v/>
      </c>
      <c r="M195" s="125" t="str">
        <f t="shared" ca="1" si="62"/>
        <v/>
      </c>
      <c r="N195" s="69" t="str">
        <f t="shared" ca="1" si="63"/>
        <v/>
      </c>
      <c r="O195" s="124" t="str">
        <f t="shared" ca="1" si="64"/>
        <v/>
      </c>
    </row>
    <row r="196" spans="1:15" ht="16.5" customHeight="1">
      <c r="A196" s="47">
        <v>23</v>
      </c>
      <c r="B196" s="133" t="str">
        <f>HYPERLINK("#'" &amp; TEXT(투자전략!$G$1+22, "[$-ko-KR]yyyy.mm.dd") &amp; "'!A121:O145", TEXT(투자전략!$G$1+22, "[$-ko-KR]yyyy.mm.dd"))</f>
        <v>2023.03.23</v>
      </c>
      <c r="C196" s="118" t="str">
        <f t="shared" ca="1" si="52"/>
        <v/>
      </c>
      <c r="D196" s="122" t="str">
        <f t="shared" ca="1" si="53"/>
        <v/>
      </c>
      <c r="E196" s="70" t="str">
        <f t="shared" ca="1" si="54"/>
        <v/>
      </c>
      <c r="F196" s="120" t="str">
        <f t="shared" ca="1" si="55"/>
        <v/>
      </c>
      <c r="G196" s="122" t="str">
        <f t="shared" ca="1" si="56"/>
        <v/>
      </c>
      <c r="H196" s="70" t="str">
        <f t="shared" ca="1" si="57"/>
        <v/>
      </c>
      <c r="I196" s="120" t="str">
        <f t="shared" ca="1" si="58"/>
        <v/>
      </c>
      <c r="J196" s="122" t="str">
        <f t="shared" ca="1" si="59"/>
        <v/>
      </c>
      <c r="K196" s="70" t="str">
        <f t="shared" ca="1" si="60"/>
        <v/>
      </c>
      <c r="L196" s="120" t="str">
        <f t="shared" ca="1" si="61"/>
        <v/>
      </c>
      <c r="M196" s="122" t="str">
        <f t="shared" ca="1" si="62"/>
        <v/>
      </c>
      <c r="N196" s="70" t="str">
        <f t="shared" ca="1" si="63"/>
        <v/>
      </c>
      <c r="O196" s="120" t="str">
        <f t="shared" ca="1" si="64"/>
        <v/>
      </c>
    </row>
    <row r="197" spans="1:15" ht="16.5" customHeight="1">
      <c r="A197" s="47">
        <v>24</v>
      </c>
      <c r="B197" s="133" t="str">
        <f>HYPERLINK("#'" &amp; TEXT(투자전략!$G$1+23, "[$-ko-KR]yyyy.mm.dd") &amp; "'!A121:O145", TEXT(투자전략!$G$1+23, "[$-ko-KR]yyyy.mm.dd"))</f>
        <v>2023.03.24</v>
      </c>
      <c r="C197" s="118" t="str">
        <f t="shared" ca="1" si="52"/>
        <v/>
      </c>
      <c r="D197" s="122" t="str">
        <f t="shared" ca="1" si="53"/>
        <v/>
      </c>
      <c r="E197" s="70" t="str">
        <f t="shared" ca="1" si="54"/>
        <v/>
      </c>
      <c r="F197" s="120" t="str">
        <f t="shared" ca="1" si="55"/>
        <v/>
      </c>
      <c r="G197" s="122" t="str">
        <f t="shared" ca="1" si="56"/>
        <v/>
      </c>
      <c r="H197" s="70" t="str">
        <f t="shared" ca="1" si="57"/>
        <v/>
      </c>
      <c r="I197" s="120" t="str">
        <f t="shared" ca="1" si="58"/>
        <v/>
      </c>
      <c r="J197" s="122" t="str">
        <f t="shared" ca="1" si="59"/>
        <v/>
      </c>
      <c r="K197" s="70" t="str">
        <f t="shared" ca="1" si="60"/>
        <v/>
      </c>
      <c r="L197" s="120" t="str">
        <f t="shared" ca="1" si="61"/>
        <v/>
      </c>
      <c r="M197" s="122" t="str">
        <f t="shared" ca="1" si="62"/>
        <v/>
      </c>
      <c r="N197" s="70" t="str">
        <f t="shared" ca="1" si="63"/>
        <v/>
      </c>
      <c r="O197" s="120" t="str">
        <f t="shared" ca="1" si="64"/>
        <v/>
      </c>
    </row>
    <row r="198" spans="1:15" ht="16.5" customHeight="1">
      <c r="A198" s="47">
        <v>25</v>
      </c>
      <c r="B198" s="133" t="str">
        <f>HYPERLINK("#'" &amp; TEXT(투자전략!$G$1+24, "[$-ko-KR]yyyy.mm.dd") &amp; "'!A121:O145", TEXT(투자전략!$G$1+24, "[$-ko-KR]yyyy.mm.dd"))</f>
        <v>2023.03.25</v>
      </c>
      <c r="C198" s="118" t="str">
        <f t="shared" ca="1" si="52"/>
        <v/>
      </c>
      <c r="D198" s="122" t="str">
        <f t="shared" ca="1" si="53"/>
        <v/>
      </c>
      <c r="E198" s="70" t="str">
        <f t="shared" ca="1" si="54"/>
        <v/>
      </c>
      <c r="F198" s="120" t="str">
        <f t="shared" ca="1" si="55"/>
        <v/>
      </c>
      <c r="G198" s="122" t="str">
        <f t="shared" ca="1" si="56"/>
        <v/>
      </c>
      <c r="H198" s="70" t="str">
        <f t="shared" ca="1" si="57"/>
        <v/>
      </c>
      <c r="I198" s="120" t="str">
        <f t="shared" ca="1" si="58"/>
        <v/>
      </c>
      <c r="J198" s="122" t="str">
        <f t="shared" ca="1" si="59"/>
        <v/>
      </c>
      <c r="K198" s="70" t="str">
        <f t="shared" ca="1" si="60"/>
        <v/>
      </c>
      <c r="L198" s="120" t="str">
        <f t="shared" ca="1" si="61"/>
        <v/>
      </c>
      <c r="M198" s="122" t="str">
        <f t="shared" ca="1" si="62"/>
        <v/>
      </c>
      <c r="N198" s="70" t="str">
        <f t="shared" ca="1" si="63"/>
        <v/>
      </c>
      <c r="O198" s="120" t="str">
        <f t="shared" ca="1" si="64"/>
        <v/>
      </c>
    </row>
    <row r="199" spans="1:15" ht="16.5" customHeight="1">
      <c r="A199" s="47">
        <v>26</v>
      </c>
      <c r="B199" s="133" t="str">
        <f>HYPERLINK("#'" &amp; TEXT(투자전략!$G$1+25, "[$-ko-KR]yyyy.mm.dd") &amp; "'!A121:O145", TEXT(투자전략!$G$1+25, "[$-ko-KR]yyyy.mm.dd"))</f>
        <v>2023.03.26</v>
      </c>
      <c r="C199" s="118" t="str">
        <f t="shared" ca="1" si="52"/>
        <v/>
      </c>
      <c r="D199" s="122" t="str">
        <f t="shared" ca="1" si="53"/>
        <v/>
      </c>
      <c r="E199" s="70" t="str">
        <f t="shared" ca="1" si="54"/>
        <v/>
      </c>
      <c r="F199" s="120" t="str">
        <f t="shared" ca="1" si="55"/>
        <v/>
      </c>
      <c r="G199" s="122" t="str">
        <f t="shared" ca="1" si="56"/>
        <v/>
      </c>
      <c r="H199" s="70" t="str">
        <f t="shared" ca="1" si="57"/>
        <v/>
      </c>
      <c r="I199" s="120" t="str">
        <f t="shared" ca="1" si="58"/>
        <v/>
      </c>
      <c r="J199" s="122" t="str">
        <f t="shared" ca="1" si="59"/>
        <v/>
      </c>
      <c r="K199" s="70" t="str">
        <f t="shared" ca="1" si="60"/>
        <v/>
      </c>
      <c r="L199" s="120" t="str">
        <f t="shared" ca="1" si="61"/>
        <v/>
      </c>
      <c r="M199" s="122" t="str">
        <f t="shared" ca="1" si="62"/>
        <v/>
      </c>
      <c r="N199" s="70" t="str">
        <f t="shared" ca="1" si="63"/>
        <v/>
      </c>
      <c r="O199" s="120" t="str">
        <f t="shared" ca="1" si="64"/>
        <v/>
      </c>
    </row>
    <row r="200" spans="1:15" ht="16.5" customHeight="1">
      <c r="A200" s="47">
        <v>27</v>
      </c>
      <c r="B200" s="133" t="str">
        <f>HYPERLINK("#'" &amp; TEXT(투자전략!$G$1+26, "[$-ko-KR]yyyy.mm.dd") &amp; "'!A121:O145", TEXT(투자전략!$G$1+26, "[$-ko-KR]yyyy.mm.dd"))</f>
        <v>2023.03.27</v>
      </c>
      <c r="C200" s="118" t="str">
        <f t="shared" ca="1" si="52"/>
        <v/>
      </c>
      <c r="D200" s="122" t="str">
        <f t="shared" ca="1" si="53"/>
        <v/>
      </c>
      <c r="E200" s="70" t="str">
        <f t="shared" ca="1" si="54"/>
        <v/>
      </c>
      <c r="F200" s="120" t="str">
        <f t="shared" ca="1" si="55"/>
        <v/>
      </c>
      <c r="G200" s="122" t="str">
        <f t="shared" ca="1" si="56"/>
        <v/>
      </c>
      <c r="H200" s="70" t="str">
        <f t="shared" ca="1" si="57"/>
        <v/>
      </c>
      <c r="I200" s="120" t="str">
        <f t="shared" ca="1" si="58"/>
        <v/>
      </c>
      <c r="J200" s="122" t="str">
        <f t="shared" ca="1" si="59"/>
        <v/>
      </c>
      <c r="K200" s="70" t="str">
        <f t="shared" ca="1" si="60"/>
        <v/>
      </c>
      <c r="L200" s="120" t="str">
        <f t="shared" ca="1" si="61"/>
        <v/>
      </c>
      <c r="M200" s="122" t="str">
        <f t="shared" ca="1" si="62"/>
        <v/>
      </c>
      <c r="N200" s="70" t="str">
        <f t="shared" ca="1" si="63"/>
        <v/>
      </c>
      <c r="O200" s="120" t="str">
        <f t="shared" ca="1" si="64"/>
        <v/>
      </c>
    </row>
    <row r="201" spans="1:15" ht="16.5" customHeight="1" thickBot="1">
      <c r="A201" s="48">
        <v>28</v>
      </c>
      <c r="B201" s="134" t="str">
        <f>HYPERLINK("#'" &amp; TEXT(투자전략!$G$1+27, "[$-ko-KR]yyyy.mm.dd") &amp; "'!A121:O145", TEXT(투자전략!$G$1+27, "[$-ko-KR]yyyy.mm.dd"))</f>
        <v>2023.03.28</v>
      </c>
      <c r="C201" s="119" t="str">
        <f t="shared" ca="1" si="52"/>
        <v/>
      </c>
      <c r="D201" s="123" t="str">
        <f t="shared" ca="1" si="53"/>
        <v/>
      </c>
      <c r="E201" s="72" t="str">
        <f t="shared" ca="1" si="54"/>
        <v/>
      </c>
      <c r="F201" s="121" t="str">
        <f t="shared" ca="1" si="55"/>
        <v/>
      </c>
      <c r="G201" s="123" t="str">
        <f t="shared" ca="1" si="56"/>
        <v/>
      </c>
      <c r="H201" s="72" t="str">
        <f t="shared" ca="1" si="57"/>
        <v/>
      </c>
      <c r="I201" s="121" t="str">
        <f t="shared" ca="1" si="58"/>
        <v/>
      </c>
      <c r="J201" s="123" t="str">
        <f t="shared" ca="1" si="59"/>
        <v/>
      </c>
      <c r="K201" s="72" t="str">
        <f t="shared" ca="1" si="60"/>
        <v/>
      </c>
      <c r="L201" s="121" t="str">
        <f t="shared" ca="1" si="61"/>
        <v/>
      </c>
      <c r="M201" s="123" t="str">
        <f t="shared" ca="1" si="62"/>
        <v/>
      </c>
      <c r="N201" s="72" t="str">
        <f t="shared" ca="1" si="63"/>
        <v/>
      </c>
      <c r="O201" s="121" t="str">
        <f t="shared" ca="1" si="64"/>
        <v/>
      </c>
    </row>
    <row r="202" spans="1:15" ht="16.5" customHeight="1">
      <c r="A202" s="105">
        <v>29</v>
      </c>
      <c r="B202" s="132" t="str">
        <f>HYPERLINK("#'" &amp; TEXT(투자전략!$G$1+28, "[$-ko-KR]yyyy.mm.dd") &amp; "'!A121:O145", TEXT(투자전략!$G$1+28, "[$-ko-KR]yyyy.mm.dd"))</f>
        <v>2023.03.29</v>
      </c>
      <c r="C202" s="118" t="str">
        <f t="shared" ca="1" si="52"/>
        <v/>
      </c>
      <c r="D202" s="122" t="str">
        <f t="shared" ca="1" si="53"/>
        <v/>
      </c>
      <c r="E202" s="70" t="str">
        <f t="shared" ca="1" si="54"/>
        <v/>
      </c>
      <c r="F202" s="120" t="str">
        <f t="shared" ca="1" si="55"/>
        <v/>
      </c>
      <c r="G202" s="122" t="str">
        <f t="shared" ca="1" si="56"/>
        <v/>
      </c>
      <c r="H202" s="70" t="str">
        <f t="shared" ca="1" si="57"/>
        <v/>
      </c>
      <c r="I202" s="120" t="str">
        <f t="shared" ca="1" si="58"/>
        <v/>
      </c>
      <c r="J202" s="122" t="str">
        <f t="shared" ca="1" si="59"/>
        <v/>
      </c>
      <c r="K202" s="70" t="str">
        <f t="shared" ca="1" si="60"/>
        <v/>
      </c>
      <c r="L202" s="120" t="str">
        <f t="shared" ca="1" si="61"/>
        <v/>
      </c>
      <c r="M202" s="122" t="str">
        <f t="shared" ca="1" si="62"/>
        <v/>
      </c>
      <c r="N202" s="70" t="str">
        <f t="shared" ca="1" si="63"/>
        <v/>
      </c>
      <c r="O202" s="120" t="str">
        <f t="shared" ca="1" si="64"/>
        <v/>
      </c>
    </row>
    <row r="203" spans="1:15" ht="16.5" customHeight="1">
      <c r="A203" s="105">
        <v>30</v>
      </c>
      <c r="B203" s="133" t="str">
        <f>HYPERLINK("#'" &amp; TEXT(투자전략!$G$1+29, "[$-ko-KR]yyyy.mm.dd") &amp; "'!A121:O145", TEXT(투자전략!$G$1+29, "[$-ko-KR]yyyy.mm.dd"))</f>
        <v>2023.03.30</v>
      </c>
      <c r="C203" s="118" t="str">
        <f t="shared" ca="1" si="52"/>
        <v/>
      </c>
      <c r="D203" s="122" t="str">
        <f t="shared" ca="1" si="53"/>
        <v/>
      </c>
      <c r="E203" s="70" t="str">
        <f t="shared" ca="1" si="54"/>
        <v/>
      </c>
      <c r="F203" s="120" t="str">
        <f t="shared" ca="1" si="55"/>
        <v/>
      </c>
      <c r="G203" s="122" t="str">
        <f t="shared" ca="1" si="56"/>
        <v/>
      </c>
      <c r="H203" s="70" t="str">
        <f t="shared" ca="1" si="57"/>
        <v/>
      </c>
      <c r="I203" s="120" t="str">
        <f t="shared" ca="1" si="58"/>
        <v/>
      </c>
      <c r="J203" s="122" t="str">
        <f t="shared" ca="1" si="59"/>
        <v/>
      </c>
      <c r="K203" s="70" t="str">
        <f t="shared" ca="1" si="60"/>
        <v/>
      </c>
      <c r="L203" s="120" t="str">
        <f t="shared" ca="1" si="61"/>
        <v/>
      </c>
      <c r="M203" s="122" t="str">
        <f t="shared" ca="1" si="62"/>
        <v/>
      </c>
      <c r="N203" s="70" t="str">
        <f t="shared" ca="1" si="63"/>
        <v/>
      </c>
      <c r="O203" s="120" t="str">
        <f t="shared" ca="1" si="64"/>
        <v/>
      </c>
    </row>
    <row r="204" spans="1:15" ht="16.5" customHeight="1" thickBot="1">
      <c r="A204" s="105">
        <v>31</v>
      </c>
      <c r="B204" s="133" t="str">
        <f>HYPERLINK("#'" &amp; TEXT(투자전략!$G$1+30, "[$-ko-KR]yyyy.mm.dd") &amp; "'!A121:O145", TEXT(투자전략!$G$1+30, "[$-ko-KR]yyyy.mm.dd"))</f>
        <v>2023.03.31</v>
      </c>
      <c r="C204" s="119" t="str">
        <f t="shared" ca="1" si="52"/>
        <v/>
      </c>
      <c r="D204" s="123" t="str">
        <f t="shared" ca="1" si="53"/>
        <v/>
      </c>
      <c r="E204" s="72" t="str">
        <f t="shared" ca="1" si="54"/>
        <v/>
      </c>
      <c r="F204" s="121" t="str">
        <f t="shared" ca="1" si="55"/>
        <v/>
      </c>
      <c r="G204" s="123" t="str">
        <f t="shared" ca="1" si="56"/>
        <v/>
      </c>
      <c r="H204" s="72" t="str">
        <f t="shared" ca="1" si="57"/>
        <v/>
      </c>
      <c r="I204" s="121" t="str">
        <f t="shared" ca="1" si="58"/>
        <v/>
      </c>
      <c r="J204" s="123" t="str">
        <f t="shared" ca="1" si="59"/>
        <v/>
      </c>
      <c r="K204" s="72" t="str">
        <f t="shared" ca="1" si="60"/>
        <v/>
      </c>
      <c r="L204" s="121" t="str">
        <f t="shared" ca="1" si="61"/>
        <v/>
      </c>
      <c r="M204" s="123" t="str">
        <f t="shared" ca="1" si="62"/>
        <v/>
      </c>
      <c r="N204" s="72" t="str">
        <f t="shared" ca="1" si="63"/>
        <v/>
      </c>
      <c r="O204" s="121" t="str">
        <f t="shared" ca="1" si="64"/>
        <v/>
      </c>
    </row>
    <row r="205" spans="1:15" ht="16.5" customHeight="1" thickBot="1">
      <c r="A205" s="144" t="s">
        <v>270</v>
      </c>
      <c r="B205" s="146"/>
      <c r="C205" s="116" t="s">
        <v>265</v>
      </c>
      <c r="D205" s="9" t="s">
        <v>266</v>
      </c>
      <c r="E205" s="63" t="s">
        <v>267</v>
      </c>
      <c r="F205" s="64" t="s">
        <v>268</v>
      </c>
      <c r="G205" s="9" t="s">
        <v>266</v>
      </c>
      <c r="H205" s="63" t="s">
        <v>267</v>
      </c>
      <c r="I205" s="64" t="s">
        <v>268</v>
      </c>
      <c r="J205" s="9" t="s">
        <v>266</v>
      </c>
      <c r="K205" s="63" t="s">
        <v>267</v>
      </c>
      <c r="L205" s="64" t="s">
        <v>268</v>
      </c>
      <c r="M205" s="9" t="s">
        <v>266</v>
      </c>
      <c r="N205" s="63" t="s">
        <v>267</v>
      </c>
      <c r="O205" s="64" t="s">
        <v>268</v>
      </c>
    </row>
    <row r="206" spans="1:15" ht="16.5" customHeight="1" thickBot="1">
      <c r="A206" s="150"/>
      <c r="B206" s="152"/>
      <c r="C206" s="119">
        <f ca="1">SUM(C174:C204)</f>
        <v>3000000</v>
      </c>
      <c r="D206" s="123">
        <f ca="1">SUM(D174:D204)</f>
        <v>3000000</v>
      </c>
      <c r="E206" s="72">
        <f ca="1">IFERROR(F206 / (SUM($C174:$C204) / COUNT($C174:$C204)), 0)</f>
        <v>0</v>
      </c>
      <c r="F206" s="121">
        <f ca="1">SUM(F174:F204)</f>
        <v>0</v>
      </c>
      <c r="G206" s="123">
        <f ca="1">SUM(G174:G204)</f>
        <v>3000000</v>
      </c>
      <c r="H206" s="72">
        <f ca="1">IFERROR(I206 / (SUM($C174:$C204) / COUNT($C174:$C204)), 0)</f>
        <v>0</v>
      </c>
      <c r="I206" s="121">
        <f ca="1">SUM(I174:I204)</f>
        <v>0</v>
      </c>
      <c r="J206" s="123">
        <f ca="1">SUM(J174:J204)</f>
        <v>3000000</v>
      </c>
      <c r="K206" s="72">
        <f ca="1">IFERROR(L206 / (SUM($C174:$C204) / COUNT($C174:$C204)), 0)</f>
        <v>0</v>
      </c>
      <c r="L206" s="121">
        <f ca="1">SUM(L174:L204)</f>
        <v>0</v>
      </c>
      <c r="M206" s="123">
        <f ca="1">SUM(M174:M204)</f>
        <v>3000000</v>
      </c>
      <c r="N206" s="72">
        <f ca="1">IFERROR(O206 / (SUM($C174:$C204) / COUNT($C174:$C204)), 0)</f>
        <v>0</v>
      </c>
      <c r="O206" s="121">
        <f ca="1">SUM(O174:O204)</f>
        <v>0</v>
      </c>
    </row>
    <row r="208" spans="1:15" ht="16.5" customHeight="1" thickBot="1"/>
    <row r="209" spans="1:15" ht="16.5" customHeight="1" thickBot="1">
      <c r="A209" s="135" t="str">
        <f>TEXT(투자전략!$G$1, "[$-ko-KR]yyyy년 mm월 ") &amp; "[동전코인] 전일대비 상승률 Bottom20 월말결산"</f>
        <v>2023년 03월 [동전코인] 전일대비 상승률 Bottom20 월말결산</v>
      </c>
      <c r="B209" s="136"/>
      <c r="C209" s="136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7"/>
    </row>
    <row r="210" spans="1:15" ht="16.5" customHeight="1" thickBot="1">
      <c r="A210" s="196" t="s">
        <v>271</v>
      </c>
      <c r="B210" s="150" t="s">
        <v>269</v>
      </c>
      <c r="C210" s="152"/>
      <c r="D210" s="150" t="s">
        <v>261</v>
      </c>
      <c r="E210" s="151"/>
      <c r="F210" s="152"/>
      <c r="G210" s="150" t="s">
        <v>262</v>
      </c>
      <c r="H210" s="151"/>
      <c r="I210" s="152"/>
      <c r="J210" s="150" t="s">
        <v>263</v>
      </c>
      <c r="K210" s="151"/>
      <c r="L210" s="152"/>
      <c r="M210" s="150" t="s">
        <v>264</v>
      </c>
      <c r="N210" s="151"/>
      <c r="O210" s="152"/>
    </row>
    <row r="211" spans="1:15" ht="16.5" customHeight="1" thickBot="1">
      <c r="A211" s="200"/>
      <c r="B211" s="46" t="s">
        <v>259</v>
      </c>
      <c r="C211" s="46" t="s">
        <v>42</v>
      </c>
      <c r="D211" s="105" t="s">
        <v>260</v>
      </c>
      <c r="E211" s="106" t="s">
        <v>40</v>
      </c>
      <c r="F211" s="81" t="s">
        <v>41</v>
      </c>
      <c r="G211" s="105" t="s">
        <v>260</v>
      </c>
      <c r="H211" s="106" t="s">
        <v>40</v>
      </c>
      <c r="I211" s="81" t="s">
        <v>41</v>
      </c>
      <c r="J211" s="105" t="s">
        <v>260</v>
      </c>
      <c r="K211" s="106" t="s">
        <v>40</v>
      </c>
      <c r="L211" s="81" t="s">
        <v>41</v>
      </c>
      <c r="M211" s="105" t="s">
        <v>260</v>
      </c>
      <c r="N211" s="106" t="s">
        <v>40</v>
      </c>
      <c r="O211" s="81" t="s">
        <v>41</v>
      </c>
    </row>
    <row r="212" spans="1:15" ht="16.5" customHeight="1">
      <c r="A212" s="46">
        <v>1</v>
      </c>
      <c r="B212" s="132" t="str">
        <f>HYPERLINK("#'" &amp; TEXT(투자전략!$G$1+0, "[$-ko-KR]yyyy.mm.dd") &amp; "'!A148:O172", TEXT(투자전략!$G$1+0, "[$-ko-KR]yyyy.mm.dd"))</f>
        <v>2023.03.01</v>
      </c>
      <c r="C212" s="117">
        <f ca="1">IFERROR(COUNTA(INDIRECT($B212&amp;"!A152:A171")) * INDIRECT($B212&amp;"!B172"), "")</f>
        <v>3000000</v>
      </c>
      <c r="D212" s="125">
        <f ca="1">IFERROR($C212 * (1 + E212), "")</f>
        <v>3000000</v>
      </c>
      <c r="E212" s="69">
        <f ca="1">IFERROR(INDIRECT($B212&amp;"!E172"), "")</f>
        <v>0</v>
      </c>
      <c r="F212" s="124">
        <f ca="1">IFERROR(INDIRECT($B212&amp;"!F172"), "")</f>
        <v>0</v>
      </c>
      <c r="G212" s="125">
        <f ca="1">IFERROR($C212 * (1 + H212), "")</f>
        <v>3000000</v>
      </c>
      <c r="H212" s="69">
        <f ca="1">IFERROR(INDIRECT($B212&amp;"!H172"), "")</f>
        <v>0</v>
      </c>
      <c r="I212" s="124">
        <f ca="1">IFERROR(INDIRECT($B212&amp;"!I172"), "")</f>
        <v>0</v>
      </c>
      <c r="J212" s="125">
        <f ca="1">IFERROR($C212 * (1 + K212), "")</f>
        <v>3000000</v>
      </c>
      <c r="K212" s="69">
        <f ca="1">IFERROR(INDIRECT($B212&amp;"!K172"), "")</f>
        <v>0</v>
      </c>
      <c r="L212" s="124">
        <f ca="1">IFERROR(INDIRECT($B212&amp;"!L172"), "")</f>
        <v>0</v>
      </c>
      <c r="M212" s="125">
        <f ca="1">IFERROR($C212 * (1 + N212), "")</f>
        <v>3000000</v>
      </c>
      <c r="N212" s="69">
        <f ca="1">IFERROR(INDIRECT($B212&amp;"!N172"), "")</f>
        <v>0</v>
      </c>
      <c r="O212" s="124">
        <f ca="1">IFERROR(INDIRECT($B212&amp;"!O172"), "")</f>
        <v>0</v>
      </c>
    </row>
    <row r="213" spans="1:15" ht="16.5" customHeight="1">
      <c r="A213" s="47">
        <v>2</v>
      </c>
      <c r="B213" s="133" t="str">
        <f>HYPERLINK("#'" &amp; TEXT(투자전략!$G$1+1, "[$-ko-KR]yyyy.mm.dd") &amp; "'!A148:O172", TEXT(투자전략!$G$1+1, "[$-ko-KR]yyyy.mm.dd"))</f>
        <v>2023.03.02</v>
      </c>
      <c r="C213" s="118" t="str">
        <f t="shared" ref="C213:C242" ca="1" si="65">IFERROR(COUNTA(INDIRECT($B213&amp;"!A152:A171")) * INDIRECT($B213&amp;"!B172"), "")</f>
        <v/>
      </c>
      <c r="D213" s="122" t="str">
        <f t="shared" ref="D213:D242" ca="1" si="66">IFERROR($C213 * (1 + E213), "")</f>
        <v/>
      </c>
      <c r="E213" s="70" t="str">
        <f t="shared" ref="E213:E242" ca="1" si="67">IFERROR(INDIRECT($B213&amp;"!E172"), "")</f>
        <v/>
      </c>
      <c r="F213" s="120" t="str">
        <f t="shared" ref="F213:F242" ca="1" si="68">IFERROR(INDIRECT($B213&amp;"!F172"), "")</f>
        <v/>
      </c>
      <c r="G213" s="122" t="str">
        <f t="shared" ref="G213:G242" ca="1" si="69">IFERROR($C213 * (1 + H213), "")</f>
        <v/>
      </c>
      <c r="H213" s="70" t="str">
        <f t="shared" ref="H213:H242" ca="1" si="70">IFERROR(INDIRECT($B213&amp;"!H172"), "")</f>
        <v/>
      </c>
      <c r="I213" s="120" t="str">
        <f t="shared" ref="I213:I242" ca="1" si="71">IFERROR(INDIRECT($B213&amp;"!I172"), "")</f>
        <v/>
      </c>
      <c r="J213" s="122" t="str">
        <f t="shared" ref="J213:J242" ca="1" si="72">IFERROR($C213 * (1 + K213), "")</f>
        <v/>
      </c>
      <c r="K213" s="70" t="str">
        <f t="shared" ref="K213:K242" ca="1" si="73">IFERROR(INDIRECT($B213&amp;"!K172"), "")</f>
        <v/>
      </c>
      <c r="L213" s="120" t="str">
        <f t="shared" ref="L213:L242" ca="1" si="74">IFERROR(INDIRECT($B213&amp;"!L172"), "")</f>
        <v/>
      </c>
      <c r="M213" s="122" t="str">
        <f t="shared" ref="M213:M242" ca="1" si="75">IFERROR($C213 * (1 + N213), "")</f>
        <v/>
      </c>
      <c r="N213" s="70" t="str">
        <f t="shared" ref="N213:N242" ca="1" si="76">IFERROR(INDIRECT($B213&amp;"!N172"), "")</f>
        <v/>
      </c>
      <c r="O213" s="120" t="str">
        <f t="shared" ref="O213:O242" ca="1" si="77">IFERROR(INDIRECT($B213&amp;"!O172"), "")</f>
        <v/>
      </c>
    </row>
    <row r="214" spans="1:15" ht="16.5" customHeight="1">
      <c r="A214" s="47">
        <v>3</v>
      </c>
      <c r="B214" s="133" t="str">
        <f>HYPERLINK("#'" &amp; TEXT(투자전략!$G$1+2, "[$-ko-KR]yyyy.mm.dd") &amp; "'!A148:O172", TEXT(투자전략!$G$1+2, "[$-ko-KR]yyyy.mm.dd"))</f>
        <v>2023.03.03</v>
      </c>
      <c r="C214" s="118" t="str">
        <f t="shared" ca="1" si="65"/>
        <v/>
      </c>
      <c r="D214" s="122" t="str">
        <f t="shared" ca="1" si="66"/>
        <v/>
      </c>
      <c r="E214" s="70" t="str">
        <f t="shared" ca="1" si="67"/>
        <v/>
      </c>
      <c r="F214" s="120" t="str">
        <f t="shared" ca="1" si="68"/>
        <v/>
      </c>
      <c r="G214" s="122" t="str">
        <f t="shared" ca="1" si="69"/>
        <v/>
      </c>
      <c r="H214" s="70" t="str">
        <f t="shared" ca="1" si="70"/>
        <v/>
      </c>
      <c r="I214" s="120" t="str">
        <f t="shared" ca="1" si="71"/>
        <v/>
      </c>
      <c r="J214" s="122" t="str">
        <f t="shared" ca="1" si="72"/>
        <v/>
      </c>
      <c r="K214" s="70" t="str">
        <f t="shared" ca="1" si="73"/>
        <v/>
      </c>
      <c r="L214" s="120" t="str">
        <f t="shared" ca="1" si="74"/>
        <v/>
      </c>
      <c r="M214" s="122" t="str">
        <f t="shared" ca="1" si="75"/>
        <v/>
      </c>
      <c r="N214" s="70" t="str">
        <f t="shared" ca="1" si="76"/>
        <v/>
      </c>
      <c r="O214" s="120" t="str">
        <f t="shared" ca="1" si="77"/>
        <v/>
      </c>
    </row>
    <row r="215" spans="1:15" ht="16.5" customHeight="1">
      <c r="A215" s="47">
        <v>4</v>
      </c>
      <c r="B215" s="133" t="str">
        <f>HYPERLINK("#'" &amp; TEXT(투자전략!$G$1+3, "[$-ko-KR]yyyy.mm.dd") &amp; "'!A148:O172", TEXT(투자전략!$G$1+3, "[$-ko-KR]yyyy.mm.dd"))</f>
        <v>2023.03.04</v>
      </c>
      <c r="C215" s="118" t="str">
        <f t="shared" ca="1" si="65"/>
        <v/>
      </c>
      <c r="D215" s="122" t="str">
        <f t="shared" ca="1" si="66"/>
        <v/>
      </c>
      <c r="E215" s="70" t="str">
        <f t="shared" ca="1" si="67"/>
        <v/>
      </c>
      <c r="F215" s="120" t="str">
        <f t="shared" ca="1" si="68"/>
        <v/>
      </c>
      <c r="G215" s="122" t="str">
        <f t="shared" ca="1" si="69"/>
        <v/>
      </c>
      <c r="H215" s="70" t="str">
        <f t="shared" ca="1" si="70"/>
        <v/>
      </c>
      <c r="I215" s="120" t="str">
        <f t="shared" ca="1" si="71"/>
        <v/>
      </c>
      <c r="J215" s="122" t="str">
        <f t="shared" ca="1" si="72"/>
        <v/>
      </c>
      <c r="K215" s="70" t="str">
        <f t="shared" ca="1" si="73"/>
        <v/>
      </c>
      <c r="L215" s="120" t="str">
        <f t="shared" ca="1" si="74"/>
        <v/>
      </c>
      <c r="M215" s="122" t="str">
        <f t="shared" ca="1" si="75"/>
        <v/>
      </c>
      <c r="N215" s="70" t="str">
        <f t="shared" ca="1" si="76"/>
        <v/>
      </c>
      <c r="O215" s="120" t="str">
        <f t="shared" ca="1" si="77"/>
        <v/>
      </c>
    </row>
    <row r="216" spans="1:15" ht="16.5" customHeight="1">
      <c r="A216" s="47">
        <v>5</v>
      </c>
      <c r="B216" s="133" t="str">
        <f>HYPERLINK("#'" &amp; TEXT(투자전략!$G$1+4, "[$-ko-KR]yyyy.mm.dd") &amp; "'!A148:O172", TEXT(투자전략!$G$1+4, "[$-ko-KR]yyyy.mm.dd"))</f>
        <v>2023.03.05</v>
      </c>
      <c r="C216" s="118" t="str">
        <f t="shared" ca="1" si="65"/>
        <v/>
      </c>
      <c r="D216" s="122" t="str">
        <f t="shared" ca="1" si="66"/>
        <v/>
      </c>
      <c r="E216" s="70" t="str">
        <f t="shared" ca="1" si="67"/>
        <v/>
      </c>
      <c r="F216" s="120" t="str">
        <f t="shared" ca="1" si="68"/>
        <v/>
      </c>
      <c r="G216" s="122" t="str">
        <f t="shared" ca="1" si="69"/>
        <v/>
      </c>
      <c r="H216" s="70" t="str">
        <f t="shared" ca="1" si="70"/>
        <v/>
      </c>
      <c r="I216" s="120" t="str">
        <f t="shared" ca="1" si="71"/>
        <v/>
      </c>
      <c r="J216" s="122" t="str">
        <f t="shared" ca="1" si="72"/>
        <v/>
      </c>
      <c r="K216" s="70" t="str">
        <f t="shared" ca="1" si="73"/>
        <v/>
      </c>
      <c r="L216" s="120" t="str">
        <f t="shared" ca="1" si="74"/>
        <v/>
      </c>
      <c r="M216" s="122" t="str">
        <f t="shared" ca="1" si="75"/>
        <v/>
      </c>
      <c r="N216" s="70" t="str">
        <f t="shared" ca="1" si="76"/>
        <v/>
      </c>
      <c r="O216" s="120" t="str">
        <f t="shared" ca="1" si="77"/>
        <v/>
      </c>
    </row>
    <row r="217" spans="1:15" ht="16.5" customHeight="1">
      <c r="A217" s="47">
        <v>6</v>
      </c>
      <c r="B217" s="133" t="str">
        <f>HYPERLINK("#'" &amp; TEXT(투자전략!$G$1+5, "[$-ko-KR]yyyy.mm.dd") &amp; "'!A148:O172", TEXT(투자전략!$G$1+5, "[$-ko-KR]yyyy.mm.dd"))</f>
        <v>2023.03.06</v>
      </c>
      <c r="C217" s="118" t="str">
        <f t="shared" ca="1" si="65"/>
        <v/>
      </c>
      <c r="D217" s="122" t="str">
        <f t="shared" ca="1" si="66"/>
        <v/>
      </c>
      <c r="E217" s="70" t="str">
        <f t="shared" ca="1" si="67"/>
        <v/>
      </c>
      <c r="F217" s="120" t="str">
        <f t="shared" ca="1" si="68"/>
        <v/>
      </c>
      <c r="G217" s="122" t="str">
        <f t="shared" ca="1" si="69"/>
        <v/>
      </c>
      <c r="H217" s="70" t="str">
        <f t="shared" ca="1" si="70"/>
        <v/>
      </c>
      <c r="I217" s="120" t="str">
        <f t="shared" ca="1" si="71"/>
        <v/>
      </c>
      <c r="J217" s="122" t="str">
        <f t="shared" ca="1" si="72"/>
        <v/>
      </c>
      <c r="K217" s="70" t="str">
        <f t="shared" ca="1" si="73"/>
        <v/>
      </c>
      <c r="L217" s="120" t="str">
        <f t="shared" ca="1" si="74"/>
        <v/>
      </c>
      <c r="M217" s="122" t="str">
        <f t="shared" ca="1" si="75"/>
        <v/>
      </c>
      <c r="N217" s="70" t="str">
        <f t="shared" ca="1" si="76"/>
        <v/>
      </c>
      <c r="O217" s="120" t="str">
        <f t="shared" ca="1" si="77"/>
        <v/>
      </c>
    </row>
    <row r="218" spans="1:15" ht="16.5" customHeight="1" thickBot="1">
      <c r="A218" s="48">
        <v>7</v>
      </c>
      <c r="B218" s="134" t="str">
        <f>HYPERLINK("#'" &amp; TEXT(투자전략!$G$1+6, "[$-ko-KR]yyyy.mm.dd") &amp; "'!A148:O172", TEXT(투자전략!$G$1+6, "[$-ko-KR]yyyy.mm.dd"))</f>
        <v>2023.03.07</v>
      </c>
      <c r="C218" s="118" t="str">
        <f t="shared" ca="1" si="65"/>
        <v/>
      </c>
      <c r="D218" s="122" t="str">
        <f t="shared" ca="1" si="66"/>
        <v/>
      </c>
      <c r="E218" s="70" t="str">
        <f t="shared" ca="1" si="67"/>
        <v/>
      </c>
      <c r="F218" s="120" t="str">
        <f t="shared" ca="1" si="68"/>
        <v/>
      </c>
      <c r="G218" s="122" t="str">
        <f t="shared" ca="1" si="69"/>
        <v/>
      </c>
      <c r="H218" s="70" t="str">
        <f t="shared" ca="1" si="70"/>
        <v/>
      </c>
      <c r="I218" s="120" t="str">
        <f t="shared" ca="1" si="71"/>
        <v/>
      </c>
      <c r="J218" s="122" t="str">
        <f t="shared" ca="1" si="72"/>
        <v/>
      </c>
      <c r="K218" s="70" t="str">
        <f t="shared" ca="1" si="73"/>
        <v/>
      </c>
      <c r="L218" s="120" t="str">
        <f t="shared" ca="1" si="74"/>
        <v/>
      </c>
      <c r="M218" s="122" t="str">
        <f t="shared" ca="1" si="75"/>
        <v/>
      </c>
      <c r="N218" s="70" t="str">
        <f t="shared" ca="1" si="76"/>
        <v/>
      </c>
      <c r="O218" s="120" t="str">
        <f t="shared" ca="1" si="77"/>
        <v/>
      </c>
    </row>
    <row r="219" spans="1:15" ht="16.5" customHeight="1">
      <c r="A219" s="46">
        <v>8</v>
      </c>
      <c r="B219" s="132" t="str">
        <f>HYPERLINK("#'" &amp; TEXT(투자전략!$G$1+7, "[$-ko-KR]yyyy.mm.dd") &amp; "'!A148:O172", TEXT(투자전략!$G$1+7, "[$-ko-KR]yyyy.mm.dd"))</f>
        <v>2023.03.08</v>
      </c>
      <c r="C219" s="117" t="str">
        <f t="shared" ca="1" si="65"/>
        <v/>
      </c>
      <c r="D219" s="125" t="str">
        <f t="shared" ca="1" si="66"/>
        <v/>
      </c>
      <c r="E219" s="69" t="str">
        <f t="shared" ca="1" si="67"/>
        <v/>
      </c>
      <c r="F219" s="124" t="str">
        <f t="shared" ca="1" si="68"/>
        <v/>
      </c>
      <c r="G219" s="125" t="str">
        <f t="shared" ca="1" si="69"/>
        <v/>
      </c>
      <c r="H219" s="69" t="str">
        <f t="shared" ca="1" si="70"/>
        <v/>
      </c>
      <c r="I219" s="124" t="str">
        <f t="shared" ca="1" si="71"/>
        <v/>
      </c>
      <c r="J219" s="125" t="str">
        <f t="shared" ca="1" si="72"/>
        <v/>
      </c>
      <c r="K219" s="69" t="str">
        <f t="shared" ca="1" si="73"/>
        <v/>
      </c>
      <c r="L219" s="124" t="str">
        <f t="shared" ca="1" si="74"/>
        <v/>
      </c>
      <c r="M219" s="125" t="str">
        <f t="shared" ca="1" si="75"/>
        <v/>
      </c>
      <c r="N219" s="69" t="str">
        <f t="shared" ca="1" si="76"/>
        <v/>
      </c>
      <c r="O219" s="124" t="str">
        <f t="shared" ca="1" si="77"/>
        <v/>
      </c>
    </row>
    <row r="220" spans="1:15" ht="16.5" customHeight="1">
      <c r="A220" s="47">
        <v>9</v>
      </c>
      <c r="B220" s="133" t="str">
        <f>HYPERLINK("#'" &amp; TEXT(투자전략!$G$1+8, "[$-ko-KR]yyyy.mm.dd") &amp; "'!A148:O172", TEXT(투자전략!$G$1+8, "[$-ko-KR]yyyy.mm.dd"))</f>
        <v>2023.03.09</v>
      </c>
      <c r="C220" s="118" t="str">
        <f t="shared" ca="1" si="65"/>
        <v/>
      </c>
      <c r="D220" s="122" t="str">
        <f t="shared" ca="1" si="66"/>
        <v/>
      </c>
      <c r="E220" s="70" t="str">
        <f t="shared" ca="1" si="67"/>
        <v/>
      </c>
      <c r="F220" s="120" t="str">
        <f t="shared" ca="1" si="68"/>
        <v/>
      </c>
      <c r="G220" s="122" t="str">
        <f t="shared" ca="1" si="69"/>
        <v/>
      </c>
      <c r="H220" s="70" t="str">
        <f t="shared" ca="1" si="70"/>
        <v/>
      </c>
      <c r="I220" s="120" t="str">
        <f t="shared" ca="1" si="71"/>
        <v/>
      </c>
      <c r="J220" s="122" t="str">
        <f t="shared" ca="1" si="72"/>
        <v/>
      </c>
      <c r="K220" s="70" t="str">
        <f t="shared" ca="1" si="73"/>
        <v/>
      </c>
      <c r="L220" s="120" t="str">
        <f t="shared" ca="1" si="74"/>
        <v/>
      </c>
      <c r="M220" s="122" t="str">
        <f t="shared" ca="1" si="75"/>
        <v/>
      </c>
      <c r="N220" s="70" t="str">
        <f t="shared" ca="1" si="76"/>
        <v/>
      </c>
      <c r="O220" s="120" t="str">
        <f t="shared" ca="1" si="77"/>
        <v/>
      </c>
    </row>
    <row r="221" spans="1:15" ht="16.5" customHeight="1">
      <c r="A221" s="47">
        <v>10</v>
      </c>
      <c r="B221" s="133" t="str">
        <f>HYPERLINK("#'" &amp; TEXT(투자전략!$G$1+9, "[$-ko-KR]yyyy.mm.dd") &amp; "'!A148:O172", TEXT(투자전략!$G$1+9, "[$-ko-KR]yyyy.mm.dd"))</f>
        <v>2023.03.10</v>
      </c>
      <c r="C221" s="118" t="str">
        <f t="shared" ca="1" si="65"/>
        <v/>
      </c>
      <c r="D221" s="122" t="str">
        <f t="shared" ca="1" si="66"/>
        <v/>
      </c>
      <c r="E221" s="70" t="str">
        <f t="shared" ca="1" si="67"/>
        <v/>
      </c>
      <c r="F221" s="120" t="str">
        <f t="shared" ca="1" si="68"/>
        <v/>
      </c>
      <c r="G221" s="122" t="str">
        <f t="shared" ca="1" si="69"/>
        <v/>
      </c>
      <c r="H221" s="70" t="str">
        <f t="shared" ca="1" si="70"/>
        <v/>
      </c>
      <c r="I221" s="120" t="str">
        <f t="shared" ca="1" si="71"/>
        <v/>
      </c>
      <c r="J221" s="122" t="str">
        <f t="shared" ca="1" si="72"/>
        <v/>
      </c>
      <c r="K221" s="70" t="str">
        <f t="shared" ca="1" si="73"/>
        <v/>
      </c>
      <c r="L221" s="120" t="str">
        <f t="shared" ca="1" si="74"/>
        <v/>
      </c>
      <c r="M221" s="122" t="str">
        <f t="shared" ca="1" si="75"/>
        <v/>
      </c>
      <c r="N221" s="70" t="str">
        <f t="shared" ca="1" si="76"/>
        <v/>
      </c>
      <c r="O221" s="120" t="str">
        <f t="shared" ca="1" si="77"/>
        <v/>
      </c>
    </row>
    <row r="222" spans="1:15" ht="16.5" customHeight="1">
      <c r="A222" s="47">
        <v>11</v>
      </c>
      <c r="B222" s="133" t="str">
        <f>HYPERLINK("#'" &amp; TEXT(투자전략!$G$1+10, "[$-ko-KR]yyyy.mm.dd") &amp; "'!A148:O172", TEXT(투자전략!$G$1+10, "[$-ko-KR]yyyy.mm.dd"))</f>
        <v>2023.03.11</v>
      </c>
      <c r="C222" s="118" t="str">
        <f t="shared" ca="1" si="65"/>
        <v/>
      </c>
      <c r="D222" s="122" t="str">
        <f t="shared" ca="1" si="66"/>
        <v/>
      </c>
      <c r="E222" s="70" t="str">
        <f t="shared" ca="1" si="67"/>
        <v/>
      </c>
      <c r="F222" s="120" t="str">
        <f t="shared" ca="1" si="68"/>
        <v/>
      </c>
      <c r="G222" s="122" t="str">
        <f t="shared" ca="1" si="69"/>
        <v/>
      </c>
      <c r="H222" s="70" t="str">
        <f t="shared" ca="1" si="70"/>
        <v/>
      </c>
      <c r="I222" s="120" t="str">
        <f t="shared" ca="1" si="71"/>
        <v/>
      </c>
      <c r="J222" s="122" t="str">
        <f t="shared" ca="1" si="72"/>
        <v/>
      </c>
      <c r="K222" s="70" t="str">
        <f t="shared" ca="1" si="73"/>
        <v/>
      </c>
      <c r="L222" s="120" t="str">
        <f t="shared" ca="1" si="74"/>
        <v/>
      </c>
      <c r="M222" s="122" t="str">
        <f t="shared" ca="1" si="75"/>
        <v/>
      </c>
      <c r="N222" s="70" t="str">
        <f t="shared" ca="1" si="76"/>
        <v/>
      </c>
      <c r="O222" s="120" t="str">
        <f t="shared" ca="1" si="77"/>
        <v/>
      </c>
    </row>
    <row r="223" spans="1:15" ht="16.5" customHeight="1">
      <c r="A223" s="47">
        <v>12</v>
      </c>
      <c r="B223" s="133" t="str">
        <f>HYPERLINK("#'" &amp; TEXT(투자전략!$G$1+11, "[$-ko-KR]yyyy.mm.dd") &amp; "'!A148:O172", TEXT(투자전략!$G$1+11, "[$-ko-KR]yyyy.mm.dd"))</f>
        <v>2023.03.12</v>
      </c>
      <c r="C223" s="118" t="str">
        <f t="shared" ca="1" si="65"/>
        <v/>
      </c>
      <c r="D223" s="122" t="str">
        <f t="shared" ca="1" si="66"/>
        <v/>
      </c>
      <c r="E223" s="70" t="str">
        <f t="shared" ca="1" si="67"/>
        <v/>
      </c>
      <c r="F223" s="120" t="str">
        <f t="shared" ca="1" si="68"/>
        <v/>
      </c>
      <c r="G223" s="122" t="str">
        <f t="shared" ca="1" si="69"/>
        <v/>
      </c>
      <c r="H223" s="70" t="str">
        <f t="shared" ca="1" si="70"/>
        <v/>
      </c>
      <c r="I223" s="120" t="str">
        <f t="shared" ca="1" si="71"/>
        <v/>
      </c>
      <c r="J223" s="122" t="str">
        <f t="shared" ca="1" si="72"/>
        <v/>
      </c>
      <c r="K223" s="70" t="str">
        <f t="shared" ca="1" si="73"/>
        <v/>
      </c>
      <c r="L223" s="120" t="str">
        <f t="shared" ca="1" si="74"/>
        <v/>
      </c>
      <c r="M223" s="122" t="str">
        <f t="shared" ca="1" si="75"/>
        <v/>
      </c>
      <c r="N223" s="70" t="str">
        <f t="shared" ca="1" si="76"/>
        <v/>
      </c>
      <c r="O223" s="120" t="str">
        <f t="shared" ca="1" si="77"/>
        <v/>
      </c>
    </row>
    <row r="224" spans="1:15" ht="16.5" customHeight="1">
      <c r="A224" s="47">
        <v>13</v>
      </c>
      <c r="B224" s="133" t="str">
        <f>HYPERLINK("#'" &amp; TEXT(투자전략!$G$1+12, "[$-ko-KR]yyyy.mm.dd") &amp; "'!A148:O172", TEXT(투자전략!$G$1+12, "[$-ko-KR]yyyy.mm.dd"))</f>
        <v>2023.03.13</v>
      </c>
      <c r="C224" s="118" t="str">
        <f t="shared" ca="1" si="65"/>
        <v/>
      </c>
      <c r="D224" s="122" t="str">
        <f t="shared" ca="1" si="66"/>
        <v/>
      </c>
      <c r="E224" s="70" t="str">
        <f t="shared" ca="1" si="67"/>
        <v/>
      </c>
      <c r="F224" s="120" t="str">
        <f t="shared" ca="1" si="68"/>
        <v/>
      </c>
      <c r="G224" s="122" t="str">
        <f t="shared" ca="1" si="69"/>
        <v/>
      </c>
      <c r="H224" s="70" t="str">
        <f t="shared" ca="1" si="70"/>
        <v/>
      </c>
      <c r="I224" s="120" t="str">
        <f t="shared" ca="1" si="71"/>
        <v/>
      </c>
      <c r="J224" s="122" t="str">
        <f t="shared" ca="1" si="72"/>
        <v/>
      </c>
      <c r="K224" s="70" t="str">
        <f t="shared" ca="1" si="73"/>
        <v/>
      </c>
      <c r="L224" s="120" t="str">
        <f t="shared" ca="1" si="74"/>
        <v/>
      </c>
      <c r="M224" s="122" t="str">
        <f t="shared" ca="1" si="75"/>
        <v/>
      </c>
      <c r="N224" s="70" t="str">
        <f t="shared" ca="1" si="76"/>
        <v/>
      </c>
      <c r="O224" s="120" t="str">
        <f t="shared" ca="1" si="77"/>
        <v/>
      </c>
    </row>
    <row r="225" spans="1:15" ht="16.5" customHeight="1" thickBot="1">
      <c r="A225" s="48">
        <v>14</v>
      </c>
      <c r="B225" s="134" t="str">
        <f>HYPERLINK("#'" &amp; TEXT(투자전략!$G$1+13, "[$-ko-KR]yyyy.mm.dd") &amp; "'!A148:O172", TEXT(투자전략!$G$1+13, "[$-ko-KR]yyyy.mm.dd"))</f>
        <v>2023.03.14</v>
      </c>
      <c r="C225" s="119" t="str">
        <f t="shared" ca="1" si="65"/>
        <v/>
      </c>
      <c r="D225" s="123" t="str">
        <f t="shared" ca="1" si="66"/>
        <v/>
      </c>
      <c r="E225" s="72" t="str">
        <f t="shared" ca="1" si="67"/>
        <v/>
      </c>
      <c r="F225" s="121" t="str">
        <f t="shared" ca="1" si="68"/>
        <v/>
      </c>
      <c r="G225" s="123" t="str">
        <f t="shared" ca="1" si="69"/>
        <v/>
      </c>
      <c r="H225" s="72" t="str">
        <f t="shared" ca="1" si="70"/>
        <v/>
      </c>
      <c r="I225" s="121" t="str">
        <f t="shared" ca="1" si="71"/>
        <v/>
      </c>
      <c r="J225" s="123" t="str">
        <f t="shared" ca="1" si="72"/>
        <v/>
      </c>
      <c r="K225" s="72" t="str">
        <f t="shared" ca="1" si="73"/>
        <v/>
      </c>
      <c r="L225" s="121" t="str">
        <f t="shared" ca="1" si="74"/>
        <v/>
      </c>
      <c r="M225" s="123" t="str">
        <f t="shared" ca="1" si="75"/>
        <v/>
      </c>
      <c r="N225" s="72" t="str">
        <f t="shared" ca="1" si="76"/>
        <v/>
      </c>
      <c r="O225" s="121" t="str">
        <f t="shared" ca="1" si="77"/>
        <v/>
      </c>
    </row>
    <row r="226" spans="1:15" ht="16.5" customHeight="1">
      <c r="A226" s="46">
        <v>15</v>
      </c>
      <c r="B226" s="132" t="str">
        <f>HYPERLINK("#'" &amp; TEXT(투자전략!$G$1+14, "[$-ko-KR]yyyy.mm.dd") &amp; "'!A148:O172", TEXT(투자전략!$G$1+14, "[$-ko-KR]yyyy.mm.dd"))</f>
        <v>2023.03.15</v>
      </c>
      <c r="C226" s="118" t="str">
        <f t="shared" ca="1" si="65"/>
        <v/>
      </c>
      <c r="D226" s="122" t="str">
        <f t="shared" ca="1" si="66"/>
        <v/>
      </c>
      <c r="E226" s="70" t="str">
        <f t="shared" ca="1" si="67"/>
        <v/>
      </c>
      <c r="F226" s="120" t="str">
        <f t="shared" ca="1" si="68"/>
        <v/>
      </c>
      <c r="G226" s="122" t="str">
        <f t="shared" ca="1" si="69"/>
        <v/>
      </c>
      <c r="H226" s="70" t="str">
        <f t="shared" ca="1" si="70"/>
        <v/>
      </c>
      <c r="I226" s="120" t="str">
        <f t="shared" ca="1" si="71"/>
        <v/>
      </c>
      <c r="J226" s="122" t="str">
        <f t="shared" ca="1" si="72"/>
        <v/>
      </c>
      <c r="K226" s="70" t="str">
        <f t="shared" ca="1" si="73"/>
        <v/>
      </c>
      <c r="L226" s="120" t="str">
        <f t="shared" ca="1" si="74"/>
        <v/>
      </c>
      <c r="M226" s="122" t="str">
        <f t="shared" ca="1" si="75"/>
        <v/>
      </c>
      <c r="N226" s="70" t="str">
        <f t="shared" ca="1" si="76"/>
        <v/>
      </c>
      <c r="O226" s="120" t="str">
        <f t="shared" ca="1" si="77"/>
        <v/>
      </c>
    </row>
    <row r="227" spans="1:15" ht="16.5" customHeight="1">
      <c r="A227" s="47">
        <v>16</v>
      </c>
      <c r="B227" s="133" t="str">
        <f>HYPERLINK("#'" &amp; TEXT(투자전략!$G$1+15, "[$-ko-KR]yyyy.mm.dd") &amp; "'!A148:O172", TEXT(투자전략!$G$1+15, "[$-ko-KR]yyyy.mm.dd"))</f>
        <v>2023.03.16</v>
      </c>
      <c r="C227" s="118" t="str">
        <f t="shared" ca="1" si="65"/>
        <v/>
      </c>
      <c r="D227" s="122" t="str">
        <f t="shared" ca="1" si="66"/>
        <v/>
      </c>
      <c r="E227" s="70" t="str">
        <f t="shared" ca="1" si="67"/>
        <v/>
      </c>
      <c r="F227" s="120" t="str">
        <f t="shared" ca="1" si="68"/>
        <v/>
      </c>
      <c r="G227" s="122" t="str">
        <f t="shared" ca="1" si="69"/>
        <v/>
      </c>
      <c r="H227" s="70" t="str">
        <f t="shared" ca="1" si="70"/>
        <v/>
      </c>
      <c r="I227" s="120" t="str">
        <f t="shared" ca="1" si="71"/>
        <v/>
      </c>
      <c r="J227" s="122" t="str">
        <f t="shared" ca="1" si="72"/>
        <v/>
      </c>
      <c r="K227" s="70" t="str">
        <f t="shared" ca="1" si="73"/>
        <v/>
      </c>
      <c r="L227" s="120" t="str">
        <f t="shared" ca="1" si="74"/>
        <v/>
      </c>
      <c r="M227" s="122" t="str">
        <f t="shared" ca="1" si="75"/>
        <v/>
      </c>
      <c r="N227" s="70" t="str">
        <f t="shared" ca="1" si="76"/>
        <v/>
      </c>
      <c r="O227" s="120" t="str">
        <f t="shared" ca="1" si="77"/>
        <v/>
      </c>
    </row>
    <row r="228" spans="1:15" ht="16.5" customHeight="1">
      <c r="A228" s="47">
        <v>17</v>
      </c>
      <c r="B228" s="133" t="str">
        <f>HYPERLINK("#'" &amp; TEXT(투자전략!$G$1+16, "[$-ko-KR]yyyy.mm.dd") &amp; "'!A148:O172", TEXT(투자전략!$G$1+16, "[$-ko-KR]yyyy.mm.dd"))</f>
        <v>2023.03.17</v>
      </c>
      <c r="C228" s="118" t="str">
        <f t="shared" ca="1" si="65"/>
        <v/>
      </c>
      <c r="D228" s="122" t="str">
        <f t="shared" ca="1" si="66"/>
        <v/>
      </c>
      <c r="E228" s="70" t="str">
        <f t="shared" ca="1" si="67"/>
        <v/>
      </c>
      <c r="F228" s="120" t="str">
        <f t="shared" ca="1" si="68"/>
        <v/>
      </c>
      <c r="G228" s="122" t="str">
        <f t="shared" ca="1" si="69"/>
        <v/>
      </c>
      <c r="H228" s="70" t="str">
        <f t="shared" ca="1" si="70"/>
        <v/>
      </c>
      <c r="I228" s="120" t="str">
        <f t="shared" ca="1" si="71"/>
        <v/>
      </c>
      <c r="J228" s="122" t="str">
        <f t="shared" ca="1" si="72"/>
        <v/>
      </c>
      <c r="K228" s="70" t="str">
        <f t="shared" ca="1" si="73"/>
        <v/>
      </c>
      <c r="L228" s="120" t="str">
        <f t="shared" ca="1" si="74"/>
        <v/>
      </c>
      <c r="M228" s="122" t="str">
        <f t="shared" ca="1" si="75"/>
        <v/>
      </c>
      <c r="N228" s="70" t="str">
        <f t="shared" ca="1" si="76"/>
        <v/>
      </c>
      <c r="O228" s="120" t="str">
        <f t="shared" ca="1" si="77"/>
        <v/>
      </c>
    </row>
    <row r="229" spans="1:15" ht="16.5" customHeight="1">
      <c r="A229" s="47">
        <v>18</v>
      </c>
      <c r="B229" s="133" t="str">
        <f>HYPERLINK("#'" &amp; TEXT(투자전략!$G$1+17, "[$-ko-KR]yyyy.mm.dd") &amp; "'!A148:O172", TEXT(투자전략!$G$1+17, "[$-ko-KR]yyyy.mm.dd"))</f>
        <v>2023.03.18</v>
      </c>
      <c r="C229" s="118" t="str">
        <f t="shared" ca="1" si="65"/>
        <v/>
      </c>
      <c r="D229" s="122" t="str">
        <f t="shared" ca="1" si="66"/>
        <v/>
      </c>
      <c r="E229" s="70" t="str">
        <f t="shared" ca="1" si="67"/>
        <v/>
      </c>
      <c r="F229" s="120" t="str">
        <f t="shared" ca="1" si="68"/>
        <v/>
      </c>
      <c r="G229" s="122" t="str">
        <f t="shared" ca="1" si="69"/>
        <v/>
      </c>
      <c r="H229" s="70" t="str">
        <f t="shared" ca="1" si="70"/>
        <v/>
      </c>
      <c r="I229" s="120" t="str">
        <f t="shared" ca="1" si="71"/>
        <v/>
      </c>
      <c r="J229" s="122" t="str">
        <f t="shared" ca="1" si="72"/>
        <v/>
      </c>
      <c r="K229" s="70" t="str">
        <f t="shared" ca="1" si="73"/>
        <v/>
      </c>
      <c r="L229" s="120" t="str">
        <f t="shared" ca="1" si="74"/>
        <v/>
      </c>
      <c r="M229" s="122" t="str">
        <f t="shared" ca="1" si="75"/>
        <v/>
      </c>
      <c r="N229" s="70" t="str">
        <f t="shared" ca="1" si="76"/>
        <v/>
      </c>
      <c r="O229" s="120" t="str">
        <f t="shared" ca="1" si="77"/>
        <v/>
      </c>
    </row>
    <row r="230" spans="1:15" ht="16.5" customHeight="1">
      <c r="A230" s="47">
        <v>19</v>
      </c>
      <c r="B230" s="133" t="str">
        <f>HYPERLINK("#'" &amp; TEXT(투자전략!$G$1+18, "[$-ko-KR]yyyy.mm.dd") &amp; "'!A148:O172", TEXT(투자전략!$G$1+18, "[$-ko-KR]yyyy.mm.dd"))</f>
        <v>2023.03.19</v>
      </c>
      <c r="C230" s="118" t="str">
        <f t="shared" ca="1" si="65"/>
        <v/>
      </c>
      <c r="D230" s="122" t="str">
        <f t="shared" ca="1" si="66"/>
        <v/>
      </c>
      <c r="E230" s="70" t="str">
        <f t="shared" ca="1" si="67"/>
        <v/>
      </c>
      <c r="F230" s="120" t="str">
        <f t="shared" ca="1" si="68"/>
        <v/>
      </c>
      <c r="G230" s="122" t="str">
        <f t="shared" ca="1" si="69"/>
        <v/>
      </c>
      <c r="H230" s="70" t="str">
        <f t="shared" ca="1" si="70"/>
        <v/>
      </c>
      <c r="I230" s="120" t="str">
        <f t="shared" ca="1" si="71"/>
        <v/>
      </c>
      <c r="J230" s="122" t="str">
        <f t="shared" ca="1" si="72"/>
        <v/>
      </c>
      <c r="K230" s="70" t="str">
        <f t="shared" ca="1" si="73"/>
        <v/>
      </c>
      <c r="L230" s="120" t="str">
        <f t="shared" ca="1" si="74"/>
        <v/>
      </c>
      <c r="M230" s="122" t="str">
        <f t="shared" ca="1" si="75"/>
        <v/>
      </c>
      <c r="N230" s="70" t="str">
        <f t="shared" ca="1" si="76"/>
        <v/>
      </c>
      <c r="O230" s="120" t="str">
        <f t="shared" ca="1" si="77"/>
        <v/>
      </c>
    </row>
    <row r="231" spans="1:15" ht="16.5" customHeight="1">
      <c r="A231" s="47">
        <v>20</v>
      </c>
      <c r="B231" s="133" t="str">
        <f>HYPERLINK("#'" &amp; TEXT(투자전략!$G$1+19, "[$-ko-KR]yyyy.mm.dd") &amp; "'!A148:O172", TEXT(투자전략!$G$1+19, "[$-ko-KR]yyyy.mm.dd"))</f>
        <v>2023.03.20</v>
      </c>
      <c r="C231" s="118" t="str">
        <f t="shared" ca="1" si="65"/>
        <v/>
      </c>
      <c r="D231" s="122" t="str">
        <f t="shared" ca="1" si="66"/>
        <v/>
      </c>
      <c r="E231" s="70" t="str">
        <f t="shared" ca="1" si="67"/>
        <v/>
      </c>
      <c r="F231" s="120" t="str">
        <f t="shared" ca="1" si="68"/>
        <v/>
      </c>
      <c r="G231" s="122" t="str">
        <f t="shared" ca="1" si="69"/>
        <v/>
      </c>
      <c r="H231" s="70" t="str">
        <f t="shared" ca="1" si="70"/>
        <v/>
      </c>
      <c r="I231" s="120" t="str">
        <f t="shared" ca="1" si="71"/>
        <v/>
      </c>
      <c r="J231" s="122" t="str">
        <f t="shared" ca="1" si="72"/>
        <v/>
      </c>
      <c r="K231" s="70" t="str">
        <f t="shared" ca="1" si="73"/>
        <v/>
      </c>
      <c r="L231" s="120" t="str">
        <f t="shared" ca="1" si="74"/>
        <v/>
      </c>
      <c r="M231" s="122" t="str">
        <f t="shared" ca="1" si="75"/>
        <v/>
      </c>
      <c r="N231" s="70" t="str">
        <f t="shared" ca="1" si="76"/>
        <v/>
      </c>
      <c r="O231" s="120" t="str">
        <f t="shared" ca="1" si="77"/>
        <v/>
      </c>
    </row>
    <row r="232" spans="1:15" ht="16.5" customHeight="1" thickBot="1">
      <c r="A232" s="48">
        <v>21</v>
      </c>
      <c r="B232" s="134" t="str">
        <f>HYPERLINK("#'" &amp; TEXT(투자전략!$G$1+20, "[$-ko-KR]yyyy.mm.dd") &amp; "'!A148:O172", TEXT(투자전략!$G$1+20, "[$-ko-KR]yyyy.mm.dd"))</f>
        <v>2023.03.21</v>
      </c>
      <c r="C232" s="118" t="str">
        <f t="shared" ca="1" si="65"/>
        <v/>
      </c>
      <c r="D232" s="122" t="str">
        <f t="shared" ca="1" si="66"/>
        <v/>
      </c>
      <c r="E232" s="70" t="str">
        <f t="shared" ca="1" si="67"/>
        <v/>
      </c>
      <c r="F232" s="120" t="str">
        <f t="shared" ca="1" si="68"/>
        <v/>
      </c>
      <c r="G232" s="122" t="str">
        <f t="shared" ca="1" si="69"/>
        <v/>
      </c>
      <c r="H232" s="70" t="str">
        <f t="shared" ca="1" si="70"/>
        <v/>
      </c>
      <c r="I232" s="120" t="str">
        <f t="shared" ca="1" si="71"/>
        <v/>
      </c>
      <c r="J232" s="122" t="str">
        <f t="shared" ca="1" si="72"/>
        <v/>
      </c>
      <c r="K232" s="70" t="str">
        <f t="shared" ca="1" si="73"/>
        <v/>
      </c>
      <c r="L232" s="120" t="str">
        <f t="shared" ca="1" si="74"/>
        <v/>
      </c>
      <c r="M232" s="122" t="str">
        <f t="shared" ca="1" si="75"/>
        <v/>
      </c>
      <c r="N232" s="70" t="str">
        <f t="shared" ca="1" si="76"/>
        <v/>
      </c>
      <c r="O232" s="120" t="str">
        <f t="shared" ca="1" si="77"/>
        <v/>
      </c>
    </row>
    <row r="233" spans="1:15" ht="16.5" customHeight="1">
      <c r="A233" s="46">
        <v>22</v>
      </c>
      <c r="B233" s="132" t="str">
        <f>HYPERLINK("#'" &amp; TEXT(투자전략!$G$1+21, "[$-ko-KR]yyyy.mm.dd") &amp; "'!A148:O172", TEXT(투자전략!$G$1+21, "[$-ko-KR]yyyy.mm.dd"))</f>
        <v>2023.03.22</v>
      </c>
      <c r="C233" s="117" t="str">
        <f t="shared" ca="1" si="65"/>
        <v/>
      </c>
      <c r="D233" s="125" t="str">
        <f t="shared" ca="1" si="66"/>
        <v/>
      </c>
      <c r="E233" s="69" t="str">
        <f t="shared" ca="1" si="67"/>
        <v/>
      </c>
      <c r="F233" s="124" t="str">
        <f t="shared" ca="1" si="68"/>
        <v/>
      </c>
      <c r="G233" s="125" t="str">
        <f t="shared" ca="1" si="69"/>
        <v/>
      </c>
      <c r="H233" s="69" t="str">
        <f t="shared" ca="1" si="70"/>
        <v/>
      </c>
      <c r="I233" s="124" t="str">
        <f t="shared" ca="1" si="71"/>
        <v/>
      </c>
      <c r="J233" s="125" t="str">
        <f t="shared" ca="1" si="72"/>
        <v/>
      </c>
      <c r="K233" s="69" t="str">
        <f t="shared" ca="1" si="73"/>
        <v/>
      </c>
      <c r="L233" s="124" t="str">
        <f t="shared" ca="1" si="74"/>
        <v/>
      </c>
      <c r="M233" s="125" t="str">
        <f t="shared" ca="1" si="75"/>
        <v/>
      </c>
      <c r="N233" s="69" t="str">
        <f t="shared" ca="1" si="76"/>
        <v/>
      </c>
      <c r="O233" s="124" t="str">
        <f t="shared" ca="1" si="77"/>
        <v/>
      </c>
    </row>
    <row r="234" spans="1:15" ht="16.5" customHeight="1">
      <c r="A234" s="47">
        <v>23</v>
      </c>
      <c r="B234" s="133" t="str">
        <f>HYPERLINK("#'" &amp; TEXT(투자전략!$G$1+22, "[$-ko-KR]yyyy.mm.dd") &amp; "'!A148:O172", TEXT(투자전략!$G$1+22, "[$-ko-KR]yyyy.mm.dd"))</f>
        <v>2023.03.23</v>
      </c>
      <c r="C234" s="118" t="str">
        <f t="shared" ca="1" si="65"/>
        <v/>
      </c>
      <c r="D234" s="122" t="str">
        <f t="shared" ca="1" si="66"/>
        <v/>
      </c>
      <c r="E234" s="70" t="str">
        <f t="shared" ca="1" si="67"/>
        <v/>
      </c>
      <c r="F234" s="120" t="str">
        <f t="shared" ca="1" si="68"/>
        <v/>
      </c>
      <c r="G234" s="122" t="str">
        <f t="shared" ca="1" si="69"/>
        <v/>
      </c>
      <c r="H234" s="70" t="str">
        <f t="shared" ca="1" si="70"/>
        <v/>
      </c>
      <c r="I234" s="120" t="str">
        <f t="shared" ca="1" si="71"/>
        <v/>
      </c>
      <c r="J234" s="122" t="str">
        <f t="shared" ca="1" si="72"/>
        <v/>
      </c>
      <c r="K234" s="70" t="str">
        <f t="shared" ca="1" si="73"/>
        <v/>
      </c>
      <c r="L234" s="120" t="str">
        <f t="shared" ca="1" si="74"/>
        <v/>
      </c>
      <c r="M234" s="122" t="str">
        <f t="shared" ca="1" si="75"/>
        <v/>
      </c>
      <c r="N234" s="70" t="str">
        <f t="shared" ca="1" si="76"/>
        <v/>
      </c>
      <c r="O234" s="120" t="str">
        <f t="shared" ca="1" si="77"/>
        <v/>
      </c>
    </row>
    <row r="235" spans="1:15" ht="16.5" customHeight="1">
      <c r="A235" s="47">
        <v>24</v>
      </c>
      <c r="B235" s="133" t="str">
        <f>HYPERLINK("#'" &amp; TEXT(투자전략!$G$1+23, "[$-ko-KR]yyyy.mm.dd") &amp; "'!A148:O172", TEXT(투자전략!$G$1+23, "[$-ko-KR]yyyy.mm.dd"))</f>
        <v>2023.03.24</v>
      </c>
      <c r="C235" s="118" t="str">
        <f t="shared" ca="1" si="65"/>
        <v/>
      </c>
      <c r="D235" s="122" t="str">
        <f t="shared" ca="1" si="66"/>
        <v/>
      </c>
      <c r="E235" s="70" t="str">
        <f t="shared" ca="1" si="67"/>
        <v/>
      </c>
      <c r="F235" s="120" t="str">
        <f t="shared" ca="1" si="68"/>
        <v/>
      </c>
      <c r="G235" s="122" t="str">
        <f t="shared" ca="1" si="69"/>
        <v/>
      </c>
      <c r="H235" s="70" t="str">
        <f t="shared" ca="1" si="70"/>
        <v/>
      </c>
      <c r="I235" s="120" t="str">
        <f t="shared" ca="1" si="71"/>
        <v/>
      </c>
      <c r="J235" s="122" t="str">
        <f t="shared" ca="1" si="72"/>
        <v/>
      </c>
      <c r="K235" s="70" t="str">
        <f t="shared" ca="1" si="73"/>
        <v/>
      </c>
      <c r="L235" s="120" t="str">
        <f t="shared" ca="1" si="74"/>
        <v/>
      </c>
      <c r="M235" s="122" t="str">
        <f t="shared" ca="1" si="75"/>
        <v/>
      </c>
      <c r="N235" s="70" t="str">
        <f t="shared" ca="1" si="76"/>
        <v/>
      </c>
      <c r="O235" s="120" t="str">
        <f t="shared" ca="1" si="77"/>
        <v/>
      </c>
    </row>
    <row r="236" spans="1:15" ht="16.5" customHeight="1">
      <c r="A236" s="47">
        <v>25</v>
      </c>
      <c r="B236" s="133" t="str">
        <f>HYPERLINK("#'" &amp; TEXT(투자전략!$G$1+24, "[$-ko-KR]yyyy.mm.dd") &amp; "'!A148:O172", TEXT(투자전략!$G$1+24, "[$-ko-KR]yyyy.mm.dd"))</f>
        <v>2023.03.25</v>
      </c>
      <c r="C236" s="118" t="str">
        <f t="shared" ca="1" si="65"/>
        <v/>
      </c>
      <c r="D236" s="122" t="str">
        <f t="shared" ca="1" si="66"/>
        <v/>
      </c>
      <c r="E236" s="70" t="str">
        <f t="shared" ca="1" si="67"/>
        <v/>
      </c>
      <c r="F236" s="120" t="str">
        <f t="shared" ca="1" si="68"/>
        <v/>
      </c>
      <c r="G236" s="122" t="str">
        <f t="shared" ca="1" si="69"/>
        <v/>
      </c>
      <c r="H236" s="70" t="str">
        <f t="shared" ca="1" si="70"/>
        <v/>
      </c>
      <c r="I236" s="120" t="str">
        <f t="shared" ca="1" si="71"/>
        <v/>
      </c>
      <c r="J236" s="122" t="str">
        <f t="shared" ca="1" si="72"/>
        <v/>
      </c>
      <c r="K236" s="70" t="str">
        <f t="shared" ca="1" si="73"/>
        <v/>
      </c>
      <c r="L236" s="120" t="str">
        <f t="shared" ca="1" si="74"/>
        <v/>
      </c>
      <c r="M236" s="122" t="str">
        <f t="shared" ca="1" si="75"/>
        <v/>
      </c>
      <c r="N236" s="70" t="str">
        <f t="shared" ca="1" si="76"/>
        <v/>
      </c>
      <c r="O236" s="120" t="str">
        <f t="shared" ca="1" si="77"/>
        <v/>
      </c>
    </row>
    <row r="237" spans="1:15" ht="16.5" customHeight="1">
      <c r="A237" s="47">
        <v>26</v>
      </c>
      <c r="B237" s="133" t="str">
        <f>HYPERLINK("#'" &amp; TEXT(투자전략!$G$1+25, "[$-ko-KR]yyyy.mm.dd") &amp; "'!A148:O172", TEXT(투자전략!$G$1+25, "[$-ko-KR]yyyy.mm.dd"))</f>
        <v>2023.03.26</v>
      </c>
      <c r="C237" s="118" t="str">
        <f t="shared" ca="1" si="65"/>
        <v/>
      </c>
      <c r="D237" s="122" t="str">
        <f t="shared" ca="1" si="66"/>
        <v/>
      </c>
      <c r="E237" s="70" t="str">
        <f t="shared" ca="1" si="67"/>
        <v/>
      </c>
      <c r="F237" s="120" t="str">
        <f t="shared" ca="1" si="68"/>
        <v/>
      </c>
      <c r="G237" s="122" t="str">
        <f t="shared" ca="1" si="69"/>
        <v/>
      </c>
      <c r="H237" s="70" t="str">
        <f t="shared" ca="1" si="70"/>
        <v/>
      </c>
      <c r="I237" s="120" t="str">
        <f t="shared" ca="1" si="71"/>
        <v/>
      </c>
      <c r="J237" s="122" t="str">
        <f t="shared" ca="1" si="72"/>
        <v/>
      </c>
      <c r="K237" s="70" t="str">
        <f t="shared" ca="1" si="73"/>
        <v/>
      </c>
      <c r="L237" s="120" t="str">
        <f t="shared" ca="1" si="74"/>
        <v/>
      </c>
      <c r="M237" s="122" t="str">
        <f t="shared" ca="1" si="75"/>
        <v/>
      </c>
      <c r="N237" s="70" t="str">
        <f t="shared" ca="1" si="76"/>
        <v/>
      </c>
      <c r="O237" s="120" t="str">
        <f t="shared" ca="1" si="77"/>
        <v/>
      </c>
    </row>
    <row r="238" spans="1:15" ht="16.5" customHeight="1">
      <c r="A238" s="47">
        <v>27</v>
      </c>
      <c r="B238" s="133" t="str">
        <f>HYPERLINK("#'" &amp; TEXT(투자전략!$G$1+26, "[$-ko-KR]yyyy.mm.dd") &amp; "'!A148:O172", TEXT(투자전략!$G$1+26, "[$-ko-KR]yyyy.mm.dd"))</f>
        <v>2023.03.27</v>
      </c>
      <c r="C238" s="118" t="str">
        <f t="shared" ca="1" si="65"/>
        <v/>
      </c>
      <c r="D238" s="122" t="str">
        <f t="shared" ca="1" si="66"/>
        <v/>
      </c>
      <c r="E238" s="70" t="str">
        <f t="shared" ca="1" si="67"/>
        <v/>
      </c>
      <c r="F238" s="120" t="str">
        <f t="shared" ca="1" si="68"/>
        <v/>
      </c>
      <c r="G238" s="122" t="str">
        <f t="shared" ca="1" si="69"/>
        <v/>
      </c>
      <c r="H238" s="70" t="str">
        <f t="shared" ca="1" si="70"/>
        <v/>
      </c>
      <c r="I238" s="120" t="str">
        <f t="shared" ca="1" si="71"/>
        <v/>
      </c>
      <c r="J238" s="122" t="str">
        <f t="shared" ca="1" si="72"/>
        <v/>
      </c>
      <c r="K238" s="70" t="str">
        <f t="shared" ca="1" si="73"/>
        <v/>
      </c>
      <c r="L238" s="120" t="str">
        <f t="shared" ca="1" si="74"/>
        <v/>
      </c>
      <c r="M238" s="122" t="str">
        <f t="shared" ca="1" si="75"/>
        <v/>
      </c>
      <c r="N238" s="70" t="str">
        <f t="shared" ca="1" si="76"/>
        <v/>
      </c>
      <c r="O238" s="120" t="str">
        <f t="shared" ca="1" si="77"/>
        <v/>
      </c>
    </row>
    <row r="239" spans="1:15" ht="16.5" customHeight="1" thickBot="1">
      <c r="A239" s="48">
        <v>28</v>
      </c>
      <c r="B239" s="134" t="str">
        <f>HYPERLINK("#'" &amp; TEXT(투자전략!$G$1+27, "[$-ko-KR]yyyy.mm.dd") &amp; "'!A148:O172", TEXT(투자전략!$G$1+27, "[$-ko-KR]yyyy.mm.dd"))</f>
        <v>2023.03.28</v>
      </c>
      <c r="C239" s="119" t="str">
        <f t="shared" ca="1" si="65"/>
        <v/>
      </c>
      <c r="D239" s="123" t="str">
        <f t="shared" ca="1" si="66"/>
        <v/>
      </c>
      <c r="E239" s="72" t="str">
        <f t="shared" ca="1" si="67"/>
        <v/>
      </c>
      <c r="F239" s="121" t="str">
        <f t="shared" ca="1" si="68"/>
        <v/>
      </c>
      <c r="G239" s="123" t="str">
        <f t="shared" ca="1" si="69"/>
        <v/>
      </c>
      <c r="H239" s="72" t="str">
        <f t="shared" ca="1" si="70"/>
        <v/>
      </c>
      <c r="I239" s="121" t="str">
        <f t="shared" ca="1" si="71"/>
        <v/>
      </c>
      <c r="J239" s="123" t="str">
        <f t="shared" ca="1" si="72"/>
        <v/>
      </c>
      <c r="K239" s="72" t="str">
        <f t="shared" ca="1" si="73"/>
        <v/>
      </c>
      <c r="L239" s="121" t="str">
        <f t="shared" ca="1" si="74"/>
        <v/>
      </c>
      <c r="M239" s="123" t="str">
        <f t="shared" ca="1" si="75"/>
        <v/>
      </c>
      <c r="N239" s="72" t="str">
        <f t="shared" ca="1" si="76"/>
        <v/>
      </c>
      <c r="O239" s="121" t="str">
        <f t="shared" ca="1" si="77"/>
        <v/>
      </c>
    </row>
    <row r="240" spans="1:15" ht="16.5" customHeight="1">
      <c r="A240" s="105">
        <v>29</v>
      </c>
      <c r="B240" s="132" t="str">
        <f>HYPERLINK("#'" &amp; TEXT(투자전략!$G$1+28, "[$-ko-KR]yyyy.mm.dd") &amp; "'!A148:O172", TEXT(투자전략!$G$1+28, "[$-ko-KR]yyyy.mm.dd"))</f>
        <v>2023.03.29</v>
      </c>
      <c r="C240" s="118" t="str">
        <f t="shared" ca="1" si="65"/>
        <v/>
      </c>
      <c r="D240" s="122" t="str">
        <f t="shared" ca="1" si="66"/>
        <v/>
      </c>
      <c r="E240" s="70" t="str">
        <f t="shared" ca="1" si="67"/>
        <v/>
      </c>
      <c r="F240" s="120" t="str">
        <f t="shared" ca="1" si="68"/>
        <v/>
      </c>
      <c r="G240" s="122" t="str">
        <f t="shared" ca="1" si="69"/>
        <v/>
      </c>
      <c r="H240" s="70" t="str">
        <f t="shared" ca="1" si="70"/>
        <v/>
      </c>
      <c r="I240" s="120" t="str">
        <f t="shared" ca="1" si="71"/>
        <v/>
      </c>
      <c r="J240" s="122" t="str">
        <f t="shared" ca="1" si="72"/>
        <v/>
      </c>
      <c r="K240" s="70" t="str">
        <f t="shared" ca="1" si="73"/>
        <v/>
      </c>
      <c r="L240" s="120" t="str">
        <f t="shared" ca="1" si="74"/>
        <v/>
      </c>
      <c r="M240" s="122" t="str">
        <f t="shared" ca="1" si="75"/>
        <v/>
      </c>
      <c r="N240" s="70" t="str">
        <f t="shared" ca="1" si="76"/>
        <v/>
      </c>
      <c r="O240" s="120" t="str">
        <f t="shared" ca="1" si="77"/>
        <v/>
      </c>
    </row>
    <row r="241" spans="1:15" ht="16.5" customHeight="1">
      <c r="A241" s="105">
        <v>30</v>
      </c>
      <c r="B241" s="133" t="str">
        <f>HYPERLINK("#'" &amp; TEXT(투자전략!$G$1+29, "[$-ko-KR]yyyy.mm.dd") &amp; "'!A148:O172", TEXT(투자전략!$G$1+29, "[$-ko-KR]yyyy.mm.dd"))</f>
        <v>2023.03.30</v>
      </c>
      <c r="C241" s="118" t="str">
        <f t="shared" ca="1" si="65"/>
        <v/>
      </c>
      <c r="D241" s="122" t="str">
        <f t="shared" ca="1" si="66"/>
        <v/>
      </c>
      <c r="E241" s="70" t="str">
        <f t="shared" ca="1" si="67"/>
        <v/>
      </c>
      <c r="F241" s="120" t="str">
        <f t="shared" ca="1" si="68"/>
        <v/>
      </c>
      <c r="G241" s="122" t="str">
        <f t="shared" ca="1" si="69"/>
        <v/>
      </c>
      <c r="H241" s="70" t="str">
        <f t="shared" ca="1" si="70"/>
        <v/>
      </c>
      <c r="I241" s="120" t="str">
        <f t="shared" ca="1" si="71"/>
        <v/>
      </c>
      <c r="J241" s="122" t="str">
        <f t="shared" ca="1" si="72"/>
        <v/>
      </c>
      <c r="K241" s="70" t="str">
        <f t="shared" ca="1" si="73"/>
        <v/>
      </c>
      <c r="L241" s="120" t="str">
        <f t="shared" ca="1" si="74"/>
        <v/>
      </c>
      <c r="M241" s="122" t="str">
        <f t="shared" ca="1" si="75"/>
        <v/>
      </c>
      <c r="N241" s="70" t="str">
        <f t="shared" ca="1" si="76"/>
        <v/>
      </c>
      <c r="O241" s="120" t="str">
        <f t="shared" ca="1" si="77"/>
        <v/>
      </c>
    </row>
    <row r="242" spans="1:15" ht="16.5" customHeight="1" thickBot="1">
      <c r="A242" s="105">
        <v>31</v>
      </c>
      <c r="B242" s="133" t="str">
        <f>HYPERLINK("#'" &amp; TEXT(투자전략!$G$1+30, "[$-ko-KR]yyyy.mm.dd") &amp; "'!A148:O172", TEXT(투자전략!$G$1+30, "[$-ko-KR]yyyy.mm.dd"))</f>
        <v>2023.03.31</v>
      </c>
      <c r="C242" s="119" t="str">
        <f t="shared" ca="1" si="65"/>
        <v/>
      </c>
      <c r="D242" s="123" t="str">
        <f t="shared" ca="1" si="66"/>
        <v/>
      </c>
      <c r="E242" s="72" t="str">
        <f t="shared" ca="1" si="67"/>
        <v/>
      </c>
      <c r="F242" s="121" t="str">
        <f t="shared" ca="1" si="68"/>
        <v/>
      </c>
      <c r="G242" s="123" t="str">
        <f t="shared" ca="1" si="69"/>
        <v/>
      </c>
      <c r="H242" s="72" t="str">
        <f t="shared" ca="1" si="70"/>
        <v/>
      </c>
      <c r="I242" s="121" t="str">
        <f t="shared" ca="1" si="71"/>
        <v/>
      </c>
      <c r="J242" s="123" t="str">
        <f t="shared" ca="1" si="72"/>
        <v/>
      </c>
      <c r="K242" s="72" t="str">
        <f t="shared" ca="1" si="73"/>
        <v/>
      </c>
      <c r="L242" s="121" t="str">
        <f t="shared" ca="1" si="74"/>
        <v/>
      </c>
      <c r="M242" s="123" t="str">
        <f t="shared" ca="1" si="75"/>
        <v/>
      </c>
      <c r="N242" s="72" t="str">
        <f t="shared" ca="1" si="76"/>
        <v/>
      </c>
      <c r="O242" s="121" t="str">
        <f t="shared" ca="1" si="77"/>
        <v/>
      </c>
    </row>
    <row r="243" spans="1:15" ht="16.5" customHeight="1" thickBot="1">
      <c r="A243" s="144" t="s">
        <v>270</v>
      </c>
      <c r="B243" s="146"/>
      <c r="C243" s="116" t="s">
        <v>265</v>
      </c>
      <c r="D243" s="9" t="s">
        <v>266</v>
      </c>
      <c r="E243" s="63" t="s">
        <v>267</v>
      </c>
      <c r="F243" s="64" t="s">
        <v>268</v>
      </c>
      <c r="G243" s="9" t="s">
        <v>266</v>
      </c>
      <c r="H243" s="63" t="s">
        <v>267</v>
      </c>
      <c r="I243" s="64" t="s">
        <v>268</v>
      </c>
      <c r="J243" s="9" t="s">
        <v>266</v>
      </c>
      <c r="K243" s="63" t="s">
        <v>267</v>
      </c>
      <c r="L243" s="64" t="s">
        <v>268</v>
      </c>
      <c r="M243" s="9" t="s">
        <v>266</v>
      </c>
      <c r="N243" s="63" t="s">
        <v>267</v>
      </c>
      <c r="O243" s="64" t="s">
        <v>268</v>
      </c>
    </row>
    <row r="244" spans="1:15" ht="16.5" customHeight="1" thickBot="1">
      <c r="A244" s="150"/>
      <c r="B244" s="152"/>
      <c r="C244" s="119">
        <f ca="1">SUM(C212:C242)</f>
        <v>3000000</v>
      </c>
      <c r="D244" s="123">
        <f ca="1">SUM(D212:D242)</f>
        <v>3000000</v>
      </c>
      <c r="E244" s="72">
        <f ca="1">IFERROR(F244 / (SUM($C212:$C242) / COUNT($C212:$C242)), 0)</f>
        <v>0</v>
      </c>
      <c r="F244" s="121">
        <f ca="1">SUM(F212:F242)</f>
        <v>0</v>
      </c>
      <c r="G244" s="123">
        <f ca="1">SUM(G212:G242)</f>
        <v>3000000</v>
      </c>
      <c r="H244" s="72">
        <f ca="1">IFERROR(I244 / (SUM($C212:$C242) / COUNT($C212:$C242)), 0)</f>
        <v>0</v>
      </c>
      <c r="I244" s="121">
        <f ca="1">SUM(I212:I242)</f>
        <v>0</v>
      </c>
      <c r="J244" s="123">
        <f ca="1">SUM(J212:J242)</f>
        <v>3000000</v>
      </c>
      <c r="K244" s="72">
        <f ca="1">IFERROR(L244 / (SUM($C212:$C242) / COUNT($C212:$C242)), 0)</f>
        <v>0</v>
      </c>
      <c r="L244" s="121">
        <f ca="1">SUM(L212:L242)</f>
        <v>0</v>
      </c>
      <c r="M244" s="123">
        <f ca="1">SUM(M212:M242)</f>
        <v>3000000</v>
      </c>
      <c r="N244" s="72">
        <f ca="1">IFERROR(O244 / (SUM($C212:$C242) / COUNT($C212:$C242)), 0)</f>
        <v>0</v>
      </c>
      <c r="O244" s="121">
        <f ca="1">SUM(O212:O242)</f>
        <v>0</v>
      </c>
    </row>
    <row r="246" spans="1:15" ht="16.5" customHeight="1" thickBot="1"/>
    <row r="247" spans="1:15" ht="16.5" customHeight="1" thickBot="1">
      <c r="A247" s="135" t="str">
        <f>TEXT(투자전략!$G$1, "[$-ko-KR]yyyy년 mm월 ") &amp; "전일대비 상승률 Bottom20 월말결산"</f>
        <v>2023년 03월 전일대비 상승률 Bottom20 월말결산</v>
      </c>
      <c r="B247" s="136"/>
      <c r="C247" s="136"/>
      <c r="D247" s="136"/>
      <c r="E247" s="136"/>
      <c r="F247" s="136"/>
      <c r="G247" s="136"/>
      <c r="H247" s="136"/>
      <c r="I247" s="136"/>
      <c r="J247" s="136"/>
      <c r="K247" s="136"/>
      <c r="L247" s="136"/>
      <c r="M247" s="136"/>
      <c r="N247" s="136"/>
      <c r="O247" s="137"/>
    </row>
    <row r="248" spans="1:15" ht="16.5" customHeight="1" thickBot="1">
      <c r="A248" s="196" t="s">
        <v>271</v>
      </c>
      <c r="B248" s="150" t="s">
        <v>269</v>
      </c>
      <c r="C248" s="152"/>
      <c r="D248" s="150" t="s">
        <v>261</v>
      </c>
      <c r="E248" s="151"/>
      <c r="F248" s="152"/>
      <c r="G248" s="150" t="s">
        <v>262</v>
      </c>
      <c r="H248" s="151"/>
      <c r="I248" s="152"/>
      <c r="J248" s="150" t="s">
        <v>263</v>
      </c>
      <c r="K248" s="151"/>
      <c r="L248" s="152"/>
      <c r="M248" s="150" t="s">
        <v>264</v>
      </c>
      <c r="N248" s="151"/>
      <c r="O248" s="152"/>
    </row>
    <row r="249" spans="1:15" ht="16.5" customHeight="1" thickBot="1">
      <c r="A249" s="200"/>
      <c r="B249" s="46" t="s">
        <v>259</v>
      </c>
      <c r="C249" s="46" t="s">
        <v>42</v>
      </c>
      <c r="D249" s="105" t="s">
        <v>260</v>
      </c>
      <c r="E249" s="106" t="s">
        <v>40</v>
      </c>
      <c r="F249" s="81" t="s">
        <v>41</v>
      </c>
      <c r="G249" s="105" t="s">
        <v>260</v>
      </c>
      <c r="H249" s="106" t="s">
        <v>40</v>
      </c>
      <c r="I249" s="81" t="s">
        <v>41</v>
      </c>
      <c r="J249" s="105" t="s">
        <v>260</v>
      </c>
      <c r="K249" s="106" t="s">
        <v>40</v>
      </c>
      <c r="L249" s="81" t="s">
        <v>41</v>
      </c>
      <c r="M249" s="105" t="s">
        <v>260</v>
      </c>
      <c r="N249" s="106" t="s">
        <v>40</v>
      </c>
      <c r="O249" s="81" t="s">
        <v>41</v>
      </c>
    </row>
    <row r="250" spans="1:15" ht="16.5" customHeight="1">
      <c r="A250" s="46">
        <v>1</v>
      </c>
      <c r="B250" s="132" t="str">
        <f>HYPERLINK("#'" &amp; TEXT(투자전략!$G$1+0, "[$-ko-KR]yyyy.mm.dd") &amp; "'!A175:O199", TEXT(투자전략!$G$1+0, "[$-ko-KR]yyyy.mm.dd"))</f>
        <v>2023.03.01</v>
      </c>
      <c r="C250" s="117">
        <f ca="1">IFERROR(COUNTA(INDIRECT($B250&amp;"!A179:A198")) * INDIRECT($B250&amp;"!B199"), "")</f>
        <v>3000000</v>
      </c>
      <c r="D250" s="125">
        <f ca="1">IFERROR($C250 * (1 + E250), "")</f>
        <v>3000000</v>
      </c>
      <c r="E250" s="69">
        <f ca="1">IFERROR(INDIRECT($B250&amp;"!E199"), "")</f>
        <v>0</v>
      </c>
      <c r="F250" s="124">
        <f ca="1">IFERROR(INDIRECT($B250&amp;"!F199"), "")</f>
        <v>0</v>
      </c>
      <c r="G250" s="125">
        <f ca="1">IFERROR($C250 * (1 + H250), "")</f>
        <v>3000000</v>
      </c>
      <c r="H250" s="69">
        <f ca="1">IFERROR(INDIRECT($B250&amp;"!H199"), "")</f>
        <v>0</v>
      </c>
      <c r="I250" s="124">
        <f ca="1">IFERROR(INDIRECT($B250&amp;"!I199"), "")</f>
        <v>0</v>
      </c>
      <c r="J250" s="125">
        <f ca="1">IFERROR($C250 * (1 + K250), "")</f>
        <v>3000000</v>
      </c>
      <c r="K250" s="69">
        <f ca="1">IFERROR(INDIRECT($B250&amp;"!K199"), "")</f>
        <v>0</v>
      </c>
      <c r="L250" s="124">
        <f ca="1">IFERROR(INDIRECT($B250&amp;"!L199"), "")</f>
        <v>0</v>
      </c>
      <c r="M250" s="125">
        <f ca="1">IFERROR($C250 * (1 + N250), "")</f>
        <v>3000000</v>
      </c>
      <c r="N250" s="69">
        <f ca="1">IFERROR(INDIRECT($B250&amp;"!N199"), "")</f>
        <v>0</v>
      </c>
      <c r="O250" s="124">
        <f ca="1">IFERROR(INDIRECT($B250&amp;"!O199"), "")</f>
        <v>0</v>
      </c>
    </row>
    <row r="251" spans="1:15" ht="16.5" customHeight="1">
      <c r="A251" s="47">
        <v>2</v>
      </c>
      <c r="B251" s="133" t="str">
        <f>HYPERLINK("#'" &amp; TEXT(투자전략!$G$1+1, "[$-ko-KR]yyyy.mm.dd") &amp; "'!A175:O199", TEXT(투자전략!$G$1+1, "[$-ko-KR]yyyy.mm.dd"))</f>
        <v>2023.03.02</v>
      </c>
      <c r="C251" s="118" t="str">
        <f t="shared" ref="C251:C280" ca="1" si="78">IFERROR(COUNTA(INDIRECT($B251&amp;"!A179:A198")) * INDIRECT($B251&amp;"!B199"), "")</f>
        <v/>
      </c>
      <c r="D251" s="122" t="str">
        <f t="shared" ref="D251:D280" ca="1" si="79">IFERROR($C251 * (1 + E251), "")</f>
        <v/>
      </c>
      <c r="E251" s="70" t="str">
        <f t="shared" ref="E251:E280" ca="1" si="80">IFERROR(INDIRECT($B251&amp;"!E199"), "")</f>
        <v/>
      </c>
      <c r="F251" s="120" t="str">
        <f t="shared" ref="F251:F280" ca="1" si="81">IFERROR(INDIRECT($B251&amp;"!F199"), "")</f>
        <v/>
      </c>
      <c r="G251" s="122" t="str">
        <f t="shared" ref="G251:G280" ca="1" si="82">IFERROR($C251 * (1 + H251), "")</f>
        <v/>
      </c>
      <c r="H251" s="70" t="str">
        <f t="shared" ref="H251:H280" ca="1" si="83">IFERROR(INDIRECT($B251&amp;"!H199"), "")</f>
        <v/>
      </c>
      <c r="I251" s="120" t="str">
        <f t="shared" ref="I251:I280" ca="1" si="84">IFERROR(INDIRECT($B251&amp;"!I199"), "")</f>
        <v/>
      </c>
      <c r="J251" s="122" t="str">
        <f t="shared" ref="J251:J280" ca="1" si="85">IFERROR($C251 * (1 + K251), "")</f>
        <v/>
      </c>
      <c r="K251" s="70" t="str">
        <f t="shared" ref="K251:K280" ca="1" si="86">IFERROR(INDIRECT($B251&amp;"!K199"), "")</f>
        <v/>
      </c>
      <c r="L251" s="120" t="str">
        <f t="shared" ref="L251:L280" ca="1" si="87">IFERROR(INDIRECT($B251&amp;"!L199"), "")</f>
        <v/>
      </c>
      <c r="M251" s="122" t="str">
        <f t="shared" ref="M251:M280" ca="1" si="88">IFERROR($C251 * (1 + N251), "")</f>
        <v/>
      </c>
      <c r="N251" s="70" t="str">
        <f t="shared" ref="N251:N280" ca="1" si="89">IFERROR(INDIRECT($B251&amp;"!N199"), "")</f>
        <v/>
      </c>
      <c r="O251" s="120" t="str">
        <f t="shared" ref="O251:O280" ca="1" si="90">IFERROR(INDIRECT($B251&amp;"!O199"), "")</f>
        <v/>
      </c>
    </row>
    <row r="252" spans="1:15" ht="16.5" customHeight="1">
      <c r="A252" s="47">
        <v>3</v>
      </c>
      <c r="B252" s="133" t="str">
        <f>HYPERLINK("#'" &amp; TEXT(투자전략!$G$1+2, "[$-ko-KR]yyyy.mm.dd") &amp; "'!A175:O199", TEXT(투자전략!$G$1+2, "[$-ko-KR]yyyy.mm.dd"))</f>
        <v>2023.03.03</v>
      </c>
      <c r="C252" s="118" t="str">
        <f t="shared" ca="1" si="78"/>
        <v/>
      </c>
      <c r="D252" s="122" t="str">
        <f t="shared" ca="1" si="79"/>
        <v/>
      </c>
      <c r="E252" s="70" t="str">
        <f t="shared" ca="1" si="80"/>
        <v/>
      </c>
      <c r="F252" s="120" t="str">
        <f t="shared" ca="1" si="81"/>
        <v/>
      </c>
      <c r="G252" s="122" t="str">
        <f t="shared" ca="1" si="82"/>
        <v/>
      </c>
      <c r="H252" s="70" t="str">
        <f t="shared" ca="1" si="83"/>
        <v/>
      </c>
      <c r="I252" s="120" t="str">
        <f t="shared" ca="1" si="84"/>
        <v/>
      </c>
      <c r="J252" s="122" t="str">
        <f t="shared" ca="1" si="85"/>
        <v/>
      </c>
      <c r="K252" s="70" t="str">
        <f t="shared" ca="1" si="86"/>
        <v/>
      </c>
      <c r="L252" s="120" t="str">
        <f t="shared" ca="1" si="87"/>
        <v/>
      </c>
      <c r="M252" s="122" t="str">
        <f t="shared" ca="1" si="88"/>
        <v/>
      </c>
      <c r="N252" s="70" t="str">
        <f t="shared" ca="1" si="89"/>
        <v/>
      </c>
      <c r="O252" s="120" t="str">
        <f t="shared" ca="1" si="90"/>
        <v/>
      </c>
    </row>
    <row r="253" spans="1:15" ht="16.5" customHeight="1">
      <c r="A253" s="47">
        <v>4</v>
      </c>
      <c r="B253" s="133" t="str">
        <f>HYPERLINK("#'" &amp; TEXT(투자전략!$G$1+3, "[$-ko-KR]yyyy.mm.dd") &amp; "'!A175:O199", TEXT(투자전략!$G$1+3, "[$-ko-KR]yyyy.mm.dd"))</f>
        <v>2023.03.04</v>
      </c>
      <c r="C253" s="118" t="str">
        <f t="shared" ca="1" si="78"/>
        <v/>
      </c>
      <c r="D253" s="122" t="str">
        <f t="shared" ca="1" si="79"/>
        <v/>
      </c>
      <c r="E253" s="70" t="str">
        <f t="shared" ca="1" si="80"/>
        <v/>
      </c>
      <c r="F253" s="120" t="str">
        <f t="shared" ca="1" si="81"/>
        <v/>
      </c>
      <c r="G253" s="122" t="str">
        <f t="shared" ca="1" si="82"/>
        <v/>
      </c>
      <c r="H253" s="70" t="str">
        <f t="shared" ca="1" si="83"/>
        <v/>
      </c>
      <c r="I253" s="120" t="str">
        <f t="shared" ca="1" si="84"/>
        <v/>
      </c>
      <c r="J253" s="122" t="str">
        <f t="shared" ca="1" si="85"/>
        <v/>
      </c>
      <c r="K253" s="70" t="str">
        <f t="shared" ca="1" si="86"/>
        <v/>
      </c>
      <c r="L253" s="120" t="str">
        <f t="shared" ca="1" si="87"/>
        <v/>
      </c>
      <c r="M253" s="122" t="str">
        <f t="shared" ca="1" si="88"/>
        <v/>
      </c>
      <c r="N253" s="70" t="str">
        <f t="shared" ca="1" si="89"/>
        <v/>
      </c>
      <c r="O253" s="120" t="str">
        <f t="shared" ca="1" si="90"/>
        <v/>
      </c>
    </row>
    <row r="254" spans="1:15" ht="16.5" customHeight="1">
      <c r="A254" s="47">
        <v>5</v>
      </c>
      <c r="B254" s="133" t="str">
        <f>HYPERLINK("#'" &amp; TEXT(투자전략!$G$1+4, "[$-ko-KR]yyyy.mm.dd") &amp; "'!A175:O199", TEXT(투자전략!$G$1+4, "[$-ko-KR]yyyy.mm.dd"))</f>
        <v>2023.03.05</v>
      </c>
      <c r="C254" s="118" t="str">
        <f t="shared" ca="1" si="78"/>
        <v/>
      </c>
      <c r="D254" s="122" t="str">
        <f t="shared" ca="1" si="79"/>
        <v/>
      </c>
      <c r="E254" s="70" t="str">
        <f t="shared" ca="1" si="80"/>
        <v/>
      </c>
      <c r="F254" s="120" t="str">
        <f t="shared" ca="1" si="81"/>
        <v/>
      </c>
      <c r="G254" s="122" t="str">
        <f t="shared" ca="1" si="82"/>
        <v/>
      </c>
      <c r="H254" s="70" t="str">
        <f t="shared" ca="1" si="83"/>
        <v/>
      </c>
      <c r="I254" s="120" t="str">
        <f t="shared" ca="1" si="84"/>
        <v/>
      </c>
      <c r="J254" s="122" t="str">
        <f t="shared" ca="1" si="85"/>
        <v/>
      </c>
      <c r="K254" s="70" t="str">
        <f t="shared" ca="1" si="86"/>
        <v/>
      </c>
      <c r="L254" s="120" t="str">
        <f t="shared" ca="1" si="87"/>
        <v/>
      </c>
      <c r="M254" s="122" t="str">
        <f t="shared" ca="1" si="88"/>
        <v/>
      </c>
      <c r="N254" s="70" t="str">
        <f t="shared" ca="1" si="89"/>
        <v/>
      </c>
      <c r="O254" s="120" t="str">
        <f t="shared" ca="1" si="90"/>
        <v/>
      </c>
    </row>
    <row r="255" spans="1:15" ht="16.5" customHeight="1">
      <c r="A255" s="47">
        <v>6</v>
      </c>
      <c r="B255" s="133" t="str">
        <f>HYPERLINK("#'" &amp; TEXT(투자전략!$G$1+5, "[$-ko-KR]yyyy.mm.dd") &amp; "'!A175:O199", TEXT(투자전략!$G$1+5, "[$-ko-KR]yyyy.mm.dd"))</f>
        <v>2023.03.06</v>
      </c>
      <c r="C255" s="118" t="str">
        <f t="shared" ca="1" si="78"/>
        <v/>
      </c>
      <c r="D255" s="122" t="str">
        <f t="shared" ca="1" si="79"/>
        <v/>
      </c>
      <c r="E255" s="70" t="str">
        <f t="shared" ca="1" si="80"/>
        <v/>
      </c>
      <c r="F255" s="120" t="str">
        <f t="shared" ca="1" si="81"/>
        <v/>
      </c>
      <c r="G255" s="122" t="str">
        <f t="shared" ca="1" si="82"/>
        <v/>
      </c>
      <c r="H255" s="70" t="str">
        <f t="shared" ca="1" si="83"/>
        <v/>
      </c>
      <c r="I255" s="120" t="str">
        <f t="shared" ca="1" si="84"/>
        <v/>
      </c>
      <c r="J255" s="122" t="str">
        <f t="shared" ca="1" si="85"/>
        <v/>
      </c>
      <c r="K255" s="70" t="str">
        <f t="shared" ca="1" si="86"/>
        <v/>
      </c>
      <c r="L255" s="120" t="str">
        <f t="shared" ca="1" si="87"/>
        <v/>
      </c>
      <c r="M255" s="122" t="str">
        <f t="shared" ca="1" si="88"/>
        <v/>
      </c>
      <c r="N255" s="70" t="str">
        <f t="shared" ca="1" si="89"/>
        <v/>
      </c>
      <c r="O255" s="120" t="str">
        <f t="shared" ca="1" si="90"/>
        <v/>
      </c>
    </row>
    <row r="256" spans="1:15" ht="16.5" customHeight="1" thickBot="1">
      <c r="A256" s="48">
        <v>7</v>
      </c>
      <c r="B256" s="134" t="str">
        <f>HYPERLINK("#'" &amp; TEXT(투자전략!$G$1+6, "[$-ko-KR]yyyy.mm.dd") &amp; "'!A175:O199", TEXT(투자전략!$G$1+6, "[$-ko-KR]yyyy.mm.dd"))</f>
        <v>2023.03.07</v>
      </c>
      <c r="C256" s="118" t="str">
        <f t="shared" ca="1" si="78"/>
        <v/>
      </c>
      <c r="D256" s="122" t="str">
        <f t="shared" ca="1" si="79"/>
        <v/>
      </c>
      <c r="E256" s="70" t="str">
        <f t="shared" ca="1" si="80"/>
        <v/>
      </c>
      <c r="F256" s="120" t="str">
        <f t="shared" ca="1" si="81"/>
        <v/>
      </c>
      <c r="G256" s="122" t="str">
        <f t="shared" ca="1" si="82"/>
        <v/>
      </c>
      <c r="H256" s="70" t="str">
        <f t="shared" ca="1" si="83"/>
        <v/>
      </c>
      <c r="I256" s="120" t="str">
        <f t="shared" ca="1" si="84"/>
        <v/>
      </c>
      <c r="J256" s="122" t="str">
        <f t="shared" ca="1" si="85"/>
        <v/>
      </c>
      <c r="K256" s="70" t="str">
        <f t="shared" ca="1" si="86"/>
        <v/>
      </c>
      <c r="L256" s="120" t="str">
        <f t="shared" ca="1" si="87"/>
        <v/>
      </c>
      <c r="M256" s="122" t="str">
        <f t="shared" ca="1" si="88"/>
        <v/>
      </c>
      <c r="N256" s="70" t="str">
        <f t="shared" ca="1" si="89"/>
        <v/>
      </c>
      <c r="O256" s="120" t="str">
        <f t="shared" ca="1" si="90"/>
        <v/>
      </c>
    </row>
    <row r="257" spans="1:15" ht="16.5" customHeight="1">
      <c r="A257" s="46">
        <v>8</v>
      </c>
      <c r="B257" s="132" t="str">
        <f>HYPERLINK("#'" &amp; TEXT(투자전략!$G$1+7, "[$-ko-KR]yyyy.mm.dd") &amp; "'!A175:O199", TEXT(투자전략!$G$1+7, "[$-ko-KR]yyyy.mm.dd"))</f>
        <v>2023.03.08</v>
      </c>
      <c r="C257" s="117" t="str">
        <f t="shared" ca="1" si="78"/>
        <v/>
      </c>
      <c r="D257" s="125" t="str">
        <f t="shared" ca="1" si="79"/>
        <v/>
      </c>
      <c r="E257" s="69" t="str">
        <f t="shared" ca="1" si="80"/>
        <v/>
      </c>
      <c r="F257" s="124" t="str">
        <f t="shared" ca="1" si="81"/>
        <v/>
      </c>
      <c r="G257" s="125" t="str">
        <f t="shared" ca="1" si="82"/>
        <v/>
      </c>
      <c r="H257" s="69" t="str">
        <f t="shared" ca="1" si="83"/>
        <v/>
      </c>
      <c r="I257" s="124" t="str">
        <f t="shared" ca="1" si="84"/>
        <v/>
      </c>
      <c r="J257" s="125" t="str">
        <f t="shared" ca="1" si="85"/>
        <v/>
      </c>
      <c r="K257" s="69" t="str">
        <f t="shared" ca="1" si="86"/>
        <v/>
      </c>
      <c r="L257" s="124" t="str">
        <f t="shared" ca="1" si="87"/>
        <v/>
      </c>
      <c r="M257" s="125" t="str">
        <f t="shared" ca="1" si="88"/>
        <v/>
      </c>
      <c r="N257" s="69" t="str">
        <f t="shared" ca="1" si="89"/>
        <v/>
      </c>
      <c r="O257" s="124" t="str">
        <f t="shared" ca="1" si="90"/>
        <v/>
      </c>
    </row>
    <row r="258" spans="1:15" ht="16.5" customHeight="1">
      <c r="A258" s="47">
        <v>9</v>
      </c>
      <c r="B258" s="133" t="str">
        <f>HYPERLINK("#'" &amp; TEXT(투자전략!$G$1+8, "[$-ko-KR]yyyy.mm.dd") &amp; "'!A175:O199", TEXT(투자전략!$G$1+8, "[$-ko-KR]yyyy.mm.dd"))</f>
        <v>2023.03.09</v>
      </c>
      <c r="C258" s="118" t="str">
        <f t="shared" ca="1" si="78"/>
        <v/>
      </c>
      <c r="D258" s="122" t="str">
        <f t="shared" ca="1" si="79"/>
        <v/>
      </c>
      <c r="E258" s="70" t="str">
        <f t="shared" ca="1" si="80"/>
        <v/>
      </c>
      <c r="F258" s="120" t="str">
        <f t="shared" ca="1" si="81"/>
        <v/>
      </c>
      <c r="G258" s="122" t="str">
        <f t="shared" ca="1" si="82"/>
        <v/>
      </c>
      <c r="H258" s="70" t="str">
        <f t="shared" ca="1" si="83"/>
        <v/>
      </c>
      <c r="I258" s="120" t="str">
        <f t="shared" ca="1" si="84"/>
        <v/>
      </c>
      <c r="J258" s="122" t="str">
        <f t="shared" ca="1" si="85"/>
        <v/>
      </c>
      <c r="K258" s="70" t="str">
        <f t="shared" ca="1" si="86"/>
        <v/>
      </c>
      <c r="L258" s="120" t="str">
        <f t="shared" ca="1" si="87"/>
        <v/>
      </c>
      <c r="M258" s="122" t="str">
        <f t="shared" ca="1" si="88"/>
        <v/>
      </c>
      <c r="N258" s="70" t="str">
        <f t="shared" ca="1" si="89"/>
        <v/>
      </c>
      <c r="O258" s="120" t="str">
        <f t="shared" ca="1" si="90"/>
        <v/>
      </c>
    </row>
    <row r="259" spans="1:15" ht="16.5" customHeight="1">
      <c r="A259" s="47">
        <v>10</v>
      </c>
      <c r="B259" s="133" t="str">
        <f>HYPERLINK("#'" &amp; TEXT(투자전략!$G$1+9, "[$-ko-KR]yyyy.mm.dd") &amp; "'!A175:O199", TEXT(투자전략!$G$1+9, "[$-ko-KR]yyyy.mm.dd"))</f>
        <v>2023.03.10</v>
      </c>
      <c r="C259" s="118" t="str">
        <f t="shared" ca="1" si="78"/>
        <v/>
      </c>
      <c r="D259" s="122" t="str">
        <f t="shared" ca="1" si="79"/>
        <v/>
      </c>
      <c r="E259" s="70" t="str">
        <f t="shared" ca="1" si="80"/>
        <v/>
      </c>
      <c r="F259" s="120" t="str">
        <f t="shared" ca="1" si="81"/>
        <v/>
      </c>
      <c r="G259" s="122" t="str">
        <f t="shared" ca="1" si="82"/>
        <v/>
      </c>
      <c r="H259" s="70" t="str">
        <f t="shared" ca="1" si="83"/>
        <v/>
      </c>
      <c r="I259" s="120" t="str">
        <f t="shared" ca="1" si="84"/>
        <v/>
      </c>
      <c r="J259" s="122" t="str">
        <f t="shared" ca="1" si="85"/>
        <v/>
      </c>
      <c r="K259" s="70" t="str">
        <f t="shared" ca="1" si="86"/>
        <v/>
      </c>
      <c r="L259" s="120" t="str">
        <f t="shared" ca="1" si="87"/>
        <v/>
      </c>
      <c r="M259" s="122" t="str">
        <f t="shared" ca="1" si="88"/>
        <v/>
      </c>
      <c r="N259" s="70" t="str">
        <f t="shared" ca="1" si="89"/>
        <v/>
      </c>
      <c r="O259" s="120" t="str">
        <f t="shared" ca="1" si="90"/>
        <v/>
      </c>
    </row>
    <row r="260" spans="1:15" ht="16.5" customHeight="1">
      <c r="A260" s="47">
        <v>11</v>
      </c>
      <c r="B260" s="133" t="str">
        <f>HYPERLINK("#'" &amp; TEXT(투자전략!$G$1+10, "[$-ko-KR]yyyy.mm.dd") &amp; "'!A175:O199", TEXT(투자전략!$G$1+10, "[$-ko-KR]yyyy.mm.dd"))</f>
        <v>2023.03.11</v>
      </c>
      <c r="C260" s="118" t="str">
        <f t="shared" ca="1" si="78"/>
        <v/>
      </c>
      <c r="D260" s="122" t="str">
        <f t="shared" ca="1" si="79"/>
        <v/>
      </c>
      <c r="E260" s="70" t="str">
        <f t="shared" ca="1" si="80"/>
        <v/>
      </c>
      <c r="F260" s="120" t="str">
        <f t="shared" ca="1" si="81"/>
        <v/>
      </c>
      <c r="G260" s="122" t="str">
        <f t="shared" ca="1" si="82"/>
        <v/>
      </c>
      <c r="H260" s="70" t="str">
        <f t="shared" ca="1" si="83"/>
        <v/>
      </c>
      <c r="I260" s="120" t="str">
        <f t="shared" ca="1" si="84"/>
        <v/>
      </c>
      <c r="J260" s="122" t="str">
        <f t="shared" ca="1" si="85"/>
        <v/>
      </c>
      <c r="K260" s="70" t="str">
        <f t="shared" ca="1" si="86"/>
        <v/>
      </c>
      <c r="L260" s="120" t="str">
        <f t="shared" ca="1" si="87"/>
        <v/>
      </c>
      <c r="M260" s="122" t="str">
        <f t="shared" ca="1" si="88"/>
        <v/>
      </c>
      <c r="N260" s="70" t="str">
        <f t="shared" ca="1" si="89"/>
        <v/>
      </c>
      <c r="O260" s="120" t="str">
        <f t="shared" ca="1" si="90"/>
        <v/>
      </c>
    </row>
    <row r="261" spans="1:15" ht="16.5" customHeight="1">
      <c r="A261" s="47">
        <v>12</v>
      </c>
      <c r="B261" s="133" t="str">
        <f>HYPERLINK("#'" &amp; TEXT(투자전략!$G$1+11, "[$-ko-KR]yyyy.mm.dd") &amp; "'!A175:O199", TEXT(투자전략!$G$1+11, "[$-ko-KR]yyyy.mm.dd"))</f>
        <v>2023.03.12</v>
      </c>
      <c r="C261" s="118" t="str">
        <f t="shared" ca="1" si="78"/>
        <v/>
      </c>
      <c r="D261" s="122" t="str">
        <f t="shared" ca="1" si="79"/>
        <v/>
      </c>
      <c r="E261" s="70" t="str">
        <f t="shared" ca="1" si="80"/>
        <v/>
      </c>
      <c r="F261" s="120" t="str">
        <f t="shared" ca="1" si="81"/>
        <v/>
      </c>
      <c r="G261" s="122" t="str">
        <f t="shared" ca="1" si="82"/>
        <v/>
      </c>
      <c r="H261" s="70" t="str">
        <f t="shared" ca="1" si="83"/>
        <v/>
      </c>
      <c r="I261" s="120" t="str">
        <f t="shared" ca="1" si="84"/>
        <v/>
      </c>
      <c r="J261" s="122" t="str">
        <f t="shared" ca="1" si="85"/>
        <v/>
      </c>
      <c r="K261" s="70" t="str">
        <f t="shared" ca="1" si="86"/>
        <v/>
      </c>
      <c r="L261" s="120" t="str">
        <f t="shared" ca="1" si="87"/>
        <v/>
      </c>
      <c r="M261" s="122" t="str">
        <f t="shared" ca="1" si="88"/>
        <v/>
      </c>
      <c r="N261" s="70" t="str">
        <f t="shared" ca="1" si="89"/>
        <v/>
      </c>
      <c r="O261" s="120" t="str">
        <f t="shared" ca="1" si="90"/>
        <v/>
      </c>
    </row>
    <row r="262" spans="1:15" ht="16.5" customHeight="1">
      <c r="A262" s="47">
        <v>13</v>
      </c>
      <c r="B262" s="133" t="str">
        <f>HYPERLINK("#'" &amp; TEXT(투자전략!$G$1+12, "[$-ko-KR]yyyy.mm.dd") &amp; "'!A175:O199", TEXT(투자전략!$G$1+12, "[$-ko-KR]yyyy.mm.dd"))</f>
        <v>2023.03.13</v>
      </c>
      <c r="C262" s="118" t="str">
        <f t="shared" ca="1" si="78"/>
        <v/>
      </c>
      <c r="D262" s="122" t="str">
        <f t="shared" ca="1" si="79"/>
        <v/>
      </c>
      <c r="E262" s="70" t="str">
        <f t="shared" ca="1" si="80"/>
        <v/>
      </c>
      <c r="F262" s="120" t="str">
        <f t="shared" ca="1" si="81"/>
        <v/>
      </c>
      <c r="G262" s="122" t="str">
        <f t="shared" ca="1" si="82"/>
        <v/>
      </c>
      <c r="H262" s="70" t="str">
        <f t="shared" ca="1" si="83"/>
        <v/>
      </c>
      <c r="I262" s="120" t="str">
        <f t="shared" ca="1" si="84"/>
        <v/>
      </c>
      <c r="J262" s="122" t="str">
        <f t="shared" ca="1" si="85"/>
        <v/>
      </c>
      <c r="K262" s="70" t="str">
        <f t="shared" ca="1" si="86"/>
        <v/>
      </c>
      <c r="L262" s="120" t="str">
        <f t="shared" ca="1" si="87"/>
        <v/>
      </c>
      <c r="M262" s="122" t="str">
        <f t="shared" ca="1" si="88"/>
        <v/>
      </c>
      <c r="N262" s="70" t="str">
        <f t="shared" ca="1" si="89"/>
        <v/>
      </c>
      <c r="O262" s="120" t="str">
        <f t="shared" ca="1" si="90"/>
        <v/>
      </c>
    </row>
    <row r="263" spans="1:15" ht="16.5" customHeight="1" thickBot="1">
      <c r="A263" s="48">
        <v>14</v>
      </c>
      <c r="B263" s="134" t="str">
        <f>HYPERLINK("#'" &amp; TEXT(투자전략!$G$1+13, "[$-ko-KR]yyyy.mm.dd") &amp; "'!A175:O199", TEXT(투자전략!$G$1+13, "[$-ko-KR]yyyy.mm.dd"))</f>
        <v>2023.03.14</v>
      </c>
      <c r="C263" s="119" t="str">
        <f t="shared" ca="1" si="78"/>
        <v/>
      </c>
      <c r="D263" s="123" t="str">
        <f t="shared" ca="1" si="79"/>
        <v/>
      </c>
      <c r="E263" s="72" t="str">
        <f t="shared" ca="1" si="80"/>
        <v/>
      </c>
      <c r="F263" s="121" t="str">
        <f t="shared" ca="1" si="81"/>
        <v/>
      </c>
      <c r="G263" s="123" t="str">
        <f t="shared" ca="1" si="82"/>
        <v/>
      </c>
      <c r="H263" s="72" t="str">
        <f t="shared" ca="1" si="83"/>
        <v/>
      </c>
      <c r="I263" s="121" t="str">
        <f t="shared" ca="1" si="84"/>
        <v/>
      </c>
      <c r="J263" s="123" t="str">
        <f t="shared" ca="1" si="85"/>
        <v/>
      </c>
      <c r="K263" s="72" t="str">
        <f t="shared" ca="1" si="86"/>
        <v/>
      </c>
      <c r="L263" s="121" t="str">
        <f t="shared" ca="1" si="87"/>
        <v/>
      </c>
      <c r="M263" s="123" t="str">
        <f t="shared" ca="1" si="88"/>
        <v/>
      </c>
      <c r="N263" s="72" t="str">
        <f t="shared" ca="1" si="89"/>
        <v/>
      </c>
      <c r="O263" s="121" t="str">
        <f t="shared" ca="1" si="90"/>
        <v/>
      </c>
    </row>
    <row r="264" spans="1:15" ht="16.5" customHeight="1">
      <c r="A264" s="46">
        <v>15</v>
      </c>
      <c r="B264" s="132" t="str">
        <f>HYPERLINK("#'" &amp; TEXT(투자전략!$G$1+14, "[$-ko-KR]yyyy.mm.dd") &amp; "'!A175:O199", TEXT(투자전략!$G$1+14, "[$-ko-KR]yyyy.mm.dd"))</f>
        <v>2023.03.15</v>
      </c>
      <c r="C264" s="118" t="str">
        <f t="shared" ca="1" si="78"/>
        <v/>
      </c>
      <c r="D264" s="122" t="str">
        <f t="shared" ca="1" si="79"/>
        <v/>
      </c>
      <c r="E264" s="70" t="str">
        <f t="shared" ca="1" si="80"/>
        <v/>
      </c>
      <c r="F264" s="120" t="str">
        <f t="shared" ca="1" si="81"/>
        <v/>
      </c>
      <c r="G264" s="122" t="str">
        <f t="shared" ca="1" si="82"/>
        <v/>
      </c>
      <c r="H264" s="70" t="str">
        <f t="shared" ca="1" si="83"/>
        <v/>
      </c>
      <c r="I264" s="120" t="str">
        <f t="shared" ca="1" si="84"/>
        <v/>
      </c>
      <c r="J264" s="122" t="str">
        <f t="shared" ca="1" si="85"/>
        <v/>
      </c>
      <c r="K264" s="70" t="str">
        <f t="shared" ca="1" si="86"/>
        <v/>
      </c>
      <c r="L264" s="120" t="str">
        <f t="shared" ca="1" si="87"/>
        <v/>
      </c>
      <c r="M264" s="122" t="str">
        <f t="shared" ca="1" si="88"/>
        <v/>
      </c>
      <c r="N264" s="70" t="str">
        <f t="shared" ca="1" si="89"/>
        <v/>
      </c>
      <c r="O264" s="120" t="str">
        <f t="shared" ca="1" si="90"/>
        <v/>
      </c>
    </row>
    <row r="265" spans="1:15" ht="16.5" customHeight="1">
      <c r="A265" s="47">
        <v>16</v>
      </c>
      <c r="B265" s="133" t="str">
        <f>HYPERLINK("#'" &amp; TEXT(투자전략!$G$1+15, "[$-ko-KR]yyyy.mm.dd") &amp; "'!A175:O199", TEXT(투자전략!$G$1+15, "[$-ko-KR]yyyy.mm.dd"))</f>
        <v>2023.03.16</v>
      </c>
      <c r="C265" s="118" t="str">
        <f t="shared" ca="1" si="78"/>
        <v/>
      </c>
      <c r="D265" s="122" t="str">
        <f t="shared" ca="1" si="79"/>
        <v/>
      </c>
      <c r="E265" s="70" t="str">
        <f t="shared" ca="1" si="80"/>
        <v/>
      </c>
      <c r="F265" s="120" t="str">
        <f t="shared" ca="1" si="81"/>
        <v/>
      </c>
      <c r="G265" s="122" t="str">
        <f t="shared" ca="1" si="82"/>
        <v/>
      </c>
      <c r="H265" s="70" t="str">
        <f t="shared" ca="1" si="83"/>
        <v/>
      </c>
      <c r="I265" s="120" t="str">
        <f t="shared" ca="1" si="84"/>
        <v/>
      </c>
      <c r="J265" s="122" t="str">
        <f t="shared" ca="1" si="85"/>
        <v/>
      </c>
      <c r="K265" s="70" t="str">
        <f t="shared" ca="1" si="86"/>
        <v/>
      </c>
      <c r="L265" s="120" t="str">
        <f t="shared" ca="1" si="87"/>
        <v/>
      </c>
      <c r="M265" s="122" t="str">
        <f t="shared" ca="1" si="88"/>
        <v/>
      </c>
      <c r="N265" s="70" t="str">
        <f t="shared" ca="1" si="89"/>
        <v/>
      </c>
      <c r="O265" s="120" t="str">
        <f t="shared" ca="1" si="90"/>
        <v/>
      </c>
    </row>
    <row r="266" spans="1:15" ht="16.5" customHeight="1">
      <c r="A266" s="47">
        <v>17</v>
      </c>
      <c r="B266" s="133" t="str">
        <f>HYPERLINK("#'" &amp; TEXT(투자전략!$G$1+16, "[$-ko-KR]yyyy.mm.dd") &amp; "'!A175:O199", TEXT(투자전략!$G$1+16, "[$-ko-KR]yyyy.mm.dd"))</f>
        <v>2023.03.17</v>
      </c>
      <c r="C266" s="118" t="str">
        <f t="shared" ca="1" si="78"/>
        <v/>
      </c>
      <c r="D266" s="122" t="str">
        <f t="shared" ca="1" si="79"/>
        <v/>
      </c>
      <c r="E266" s="70" t="str">
        <f t="shared" ca="1" si="80"/>
        <v/>
      </c>
      <c r="F266" s="120" t="str">
        <f t="shared" ca="1" si="81"/>
        <v/>
      </c>
      <c r="G266" s="122" t="str">
        <f t="shared" ca="1" si="82"/>
        <v/>
      </c>
      <c r="H266" s="70" t="str">
        <f t="shared" ca="1" si="83"/>
        <v/>
      </c>
      <c r="I266" s="120" t="str">
        <f t="shared" ca="1" si="84"/>
        <v/>
      </c>
      <c r="J266" s="122" t="str">
        <f t="shared" ca="1" si="85"/>
        <v/>
      </c>
      <c r="K266" s="70" t="str">
        <f t="shared" ca="1" si="86"/>
        <v/>
      </c>
      <c r="L266" s="120" t="str">
        <f t="shared" ca="1" si="87"/>
        <v/>
      </c>
      <c r="M266" s="122" t="str">
        <f t="shared" ca="1" si="88"/>
        <v/>
      </c>
      <c r="N266" s="70" t="str">
        <f t="shared" ca="1" si="89"/>
        <v/>
      </c>
      <c r="O266" s="120" t="str">
        <f t="shared" ca="1" si="90"/>
        <v/>
      </c>
    </row>
    <row r="267" spans="1:15" ht="16.5" customHeight="1">
      <c r="A267" s="47">
        <v>18</v>
      </c>
      <c r="B267" s="133" t="str">
        <f>HYPERLINK("#'" &amp; TEXT(투자전략!$G$1+17, "[$-ko-KR]yyyy.mm.dd") &amp; "'!A175:O199", TEXT(투자전략!$G$1+17, "[$-ko-KR]yyyy.mm.dd"))</f>
        <v>2023.03.18</v>
      </c>
      <c r="C267" s="118" t="str">
        <f t="shared" ca="1" si="78"/>
        <v/>
      </c>
      <c r="D267" s="122" t="str">
        <f t="shared" ca="1" si="79"/>
        <v/>
      </c>
      <c r="E267" s="70" t="str">
        <f t="shared" ca="1" si="80"/>
        <v/>
      </c>
      <c r="F267" s="120" t="str">
        <f t="shared" ca="1" si="81"/>
        <v/>
      </c>
      <c r="G267" s="122" t="str">
        <f t="shared" ca="1" si="82"/>
        <v/>
      </c>
      <c r="H267" s="70" t="str">
        <f t="shared" ca="1" si="83"/>
        <v/>
      </c>
      <c r="I267" s="120" t="str">
        <f t="shared" ca="1" si="84"/>
        <v/>
      </c>
      <c r="J267" s="122" t="str">
        <f t="shared" ca="1" si="85"/>
        <v/>
      </c>
      <c r="K267" s="70" t="str">
        <f t="shared" ca="1" si="86"/>
        <v/>
      </c>
      <c r="L267" s="120" t="str">
        <f t="shared" ca="1" si="87"/>
        <v/>
      </c>
      <c r="M267" s="122" t="str">
        <f t="shared" ca="1" si="88"/>
        <v/>
      </c>
      <c r="N267" s="70" t="str">
        <f t="shared" ca="1" si="89"/>
        <v/>
      </c>
      <c r="O267" s="120" t="str">
        <f t="shared" ca="1" si="90"/>
        <v/>
      </c>
    </row>
    <row r="268" spans="1:15" ht="16.5" customHeight="1">
      <c r="A268" s="47">
        <v>19</v>
      </c>
      <c r="B268" s="133" t="str">
        <f>HYPERLINK("#'" &amp; TEXT(투자전략!$G$1+18, "[$-ko-KR]yyyy.mm.dd") &amp; "'!A175:O199", TEXT(투자전략!$G$1+18, "[$-ko-KR]yyyy.mm.dd"))</f>
        <v>2023.03.19</v>
      </c>
      <c r="C268" s="118" t="str">
        <f t="shared" ca="1" si="78"/>
        <v/>
      </c>
      <c r="D268" s="122" t="str">
        <f t="shared" ca="1" si="79"/>
        <v/>
      </c>
      <c r="E268" s="70" t="str">
        <f t="shared" ca="1" si="80"/>
        <v/>
      </c>
      <c r="F268" s="120" t="str">
        <f t="shared" ca="1" si="81"/>
        <v/>
      </c>
      <c r="G268" s="122" t="str">
        <f t="shared" ca="1" si="82"/>
        <v/>
      </c>
      <c r="H268" s="70" t="str">
        <f t="shared" ca="1" si="83"/>
        <v/>
      </c>
      <c r="I268" s="120" t="str">
        <f t="shared" ca="1" si="84"/>
        <v/>
      </c>
      <c r="J268" s="122" t="str">
        <f t="shared" ca="1" si="85"/>
        <v/>
      </c>
      <c r="K268" s="70" t="str">
        <f t="shared" ca="1" si="86"/>
        <v/>
      </c>
      <c r="L268" s="120" t="str">
        <f t="shared" ca="1" si="87"/>
        <v/>
      </c>
      <c r="M268" s="122" t="str">
        <f t="shared" ca="1" si="88"/>
        <v/>
      </c>
      <c r="N268" s="70" t="str">
        <f t="shared" ca="1" si="89"/>
        <v/>
      </c>
      <c r="O268" s="120" t="str">
        <f t="shared" ca="1" si="90"/>
        <v/>
      </c>
    </row>
    <row r="269" spans="1:15" ht="16.5" customHeight="1">
      <c r="A269" s="47">
        <v>20</v>
      </c>
      <c r="B269" s="133" t="str">
        <f>HYPERLINK("#'" &amp; TEXT(투자전략!$G$1+19, "[$-ko-KR]yyyy.mm.dd") &amp; "'!A175:O199", TEXT(투자전략!$G$1+19, "[$-ko-KR]yyyy.mm.dd"))</f>
        <v>2023.03.20</v>
      </c>
      <c r="C269" s="118" t="str">
        <f t="shared" ca="1" si="78"/>
        <v/>
      </c>
      <c r="D269" s="122" t="str">
        <f t="shared" ca="1" si="79"/>
        <v/>
      </c>
      <c r="E269" s="70" t="str">
        <f t="shared" ca="1" si="80"/>
        <v/>
      </c>
      <c r="F269" s="120" t="str">
        <f t="shared" ca="1" si="81"/>
        <v/>
      </c>
      <c r="G269" s="122" t="str">
        <f t="shared" ca="1" si="82"/>
        <v/>
      </c>
      <c r="H269" s="70" t="str">
        <f t="shared" ca="1" si="83"/>
        <v/>
      </c>
      <c r="I269" s="120" t="str">
        <f t="shared" ca="1" si="84"/>
        <v/>
      </c>
      <c r="J269" s="122" t="str">
        <f t="shared" ca="1" si="85"/>
        <v/>
      </c>
      <c r="K269" s="70" t="str">
        <f t="shared" ca="1" si="86"/>
        <v/>
      </c>
      <c r="L269" s="120" t="str">
        <f t="shared" ca="1" si="87"/>
        <v/>
      </c>
      <c r="M269" s="122" t="str">
        <f t="shared" ca="1" si="88"/>
        <v/>
      </c>
      <c r="N269" s="70" t="str">
        <f t="shared" ca="1" si="89"/>
        <v/>
      </c>
      <c r="O269" s="120" t="str">
        <f t="shared" ca="1" si="90"/>
        <v/>
      </c>
    </row>
    <row r="270" spans="1:15" ht="16.5" customHeight="1" thickBot="1">
      <c r="A270" s="48">
        <v>21</v>
      </c>
      <c r="B270" s="134" t="str">
        <f>HYPERLINK("#'" &amp; TEXT(투자전략!$G$1+20, "[$-ko-KR]yyyy.mm.dd") &amp; "'!A175:O199", TEXT(투자전략!$G$1+20, "[$-ko-KR]yyyy.mm.dd"))</f>
        <v>2023.03.21</v>
      </c>
      <c r="C270" s="118" t="str">
        <f t="shared" ca="1" si="78"/>
        <v/>
      </c>
      <c r="D270" s="122" t="str">
        <f t="shared" ca="1" si="79"/>
        <v/>
      </c>
      <c r="E270" s="70" t="str">
        <f t="shared" ca="1" si="80"/>
        <v/>
      </c>
      <c r="F270" s="120" t="str">
        <f t="shared" ca="1" si="81"/>
        <v/>
      </c>
      <c r="G270" s="122" t="str">
        <f t="shared" ca="1" si="82"/>
        <v/>
      </c>
      <c r="H270" s="70" t="str">
        <f t="shared" ca="1" si="83"/>
        <v/>
      </c>
      <c r="I270" s="120" t="str">
        <f t="shared" ca="1" si="84"/>
        <v/>
      </c>
      <c r="J270" s="122" t="str">
        <f t="shared" ca="1" si="85"/>
        <v/>
      </c>
      <c r="K270" s="70" t="str">
        <f t="shared" ca="1" si="86"/>
        <v/>
      </c>
      <c r="L270" s="120" t="str">
        <f t="shared" ca="1" si="87"/>
        <v/>
      </c>
      <c r="M270" s="122" t="str">
        <f t="shared" ca="1" si="88"/>
        <v/>
      </c>
      <c r="N270" s="70" t="str">
        <f t="shared" ca="1" si="89"/>
        <v/>
      </c>
      <c r="O270" s="120" t="str">
        <f t="shared" ca="1" si="90"/>
        <v/>
      </c>
    </row>
    <row r="271" spans="1:15" ht="16.5" customHeight="1">
      <c r="A271" s="46">
        <v>22</v>
      </c>
      <c r="B271" s="132" t="str">
        <f>HYPERLINK("#'" &amp; TEXT(투자전략!$G$1+21, "[$-ko-KR]yyyy.mm.dd") &amp; "'!A175:O199", TEXT(투자전략!$G$1+21, "[$-ko-KR]yyyy.mm.dd"))</f>
        <v>2023.03.22</v>
      </c>
      <c r="C271" s="117" t="str">
        <f t="shared" ca="1" si="78"/>
        <v/>
      </c>
      <c r="D271" s="125" t="str">
        <f t="shared" ca="1" si="79"/>
        <v/>
      </c>
      <c r="E271" s="69" t="str">
        <f t="shared" ca="1" si="80"/>
        <v/>
      </c>
      <c r="F271" s="124" t="str">
        <f t="shared" ca="1" si="81"/>
        <v/>
      </c>
      <c r="G271" s="125" t="str">
        <f t="shared" ca="1" si="82"/>
        <v/>
      </c>
      <c r="H271" s="69" t="str">
        <f t="shared" ca="1" si="83"/>
        <v/>
      </c>
      <c r="I271" s="124" t="str">
        <f t="shared" ca="1" si="84"/>
        <v/>
      </c>
      <c r="J271" s="125" t="str">
        <f t="shared" ca="1" si="85"/>
        <v/>
      </c>
      <c r="K271" s="69" t="str">
        <f t="shared" ca="1" si="86"/>
        <v/>
      </c>
      <c r="L271" s="124" t="str">
        <f t="shared" ca="1" si="87"/>
        <v/>
      </c>
      <c r="M271" s="125" t="str">
        <f t="shared" ca="1" si="88"/>
        <v/>
      </c>
      <c r="N271" s="69" t="str">
        <f t="shared" ca="1" si="89"/>
        <v/>
      </c>
      <c r="O271" s="124" t="str">
        <f t="shared" ca="1" si="90"/>
        <v/>
      </c>
    </row>
    <row r="272" spans="1:15" ht="16.5" customHeight="1">
      <c r="A272" s="47">
        <v>23</v>
      </c>
      <c r="B272" s="133" t="str">
        <f>HYPERLINK("#'" &amp; TEXT(투자전략!$G$1+22, "[$-ko-KR]yyyy.mm.dd") &amp; "'!A175:O199", TEXT(투자전략!$G$1+22, "[$-ko-KR]yyyy.mm.dd"))</f>
        <v>2023.03.23</v>
      </c>
      <c r="C272" s="118" t="str">
        <f t="shared" ca="1" si="78"/>
        <v/>
      </c>
      <c r="D272" s="122" t="str">
        <f t="shared" ca="1" si="79"/>
        <v/>
      </c>
      <c r="E272" s="70" t="str">
        <f t="shared" ca="1" si="80"/>
        <v/>
      </c>
      <c r="F272" s="120" t="str">
        <f t="shared" ca="1" si="81"/>
        <v/>
      </c>
      <c r="G272" s="122" t="str">
        <f t="shared" ca="1" si="82"/>
        <v/>
      </c>
      <c r="H272" s="70" t="str">
        <f t="shared" ca="1" si="83"/>
        <v/>
      </c>
      <c r="I272" s="120" t="str">
        <f t="shared" ca="1" si="84"/>
        <v/>
      </c>
      <c r="J272" s="122" t="str">
        <f t="shared" ca="1" si="85"/>
        <v/>
      </c>
      <c r="K272" s="70" t="str">
        <f t="shared" ca="1" si="86"/>
        <v/>
      </c>
      <c r="L272" s="120" t="str">
        <f t="shared" ca="1" si="87"/>
        <v/>
      </c>
      <c r="M272" s="122" t="str">
        <f t="shared" ca="1" si="88"/>
        <v/>
      </c>
      <c r="N272" s="70" t="str">
        <f t="shared" ca="1" si="89"/>
        <v/>
      </c>
      <c r="O272" s="120" t="str">
        <f t="shared" ca="1" si="90"/>
        <v/>
      </c>
    </row>
    <row r="273" spans="1:15" ht="16.5" customHeight="1">
      <c r="A273" s="47">
        <v>24</v>
      </c>
      <c r="B273" s="133" t="str">
        <f>HYPERLINK("#'" &amp; TEXT(투자전략!$G$1+23, "[$-ko-KR]yyyy.mm.dd") &amp; "'!A175:O199", TEXT(투자전략!$G$1+23, "[$-ko-KR]yyyy.mm.dd"))</f>
        <v>2023.03.24</v>
      </c>
      <c r="C273" s="118" t="str">
        <f t="shared" ca="1" si="78"/>
        <v/>
      </c>
      <c r="D273" s="122" t="str">
        <f t="shared" ca="1" si="79"/>
        <v/>
      </c>
      <c r="E273" s="70" t="str">
        <f t="shared" ca="1" si="80"/>
        <v/>
      </c>
      <c r="F273" s="120" t="str">
        <f t="shared" ca="1" si="81"/>
        <v/>
      </c>
      <c r="G273" s="122" t="str">
        <f t="shared" ca="1" si="82"/>
        <v/>
      </c>
      <c r="H273" s="70" t="str">
        <f t="shared" ca="1" si="83"/>
        <v/>
      </c>
      <c r="I273" s="120" t="str">
        <f t="shared" ca="1" si="84"/>
        <v/>
      </c>
      <c r="J273" s="122" t="str">
        <f t="shared" ca="1" si="85"/>
        <v/>
      </c>
      <c r="K273" s="70" t="str">
        <f t="shared" ca="1" si="86"/>
        <v/>
      </c>
      <c r="L273" s="120" t="str">
        <f t="shared" ca="1" si="87"/>
        <v/>
      </c>
      <c r="M273" s="122" t="str">
        <f t="shared" ca="1" si="88"/>
        <v/>
      </c>
      <c r="N273" s="70" t="str">
        <f t="shared" ca="1" si="89"/>
        <v/>
      </c>
      <c r="O273" s="120" t="str">
        <f t="shared" ca="1" si="90"/>
        <v/>
      </c>
    </row>
    <row r="274" spans="1:15" ht="16.5" customHeight="1">
      <c r="A274" s="47">
        <v>25</v>
      </c>
      <c r="B274" s="133" t="str">
        <f>HYPERLINK("#'" &amp; TEXT(투자전략!$G$1+24, "[$-ko-KR]yyyy.mm.dd") &amp; "'!A175:O199", TEXT(투자전략!$G$1+24, "[$-ko-KR]yyyy.mm.dd"))</f>
        <v>2023.03.25</v>
      </c>
      <c r="C274" s="118" t="str">
        <f t="shared" ca="1" si="78"/>
        <v/>
      </c>
      <c r="D274" s="122" t="str">
        <f t="shared" ca="1" si="79"/>
        <v/>
      </c>
      <c r="E274" s="70" t="str">
        <f t="shared" ca="1" si="80"/>
        <v/>
      </c>
      <c r="F274" s="120" t="str">
        <f t="shared" ca="1" si="81"/>
        <v/>
      </c>
      <c r="G274" s="122" t="str">
        <f t="shared" ca="1" si="82"/>
        <v/>
      </c>
      <c r="H274" s="70" t="str">
        <f t="shared" ca="1" si="83"/>
        <v/>
      </c>
      <c r="I274" s="120" t="str">
        <f t="shared" ca="1" si="84"/>
        <v/>
      </c>
      <c r="J274" s="122" t="str">
        <f t="shared" ca="1" si="85"/>
        <v/>
      </c>
      <c r="K274" s="70" t="str">
        <f t="shared" ca="1" si="86"/>
        <v/>
      </c>
      <c r="L274" s="120" t="str">
        <f t="shared" ca="1" si="87"/>
        <v/>
      </c>
      <c r="M274" s="122" t="str">
        <f t="shared" ca="1" si="88"/>
        <v/>
      </c>
      <c r="N274" s="70" t="str">
        <f t="shared" ca="1" si="89"/>
        <v/>
      </c>
      <c r="O274" s="120" t="str">
        <f t="shared" ca="1" si="90"/>
        <v/>
      </c>
    </row>
    <row r="275" spans="1:15" ht="16.5" customHeight="1">
      <c r="A275" s="47">
        <v>26</v>
      </c>
      <c r="B275" s="133" t="str">
        <f>HYPERLINK("#'" &amp; TEXT(투자전략!$G$1+25, "[$-ko-KR]yyyy.mm.dd") &amp; "'!A175:O199", TEXT(투자전략!$G$1+25, "[$-ko-KR]yyyy.mm.dd"))</f>
        <v>2023.03.26</v>
      </c>
      <c r="C275" s="118" t="str">
        <f t="shared" ca="1" si="78"/>
        <v/>
      </c>
      <c r="D275" s="122" t="str">
        <f t="shared" ca="1" si="79"/>
        <v/>
      </c>
      <c r="E275" s="70" t="str">
        <f t="shared" ca="1" si="80"/>
        <v/>
      </c>
      <c r="F275" s="120" t="str">
        <f t="shared" ca="1" si="81"/>
        <v/>
      </c>
      <c r="G275" s="122" t="str">
        <f t="shared" ca="1" si="82"/>
        <v/>
      </c>
      <c r="H275" s="70" t="str">
        <f t="shared" ca="1" si="83"/>
        <v/>
      </c>
      <c r="I275" s="120" t="str">
        <f t="shared" ca="1" si="84"/>
        <v/>
      </c>
      <c r="J275" s="122" t="str">
        <f t="shared" ca="1" si="85"/>
        <v/>
      </c>
      <c r="K275" s="70" t="str">
        <f t="shared" ca="1" si="86"/>
        <v/>
      </c>
      <c r="L275" s="120" t="str">
        <f t="shared" ca="1" si="87"/>
        <v/>
      </c>
      <c r="M275" s="122" t="str">
        <f t="shared" ca="1" si="88"/>
        <v/>
      </c>
      <c r="N275" s="70" t="str">
        <f t="shared" ca="1" si="89"/>
        <v/>
      </c>
      <c r="O275" s="120" t="str">
        <f t="shared" ca="1" si="90"/>
        <v/>
      </c>
    </row>
    <row r="276" spans="1:15" ht="16.5" customHeight="1">
      <c r="A276" s="47">
        <v>27</v>
      </c>
      <c r="B276" s="133" t="str">
        <f>HYPERLINK("#'" &amp; TEXT(투자전략!$G$1+26, "[$-ko-KR]yyyy.mm.dd") &amp; "'!A175:O199", TEXT(투자전략!$G$1+26, "[$-ko-KR]yyyy.mm.dd"))</f>
        <v>2023.03.27</v>
      </c>
      <c r="C276" s="118" t="str">
        <f t="shared" ca="1" si="78"/>
        <v/>
      </c>
      <c r="D276" s="122" t="str">
        <f t="shared" ca="1" si="79"/>
        <v/>
      </c>
      <c r="E276" s="70" t="str">
        <f t="shared" ca="1" si="80"/>
        <v/>
      </c>
      <c r="F276" s="120" t="str">
        <f t="shared" ca="1" si="81"/>
        <v/>
      </c>
      <c r="G276" s="122" t="str">
        <f t="shared" ca="1" si="82"/>
        <v/>
      </c>
      <c r="H276" s="70" t="str">
        <f t="shared" ca="1" si="83"/>
        <v/>
      </c>
      <c r="I276" s="120" t="str">
        <f t="shared" ca="1" si="84"/>
        <v/>
      </c>
      <c r="J276" s="122" t="str">
        <f t="shared" ca="1" si="85"/>
        <v/>
      </c>
      <c r="K276" s="70" t="str">
        <f t="shared" ca="1" si="86"/>
        <v/>
      </c>
      <c r="L276" s="120" t="str">
        <f t="shared" ca="1" si="87"/>
        <v/>
      </c>
      <c r="M276" s="122" t="str">
        <f t="shared" ca="1" si="88"/>
        <v/>
      </c>
      <c r="N276" s="70" t="str">
        <f t="shared" ca="1" si="89"/>
        <v/>
      </c>
      <c r="O276" s="120" t="str">
        <f t="shared" ca="1" si="90"/>
        <v/>
      </c>
    </row>
    <row r="277" spans="1:15" ht="16.5" customHeight="1" thickBot="1">
      <c r="A277" s="48">
        <v>28</v>
      </c>
      <c r="B277" s="134" t="str">
        <f>HYPERLINK("#'" &amp; TEXT(투자전략!$G$1+27, "[$-ko-KR]yyyy.mm.dd") &amp; "'!A175:O199", TEXT(투자전략!$G$1+27, "[$-ko-KR]yyyy.mm.dd"))</f>
        <v>2023.03.28</v>
      </c>
      <c r="C277" s="119" t="str">
        <f t="shared" ca="1" si="78"/>
        <v/>
      </c>
      <c r="D277" s="123" t="str">
        <f t="shared" ca="1" si="79"/>
        <v/>
      </c>
      <c r="E277" s="72" t="str">
        <f t="shared" ca="1" si="80"/>
        <v/>
      </c>
      <c r="F277" s="121" t="str">
        <f t="shared" ca="1" si="81"/>
        <v/>
      </c>
      <c r="G277" s="123" t="str">
        <f t="shared" ca="1" si="82"/>
        <v/>
      </c>
      <c r="H277" s="72" t="str">
        <f t="shared" ca="1" si="83"/>
        <v/>
      </c>
      <c r="I277" s="121" t="str">
        <f t="shared" ca="1" si="84"/>
        <v/>
      </c>
      <c r="J277" s="123" t="str">
        <f t="shared" ca="1" si="85"/>
        <v/>
      </c>
      <c r="K277" s="72" t="str">
        <f t="shared" ca="1" si="86"/>
        <v/>
      </c>
      <c r="L277" s="121" t="str">
        <f t="shared" ca="1" si="87"/>
        <v/>
      </c>
      <c r="M277" s="123" t="str">
        <f t="shared" ca="1" si="88"/>
        <v/>
      </c>
      <c r="N277" s="72" t="str">
        <f t="shared" ca="1" si="89"/>
        <v/>
      </c>
      <c r="O277" s="121" t="str">
        <f t="shared" ca="1" si="90"/>
        <v/>
      </c>
    </row>
    <row r="278" spans="1:15" ht="16.5" customHeight="1">
      <c r="A278" s="105">
        <v>29</v>
      </c>
      <c r="B278" s="132" t="str">
        <f>HYPERLINK("#'" &amp; TEXT(투자전략!$G$1+28, "[$-ko-KR]yyyy.mm.dd") &amp; "'!A175:O199", TEXT(투자전략!$G$1+28, "[$-ko-KR]yyyy.mm.dd"))</f>
        <v>2023.03.29</v>
      </c>
      <c r="C278" s="118" t="str">
        <f t="shared" ca="1" si="78"/>
        <v/>
      </c>
      <c r="D278" s="122" t="str">
        <f t="shared" ca="1" si="79"/>
        <v/>
      </c>
      <c r="E278" s="70" t="str">
        <f t="shared" ca="1" si="80"/>
        <v/>
      </c>
      <c r="F278" s="120" t="str">
        <f t="shared" ca="1" si="81"/>
        <v/>
      </c>
      <c r="G278" s="122" t="str">
        <f t="shared" ca="1" si="82"/>
        <v/>
      </c>
      <c r="H278" s="70" t="str">
        <f t="shared" ca="1" si="83"/>
        <v/>
      </c>
      <c r="I278" s="120" t="str">
        <f t="shared" ca="1" si="84"/>
        <v/>
      </c>
      <c r="J278" s="122" t="str">
        <f t="shared" ca="1" si="85"/>
        <v/>
      </c>
      <c r="K278" s="70" t="str">
        <f t="shared" ca="1" si="86"/>
        <v/>
      </c>
      <c r="L278" s="120" t="str">
        <f t="shared" ca="1" si="87"/>
        <v/>
      </c>
      <c r="M278" s="122" t="str">
        <f t="shared" ca="1" si="88"/>
        <v/>
      </c>
      <c r="N278" s="70" t="str">
        <f t="shared" ca="1" si="89"/>
        <v/>
      </c>
      <c r="O278" s="120" t="str">
        <f t="shared" ca="1" si="90"/>
        <v/>
      </c>
    </row>
    <row r="279" spans="1:15" ht="16.5" customHeight="1">
      <c r="A279" s="105">
        <v>30</v>
      </c>
      <c r="B279" s="133" t="str">
        <f>HYPERLINK("#'" &amp; TEXT(투자전략!$G$1+29, "[$-ko-KR]yyyy.mm.dd") &amp; "'!A175:O199", TEXT(투자전략!$G$1+29, "[$-ko-KR]yyyy.mm.dd"))</f>
        <v>2023.03.30</v>
      </c>
      <c r="C279" s="118" t="str">
        <f t="shared" ca="1" si="78"/>
        <v/>
      </c>
      <c r="D279" s="122" t="str">
        <f t="shared" ca="1" si="79"/>
        <v/>
      </c>
      <c r="E279" s="70" t="str">
        <f t="shared" ca="1" si="80"/>
        <v/>
      </c>
      <c r="F279" s="120" t="str">
        <f t="shared" ca="1" si="81"/>
        <v/>
      </c>
      <c r="G279" s="122" t="str">
        <f t="shared" ca="1" si="82"/>
        <v/>
      </c>
      <c r="H279" s="70" t="str">
        <f t="shared" ca="1" si="83"/>
        <v/>
      </c>
      <c r="I279" s="120" t="str">
        <f t="shared" ca="1" si="84"/>
        <v/>
      </c>
      <c r="J279" s="122" t="str">
        <f t="shared" ca="1" si="85"/>
        <v/>
      </c>
      <c r="K279" s="70" t="str">
        <f t="shared" ca="1" si="86"/>
        <v/>
      </c>
      <c r="L279" s="120" t="str">
        <f t="shared" ca="1" si="87"/>
        <v/>
      </c>
      <c r="M279" s="122" t="str">
        <f t="shared" ca="1" si="88"/>
        <v/>
      </c>
      <c r="N279" s="70" t="str">
        <f t="shared" ca="1" si="89"/>
        <v/>
      </c>
      <c r="O279" s="120" t="str">
        <f t="shared" ca="1" si="90"/>
        <v/>
      </c>
    </row>
    <row r="280" spans="1:15" ht="16.5" customHeight="1" thickBot="1">
      <c r="A280" s="105">
        <v>31</v>
      </c>
      <c r="B280" s="133" t="str">
        <f>HYPERLINK("#'" &amp; TEXT(투자전략!$G$1+30, "[$-ko-KR]yyyy.mm.dd") &amp; "'!A175:O199", TEXT(투자전략!$G$1+30, "[$-ko-KR]yyyy.mm.dd"))</f>
        <v>2023.03.31</v>
      </c>
      <c r="C280" s="119" t="str">
        <f t="shared" ca="1" si="78"/>
        <v/>
      </c>
      <c r="D280" s="123" t="str">
        <f t="shared" ca="1" si="79"/>
        <v/>
      </c>
      <c r="E280" s="72" t="str">
        <f t="shared" ca="1" si="80"/>
        <v/>
      </c>
      <c r="F280" s="121" t="str">
        <f t="shared" ca="1" si="81"/>
        <v/>
      </c>
      <c r="G280" s="123" t="str">
        <f t="shared" ca="1" si="82"/>
        <v/>
      </c>
      <c r="H280" s="72" t="str">
        <f t="shared" ca="1" si="83"/>
        <v/>
      </c>
      <c r="I280" s="121" t="str">
        <f t="shared" ca="1" si="84"/>
        <v/>
      </c>
      <c r="J280" s="123" t="str">
        <f t="shared" ca="1" si="85"/>
        <v/>
      </c>
      <c r="K280" s="72" t="str">
        <f t="shared" ca="1" si="86"/>
        <v/>
      </c>
      <c r="L280" s="121" t="str">
        <f t="shared" ca="1" si="87"/>
        <v/>
      </c>
      <c r="M280" s="123" t="str">
        <f t="shared" ca="1" si="88"/>
        <v/>
      </c>
      <c r="N280" s="72" t="str">
        <f t="shared" ca="1" si="89"/>
        <v/>
      </c>
      <c r="O280" s="121" t="str">
        <f t="shared" ca="1" si="90"/>
        <v/>
      </c>
    </row>
    <row r="281" spans="1:15" ht="16.5" customHeight="1" thickBot="1">
      <c r="A281" s="144" t="s">
        <v>270</v>
      </c>
      <c r="B281" s="146"/>
      <c r="C281" s="116" t="s">
        <v>265</v>
      </c>
      <c r="D281" s="9" t="s">
        <v>266</v>
      </c>
      <c r="E281" s="63" t="s">
        <v>267</v>
      </c>
      <c r="F281" s="64" t="s">
        <v>268</v>
      </c>
      <c r="G281" s="9" t="s">
        <v>266</v>
      </c>
      <c r="H281" s="63" t="s">
        <v>267</v>
      </c>
      <c r="I281" s="64" t="s">
        <v>268</v>
      </c>
      <c r="J281" s="9" t="s">
        <v>266</v>
      </c>
      <c r="K281" s="63" t="s">
        <v>267</v>
      </c>
      <c r="L281" s="64" t="s">
        <v>268</v>
      </c>
      <c r="M281" s="9" t="s">
        <v>266</v>
      </c>
      <c r="N281" s="63" t="s">
        <v>267</v>
      </c>
      <c r="O281" s="64" t="s">
        <v>268</v>
      </c>
    </row>
    <row r="282" spans="1:15" ht="16.5" customHeight="1" thickBot="1">
      <c r="A282" s="150"/>
      <c r="B282" s="152"/>
      <c r="C282" s="119">
        <f ca="1">SUM(C250:C280)</f>
        <v>3000000</v>
      </c>
      <c r="D282" s="123">
        <f ca="1">SUM(D250:D280)</f>
        <v>3000000</v>
      </c>
      <c r="E282" s="72">
        <f ca="1">IFERROR(F282 / (SUM($C250:$C280) / COUNT($C250:$C280)), 0)</f>
        <v>0</v>
      </c>
      <c r="F282" s="121">
        <f ca="1">SUM(F250:F280)</f>
        <v>0</v>
      </c>
      <c r="G282" s="123">
        <f ca="1">SUM(G250:G280)</f>
        <v>3000000</v>
      </c>
      <c r="H282" s="72">
        <f ca="1">IFERROR(I282 / (SUM($C250:$C280) / COUNT($C250:$C280)), 0)</f>
        <v>0</v>
      </c>
      <c r="I282" s="121">
        <f ca="1">SUM(I250:I280)</f>
        <v>0</v>
      </c>
      <c r="J282" s="123">
        <f ca="1">SUM(J250:J280)</f>
        <v>3000000</v>
      </c>
      <c r="K282" s="72">
        <f ca="1">IFERROR(L282 / (SUM($C250:$C280) / COUNT($C250:$C280)), 0)</f>
        <v>0</v>
      </c>
      <c r="L282" s="121">
        <f ca="1">SUM(L250:L280)</f>
        <v>0</v>
      </c>
      <c r="M282" s="123">
        <f ca="1">SUM(M250:M280)</f>
        <v>3000000</v>
      </c>
      <c r="N282" s="72">
        <f ca="1">IFERROR(O282 / (SUM($C250:$C280) / COUNT($C250:$C280)), 0)</f>
        <v>0</v>
      </c>
      <c r="O282" s="121">
        <f ca="1">SUM(O250:O280)</f>
        <v>0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A7EB8-E494-49DC-A822-FED410452C6B}">
  <sheetPr codeName="Sheet6"/>
  <dimension ref="A1:S199"/>
  <sheetViews>
    <sheetView tabSelected="1"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44986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307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315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308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309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310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311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312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242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313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314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305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31143000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-3.5834267E-3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2023-03-01(수) 오전 00:00</v>
      </c>
      <c r="C15" s="202"/>
      <c r="D15" s="158" t="str">
        <f>TEXT($G$1, "[$-ko-KR]yyyy-mm-dd(ddd) ") &amp; "오후 14:00"</f>
        <v>2023-03-01(수) 오후 14:00</v>
      </c>
      <c r="E15" s="159"/>
      <c r="F15" s="160"/>
      <c r="G15" s="158" t="str">
        <f>TEXT($G$1, "[$-ko-KR]yyyy-mm-dd(ddd) ") &amp; "오후 19:00"</f>
        <v>2023-03-01(수) 오후 19:00</v>
      </c>
      <c r="H15" s="159"/>
      <c r="I15" s="160"/>
      <c r="J15" s="158" t="str">
        <f>TEXT($G$1, "[$-ko-KR]yyyy-mm-dd(ddd) ") &amp; "오후 21:00"</f>
        <v>2023-03-01(수) 오후 21:00</v>
      </c>
      <c r="K15" s="159"/>
      <c r="L15" s="160"/>
      <c r="M15" s="158" t="str">
        <f>TEXT($G$1+1, "[$-ko-KR]yyyy-mm-dd(ddd) ") &amp; "오전 00:00"</f>
        <v>2023-03-02(목)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254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31143000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-3.5834267E-3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2023-03-01(수) 오전 00:00</v>
      </c>
      <c r="C42" s="199"/>
      <c r="D42" s="158" t="str">
        <f>TEXT($G$1, "[$-ko-KR]yyyy-mm-dd(ddd) ") &amp; "오후 14:00"</f>
        <v>2023-03-01(수) 오후 14:00</v>
      </c>
      <c r="E42" s="159"/>
      <c r="F42" s="160"/>
      <c r="G42" s="158" t="str">
        <f>TEXT($G$1, "[$-ko-KR]yyyy-mm-dd(ddd) ") &amp; "오후 19:00"</f>
        <v>2023-03-01(수) 오후 19:00</v>
      </c>
      <c r="H42" s="159"/>
      <c r="I42" s="160"/>
      <c r="J42" s="158" t="str">
        <f>TEXT($G$1, "[$-ko-KR]yyyy-mm-dd(ddd) ") &amp; "오후 21:00"</f>
        <v>2023-03-01(수) 오후 21:00</v>
      </c>
      <c r="K42" s="159"/>
      <c r="L42" s="160"/>
      <c r="M42" s="158" t="str">
        <f>TEXT($G$1+1, "[$-ko-KR]yyyy-mm-dd(ddd) ") &amp; "오전 00:00"</f>
        <v>2023-03-02(목)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61"/>
      <c r="R43" s="161"/>
      <c r="S43" s="161"/>
    </row>
    <row r="44" spans="1:19" ht="17.25" customHeight="1" thickBot="1">
      <c r="A44" s="107" t="s">
        <v>225</v>
      </c>
      <c r="B44" s="108">
        <v>81.7</v>
      </c>
      <c r="C44" s="69">
        <v>5.8290155400000002E-2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 t="s">
        <v>191</v>
      </c>
      <c r="B45" s="110">
        <v>94.2</v>
      </c>
      <c r="C45" s="70">
        <v>4.08839779E-2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 t="s">
        <v>221</v>
      </c>
      <c r="B46" s="110">
        <v>30.7</v>
      </c>
      <c r="C46" s="70">
        <v>4.0677966099999997E-2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09" t="s">
        <v>107</v>
      </c>
      <c r="B47" s="110">
        <v>58</v>
      </c>
      <c r="C47" s="70">
        <v>2.47349823E-2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11" t="s">
        <v>185</v>
      </c>
      <c r="B48" s="112">
        <v>47.4</v>
      </c>
      <c r="C48" s="71">
        <v>1.4989293399999999E-2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09" t="s">
        <v>132</v>
      </c>
      <c r="B49" s="113">
        <v>81.5</v>
      </c>
      <c r="C49" s="73">
        <v>9.9132590000000007E-3</v>
      </c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09" t="s">
        <v>97</v>
      </c>
      <c r="B50" s="110">
        <v>1E-3</v>
      </c>
      <c r="C50" s="70">
        <v>0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09" t="s">
        <v>193</v>
      </c>
      <c r="B51" s="110">
        <v>26.6</v>
      </c>
      <c r="C51" s="70">
        <v>0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09" t="s">
        <v>195</v>
      </c>
      <c r="B52" s="110">
        <v>9.1999999999999993</v>
      </c>
      <c r="C52" s="70">
        <v>-2.1691974E-3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 t="s">
        <v>145</v>
      </c>
      <c r="B53" s="115">
        <v>92.1</v>
      </c>
      <c r="C53" s="72">
        <v>-4.3243242999999997E-3</v>
      </c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07" t="s">
        <v>317</v>
      </c>
      <c r="B54" s="108">
        <v>1.6500000000000001E-2</v>
      </c>
      <c r="C54" s="69">
        <v>-6.0240963999999998E-3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09" t="s">
        <v>181</v>
      </c>
      <c r="B55" s="110">
        <v>6.28</v>
      </c>
      <c r="C55" s="70">
        <v>-6.3291138999999998E-3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09" t="s">
        <v>320</v>
      </c>
      <c r="B56" s="110">
        <v>7.01</v>
      </c>
      <c r="C56" s="70">
        <v>-8.4865628999999995E-3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09" t="s">
        <v>332</v>
      </c>
      <c r="B57" s="110">
        <v>9.48</v>
      </c>
      <c r="C57" s="70">
        <v>-1.35275754E-2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 t="s">
        <v>118</v>
      </c>
      <c r="B58" s="112">
        <v>9.15</v>
      </c>
      <c r="C58" s="71">
        <v>-1.5069967700000001E-2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 t="s">
        <v>334</v>
      </c>
      <c r="B59" s="113">
        <v>51.7</v>
      </c>
      <c r="C59" s="73">
        <v>-1.5238095199999999E-2</v>
      </c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09" t="s">
        <v>203</v>
      </c>
      <c r="B60" s="110">
        <v>5.15</v>
      </c>
      <c r="C60" s="70">
        <v>-1.52963671E-2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09" t="s">
        <v>335</v>
      </c>
      <c r="B61" s="110">
        <v>94.8</v>
      </c>
      <c r="C61" s="70">
        <v>-1.5576324000000001E-2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09" t="s">
        <v>197</v>
      </c>
      <c r="B62" s="110">
        <v>12.4</v>
      </c>
      <c r="C62" s="70">
        <v>-1.5873015899999999E-2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14" t="s">
        <v>338</v>
      </c>
      <c r="B63" s="115">
        <v>4.5900000000000003E-2</v>
      </c>
      <c r="C63" s="72">
        <v>-1.9230769200000001E-2</v>
      </c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116" t="s">
        <v>257</v>
      </c>
      <c r="B64" s="194">
        <f>$B$37</f>
        <v>150000</v>
      </c>
      <c r="C64" s="195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254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31143000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-3.5834267E-3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2023-03-01(수) 오전 00:00</v>
      </c>
      <c r="C69" s="199"/>
      <c r="D69" s="158" t="str">
        <f>TEXT($G$1, "[$-ko-KR]yyyy-mm-dd(ddd) ") &amp; "오후 14:00"</f>
        <v>2023-03-01(수) 오후 14:00</v>
      </c>
      <c r="E69" s="159"/>
      <c r="F69" s="160"/>
      <c r="G69" s="158" t="str">
        <f>TEXT($G$1, "[$-ko-KR]yyyy-mm-dd(ddd) ") &amp; "오후 19:00"</f>
        <v>2023-03-01(수) 오후 19:00</v>
      </c>
      <c r="H69" s="159"/>
      <c r="I69" s="160"/>
      <c r="J69" s="158" t="str">
        <f>TEXT($G$1, "[$-ko-KR]yyyy-mm-dd(ddd) ") &amp; "오후 21:00"</f>
        <v>2023-03-01(수) 오후 21:00</v>
      </c>
      <c r="K69" s="159"/>
      <c r="L69" s="160"/>
      <c r="M69" s="158" t="str">
        <f>TEXT($G$1+1, "[$-ko-KR]yyyy-mm-dd(ddd) ") &amp; "오전 00:00"</f>
        <v>2023-03-02(목)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61"/>
      <c r="R70" s="161"/>
      <c r="S70" s="161"/>
    </row>
    <row r="71" spans="1:19" ht="17.25" thickBot="1">
      <c r="A71" s="107" t="s">
        <v>207</v>
      </c>
      <c r="B71" s="108">
        <v>101</v>
      </c>
      <c r="C71" s="69">
        <v>4.6632124400000002E-2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 t="s">
        <v>157</v>
      </c>
      <c r="B72" s="110">
        <v>371</v>
      </c>
      <c r="C72" s="70">
        <v>3.0555555599999999E-2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 t="s">
        <v>167</v>
      </c>
      <c r="B73" s="110">
        <v>291</v>
      </c>
      <c r="C73" s="70">
        <v>2.8268551199999999E-2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09" t="s">
        <v>120</v>
      </c>
      <c r="B74" s="110">
        <v>164</v>
      </c>
      <c r="C74" s="70">
        <v>2.5000000000000001E-2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11" t="s">
        <v>201</v>
      </c>
      <c r="B75" s="112">
        <v>359</v>
      </c>
      <c r="C75" s="71">
        <v>1.9886363600000002E-2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09" t="s">
        <v>85</v>
      </c>
      <c r="B76" s="113">
        <v>179</v>
      </c>
      <c r="C76" s="73">
        <v>5.6179775000000003E-3</v>
      </c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09" t="s">
        <v>103</v>
      </c>
      <c r="B77" s="110">
        <v>349</v>
      </c>
      <c r="C77" s="70">
        <v>2.8735632000000001E-3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09" t="s">
        <v>241</v>
      </c>
      <c r="B78" s="110">
        <v>141</v>
      </c>
      <c r="C78" s="70">
        <v>0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09" t="s">
        <v>253</v>
      </c>
      <c r="B79" s="110">
        <v>108</v>
      </c>
      <c r="C79" s="70">
        <v>0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 t="s">
        <v>89</v>
      </c>
      <c r="B80" s="115">
        <v>502</v>
      </c>
      <c r="C80" s="72">
        <v>-1.9880715999999999E-3</v>
      </c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07" t="s">
        <v>219</v>
      </c>
      <c r="B81" s="108">
        <v>600</v>
      </c>
      <c r="C81" s="69">
        <v>-3.3222591000000002E-3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09" t="s">
        <v>239</v>
      </c>
      <c r="B82" s="110">
        <v>594</v>
      </c>
      <c r="C82" s="70">
        <v>-3.3557047E-3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09" t="s">
        <v>235</v>
      </c>
      <c r="B83" s="110">
        <v>810</v>
      </c>
      <c r="C83" s="70">
        <v>-6.1349693000000002E-3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09" t="s">
        <v>319</v>
      </c>
      <c r="B84" s="110">
        <v>267</v>
      </c>
      <c r="C84" s="70">
        <v>-7.4349441999999998E-3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 t="s">
        <v>81</v>
      </c>
      <c r="B85" s="112">
        <v>481</v>
      </c>
      <c r="C85" s="71">
        <v>-8.2474226999999997E-3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 t="s">
        <v>229</v>
      </c>
      <c r="B86" s="113">
        <v>358</v>
      </c>
      <c r="C86" s="73">
        <v>-8.3102492999999993E-3</v>
      </c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09" t="s">
        <v>51</v>
      </c>
      <c r="B87" s="110">
        <v>117</v>
      </c>
      <c r="C87" s="70">
        <v>-8.4745762999999998E-3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09" t="s">
        <v>60</v>
      </c>
      <c r="B88" s="110">
        <v>863</v>
      </c>
      <c r="C88" s="70">
        <v>-9.1848450000000005E-3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09" t="s">
        <v>323</v>
      </c>
      <c r="B89" s="110">
        <v>105</v>
      </c>
      <c r="C89" s="70">
        <v>-9.4339622999999994E-3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114" t="s">
        <v>153</v>
      </c>
      <c r="B90" s="115">
        <v>581</v>
      </c>
      <c r="C90" s="72">
        <v>-1.02214651E-2</v>
      </c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116" t="s">
        <v>257</v>
      </c>
      <c r="B91" s="194">
        <f>$B$37</f>
        <v>150000</v>
      </c>
      <c r="C91" s="195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254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31143000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-3.5834267E-3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2023-03-01(수) 오전 00:00</v>
      </c>
      <c r="C96" s="199"/>
      <c r="D96" s="158" t="str">
        <f>TEXT($G$1, "[$-ko-KR]yyyy-mm-dd(ddd) ") &amp; "오후 14:00"</f>
        <v>2023-03-01(수) 오후 14:00</v>
      </c>
      <c r="E96" s="159"/>
      <c r="F96" s="160"/>
      <c r="G96" s="158" t="str">
        <f>TEXT($G$1, "[$-ko-KR]yyyy-mm-dd(ddd) ") &amp; "오후 19:00"</f>
        <v>2023-03-01(수) 오후 19:00</v>
      </c>
      <c r="H96" s="159"/>
      <c r="I96" s="160"/>
      <c r="J96" s="158" t="str">
        <f>TEXT($G$1, "[$-ko-KR]yyyy-mm-dd(ddd) ") &amp; "오후 21:00"</f>
        <v>2023-03-01(수) 오후 21:00</v>
      </c>
      <c r="K96" s="159"/>
      <c r="L96" s="160"/>
      <c r="M96" s="158" t="str">
        <f>TEXT($G$1+1, "[$-ko-KR]yyyy-mm-dd(ddd) ") &amp; "오전 00:00"</f>
        <v>2023-03-02(목)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61"/>
      <c r="R97" s="161"/>
      <c r="S97" s="161"/>
    </row>
    <row r="98" spans="1:19" ht="17.25" thickBot="1">
      <c r="A98" s="107" t="s">
        <v>225</v>
      </c>
      <c r="B98" s="108">
        <v>81.7</v>
      </c>
      <c r="C98" s="69">
        <v>5.8290155400000002E-2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 t="s">
        <v>83</v>
      </c>
      <c r="B99" s="110">
        <v>1575</v>
      </c>
      <c r="C99" s="70">
        <v>0.05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 t="s">
        <v>207</v>
      </c>
      <c r="B100" s="110">
        <v>101</v>
      </c>
      <c r="C100" s="70">
        <v>4.6632124400000002E-2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09" t="s">
        <v>191</v>
      </c>
      <c r="B101" s="110">
        <v>94.2</v>
      </c>
      <c r="C101" s="70">
        <v>4.08839779E-2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11" t="s">
        <v>221</v>
      </c>
      <c r="B102" s="112">
        <v>30.7</v>
      </c>
      <c r="C102" s="71">
        <v>4.0677966099999997E-2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09" t="s">
        <v>157</v>
      </c>
      <c r="B103" s="113">
        <v>371</v>
      </c>
      <c r="C103" s="73">
        <v>3.0555555599999999E-2</v>
      </c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09" t="s">
        <v>167</v>
      </c>
      <c r="B104" s="110">
        <v>291</v>
      </c>
      <c r="C104" s="70">
        <v>2.8268551199999999E-2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09" t="s">
        <v>116</v>
      </c>
      <c r="B105" s="110">
        <v>1700</v>
      </c>
      <c r="C105" s="70">
        <v>2.7190332300000002E-2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09" t="s">
        <v>120</v>
      </c>
      <c r="B106" s="110">
        <v>164</v>
      </c>
      <c r="C106" s="70">
        <v>2.5000000000000001E-2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 t="s">
        <v>107</v>
      </c>
      <c r="B107" s="115">
        <v>58</v>
      </c>
      <c r="C107" s="72">
        <v>2.47349823E-2</v>
      </c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07" t="s">
        <v>201</v>
      </c>
      <c r="B108" s="108">
        <v>359</v>
      </c>
      <c r="C108" s="69">
        <v>1.9886363600000002E-2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09" t="s">
        <v>185</v>
      </c>
      <c r="B109" s="110">
        <v>47.4</v>
      </c>
      <c r="C109" s="70">
        <v>1.4989293399999999E-2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09" t="s">
        <v>211</v>
      </c>
      <c r="B110" s="110">
        <v>1575</v>
      </c>
      <c r="C110" s="70">
        <v>1.2861736299999999E-2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09" t="s">
        <v>75</v>
      </c>
      <c r="B111" s="110">
        <v>9800</v>
      </c>
      <c r="C111" s="70">
        <v>1.13519092E-2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 t="s">
        <v>132</v>
      </c>
      <c r="B112" s="112">
        <v>81.5</v>
      </c>
      <c r="C112" s="71">
        <v>9.9132590000000007E-3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 t="s">
        <v>66</v>
      </c>
      <c r="B113" s="113">
        <v>1070</v>
      </c>
      <c r="C113" s="73">
        <v>9.4339622999999994E-3</v>
      </c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09" t="s">
        <v>85</v>
      </c>
      <c r="B114" s="110">
        <v>179</v>
      </c>
      <c r="C114" s="70">
        <v>5.6179775000000003E-3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09" t="s">
        <v>233</v>
      </c>
      <c r="B115" s="110">
        <v>4035</v>
      </c>
      <c r="C115" s="70">
        <v>3.7313432999999999E-3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09" t="s">
        <v>165</v>
      </c>
      <c r="B116" s="110">
        <v>1730</v>
      </c>
      <c r="C116" s="70">
        <v>2.8985507E-3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114" t="s">
        <v>103</v>
      </c>
      <c r="B117" s="115">
        <v>349</v>
      </c>
      <c r="C117" s="72">
        <v>2.8735632000000001E-3</v>
      </c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116" t="s">
        <v>257</v>
      </c>
      <c r="B118" s="194">
        <f>$B$37</f>
        <v>150000</v>
      </c>
      <c r="C118" s="195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245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254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31143000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-3.5834267E-3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2023-03-01(수) 오전 00:00</v>
      </c>
      <c r="C123" s="199"/>
      <c r="D123" s="158" t="str">
        <f>TEXT($G$1, "[$-ko-KR]yyyy-mm-dd(ddd) ") &amp; "오후 14:00"</f>
        <v>2023-03-01(수) 오후 14:00</v>
      </c>
      <c r="E123" s="159"/>
      <c r="F123" s="160"/>
      <c r="G123" s="158" t="str">
        <f>TEXT($G$1, "[$-ko-KR]yyyy-mm-dd(ddd) ") &amp; "오후 19:00"</f>
        <v>2023-03-01(수) 오후 19:00</v>
      </c>
      <c r="H123" s="159"/>
      <c r="I123" s="160"/>
      <c r="J123" s="158" t="str">
        <f>TEXT($G$1, "[$-ko-KR]yyyy-mm-dd(ddd) ") &amp; "오후 21:00"</f>
        <v>2023-03-01(수) 오후 21:00</v>
      </c>
      <c r="K123" s="159"/>
      <c r="L123" s="160"/>
      <c r="M123" s="158" t="str">
        <f>TEXT($G$1+1, "[$-ko-KR]yyyy-mm-dd(ddd) ") &amp; "오전 00:00"</f>
        <v>2023-03-02(목)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61"/>
      <c r="R124" s="161"/>
      <c r="S124" s="161"/>
    </row>
    <row r="125" spans="1:19" ht="17.25" thickBot="1">
      <c r="A125" s="107" t="s">
        <v>320</v>
      </c>
      <c r="B125" s="108">
        <v>7.01</v>
      </c>
      <c r="C125" s="69">
        <v>-8.4865628999999995E-3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 t="s">
        <v>332</v>
      </c>
      <c r="B126" s="110">
        <v>9.48</v>
      </c>
      <c r="C126" s="70">
        <v>-1.35275754E-2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 t="s">
        <v>118</v>
      </c>
      <c r="B127" s="110">
        <v>9.15</v>
      </c>
      <c r="C127" s="70">
        <v>-1.5069967700000001E-2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09" t="s">
        <v>334</v>
      </c>
      <c r="B128" s="110">
        <v>51.7</v>
      </c>
      <c r="C128" s="70">
        <v>-1.5238095199999999E-2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11" t="s">
        <v>203</v>
      </c>
      <c r="B129" s="112">
        <v>5.15</v>
      </c>
      <c r="C129" s="71">
        <v>-1.52963671E-2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09" t="s">
        <v>335</v>
      </c>
      <c r="B130" s="113">
        <v>94.8</v>
      </c>
      <c r="C130" s="73">
        <v>-1.5576324000000001E-2</v>
      </c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09" t="s">
        <v>197</v>
      </c>
      <c r="B131" s="110">
        <v>12.4</v>
      </c>
      <c r="C131" s="70">
        <v>-1.5873015899999999E-2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09" t="s">
        <v>338</v>
      </c>
      <c r="B132" s="110">
        <v>4.5900000000000003E-2</v>
      </c>
      <c r="C132" s="70">
        <v>-1.9230769200000001E-2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09" t="s">
        <v>64</v>
      </c>
      <c r="B133" s="110">
        <v>15.1</v>
      </c>
      <c r="C133" s="70">
        <v>-1.9480519500000001E-2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 t="s">
        <v>126</v>
      </c>
      <c r="B134" s="115">
        <v>42.3</v>
      </c>
      <c r="C134" s="72">
        <v>-2.08333333E-2</v>
      </c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07" t="s">
        <v>141</v>
      </c>
      <c r="B135" s="108">
        <v>6.02</v>
      </c>
      <c r="C135" s="69">
        <v>-2.2727272699999999E-2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09" t="s">
        <v>143</v>
      </c>
      <c r="B136" s="110">
        <v>6.63</v>
      </c>
      <c r="C136" s="70">
        <v>-2.3564064799999999E-2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09" t="s">
        <v>122</v>
      </c>
      <c r="B137" s="110">
        <v>36.6</v>
      </c>
      <c r="C137" s="70">
        <v>-2.4E-2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09" t="s">
        <v>71</v>
      </c>
      <c r="B138" s="110">
        <v>15.5</v>
      </c>
      <c r="C138" s="70">
        <v>-2.5157232700000001E-2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 t="s">
        <v>227</v>
      </c>
      <c r="B139" s="112">
        <v>64.8</v>
      </c>
      <c r="C139" s="71">
        <v>-2.8485757099999998E-2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 t="s">
        <v>237</v>
      </c>
      <c r="B140" s="113">
        <v>39.4</v>
      </c>
      <c r="C140" s="73">
        <v>-2.9556650199999999E-2</v>
      </c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09" t="s">
        <v>155</v>
      </c>
      <c r="B141" s="110">
        <v>40.200000000000003</v>
      </c>
      <c r="C141" s="70">
        <v>-3.8277512E-2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09" t="s">
        <v>124</v>
      </c>
      <c r="B142" s="110">
        <v>47.1</v>
      </c>
      <c r="C142" s="70">
        <v>-3.8775510200000002E-2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09" t="s">
        <v>138</v>
      </c>
      <c r="B143" s="110">
        <v>53.5</v>
      </c>
      <c r="C143" s="70">
        <v>-4.97335702E-2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14" t="s">
        <v>56</v>
      </c>
      <c r="B144" s="115">
        <v>69</v>
      </c>
      <c r="C144" s="72">
        <v>-0.1198979592</v>
      </c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116" t="s">
        <v>257</v>
      </c>
      <c r="B145" s="194">
        <f>$B$37</f>
        <v>150000</v>
      </c>
      <c r="C145" s="195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246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254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31143000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-3.5834267E-3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2023-03-01(수) 오전 00:00</v>
      </c>
      <c r="C150" s="199"/>
      <c r="D150" s="158" t="str">
        <f>TEXT($G$1, "[$-ko-KR]yyyy-mm-dd(ddd) ") &amp; "오후 14:00"</f>
        <v>2023-03-01(수) 오후 14:00</v>
      </c>
      <c r="E150" s="159"/>
      <c r="F150" s="160"/>
      <c r="G150" s="158" t="str">
        <f>TEXT($G$1, "[$-ko-KR]yyyy-mm-dd(ddd) ") &amp; "오후 19:00"</f>
        <v>2023-03-01(수) 오후 19:00</v>
      </c>
      <c r="H150" s="159"/>
      <c r="I150" s="160"/>
      <c r="J150" s="158" t="str">
        <f>TEXT($G$1, "[$-ko-KR]yyyy-mm-dd(ddd) ") &amp; "오후 21:00"</f>
        <v>2023-03-01(수) 오후 21:00</v>
      </c>
      <c r="K150" s="159"/>
      <c r="L150" s="160"/>
      <c r="M150" s="158" t="str">
        <f>TEXT($G$1+1, "[$-ko-KR]yyyy-mm-dd(ddd) ") &amp; "오전 00:00"</f>
        <v>2023-03-02(목)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61"/>
      <c r="R151" s="161"/>
      <c r="S151" s="161"/>
    </row>
    <row r="152" spans="1:19" ht="17.25" thickBot="1">
      <c r="A152" s="107" t="s">
        <v>231</v>
      </c>
      <c r="B152" s="108">
        <v>517</v>
      </c>
      <c r="C152" s="69">
        <v>-1.7110266200000002E-2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 t="s">
        <v>217</v>
      </c>
      <c r="B153" s="110">
        <v>111</v>
      </c>
      <c r="C153" s="70">
        <v>-1.7699115000000001E-2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 t="s">
        <v>176</v>
      </c>
      <c r="B154" s="110">
        <v>440</v>
      </c>
      <c r="C154" s="70">
        <v>-1.7857142900000001E-2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09" t="s">
        <v>169</v>
      </c>
      <c r="B155" s="110">
        <v>324</v>
      </c>
      <c r="C155" s="70">
        <v>-1.8181818200000002E-2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11" t="s">
        <v>336</v>
      </c>
      <c r="B156" s="112">
        <v>431</v>
      </c>
      <c r="C156" s="71">
        <v>-1.8223234599999999E-2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09" t="s">
        <v>223</v>
      </c>
      <c r="B157" s="113">
        <v>314</v>
      </c>
      <c r="C157" s="73">
        <v>-1.8749999999999999E-2</v>
      </c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09" t="s">
        <v>111</v>
      </c>
      <c r="B158" s="110">
        <v>930</v>
      </c>
      <c r="C158" s="70">
        <v>-1.8987341800000002E-2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09" t="s">
        <v>199</v>
      </c>
      <c r="B159" s="110">
        <v>423</v>
      </c>
      <c r="C159" s="70">
        <v>-2.08333333E-2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09" t="s">
        <v>149</v>
      </c>
      <c r="B160" s="110">
        <v>628</v>
      </c>
      <c r="C160" s="70">
        <v>-2.33281493E-2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 t="s">
        <v>209</v>
      </c>
      <c r="B161" s="115">
        <v>148</v>
      </c>
      <c r="C161" s="72">
        <v>-2.6315789499999999E-2</v>
      </c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07" t="s">
        <v>346</v>
      </c>
      <c r="B162" s="108">
        <v>331</v>
      </c>
      <c r="C162" s="69">
        <v>-2.6470588199999999E-2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09" t="s">
        <v>352</v>
      </c>
      <c r="B163" s="110">
        <v>199</v>
      </c>
      <c r="C163" s="70">
        <v>-2.92682927E-2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09" t="s">
        <v>79</v>
      </c>
      <c r="B164" s="110">
        <v>394</v>
      </c>
      <c r="C164" s="70">
        <v>-2.9556650199999999E-2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09" t="s">
        <v>213</v>
      </c>
      <c r="B165" s="110">
        <v>687</v>
      </c>
      <c r="C165" s="70">
        <v>-3.1029619200000001E-2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 t="s">
        <v>68</v>
      </c>
      <c r="B166" s="112">
        <v>639</v>
      </c>
      <c r="C166" s="71">
        <v>-3.6199095000000001E-2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 t="s">
        <v>215</v>
      </c>
      <c r="B167" s="113">
        <v>553</v>
      </c>
      <c r="C167" s="73">
        <v>-3.65853659E-2</v>
      </c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09" t="s">
        <v>105</v>
      </c>
      <c r="B168" s="110">
        <v>335</v>
      </c>
      <c r="C168" s="70">
        <v>-3.7356321800000002E-2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09" t="s">
        <v>101</v>
      </c>
      <c r="B169" s="110">
        <v>335</v>
      </c>
      <c r="C169" s="70">
        <v>-4.0114613200000003E-2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09" t="s">
        <v>159</v>
      </c>
      <c r="B170" s="110">
        <v>288</v>
      </c>
      <c r="C170" s="70">
        <v>-4.6357615900000003E-2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114" t="s">
        <v>205</v>
      </c>
      <c r="B171" s="115">
        <v>158</v>
      </c>
      <c r="C171" s="72">
        <v>-5.3892215600000001E-2</v>
      </c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116" t="s">
        <v>257</v>
      </c>
      <c r="B172" s="194">
        <f>$B$37</f>
        <v>150000</v>
      </c>
      <c r="C172" s="195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242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254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31143000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-3.5834267E-3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2023-03-01(수) 오전 00:00</v>
      </c>
      <c r="C177" s="199"/>
      <c r="D177" s="158" t="str">
        <f>TEXT($G$1, "[$-ko-KR]yyyy-mm-dd(ddd) ") &amp; "오후 14:00"</f>
        <v>2023-03-01(수) 오후 14:00</v>
      </c>
      <c r="E177" s="159"/>
      <c r="F177" s="160"/>
      <c r="G177" s="158" t="str">
        <f>TEXT($G$1, "[$-ko-KR]yyyy-mm-dd(ddd) ") &amp; "오후 19:00"</f>
        <v>2023-03-01(수) 오후 19:00</v>
      </c>
      <c r="H177" s="159"/>
      <c r="I177" s="160"/>
      <c r="J177" s="158" t="str">
        <f>TEXT($G$1, "[$-ko-KR]yyyy-mm-dd(ddd) ") &amp; "오후 21:00"</f>
        <v>2023-03-01(수) 오후 21:00</v>
      </c>
      <c r="K177" s="159"/>
      <c r="L177" s="160"/>
      <c r="M177" s="158" t="str">
        <f>TEXT($G$1+1, "[$-ko-KR]yyyy-mm-dd(ddd) ") &amp; "오전 00:00"</f>
        <v>2023-03-02(목)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61"/>
      <c r="R178" s="161"/>
      <c r="S178" s="161"/>
    </row>
    <row r="179" spans="1:19" ht="17.25" thickBot="1">
      <c r="A179" s="107" t="s">
        <v>352</v>
      </c>
      <c r="B179" s="108">
        <v>199</v>
      </c>
      <c r="C179" s="69">
        <v>-2.92682927E-2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 t="s">
        <v>79</v>
      </c>
      <c r="B180" s="110">
        <v>394</v>
      </c>
      <c r="C180" s="70">
        <v>-2.9556650199999999E-2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 t="s">
        <v>237</v>
      </c>
      <c r="B181" s="110">
        <v>39.4</v>
      </c>
      <c r="C181" s="70">
        <v>-2.9556650199999999E-2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09" t="s">
        <v>213</v>
      </c>
      <c r="B182" s="110">
        <v>687</v>
      </c>
      <c r="C182" s="70">
        <v>-3.1029619200000001E-2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11" t="s">
        <v>68</v>
      </c>
      <c r="B183" s="112">
        <v>639</v>
      </c>
      <c r="C183" s="71">
        <v>-3.6199095000000001E-2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09" t="s">
        <v>215</v>
      </c>
      <c r="B184" s="113">
        <v>553</v>
      </c>
      <c r="C184" s="73">
        <v>-3.65853659E-2</v>
      </c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09" t="s">
        <v>105</v>
      </c>
      <c r="B185" s="110">
        <v>335</v>
      </c>
      <c r="C185" s="70">
        <v>-3.7356321800000002E-2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09" t="s">
        <v>134</v>
      </c>
      <c r="B186" s="110">
        <v>2295</v>
      </c>
      <c r="C186" s="70">
        <v>-3.7735849100000003E-2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09" t="s">
        <v>155</v>
      </c>
      <c r="B187" s="110">
        <v>40.200000000000003</v>
      </c>
      <c r="C187" s="70">
        <v>-3.8277512E-2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 t="s">
        <v>130</v>
      </c>
      <c r="B188" s="115">
        <v>1125</v>
      </c>
      <c r="C188" s="72">
        <v>-3.8461538500000003E-2</v>
      </c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07" t="s">
        <v>124</v>
      </c>
      <c r="B189" s="108">
        <v>47.1</v>
      </c>
      <c r="C189" s="69">
        <v>-3.8775510200000002E-2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09" t="s">
        <v>101</v>
      </c>
      <c r="B190" s="110">
        <v>335</v>
      </c>
      <c r="C190" s="70">
        <v>-4.0114613200000003E-2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09" t="s">
        <v>161</v>
      </c>
      <c r="B191" s="110">
        <v>1155</v>
      </c>
      <c r="C191" s="70">
        <v>-4.5454545499999999E-2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09" t="s">
        <v>159</v>
      </c>
      <c r="B192" s="110">
        <v>288</v>
      </c>
      <c r="C192" s="70">
        <v>-4.6357615900000003E-2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 t="s">
        <v>138</v>
      </c>
      <c r="B193" s="112">
        <v>53.5</v>
      </c>
      <c r="C193" s="71">
        <v>-4.97335702E-2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 t="s">
        <v>172</v>
      </c>
      <c r="B194" s="113">
        <v>4410</v>
      </c>
      <c r="C194" s="73">
        <v>-5.1612903199999997E-2</v>
      </c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09" t="s">
        <v>205</v>
      </c>
      <c r="B195" s="110">
        <v>158</v>
      </c>
      <c r="C195" s="70">
        <v>-5.3892215600000001E-2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09" t="s">
        <v>136</v>
      </c>
      <c r="B196" s="110">
        <v>4580</v>
      </c>
      <c r="C196" s="70">
        <v>-5.7613168700000002E-2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09" t="s">
        <v>62</v>
      </c>
      <c r="B197" s="110">
        <v>16410</v>
      </c>
      <c r="C197" s="70">
        <v>-6.7083570199999998E-2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114" t="s">
        <v>56</v>
      </c>
      <c r="B198" s="115">
        <v>69</v>
      </c>
      <c r="C198" s="72">
        <v>-0.1198979592</v>
      </c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116" t="s">
        <v>257</v>
      </c>
      <c r="B199" s="194">
        <f>$B$37</f>
        <v>150000</v>
      </c>
      <c r="C199" s="195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2023.03.01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2023-03-06T15:02:02Z</dcterms:modified>
</cp:coreProperties>
</file>