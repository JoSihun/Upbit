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data\2023\"/>
    </mc:Choice>
  </mc:AlternateContent>
  <xr:revisionPtr revIDLastSave="0" documentId="13_ncr:1_{8673801F-1015-491A-A926-A988F4009CCE}" xr6:coauthVersionLast="47" xr6:coauthVersionMax="47" xr10:uidLastSave="{00000000-0000-0000-0000-000000000000}"/>
  <bookViews>
    <workbookView xWindow="-12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1.01" sheetId="24" r:id="rId6"/>
  </sheets>
  <definedNames>
    <definedName name="_xlnm._FilterDatabase" localSheetId="5" hidden="1">'2023.01.01'!#REF!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E198" i="24"/>
  <c r="F198" i="24" s="1"/>
  <c r="O197" i="24"/>
  <c r="N197" i="24"/>
  <c r="L197" i="24"/>
  <c r="K197" i="24"/>
  <c r="I197" i="24"/>
  <c r="H197" i="24"/>
  <c r="E197" i="24"/>
  <c r="F197" i="24" s="1"/>
  <c r="O196" i="24"/>
  <c r="N196" i="24"/>
  <c r="L196" i="24"/>
  <c r="K196" i="24"/>
  <c r="I196" i="24"/>
  <c r="H196" i="24"/>
  <c r="E196" i="24"/>
  <c r="F196" i="24" s="1"/>
  <c r="O195" i="24"/>
  <c r="N195" i="24"/>
  <c r="L195" i="24"/>
  <c r="K195" i="24"/>
  <c r="I195" i="24"/>
  <c r="H195" i="24"/>
  <c r="E195" i="24"/>
  <c r="F195" i="24" s="1"/>
  <c r="O194" i="24"/>
  <c r="N194" i="24"/>
  <c r="L194" i="24"/>
  <c r="K194" i="24"/>
  <c r="I194" i="24"/>
  <c r="H194" i="24"/>
  <c r="E194" i="24"/>
  <c r="F194" i="24" s="1"/>
  <c r="O193" i="24"/>
  <c r="N193" i="24"/>
  <c r="L193" i="24"/>
  <c r="K193" i="24"/>
  <c r="I193" i="24"/>
  <c r="H193" i="24"/>
  <c r="E193" i="24"/>
  <c r="F193" i="24" s="1"/>
  <c r="O192" i="24"/>
  <c r="N192" i="24"/>
  <c r="L192" i="24"/>
  <c r="K192" i="24"/>
  <c r="I192" i="24"/>
  <c r="H192" i="24"/>
  <c r="E192" i="24"/>
  <c r="F192" i="24" s="1"/>
  <c r="O191" i="24"/>
  <c r="N191" i="24"/>
  <c r="L191" i="24"/>
  <c r="K191" i="24"/>
  <c r="I191" i="24"/>
  <c r="H191" i="24"/>
  <c r="E191" i="24"/>
  <c r="F191" i="24" s="1"/>
  <c r="O190" i="24"/>
  <c r="N190" i="24"/>
  <c r="L190" i="24"/>
  <c r="K190" i="24"/>
  <c r="I190" i="24"/>
  <c r="H190" i="24"/>
  <c r="E190" i="24"/>
  <c r="F190" i="24" s="1"/>
  <c r="O189" i="24"/>
  <c r="N189" i="24"/>
  <c r="L189" i="24"/>
  <c r="K189" i="24"/>
  <c r="I189" i="24"/>
  <c r="H189" i="24"/>
  <c r="E189" i="24"/>
  <c r="F189" i="24" s="1"/>
  <c r="O188" i="24"/>
  <c r="N188" i="24"/>
  <c r="L188" i="24"/>
  <c r="K188" i="24"/>
  <c r="I188" i="24"/>
  <c r="H188" i="24"/>
  <c r="E188" i="24"/>
  <c r="F188" i="24" s="1"/>
  <c r="O187" i="24"/>
  <c r="N187" i="24"/>
  <c r="L187" i="24"/>
  <c r="K187" i="24"/>
  <c r="I187" i="24"/>
  <c r="H187" i="24"/>
  <c r="E187" i="24"/>
  <c r="F187" i="24" s="1"/>
  <c r="O186" i="24"/>
  <c r="N186" i="24"/>
  <c r="L186" i="24"/>
  <c r="K186" i="24"/>
  <c r="I186" i="24"/>
  <c r="H186" i="24"/>
  <c r="E186" i="24"/>
  <c r="F186" i="24" s="1"/>
  <c r="O185" i="24"/>
  <c r="N185" i="24"/>
  <c r="L185" i="24"/>
  <c r="K185" i="24"/>
  <c r="I185" i="24"/>
  <c r="H185" i="24"/>
  <c r="E185" i="24"/>
  <c r="F185" i="24" s="1"/>
  <c r="O184" i="24"/>
  <c r="N184" i="24"/>
  <c r="L184" i="24"/>
  <c r="K184" i="24"/>
  <c r="I184" i="24"/>
  <c r="H184" i="24"/>
  <c r="E184" i="24"/>
  <c r="F184" i="24" s="1"/>
  <c r="O183" i="24"/>
  <c r="N183" i="24"/>
  <c r="L183" i="24"/>
  <c r="K183" i="24"/>
  <c r="I183" i="24"/>
  <c r="H183" i="24"/>
  <c r="E183" i="24"/>
  <c r="F183" i="24" s="1"/>
  <c r="O182" i="24"/>
  <c r="N182" i="24"/>
  <c r="L182" i="24"/>
  <c r="K182" i="24"/>
  <c r="I182" i="24"/>
  <c r="H182" i="24"/>
  <c r="E182" i="24"/>
  <c r="F182" i="24" s="1"/>
  <c r="O181" i="24"/>
  <c r="N181" i="24"/>
  <c r="L181" i="24"/>
  <c r="K181" i="24"/>
  <c r="I181" i="24"/>
  <c r="H181" i="24"/>
  <c r="E181" i="24"/>
  <c r="F181" i="24" s="1"/>
  <c r="O180" i="24"/>
  <c r="N180" i="24"/>
  <c r="L180" i="24"/>
  <c r="K180" i="24"/>
  <c r="I180" i="24"/>
  <c r="H180" i="24"/>
  <c r="E180" i="24"/>
  <c r="F180" i="24" s="1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E179" i="24"/>
  <c r="E199" i="24" s="1"/>
  <c r="M177" i="24"/>
  <c r="J177" i="24"/>
  <c r="G177" i="24"/>
  <c r="D177" i="24"/>
  <c r="B177" i="24"/>
  <c r="M176" i="24"/>
  <c r="G176" i="24"/>
  <c r="K172" i="24"/>
  <c r="B172" i="24"/>
  <c r="O171" i="24"/>
  <c r="N171" i="24"/>
  <c r="L171" i="24"/>
  <c r="K171" i="24"/>
  <c r="I171" i="24"/>
  <c r="H171" i="24"/>
  <c r="E171" i="24"/>
  <c r="F171" i="24" s="1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E156" i="24"/>
  <c r="F156" i="24" s="1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I152" i="24"/>
  <c r="I172" i="24" s="1"/>
  <c r="H152" i="24"/>
  <c r="H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O143" i="24"/>
  <c r="N143" i="24"/>
  <c r="L143" i="24"/>
  <c r="K143" i="24"/>
  <c r="I143" i="24"/>
  <c r="H143" i="24"/>
  <c r="E143" i="24"/>
  <c r="F143" i="24" s="1"/>
  <c r="O142" i="24"/>
  <c r="N142" i="24"/>
  <c r="L142" i="24"/>
  <c r="K142" i="24"/>
  <c r="I142" i="24"/>
  <c r="H142" i="24"/>
  <c r="E142" i="24"/>
  <c r="F142" i="24" s="1"/>
  <c r="O141" i="24"/>
  <c r="N141" i="24"/>
  <c r="L141" i="24"/>
  <c r="K141" i="24"/>
  <c r="I141" i="24"/>
  <c r="H141" i="24"/>
  <c r="E141" i="24"/>
  <c r="F141" i="24" s="1"/>
  <c r="O140" i="24"/>
  <c r="N140" i="24"/>
  <c r="L140" i="24"/>
  <c r="K140" i="24"/>
  <c r="I140" i="24"/>
  <c r="H140" i="24"/>
  <c r="E140" i="24"/>
  <c r="F140" i="24" s="1"/>
  <c r="O139" i="24"/>
  <c r="N139" i="24"/>
  <c r="L139" i="24"/>
  <c r="K139" i="24"/>
  <c r="I139" i="24"/>
  <c r="H139" i="24"/>
  <c r="E139" i="24"/>
  <c r="F139" i="24" s="1"/>
  <c r="O138" i="24"/>
  <c r="N138" i="24"/>
  <c r="L138" i="24"/>
  <c r="K138" i="24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L136" i="24"/>
  <c r="K136" i="24"/>
  <c r="I136" i="24"/>
  <c r="H136" i="24"/>
  <c r="E136" i="24"/>
  <c r="F136" i="24" s="1"/>
  <c r="O135" i="24"/>
  <c r="N135" i="24"/>
  <c r="L135" i="24"/>
  <c r="K135" i="24"/>
  <c r="I135" i="24"/>
  <c r="H135" i="24"/>
  <c r="E135" i="24"/>
  <c r="F135" i="24" s="1"/>
  <c r="O134" i="24"/>
  <c r="N134" i="24"/>
  <c r="L134" i="24"/>
  <c r="K134" i="24"/>
  <c r="I134" i="24"/>
  <c r="H134" i="24"/>
  <c r="E134" i="24"/>
  <c r="F134" i="24" s="1"/>
  <c r="O133" i="24"/>
  <c r="N133" i="24"/>
  <c r="L133" i="24"/>
  <c r="K133" i="24"/>
  <c r="I133" i="24"/>
  <c r="H133" i="24"/>
  <c r="E133" i="24"/>
  <c r="F133" i="24" s="1"/>
  <c r="O132" i="24"/>
  <c r="N132" i="24"/>
  <c r="L132" i="24"/>
  <c r="K132" i="24"/>
  <c r="I132" i="24"/>
  <c r="H132" i="24"/>
  <c r="E132" i="24"/>
  <c r="F132" i="24" s="1"/>
  <c r="O131" i="24"/>
  <c r="N131" i="24"/>
  <c r="L131" i="24"/>
  <c r="K131" i="24"/>
  <c r="I131" i="24"/>
  <c r="H131" i="24"/>
  <c r="E131" i="24"/>
  <c r="F131" i="24" s="1"/>
  <c r="O130" i="24"/>
  <c r="N130" i="24"/>
  <c r="L130" i="24"/>
  <c r="K130" i="24"/>
  <c r="I130" i="24"/>
  <c r="H130" i="24"/>
  <c r="E130" i="24"/>
  <c r="F130" i="24" s="1"/>
  <c r="O129" i="24"/>
  <c r="N129" i="24"/>
  <c r="L129" i="24"/>
  <c r="K129" i="24"/>
  <c r="I129" i="24"/>
  <c r="H129" i="24"/>
  <c r="E129" i="24"/>
  <c r="F129" i="24" s="1"/>
  <c r="O128" i="24"/>
  <c r="N128" i="24"/>
  <c r="L128" i="24"/>
  <c r="K128" i="24"/>
  <c r="I128" i="24"/>
  <c r="H128" i="24"/>
  <c r="E128" i="24"/>
  <c r="F128" i="24" s="1"/>
  <c r="O127" i="24"/>
  <c r="N127" i="24"/>
  <c r="L127" i="24"/>
  <c r="K127" i="24"/>
  <c r="I127" i="24"/>
  <c r="H127" i="24"/>
  <c r="E127" i="24"/>
  <c r="F127" i="24" s="1"/>
  <c r="O126" i="24"/>
  <c r="N126" i="24"/>
  <c r="L126" i="24"/>
  <c r="K126" i="24"/>
  <c r="I126" i="24"/>
  <c r="H126" i="24"/>
  <c r="E126" i="24"/>
  <c r="F126" i="24" s="1"/>
  <c r="O125" i="24"/>
  <c r="O145" i="24" s="1"/>
  <c r="N125" i="24"/>
  <c r="N145" i="24" s="1"/>
  <c r="L125" i="24"/>
  <c r="L145" i="24" s="1"/>
  <c r="K125" i="24"/>
  <c r="K145" i="24" s="1"/>
  <c r="I125" i="24"/>
  <c r="I145" i="24" s="1"/>
  <c r="H125" i="24"/>
  <c r="H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O116" i="24"/>
  <c r="N116" i="24"/>
  <c r="L116" i="24"/>
  <c r="K116" i="24"/>
  <c r="I116" i="24"/>
  <c r="H116" i="24"/>
  <c r="E116" i="24"/>
  <c r="F116" i="24" s="1"/>
  <c r="O115" i="24"/>
  <c r="N115" i="24"/>
  <c r="L115" i="24"/>
  <c r="K115" i="24"/>
  <c r="I115" i="24"/>
  <c r="H115" i="24"/>
  <c r="E115" i="24"/>
  <c r="F115" i="24" s="1"/>
  <c r="O114" i="24"/>
  <c r="N114" i="24"/>
  <c r="L114" i="24"/>
  <c r="K114" i="24"/>
  <c r="I114" i="24"/>
  <c r="H114" i="24"/>
  <c r="E114" i="24"/>
  <c r="F114" i="24" s="1"/>
  <c r="O113" i="24"/>
  <c r="N113" i="24"/>
  <c r="L113" i="24"/>
  <c r="K113" i="24"/>
  <c r="I113" i="24"/>
  <c r="H113" i="24"/>
  <c r="E113" i="24"/>
  <c r="F113" i="24" s="1"/>
  <c r="O112" i="24"/>
  <c r="N112" i="24"/>
  <c r="L112" i="24"/>
  <c r="K112" i="24"/>
  <c r="I112" i="24"/>
  <c r="H112" i="24"/>
  <c r="E112" i="24"/>
  <c r="F112" i="24" s="1"/>
  <c r="O111" i="24"/>
  <c r="N111" i="24"/>
  <c r="L111" i="24"/>
  <c r="K111" i="24"/>
  <c r="I111" i="24"/>
  <c r="H111" i="24"/>
  <c r="E111" i="24"/>
  <c r="F111" i="24" s="1"/>
  <c r="O110" i="24"/>
  <c r="N110" i="24"/>
  <c r="L110" i="24"/>
  <c r="K110" i="24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O108" i="24"/>
  <c r="N108" i="24"/>
  <c r="L108" i="24"/>
  <c r="K108" i="24"/>
  <c r="I108" i="24"/>
  <c r="H108" i="24"/>
  <c r="E108" i="24"/>
  <c r="F108" i="24" s="1"/>
  <c r="O107" i="24"/>
  <c r="N107" i="24"/>
  <c r="L107" i="24"/>
  <c r="K107" i="24"/>
  <c r="I107" i="24"/>
  <c r="H107" i="24"/>
  <c r="E107" i="24"/>
  <c r="F107" i="24" s="1"/>
  <c r="O106" i="24"/>
  <c r="N106" i="24"/>
  <c r="L106" i="24"/>
  <c r="K106" i="24"/>
  <c r="I106" i="24"/>
  <c r="H106" i="24"/>
  <c r="E106" i="24"/>
  <c r="F106" i="24" s="1"/>
  <c r="O105" i="24"/>
  <c r="N105" i="24"/>
  <c r="L105" i="24"/>
  <c r="K105" i="24"/>
  <c r="I105" i="24"/>
  <c r="H105" i="24"/>
  <c r="E105" i="24"/>
  <c r="F105" i="24" s="1"/>
  <c r="O104" i="24"/>
  <c r="N104" i="24"/>
  <c r="L104" i="24"/>
  <c r="K104" i="24"/>
  <c r="I104" i="24"/>
  <c r="H104" i="24"/>
  <c r="E104" i="24"/>
  <c r="F104" i="24" s="1"/>
  <c r="O103" i="24"/>
  <c r="N103" i="24"/>
  <c r="L103" i="24"/>
  <c r="K103" i="24"/>
  <c r="I103" i="24"/>
  <c r="H103" i="24"/>
  <c r="E103" i="24"/>
  <c r="F103" i="24" s="1"/>
  <c r="O102" i="24"/>
  <c r="N102" i="24"/>
  <c r="L102" i="24"/>
  <c r="K102" i="24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O100" i="24"/>
  <c r="N100" i="24"/>
  <c r="L100" i="24"/>
  <c r="K100" i="24"/>
  <c r="I100" i="24"/>
  <c r="H100" i="24"/>
  <c r="E100" i="24"/>
  <c r="F100" i="24" s="1"/>
  <c r="O99" i="24"/>
  <c r="N99" i="24"/>
  <c r="L99" i="24"/>
  <c r="K99" i="24"/>
  <c r="I99" i="24"/>
  <c r="H99" i="24"/>
  <c r="E99" i="24"/>
  <c r="F99" i="24" s="1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E98" i="24"/>
  <c r="E118" i="24" s="1"/>
  <c r="M96" i="24"/>
  <c r="J96" i="24"/>
  <c r="G96" i="24"/>
  <c r="D96" i="24"/>
  <c r="B96" i="24"/>
  <c r="M95" i="24"/>
  <c r="G95" i="24"/>
  <c r="K91" i="24"/>
  <c r="B91" i="24"/>
  <c r="O90" i="24"/>
  <c r="N90" i="24"/>
  <c r="L90" i="24"/>
  <c r="K90" i="24"/>
  <c r="I90" i="24"/>
  <c r="H90" i="24"/>
  <c r="E90" i="24"/>
  <c r="F90" i="24" s="1"/>
  <c r="O89" i="24"/>
  <c r="N89" i="24"/>
  <c r="L89" i="24"/>
  <c r="K89" i="24"/>
  <c r="I89" i="24"/>
  <c r="H89" i="24"/>
  <c r="E89" i="24"/>
  <c r="F89" i="24" s="1"/>
  <c r="O88" i="24"/>
  <c r="N88" i="24"/>
  <c r="L88" i="24"/>
  <c r="K88" i="24"/>
  <c r="I88" i="24"/>
  <c r="H88" i="24"/>
  <c r="E88" i="24"/>
  <c r="F88" i="24" s="1"/>
  <c r="O87" i="24"/>
  <c r="N87" i="24"/>
  <c r="L87" i="24"/>
  <c r="K87" i="24"/>
  <c r="I87" i="24"/>
  <c r="H87" i="24"/>
  <c r="E87" i="24"/>
  <c r="F87" i="24" s="1"/>
  <c r="O86" i="24"/>
  <c r="N86" i="24"/>
  <c r="L86" i="24"/>
  <c r="K86" i="24"/>
  <c r="I86" i="24"/>
  <c r="H86" i="24"/>
  <c r="E86" i="24"/>
  <c r="F86" i="24" s="1"/>
  <c r="O85" i="24"/>
  <c r="N85" i="24"/>
  <c r="L85" i="24"/>
  <c r="K85" i="24"/>
  <c r="I85" i="24"/>
  <c r="H85" i="24"/>
  <c r="E85" i="24"/>
  <c r="F85" i="24" s="1"/>
  <c r="O84" i="24"/>
  <c r="N84" i="24"/>
  <c r="L84" i="24"/>
  <c r="K84" i="24"/>
  <c r="I84" i="24"/>
  <c r="H84" i="24"/>
  <c r="E84" i="24"/>
  <c r="F84" i="24" s="1"/>
  <c r="O83" i="24"/>
  <c r="N83" i="24"/>
  <c r="L83" i="24"/>
  <c r="K83" i="24"/>
  <c r="I83" i="24"/>
  <c r="H83" i="24"/>
  <c r="E83" i="24"/>
  <c r="F83" i="24" s="1"/>
  <c r="O82" i="24"/>
  <c r="N82" i="24"/>
  <c r="L82" i="24"/>
  <c r="K82" i="24"/>
  <c r="I82" i="24"/>
  <c r="H82" i="24"/>
  <c r="E82" i="24"/>
  <c r="F82" i="24" s="1"/>
  <c r="O81" i="24"/>
  <c r="N81" i="24"/>
  <c r="L81" i="24"/>
  <c r="K81" i="24"/>
  <c r="I81" i="24"/>
  <c r="H81" i="24"/>
  <c r="E81" i="24"/>
  <c r="F81" i="24" s="1"/>
  <c r="O80" i="24"/>
  <c r="N80" i="24"/>
  <c r="L80" i="24"/>
  <c r="K80" i="24"/>
  <c r="I80" i="24"/>
  <c r="H80" i="24"/>
  <c r="E80" i="24"/>
  <c r="F80" i="24" s="1"/>
  <c r="O79" i="24"/>
  <c r="N79" i="24"/>
  <c r="L79" i="24"/>
  <c r="K79" i="24"/>
  <c r="I79" i="24"/>
  <c r="H79" i="24"/>
  <c r="E79" i="24"/>
  <c r="F79" i="24" s="1"/>
  <c r="O78" i="24"/>
  <c r="N78" i="24"/>
  <c r="L78" i="24"/>
  <c r="K78" i="24"/>
  <c r="I78" i="24"/>
  <c r="H78" i="24"/>
  <c r="E78" i="24"/>
  <c r="F78" i="24" s="1"/>
  <c r="O77" i="24"/>
  <c r="N77" i="24"/>
  <c r="L77" i="24"/>
  <c r="K77" i="24"/>
  <c r="I77" i="24"/>
  <c r="H77" i="24"/>
  <c r="E77" i="24"/>
  <c r="F77" i="24" s="1"/>
  <c r="O76" i="24"/>
  <c r="N76" i="24"/>
  <c r="L76" i="24"/>
  <c r="K76" i="24"/>
  <c r="I76" i="24"/>
  <c r="H76" i="24"/>
  <c r="E76" i="24"/>
  <c r="F76" i="24" s="1"/>
  <c r="O75" i="24"/>
  <c r="N75" i="24"/>
  <c r="L75" i="24"/>
  <c r="K75" i="24"/>
  <c r="I75" i="24"/>
  <c r="H75" i="24"/>
  <c r="E75" i="24"/>
  <c r="F75" i="24" s="1"/>
  <c r="O74" i="24"/>
  <c r="N74" i="24"/>
  <c r="L74" i="24"/>
  <c r="K74" i="24"/>
  <c r="I74" i="24"/>
  <c r="H74" i="24"/>
  <c r="E74" i="24"/>
  <c r="F74" i="24" s="1"/>
  <c r="O73" i="24"/>
  <c r="N73" i="24"/>
  <c r="L73" i="24"/>
  <c r="K73" i="24"/>
  <c r="I73" i="24"/>
  <c r="H73" i="24"/>
  <c r="E73" i="24"/>
  <c r="F73" i="24" s="1"/>
  <c r="O72" i="24"/>
  <c r="N72" i="24"/>
  <c r="L72" i="24"/>
  <c r="K72" i="24"/>
  <c r="I72" i="24"/>
  <c r="H72" i="24"/>
  <c r="E72" i="24"/>
  <c r="F72" i="24" s="1"/>
  <c r="O71" i="24"/>
  <c r="O91" i="24" s="1"/>
  <c r="N71" i="24"/>
  <c r="N91" i="24" s="1"/>
  <c r="L71" i="24"/>
  <c r="L91" i="24" s="1"/>
  <c r="K71" i="24"/>
  <c r="I71" i="24"/>
  <c r="I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N64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179" i="24" l="1"/>
  <c r="F199" i="24" s="1"/>
  <c r="F152" i="24"/>
  <c r="F172" i="24" s="1"/>
  <c r="F125" i="24"/>
  <c r="F145" i="24" s="1"/>
  <c r="F98" i="24"/>
  <c r="F118" i="24" s="1"/>
  <c r="F71" i="24"/>
  <c r="F91" i="24" s="1"/>
  <c r="G7" i="24" s="1"/>
  <c r="E37" i="24"/>
  <c r="I37" i="24"/>
  <c r="H37" i="24"/>
  <c r="L37" i="24"/>
  <c r="K37" i="24"/>
  <c r="O37" i="24"/>
  <c r="F37" i="24"/>
  <c r="N37" i="24"/>
  <c r="G5" i="24"/>
  <c r="G3" i="24"/>
  <c r="G9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G47" i="3"/>
  <c r="E83" i="9"/>
  <c r="K83" i="9"/>
  <c r="F52" i="9"/>
  <c r="H163" i="9"/>
  <c r="E103" i="9"/>
  <c r="C32" i="9"/>
  <c r="C189" i="9"/>
  <c r="K8" i="5"/>
  <c r="H80" i="9"/>
  <c r="N270" i="9"/>
  <c r="L153" i="9"/>
  <c r="I100" i="9"/>
  <c r="O151" i="9"/>
  <c r="C192" i="9"/>
  <c r="L103" i="9"/>
  <c r="C140" i="9"/>
  <c r="N186" i="9"/>
  <c r="G49" i="3"/>
  <c r="N150" i="9"/>
  <c r="K143" i="9"/>
  <c r="E260" i="9"/>
  <c r="O119" i="9"/>
  <c r="L143" i="9"/>
  <c r="C139" i="9"/>
  <c r="E238" i="9"/>
  <c r="O51" i="9"/>
  <c r="O35" i="3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L139" i="9"/>
  <c r="C194" i="9"/>
  <c r="H28" i="9"/>
  <c r="O36" i="9"/>
  <c r="E215" i="9"/>
  <c r="K24" i="9"/>
  <c r="O72" i="3"/>
  <c r="F113" i="9"/>
  <c r="O44" i="3"/>
  <c r="I240" i="9"/>
  <c r="K23" i="3"/>
  <c r="O31" i="3"/>
  <c r="I197" i="9"/>
  <c r="C141" i="9"/>
  <c r="L264" i="9"/>
  <c r="L90" i="9"/>
  <c r="L203" i="9"/>
  <c r="C263" i="9"/>
  <c r="N234" i="9"/>
  <c r="O191" i="9"/>
  <c r="E87" i="9"/>
  <c r="I84" i="9"/>
  <c r="H231" i="9"/>
  <c r="K141" i="9"/>
  <c r="E268" i="9"/>
  <c r="H251" i="9"/>
  <c r="F140" i="9"/>
  <c r="F146" i="9"/>
  <c r="O68" i="9"/>
  <c r="H118" i="9"/>
  <c r="H195" i="9"/>
  <c r="F136" i="9"/>
  <c r="N116" i="9"/>
  <c r="E36" i="9"/>
  <c r="H51" i="9"/>
  <c r="N185" i="9"/>
  <c r="K268" i="9"/>
  <c r="K27" i="9"/>
  <c r="N183" i="9"/>
  <c r="H125" i="9"/>
  <c r="F101" i="9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N202" i="9"/>
  <c r="E115" i="9"/>
  <c r="K187" i="9"/>
  <c r="L259" i="9"/>
  <c r="O269" i="9"/>
  <c r="K72" i="9"/>
  <c r="H159" i="9"/>
  <c r="F223" i="9"/>
  <c r="O124" i="9"/>
  <c r="F182" i="9"/>
  <c r="N114" i="9"/>
  <c r="I85" i="9"/>
  <c r="H33" i="9"/>
  <c r="L215" i="9"/>
  <c r="H175" i="9"/>
  <c r="N67" i="9"/>
  <c r="H77" i="9"/>
  <c r="E71" i="9"/>
  <c r="L114" i="9"/>
  <c r="H212" i="9"/>
  <c r="F225" i="9"/>
  <c r="I137" i="9"/>
  <c r="F114" i="9"/>
  <c r="N190" i="9"/>
  <c r="O197" i="9"/>
  <c r="K50" i="3"/>
  <c r="O192" i="9"/>
  <c r="H255" i="9"/>
  <c r="O233" i="9"/>
  <c r="N265" i="9"/>
  <c r="I86" i="9"/>
  <c r="K182" i="9"/>
  <c r="K115" i="9"/>
  <c r="E27" i="9"/>
  <c r="F105" i="9"/>
  <c r="O40" i="3"/>
  <c r="N90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F154" i="9"/>
  <c r="H119" i="9"/>
  <c r="F180" i="9"/>
  <c r="G74" i="3"/>
  <c r="H74" i="9"/>
  <c r="O164" i="9"/>
  <c r="H78" i="9"/>
  <c r="O174" i="9"/>
  <c r="K117" i="9"/>
  <c r="E70" i="9"/>
  <c r="N271" i="9"/>
  <c r="F280" i="9"/>
  <c r="O238" i="9"/>
  <c r="I213" i="9"/>
  <c r="L227" i="9"/>
  <c r="O75" i="9"/>
  <c r="L34" i="9"/>
  <c r="I223" i="9"/>
  <c r="E154" i="9"/>
  <c r="I29" i="9"/>
  <c r="O190" i="9"/>
  <c r="O183" i="9"/>
  <c r="N105" i="9"/>
  <c r="F66" i="9"/>
  <c r="N159" i="9"/>
  <c r="L240" i="9"/>
  <c r="O240" i="9"/>
  <c r="I65" i="9"/>
  <c r="L178" i="9"/>
  <c r="E108" i="9"/>
  <c r="I90" i="9"/>
  <c r="F204" i="9"/>
  <c r="F37" i="9"/>
  <c r="L237" i="9"/>
  <c r="C151" i="9"/>
  <c r="L159" i="9"/>
  <c r="H121" i="9"/>
  <c r="N84" i="9"/>
  <c r="L217" i="9"/>
  <c r="O33" i="3"/>
  <c r="K22" i="9"/>
  <c r="H73" i="9"/>
  <c r="I188" i="9"/>
  <c r="F212" i="9"/>
  <c r="F158" i="9"/>
  <c r="C221" i="9"/>
  <c r="O137" i="9"/>
  <c r="H155" i="9"/>
  <c r="L46" i="9"/>
  <c r="I70" i="9"/>
  <c r="O198" i="9"/>
  <c r="I280" i="9"/>
  <c r="O79" i="9"/>
  <c r="K84" i="9"/>
  <c r="C150" i="9"/>
  <c r="F191" i="9"/>
  <c r="H65" i="9"/>
  <c r="K24" i="5"/>
  <c r="O163" i="9"/>
  <c r="E188" i="9"/>
  <c r="F193" i="9"/>
  <c r="E256" i="9"/>
  <c r="I250" i="9"/>
  <c r="E114" i="9"/>
  <c r="N52" i="9"/>
  <c r="L274" i="9"/>
  <c r="O216" i="9"/>
  <c r="G68" i="3"/>
  <c r="N112" i="9"/>
  <c r="E127" i="9"/>
  <c r="H261" i="9"/>
  <c r="C125" i="9"/>
  <c r="I155" i="9"/>
  <c r="N212" i="9"/>
  <c r="O176" i="9"/>
  <c r="K151" i="9"/>
  <c r="C38" i="9"/>
  <c r="I108" i="9"/>
  <c r="H116" i="9"/>
  <c r="N201" i="9"/>
  <c r="H26" i="9"/>
  <c r="L155" i="9"/>
  <c r="H253" i="9"/>
  <c r="E29" i="9"/>
  <c r="C43" i="9"/>
  <c r="N274" i="9"/>
  <c r="E166" i="9"/>
  <c r="F64" i="9"/>
  <c r="I114" i="9"/>
  <c r="E137" i="9"/>
  <c r="O227" i="9"/>
  <c r="K225" i="9"/>
  <c r="E138" i="9"/>
  <c r="I31" i="9"/>
  <c r="N34" i="9"/>
  <c r="O41" i="9"/>
  <c r="F252" i="9"/>
  <c r="I25" i="9"/>
  <c r="E267" i="9"/>
  <c r="H104" i="9"/>
  <c r="C276" i="9"/>
  <c r="E265" i="9"/>
  <c r="K86" i="9"/>
  <c r="C83" i="9"/>
  <c r="I278" i="9"/>
  <c r="K242" i="9"/>
  <c r="O76" i="9"/>
  <c r="I115" i="9"/>
  <c r="I225" i="9"/>
  <c r="N227" i="9"/>
  <c r="I215" i="9"/>
  <c r="K64" i="9"/>
  <c r="K136" i="9"/>
  <c r="K270" i="9"/>
  <c r="H268" i="9"/>
  <c r="K181" i="9"/>
  <c r="E280" i="9"/>
  <c r="C256" i="9"/>
  <c r="L150" i="9"/>
  <c r="E34" i="9"/>
  <c r="L24" i="9"/>
  <c r="N277" i="9"/>
  <c r="H185" i="9"/>
  <c r="H75" i="9"/>
  <c r="O82" i="9"/>
  <c r="L255" i="9"/>
  <c r="F178" i="9"/>
  <c r="N233" i="9"/>
  <c r="L193" i="9"/>
  <c r="I125" i="9"/>
  <c r="E275" i="9"/>
  <c r="O34" i="3"/>
  <c r="F83" i="9"/>
  <c r="O204" i="9"/>
  <c r="C217" i="9"/>
  <c r="N213" i="9"/>
  <c r="E273" i="9"/>
  <c r="I217" i="9"/>
  <c r="L250" i="9"/>
  <c r="N238" i="9"/>
  <c r="I257" i="9"/>
  <c r="O142" i="9"/>
  <c r="F254" i="9"/>
  <c r="O186" i="9"/>
  <c r="O219" i="9"/>
  <c r="K88" i="9"/>
  <c r="F147" i="9"/>
  <c r="K252" i="9"/>
  <c r="E227" i="9"/>
  <c r="K65" i="9"/>
  <c r="K147" i="9"/>
  <c r="O39" i="9"/>
  <c r="F24" i="9"/>
  <c r="O71" i="3"/>
  <c r="N99" i="9"/>
  <c r="C152" i="9"/>
  <c r="C227" i="9"/>
  <c r="E214" i="9"/>
  <c r="L63" i="9"/>
  <c r="L41" i="9"/>
  <c r="K184" i="9"/>
  <c r="C161" i="9"/>
  <c r="N76" i="9"/>
  <c r="L190" i="9"/>
  <c r="I189" i="9"/>
  <c r="L116" i="9"/>
  <c r="E270" i="9"/>
  <c r="F89" i="9"/>
  <c r="E42" i="9"/>
  <c r="I212" i="9"/>
  <c r="H101" i="9"/>
  <c r="O62" i="9"/>
  <c r="K104" i="9"/>
  <c r="L39" i="9"/>
  <c r="C255" i="9"/>
  <c r="E213" i="9"/>
  <c r="I142" i="9"/>
  <c r="O75" i="3"/>
  <c r="I30" i="9"/>
  <c r="I113" i="9"/>
  <c r="K138" i="9"/>
  <c r="H223" i="9"/>
  <c r="E181" i="9"/>
  <c r="G43" i="3"/>
  <c r="F165" i="9"/>
  <c r="E191" i="9"/>
  <c r="O161" i="9"/>
  <c r="K145" i="9"/>
  <c r="N106" i="9"/>
  <c r="K222" i="9"/>
  <c r="F75" i="9"/>
  <c r="L199" i="9"/>
  <c r="E41" i="9"/>
  <c r="F29" i="9"/>
  <c r="L117" i="9"/>
  <c r="N42" i="9"/>
  <c r="O57" i="3"/>
  <c r="E187" i="9"/>
  <c r="C26" i="9"/>
  <c r="H227" i="9"/>
  <c r="C160" i="9"/>
  <c r="H71" i="9"/>
  <c r="G41" i="3"/>
  <c r="O52" i="9"/>
  <c r="E62" i="9"/>
  <c r="E242" i="9"/>
  <c r="K59" i="3"/>
  <c r="F194" i="9"/>
  <c r="H157" i="9"/>
  <c r="G46" i="3"/>
  <c r="H276" i="9"/>
  <c r="O159" i="9"/>
  <c r="I191" i="9"/>
  <c r="K12" i="3"/>
  <c r="K229" i="9"/>
  <c r="H139" i="9"/>
  <c r="I99" i="9"/>
  <c r="O47" i="3"/>
  <c r="E278" i="9"/>
  <c r="N280" i="9"/>
  <c r="K202" i="9"/>
  <c r="I138" i="9"/>
  <c r="E257" i="9"/>
  <c r="O241" i="9"/>
  <c r="C136" i="9"/>
  <c r="C225" i="9"/>
  <c r="K32" i="3"/>
  <c r="N23" i="9"/>
  <c r="O83" i="9"/>
  <c r="I181" i="9"/>
  <c r="K36" i="9"/>
  <c r="N65" i="9"/>
  <c r="I75" i="9"/>
  <c r="K217" i="9"/>
  <c r="N262" i="9"/>
  <c r="H199" i="9"/>
  <c r="C155" i="9"/>
  <c r="L106" i="9"/>
  <c r="K118" i="9"/>
  <c r="E141" i="9"/>
  <c r="C261" i="9"/>
  <c r="K227" i="9"/>
  <c r="K11" i="5"/>
  <c r="F264" i="9"/>
  <c r="L138" i="9"/>
  <c r="H67" i="9"/>
  <c r="H271" i="9"/>
  <c r="C272" i="9"/>
  <c r="F48" i="9"/>
  <c r="K32" i="9"/>
  <c r="K23" i="9"/>
  <c r="F189" i="9"/>
  <c r="K110" i="9"/>
  <c r="O86" i="9"/>
  <c r="O273" i="9"/>
  <c r="C158" i="9"/>
  <c r="N145" i="9"/>
  <c r="L225" i="9"/>
  <c r="C188" i="9"/>
  <c r="C219" i="9"/>
  <c r="H47" i="9"/>
  <c r="I176" i="9"/>
  <c r="N259" i="9"/>
  <c r="E68" i="9"/>
  <c r="H32" i="9"/>
  <c r="N178" i="9"/>
  <c r="K218" i="9"/>
  <c r="O201" i="9"/>
  <c r="N223" i="9"/>
  <c r="K251" i="9"/>
  <c r="K234" i="9"/>
  <c r="F46" i="9"/>
  <c r="E222" i="9"/>
  <c r="L152" i="9"/>
  <c r="I44" i="9"/>
  <c r="C75" i="9"/>
  <c r="O25" i="9"/>
  <c r="C104" i="9"/>
  <c r="E80" i="9"/>
  <c r="K25" i="5"/>
  <c r="N181" i="9"/>
  <c r="F127" i="9"/>
  <c r="I52" i="9"/>
  <c r="H50" i="9"/>
  <c r="E72" i="9"/>
  <c r="K35" i="3"/>
  <c r="K51" i="9"/>
  <c r="F234" i="9"/>
  <c r="K38" i="9"/>
  <c r="E44" i="9"/>
  <c r="C106" i="9"/>
  <c r="N256" i="9"/>
  <c r="L149" i="9"/>
  <c r="L260" i="9"/>
  <c r="H226" i="9"/>
  <c r="K100" i="9"/>
  <c r="O112" i="9"/>
  <c r="H22" i="9"/>
  <c r="H178" i="9"/>
  <c r="E183" i="9"/>
  <c r="H241" i="9"/>
  <c r="E32" i="9"/>
  <c r="K75" i="3"/>
  <c r="I177" i="9"/>
  <c r="K101" i="9"/>
  <c r="C242" i="9"/>
  <c r="I32" i="9"/>
  <c r="E89" i="9"/>
  <c r="L226" i="9"/>
  <c r="F196" i="9"/>
  <c r="F159" i="9"/>
  <c r="E116" i="9"/>
  <c r="I43" i="9"/>
  <c r="N200" i="9"/>
  <c r="E259" i="9"/>
  <c r="O218" i="9"/>
  <c r="O24" i="9"/>
  <c r="K76" i="9"/>
  <c r="L82" i="9"/>
  <c r="C202" i="9"/>
  <c r="N122" i="9"/>
  <c r="F175" i="9"/>
  <c r="H146" i="9"/>
  <c r="F78" i="9"/>
  <c r="C67" i="9"/>
  <c r="F250" i="9"/>
  <c r="N121" i="9"/>
  <c r="C70" i="9"/>
  <c r="I143" i="9"/>
  <c r="L79" i="9"/>
  <c r="K108" i="9"/>
  <c r="N197" i="9"/>
  <c r="O185" i="9"/>
  <c r="N75" i="9"/>
  <c r="O98" i="9"/>
  <c r="E142" i="9"/>
  <c r="H250" i="9"/>
  <c r="N66" i="9"/>
  <c r="F236" i="9"/>
  <c r="O199" i="9"/>
  <c r="F60" i="9"/>
  <c r="O271" i="9"/>
  <c r="C100" i="9"/>
  <c r="E239" i="9"/>
  <c r="I121" i="9"/>
  <c r="H164" i="9"/>
  <c r="L30" i="9"/>
  <c r="N260" i="9"/>
  <c r="C187" i="9"/>
  <c r="F213" i="9"/>
  <c r="H148" i="9"/>
  <c r="F262" i="9"/>
  <c r="K41" i="9"/>
  <c r="N146" i="9"/>
  <c r="C234" i="9"/>
  <c r="F263" i="9"/>
  <c r="F22" i="9"/>
  <c r="F235" i="9"/>
  <c r="K278" i="9"/>
  <c r="L252" i="9"/>
  <c r="I198" i="9"/>
  <c r="C111" i="9"/>
  <c r="K6" i="3"/>
  <c r="H213" i="9"/>
  <c r="L269" i="9"/>
  <c r="I22" i="9"/>
  <c r="N263" i="9"/>
  <c r="I39" i="9"/>
  <c r="C99" i="9"/>
  <c r="E81" i="9"/>
  <c r="O39" i="3"/>
  <c r="O22" i="9"/>
  <c r="K183" i="9"/>
  <c r="H193" i="9"/>
  <c r="L257" i="9"/>
  <c r="F145" i="9"/>
  <c r="H68" i="9"/>
  <c r="E98" i="9"/>
  <c r="E111" i="9"/>
  <c r="C88" i="9"/>
  <c r="N188" i="9"/>
  <c r="K58" i="3"/>
  <c r="G60" i="3"/>
  <c r="C108" i="9"/>
  <c r="N29" i="9"/>
  <c r="N161" i="9"/>
  <c r="L98" i="9"/>
  <c r="C159" i="9"/>
  <c r="O156" i="9"/>
  <c r="L141" i="9"/>
  <c r="O202" i="9"/>
  <c r="K200" i="9"/>
  <c r="N141" i="9"/>
  <c r="C113" i="9"/>
  <c r="O109" i="9"/>
  <c r="O85" i="9"/>
  <c r="K235" i="9"/>
  <c r="F148" i="9"/>
  <c r="C180" i="9"/>
  <c r="F273" i="9"/>
  <c r="F253" i="9"/>
  <c r="N110" i="9"/>
  <c r="O32" i="3"/>
  <c r="L229" i="9"/>
  <c r="H31" i="9"/>
  <c r="L275" i="9"/>
  <c r="G70" i="3"/>
  <c r="K177" i="9"/>
  <c r="L276" i="9"/>
  <c r="K102" i="9"/>
  <c r="L224" i="9"/>
  <c r="K61" i="9"/>
  <c r="F156" i="9"/>
  <c r="C122" i="9"/>
  <c r="E119" i="9"/>
  <c r="O140" i="9"/>
  <c r="K17" i="5"/>
  <c r="K137" i="9"/>
  <c r="K111" i="9"/>
  <c r="N102" i="9"/>
  <c r="I76" i="9"/>
  <c r="H113" i="9"/>
  <c r="C42" i="9"/>
  <c r="C34" i="9"/>
  <c r="K158" i="9"/>
  <c r="O200" i="9"/>
  <c r="I161" i="9"/>
  <c r="E147" i="9"/>
  <c r="K121" i="9"/>
  <c r="F102" i="9"/>
  <c r="L31" i="9"/>
  <c r="C52" i="9"/>
  <c r="O65" i="3"/>
  <c r="E30" i="9"/>
  <c r="I216" i="9"/>
  <c r="O38" i="9"/>
  <c r="F260" i="9"/>
  <c r="N119" i="9"/>
  <c r="E78" i="9"/>
  <c r="N89" i="9"/>
  <c r="E73" i="9"/>
  <c r="O33" i="9"/>
  <c r="G64" i="3"/>
  <c r="C222" i="9"/>
  <c r="E60" i="9"/>
  <c r="K70" i="3"/>
  <c r="F160" i="9"/>
  <c r="F150" i="9"/>
  <c r="N175" i="9"/>
  <c r="K275" i="9"/>
  <c r="C266" i="9"/>
  <c r="F152" i="9"/>
  <c r="E279" i="9"/>
  <c r="E122" i="9"/>
  <c r="E145" i="9"/>
  <c r="C89" i="9"/>
  <c r="K257" i="9"/>
  <c r="F275" i="9"/>
  <c r="K19" i="5"/>
  <c r="L77" i="9"/>
  <c r="N222" i="9"/>
  <c r="C184" i="9"/>
  <c r="K79" i="9"/>
  <c r="K150" i="9"/>
  <c r="C35" i="9"/>
  <c r="K31" i="9"/>
  <c r="N30" i="9"/>
  <c r="I88" i="9"/>
  <c r="I277" i="9"/>
  <c r="O29" i="9"/>
  <c r="H187" i="9"/>
  <c r="E258" i="9"/>
  <c r="K73" i="3"/>
  <c r="K260" i="9"/>
  <c r="K73" i="9"/>
  <c r="L166" i="9"/>
  <c r="C145" i="9"/>
  <c r="K264" i="9"/>
  <c r="H37" i="9"/>
  <c r="E35" i="9"/>
  <c r="H112" i="9"/>
  <c r="L72" i="9"/>
  <c r="F219" i="9"/>
  <c r="F177" i="9"/>
  <c r="L182" i="9"/>
  <c r="C273" i="9"/>
  <c r="C46" i="9"/>
  <c r="I64" i="9"/>
  <c r="L181" i="9"/>
  <c r="F45" i="9"/>
  <c r="K67" i="3"/>
  <c r="O87" i="9"/>
  <c r="N61" i="9"/>
  <c r="E159" i="9"/>
  <c r="C50" i="9"/>
  <c r="F272" i="9"/>
  <c r="L28" i="9"/>
  <c r="H176" i="9"/>
  <c r="H83" i="9"/>
  <c r="H202" i="9"/>
  <c r="N127" i="9"/>
  <c r="H203" i="9"/>
  <c r="K269" i="9"/>
  <c r="C190" i="9"/>
  <c r="C204" i="9"/>
  <c r="N276" i="9"/>
  <c r="N226" i="9"/>
  <c r="C25" i="9"/>
  <c r="L145" i="9"/>
  <c r="I139" i="9"/>
  <c r="C268" i="9"/>
  <c r="H115" i="9"/>
  <c r="I204" i="9"/>
  <c r="H38" i="9"/>
  <c r="F162" i="9"/>
  <c r="C178" i="9"/>
  <c r="K14" i="5"/>
  <c r="E276" i="9"/>
  <c r="C102" i="9"/>
  <c r="H99" i="9"/>
  <c r="E198" i="9"/>
  <c r="K82" i="9"/>
  <c r="F118" i="9"/>
  <c r="F82" i="9"/>
  <c r="N158" i="9"/>
  <c r="H221" i="9"/>
  <c r="L66" i="9"/>
  <c r="H186" i="9"/>
  <c r="G35" i="3"/>
  <c r="F197" i="9"/>
  <c r="K238" i="9"/>
  <c r="F198" i="9"/>
  <c r="O225" i="9"/>
  <c r="K165" i="9"/>
  <c r="F161" i="9"/>
  <c r="N49" i="9"/>
  <c r="L122" i="9"/>
  <c r="F81" i="9"/>
  <c r="K215" i="9"/>
  <c r="H24" i="9"/>
  <c r="H166" i="9"/>
  <c r="K49" i="3"/>
  <c r="K49" i="9"/>
  <c r="K64" i="3"/>
  <c r="K13" i="5"/>
  <c r="I252" i="9"/>
  <c r="I163" i="9"/>
  <c r="K152" i="9"/>
  <c r="G63" i="3"/>
  <c r="E151" i="9"/>
  <c r="O40" i="9"/>
  <c r="E201" i="9"/>
  <c r="C72" i="9"/>
  <c r="G61" i="3"/>
  <c r="K232" i="9"/>
  <c r="C24" i="9"/>
  <c r="E121" i="9"/>
  <c r="K258" i="9"/>
  <c r="E165" i="9"/>
  <c r="O253" i="9"/>
  <c r="E186" i="9"/>
  <c r="K273" i="9"/>
  <c r="F232" i="9"/>
  <c r="H145" i="9"/>
  <c r="N182" i="9"/>
  <c r="I258" i="9"/>
  <c r="O229" i="9"/>
  <c r="K10" i="3"/>
  <c r="L242" i="9"/>
  <c r="L154" i="9"/>
  <c r="N250" i="9"/>
  <c r="K30" i="9"/>
  <c r="L212" i="9"/>
  <c r="F274" i="9"/>
  <c r="F163" i="9"/>
  <c r="I38" i="9"/>
  <c r="K154" i="9"/>
  <c r="E31" i="9"/>
  <c r="G75" i="3"/>
  <c r="E196" i="9"/>
  <c r="I122" i="9"/>
  <c r="O44" i="9"/>
  <c r="H188" i="9"/>
  <c r="K267" i="9"/>
  <c r="I182" i="9"/>
  <c r="O180" i="9"/>
  <c r="N60" i="9"/>
  <c r="L44" i="9"/>
  <c r="O68" i="3"/>
  <c r="O224" i="9"/>
  <c r="H35" i="9"/>
  <c r="K39" i="3"/>
  <c r="K195" i="9"/>
  <c r="F26" i="9"/>
  <c r="G58" i="3"/>
  <c r="C223" i="9"/>
  <c r="C174" i="9"/>
  <c r="F278" i="9"/>
  <c r="C175" i="9"/>
  <c r="C40" i="9"/>
  <c r="O28" i="9"/>
  <c r="K69" i="9"/>
  <c r="C181" i="9"/>
  <c r="N253" i="9"/>
  <c r="L196" i="9"/>
  <c r="N199" i="9"/>
  <c r="F50" i="9"/>
  <c r="O152" i="9"/>
  <c r="L47" i="9"/>
  <c r="H61" i="9"/>
  <c r="N198" i="9"/>
  <c r="E250" i="9"/>
  <c r="K199" i="9"/>
  <c r="G57" i="3"/>
  <c r="O46" i="3"/>
  <c r="F230" i="9"/>
  <c r="I148" i="9"/>
  <c r="E123" i="9"/>
  <c r="C250" i="9"/>
  <c r="L271" i="9"/>
  <c r="F224" i="9"/>
  <c r="O280" i="9"/>
  <c r="L251" i="9"/>
  <c r="H277" i="9"/>
  <c r="N70" i="9"/>
  <c r="K81" i="9"/>
  <c r="H72" i="9"/>
  <c r="F61" i="9"/>
  <c r="H44" i="9"/>
  <c r="N189" i="9"/>
  <c r="L163" i="9"/>
  <c r="K20" i="5"/>
  <c r="H258" i="9"/>
  <c r="K179" i="9"/>
  <c r="K44" i="3"/>
  <c r="H120" i="9"/>
  <c r="H232" i="9"/>
  <c r="O158" i="9"/>
  <c r="K90" i="9"/>
  <c r="L273" i="9"/>
  <c r="E161" i="9"/>
  <c r="E194" i="9"/>
  <c r="H194" i="9"/>
  <c r="E28" i="9"/>
  <c r="N203" i="9"/>
  <c r="F32" i="9"/>
  <c r="I263" i="9"/>
  <c r="H127" i="9"/>
  <c r="K40" i="3"/>
  <c r="F71" i="9"/>
  <c r="N154" i="9"/>
  <c r="C235" i="9"/>
  <c r="L37" i="9"/>
  <c r="H192" i="9"/>
  <c r="K219" i="9"/>
  <c r="I60" i="9"/>
  <c r="H263" i="9"/>
  <c r="L71" i="9"/>
  <c r="H138" i="9"/>
  <c r="C231" i="9"/>
  <c r="C215" i="9"/>
  <c r="F23" i="9"/>
  <c r="L35" i="9"/>
  <c r="L214" i="9"/>
  <c r="O106" i="9"/>
  <c r="E189" i="9"/>
  <c r="H216" i="9"/>
  <c r="K10" i="5"/>
  <c r="G67" i="3"/>
  <c r="G50" i="3"/>
  <c r="K163" i="9"/>
  <c r="O89" i="9"/>
  <c r="I26" i="9"/>
  <c r="I228" i="9"/>
  <c r="N82" i="9"/>
  <c r="H239" i="9"/>
  <c r="E254" i="9"/>
  <c r="O63" i="3"/>
  <c r="E264" i="9"/>
  <c r="C47" i="9"/>
  <c r="N38" i="9"/>
  <c r="E84" i="9"/>
  <c r="N139" i="9"/>
  <c r="N44" i="9"/>
  <c r="N128" i="9"/>
  <c r="F270" i="9"/>
  <c r="I34" i="9"/>
  <c r="N214" i="9"/>
  <c r="C230" i="9"/>
  <c r="K60" i="3"/>
  <c r="N153" i="9"/>
  <c r="K196" i="9"/>
  <c r="H49" i="9"/>
  <c r="O255" i="9"/>
  <c r="H161" i="9"/>
  <c r="F269" i="9"/>
  <c r="N165" i="9"/>
  <c r="H141" i="9"/>
  <c r="O78" i="9"/>
  <c r="L40" i="9"/>
  <c r="N144" i="9"/>
  <c r="F120" i="9"/>
  <c r="H225" i="9"/>
  <c r="E212" i="9"/>
  <c r="O179" i="9"/>
  <c r="N164" i="9"/>
  <c r="E100" i="9"/>
  <c r="N255" i="9"/>
  <c r="I156" i="9"/>
  <c r="I69" i="9"/>
  <c r="E240" i="9"/>
  <c r="N142" i="9"/>
  <c r="E235" i="9"/>
  <c r="I73" i="9"/>
  <c r="H228" i="9"/>
  <c r="H217" i="9"/>
  <c r="C196" i="9"/>
  <c r="C271" i="9"/>
  <c r="L180" i="9"/>
  <c r="F122" i="9"/>
  <c r="C177" i="9"/>
  <c r="F267" i="9"/>
  <c r="E66" i="9"/>
  <c r="H76" i="9"/>
  <c r="K140" i="9"/>
  <c r="F181" i="9"/>
  <c r="N88" i="9"/>
  <c r="L29" i="9"/>
  <c r="K56" i="3"/>
  <c r="N79" i="9"/>
  <c r="F80" i="9"/>
  <c r="L179" i="9"/>
  <c r="F116" i="9"/>
  <c r="F72" i="9"/>
  <c r="G73" i="3"/>
  <c r="K176" i="9"/>
  <c r="N152" i="9"/>
  <c r="C186" i="9"/>
  <c r="I270" i="9"/>
  <c r="N69" i="9"/>
  <c r="F166" i="9"/>
  <c r="O231" i="9"/>
  <c r="E101" i="9"/>
  <c r="E174" i="9"/>
  <c r="H34" i="9"/>
  <c r="E23" i="9"/>
  <c r="E200" i="9"/>
  <c r="L254" i="9"/>
  <c r="C154" i="9"/>
  <c r="K9" i="3"/>
  <c r="F215" i="9"/>
  <c r="E85" i="9"/>
  <c r="L220" i="9"/>
  <c r="H189" i="9"/>
  <c r="L23" i="9"/>
  <c r="I151" i="9"/>
  <c r="I107" i="9"/>
  <c r="F228" i="9"/>
  <c r="I80" i="9"/>
  <c r="K164" i="9"/>
  <c r="L186" i="9"/>
  <c r="O144" i="9"/>
  <c r="E64" i="9"/>
  <c r="H240" i="9"/>
  <c r="F34" i="9"/>
  <c r="N239" i="9"/>
  <c r="K71" i="3"/>
  <c r="O107" i="9"/>
  <c r="I136" i="9"/>
  <c r="K220" i="9"/>
  <c r="H90" i="9"/>
  <c r="F202" i="9"/>
  <c r="K114" i="9"/>
  <c r="O223" i="9"/>
  <c r="I102" i="9"/>
  <c r="K240" i="9"/>
  <c r="C229" i="9"/>
  <c r="K22" i="3"/>
  <c r="N143" i="9"/>
  <c r="L48" i="9"/>
  <c r="C191" i="9"/>
  <c r="L162" i="9"/>
  <c r="O70" i="3"/>
  <c r="O99" i="9"/>
  <c r="I81" i="9"/>
  <c r="E75" i="9"/>
  <c r="K266" i="9"/>
  <c r="K71" i="9"/>
  <c r="E50" i="9"/>
  <c r="E33" i="9"/>
  <c r="H234" i="9"/>
  <c r="O118" i="9"/>
  <c r="N151" i="9"/>
  <c r="K201" i="9"/>
  <c r="H126" i="9"/>
  <c r="F125" i="9"/>
  <c r="C193" i="9"/>
  <c r="E149" i="9"/>
  <c r="L158" i="9"/>
  <c r="O194" i="9"/>
  <c r="K85" i="9"/>
  <c r="K34" i="9"/>
  <c r="L83" i="9"/>
  <c r="F44" i="9"/>
  <c r="E118" i="9"/>
  <c r="O102" i="9"/>
  <c r="C252" i="9"/>
  <c r="I199" i="9"/>
  <c r="H23" i="9"/>
  <c r="G38" i="3"/>
  <c r="O252" i="9"/>
  <c r="C232" i="9"/>
  <c r="N157" i="9"/>
  <c r="L188" i="9"/>
  <c r="I238" i="9"/>
  <c r="L230" i="9"/>
  <c r="F43" i="9"/>
  <c r="C238" i="9"/>
  <c r="N83" i="9"/>
  <c r="I49" i="9"/>
  <c r="L175" i="9"/>
  <c r="I111" i="9"/>
  <c r="E184" i="9"/>
  <c r="K190" i="9"/>
  <c r="K142" i="9"/>
  <c r="I77" i="9"/>
  <c r="F142" i="9"/>
  <c r="E231" i="9"/>
  <c r="N231" i="9"/>
  <c r="F220" i="9"/>
  <c r="O256" i="9"/>
  <c r="L195" i="9"/>
  <c r="E230" i="9"/>
  <c r="I274" i="9"/>
  <c r="F174" i="9"/>
  <c r="O88" i="9"/>
  <c r="F106" i="9"/>
  <c r="C107" i="9"/>
  <c r="L123" i="9"/>
  <c r="K66" i="9"/>
  <c r="H190" i="9"/>
  <c r="N258" i="9"/>
  <c r="I101" i="9"/>
  <c r="C157" i="9"/>
  <c r="F218" i="9"/>
  <c r="O258" i="9"/>
  <c r="E102" i="9"/>
  <c r="O274" i="9"/>
  <c r="L191" i="9"/>
  <c r="O166" i="9"/>
  <c r="C62" i="9"/>
  <c r="K74" i="3"/>
  <c r="O217" i="9"/>
  <c r="H85" i="9"/>
  <c r="F214" i="9"/>
  <c r="L241" i="9"/>
  <c r="K127" i="9"/>
  <c r="N27" i="9"/>
  <c r="O195" i="9"/>
  <c r="G69" i="3"/>
  <c r="O49" i="9"/>
  <c r="I262" i="9"/>
  <c r="L164" i="9"/>
  <c r="E251" i="9"/>
  <c r="I28" i="9"/>
  <c r="K253" i="9"/>
  <c r="O64" i="9"/>
  <c r="O117" i="9"/>
  <c r="I159" i="9"/>
  <c r="E261" i="9"/>
  <c r="I254" i="9"/>
  <c r="C64" i="9"/>
  <c r="O154" i="9"/>
  <c r="C65" i="9"/>
  <c r="N104" i="9"/>
  <c r="N268" i="9"/>
  <c r="F241" i="9"/>
  <c r="I47" i="9"/>
  <c r="O30" i="9"/>
  <c r="I268" i="9"/>
  <c r="C101" i="9"/>
  <c r="F261" i="9"/>
  <c r="F103" i="9"/>
  <c r="E179" i="9"/>
  <c r="E228" i="9"/>
  <c r="C270" i="9"/>
  <c r="H144" i="9"/>
  <c r="C258" i="9"/>
  <c r="C183" i="9"/>
  <c r="O90" i="9"/>
  <c r="K80" i="9"/>
  <c r="N251" i="9"/>
  <c r="F128" i="9"/>
  <c r="O251" i="9"/>
  <c r="O226" i="9"/>
  <c r="H278" i="9"/>
  <c r="H66" i="9"/>
  <c r="K66" i="3"/>
  <c r="F139" i="9"/>
  <c r="O72" i="9"/>
  <c r="C200" i="9"/>
  <c r="C254" i="9"/>
  <c r="F107" i="9"/>
  <c r="N192" i="9"/>
  <c r="K155" i="9"/>
  <c r="O242" i="9"/>
  <c r="C87" i="9"/>
  <c r="C265" i="9"/>
  <c r="I259" i="9"/>
  <c r="K157" i="9"/>
  <c r="C60" i="9"/>
  <c r="H158" i="9"/>
  <c r="C269" i="9"/>
  <c r="L119" i="9"/>
  <c r="L65" i="9"/>
  <c r="N107" i="9"/>
  <c r="N136" i="9"/>
  <c r="K116" i="9"/>
  <c r="C82" i="9"/>
  <c r="H143" i="9"/>
  <c r="L238" i="9"/>
  <c r="O23" i="9"/>
  <c r="F40" i="9"/>
  <c r="I160" i="9"/>
  <c r="L262" i="9"/>
  <c r="E153" i="9"/>
  <c r="K191" i="9"/>
  <c r="O193" i="9"/>
  <c r="I46" i="9"/>
  <c r="I63" i="9"/>
  <c r="K256" i="9"/>
  <c r="H63" i="9"/>
  <c r="K107" i="9"/>
  <c r="I74" i="9"/>
  <c r="N68" i="9"/>
  <c r="L256" i="9"/>
  <c r="I72" i="9"/>
  <c r="C114" i="9"/>
  <c r="H165" i="9"/>
  <c r="O276" i="9"/>
  <c r="K277" i="9"/>
  <c r="O41" i="3"/>
  <c r="H237" i="9"/>
  <c r="N194" i="9"/>
  <c r="L280" i="9"/>
  <c r="N78" i="9"/>
  <c r="I27" i="9"/>
  <c r="E90" i="9"/>
  <c r="F115" i="9"/>
  <c r="F124" i="9"/>
  <c r="O123" i="9"/>
  <c r="E156" i="9"/>
  <c r="F233" i="9"/>
  <c r="L157" i="9"/>
  <c r="C74" i="9"/>
  <c r="F33" i="9"/>
  <c r="L111" i="9"/>
  <c r="E69" i="9"/>
  <c r="C262" i="9"/>
  <c r="L176" i="9"/>
  <c r="H84" i="9"/>
  <c r="F70" i="9"/>
  <c r="F27" i="9"/>
  <c r="O77" i="9"/>
  <c r="E120" i="9"/>
  <c r="K87" i="9"/>
  <c r="L151" i="9"/>
  <c r="L156" i="9"/>
  <c r="O127" i="9"/>
  <c r="I260" i="9"/>
  <c r="E126" i="9"/>
  <c r="H224" i="9"/>
  <c r="K212" i="9"/>
  <c r="F277" i="9"/>
  <c r="O143" i="9"/>
  <c r="I164" i="9"/>
  <c r="E236" i="9"/>
  <c r="N216" i="9"/>
  <c r="F188" i="9"/>
  <c r="E52" i="9"/>
  <c r="F79" i="9"/>
  <c r="K13" i="3"/>
  <c r="F98" i="9"/>
  <c r="I149" i="9"/>
  <c r="N269" i="9"/>
  <c r="F30" i="9"/>
  <c r="I68" i="9"/>
  <c r="L272" i="9"/>
  <c r="E143" i="9"/>
  <c r="F87" i="9"/>
  <c r="L266" i="9"/>
  <c r="C126" i="9"/>
  <c r="F73" i="9"/>
  <c r="H82" i="9"/>
  <c r="N108" i="9"/>
  <c r="G34" i="3"/>
  <c r="F183" i="9"/>
  <c r="K228" i="9"/>
  <c r="K120" i="9"/>
  <c r="L233" i="9"/>
  <c r="F62" i="9"/>
  <c r="O212" i="9"/>
  <c r="L219" i="9"/>
  <c r="K69" i="3"/>
  <c r="O69" i="9"/>
  <c r="O73" i="3"/>
  <c r="C30" i="9"/>
  <c r="E104" i="9"/>
  <c r="K7" i="5"/>
  <c r="K159" i="9"/>
  <c r="I264" i="9"/>
  <c r="I275" i="9"/>
  <c r="K262" i="9"/>
  <c r="N81" i="9"/>
  <c r="L67" i="9"/>
  <c r="C137" i="9"/>
  <c r="F229" i="9"/>
  <c r="E272" i="9"/>
  <c r="H114" i="9"/>
  <c r="C212" i="9"/>
  <c r="L51" i="9"/>
  <c r="H86" i="9"/>
  <c r="O278" i="9"/>
  <c r="F36" i="9"/>
  <c r="K14" i="3"/>
  <c r="N111" i="9"/>
  <c r="H102" i="9"/>
  <c r="O66" i="3"/>
  <c r="I104" i="9"/>
  <c r="E107" i="9"/>
  <c r="O239" i="9"/>
  <c r="C115" i="9"/>
  <c r="K224" i="9"/>
  <c r="E176" i="9"/>
  <c r="H36" i="9"/>
  <c r="K89" i="9"/>
  <c r="N264" i="9"/>
  <c r="O148" i="9"/>
  <c r="L33" i="9"/>
  <c r="O277" i="9"/>
  <c r="H48" i="9"/>
  <c r="L192" i="9"/>
  <c r="K103" i="9"/>
  <c r="N87" i="9"/>
  <c r="I140" i="9"/>
  <c r="K109" i="9"/>
  <c r="O45" i="3"/>
  <c r="E226" i="9"/>
  <c r="I145" i="9"/>
  <c r="O31" i="9"/>
  <c r="H46" i="9"/>
  <c r="C41" i="9"/>
  <c r="O48" i="3"/>
  <c r="L137" i="9"/>
  <c r="L118" i="9"/>
  <c r="L278" i="9"/>
  <c r="I175" i="9"/>
  <c r="O221" i="9"/>
  <c r="E162" i="9"/>
  <c r="E79" i="9"/>
  <c r="K126" i="9"/>
  <c r="I221" i="9"/>
  <c r="I229" i="9"/>
  <c r="C214" i="9"/>
  <c r="C220" i="9"/>
  <c r="E139" i="9"/>
  <c r="E22" i="9"/>
  <c r="L68" i="9"/>
  <c r="F77" i="9"/>
  <c r="C90" i="9"/>
  <c r="L75" i="9"/>
  <c r="L87" i="9"/>
  <c r="L125" i="9"/>
  <c r="N204" i="9"/>
  <c r="F41" i="9"/>
  <c r="O104" i="9"/>
  <c r="H98" i="9"/>
  <c r="F47" i="9"/>
  <c r="N196" i="9"/>
  <c r="E221" i="9"/>
  <c r="E47" i="9"/>
  <c r="K128" i="9"/>
  <c r="L140" i="9"/>
  <c r="E217" i="9"/>
  <c r="F35" i="9"/>
  <c r="I184" i="9"/>
  <c r="K21" i="3"/>
  <c r="I214" i="9"/>
  <c r="F216" i="9"/>
  <c r="I50" i="9"/>
  <c r="L222" i="9"/>
  <c r="C81" i="9"/>
  <c r="I267" i="9"/>
  <c r="O263" i="9"/>
  <c r="K241" i="9"/>
  <c r="N126" i="9"/>
  <c r="C49" i="9"/>
  <c r="O81" i="9"/>
  <c r="C239" i="9"/>
  <c r="L270" i="9"/>
  <c r="F164" i="9"/>
  <c r="O262" i="9"/>
  <c r="O73" i="9"/>
  <c r="L221" i="9"/>
  <c r="K197" i="9"/>
  <c r="N278" i="9"/>
  <c r="L81" i="9"/>
  <c r="C123" i="9"/>
  <c r="O188" i="9"/>
  <c r="E112" i="9"/>
  <c r="K43" i="3"/>
  <c r="L128" i="9"/>
  <c r="E63" i="9"/>
  <c r="F141" i="9"/>
  <c r="K35" i="9"/>
  <c r="N85" i="9"/>
  <c r="I41" i="9"/>
  <c r="C253" i="9"/>
  <c r="G31" i="3"/>
  <c r="O45" i="9"/>
  <c r="N273" i="9"/>
  <c r="E199" i="9"/>
  <c r="N166" i="9"/>
  <c r="N35" i="9"/>
  <c r="O65" i="9"/>
  <c r="O61" i="9"/>
  <c r="K46" i="9"/>
  <c r="O70" i="9"/>
  <c r="F49" i="9"/>
  <c r="I202" i="9"/>
  <c r="L105" i="9"/>
  <c r="L64" i="9"/>
  <c r="L45" i="9"/>
  <c r="L200" i="9"/>
  <c r="F192" i="9"/>
  <c r="E152" i="9"/>
  <c r="H107" i="9"/>
  <c r="E99" i="9"/>
  <c r="N176" i="9"/>
  <c r="K74" i="9"/>
  <c r="C29" i="9"/>
  <c r="H122" i="9"/>
  <c r="H111" i="9"/>
  <c r="N236" i="9"/>
  <c r="L253" i="9"/>
  <c r="K48" i="3"/>
  <c r="C257" i="9"/>
  <c r="O259" i="9"/>
  <c r="N28" i="9"/>
  <c r="F121" i="9"/>
  <c r="E144" i="9"/>
  <c r="H266" i="9"/>
  <c r="I231" i="9"/>
  <c r="C69" i="9"/>
  <c r="L43" i="9"/>
  <c r="K123" i="9"/>
  <c r="C36" i="9"/>
  <c r="L277" i="9"/>
  <c r="N237" i="9"/>
  <c r="I186" i="9"/>
  <c r="H177" i="9"/>
  <c r="C277" i="9"/>
  <c r="N86" i="9"/>
  <c r="I236" i="9"/>
  <c r="I144" i="9"/>
  <c r="C68" i="9"/>
  <c r="E192" i="9"/>
  <c r="L62" i="9"/>
  <c r="K98" i="9"/>
  <c r="I103" i="9"/>
  <c r="I271" i="9"/>
  <c r="K239" i="9"/>
  <c r="I276" i="9"/>
  <c r="N77" i="9"/>
  <c r="K19" i="3"/>
  <c r="O69" i="3"/>
  <c r="L189" i="9"/>
  <c r="H279" i="9"/>
  <c r="O110" i="9"/>
  <c r="E220" i="9"/>
  <c r="K148" i="9"/>
  <c r="L177" i="9"/>
  <c r="O34" i="9"/>
  <c r="C28" i="9"/>
  <c r="C182" i="9"/>
  <c r="I83" i="9"/>
  <c r="G36" i="3"/>
  <c r="O120" i="9"/>
  <c r="O100" i="9"/>
  <c r="K180" i="9"/>
  <c r="L100" i="9"/>
  <c r="O220" i="9"/>
  <c r="E105" i="9"/>
  <c r="F88" i="9"/>
  <c r="I123" i="9"/>
  <c r="K60" i="9"/>
  <c r="E158" i="9"/>
  <c r="K50" i="9"/>
  <c r="N31" i="9"/>
  <c r="E38" i="9"/>
  <c r="H110" i="9"/>
  <c r="H236" i="9"/>
  <c r="O160" i="9"/>
  <c r="K188" i="9"/>
  <c r="N103" i="9"/>
  <c r="E263" i="9"/>
  <c r="N48" i="9"/>
  <c r="K18" i="5"/>
  <c r="F137" i="9"/>
  <c r="C166" i="9"/>
  <c r="C164" i="9"/>
  <c r="L115" i="9"/>
  <c r="N193" i="9"/>
  <c r="N80" i="9"/>
  <c r="K124" i="9"/>
  <c r="K24" i="3"/>
  <c r="N257" i="9"/>
  <c r="N156" i="9"/>
  <c r="C233" i="9"/>
  <c r="F184" i="9"/>
  <c r="I183" i="9"/>
  <c r="K226" i="9"/>
  <c r="I237" i="9"/>
  <c r="I105" i="9"/>
  <c r="K68" i="3"/>
  <c r="K156" i="9"/>
  <c r="O165" i="9"/>
  <c r="I119" i="9"/>
  <c r="K125" i="9"/>
  <c r="C275" i="9"/>
  <c r="K52" i="9"/>
  <c r="O175" i="9"/>
  <c r="E67" i="9"/>
  <c r="H39" i="9"/>
  <c r="E157" i="9"/>
  <c r="C279" i="9"/>
  <c r="H184" i="9"/>
  <c r="N162" i="9"/>
  <c r="F144" i="9"/>
  <c r="C153" i="9"/>
  <c r="L223" i="9"/>
  <c r="H151" i="9"/>
  <c r="F199" i="9"/>
  <c r="K213" i="9"/>
  <c r="C85" i="9"/>
  <c r="K72" i="3"/>
  <c r="I37" i="9"/>
  <c r="G65" i="3"/>
  <c r="E82" i="9"/>
  <c r="C117" i="9"/>
  <c r="O139" i="9"/>
  <c r="H106" i="9"/>
  <c r="E193" i="9"/>
  <c r="H270" i="9"/>
  <c r="C201" i="9"/>
  <c r="C274" i="9"/>
  <c r="F201" i="9"/>
  <c r="I242" i="9"/>
  <c r="I190" i="9"/>
  <c r="K192" i="9"/>
  <c r="I62" i="9"/>
  <c r="E202" i="9"/>
  <c r="K67" i="9"/>
  <c r="E109" i="9"/>
  <c r="I265" i="9"/>
  <c r="L113" i="9"/>
  <c r="H264" i="9"/>
  <c r="N242" i="9"/>
  <c r="H88" i="9"/>
  <c r="N228" i="9"/>
  <c r="E262" i="9"/>
  <c r="E241" i="9"/>
  <c r="O46" i="9"/>
  <c r="N25" i="9"/>
  <c r="H29" i="9"/>
  <c r="O32" i="9"/>
  <c r="I233" i="9"/>
  <c r="L25" i="9"/>
  <c r="K20" i="3"/>
  <c r="K265" i="9"/>
  <c r="F258" i="9"/>
  <c r="N137" i="9"/>
  <c r="H274" i="9"/>
  <c r="E46" i="9"/>
  <c r="K42" i="9"/>
  <c r="N46" i="9"/>
  <c r="F109" i="9"/>
  <c r="O60" i="3"/>
  <c r="H262" i="9"/>
  <c r="L86" i="9"/>
  <c r="F231" i="9"/>
  <c r="L26" i="9"/>
  <c r="N36" i="9"/>
  <c r="F266" i="9"/>
  <c r="N241" i="9"/>
  <c r="H229" i="9"/>
  <c r="L213" i="9"/>
  <c r="C51" i="9"/>
  <c r="H103" i="9"/>
  <c r="L88" i="9"/>
  <c r="K63" i="9"/>
  <c r="I226" i="9"/>
  <c r="L36" i="9"/>
  <c r="G44" i="3"/>
  <c r="I124" i="9"/>
  <c r="G37" i="3"/>
  <c r="K237" i="9"/>
  <c r="L197" i="9"/>
  <c r="H45" i="9"/>
  <c r="E216" i="9"/>
  <c r="C251" i="9"/>
  <c r="C98" i="9"/>
  <c r="H81" i="9"/>
  <c r="L201" i="9"/>
  <c r="E225" i="9"/>
  <c r="K42" i="3"/>
  <c r="C63" i="9"/>
  <c r="N225" i="9"/>
  <c r="N179" i="9"/>
  <c r="L148" i="9"/>
  <c r="G56" i="3"/>
  <c r="L69" i="9"/>
  <c r="I187" i="9"/>
  <c r="O155" i="9"/>
  <c r="I24" i="9"/>
  <c r="E271" i="9"/>
  <c r="K33" i="9"/>
  <c r="O74" i="3"/>
  <c r="F155" i="9"/>
  <c r="F203" i="9"/>
  <c r="K22" i="5"/>
  <c r="C110" i="9"/>
  <c r="E163" i="9"/>
  <c r="K193" i="9"/>
  <c r="O234" i="9"/>
  <c r="E203" i="9"/>
  <c r="H160" i="9"/>
  <c r="K78" i="9"/>
  <c r="K230" i="9"/>
  <c r="N37" i="9"/>
  <c r="N187" i="9"/>
  <c r="L239" i="9"/>
  <c r="L235" i="9"/>
  <c r="F110" i="9"/>
  <c r="H89" i="9"/>
  <c r="O37" i="9"/>
  <c r="C71" i="9"/>
  <c r="G40" i="3"/>
  <c r="L231" i="9"/>
  <c r="E117" i="9"/>
  <c r="H191" i="9"/>
  <c r="K119" i="9"/>
  <c r="N138" i="9"/>
  <c r="I279" i="9"/>
  <c r="O47" i="9"/>
  <c r="I109" i="9"/>
  <c r="O228" i="9"/>
  <c r="K33" i="3"/>
  <c r="N51" i="9"/>
  <c r="H69" i="9"/>
  <c r="L32" i="9"/>
  <c r="E77" i="9"/>
  <c r="N113" i="9"/>
  <c r="C236" i="9"/>
  <c r="E110" i="9"/>
  <c r="O254" i="9"/>
  <c r="H150" i="9"/>
  <c r="E136" i="9"/>
  <c r="H25" i="9"/>
  <c r="H269" i="9"/>
  <c r="K68" i="9"/>
  <c r="C79" i="9"/>
  <c r="E180" i="9"/>
  <c r="K46" i="3"/>
  <c r="E43" i="9"/>
  <c r="E113" i="9"/>
  <c r="E61" i="9"/>
  <c r="L136" i="9"/>
  <c r="K61" i="3"/>
  <c r="H117" i="9"/>
  <c r="I40" i="9"/>
  <c r="L108" i="9"/>
  <c r="O58" i="3"/>
  <c r="H42" i="9"/>
  <c r="I141" i="9"/>
  <c r="I66" i="9"/>
  <c r="H162" i="9"/>
  <c r="N184" i="9"/>
  <c r="E229" i="9"/>
  <c r="O42" i="9"/>
  <c r="O35" i="9"/>
  <c r="C163" i="9"/>
  <c r="N275" i="9"/>
  <c r="O74" i="9"/>
  <c r="N147" i="9"/>
  <c r="L174" i="9"/>
  <c r="C86" i="9"/>
  <c r="C165" i="9"/>
  <c r="I241" i="9"/>
  <c r="K186" i="9"/>
  <c r="I45" i="9"/>
  <c r="C280" i="9"/>
  <c r="F151" i="9"/>
  <c r="O236" i="9"/>
  <c r="N125" i="9"/>
  <c r="O60" i="9"/>
  <c r="G39" i="3"/>
  <c r="O149" i="9"/>
  <c r="N64" i="9"/>
  <c r="F138" i="9"/>
  <c r="N272" i="9"/>
  <c r="H280" i="9"/>
  <c r="C73" i="9"/>
  <c r="K16" i="5"/>
  <c r="I230" i="9"/>
  <c r="C162" i="9"/>
  <c r="O103" i="9"/>
  <c r="N163" i="9"/>
  <c r="C199" i="9"/>
  <c r="E37" i="9"/>
  <c r="L85" i="9"/>
  <c r="F85" i="9"/>
  <c r="L126" i="9"/>
  <c r="L127" i="9"/>
  <c r="O178" i="9"/>
  <c r="L267" i="9"/>
  <c r="N261" i="9"/>
  <c r="I203" i="9"/>
  <c r="E218" i="9"/>
  <c r="K149" i="9"/>
  <c r="O105" i="9"/>
  <c r="K174" i="9"/>
  <c r="K31" i="3"/>
  <c r="K99" i="9"/>
  <c r="K153" i="9"/>
  <c r="K43" i="9"/>
  <c r="H273" i="9"/>
  <c r="L107" i="9"/>
  <c r="O264" i="9"/>
  <c r="L261" i="9"/>
  <c r="N26" i="9"/>
  <c r="E177" i="9"/>
  <c r="O66" i="9"/>
  <c r="O27" i="9"/>
  <c r="O50" i="3"/>
  <c r="O122" i="9"/>
  <c r="E128" i="9"/>
  <c r="K7" i="3"/>
  <c r="I147" i="9"/>
  <c r="K8" i="3"/>
  <c r="C146" i="9"/>
  <c r="K113" i="9"/>
  <c r="G62" i="3"/>
  <c r="C45" i="9"/>
  <c r="I127" i="9"/>
  <c r="H154" i="9"/>
  <c r="N218" i="9"/>
  <c r="K17" i="3"/>
  <c r="E160" i="9"/>
  <c r="L194" i="9"/>
  <c r="I89" i="9"/>
  <c r="C216" i="9"/>
  <c r="N123" i="9"/>
  <c r="K198" i="9"/>
  <c r="K161" i="9"/>
  <c r="I42" i="9"/>
  <c r="I150" i="9"/>
  <c r="E106" i="9"/>
  <c r="N217" i="9"/>
  <c r="K15" i="5"/>
  <c r="H219" i="9"/>
  <c r="C39" i="9"/>
  <c r="O222" i="9"/>
  <c r="N62" i="9"/>
  <c r="E190" i="9"/>
  <c r="N45" i="9"/>
  <c r="K276" i="9"/>
  <c r="N191" i="9"/>
  <c r="H235" i="9"/>
  <c r="I35" i="9"/>
  <c r="K11" i="3"/>
  <c r="L74" i="9"/>
  <c r="K37" i="3"/>
  <c r="O48" i="9"/>
  <c r="K254" i="9"/>
  <c r="L183" i="9"/>
  <c r="L80" i="9"/>
  <c r="I106" i="9"/>
  <c r="C116" i="9"/>
  <c r="K122" i="9"/>
  <c r="N40" i="9"/>
  <c r="O230" i="9"/>
  <c r="K41" i="3"/>
  <c r="H181" i="9"/>
  <c r="N140" i="9"/>
  <c r="L78" i="9"/>
  <c r="C138" i="9"/>
  <c r="O147" i="9"/>
  <c r="C128" i="9"/>
  <c r="E51" i="9"/>
  <c r="I117" i="9"/>
  <c r="G45" i="3"/>
  <c r="H256" i="9"/>
  <c r="K18" i="3"/>
  <c r="N124" i="9"/>
  <c r="O177" i="9"/>
  <c r="I195" i="9"/>
  <c r="C148" i="9"/>
  <c r="H27" i="9"/>
  <c r="N267" i="9"/>
  <c r="H201" i="9"/>
  <c r="O189" i="9"/>
  <c r="K263" i="9"/>
  <c r="F251" i="9"/>
  <c r="H259" i="9"/>
  <c r="O145" i="9"/>
  <c r="N266" i="9"/>
  <c r="C226" i="9"/>
  <c r="O37" i="3"/>
  <c r="F76" i="9"/>
  <c r="E232" i="9"/>
  <c r="N33" i="9"/>
  <c r="L185" i="9"/>
  <c r="I200" i="9"/>
  <c r="N254" i="9"/>
  <c r="I120" i="9"/>
  <c r="O80" i="9"/>
  <c r="E86" i="9"/>
  <c r="K28" i="9"/>
  <c r="N221" i="9"/>
  <c r="F238" i="9"/>
  <c r="I253" i="9"/>
  <c r="O275" i="9"/>
  <c r="H128" i="9"/>
  <c r="E74" i="9"/>
  <c r="O213" i="9"/>
  <c r="E185" i="9"/>
  <c r="F217" i="9"/>
  <c r="E49" i="9"/>
  <c r="C203" i="9"/>
  <c r="E124" i="9"/>
  <c r="F104" i="9"/>
  <c r="F38" i="9"/>
  <c r="C224" i="9"/>
  <c r="I222" i="9"/>
  <c r="E223" i="9"/>
  <c r="L102" i="9"/>
  <c r="K214" i="9"/>
  <c r="E48" i="9"/>
  <c r="I165" i="9"/>
  <c r="E140" i="9"/>
  <c r="C218" i="9"/>
  <c r="O203" i="9"/>
  <c r="N220" i="9"/>
  <c r="F112" i="9"/>
  <c r="N240" i="9"/>
  <c r="N74" i="9"/>
  <c r="E219" i="9"/>
  <c r="L84" i="9"/>
  <c r="H252" i="9"/>
  <c r="H100" i="9"/>
  <c r="I126" i="9"/>
  <c r="C149" i="9"/>
  <c r="K279" i="9"/>
  <c r="O157" i="9"/>
  <c r="K189" i="9"/>
  <c r="N47" i="9"/>
  <c r="K255" i="9"/>
  <c r="I67" i="9"/>
  <c r="I251" i="9"/>
  <c r="I152" i="9"/>
  <c r="E178" i="9"/>
  <c r="N148" i="9"/>
  <c r="K146" i="9"/>
  <c r="K185" i="9"/>
  <c r="F279" i="9"/>
  <c r="H242" i="9"/>
  <c r="N252" i="9"/>
  <c r="H265" i="9"/>
  <c r="H60" i="9"/>
  <c r="K77" i="9"/>
  <c r="C185" i="9"/>
  <c r="F195" i="9"/>
  <c r="K280" i="9"/>
  <c r="I79" i="9"/>
  <c r="F187" i="9"/>
  <c r="O260" i="9"/>
  <c r="I61" i="9"/>
  <c r="K39" i="9"/>
  <c r="I157" i="9"/>
  <c r="C23" i="9"/>
  <c r="L112" i="9"/>
  <c r="F84" i="9"/>
  <c r="O108" i="9"/>
  <c r="F200" i="9"/>
  <c r="O181" i="9"/>
  <c r="E224" i="9"/>
  <c r="I239" i="9"/>
  <c r="K166" i="9"/>
  <c r="L49" i="9"/>
  <c r="N155" i="9"/>
  <c r="O63" i="9"/>
  <c r="O126" i="9"/>
  <c r="I48" i="9"/>
  <c r="F39" i="9"/>
  <c r="K40" i="9"/>
  <c r="G42" i="3"/>
  <c r="I196" i="9"/>
  <c r="N230" i="9"/>
  <c r="E277" i="9"/>
  <c r="K62" i="3"/>
  <c r="O128" i="9"/>
  <c r="K139" i="9"/>
  <c r="E76" i="9"/>
  <c r="L60" i="9"/>
  <c r="C197" i="9"/>
  <c r="C147" i="9"/>
  <c r="I153" i="9"/>
  <c r="F74" i="9"/>
  <c r="K44" i="9"/>
  <c r="N63" i="9"/>
  <c r="E88" i="9"/>
  <c r="N118" i="9"/>
  <c r="C267" i="9"/>
  <c r="C195" i="9"/>
  <c r="I192" i="9"/>
  <c r="E26" i="9"/>
  <c r="I255" i="9"/>
  <c r="O138" i="9"/>
  <c r="C124" i="9"/>
  <c r="O125" i="9"/>
  <c r="N24" i="9"/>
  <c r="O36" i="3"/>
  <c r="E40" i="9"/>
  <c r="K6" i="5"/>
  <c r="K9" i="5"/>
  <c r="I193" i="9"/>
  <c r="H43" i="9"/>
  <c r="F157" i="9"/>
  <c r="N41" i="9"/>
  <c r="N177" i="9"/>
  <c r="L216" i="9"/>
  <c r="C105" i="9"/>
  <c r="K233" i="9"/>
  <c r="C112" i="9"/>
  <c r="K250" i="9"/>
  <c r="O187" i="9"/>
  <c r="F67" i="9"/>
  <c r="C142" i="9"/>
  <c r="C156" i="9"/>
  <c r="L236" i="9"/>
  <c r="N279" i="9"/>
  <c r="O215" i="9"/>
  <c r="I162" i="9"/>
  <c r="I174" i="9"/>
  <c r="L147" i="9"/>
  <c r="L279" i="9"/>
  <c r="K16" i="3"/>
  <c r="L27" i="9"/>
  <c r="F126" i="9"/>
  <c r="H152" i="9"/>
  <c r="I218" i="9"/>
  <c r="C109" i="9"/>
  <c r="H123" i="9"/>
  <c r="O261" i="9"/>
  <c r="G66" i="3"/>
  <c r="H254" i="9"/>
  <c r="O62" i="3"/>
  <c r="K25" i="9"/>
  <c r="N43" i="9"/>
  <c r="F222" i="9"/>
  <c r="O184" i="9"/>
  <c r="E253" i="9"/>
  <c r="K37" i="9"/>
  <c r="H267" i="9"/>
  <c r="F242" i="9"/>
  <c r="H62" i="9"/>
  <c r="L110" i="9"/>
  <c r="E237" i="9"/>
  <c r="F90" i="9"/>
  <c r="H198" i="9"/>
  <c r="E269" i="9"/>
  <c r="C237" i="9"/>
  <c r="H70" i="9"/>
  <c r="N73" i="9"/>
  <c r="I220" i="9"/>
  <c r="H174" i="9"/>
  <c r="H238" i="9"/>
  <c r="F271" i="9"/>
  <c r="I98" i="9"/>
  <c r="H183" i="9"/>
  <c r="C213" i="9"/>
  <c r="K204" i="9"/>
  <c r="N50" i="9"/>
  <c r="F31" i="9"/>
  <c r="K261" i="9"/>
  <c r="I154" i="9"/>
  <c r="O67" i="9"/>
  <c r="K194" i="9"/>
  <c r="O114" i="9"/>
  <c r="K203" i="9"/>
  <c r="O265" i="9"/>
  <c r="L89" i="9"/>
  <c r="O266" i="9"/>
  <c r="H220" i="9"/>
  <c r="G32" i="3"/>
  <c r="N174" i="9"/>
  <c r="K112" i="9"/>
  <c r="E125" i="9"/>
  <c r="I23" i="9"/>
  <c r="K25" i="3"/>
  <c r="C228" i="9"/>
  <c r="F176" i="9"/>
  <c r="K160" i="9"/>
  <c r="H105" i="9"/>
  <c r="L73" i="9"/>
  <c r="K48" i="9"/>
  <c r="N71" i="9"/>
  <c r="K175" i="9"/>
  <c r="I272" i="9"/>
  <c r="N180" i="9"/>
  <c r="O150" i="9"/>
  <c r="K36" i="3"/>
  <c r="I235" i="9"/>
  <c r="K12" i="5"/>
  <c r="E45" i="9"/>
  <c r="H147" i="9"/>
  <c r="O43" i="9"/>
  <c r="N100" i="9"/>
  <c r="F119" i="9"/>
  <c r="I179" i="9"/>
  <c r="I116" i="9"/>
  <c r="K29" i="9"/>
  <c r="L232" i="9"/>
  <c r="G72" i="3"/>
  <c r="I201" i="9"/>
  <c r="O67" i="3"/>
  <c r="O136" i="9"/>
  <c r="O71" i="9"/>
  <c r="F123" i="9"/>
  <c r="K47" i="3"/>
  <c r="K259" i="9"/>
  <c r="L184" i="9"/>
  <c r="E182" i="9"/>
  <c r="F237" i="9"/>
  <c r="K223" i="9"/>
  <c r="L202" i="9"/>
  <c r="E164" i="9"/>
  <c r="O141" i="9"/>
  <c r="O101" i="9"/>
  <c r="C278" i="9"/>
  <c r="I71" i="9"/>
  <c r="L70" i="9"/>
  <c r="I128" i="9"/>
  <c r="O237" i="9"/>
  <c r="E266" i="9"/>
  <c r="O272" i="9"/>
  <c r="H215" i="9"/>
  <c r="O61" i="3"/>
  <c r="H214" i="9"/>
  <c r="L234" i="9"/>
  <c r="C264" i="9"/>
  <c r="O182" i="9"/>
  <c r="K47" i="9"/>
  <c r="C120" i="9"/>
  <c r="E197" i="9"/>
  <c r="I33" i="9"/>
  <c r="O64" i="3"/>
  <c r="I158" i="9"/>
  <c r="H52" i="9"/>
  <c r="O250" i="9"/>
  <c r="N224" i="9"/>
  <c r="O282" i="9" l="1"/>
  <c r="N282" i="9" s="1"/>
  <c r="M14" i="9" s="1"/>
  <c r="Q64" i="3"/>
  <c r="R64" i="3"/>
  <c r="P64" i="3"/>
  <c r="M120" i="9"/>
  <c r="G120" i="9"/>
  <c r="J120" i="9"/>
  <c r="D120" i="9"/>
  <c r="J264" i="9"/>
  <c r="D264" i="9"/>
  <c r="M264" i="9"/>
  <c r="G264" i="9"/>
  <c r="R61" i="3"/>
  <c r="Q61" i="3"/>
  <c r="P61" i="3"/>
  <c r="M278" i="9"/>
  <c r="G278" i="9"/>
  <c r="J278" i="9"/>
  <c r="D278" i="9"/>
  <c r="M47" i="3"/>
  <c r="N47" i="3"/>
  <c r="L47" i="3"/>
  <c r="O168" i="9"/>
  <c r="N168" i="9" s="1"/>
  <c r="M12" i="9" s="1"/>
  <c r="P67" i="3"/>
  <c r="R67" i="3"/>
  <c r="Q67" i="3"/>
  <c r="I72" i="3"/>
  <c r="J72" i="3"/>
  <c r="H72" i="3"/>
  <c r="L12" i="5"/>
  <c r="M12" i="5"/>
  <c r="N12" i="5"/>
  <c r="L36" i="3"/>
  <c r="M36" i="3"/>
  <c r="N36" i="3"/>
  <c r="J228" i="9"/>
  <c r="M228" i="9"/>
  <c r="D228" i="9"/>
  <c r="G228" i="9"/>
  <c r="M25" i="3"/>
  <c r="N25" i="3"/>
  <c r="L25" i="3"/>
  <c r="J32" i="3"/>
  <c r="H32" i="3"/>
  <c r="I32" i="3"/>
  <c r="G213" i="9"/>
  <c r="M213" i="9"/>
  <c r="D213" i="9"/>
  <c r="J213" i="9"/>
  <c r="I130" i="9"/>
  <c r="H130" i="9" s="1"/>
  <c r="G6" i="9" s="1"/>
  <c r="J237" i="9"/>
  <c r="M237" i="9"/>
  <c r="G237" i="9"/>
  <c r="D237" i="9"/>
  <c r="P62" i="3"/>
  <c r="Q62" i="3"/>
  <c r="R62" i="3"/>
  <c r="H66" i="3"/>
  <c r="J66" i="3"/>
  <c r="I66" i="3"/>
  <c r="J109" i="9"/>
  <c r="M109" i="9"/>
  <c r="G109" i="9"/>
  <c r="D109" i="9"/>
  <c r="M16" i="3"/>
  <c r="N16" i="3"/>
  <c r="L16" i="3"/>
  <c r="I206" i="9"/>
  <c r="H206" i="9" s="1"/>
  <c r="G8" i="9" s="1"/>
  <c r="D156" i="9"/>
  <c r="M156" i="9"/>
  <c r="G156" i="9"/>
  <c r="J156" i="9"/>
  <c r="M142" i="9"/>
  <c r="G142" i="9"/>
  <c r="J142" i="9"/>
  <c r="D142" i="9"/>
  <c r="G112" i="9"/>
  <c r="M112" i="9"/>
  <c r="J112" i="9"/>
  <c r="D112" i="9"/>
  <c r="M105" i="9"/>
  <c r="J105" i="9"/>
  <c r="G105" i="9"/>
  <c r="D105" i="9"/>
  <c r="L9" i="5"/>
  <c r="M9" i="5"/>
  <c r="N9" i="5"/>
  <c r="L6" i="5"/>
  <c r="M6" i="5"/>
  <c r="N6" i="5"/>
  <c r="P36" i="3"/>
  <c r="Q36" i="3"/>
  <c r="R36" i="3"/>
  <c r="D124" i="9"/>
  <c r="G124" i="9"/>
  <c r="J124" i="9"/>
  <c r="M124" i="9"/>
  <c r="D195" i="9"/>
  <c r="M195" i="9"/>
  <c r="J195" i="9"/>
  <c r="G195" i="9"/>
  <c r="D267" i="9"/>
  <c r="M267" i="9"/>
  <c r="G267" i="9"/>
  <c r="J267" i="9"/>
  <c r="M147" i="9"/>
  <c r="J147" i="9"/>
  <c r="D147" i="9"/>
  <c r="G147" i="9"/>
  <c r="M197" i="9"/>
  <c r="G197" i="9"/>
  <c r="D197" i="9"/>
  <c r="J197" i="9"/>
  <c r="L92" i="9"/>
  <c r="K92" i="9" s="1"/>
  <c r="J4" i="9" s="1"/>
  <c r="M62" i="3"/>
  <c r="L62" i="3"/>
  <c r="N62" i="3"/>
  <c r="I42" i="3"/>
  <c r="J42" i="3"/>
  <c r="H42" i="3"/>
  <c r="J23" i="9"/>
  <c r="G23" i="9"/>
  <c r="D23" i="9"/>
  <c r="M23" i="9"/>
  <c r="G185" i="9"/>
  <c r="D185" i="9"/>
  <c r="J185" i="9"/>
  <c r="M185" i="9"/>
  <c r="J149" i="9"/>
  <c r="M149" i="9"/>
  <c r="D149" i="9"/>
  <c r="G149" i="9"/>
  <c r="M218" i="9"/>
  <c r="D218" i="9"/>
  <c r="G218" i="9"/>
  <c r="J218" i="9"/>
  <c r="D224" i="9"/>
  <c r="M224" i="9"/>
  <c r="J224" i="9"/>
  <c r="G224" i="9"/>
  <c r="J203" i="9"/>
  <c r="M203" i="9"/>
  <c r="D203" i="9"/>
  <c r="G203" i="9"/>
  <c r="R37" i="3"/>
  <c r="Q37" i="3"/>
  <c r="P37" i="3"/>
  <c r="G226" i="9"/>
  <c r="J226" i="9"/>
  <c r="M226" i="9"/>
  <c r="D226" i="9"/>
  <c r="D148" i="9"/>
  <c r="G148" i="9"/>
  <c r="J148" i="9"/>
  <c r="M148" i="9"/>
  <c r="L18" i="3"/>
  <c r="N18" i="3"/>
  <c r="M18" i="3"/>
  <c r="H45" i="3"/>
  <c r="I45" i="3"/>
  <c r="J45" i="3"/>
  <c r="G128" i="9"/>
  <c r="D128" i="9"/>
  <c r="J128" i="9"/>
  <c r="M128" i="9"/>
  <c r="J138" i="9"/>
  <c r="G138" i="9"/>
  <c r="D138" i="9"/>
  <c r="M138" i="9"/>
  <c r="L41" i="3"/>
  <c r="N41" i="3"/>
  <c r="M41" i="3"/>
  <c r="D116" i="9"/>
  <c r="J116" i="9"/>
  <c r="M116" i="9"/>
  <c r="G116" i="9"/>
  <c r="M37" i="3"/>
  <c r="L37" i="3"/>
  <c r="N37" i="3"/>
  <c r="N11" i="3"/>
  <c r="L11" i="3"/>
  <c r="M11" i="3"/>
  <c r="D39" i="9"/>
  <c r="J39" i="9"/>
  <c r="G39" i="9"/>
  <c r="M39" i="9"/>
  <c r="N15" i="5"/>
  <c r="M15" i="5"/>
  <c r="L15" i="5"/>
  <c r="D216" i="9"/>
  <c r="G216" i="9"/>
  <c r="J216" i="9"/>
  <c r="M216" i="9"/>
  <c r="L17" i="3"/>
  <c r="N17" i="3"/>
  <c r="M17" i="3"/>
  <c r="M45" i="9"/>
  <c r="D45" i="9"/>
  <c r="J45" i="9"/>
  <c r="G45" i="9"/>
  <c r="J62" i="3"/>
  <c r="H62" i="3"/>
  <c r="I62" i="3"/>
  <c r="G146" i="9"/>
  <c r="J146" i="9"/>
  <c r="D146" i="9"/>
  <c r="M146" i="9"/>
  <c r="N8" i="3"/>
  <c r="M8" i="3"/>
  <c r="L8" i="3"/>
  <c r="L7" i="3"/>
  <c r="M7" i="3"/>
  <c r="N7" i="3"/>
  <c r="Q50" i="3"/>
  <c r="P50" i="3"/>
  <c r="R50" i="3"/>
  <c r="M31" i="3"/>
  <c r="L31" i="3"/>
  <c r="N31" i="3"/>
  <c r="G199" i="9"/>
  <c r="J199" i="9"/>
  <c r="M199" i="9"/>
  <c r="D199" i="9"/>
  <c r="G162" i="9"/>
  <c r="J162" i="9"/>
  <c r="D162" i="9"/>
  <c r="M162" i="9"/>
  <c r="L16" i="5"/>
  <c r="M16" i="5"/>
  <c r="N16" i="5"/>
  <c r="G73" i="9"/>
  <c r="J73" i="9"/>
  <c r="M73" i="9"/>
  <c r="D73" i="9"/>
  <c r="J39" i="3"/>
  <c r="I39" i="3"/>
  <c r="H39" i="3"/>
  <c r="O92" i="9"/>
  <c r="N92" i="9" s="1"/>
  <c r="M4" i="9" s="1"/>
  <c r="G280" i="9"/>
  <c r="M280" i="9"/>
  <c r="D280" i="9"/>
  <c r="J280" i="9"/>
  <c r="D165" i="9"/>
  <c r="G165" i="9"/>
  <c r="J165" i="9"/>
  <c r="M165" i="9"/>
  <c r="G86" i="9"/>
  <c r="M86" i="9"/>
  <c r="D86" i="9"/>
  <c r="J86" i="9"/>
  <c r="L206" i="9"/>
  <c r="K206" i="9" s="1"/>
  <c r="J8" i="9" s="1"/>
  <c r="M163" i="9"/>
  <c r="J163" i="9"/>
  <c r="G163" i="9"/>
  <c r="D163" i="9"/>
  <c r="Q58" i="3"/>
  <c r="R58" i="3"/>
  <c r="P58" i="3"/>
  <c r="M61" i="3"/>
  <c r="L61" i="3"/>
  <c r="N61" i="3"/>
  <c r="L168" i="9"/>
  <c r="K168" i="9" s="1"/>
  <c r="J12" i="9" s="1"/>
  <c r="L46" i="3"/>
  <c r="M46" i="3"/>
  <c r="N46" i="3"/>
  <c r="D79" i="9"/>
  <c r="G79" i="9"/>
  <c r="M79" i="9"/>
  <c r="J79" i="9"/>
  <c r="G236" i="9"/>
  <c r="D236" i="9"/>
  <c r="M236" i="9"/>
  <c r="J236" i="9"/>
  <c r="M33" i="3"/>
  <c r="N33" i="3"/>
  <c r="L33" i="3"/>
  <c r="H40" i="3"/>
  <c r="I40" i="3"/>
  <c r="J40" i="3"/>
  <c r="M71" i="9"/>
  <c r="G71" i="9"/>
  <c r="J71" i="9"/>
  <c r="D71" i="9"/>
  <c r="G110" i="9"/>
  <c r="M110" i="9"/>
  <c r="J110" i="9"/>
  <c r="D110" i="9"/>
  <c r="L22" i="5"/>
  <c r="M22" i="5"/>
  <c r="N22" i="5"/>
  <c r="P74" i="3"/>
  <c r="Q74" i="3"/>
  <c r="R74" i="3"/>
  <c r="H56" i="3"/>
  <c r="I56" i="3"/>
  <c r="J56" i="3"/>
  <c r="D63" i="9"/>
  <c r="M63" i="9"/>
  <c r="J63" i="9"/>
  <c r="G63" i="9"/>
  <c r="L42" i="3"/>
  <c r="N42" i="3"/>
  <c r="M42" i="3"/>
  <c r="M98" i="9"/>
  <c r="G98" i="9"/>
  <c r="J98" i="9"/>
  <c r="D98" i="9"/>
  <c r="C130" i="9"/>
  <c r="M251" i="9"/>
  <c r="D251" i="9"/>
  <c r="J251" i="9"/>
  <c r="G251" i="9"/>
  <c r="I37" i="3"/>
  <c r="J37" i="3"/>
  <c r="H37" i="3"/>
  <c r="I44" i="3"/>
  <c r="J44" i="3"/>
  <c r="H44" i="3"/>
  <c r="J51" i="9"/>
  <c r="G51" i="9"/>
  <c r="M51" i="9"/>
  <c r="D51" i="9"/>
  <c r="Q60" i="3"/>
  <c r="P60" i="3"/>
  <c r="R60" i="3"/>
  <c r="M20" i="3"/>
  <c r="N20" i="3"/>
  <c r="L20" i="3"/>
  <c r="G274" i="9"/>
  <c r="M274" i="9"/>
  <c r="J274" i="9"/>
  <c r="D274" i="9"/>
  <c r="M201" i="9"/>
  <c r="J201" i="9"/>
  <c r="D201" i="9"/>
  <c r="G201" i="9"/>
  <c r="G117" i="9"/>
  <c r="D117" i="9"/>
  <c r="M117" i="9"/>
  <c r="J117" i="9"/>
  <c r="I65" i="3"/>
  <c r="H65" i="3"/>
  <c r="J65" i="3"/>
  <c r="N72" i="3"/>
  <c r="M72" i="3"/>
  <c r="L72" i="3"/>
  <c r="D85" i="9"/>
  <c r="J85" i="9"/>
  <c r="G85" i="9"/>
  <c r="M85" i="9"/>
  <c r="M153" i="9"/>
  <c r="G153" i="9"/>
  <c r="D153" i="9"/>
  <c r="J153" i="9"/>
  <c r="J279" i="9"/>
  <c r="M279" i="9"/>
  <c r="D279" i="9"/>
  <c r="G279" i="9"/>
  <c r="D275" i="9"/>
  <c r="J275" i="9"/>
  <c r="G275" i="9"/>
  <c r="M275" i="9"/>
  <c r="N68" i="3"/>
  <c r="M68" i="3"/>
  <c r="L68" i="3"/>
  <c r="G233" i="9"/>
  <c r="J233" i="9"/>
  <c r="M233" i="9"/>
  <c r="D233" i="9"/>
  <c r="N24" i="3"/>
  <c r="L24" i="3"/>
  <c r="M24" i="3"/>
  <c r="G164" i="9"/>
  <c r="J164" i="9"/>
  <c r="D164" i="9"/>
  <c r="M164" i="9"/>
  <c r="J166" i="9"/>
  <c r="M166" i="9"/>
  <c r="D166" i="9"/>
  <c r="G166" i="9"/>
  <c r="M18" i="5"/>
  <c r="N18" i="5"/>
  <c r="L18" i="5"/>
  <c r="J36" i="3"/>
  <c r="I36" i="3"/>
  <c r="H36" i="3"/>
  <c r="J182" i="9"/>
  <c r="D182" i="9"/>
  <c r="G182" i="9"/>
  <c r="M182" i="9"/>
  <c r="M28" i="9"/>
  <c r="D28" i="9"/>
  <c r="J28" i="9"/>
  <c r="G28" i="9"/>
  <c r="Q69" i="3"/>
  <c r="R69" i="3"/>
  <c r="P69" i="3"/>
  <c r="M19" i="3"/>
  <c r="N19" i="3"/>
  <c r="L19" i="3"/>
  <c r="J68" i="9"/>
  <c r="D68" i="9"/>
  <c r="M68" i="9"/>
  <c r="G68" i="9"/>
  <c r="G277" i="9"/>
  <c r="J277" i="9"/>
  <c r="M277" i="9"/>
  <c r="D277" i="9"/>
  <c r="D36" i="9"/>
  <c r="G36" i="9"/>
  <c r="M36" i="9"/>
  <c r="J36" i="9"/>
  <c r="M69" i="9"/>
  <c r="J69" i="9"/>
  <c r="D69" i="9"/>
  <c r="G69" i="9"/>
  <c r="J257" i="9"/>
  <c r="D257" i="9"/>
  <c r="G257" i="9"/>
  <c r="M257" i="9"/>
  <c r="L48" i="3"/>
  <c r="M48" i="3"/>
  <c r="N48" i="3"/>
  <c r="G29" i="9"/>
  <c r="M29" i="9"/>
  <c r="J29" i="9"/>
  <c r="D29" i="9"/>
  <c r="H31" i="3"/>
  <c r="I31" i="3"/>
  <c r="J31" i="3"/>
  <c r="D253" i="9"/>
  <c r="M253" i="9"/>
  <c r="J253" i="9"/>
  <c r="G253" i="9"/>
  <c r="N43" i="3"/>
  <c r="L43" i="3"/>
  <c r="M43" i="3"/>
  <c r="D123" i="9"/>
  <c r="J123" i="9"/>
  <c r="M123" i="9"/>
  <c r="G123" i="9"/>
  <c r="D239" i="9"/>
  <c r="G239" i="9"/>
  <c r="J239" i="9"/>
  <c r="M239" i="9"/>
  <c r="G49" i="9"/>
  <c r="D49" i="9"/>
  <c r="M49" i="9"/>
  <c r="J49" i="9"/>
  <c r="D81" i="9"/>
  <c r="G81" i="9"/>
  <c r="M81" i="9"/>
  <c r="J81" i="9"/>
  <c r="L21" i="3"/>
  <c r="N21" i="3"/>
  <c r="M21" i="3"/>
  <c r="J90" i="9"/>
  <c r="G90" i="9"/>
  <c r="M90" i="9"/>
  <c r="D90" i="9"/>
  <c r="G220" i="9"/>
  <c r="D220" i="9"/>
  <c r="M220" i="9"/>
  <c r="J220" i="9"/>
  <c r="D214" i="9"/>
  <c r="G214" i="9"/>
  <c r="J214" i="9"/>
  <c r="M214" i="9"/>
  <c r="P48" i="3"/>
  <c r="Q48" i="3"/>
  <c r="R48" i="3"/>
  <c r="G41" i="9"/>
  <c r="J41" i="9"/>
  <c r="D41" i="9"/>
  <c r="M41" i="9"/>
  <c r="P45" i="3"/>
  <c r="R45" i="3"/>
  <c r="Q45" i="3"/>
  <c r="D115" i="9"/>
  <c r="J115" i="9"/>
  <c r="M115" i="9"/>
  <c r="G115" i="9"/>
  <c r="R66" i="3"/>
  <c r="Q66" i="3"/>
  <c r="P66" i="3"/>
  <c r="L14" i="3"/>
  <c r="N14" i="3"/>
  <c r="M14" i="3"/>
  <c r="C244" i="9"/>
  <c r="G212" i="9"/>
  <c r="J212" i="9"/>
  <c r="M212" i="9"/>
  <c r="D212" i="9"/>
  <c r="J137" i="9"/>
  <c r="M137" i="9"/>
  <c r="D137" i="9"/>
  <c r="G137" i="9"/>
  <c r="M7" i="5"/>
  <c r="N7" i="5"/>
  <c r="L7" i="5"/>
  <c r="J30" i="9"/>
  <c r="M30" i="9"/>
  <c r="D30" i="9"/>
  <c r="G30" i="9"/>
  <c r="Q73" i="3"/>
  <c r="P73" i="3"/>
  <c r="R73" i="3"/>
  <c r="L69" i="3"/>
  <c r="N69" i="3"/>
  <c r="M69" i="3"/>
  <c r="O244" i="9"/>
  <c r="N244" i="9" s="1"/>
  <c r="M10" i="9" s="1"/>
  <c r="H34" i="3"/>
  <c r="I34" i="3"/>
  <c r="J34" i="3"/>
  <c r="D126" i="9"/>
  <c r="J126" i="9"/>
  <c r="G126" i="9"/>
  <c r="M126" i="9"/>
  <c r="F130" i="9"/>
  <c r="E130" i="9" s="1"/>
  <c r="D6" i="9" s="1"/>
  <c r="L13" i="3"/>
  <c r="M13" i="3"/>
  <c r="N13" i="3"/>
  <c r="D262" i="9"/>
  <c r="G262" i="9"/>
  <c r="M262" i="9"/>
  <c r="J262" i="9"/>
  <c r="G74" i="9"/>
  <c r="M74" i="9"/>
  <c r="D74" i="9"/>
  <c r="J74" i="9"/>
  <c r="R41" i="3"/>
  <c r="Q41" i="3"/>
  <c r="P41" i="3"/>
  <c r="J114" i="9"/>
  <c r="D114" i="9"/>
  <c r="G114" i="9"/>
  <c r="M114" i="9"/>
  <c r="M82" i="9"/>
  <c r="D82" i="9"/>
  <c r="G82" i="9"/>
  <c r="J82" i="9"/>
  <c r="G269" i="9"/>
  <c r="M269" i="9"/>
  <c r="J269" i="9"/>
  <c r="D269" i="9"/>
  <c r="J60" i="9"/>
  <c r="C92" i="9"/>
  <c r="G60" i="9"/>
  <c r="D60" i="9"/>
  <c r="M60" i="9"/>
  <c r="D265" i="9"/>
  <c r="G265" i="9"/>
  <c r="J265" i="9"/>
  <c r="M265" i="9"/>
  <c r="J87" i="9"/>
  <c r="G87" i="9"/>
  <c r="M87" i="9"/>
  <c r="D87" i="9"/>
  <c r="G254" i="9"/>
  <c r="M254" i="9"/>
  <c r="D254" i="9"/>
  <c r="J254" i="9"/>
  <c r="J200" i="9"/>
  <c r="M200" i="9"/>
  <c r="D200" i="9"/>
  <c r="G200" i="9"/>
  <c r="N66" i="3"/>
  <c r="L66" i="3"/>
  <c r="M66" i="3"/>
  <c r="J183" i="9"/>
  <c r="M183" i="9"/>
  <c r="D183" i="9"/>
  <c r="G183" i="9"/>
  <c r="M258" i="9"/>
  <c r="G258" i="9"/>
  <c r="D258" i="9"/>
  <c r="J258" i="9"/>
  <c r="M270" i="9"/>
  <c r="D270" i="9"/>
  <c r="G270" i="9"/>
  <c r="J270" i="9"/>
  <c r="M101" i="9"/>
  <c r="J101" i="9"/>
  <c r="G101" i="9"/>
  <c r="D101" i="9"/>
  <c r="J65" i="9"/>
  <c r="M65" i="9"/>
  <c r="G65" i="9"/>
  <c r="D65" i="9"/>
  <c r="G64" i="9"/>
  <c r="M64" i="9"/>
  <c r="D64" i="9"/>
  <c r="J64" i="9"/>
  <c r="I69" i="3"/>
  <c r="J69" i="3"/>
  <c r="H69" i="3"/>
  <c r="L74" i="3"/>
  <c r="M74" i="3"/>
  <c r="N74" i="3"/>
  <c r="M62" i="9"/>
  <c r="D62" i="9"/>
  <c r="G62" i="9"/>
  <c r="J62" i="9"/>
  <c r="J157" i="9"/>
  <c r="M157" i="9"/>
  <c r="G157" i="9"/>
  <c r="D157" i="9"/>
  <c r="M107" i="9"/>
  <c r="D107" i="9"/>
  <c r="J107" i="9"/>
  <c r="G107" i="9"/>
  <c r="F206" i="9"/>
  <c r="E206" i="9" s="1"/>
  <c r="D8" i="9" s="1"/>
  <c r="G238" i="9"/>
  <c r="M238" i="9"/>
  <c r="J238" i="9"/>
  <c r="D238" i="9"/>
  <c r="G232" i="9"/>
  <c r="M232" i="9"/>
  <c r="J232" i="9"/>
  <c r="D232" i="9"/>
  <c r="J38" i="3"/>
  <c r="I38" i="3"/>
  <c r="H38" i="3"/>
  <c r="D252" i="9"/>
  <c r="G252" i="9"/>
  <c r="J252" i="9"/>
  <c r="M252" i="9"/>
  <c r="M193" i="9"/>
  <c r="J193" i="9"/>
  <c r="D193" i="9"/>
  <c r="G193" i="9"/>
  <c r="P70" i="3"/>
  <c r="Q70" i="3"/>
  <c r="R70" i="3"/>
  <c r="G191" i="9"/>
  <c r="M191" i="9"/>
  <c r="D191" i="9"/>
  <c r="J191" i="9"/>
  <c r="L22" i="3"/>
  <c r="N22" i="3"/>
  <c r="M22" i="3"/>
  <c r="D229" i="9"/>
  <c r="M229" i="9"/>
  <c r="G229" i="9"/>
  <c r="J229" i="9"/>
  <c r="I168" i="9"/>
  <c r="H168" i="9" s="1"/>
  <c r="G12" i="9" s="1"/>
  <c r="L71" i="3"/>
  <c r="N71" i="3"/>
  <c r="M71" i="3"/>
  <c r="N9" i="3"/>
  <c r="L9" i="3"/>
  <c r="M9" i="3"/>
  <c r="M154" i="9"/>
  <c r="G154" i="9"/>
  <c r="D154" i="9"/>
  <c r="J154" i="9"/>
  <c r="M186" i="9"/>
  <c r="G186" i="9"/>
  <c r="D186" i="9"/>
  <c r="J186" i="9"/>
  <c r="H73" i="3"/>
  <c r="I73" i="3"/>
  <c r="J73" i="3"/>
  <c r="N56" i="3"/>
  <c r="M56" i="3"/>
  <c r="L56" i="3"/>
  <c r="J177" i="9"/>
  <c r="M177" i="9"/>
  <c r="D177" i="9"/>
  <c r="G177" i="9"/>
  <c r="J271" i="9"/>
  <c r="G271" i="9"/>
  <c r="M271" i="9"/>
  <c r="D271" i="9"/>
  <c r="D196" i="9"/>
  <c r="G196" i="9"/>
  <c r="M196" i="9"/>
  <c r="J196" i="9"/>
  <c r="N60" i="3"/>
  <c r="M60" i="3"/>
  <c r="L60" i="3"/>
  <c r="D230" i="9"/>
  <c r="G230" i="9"/>
  <c r="M230" i="9"/>
  <c r="J230" i="9"/>
  <c r="G47" i="9"/>
  <c r="M47" i="9"/>
  <c r="D47" i="9"/>
  <c r="J47" i="9"/>
  <c r="R63" i="3"/>
  <c r="P63" i="3"/>
  <c r="Q63" i="3"/>
  <c r="I50" i="3"/>
  <c r="H50" i="3"/>
  <c r="J50" i="3"/>
  <c r="I67" i="3"/>
  <c r="H67" i="3"/>
  <c r="J67" i="3"/>
  <c r="N10" i="5"/>
  <c r="L10" i="5"/>
  <c r="M10" i="5"/>
  <c r="G215" i="9"/>
  <c r="J215" i="9"/>
  <c r="D215" i="9"/>
  <c r="M215" i="9"/>
  <c r="M231" i="9"/>
  <c r="D231" i="9"/>
  <c r="J231" i="9"/>
  <c r="G231" i="9"/>
  <c r="I92" i="9"/>
  <c r="H92" i="9" s="1"/>
  <c r="G4" i="9" s="1"/>
  <c r="D235" i="9"/>
  <c r="M235" i="9"/>
  <c r="J235" i="9"/>
  <c r="G235" i="9"/>
  <c r="N40" i="3"/>
  <c r="L40" i="3"/>
  <c r="M40" i="3"/>
  <c r="M44" i="3"/>
  <c r="N44" i="3"/>
  <c r="L44" i="3"/>
  <c r="L20" i="5"/>
  <c r="M20" i="5"/>
  <c r="N20" i="5"/>
  <c r="G250" i="9"/>
  <c r="M250" i="9"/>
  <c r="C282" i="9"/>
  <c r="J250" i="9"/>
  <c r="D250" i="9"/>
  <c r="P46" i="3"/>
  <c r="Q46" i="3"/>
  <c r="R46" i="3"/>
  <c r="I57" i="3"/>
  <c r="J57" i="3"/>
  <c r="H57" i="3"/>
  <c r="G181" i="9"/>
  <c r="M181" i="9"/>
  <c r="J181" i="9"/>
  <c r="D181" i="9"/>
  <c r="G40" i="9"/>
  <c r="M40" i="9"/>
  <c r="D40" i="9"/>
  <c r="J40" i="9"/>
  <c r="G175" i="9"/>
  <c r="M175" i="9"/>
  <c r="D175" i="9"/>
  <c r="J175" i="9"/>
  <c r="M174" i="9"/>
  <c r="G174" i="9"/>
  <c r="C206" i="9"/>
  <c r="J174" i="9"/>
  <c r="D174" i="9"/>
  <c r="G223" i="9"/>
  <c r="M223" i="9"/>
  <c r="J223" i="9"/>
  <c r="D223" i="9"/>
  <c r="H58" i="3"/>
  <c r="J58" i="3"/>
  <c r="I58" i="3"/>
  <c r="N39" i="3"/>
  <c r="L39" i="3"/>
  <c r="M39" i="3"/>
  <c r="P68" i="3"/>
  <c r="R68" i="3"/>
  <c r="Q68" i="3"/>
  <c r="J75" i="3"/>
  <c r="I75" i="3"/>
  <c r="H75" i="3"/>
  <c r="L244" i="9"/>
  <c r="K244" i="9" s="1"/>
  <c r="J10" i="9" s="1"/>
  <c r="N10" i="3"/>
  <c r="M10" i="3"/>
  <c r="L10" i="3"/>
  <c r="M24" i="9"/>
  <c r="G24" i="9"/>
  <c r="D24" i="9"/>
  <c r="J24" i="9"/>
  <c r="H61" i="3"/>
  <c r="I61" i="3"/>
  <c r="J61" i="3"/>
  <c r="D72" i="9"/>
  <c r="G72" i="9"/>
  <c r="J72" i="9"/>
  <c r="M72" i="9"/>
  <c r="H63" i="3"/>
  <c r="J63" i="3"/>
  <c r="I63" i="3"/>
  <c r="L13" i="5"/>
  <c r="M13" i="5"/>
  <c r="N13" i="5"/>
  <c r="M64" i="3"/>
  <c r="L64" i="3"/>
  <c r="N64" i="3"/>
  <c r="L49" i="3"/>
  <c r="N49" i="3"/>
  <c r="M49" i="3"/>
  <c r="H35" i="3"/>
  <c r="J35" i="3"/>
  <c r="I35" i="3"/>
  <c r="J102" i="9"/>
  <c r="G102" i="9"/>
  <c r="M102" i="9"/>
  <c r="D102" i="9"/>
  <c r="L14" i="5"/>
  <c r="N14" i="5"/>
  <c r="M14" i="5"/>
  <c r="J178" i="9"/>
  <c r="G178" i="9"/>
  <c r="D178" i="9"/>
  <c r="M178" i="9"/>
  <c r="D268" i="9"/>
  <c r="M268" i="9"/>
  <c r="J268" i="9"/>
  <c r="G268" i="9"/>
  <c r="G25" i="9"/>
  <c r="M25" i="9"/>
  <c r="J25" i="9"/>
  <c r="D25" i="9"/>
  <c r="M204" i="9"/>
  <c r="G204" i="9"/>
  <c r="J204" i="9"/>
  <c r="D204" i="9"/>
  <c r="G190" i="9"/>
  <c r="D190" i="9"/>
  <c r="J190" i="9"/>
  <c r="M190" i="9"/>
  <c r="J50" i="9"/>
  <c r="D50" i="9"/>
  <c r="G50" i="9"/>
  <c r="M50" i="9"/>
  <c r="M67" i="3"/>
  <c r="N67" i="3"/>
  <c r="L67" i="3"/>
  <c r="J46" i="9"/>
  <c r="D46" i="9"/>
  <c r="M46" i="9"/>
  <c r="G46" i="9"/>
  <c r="G273" i="9"/>
  <c r="J273" i="9"/>
  <c r="D273" i="9"/>
  <c r="M273" i="9"/>
  <c r="M145" i="9"/>
  <c r="D145" i="9"/>
  <c r="J145" i="9"/>
  <c r="G145" i="9"/>
  <c r="N73" i="3"/>
  <c r="M73" i="3"/>
  <c r="L73" i="3"/>
  <c r="M35" i="9"/>
  <c r="J35" i="9"/>
  <c r="D35" i="9"/>
  <c r="G35" i="9"/>
  <c r="D184" i="9"/>
  <c r="M184" i="9"/>
  <c r="J184" i="9"/>
  <c r="G184" i="9"/>
  <c r="M19" i="5"/>
  <c r="N19" i="5"/>
  <c r="L19" i="5"/>
  <c r="M89" i="9"/>
  <c r="D89" i="9"/>
  <c r="J89" i="9"/>
  <c r="G89" i="9"/>
  <c r="D266" i="9"/>
  <c r="G266" i="9"/>
  <c r="M266" i="9"/>
  <c r="J266" i="9"/>
  <c r="L70" i="3"/>
  <c r="M70" i="3"/>
  <c r="N70" i="3"/>
  <c r="D222" i="9"/>
  <c r="J222" i="9"/>
  <c r="G222" i="9"/>
  <c r="M222" i="9"/>
  <c r="J64" i="3"/>
  <c r="H64" i="3"/>
  <c r="I64" i="3"/>
  <c r="Q65" i="3"/>
  <c r="R65" i="3"/>
  <c r="P65" i="3"/>
  <c r="D52" i="9"/>
  <c r="M52" i="9"/>
  <c r="J52" i="9"/>
  <c r="G52" i="9"/>
  <c r="G34" i="9"/>
  <c r="D34" i="9"/>
  <c r="M34" i="9"/>
  <c r="J34" i="9"/>
  <c r="G42" i="9"/>
  <c r="M42" i="9"/>
  <c r="J42" i="9"/>
  <c r="D42" i="9"/>
  <c r="L17" i="5"/>
  <c r="N17" i="5"/>
  <c r="M17" i="5"/>
  <c r="D122" i="9"/>
  <c r="M122" i="9"/>
  <c r="J122" i="9"/>
  <c r="G122" i="9"/>
  <c r="H70" i="3"/>
  <c r="I70" i="3"/>
  <c r="J70" i="3"/>
  <c r="Q32" i="3"/>
  <c r="R32" i="3"/>
  <c r="P32" i="3"/>
  <c r="J180" i="9"/>
  <c r="M180" i="9"/>
  <c r="G180" i="9"/>
  <c r="D180" i="9"/>
  <c r="J113" i="9"/>
  <c r="M113" i="9"/>
  <c r="G113" i="9"/>
  <c r="D113" i="9"/>
  <c r="D159" i="9"/>
  <c r="M159" i="9"/>
  <c r="G159" i="9"/>
  <c r="J159" i="9"/>
  <c r="L130" i="9"/>
  <c r="K130" i="9" s="1"/>
  <c r="J6" i="9" s="1"/>
  <c r="G108" i="9"/>
  <c r="J108" i="9"/>
  <c r="D108" i="9"/>
  <c r="M108" i="9"/>
  <c r="J60" i="3"/>
  <c r="H60" i="3"/>
  <c r="I60" i="3"/>
  <c r="M58" i="3"/>
  <c r="L58" i="3"/>
  <c r="N58" i="3"/>
  <c r="D88" i="9"/>
  <c r="G88" i="9"/>
  <c r="J88" i="9"/>
  <c r="M88" i="9"/>
  <c r="O54" i="9"/>
  <c r="N54" i="9" s="1"/>
  <c r="M16" i="9" s="1"/>
  <c r="P39" i="3"/>
  <c r="R39" i="3"/>
  <c r="Q39" i="3"/>
  <c r="M99" i="9"/>
  <c r="G99" i="9"/>
  <c r="D99" i="9"/>
  <c r="J99" i="9"/>
  <c r="I54" i="9"/>
  <c r="H54" i="9" s="1"/>
  <c r="G16" i="9" s="1"/>
  <c r="N6" i="3"/>
  <c r="M6" i="3"/>
  <c r="L6" i="3"/>
  <c r="J111" i="9"/>
  <c r="D111" i="9"/>
  <c r="G111" i="9"/>
  <c r="M111" i="9"/>
  <c r="F54" i="9"/>
  <c r="M234" i="9"/>
  <c r="G234" i="9"/>
  <c r="D234" i="9"/>
  <c r="J234" i="9"/>
  <c r="D187" i="9"/>
  <c r="G187" i="9"/>
  <c r="J187" i="9"/>
  <c r="M187" i="9"/>
  <c r="M100" i="9"/>
  <c r="J100" i="9"/>
  <c r="D100" i="9"/>
  <c r="G100" i="9"/>
  <c r="F92" i="9"/>
  <c r="E92" i="9" s="1"/>
  <c r="D4" i="9" s="1"/>
  <c r="O130" i="9"/>
  <c r="N130" i="9" s="1"/>
  <c r="M6" i="9" s="1"/>
  <c r="D70" i="9"/>
  <c r="G70" i="9"/>
  <c r="M70" i="9"/>
  <c r="J70" i="9"/>
  <c r="F282" i="9"/>
  <c r="E282" i="9" s="1"/>
  <c r="D14" i="9" s="1"/>
  <c r="J67" i="9"/>
  <c r="D67" i="9"/>
  <c r="G67" i="9"/>
  <c r="M67" i="9"/>
  <c r="J202" i="9"/>
  <c r="D202" i="9"/>
  <c r="G202" i="9"/>
  <c r="M202" i="9"/>
  <c r="G242" i="9"/>
  <c r="D242" i="9"/>
  <c r="M242" i="9"/>
  <c r="J242" i="9"/>
  <c r="N75" i="3"/>
  <c r="L75" i="3"/>
  <c r="M75" i="3"/>
  <c r="D106" i="9"/>
  <c r="J106" i="9"/>
  <c r="M106" i="9"/>
  <c r="G106" i="9"/>
  <c r="M35" i="3"/>
  <c r="L35" i="3"/>
  <c r="N35" i="3"/>
  <c r="N25" i="5"/>
  <c r="M25" i="5"/>
  <c r="L25" i="5"/>
  <c r="D104" i="9"/>
  <c r="M104" i="9"/>
  <c r="J104" i="9"/>
  <c r="G104" i="9"/>
  <c r="G75" i="9"/>
  <c r="D75" i="9"/>
  <c r="M75" i="9"/>
  <c r="J75" i="9"/>
  <c r="J219" i="9"/>
  <c r="M219" i="9"/>
  <c r="D219" i="9"/>
  <c r="G219" i="9"/>
  <c r="G188" i="9"/>
  <c r="M188" i="9"/>
  <c r="D188" i="9"/>
  <c r="J188" i="9"/>
  <c r="G158" i="9"/>
  <c r="D158" i="9"/>
  <c r="J158" i="9"/>
  <c r="M158" i="9"/>
  <c r="J272" i="9"/>
  <c r="M272" i="9"/>
  <c r="G272" i="9"/>
  <c r="D272" i="9"/>
  <c r="L11" i="5"/>
  <c r="N11" i="5"/>
  <c r="M11" i="5"/>
  <c r="M261" i="9"/>
  <c r="G261" i="9"/>
  <c r="J261" i="9"/>
  <c r="D261" i="9"/>
  <c r="G155" i="9"/>
  <c r="D155" i="9"/>
  <c r="M155" i="9"/>
  <c r="J155" i="9"/>
  <c r="N32" i="3"/>
  <c r="L32" i="3"/>
  <c r="M32" i="3"/>
  <c r="G225" i="9"/>
  <c r="J225" i="9"/>
  <c r="M225" i="9"/>
  <c r="D225" i="9"/>
  <c r="M136" i="9"/>
  <c r="C168" i="9"/>
  <c r="D136" i="9"/>
  <c r="G136" i="9"/>
  <c r="J136" i="9"/>
  <c r="Q47" i="3"/>
  <c r="P47" i="3"/>
  <c r="R47" i="3"/>
  <c r="L12" i="3"/>
  <c r="M12" i="3"/>
  <c r="N12" i="3"/>
  <c r="I46" i="3"/>
  <c r="J46" i="3"/>
  <c r="H46" i="3"/>
  <c r="N59" i="3"/>
  <c r="M59" i="3"/>
  <c r="L59" i="3"/>
  <c r="H41" i="3"/>
  <c r="I41" i="3"/>
  <c r="J41" i="3"/>
  <c r="G160" i="9"/>
  <c r="J160" i="9"/>
  <c r="M160" i="9"/>
  <c r="D160" i="9"/>
  <c r="M26" i="9"/>
  <c r="D26" i="9"/>
  <c r="G26" i="9"/>
  <c r="J26" i="9"/>
  <c r="Q57" i="3"/>
  <c r="R57" i="3"/>
  <c r="P57" i="3"/>
  <c r="H43" i="3"/>
  <c r="J43" i="3"/>
  <c r="I43" i="3"/>
  <c r="Q75" i="3"/>
  <c r="R75" i="3"/>
  <c r="P75" i="3"/>
  <c r="M255" i="9"/>
  <c r="G255" i="9"/>
  <c r="J255" i="9"/>
  <c r="D255" i="9"/>
  <c r="I244" i="9"/>
  <c r="H244" i="9" s="1"/>
  <c r="G10" i="9" s="1"/>
  <c r="G161" i="9"/>
  <c r="D161" i="9"/>
  <c r="J161" i="9"/>
  <c r="M161" i="9"/>
  <c r="G227" i="9"/>
  <c r="M227" i="9"/>
  <c r="D227" i="9"/>
  <c r="J227" i="9"/>
  <c r="J152" i="9"/>
  <c r="G152" i="9"/>
  <c r="D152" i="9"/>
  <c r="M152" i="9"/>
  <c r="P71" i="3"/>
  <c r="Q71" i="3"/>
  <c r="R71" i="3"/>
  <c r="L282" i="9"/>
  <c r="K282" i="9" s="1"/>
  <c r="J14" i="9" s="1"/>
  <c r="D217" i="9"/>
  <c r="M217" i="9"/>
  <c r="G217" i="9"/>
  <c r="J217" i="9"/>
  <c r="P34" i="3"/>
  <c r="R34" i="3"/>
  <c r="Q34" i="3"/>
  <c r="D256" i="9"/>
  <c r="G256" i="9"/>
  <c r="J256" i="9"/>
  <c r="M256" i="9"/>
  <c r="G83" i="9"/>
  <c r="D83" i="9"/>
  <c r="J83" i="9"/>
  <c r="M83" i="9"/>
  <c r="G276" i="9"/>
  <c r="J276" i="9"/>
  <c r="M276" i="9"/>
  <c r="D276" i="9"/>
  <c r="D43" i="9"/>
  <c r="G43" i="9"/>
  <c r="M43" i="9"/>
  <c r="J43" i="9"/>
  <c r="J38" i="9"/>
  <c r="D38" i="9"/>
  <c r="G38" i="9"/>
  <c r="M38" i="9"/>
  <c r="J125" i="9"/>
  <c r="D125" i="9"/>
  <c r="G125" i="9"/>
  <c r="M125" i="9"/>
  <c r="J68" i="3"/>
  <c r="H68" i="3"/>
  <c r="I68" i="3"/>
  <c r="I282" i="9"/>
  <c r="H282" i="9" s="1"/>
  <c r="G14" i="9" s="1"/>
  <c r="M24" i="5"/>
  <c r="N24" i="5"/>
  <c r="L24" i="5"/>
  <c r="J150" i="9"/>
  <c r="M150" i="9"/>
  <c r="D150" i="9"/>
  <c r="G150" i="9"/>
  <c r="J221" i="9"/>
  <c r="G221" i="9"/>
  <c r="M221" i="9"/>
  <c r="D221" i="9"/>
  <c r="F244" i="9"/>
  <c r="E244" i="9" s="1"/>
  <c r="D10" i="9" s="1"/>
  <c r="Q33" i="3"/>
  <c r="P33" i="3"/>
  <c r="R33" i="3"/>
  <c r="G151" i="9"/>
  <c r="J151" i="9"/>
  <c r="D151" i="9"/>
  <c r="M151" i="9"/>
  <c r="O206" i="9"/>
  <c r="N206" i="9" s="1"/>
  <c r="M8" i="9" s="1"/>
  <c r="J74" i="3"/>
  <c r="I74" i="3"/>
  <c r="H74" i="3"/>
  <c r="M84" i="9"/>
  <c r="D84" i="9"/>
  <c r="J84" i="9"/>
  <c r="G84" i="9"/>
  <c r="N15" i="3"/>
  <c r="L15" i="3"/>
  <c r="M15" i="3"/>
  <c r="D103" i="9"/>
  <c r="J103" i="9"/>
  <c r="M103" i="9"/>
  <c r="G103" i="9"/>
  <c r="M80" i="9"/>
  <c r="G80" i="9"/>
  <c r="D80" i="9"/>
  <c r="J80" i="9"/>
  <c r="D27" i="9"/>
  <c r="M27" i="9"/>
  <c r="G27" i="9"/>
  <c r="J27" i="9"/>
  <c r="R42" i="3"/>
  <c r="Q42" i="3"/>
  <c r="P42" i="3"/>
  <c r="M176" i="9"/>
  <c r="G176" i="9"/>
  <c r="D176" i="9"/>
  <c r="J176" i="9"/>
  <c r="J143" i="9"/>
  <c r="D143" i="9"/>
  <c r="M143" i="9"/>
  <c r="G143" i="9"/>
  <c r="D76" i="9"/>
  <c r="J76" i="9"/>
  <c r="M76" i="9"/>
  <c r="G76" i="9"/>
  <c r="J77" i="9"/>
  <c r="M77" i="9"/>
  <c r="G77" i="9"/>
  <c r="D77" i="9"/>
  <c r="G66" i="9"/>
  <c r="J66" i="9"/>
  <c r="D66" i="9"/>
  <c r="M66" i="9"/>
  <c r="L63" i="3"/>
  <c r="N63" i="3"/>
  <c r="M63" i="3"/>
  <c r="J33" i="9"/>
  <c r="M33" i="9"/>
  <c r="G33" i="9"/>
  <c r="D33" i="9"/>
  <c r="D119" i="9"/>
  <c r="M119" i="9"/>
  <c r="J119" i="9"/>
  <c r="G119" i="9"/>
  <c r="G240" i="9"/>
  <c r="J240" i="9"/>
  <c r="M240" i="9"/>
  <c r="D240" i="9"/>
  <c r="R59" i="3"/>
  <c r="Q59" i="3"/>
  <c r="P59" i="3"/>
  <c r="G241" i="9"/>
  <c r="M241" i="9"/>
  <c r="J241" i="9"/>
  <c r="D241" i="9"/>
  <c r="H33" i="3"/>
  <c r="I33" i="3"/>
  <c r="J33" i="3"/>
  <c r="Q43" i="3"/>
  <c r="P43" i="3"/>
  <c r="R43" i="3"/>
  <c r="L54" i="9"/>
  <c r="K54" i="9" s="1"/>
  <c r="J16" i="9" s="1"/>
  <c r="Q40" i="3"/>
  <c r="P40" i="3"/>
  <c r="R40" i="3"/>
  <c r="N50" i="3"/>
  <c r="L50" i="3"/>
  <c r="M50" i="3"/>
  <c r="J179" i="9"/>
  <c r="M179" i="9"/>
  <c r="G179" i="9"/>
  <c r="D179" i="9"/>
  <c r="Q49" i="3"/>
  <c r="P49" i="3"/>
  <c r="R49" i="3"/>
  <c r="J118" i="9"/>
  <c r="D118" i="9"/>
  <c r="M118" i="9"/>
  <c r="G118" i="9"/>
  <c r="D31" i="9"/>
  <c r="M31" i="9"/>
  <c r="G31" i="9"/>
  <c r="J31" i="9"/>
  <c r="G198" i="9"/>
  <c r="M198" i="9"/>
  <c r="J198" i="9"/>
  <c r="D198" i="9"/>
  <c r="J44" i="9"/>
  <c r="G44" i="9"/>
  <c r="D44" i="9"/>
  <c r="M44" i="9"/>
  <c r="H48" i="3"/>
  <c r="J48" i="3"/>
  <c r="I48" i="3"/>
  <c r="D78" i="9"/>
  <c r="G78" i="9"/>
  <c r="J78" i="9"/>
  <c r="M78" i="9"/>
  <c r="N65" i="3"/>
  <c r="M65" i="3"/>
  <c r="L65" i="3"/>
  <c r="M260" i="9"/>
  <c r="D260" i="9"/>
  <c r="J260" i="9"/>
  <c r="G260" i="9"/>
  <c r="M127" i="9"/>
  <c r="D127" i="9"/>
  <c r="G127" i="9"/>
  <c r="J127" i="9"/>
  <c r="L21" i="5"/>
  <c r="N21" i="5"/>
  <c r="M21" i="5"/>
  <c r="G259" i="9"/>
  <c r="J259" i="9"/>
  <c r="M259" i="9"/>
  <c r="D259" i="9"/>
  <c r="G37" i="9"/>
  <c r="D37" i="9"/>
  <c r="M37" i="9"/>
  <c r="J37" i="9"/>
  <c r="L45" i="3"/>
  <c r="N45" i="3"/>
  <c r="M45" i="3"/>
  <c r="F168" i="9"/>
  <c r="E168" i="9" s="1"/>
  <c r="D12" i="9" s="1"/>
  <c r="D263" i="9"/>
  <c r="M263" i="9"/>
  <c r="G263" i="9"/>
  <c r="J263" i="9"/>
  <c r="G141" i="9"/>
  <c r="M141" i="9"/>
  <c r="J141" i="9"/>
  <c r="D141" i="9"/>
  <c r="R31" i="3"/>
  <c r="P31" i="3"/>
  <c r="Q31" i="3"/>
  <c r="L23" i="3"/>
  <c r="M23" i="3"/>
  <c r="N23" i="3"/>
  <c r="R44" i="3"/>
  <c r="P44" i="3"/>
  <c r="Q44" i="3"/>
  <c r="Q72" i="3"/>
  <c r="R72" i="3"/>
  <c r="P72" i="3"/>
  <c r="D194" i="9"/>
  <c r="M194" i="9"/>
  <c r="G194" i="9"/>
  <c r="J194" i="9"/>
  <c r="R56" i="3"/>
  <c r="Q56" i="3"/>
  <c r="P56" i="3"/>
  <c r="M34" i="3"/>
  <c r="N34" i="3"/>
  <c r="L34" i="3"/>
  <c r="M22" i="9"/>
  <c r="G22" i="9"/>
  <c r="C54" i="9"/>
  <c r="D22" i="9"/>
  <c r="J22" i="9"/>
  <c r="P35" i="3"/>
  <c r="R35" i="3"/>
  <c r="Q35" i="3"/>
  <c r="G139" i="9"/>
  <c r="D139" i="9"/>
  <c r="M139" i="9"/>
  <c r="J139" i="9"/>
  <c r="J49" i="3"/>
  <c r="H49" i="3"/>
  <c r="I49" i="3"/>
  <c r="M140" i="9"/>
  <c r="J140" i="9"/>
  <c r="G140" i="9"/>
  <c r="D140" i="9"/>
  <c r="M192" i="9"/>
  <c r="J192" i="9"/>
  <c r="D192" i="9"/>
  <c r="G192" i="9"/>
  <c r="L8" i="5"/>
  <c r="N8" i="5"/>
  <c r="M8" i="5"/>
  <c r="J189" i="9"/>
  <c r="M189" i="9"/>
  <c r="D189" i="9"/>
  <c r="G189" i="9"/>
  <c r="D32" i="9"/>
  <c r="M32" i="9"/>
  <c r="J32" i="9"/>
  <c r="G32" i="9"/>
  <c r="H47" i="3"/>
  <c r="J47" i="3"/>
  <c r="I47" i="3"/>
  <c r="L23" i="5"/>
  <c r="N23" i="5"/>
  <c r="M23" i="5"/>
  <c r="M48" i="9"/>
  <c r="D48" i="9"/>
  <c r="J48" i="9"/>
  <c r="G48" i="9"/>
  <c r="J144" i="9"/>
  <c r="G144" i="9"/>
  <c r="M144" i="9"/>
  <c r="D144" i="9"/>
  <c r="H71" i="3"/>
  <c r="J71" i="3"/>
  <c r="I71" i="3"/>
  <c r="L38" i="3"/>
  <c r="N38" i="3"/>
  <c r="M38" i="3"/>
  <c r="H59" i="3"/>
  <c r="J59" i="3"/>
  <c r="I59" i="3"/>
  <c r="D61" i="9"/>
  <c r="G61" i="9"/>
  <c r="J61" i="9"/>
  <c r="M61" i="9"/>
  <c r="J121" i="9"/>
  <c r="D121" i="9"/>
  <c r="G121" i="9"/>
  <c r="M121" i="9"/>
  <c r="N57" i="3"/>
  <c r="M57" i="3"/>
  <c r="L57" i="3"/>
  <c r="P38" i="3"/>
  <c r="Q38" i="3"/>
  <c r="R38" i="3"/>
  <c r="M54" i="9" l="1"/>
  <c r="D54" i="9"/>
  <c r="D168" i="9"/>
  <c r="G206" i="9"/>
  <c r="D282" i="9"/>
  <c r="G282" i="9"/>
  <c r="G92" i="9"/>
  <c r="M244" i="9"/>
  <c r="M130" i="9"/>
  <c r="B8" i="9"/>
  <c r="E54" i="9"/>
  <c r="D16" i="9" s="1"/>
  <c r="B12" i="9" s="1"/>
  <c r="B14" i="9"/>
  <c r="B16" i="9"/>
  <c r="B6" i="9"/>
  <c r="B3" i="9"/>
  <c r="B13" i="9"/>
  <c r="B9" i="9"/>
  <c r="B7" i="9"/>
  <c r="B10" i="9"/>
  <c r="B5" i="9"/>
  <c r="D206" i="9"/>
  <c r="M206" i="9"/>
  <c r="J282" i="9"/>
  <c r="J244" i="9"/>
  <c r="D130" i="9"/>
  <c r="G54" i="9"/>
  <c r="J168" i="9"/>
  <c r="M168" i="9"/>
  <c r="J206" i="9"/>
  <c r="M92" i="9"/>
  <c r="J92" i="9"/>
  <c r="G244" i="9"/>
  <c r="J130" i="9"/>
  <c r="J54" i="9"/>
  <c r="G168" i="9"/>
  <c r="M282" i="9"/>
  <c r="D92" i="9"/>
  <c r="D244" i="9"/>
  <c r="G130" i="9"/>
  <c r="B15" i="9" l="1"/>
  <c r="B4" i="9"/>
  <c r="B11" i="9"/>
</calcChain>
</file>

<file path=xl/sharedStrings.xml><?xml version="1.0" encoding="utf-8"?>
<sst xmlns="http://schemas.openxmlformats.org/spreadsheetml/2006/main" count="1772" uniqueCount="352">
  <si>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</si>
  <si>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</si>
  <si>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</si>
  <si>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</si>
  <si>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</si>
  <si>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</si>
  <si>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</si>
  <si>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</si>
  <si>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</si>
  <si>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</si>
  <si>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</si>
  <si>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</si>
  <si>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</si>
  <si>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</si>
  <si>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</si>
  <si>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</si>
  <si>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</si>
  <si>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</si>
  <si>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</si>
  <si>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</si>
  <si>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</si>
  <si>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</si>
  <si>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</si>
  <si>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</si>
  <si>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</si>
  <si>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</si>
  <si>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</si>
  <si>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</si>
  <si>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</si>
  <si>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</si>
  <si>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</si>
  <si>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</si>
  <si>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</si>
  <si>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</si>
  <si>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</si>
  <si>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</si>
  <si>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</si>
  <si>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</si>
  <si>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</si>
  <si>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</si>
  <si>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</si>
  <si>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</si>
  <si>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</si>
  <si>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</si>
  <si>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</si>
  <si>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</si>
  <si>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</si>
  <si>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</si>
  <si>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</si>
  <si>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</si>
  <si>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</si>
  <si>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</si>
  <si>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</si>
  <si>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</si>
  <si>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</si>
  <si>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</si>
  <si>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</si>
  <si>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</si>
  <si>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</si>
  <si>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</si>
  <si>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</si>
  <si>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</si>
  <si>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</si>
  <si>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</si>
  <si>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</si>
  <si>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</si>
  <si>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</si>
  <si>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</si>
  <si>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</si>
  <si>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</si>
  <si>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</si>
  <si>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</si>
  <si>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</si>
  <si>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</si>
  <si>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</si>
  <si>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</si>
  <si>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</si>
  <si>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</si>
  <si>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</si>
  <si>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</si>
  <si>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</si>
  <si>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</si>
  <si>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</si>
  <si>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</si>
  <si>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</si>
  <si>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</si>
  <si>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</si>
  <si>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</si>
  <si>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</si>
  <si>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</si>
  <si>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</si>
  <si>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</si>
  <si>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</si>
  <si>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</si>
  <si>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</si>
  <si>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</si>
  <si>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</si>
  <si>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</si>
  <si>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</si>
  <si>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</si>
  <si>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</si>
  <si>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</si>
  <si>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</si>
  <si>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</si>
  <si>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</si>
  <si>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</si>
  <si>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</si>
  <si>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</si>
  <si>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</si>
  <si>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</si>
  <si>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</si>
  <si>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</si>
  <si>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</si>
  <si>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</si>
  <si>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</si>
  <si>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</si>
  <si>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</si>
  <si>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</si>
  <si>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</si>
  <si>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</si>
  <si>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</si>
  <si>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</si>
  <si>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</si>
  <si>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</si>
  <si>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</si>
  <si>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</si>
  <si>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</si>
  <si>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</si>
  <si>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</si>
  <si>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</si>
  <si>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</si>
  <si>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</si>
  <si>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</si>
  <si>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</si>
  <si>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</si>
  <si>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</si>
  <si>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</si>
  <si>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</si>
  <si>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</si>
  <si>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</si>
  <si>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</si>
  <si>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</si>
  <si>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</si>
  <si>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</si>
  <si>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</si>
  <si>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</si>
  <si>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</si>
  <si>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</si>
  <si>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</si>
  <si>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</si>
  <si>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</si>
  <si>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</si>
  <si>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</si>
  <si>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</si>
  <si>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</si>
  <si>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</si>
  <si>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</si>
  <si>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</si>
  <si>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</si>
  <si>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</si>
  <si>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</si>
  <si>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</si>
  <si>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</si>
  <si>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</si>
  <si>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</si>
  <si>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</si>
  <si>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</si>
  <si>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</si>
  <si>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</si>
  <si>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</si>
  <si>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</si>
  <si>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</si>
  <si>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</si>
  <si>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</si>
  <si>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</si>
  <si>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</si>
  <si>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</si>
  <si>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</si>
  <si>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</si>
  <si>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</si>
  <si>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</si>
  <si>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</si>
  <si>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</si>
  <si>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</si>
  <si>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</si>
  <si>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</si>
  <si>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</si>
  <si>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</si>
  <si>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</si>
  <si>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</si>
  <si>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</si>
  <si>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</si>
  <si>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</si>
  <si>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</si>
  <si>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</si>
  <si>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</si>
  <si>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</si>
  <si>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</si>
  <si>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</si>
  <si>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</si>
  <si>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</si>
  <si>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</si>
  <si>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</si>
  <si>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</si>
  <si>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</si>
  <si>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</si>
  <si>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</si>
  <si>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</si>
  <si>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</si>
  <si>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</si>
  <si>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</si>
  <si>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</si>
  <si>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</si>
  <si>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</si>
  <si>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</si>
  <si>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</si>
  <si>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</si>
  <si>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</si>
  <si>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</si>
  <si>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</si>
  <si>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</si>
  <si>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</si>
  <si>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</si>
  <si>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</si>
  <si>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</si>
  <si>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</si>
  <si>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</si>
  <si>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</si>
  <si>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</si>
  <si>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</si>
  <si>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</si>
  <si>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</si>
  <si>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</si>
  <si>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</si>
  <si>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</si>
  <si>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</si>
  <si>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</si>
  <si>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</si>
  <si>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</si>
  <si>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</si>
  <si>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</si>
  <si>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</si>
  <si>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</si>
  <si>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</si>
  <si>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</si>
  <si>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</si>
  <si>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</si>
  <si>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</si>
  <si>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</si>
  <si>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</si>
  <si>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</si>
  <si>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</si>
  <si>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</si>
  <si>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</si>
  <si>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</si>
  <si>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</si>
  <si>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</si>
  <si>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</si>
  <si>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</si>
  <si>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</si>
  <si>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</si>
  <si>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</si>
  <si>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</si>
  <si>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</si>
  <si>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</si>
  <si>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</si>
  <si>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</si>
  <si>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</si>
  <si>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</si>
  <si>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</si>
  <si>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</si>
  <si>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</si>
  <si>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</si>
  <si>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</si>
  <si>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</si>
  <si>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</si>
  <si>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</si>
  <si>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</si>
  <si>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</si>
  <si>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</si>
  <si>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</si>
  <si>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</si>
  <si>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</si>
  <si>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</si>
  <si>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</si>
  <si>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</si>
  <si>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</si>
  <si>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</si>
  <si>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</si>
  <si>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</si>
  <si>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</si>
  <si>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</si>
  <si>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</si>
  <si>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</si>
  <si>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</si>
  <si>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</si>
  <si>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</si>
  <si>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</si>
  <si>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</si>
  <si>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</si>
  <si>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</si>
  <si>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</si>
  <si>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</si>
  <si>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</si>
  <si>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</si>
  <si>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</si>
  <si>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</si>
  <si>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</si>
  <si>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</si>
  <si>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</si>
  <si>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</si>
  <si>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</si>
  <si>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</si>
  <si>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</si>
  <si>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</si>
  <si>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</si>
  <si>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KRW-HIFI</t>
  </si>
  <si>
    <t>하이파이</t>
  </si>
  <si>
    <t>KRW-GMT</t>
  </si>
  <si>
    <t>스테픈</t>
  </si>
  <si>
    <t>KRW-POLYX</t>
  </si>
  <si>
    <t>폴리매쉬</t>
  </si>
  <si>
    <t>KRW-XEC</t>
  </si>
  <si>
    <t>이캐시</t>
  </si>
  <si>
    <t>크로노스</t>
  </si>
  <si>
    <t>KRW-ALGO</t>
  </si>
  <si>
    <t>알고랜드</t>
  </si>
  <si>
    <t>KRW-APT</t>
  </si>
  <si>
    <t>앱토스</t>
  </si>
  <si>
    <t>헤데라</t>
  </si>
  <si>
    <t>솔라</t>
  </si>
  <si>
    <t>KRW-1INCH</t>
  </si>
  <si>
    <t>1인치네트워크</t>
  </si>
  <si>
    <t>썬더코어</t>
  </si>
  <si>
    <t>KRW-NEAR</t>
  </si>
  <si>
    <t>니어프로토콜</t>
  </si>
  <si>
    <t>KRW-AAVE</t>
  </si>
  <si>
    <t>에이브</t>
  </si>
  <si>
    <t>KRW-MATIC</t>
  </si>
  <si>
    <t>폴리곤</t>
  </si>
  <si>
    <t>KRW-CELO</t>
  </si>
  <si>
    <t>셀로</t>
  </si>
  <si>
    <t>KRW-SOL</t>
  </si>
  <si>
    <t>솔라나</t>
  </si>
  <si>
    <t>KRW-NU</t>
  </si>
  <si>
    <t>누사이퍼</t>
  </si>
  <si>
    <t>KRW-AVAX</t>
  </si>
  <si>
    <t>아발란체</t>
  </si>
  <si>
    <t>KRW-T</t>
  </si>
  <si>
    <t>쓰레스홀드</t>
  </si>
  <si>
    <t>아이큐</t>
  </si>
  <si>
    <t>2023.01.01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</si>
</sst>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8646BE4A-C056-4ED6-9589-7976A0107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A3715E75-2B3F-4FAC-8935-17558BA62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3A8AF2CB-0B42-4ADA-95EB-9EB521852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B50C93BF-F0CF-4FC2-A54C-D305E0930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EF53A7C5-1D76-492F-93A7-A392DEA0C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3AA460EC-30A0-43DF-AD15-FA164E602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A7EB3CB-160A-415C-B094-59D01301B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D9D4167C-6369-4E04-A1B0-0D2C4B2FE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287E3252-FCAF-42C3-9940-4E05ADFFB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51EA4E00-8F9A-4D63-85EE-16F188BEC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10A5ED4-B2EA-45FB-87D2-AD3B716C7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1D6D6055-CB03-42A6-A1D2-0C3A27897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3A3FB01C-A698-4F7F-AA1B-02C7E8B5F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DA97F163-95AD-4737-9395-B1E037AF6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91F079E9-AAFB-4037-9395-271586FEA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E7A1EBBE-2BC9-4B6E-BAB8-6691CE282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CA89C97B-236C-41A2-BC77-A055A8294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B52E2BD9-D407-4F32-AA7C-B81A25B84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7FB23B4A-F54E-41EE-811D-063B26F84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70EE1B5C-A459-4854-B24E-DF81F49C7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6B505855-9F64-4ADC-AAE6-114963A94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B5E1D579-0BE2-4969-A0D3-6C26BB3A1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A5401155-D5A4-4EAC-85D9-32DDB0D79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64087C5E-AF12-47C4-B3D8-F4A7F9F9C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F01DB3E3-C728-4276-985C-9AA652595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11249249-9EF5-4F90-AADE-D7FE14B13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FA806E74-DFAD-4236-8BB9-A272E476D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55208F64-4752-495D-B9AE-938E00673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6A395716-44DE-42B2-BF1A-5CCF611C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18D2B911-6376-4D89-B82A-6C0823771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D1285326-3572-421C-A68C-FFD00BF14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82D26338-023C-4317-B9E7-E4473DE6D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1CED3DDA-8AC7-4711-A83C-A65BA5A97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C9E0332A-600B-47DD-A7BD-D3B47B323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3E30458-0D6F-49CB-983A-6915911D9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FB4652D5-ECF5-495C-9EF5-78DB6E51D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25CCDD45-0323-49FB-AFCB-95168A3E7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C7F97081-FE33-4EBF-A666-BEA10534B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E27E1CF4-D0F0-4EA7-8BA3-6244B14B2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60D1CB34-1A0E-4752-B312-51B0C5680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94AD434A-078C-4708-9595-05F09597C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A429228C-CC44-4E45-BEC2-9E51AB59E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2810D7BA-F3A2-4B2F-AA2A-2D295C821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606707BD-CAA0-48DA-9D6F-D64282919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533F7896-082F-4788-A9E6-7A64932F0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754EF61D-00F5-4A3A-89DD-C0BCF961D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2AF6A3DE-7770-40C0-AFB9-59E436FF7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4E5D523E-4483-4B09-8207-14E75F760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6581372B-79DE-45C1-B11C-29656AD5A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BFD64982-DBB9-4984-9776-9431E3FB8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BF323078-64CE-4191-9717-D2B9AEE54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ECC88160-2CE6-4A0F-B413-A3E749209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2F21494D-5070-4E66-8BF1-6E18955F2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9A2D0E92-A2E7-40BD-BED8-B54BA4CF1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CFA87BA4-F6B8-4AE9-B1BE-5403C1A00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B94DF5D1-9295-4364-A399-64C0631BC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218AEDBE-10A4-4DB8-8AB1-9B96AF2FB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A7CC2F36-619C-446A-B80E-377296FE6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B78E5FF1-C29E-42F1-B5B2-DE65BEB88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1F882C6A-BEB1-4FDD-B9CE-1EB698227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9EA077BB-491E-4FC3-90EF-75418E397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555675EE-4AAF-47A5-B9A6-9CFFD8AC9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F0D11A41-ED66-48F8-893B-E58101B39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98F12EB0-BE9B-4207-99AF-23E142022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8D2D5BA8-85F6-4080-8182-BAF25076F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314631F4-AD12-4705-A92B-D6A80BD08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1ABE1C31-FC7F-450B-AE2B-E7D96664C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8263C859-9349-4187-BDB6-4A9326537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2A67E03-5EE0-4DED-AA2C-7F87A3406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512851CC-AEAC-4D23-8FD0-CF7B900DD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67AC1768-1991-47D4-984F-3E928184B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7112A38A-1D9F-42F6-B707-C399F0680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F23815BD-5C02-4C46-AA75-4EB40674F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C0D4458B-A165-4A81-9194-54A1407D5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458A47DF-D526-407E-B7F6-18264B771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CC0CB1C5-27B1-4B9B-96A1-3E541768C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43C3A370-3114-4811-BB1B-383D580AB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C5D113A4-1FE0-4162-9702-6B284E55D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D1BAB7F7-7828-4249-931E-459D200F3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895FEBA8-FA9A-4420-AA88-8D2DD4DAE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7C715D00-3519-4061-B441-B79127EDF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8B287CD7-28B8-41CE-9F8F-1D55A63F3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DF79124-20F2-42EC-92FA-C4EF7C582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DC88E4A3-A651-4722-9729-4DB4DD4EC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F8B2E372-DBF4-4BA4-9364-7E5496F1E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4C65E549-7A7E-46D0-A4C5-FFACC1DD0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49B60087-50A2-4B32-AF0C-6F7377CD3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A76E3962-3727-45DD-9944-2B79D6B44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BB32E1D7-B45F-4218-8777-BA2E2BEAD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57789068-C5B0-4579-8A14-DE43B1DB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A9326330-9572-433F-834C-1B6F56C59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2A0E3D98-78CE-4B7B-B1C4-757788812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153670C5-E15F-45BD-8A23-B816051AD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3A71C1D2-A00C-4F7B-BCD4-6B2819C9D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BEF8DE02-18D2-4FA3-B522-D270AD015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53C1FA65-8F50-4445-B8DB-1C29E9275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EF208575-A88F-4AC5-A0AF-3D1432E17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D8E8DB83-19D7-455D-89FC-EB2486EC7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242499A4-FEF4-470A-9B11-5684EA7F3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D8F377F7-C51E-4087-B2FE-2179FFC6C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68C114BA-63D7-4176-A0FC-D9FB262DC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6C1DD5B6-772D-400F-84F6-7633574B5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93D60566-F1A2-4DEC-B86D-A4244776F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9C16B171-ABB1-4125-A41E-641ED4B3B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2671CF60-F142-4DD9-B9A6-D0EA8C3DD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40E9ED74-7736-474B-A8B7-A0CEE78E9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1FF525-2277-404D-9A15-93659DB18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AE3EF766-883D-4308-855B-F819029E7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E2147565-FF92-4FA1-B7FF-643867977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EDC7EFAE-36E9-420E-8159-042786BAC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B14113A4-0DC0-4C76-9C34-32E9658E7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7702F4E1-C14C-4FF0-8DD4-062DF6896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A005FFFA-06E6-4FCD-B846-27C545AE8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2BF57475-41BD-48DA-A78B-274B7BBBF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8A337AC6-06D7-4B5D-BD1E-864400416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4EB6D6C-9329-4AB0-85C1-7F5CAAE74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E623CE16-5409-480A-82BB-BF98CF61F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37BBD3DF-A940-4CF8-96AD-0FC6D7497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1B8BA705-6B94-4E0E-9194-A9C700833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5FA61F08-3A94-4189-8614-C6D647922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C19A947F-4231-4023-B1B5-822AB4BC1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8D45BABD-1EBA-426E-8DA5-3B57293C5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E664F382-8D92-4AAF-907E-BB13CB050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58C36531-CD62-41A5-B279-51E463F75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CAA9EE0F-7164-4248-BDEC-034FA7C72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3DFDB829-7494-4E0A-89F3-B7245EE58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2396A04E-A301-457C-B5CC-48B96B098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2C9ABD1A-3280-4551-B94C-0DA65DE3B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35131F3A-9781-43C2-9C35-8182FAA85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5895D19F-F1E5-437E-B3D0-27A92E61B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1FDCB935-4D07-49C1-9E0F-903DBF97C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1F9A494A-7536-493B-8C34-D2D49ADCC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744117B6-DF88-438A-8529-CC0D4411C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B12AAEE3-1453-483D-BE6D-9BF4034C4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378552B7-F9A7-4F1D-A8E2-2E5DE8A13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142184B0-3DE3-47F2-B677-F286C85A7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1EF5895D-0D52-4700-98BF-D23103788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AC98C11C-4260-42EC-9080-3390B1023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128437CA-059C-4630-B298-A4EF9BF4A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DCDE880C-86BD-44D5-90C6-119841A3A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44287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35" t="s">
        <v>27</v>
      </c>
      <c r="R8" s="137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 t="s">
        <v>250</v>
      </c>
      <c r="L9" s="148"/>
      <c r="M9" s="148"/>
      <c r="N9" s="148"/>
      <c r="O9" s="149"/>
      <c r="Q9" s="2" t="s">
        <v>29</v>
      </c>
      <c r="R9" s="6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7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/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21085000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2.8464350000000001E-4</v>
      </c>
      <c r="N14" s="166"/>
      <c r="O14" s="167"/>
      <c r="Q14" s="156"/>
      <c r="R14" s="156"/>
      <c r="S14" s="156"/>
    </row>
    <row r="15" spans="1:19" ht="17.25" customHeight="1" thickBot="1">
      <c r="A15" s="157" t="s">
        <v>39</v>
      </c>
      <c r="B15" s="168" t="str">
        <f>TEXT($G$1, "[$-ko-KR]yyyy-mm-dd(ddd) ") &amp; "오전 00:00"</f>
        <v>2021-04-01(목) 오전 00:00</v>
      </c>
      <c r="C15" s="169"/>
      <c r="D15" s="158" t="str">
        <f>TEXT($G$1, "[$-ko-KR]yyyy-mm-dd(ddd) ") &amp; "오후 14:00"</f>
        <v>2021-04-01(목) 오후 14:00</v>
      </c>
      <c r="E15" s="159"/>
      <c r="F15" s="160"/>
      <c r="G15" s="158" t="str">
        <f>TEXT($G$1, "[$-ko-KR]yyyy-mm-dd(ddd) ") &amp; "오후 19:00"</f>
        <v>2021-04-01(목) 오후 19:00</v>
      </c>
      <c r="H15" s="159"/>
      <c r="I15" s="160"/>
      <c r="J15" s="158" t="str">
        <f>TEXT($G$1, "[$-ko-KR]yyyy-mm-dd(ddd) ") &amp; "오후 21:00"</f>
        <v>2021-04-01(목) 오후 21:00</v>
      </c>
      <c r="K15" s="159"/>
      <c r="L15" s="160"/>
      <c r="M15" s="158" t="str">
        <f>TEXT($G$1+1, "[$-ko-KR]yyyy-mm-dd(ddd) ") &amp; "오전 00:00"</f>
        <v>2021-04-02(금) 오전 00:00</v>
      </c>
      <c r="N15" s="159"/>
      <c r="O15" s="160"/>
      <c r="Q15" s="156"/>
      <c r="R15" s="156"/>
      <c r="S15" s="156"/>
    </row>
    <row r="16" spans="1:19" ht="17.25" customHeight="1" thickBot="1">
      <c r="A16" s="15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21085000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2.8464350000000001E-4</v>
      </c>
      <c r="N41" s="166"/>
      <c r="O41" s="167"/>
      <c r="Q41" s="156"/>
      <c r="R41" s="156"/>
      <c r="S41" s="156"/>
    </row>
    <row r="42" spans="1:19" ht="17.25" customHeight="1" thickBot="1">
      <c r="A42" s="179" t="s">
        <v>54</v>
      </c>
      <c r="B42" s="181" t="str">
        <f>TEXT($G$1, "[$-ko-KR]yyyy-mm-dd(ddd) ") &amp; "오전 00:00"</f>
        <v>2021-04-01(목) 오전 00:00</v>
      </c>
      <c r="C42" s="182"/>
      <c r="D42" s="158" t="str">
        <f>TEXT($G$1, "[$-ko-KR]yyyy-mm-dd(ddd) ") &amp; "오후 14:00"</f>
        <v>2021-04-01(목) 오후 14:00</v>
      </c>
      <c r="E42" s="159"/>
      <c r="F42" s="160"/>
      <c r="G42" s="158" t="str">
        <f>TEXT($G$1, "[$-ko-KR]yyyy-mm-dd(ddd) ") &amp; "오후 19:00"</f>
        <v>2021-04-01(목) 오후 19:00</v>
      </c>
      <c r="H42" s="159"/>
      <c r="I42" s="160"/>
      <c r="J42" s="158" t="str">
        <f>TEXT($G$1, "[$-ko-KR]yyyy-mm-dd(ddd) ") &amp; "오후 21:00"</f>
        <v>2021-04-01(목) 오후 21:00</v>
      </c>
      <c r="K42" s="159"/>
      <c r="L42" s="160"/>
      <c r="M42" s="158" t="str">
        <f>TEXT($G$1+1, "[$-ko-KR]yyyy-mm-dd(ddd) ") &amp; "오전 00:00"</f>
        <v>2021-04-02(금) 오전 00:00</v>
      </c>
      <c r="N42" s="159"/>
      <c r="O42" s="160"/>
      <c r="Q42" s="156"/>
      <c r="R42" s="156"/>
      <c r="S42" s="156"/>
    </row>
    <row r="43" spans="1:19" ht="17.25" customHeight="1" thickBot="1">
      <c r="A43" s="180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257</v>
      </c>
      <c r="B64" s="192">
        <f>$B$37</f>
        <v>300000</v>
      </c>
      <c r="C64" s="193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21085000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2.8464350000000001E-4</v>
      </c>
      <c r="N68" s="166"/>
      <c r="O68" s="167"/>
      <c r="Q68" s="156"/>
      <c r="R68" s="156"/>
      <c r="S68" s="156"/>
    </row>
    <row r="69" spans="1:19" ht="17.25" thickBot="1">
      <c r="A69" s="179" t="s">
        <v>54</v>
      </c>
      <c r="B69" s="181" t="str">
        <f>TEXT($G$1, "[$-ko-KR]yyyy-mm-dd(ddd) ") &amp; "오전 00:00"</f>
        <v>2021-04-01(목) 오전 00:00</v>
      </c>
      <c r="C69" s="182"/>
      <c r="D69" s="158" t="str">
        <f>TEXT($G$1, "[$-ko-KR]yyyy-mm-dd(ddd) ") &amp; "오후 14:00"</f>
        <v>2021-04-01(목) 오후 14:00</v>
      </c>
      <c r="E69" s="159"/>
      <c r="F69" s="160"/>
      <c r="G69" s="158" t="str">
        <f>TEXT($G$1, "[$-ko-KR]yyyy-mm-dd(ddd) ") &amp; "오후 19:00"</f>
        <v>2021-04-01(목) 오후 19:00</v>
      </c>
      <c r="H69" s="159"/>
      <c r="I69" s="160"/>
      <c r="J69" s="158" t="str">
        <f>TEXT($G$1, "[$-ko-KR]yyyy-mm-dd(ddd) ") &amp; "오후 21:00"</f>
        <v>2021-04-01(목) 오후 21:00</v>
      </c>
      <c r="K69" s="159"/>
      <c r="L69" s="160"/>
      <c r="M69" s="158" t="str">
        <f>TEXT($G$1+1, "[$-ko-KR]yyyy-mm-dd(ddd) ") &amp; "오전 00:00"</f>
        <v>2021-04-02(금) 오전 00:00</v>
      </c>
      <c r="N69" s="159"/>
      <c r="O69" s="160"/>
      <c r="Q69" s="156"/>
      <c r="R69" s="156"/>
      <c r="S69" s="156"/>
    </row>
    <row r="70" spans="1:19" ht="17.25" thickBot="1">
      <c r="A70" s="180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26" t="s">
        <v>257</v>
      </c>
      <c r="B91" s="192">
        <f>$B$37</f>
        <v>300000</v>
      </c>
      <c r="C91" s="193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21085000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2.8464350000000001E-4</v>
      </c>
      <c r="N95" s="166"/>
      <c r="O95" s="167"/>
      <c r="Q95" s="156"/>
      <c r="R95" s="156"/>
      <c r="S95" s="156"/>
    </row>
    <row r="96" spans="1:19" ht="17.25" thickBot="1">
      <c r="A96" s="179" t="s">
        <v>54</v>
      </c>
      <c r="B96" s="181" t="str">
        <f>TEXT($G$1, "[$-ko-KR]yyyy-mm-dd(ddd) ") &amp; "오전 00:00"</f>
        <v>2021-04-01(목) 오전 00:00</v>
      </c>
      <c r="C96" s="182"/>
      <c r="D96" s="158" t="str">
        <f>TEXT($G$1, "[$-ko-KR]yyyy-mm-dd(ddd) ") &amp; "오후 14:00"</f>
        <v>2021-04-01(목) 오후 14:00</v>
      </c>
      <c r="E96" s="159"/>
      <c r="F96" s="160"/>
      <c r="G96" s="158" t="str">
        <f>TEXT($G$1, "[$-ko-KR]yyyy-mm-dd(ddd) ") &amp; "오후 19:00"</f>
        <v>2021-04-01(목) 오후 19:00</v>
      </c>
      <c r="H96" s="159"/>
      <c r="I96" s="160"/>
      <c r="J96" s="158" t="str">
        <f>TEXT($G$1, "[$-ko-KR]yyyy-mm-dd(ddd) ") &amp; "오후 21:00"</f>
        <v>2021-04-01(목) 오후 21:00</v>
      </c>
      <c r="K96" s="159"/>
      <c r="L96" s="160"/>
      <c r="M96" s="158" t="str">
        <f>TEXT($G$1+1, "[$-ko-KR]yyyy-mm-dd(ddd) ") &amp; "오전 00:00"</f>
        <v>2021-04-02(금) 오전 00:00</v>
      </c>
      <c r="N96" s="159"/>
      <c r="O96" s="160"/>
      <c r="Q96" s="156"/>
      <c r="R96" s="156"/>
      <c r="S96" s="156"/>
    </row>
    <row r="97" spans="1:19" ht="17.25" thickBot="1">
      <c r="A97" s="180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26" t="s">
        <v>257</v>
      </c>
      <c r="B118" s="192">
        <f>$B$37</f>
        <v>300000</v>
      </c>
      <c r="C118" s="193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21085000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2.8464350000000001E-4</v>
      </c>
      <c r="N122" s="166"/>
      <c r="O122" s="167"/>
      <c r="Q122" s="156"/>
      <c r="R122" s="156"/>
      <c r="S122" s="156"/>
    </row>
    <row r="123" spans="1:19" ht="17.25" thickBot="1">
      <c r="A123" s="179" t="s">
        <v>54</v>
      </c>
      <c r="B123" s="181" t="str">
        <f>TEXT($G$1, "[$-ko-KR]yyyy-mm-dd(ddd) ") &amp; "오전 00:00"</f>
        <v>2021-04-01(목) 오전 00:00</v>
      </c>
      <c r="C123" s="182"/>
      <c r="D123" s="158" t="str">
        <f>TEXT($G$1, "[$-ko-KR]yyyy-mm-dd(ddd) ") &amp; "오후 14:00"</f>
        <v>2021-04-01(목) 오후 14:00</v>
      </c>
      <c r="E123" s="159"/>
      <c r="F123" s="160"/>
      <c r="G123" s="158" t="str">
        <f>TEXT($G$1, "[$-ko-KR]yyyy-mm-dd(ddd) ") &amp; "오후 19:00"</f>
        <v>2021-04-01(목) 오후 19:00</v>
      </c>
      <c r="H123" s="159"/>
      <c r="I123" s="160"/>
      <c r="J123" s="158" t="str">
        <f>TEXT($G$1, "[$-ko-KR]yyyy-mm-dd(ddd) ") &amp; "오후 21:00"</f>
        <v>2021-04-01(목) 오후 21:00</v>
      </c>
      <c r="K123" s="159"/>
      <c r="L123" s="160"/>
      <c r="M123" s="158" t="str">
        <f>TEXT($G$1+1, "[$-ko-KR]yyyy-mm-dd(ddd) ") &amp; "오전 00:00"</f>
        <v>2021-04-02(금) 오전 00:00</v>
      </c>
      <c r="N123" s="159"/>
      <c r="O123" s="160"/>
      <c r="Q123" s="156"/>
      <c r="R123" s="156"/>
      <c r="S123" s="156"/>
    </row>
    <row r="124" spans="1:19" ht="17.25" thickBot="1">
      <c r="A124" s="180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257</v>
      </c>
      <c r="B145" s="192">
        <f>$B$37</f>
        <v>300000</v>
      </c>
      <c r="C145" s="193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21085000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2.8464350000000001E-4</v>
      </c>
      <c r="N149" s="166"/>
      <c r="O149" s="167"/>
      <c r="Q149" s="156"/>
      <c r="R149" s="156"/>
      <c r="S149" s="156"/>
    </row>
    <row r="150" spans="1:19" ht="17.25" thickBot="1">
      <c r="A150" s="179" t="s">
        <v>54</v>
      </c>
      <c r="B150" s="181" t="str">
        <f>TEXT($G$1, "[$-ko-KR]yyyy-mm-dd(ddd) ") &amp; "오전 00:00"</f>
        <v>2021-04-01(목) 오전 00:00</v>
      </c>
      <c r="C150" s="182"/>
      <c r="D150" s="158" t="str">
        <f>TEXT($G$1, "[$-ko-KR]yyyy-mm-dd(ddd) ") &amp; "오후 14:00"</f>
        <v>2021-04-01(목) 오후 14:00</v>
      </c>
      <c r="E150" s="159"/>
      <c r="F150" s="160"/>
      <c r="G150" s="158" t="str">
        <f>TEXT($G$1, "[$-ko-KR]yyyy-mm-dd(ddd) ") &amp; "오후 19:00"</f>
        <v>2021-04-01(목) 오후 19:00</v>
      </c>
      <c r="H150" s="159"/>
      <c r="I150" s="160"/>
      <c r="J150" s="158" t="str">
        <f>TEXT($G$1, "[$-ko-KR]yyyy-mm-dd(ddd) ") &amp; "오후 21:00"</f>
        <v>2021-04-01(목) 오후 21:00</v>
      </c>
      <c r="K150" s="159"/>
      <c r="L150" s="160"/>
      <c r="M150" s="158" t="str">
        <f>TEXT($G$1+1, "[$-ko-KR]yyyy-mm-dd(ddd) ") &amp; "오전 00:00"</f>
        <v>2021-04-02(금) 오전 00:00</v>
      </c>
      <c r="N150" s="159"/>
      <c r="O150" s="160"/>
      <c r="Q150" s="156"/>
      <c r="R150" s="156"/>
      <c r="S150" s="156"/>
    </row>
    <row r="151" spans="1:19" ht="17.25" thickBot="1">
      <c r="A151" s="180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26" t="s">
        <v>257</v>
      </c>
      <c r="B172" s="192">
        <f>$B$37</f>
        <v>300000</v>
      </c>
      <c r="C172" s="193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21085000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2.8464350000000001E-4</v>
      </c>
      <c r="N176" s="166"/>
      <c r="O176" s="167"/>
      <c r="Q176" s="156"/>
      <c r="R176" s="156"/>
      <c r="S176" s="156"/>
    </row>
    <row r="177" spans="1:19" ht="17.25" thickBot="1">
      <c r="A177" s="179" t="s">
        <v>54</v>
      </c>
      <c r="B177" s="181" t="str">
        <f>TEXT($G$1, "[$-ko-KR]yyyy-mm-dd(ddd) ") &amp; "오전 00:00"</f>
        <v>2021-04-01(목) 오전 00:00</v>
      </c>
      <c r="C177" s="182"/>
      <c r="D177" s="158" t="str">
        <f>TEXT($G$1, "[$-ko-KR]yyyy-mm-dd(ddd) ") &amp; "오후 14:00"</f>
        <v>2021-04-01(목) 오후 14:00</v>
      </c>
      <c r="E177" s="159"/>
      <c r="F177" s="160"/>
      <c r="G177" s="158" t="str">
        <f>TEXT($G$1, "[$-ko-KR]yyyy-mm-dd(ddd) ") &amp; "오후 19:00"</f>
        <v>2021-04-01(목) 오후 19:00</v>
      </c>
      <c r="H177" s="159"/>
      <c r="I177" s="160"/>
      <c r="J177" s="158" t="str">
        <f>TEXT($G$1, "[$-ko-KR]yyyy-mm-dd(ddd) ") &amp; "오후 21:00"</f>
        <v>2021-04-01(목) 오후 21:00</v>
      </c>
      <c r="K177" s="159"/>
      <c r="L177" s="160"/>
      <c r="M177" s="158" t="str">
        <f>TEXT($G$1+1, "[$-ko-KR]yyyy-mm-dd(ddd) ") &amp; "오전 00:00"</f>
        <v>2021-04-02(금) 오전 00:00</v>
      </c>
      <c r="N177" s="159"/>
      <c r="O177" s="160"/>
      <c r="Q177" s="156"/>
      <c r="R177" s="156"/>
      <c r="S177" s="156"/>
    </row>
    <row r="178" spans="1:19" ht="17.25" thickBot="1">
      <c r="A178" s="180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26" t="s">
        <v>257</v>
      </c>
      <c r="B199" s="192">
        <f>$B$37</f>
        <v>300000</v>
      </c>
      <c r="C199" s="193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44927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21085000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2.8464350000000001E-4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2023-01-01(일) 오전 00:00</v>
      </c>
      <c r="C15" s="202"/>
      <c r="D15" s="158" t="str">
        <f>TEXT($G$1, "[$-ko-KR]yyyy-mm-dd(ddd) ") &amp; "오후 14:00"</f>
        <v>2023-01-01(일) 오후 14:00</v>
      </c>
      <c r="E15" s="159"/>
      <c r="F15" s="160"/>
      <c r="G15" s="158" t="str">
        <f>TEXT($G$1, "[$-ko-KR]yyyy-mm-dd(ddd) ") &amp; "오후 19:00"</f>
        <v>2023-01-01(일) 오후 19:00</v>
      </c>
      <c r="H15" s="159"/>
      <c r="I15" s="160"/>
      <c r="J15" s="158" t="str">
        <f>TEXT($G$1, "[$-ko-KR]yyyy-mm-dd(ddd) ") &amp; "오후 21:00"</f>
        <v>2023-01-01(일) 오후 21:00</v>
      </c>
      <c r="K15" s="159"/>
      <c r="L15" s="160"/>
      <c r="M15" s="158" t="str">
        <f>TEXT($G$1+1, "[$-ko-KR]yyyy-mm-dd(ddd) ") &amp; "오전 00:00"</f>
        <v>2023-01-02(월)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21085000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2.8464350000000001E-4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2023-01-01(일) 오전 00:00</v>
      </c>
      <c r="C42" s="199"/>
      <c r="D42" s="158" t="str">
        <f>TEXT($G$1, "[$-ko-KR]yyyy-mm-dd(ddd) ") &amp; "오후 14:00"</f>
        <v>2023-01-01(일) 오후 14:00</v>
      </c>
      <c r="E42" s="159"/>
      <c r="F42" s="160"/>
      <c r="G42" s="158" t="str">
        <f>TEXT($G$1, "[$-ko-KR]yyyy-mm-dd(ddd) ") &amp; "오후 19:00"</f>
        <v>2023-01-01(일) 오후 19:00</v>
      </c>
      <c r="H42" s="159"/>
      <c r="I42" s="160"/>
      <c r="J42" s="158" t="str">
        <f>TEXT($G$1, "[$-ko-KR]yyyy-mm-dd(ddd) ") &amp; "오후 21:00"</f>
        <v>2023-01-01(일) 오후 21:00</v>
      </c>
      <c r="K42" s="159"/>
      <c r="L42" s="160"/>
      <c r="M42" s="158" t="str">
        <f>TEXT($G$1+1, "[$-ko-KR]yyyy-mm-dd(ddd) ") &amp; "오전 00:00"</f>
        <v>2023-01-02(월)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21085000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2.8464350000000001E-4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2023-01-01(일) 오전 00:00</v>
      </c>
      <c r="C69" s="199"/>
      <c r="D69" s="158" t="str">
        <f>TEXT($G$1, "[$-ko-KR]yyyy-mm-dd(ddd) ") &amp; "오후 14:00"</f>
        <v>2023-01-01(일) 오후 14:00</v>
      </c>
      <c r="E69" s="159"/>
      <c r="F69" s="160"/>
      <c r="G69" s="158" t="str">
        <f>TEXT($G$1, "[$-ko-KR]yyyy-mm-dd(ddd) ") &amp; "오후 19:00"</f>
        <v>2023-01-01(일) 오후 19:00</v>
      </c>
      <c r="H69" s="159"/>
      <c r="I69" s="160"/>
      <c r="J69" s="158" t="str">
        <f>TEXT($G$1, "[$-ko-KR]yyyy-mm-dd(ddd) ") &amp; "오후 21:00"</f>
        <v>2023-01-01(일) 오후 21:00</v>
      </c>
      <c r="K69" s="159"/>
      <c r="L69" s="160"/>
      <c r="M69" s="158" t="str">
        <f>TEXT($G$1+1, "[$-ko-KR]yyyy-mm-dd(ddd) ") &amp; "오전 00:00"</f>
        <v>2023-01-02(월)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21085000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2.8464350000000001E-4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2023-01-01(일) 오전 00:00</v>
      </c>
      <c r="C96" s="199"/>
      <c r="D96" s="158" t="str">
        <f>TEXT($G$1, "[$-ko-KR]yyyy-mm-dd(ddd) ") &amp; "오후 14:00"</f>
        <v>2023-01-01(일) 오후 14:00</v>
      </c>
      <c r="E96" s="159"/>
      <c r="F96" s="160"/>
      <c r="G96" s="158" t="str">
        <f>TEXT($G$1, "[$-ko-KR]yyyy-mm-dd(ddd) ") &amp; "오후 19:00"</f>
        <v>2023-01-01(일) 오후 19:00</v>
      </c>
      <c r="H96" s="159"/>
      <c r="I96" s="160"/>
      <c r="J96" s="158" t="str">
        <f>TEXT($G$1, "[$-ko-KR]yyyy-mm-dd(ddd) ") &amp; "오후 21:00"</f>
        <v>2023-01-01(일) 오후 21:00</v>
      </c>
      <c r="K96" s="159"/>
      <c r="L96" s="160"/>
      <c r="M96" s="158" t="str">
        <f>TEXT($G$1+1, "[$-ko-KR]yyyy-mm-dd(ddd) ") &amp; "오전 00:00"</f>
        <v>2023-01-02(월)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21085000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2.8464350000000001E-4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2023-01-01(일) 오전 00:00</v>
      </c>
      <c r="C123" s="199"/>
      <c r="D123" s="158" t="str">
        <f>TEXT($G$1, "[$-ko-KR]yyyy-mm-dd(ddd) ") &amp; "오후 14:00"</f>
        <v>2023-01-01(일) 오후 14:00</v>
      </c>
      <c r="E123" s="159"/>
      <c r="F123" s="160"/>
      <c r="G123" s="158" t="str">
        <f>TEXT($G$1, "[$-ko-KR]yyyy-mm-dd(ddd) ") &amp; "오후 19:00"</f>
        <v>2023-01-01(일) 오후 19:00</v>
      </c>
      <c r="H123" s="159"/>
      <c r="I123" s="160"/>
      <c r="J123" s="158" t="str">
        <f>TEXT($G$1, "[$-ko-KR]yyyy-mm-dd(ddd) ") &amp; "오후 21:00"</f>
        <v>2023-01-01(일) 오후 21:00</v>
      </c>
      <c r="K123" s="159"/>
      <c r="L123" s="160"/>
      <c r="M123" s="158" t="str">
        <f>TEXT($G$1+1, "[$-ko-KR]yyyy-mm-dd(ddd) ") &amp; "오전 00:00"</f>
        <v>2023-01-02(월)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21085000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2.8464350000000001E-4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2023-01-01(일) 오전 00:00</v>
      </c>
      <c r="C150" s="199"/>
      <c r="D150" s="158" t="str">
        <f>TEXT($G$1, "[$-ko-KR]yyyy-mm-dd(ddd) ") &amp; "오후 14:00"</f>
        <v>2023-01-01(일) 오후 14:00</v>
      </c>
      <c r="E150" s="159"/>
      <c r="F150" s="160"/>
      <c r="G150" s="158" t="str">
        <f>TEXT($G$1, "[$-ko-KR]yyyy-mm-dd(ddd) ") &amp; "오후 19:00"</f>
        <v>2023-01-01(일) 오후 19:00</v>
      </c>
      <c r="H150" s="159"/>
      <c r="I150" s="160"/>
      <c r="J150" s="158" t="str">
        <f>TEXT($G$1, "[$-ko-KR]yyyy-mm-dd(ddd) ") &amp; "오후 21:00"</f>
        <v>2023-01-01(일) 오후 21:00</v>
      </c>
      <c r="K150" s="159"/>
      <c r="L150" s="160"/>
      <c r="M150" s="158" t="str">
        <f>TEXT($G$1+1, "[$-ko-KR]yyyy-mm-dd(ddd) ") &amp; "오전 00:00"</f>
        <v>2023-01-02(월)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21085000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2.8464350000000001E-4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2023-01-01(일) 오전 00:00</v>
      </c>
      <c r="C177" s="199"/>
      <c r="D177" s="158" t="str">
        <f>TEXT($G$1, "[$-ko-KR]yyyy-mm-dd(ddd) ") &amp; "오후 14:00"</f>
        <v>2023-01-01(일) 오후 14:00</v>
      </c>
      <c r="E177" s="159"/>
      <c r="F177" s="160"/>
      <c r="G177" s="158" t="str">
        <f>TEXT($G$1, "[$-ko-KR]yyyy-mm-dd(ddd) ") &amp; "오후 19:00"</f>
        <v>2023-01-01(일) 오후 19:00</v>
      </c>
      <c r="H177" s="159"/>
      <c r="I177" s="160"/>
      <c r="J177" s="158" t="str">
        <f>TEXT($G$1, "[$-ko-KR]yyyy-mm-dd(ddd) ") &amp; "오후 21:00"</f>
        <v>2023-01-01(일) 오후 21:00</v>
      </c>
      <c r="K177" s="159"/>
      <c r="L177" s="160"/>
      <c r="M177" s="158" t="str">
        <f>TEXT($G$1+1, "[$-ko-KR]yyyy-mm-dd(ddd) ") &amp; "오전 00:00"</f>
        <v>2023-01-02(월)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119</v>
      </c>
      <c r="B2" s="11" t="s">
        <v>120</v>
      </c>
      <c r="C2" s="86">
        <v>108</v>
      </c>
      <c r="D2" s="34">
        <v>0.13089005240000001</v>
      </c>
      <c r="E2" s="84">
        <v>84854132.580444857</v>
      </c>
      <c r="F2" s="35"/>
      <c r="G2" s="50"/>
      <c r="H2" s="35"/>
      <c r="I2" s="35"/>
    </row>
    <row r="3" spans="1:18" ht="17.25" thickBot="1">
      <c r="A3" s="40" t="s">
        <v>204</v>
      </c>
      <c r="B3" s="11" t="s">
        <v>205</v>
      </c>
      <c r="C3" s="86">
        <v>92.3</v>
      </c>
      <c r="D3" s="34">
        <v>4.88636364E-2</v>
      </c>
      <c r="E3" s="84">
        <v>178347723.31199464</v>
      </c>
      <c r="F3" s="35"/>
      <c r="G3" s="196" t="s">
        <v>247</v>
      </c>
      <c r="H3" s="208" t="s">
        <v>351</v>
      </c>
      <c r="I3" s="208"/>
      <c r="K3" s="135" t="s">
        <v>34</v>
      </c>
      <c r="L3" s="136"/>
      <c r="M3" s="136"/>
      <c r="N3" s="137"/>
      <c r="O3" s="135" t="s">
        <v>249</v>
      </c>
      <c r="P3" s="136"/>
      <c r="Q3" s="136"/>
      <c r="R3" s="137"/>
    </row>
    <row r="4" spans="1:18" ht="17.25" thickBot="1">
      <c r="A4" s="40" t="s">
        <v>70</v>
      </c>
      <c r="B4" s="11" t="s">
        <v>71</v>
      </c>
      <c r="C4" s="86">
        <v>9.86</v>
      </c>
      <c r="D4" s="34">
        <v>4.5599151599999999E-2</v>
      </c>
      <c r="E4" s="84">
        <v>890510802.53444898</v>
      </c>
      <c r="F4" s="35"/>
      <c r="G4" s="197"/>
      <c r="H4" s="209"/>
      <c r="I4" s="209"/>
      <c r="K4" s="200" t="s">
        <v>54</v>
      </c>
      <c r="L4" s="212">
        <f ca="1">NOW()</f>
        <v>44927.647940856485</v>
      </c>
      <c r="M4" s="213"/>
      <c r="N4" s="214"/>
      <c r="O4" s="203" t="s">
        <v>54</v>
      </c>
      <c r="P4" s="212">
        <f ca="1">NOW()</f>
        <v>44927.647940856485</v>
      </c>
      <c r="Q4" s="213"/>
      <c r="R4" s="214"/>
    </row>
    <row r="5" spans="1:18" ht="17.25" thickBot="1">
      <c r="A5" s="40" t="s">
        <v>190</v>
      </c>
      <c r="B5" s="11" t="s">
        <v>191</v>
      </c>
      <c r="C5" s="86">
        <v>47</v>
      </c>
      <c r="D5" s="34">
        <v>3.9823008799999997E-2</v>
      </c>
      <c r="E5" s="84">
        <v>92355967.75560756</v>
      </c>
      <c r="F5" s="35"/>
      <c r="K5" s="197"/>
      <c r="L5" s="36" t="s">
        <v>57</v>
      </c>
      <c r="M5" s="36" t="s">
        <v>58</v>
      </c>
      <c r="N5" s="64" t="s">
        <v>251</v>
      </c>
      <c r="O5" s="197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240</v>
      </c>
      <c r="B6" s="11" t="s">
        <v>241</v>
      </c>
      <c r="C6" s="86">
        <v>87.5</v>
      </c>
      <c r="D6" s="34">
        <v>3.1839622599999999E-2</v>
      </c>
      <c r="E6" s="84">
        <v>30777816.3858012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시빅</v>
      </c>
      <c r="P6" s="38">
        <f t="shared" ref="P6:P25" si="2">_xlfn.IFNA(VLOOKUP(O6, $B$2:$D$200, 2, FALSE), "")</f>
        <v>108</v>
      </c>
      <c r="Q6" s="69">
        <f t="shared" ref="Q6:Q25" si="3">_xlfn.IFNA(VLOOKUP(O6, $B$2:$D$200, 3, FALSE), "")</f>
        <v>0.13089005240000001</v>
      </c>
      <c r="R6" s="78">
        <f>_xlfn.IFNA(VLOOKUP(O6, $B$2:$E$200, 4, FALSE), "")</f>
        <v>84854132.580444857</v>
      </c>
    </row>
    <row r="7" spans="1:18">
      <c r="A7" s="40" t="s">
        <v>133</v>
      </c>
      <c r="B7" s="11" t="s">
        <v>134</v>
      </c>
      <c r="C7" s="86">
        <v>1335</v>
      </c>
      <c r="D7" s="34">
        <v>2.2988505699999998E-2</v>
      </c>
      <c r="E7" s="84">
        <v>160091.34748754001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휴먼스케이프</v>
      </c>
      <c r="P7" s="39">
        <f t="shared" si="2"/>
        <v>92.3</v>
      </c>
      <c r="Q7" s="70">
        <f t="shared" si="3"/>
        <v>4.88636364E-2</v>
      </c>
      <c r="R7" s="79">
        <f t="shared" ref="R7:R25" si="5">_xlfn.IFNA(VLOOKUP(O7, $B$2:$E$200, 4, FALSE), "")</f>
        <v>178347723.31199464</v>
      </c>
    </row>
    <row r="8" spans="1:18" ht="17.25" thickBot="1">
      <c r="A8" s="40" t="s">
        <v>224</v>
      </c>
      <c r="B8" s="11" t="s">
        <v>225</v>
      </c>
      <c r="C8" s="86">
        <v>51.5</v>
      </c>
      <c r="D8" s="34">
        <v>1.77865613E-2</v>
      </c>
      <c r="E8" s="84">
        <v>44645096.496679127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쿼크체인</v>
      </c>
      <c r="P8" s="39">
        <f t="shared" si="2"/>
        <v>9.86</v>
      </c>
      <c r="Q8" s="70">
        <f t="shared" si="3"/>
        <v>4.5599151599999999E-2</v>
      </c>
      <c r="R8" s="79">
        <f t="shared" si="5"/>
        <v>890510802.53444898</v>
      </c>
    </row>
    <row r="9" spans="1:18" ht="17.25" thickBot="1">
      <c r="A9" s="40" t="s">
        <v>182</v>
      </c>
      <c r="B9" s="11" t="s">
        <v>183</v>
      </c>
      <c r="C9" s="86">
        <v>115</v>
      </c>
      <c r="D9" s="34">
        <v>1.7699115000000001E-2</v>
      </c>
      <c r="E9" s="84">
        <v>21498928.224920131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피르마체인</v>
      </c>
      <c r="P9" s="39">
        <f t="shared" si="2"/>
        <v>47</v>
      </c>
      <c r="Q9" s="70">
        <f t="shared" si="3"/>
        <v>3.9823008799999997E-2</v>
      </c>
      <c r="R9" s="79">
        <f t="shared" si="5"/>
        <v>92355967.75560756</v>
      </c>
    </row>
    <row r="10" spans="1:18">
      <c r="A10" s="40" t="s">
        <v>100</v>
      </c>
      <c r="B10" s="11" t="s">
        <v>101</v>
      </c>
      <c r="C10" s="86">
        <v>195</v>
      </c>
      <c r="D10" s="34">
        <v>1.5625E-2</v>
      </c>
      <c r="E10" s="84">
        <v>1249758.2097181301</v>
      </c>
      <c r="F10" s="35"/>
      <c r="G10" s="210">
        <f>_xlfn.IFNA(VLOOKUP(G7, $B$2:$D$200, 3, FALSE), "-")</f>
        <v>2.8464350000000001E-4</v>
      </c>
      <c r="H10" s="204">
        <f>_xlfn.IFNA(VLOOKUP(G7, $B$2:$D$200, 2, FALSE), "-")</f>
        <v>21085000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아더</v>
      </c>
      <c r="P10" s="39">
        <f t="shared" si="2"/>
        <v>87.5</v>
      </c>
      <c r="Q10" s="70">
        <f t="shared" si="3"/>
        <v>3.1839622599999999E-2</v>
      </c>
      <c r="R10" s="83">
        <f t="shared" si="5"/>
        <v>30777816.3858012</v>
      </c>
    </row>
    <row r="11" spans="1:18" ht="17.25" thickBot="1">
      <c r="A11" s="40" t="s">
        <v>212</v>
      </c>
      <c r="B11" s="11" t="s">
        <v>213</v>
      </c>
      <c r="C11" s="86">
        <v>404</v>
      </c>
      <c r="D11" s="34">
        <v>1.50753769E-2</v>
      </c>
      <c r="E11" s="84">
        <v>2459928.3850344401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오미세고</v>
      </c>
      <c r="P11" s="45">
        <f t="shared" si="2"/>
        <v>1335</v>
      </c>
      <c r="Q11" s="73">
        <f t="shared" si="3"/>
        <v>2.2988505699999998E-2</v>
      </c>
      <c r="R11" s="89">
        <f t="shared" si="5"/>
        <v>160091.34748754001</v>
      </c>
    </row>
    <row r="12" spans="1:18" ht="17.25" thickBot="1">
      <c r="A12" s="40" t="s">
        <v>320</v>
      </c>
      <c r="B12" s="11" t="s">
        <v>321</v>
      </c>
      <c r="C12" s="86">
        <v>151</v>
      </c>
      <c r="D12" s="34">
        <v>1.34228188E-2</v>
      </c>
      <c r="E12" s="84">
        <v>13079271.6467875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룸네트워크</v>
      </c>
      <c r="P12" s="39">
        <f t="shared" si="2"/>
        <v>51.5</v>
      </c>
      <c r="Q12" s="70">
        <f t="shared" si="3"/>
        <v>1.77865613E-2</v>
      </c>
      <c r="R12" s="79">
        <f t="shared" si="5"/>
        <v>44645096.496679127</v>
      </c>
    </row>
    <row r="13" spans="1:18" ht="17.25" thickBot="1">
      <c r="A13" s="40" t="s">
        <v>316</v>
      </c>
      <c r="B13" s="11" t="s">
        <v>317</v>
      </c>
      <c r="C13" s="86">
        <v>575</v>
      </c>
      <c r="D13" s="34">
        <v>1.2323943699999999E-2</v>
      </c>
      <c r="E13" s="84">
        <v>19866820.554709248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아르고</v>
      </c>
      <c r="P13" s="39">
        <f t="shared" si="2"/>
        <v>115</v>
      </c>
      <c r="Q13" s="70">
        <f t="shared" si="3"/>
        <v>1.7699115000000001E-2</v>
      </c>
      <c r="R13" s="79">
        <f t="shared" si="5"/>
        <v>21498928.224920131</v>
      </c>
    </row>
    <row r="14" spans="1:18">
      <c r="A14" s="40" t="s">
        <v>322</v>
      </c>
      <c r="B14" s="11" t="s">
        <v>323</v>
      </c>
      <c r="C14" s="86">
        <v>2.8000000000000001E-2</v>
      </c>
      <c r="D14" s="34">
        <v>1.08303249E-2</v>
      </c>
      <c r="E14" s="84">
        <v>17373972920.799984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온톨로지</v>
      </c>
      <c r="P14" s="39">
        <f t="shared" si="2"/>
        <v>195</v>
      </c>
      <c r="Q14" s="70">
        <f t="shared" si="3"/>
        <v>1.5625E-2</v>
      </c>
      <c r="R14" s="79">
        <f t="shared" si="5"/>
        <v>1249758.2097181301</v>
      </c>
    </row>
    <row r="15" spans="1:18" ht="17.25" thickBot="1">
      <c r="A15" s="40" t="s">
        <v>318</v>
      </c>
      <c r="B15" s="11" t="s">
        <v>319</v>
      </c>
      <c r="C15" s="86">
        <v>295</v>
      </c>
      <c r="D15" s="34">
        <v>1.02739726E-2</v>
      </c>
      <c r="E15" s="84">
        <v>8142064.9640025301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펀디엑스</v>
      </c>
      <c r="P15" s="37">
        <f t="shared" si="2"/>
        <v>404</v>
      </c>
      <c r="Q15" s="72">
        <f t="shared" si="3"/>
        <v>1.50753769E-2</v>
      </c>
      <c r="R15" s="80">
        <f t="shared" si="5"/>
        <v>2459928.3850344401</v>
      </c>
    </row>
    <row r="16" spans="1:18" ht="17.25" thickBot="1">
      <c r="A16" s="40" t="s">
        <v>168</v>
      </c>
      <c r="B16" s="11" t="s">
        <v>169</v>
      </c>
      <c r="C16" s="86">
        <v>217</v>
      </c>
      <c r="D16" s="34">
        <v>9.3023255999999995E-3</v>
      </c>
      <c r="E16" s="84">
        <v>270644.83601427998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폴리매쉬</v>
      </c>
      <c r="P16" s="38">
        <f t="shared" si="2"/>
        <v>151</v>
      </c>
      <c r="Q16" s="69">
        <f t="shared" si="3"/>
        <v>1.34228188E-2</v>
      </c>
      <c r="R16" s="78">
        <f t="shared" si="5"/>
        <v>13079271.6467875</v>
      </c>
    </row>
    <row r="17" spans="1:18">
      <c r="A17" s="40" t="s">
        <v>327</v>
      </c>
      <c r="B17" s="11" t="s">
        <v>328</v>
      </c>
      <c r="C17" s="86">
        <v>4415</v>
      </c>
      <c r="D17" s="34">
        <v>6.8415050999999999E-3</v>
      </c>
      <c r="E17" s="84">
        <v>308520.61245894001</v>
      </c>
      <c r="F17" s="35"/>
      <c r="G17" s="210">
        <f>_xlfn.IFNA(VLOOKUP(G14, $B$2:$D$200, 3, FALSE), "-")</f>
        <v>2.8464350000000001E-4</v>
      </c>
      <c r="H17" s="204">
        <f>_xlfn.IFNA(VLOOKUP(G14, $B$2:$D$200, 2, FALSE), "-")</f>
        <v>21085000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하이파이</v>
      </c>
      <c r="P17" s="39">
        <f t="shared" si="2"/>
        <v>575</v>
      </c>
      <c r="Q17" s="70">
        <f t="shared" si="3"/>
        <v>1.2323943699999999E-2</v>
      </c>
      <c r="R17" s="79">
        <f t="shared" si="5"/>
        <v>19866820.554709248</v>
      </c>
    </row>
    <row r="18" spans="1:18" ht="17.25" thickBot="1">
      <c r="A18" s="40" t="s">
        <v>117</v>
      </c>
      <c r="B18" s="11" t="s">
        <v>118</v>
      </c>
      <c r="C18" s="86">
        <v>4.53</v>
      </c>
      <c r="D18" s="34">
        <v>6.6666666999999997E-3</v>
      </c>
      <c r="E18" s="84">
        <v>48642484.303245239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이캐시</v>
      </c>
      <c r="P18" s="39">
        <f t="shared" si="2"/>
        <v>2.8000000000000001E-2</v>
      </c>
      <c r="Q18" s="70">
        <f t="shared" si="3"/>
        <v>1.08303249E-2</v>
      </c>
      <c r="R18" s="79">
        <f t="shared" si="5"/>
        <v>17373972920.799984</v>
      </c>
    </row>
    <row r="19" spans="1:18" ht="17.25" thickBot="1">
      <c r="A19" s="40" t="s">
        <v>148</v>
      </c>
      <c r="B19" s="11" t="s">
        <v>149</v>
      </c>
      <c r="C19" s="86">
        <v>308</v>
      </c>
      <c r="D19" s="34">
        <v>6.5359477000000001E-3</v>
      </c>
      <c r="E19" s="84">
        <v>217292.44609422999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스테픈</v>
      </c>
      <c r="P19" s="39">
        <f t="shared" si="2"/>
        <v>295</v>
      </c>
      <c r="Q19" s="70">
        <f t="shared" si="3"/>
        <v>1.02739726E-2</v>
      </c>
      <c r="R19" s="79">
        <f t="shared" si="5"/>
        <v>8142064.9640025301</v>
      </c>
    </row>
    <row r="20" spans="1:18" ht="17.25" thickBot="1">
      <c r="A20" s="40" t="s">
        <v>137</v>
      </c>
      <c r="B20" s="11" t="s">
        <v>138</v>
      </c>
      <c r="C20" s="86">
        <v>19.7</v>
      </c>
      <c r="D20" s="34">
        <v>5.1020407999999998E-3</v>
      </c>
      <c r="E20" s="84">
        <v>10071870.493890701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아이오타</v>
      </c>
      <c r="P20" s="39">
        <f t="shared" si="2"/>
        <v>217</v>
      </c>
      <c r="Q20" s="70">
        <f t="shared" si="3"/>
        <v>9.3023255999999995E-3</v>
      </c>
      <c r="R20" s="83">
        <f t="shared" si="5"/>
        <v>270644.83601427998</v>
      </c>
    </row>
    <row r="21" spans="1:18">
      <c r="A21" s="40" t="s">
        <v>78</v>
      </c>
      <c r="B21" s="11" t="s">
        <v>79</v>
      </c>
      <c r="C21" s="86">
        <v>212</v>
      </c>
      <c r="D21" s="34">
        <v>4.7393365E-3</v>
      </c>
      <c r="E21" s="84">
        <v>567076.15847826004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앱토스</v>
      </c>
      <c r="P21" s="45">
        <f t="shared" si="2"/>
        <v>4415</v>
      </c>
      <c r="Q21" s="73">
        <f t="shared" si="3"/>
        <v>6.8415050999999999E-3</v>
      </c>
      <c r="R21" s="89">
        <f t="shared" si="5"/>
        <v>308520.61245894001</v>
      </c>
    </row>
    <row r="22" spans="1:18" ht="17.25" thickBot="1">
      <c r="A22" s="40" t="s">
        <v>325</v>
      </c>
      <c r="B22" s="11" t="s">
        <v>326</v>
      </c>
      <c r="C22" s="86">
        <v>220</v>
      </c>
      <c r="D22" s="34">
        <v>4.5662100000000002E-3</v>
      </c>
      <c r="E22" s="84">
        <v>1602913.8661053299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스톰엑스</v>
      </c>
      <c r="P22" s="39">
        <f t="shared" si="2"/>
        <v>4.53</v>
      </c>
      <c r="Q22" s="70">
        <f t="shared" si="3"/>
        <v>6.6666666999999997E-3</v>
      </c>
      <c r="R22" s="79">
        <f t="shared" si="5"/>
        <v>48642484.303245239</v>
      </c>
    </row>
    <row r="23" spans="1:18" ht="17.25" thickBot="1">
      <c r="A23" s="40" t="s">
        <v>123</v>
      </c>
      <c r="B23" s="11" t="s">
        <v>124</v>
      </c>
      <c r="C23" s="86">
        <v>26.9</v>
      </c>
      <c r="D23" s="34">
        <v>3.7313432999999999E-3</v>
      </c>
      <c r="E23" s="84">
        <v>3627991.5682977601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308</v>
      </c>
      <c r="Q23" s="70">
        <f t="shared" si="3"/>
        <v>6.5359477000000001E-3</v>
      </c>
      <c r="R23" s="79">
        <f t="shared" si="5"/>
        <v>217292.44609422999</v>
      </c>
    </row>
    <row r="24" spans="1:18">
      <c r="A24" s="40" t="s">
        <v>140</v>
      </c>
      <c r="B24" s="11" t="s">
        <v>141</v>
      </c>
      <c r="C24" s="86">
        <v>2.89</v>
      </c>
      <c r="D24" s="34">
        <v>3.4722222000000001E-3</v>
      </c>
      <c r="E24" s="84">
        <v>63533174.506704926</v>
      </c>
      <c r="F24" s="35"/>
      <c r="G24" s="210">
        <f>_xlfn.IFNA(VLOOKUP(G21, $B$2:$D$200, 3, FALSE), "-")</f>
        <v>2.8464350000000001E-4</v>
      </c>
      <c r="H24" s="204">
        <f>_xlfn.IFNA(VLOOKUP(G21, $B$2:$D$200, 2, FALSE), "-")</f>
        <v>21085000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앵커</v>
      </c>
      <c r="P24" s="39">
        <f t="shared" si="2"/>
        <v>19.7</v>
      </c>
      <c r="Q24" s="70">
        <f t="shared" si="3"/>
        <v>5.1020407999999998E-3</v>
      </c>
      <c r="R24" s="79">
        <f t="shared" si="5"/>
        <v>10071870.493890701</v>
      </c>
    </row>
    <row r="25" spans="1:18" ht="17.25" thickBot="1">
      <c r="A25" s="40" t="s">
        <v>206</v>
      </c>
      <c r="B25" s="11" t="s">
        <v>207</v>
      </c>
      <c r="C25" s="86">
        <v>58.7</v>
      </c>
      <c r="D25" s="34">
        <v>3.4188033999999999E-3</v>
      </c>
      <c r="E25" s="84">
        <v>3371539.9551235298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212</v>
      </c>
      <c r="Q25" s="72">
        <f t="shared" si="3"/>
        <v>4.7393365E-3</v>
      </c>
      <c r="R25" s="80">
        <f t="shared" si="5"/>
        <v>567076.15847826004</v>
      </c>
    </row>
    <row r="26" spans="1:18">
      <c r="A26" s="40" t="s">
        <v>230</v>
      </c>
      <c r="B26" s="11" t="s">
        <v>231</v>
      </c>
      <c r="C26" s="86">
        <v>302</v>
      </c>
      <c r="D26" s="34">
        <v>3.3222591000000002E-3</v>
      </c>
      <c r="E26" s="84">
        <v>2516497.41695937</v>
      </c>
      <c r="F26" s="35"/>
    </row>
    <row r="27" spans="1:18" ht="17.25" thickBot="1">
      <c r="A27" s="40" t="s">
        <v>61</v>
      </c>
      <c r="B27" s="11" t="s">
        <v>62</v>
      </c>
      <c r="C27" s="86">
        <v>7855</v>
      </c>
      <c r="D27" s="34">
        <v>3.1928479999999999E-3</v>
      </c>
      <c r="E27" s="84">
        <v>74132.687496810002</v>
      </c>
      <c r="F27" s="35"/>
    </row>
    <row r="28" spans="1:18" ht="17.25" thickBot="1">
      <c r="A28" s="40" t="s">
        <v>144</v>
      </c>
      <c r="B28" s="11" t="s">
        <v>145</v>
      </c>
      <c r="C28" s="86">
        <v>69.7</v>
      </c>
      <c r="D28" s="34">
        <v>2.8776978000000001E-3</v>
      </c>
      <c r="E28" s="84">
        <v>21424139.978806619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114</v>
      </c>
      <c r="B29" s="11" t="s">
        <v>324</v>
      </c>
      <c r="C29" s="86">
        <v>71.400000000000006</v>
      </c>
      <c r="D29" s="34">
        <v>2.8089887999999999E-3</v>
      </c>
      <c r="E29" s="84">
        <v>2187261.7661352898</v>
      </c>
      <c r="F29" s="35"/>
      <c r="G29" s="200" t="s">
        <v>54</v>
      </c>
      <c r="H29" s="212">
        <f ca="1">NOW()</f>
        <v>44927.647940856485</v>
      </c>
      <c r="I29" s="213"/>
      <c r="J29" s="214"/>
      <c r="K29" s="203" t="s">
        <v>54</v>
      </c>
      <c r="L29" s="212">
        <f ca="1">NOW()</f>
        <v>44927.647940856485</v>
      </c>
      <c r="M29" s="213"/>
      <c r="N29" s="214"/>
      <c r="O29" s="203" t="s">
        <v>54</v>
      </c>
      <c r="P29" s="212">
        <f ca="1">NOW()</f>
        <v>44927.647940856485</v>
      </c>
      <c r="Q29" s="213"/>
      <c r="R29" s="214"/>
    </row>
    <row r="30" spans="1:18" ht="17.25" thickBot="1">
      <c r="A30" s="40" t="s">
        <v>90</v>
      </c>
      <c r="B30" s="11" t="s">
        <v>91</v>
      </c>
      <c r="C30" s="86">
        <v>14870</v>
      </c>
      <c r="D30" s="34">
        <v>2.6972353000000002E-3</v>
      </c>
      <c r="E30" s="84">
        <v>15993.715533709999</v>
      </c>
      <c r="F30" s="35"/>
      <c r="G30" s="197"/>
      <c r="H30" s="36" t="s">
        <v>57</v>
      </c>
      <c r="I30" s="36" t="s">
        <v>58</v>
      </c>
      <c r="J30" s="64" t="s">
        <v>251</v>
      </c>
      <c r="K30" s="197"/>
      <c r="L30" s="36" t="s">
        <v>57</v>
      </c>
      <c r="M30" s="36" t="s">
        <v>58</v>
      </c>
      <c r="N30" s="64" t="s">
        <v>251</v>
      </c>
      <c r="O30" s="197"/>
      <c r="P30" s="36" t="s">
        <v>57</v>
      </c>
      <c r="Q30" s="36" t="s">
        <v>58</v>
      </c>
      <c r="R30" s="64" t="s">
        <v>251</v>
      </c>
    </row>
    <row r="31" spans="1:18">
      <c r="A31" s="40" t="s">
        <v>72</v>
      </c>
      <c r="B31" s="11" t="s">
        <v>73</v>
      </c>
      <c r="C31" s="86">
        <v>11930</v>
      </c>
      <c r="D31" s="34">
        <v>2.5210084000000001E-3</v>
      </c>
      <c r="E31" s="84">
        <v>82807.64213059</v>
      </c>
      <c r="F31" s="35"/>
      <c r="G31" s="51" t="str">
        <f ca="1">IFERROR(OFFSET(INDIRECT($H$3 &amp; "!A98"), 0, 0), "")</f>
        <v>시빅</v>
      </c>
      <c r="H31" s="38">
        <f t="shared" ref="H31:H50" ca="1" si="7">_xlfn.IFNA(VLOOKUP(G31, $B$2:$D$200, 2, FALSE), "")</f>
        <v>108</v>
      </c>
      <c r="I31" s="69">
        <f t="shared" ref="I31:I50" ca="1" si="8">_xlfn.IFNA(VLOOKUP(G31, $B$2:$D$200, 3, FALSE), "")</f>
        <v>0.13089005240000001</v>
      </c>
      <c r="J31" s="78">
        <f ca="1">_xlfn.IFNA(VLOOKUP(G31, $B$2:$E$200, 4, FALSE), "")</f>
        <v>84854132.580444857</v>
      </c>
      <c r="K31" s="51" t="str">
        <f ca="1">IFERROR(OFFSET(INDIRECT($H$3 &amp; "!A44"), 0, 0), "")</f>
        <v>휴먼스케이프</v>
      </c>
      <c r="L31" s="38">
        <f t="shared" ref="L31:L50" ca="1" si="9">_xlfn.IFNA(VLOOKUP(K31, $B$2:$D$200, 2, FALSE), "")</f>
        <v>92.3</v>
      </c>
      <c r="M31" s="69">
        <f t="shared" ref="M31:M50" ca="1" si="10">_xlfn.IFNA(VLOOKUP(K31, $B$2:$D$200, 3, FALSE), "")</f>
        <v>4.88636364E-2</v>
      </c>
      <c r="N31" s="78">
        <f ca="1">_xlfn.IFNA(VLOOKUP(K31, $B$2:$E$200, 4, FALSE), "")</f>
        <v>178347723.31199464</v>
      </c>
      <c r="O31" s="51" t="str">
        <f ca="1">IFERROR(OFFSET(INDIRECT($H$3 &amp; "!A71"), 0, 0), "")</f>
        <v>시빅</v>
      </c>
      <c r="P31" s="38">
        <f t="shared" ref="P31:P50" ca="1" si="11">_xlfn.IFNA(VLOOKUP(O31, $B$2:$D$200, 2, FALSE), "")</f>
        <v>108</v>
      </c>
      <c r="Q31" s="69">
        <f t="shared" ref="Q31:Q50" ca="1" si="12">_xlfn.IFNA(VLOOKUP(O31, $B$2:$D$200, 3, FALSE), "")</f>
        <v>0.13089005240000001</v>
      </c>
      <c r="R31" s="78">
        <f ca="1">_xlfn.IFNA(VLOOKUP(O31, $B$2:$E$200, 4, FALSE), "")</f>
        <v>84854132.580444857</v>
      </c>
    </row>
    <row r="32" spans="1:18">
      <c r="A32" s="40" t="s">
        <v>171</v>
      </c>
      <c r="B32" s="11" t="s">
        <v>172</v>
      </c>
      <c r="C32" s="86">
        <v>2340</v>
      </c>
      <c r="D32" s="34">
        <v>2.1413275999999999E-3</v>
      </c>
      <c r="E32" s="84">
        <v>128775.38787132</v>
      </c>
      <c r="F32" s="35"/>
      <c r="G32" s="52" t="str">
        <f ca="1">IFERROR(OFFSET(INDIRECT($H$3 &amp; "!A98"), 1, 0), "")</f>
        <v>휴먼스케이프</v>
      </c>
      <c r="H32" s="39">
        <f t="shared" ca="1" si="7"/>
        <v>92.3</v>
      </c>
      <c r="I32" s="70">
        <f t="shared" ca="1" si="8"/>
        <v>4.88636364E-2</v>
      </c>
      <c r="J32" s="79">
        <f t="shared" ref="J32:J50" ca="1" si="13">_xlfn.IFNA(VLOOKUP(G32, $B$2:$E$200, 4, FALSE), "")</f>
        <v>178347723.31199464</v>
      </c>
      <c r="K32" s="52" t="str">
        <f ca="1">IFERROR(OFFSET(INDIRECT($H$3 &amp; "!A44"), 1, 0), "")</f>
        <v>피르마체인</v>
      </c>
      <c r="L32" s="39">
        <f t="shared" ca="1" si="9"/>
        <v>47</v>
      </c>
      <c r="M32" s="70">
        <f t="shared" ca="1" si="10"/>
        <v>3.9823008799999997E-2</v>
      </c>
      <c r="N32" s="79">
        <f t="shared" ref="N32:N50" ca="1" si="14">_xlfn.IFNA(VLOOKUP(K32, $B$2:$E$200, 4, FALSE), "")</f>
        <v>92355967.75560756</v>
      </c>
      <c r="O32" s="52" t="str">
        <f ca="1">IFERROR(OFFSET(INDIRECT($H$3 &amp; "!A71"), 1, 0), "")</f>
        <v>온톨로지</v>
      </c>
      <c r="P32" s="39">
        <f t="shared" ca="1" si="11"/>
        <v>195</v>
      </c>
      <c r="Q32" s="70">
        <f t="shared" ca="1" si="12"/>
        <v>1.5625E-2</v>
      </c>
      <c r="R32" s="79">
        <f t="shared" ref="R32:R50" ca="1" si="15">_xlfn.IFNA(VLOOKUP(O32, $B$2:$E$200, 4, FALSE), "")</f>
        <v>1249758.2097181301</v>
      </c>
    </row>
    <row r="33" spans="1:18">
      <c r="A33" s="40" t="s">
        <v>98</v>
      </c>
      <c r="B33" s="11" t="s">
        <v>99</v>
      </c>
      <c r="C33" s="86">
        <v>20000</v>
      </c>
      <c r="D33" s="34">
        <v>2.0040079999999998E-3</v>
      </c>
      <c r="E33" s="84">
        <v>87716.324779360002</v>
      </c>
      <c r="F33" s="35"/>
      <c r="G33" s="52" t="str">
        <f ca="1">IFERROR(OFFSET(INDIRECT($H$3 &amp; "!A98"), 2, 0), "")</f>
        <v>피르마체인</v>
      </c>
      <c r="H33" s="39">
        <f t="shared" ca="1" si="7"/>
        <v>47</v>
      </c>
      <c r="I33" s="70">
        <f t="shared" ca="1" si="8"/>
        <v>3.9823008799999997E-2</v>
      </c>
      <c r="J33" s="79">
        <f t="shared" ca="1" si="13"/>
        <v>92355967.75560756</v>
      </c>
      <c r="K33" s="52" t="str">
        <f ca="1">IFERROR(OFFSET(INDIRECT($H$3 &amp; "!A44"), 2, 0), "")</f>
        <v>아더</v>
      </c>
      <c r="L33" s="39">
        <f t="shared" ca="1" si="9"/>
        <v>87.5</v>
      </c>
      <c r="M33" s="70">
        <f t="shared" ca="1" si="10"/>
        <v>3.1839622599999999E-2</v>
      </c>
      <c r="N33" s="79">
        <f t="shared" ca="1" si="14"/>
        <v>30777816.3858012</v>
      </c>
      <c r="O33" s="52" t="str">
        <f ca="1">IFERROR(OFFSET(INDIRECT($H$3 &amp; "!A71"), 2, 0), "")</f>
        <v>하이파이</v>
      </c>
      <c r="P33" s="39">
        <f t="shared" ca="1" si="11"/>
        <v>575</v>
      </c>
      <c r="Q33" s="70">
        <f t="shared" ca="1" si="12"/>
        <v>1.2323943699999999E-2</v>
      </c>
      <c r="R33" s="79">
        <f t="shared" ca="1" si="15"/>
        <v>19866820.554709248</v>
      </c>
    </row>
    <row r="34" spans="1:18">
      <c r="A34" s="40" t="s">
        <v>86</v>
      </c>
      <c r="B34" s="11" t="s">
        <v>87</v>
      </c>
      <c r="C34" s="86">
        <v>52520</v>
      </c>
      <c r="D34" s="34">
        <v>3.8095240000000002E-4</v>
      </c>
      <c r="E34" s="84">
        <v>5092.59818232</v>
      </c>
      <c r="F34" s="35"/>
      <c r="G34" s="52" t="str">
        <f ca="1">IFERROR(OFFSET(INDIRECT($H$3 &amp; "!A98"), 3, 0), "")</f>
        <v>아더</v>
      </c>
      <c r="H34" s="39">
        <f t="shared" ca="1" si="7"/>
        <v>87.5</v>
      </c>
      <c r="I34" s="70">
        <f t="shared" ca="1" si="8"/>
        <v>3.1839622599999999E-2</v>
      </c>
      <c r="J34" s="79">
        <f t="shared" ca="1" si="13"/>
        <v>30777816.3858012</v>
      </c>
      <c r="K34" s="52" t="str">
        <f ca="1">IFERROR(OFFSET(INDIRECT($H$3 &amp; "!A44"), 3, 0), "")</f>
        <v>쿼크체인</v>
      </c>
      <c r="L34" s="39">
        <f t="shared" ca="1" si="9"/>
        <v>9.86</v>
      </c>
      <c r="M34" s="70">
        <f t="shared" ca="1" si="10"/>
        <v>4.5599151599999999E-2</v>
      </c>
      <c r="N34" s="79">
        <f t="shared" ca="1" si="14"/>
        <v>890510802.53444898</v>
      </c>
      <c r="O34" s="52" t="str">
        <f ca="1">IFERROR(OFFSET(INDIRECT($H$3 &amp; "!A71"), 3, 0), "")</f>
        <v>스테픈</v>
      </c>
      <c r="P34" s="39">
        <f t="shared" ca="1" si="11"/>
        <v>295</v>
      </c>
      <c r="Q34" s="70">
        <f t="shared" ca="1" si="12"/>
        <v>1.02739726E-2</v>
      </c>
      <c r="R34" s="79">
        <f t="shared" ca="1" si="15"/>
        <v>8142064.9640025301</v>
      </c>
    </row>
    <row r="35" spans="1:18">
      <c r="A35" s="40" t="s">
        <v>48</v>
      </c>
      <c r="B35" s="11" t="s">
        <v>49</v>
      </c>
      <c r="C35" s="86">
        <v>21085000</v>
      </c>
      <c r="D35" s="34">
        <v>2.8464350000000001E-4</v>
      </c>
      <c r="E35" s="84">
        <v>653.82077734999996</v>
      </c>
      <c r="F35" s="35"/>
      <c r="G35" s="54" t="str">
        <f ca="1">IFERROR(OFFSET(INDIRECT($H$3 &amp; "!A98"), 4, 0), "")</f>
        <v>쿼크체인</v>
      </c>
      <c r="H35" s="44">
        <f t="shared" ca="1" si="7"/>
        <v>9.86</v>
      </c>
      <c r="I35" s="71">
        <f t="shared" ca="1" si="8"/>
        <v>4.5599151599999999E-2</v>
      </c>
      <c r="J35" s="83">
        <f t="shared" ca="1" si="13"/>
        <v>890510802.53444898</v>
      </c>
      <c r="K35" s="54" t="str">
        <f ca="1">IFERROR(OFFSET(INDIRECT($H$3 &amp; "!A44"), 4, 0), "")</f>
        <v>룸네트워크</v>
      </c>
      <c r="L35" s="44">
        <f t="shared" ca="1" si="9"/>
        <v>51.5</v>
      </c>
      <c r="M35" s="71">
        <f t="shared" ca="1" si="10"/>
        <v>1.77865613E-2</v>
      </c>
      <c r="N35" s="83">
        <f t="shared" ca="1" si="14"/>
        <v>44645096.496679127</v>
      </c>
      <c r="O35" s="54" t="str">
        <f ca="1">IFERROR(OFFSET(INDIRECT($H$3 &amp; "!A71"), 4, 0), "")</f>
        <v>아르고</v>
      </c>
      <c r="P35" s="44">
        <f t="shared" ca="1" si="11"/>
        <v>115</v>
      </c>
      <c r="Q35" s="71">
        <f t="shared" ca="1" si="12"/>
        <v>1.7699115000000001E-2</v>
      </c>
      <c r="R35" s="83">
        <f t="shared" ca="1" si="15"/>
        <v>21498928.224920131</v>
      </c>
    </row>
    <row r="36" spans="1:18">
      <c r="A36" s="40" t="s">
        <v>96</v>
      </c>
      <c r="B36" s="11" t="s">
        <v>97</v>
      </c>
      <c r="C36" s="86">
        <v>8.0000000000000004E-4</v>
      </c>
      <c r="D36" s="34">
        <v>0</v>
      </c>
      <c r="E36" s="84">
        <v>58000499617.417603</v>
      </c>
      <c r="F36" s="35"/>
      <c r="G36" s="52" t="str">
        <f ca="1">IFERROR(OFFSET(INDIRECT($H$3 &amp; "!A98"), 5, 0), "")</f>
        <v>룸네트워크</v>
      </c>
      <c r="H36" s="39">
        <f t="shared" ca="1" si="7"/>
        <v>51.5</v>
      </c>
      <c r="I36" s="70">
        <f t="shared" ca="1" si="8"/>
        <v>1.77865613E-2</v>
      </c>
      <c r="J36" s="89">
        <f t="shared" ca="1" si="13"/>
        <v>44645096.496679127</v>
      </c>
      <c r="K36" s="52" t="str">
        <f ca="1">IFERROR(OFFSET(INDIRECT($H$3 &amp; "!A44"), 5, 0), "")</f>
        <v>앵커</v>
      </c>
      <c r="L36" s="39">
        <f t="shared" ca="1" si="9"/>
        <v>19.7</v>
      </c>
      <c r="M36" s="70">
        <f t="shared" ca="1" si="10"/>
        <v>5.1020407999999998E-3</v>
      </c>
      <c r="N36" s="89">
        <f t="shared" ca="1" si="14"/>
        <v>10071870.493890701</v>
      </c>
      <c r="O36" s="52" t="str">
        <f ca="1">IFERROR(OFFSET(INDIRECT($H$3 &amp; "!A71"), 5, 0), "")</f>
        <v>폴리매쉬</v>
      </c>
      <c r="P36" s="39">
        <f t="shared" ca="1" si="11"/>
        <v>151</v>
      </c>
      <c r="Q36" s="70">
        <f t="shared" ca="1" si="12"/>
        <v>1.34228188E-2</v>
      </c>
      <c r="R36" s="89">
        <f t="shared" ca="1" si="15"/>
        <v>13079271.6467875</v>
      </c>
    </row>
    <row r="37" spans="1:18">
      <c r="A37" s="40" t="s">
        <v>84</v>
      </c>
      <c r="B37" s="11" t="s">
        <v>85</v>
      </c>
      <c r="C37" s="86">
        <v>128</v>
      </c>
      <c r="D37" s="34">
        <v>0</v>
      </c>
      <c r="E37" s="84">
        <v>7045510.5139572499</v>
      </c>
      <c r="F37" s="35"/>
      <c r="G37" s="52" t="str">
        <f ca="1">IFERROR(OFFSET(INDIRECT($H$3 &amp; "!A98"), 6, 0), "")</f>
        <v>오미세고</v>
      </c>
      <c r="H37" s="39">
        <f t="shared" ca="1" si="7"/>
        <v>1335</v>
      </c>
      <c r="I37" s="70">
        <f t="shared" ca="1" si="8"/>
        <v>2.2988505699999998E-2</v>
      </c>
      <c r="J37" s="79">
        <f t="shared" ca="1" si="13"/>
        <v>160091.34748754001</v>
      </c>
      <c r="K37" s="52" t="str">
        <f ca="1">IFERROR(OFFSET(INDIRECT($H$3 &amp; "!A44"), 6, 0), "")</f>
        <v>트론</v>
      </c>
      <c r="L37" s="39">
        <f t="shared" ca="1" si="9"/>
        <v>69.7</v>
      </c>
      <c r="M37" s="70">
        <f t="shared" ca="1" si="10"/>
        <v>2.8776978000000001E-3</v>
      </c>
      <c r="N37" s="79">
        <f t="shared" ca="1" si="14"/>
        <v>21424139.978806619</v>
      </c>
      <c r="O37" s="52" t="str">
        <f ca="1">IFERROR(OFFSET(INDIRECT($H$3 &amp; "!A71"), 6, 0), "")</f>
        <v>제로엑스</v>
      </c>
      <c r="P37" s="39">
        <f t="shared" ca="1" si="11"/>
        <v>189</v>
      </c>
      <c r="Q37" s="70">
        <f t="shared" ca="1" si="12"/>
        <v>0</v>
      </c>
      <c r="R37" s="79">
        <f t="shared" ca="1" si="15"/>
        <v>1134644.3581622101</v>
      </c>
    </row>
    <row r="38" spans="1:18">
      <c r="A38" s="40" t="s">
        <v>127</v>
      </c>
      <c r="B38" s="11" t="s">
        <v>128</v>
      </c>
      <c r="C38" s="86">
        <v>5485</v>
      </c>
      <c r="D38" s="34">
        <v>0</v>
      </c>
      <c r="E38" s="84">
        <v>28566.273360629999</v>
      </c>
      <c r="F38" s="35"/>
      <c r="G38" s="52" t="str">
        <f ca="1">IFERROR(OFFSET(INDIRECT($H$3 &amp; "!A98"), 7, 0), "")</f>
        <v>온톨로지</v>
      </c>
      <c r="H38" s="39">
        <f t="shared" ca="1" si="7"/>
        <v>195</v>
      </c>
      <c r="I38" s="70">
        <f t="shared" ca="1" si="8"/>
        <v>1.5625E-2</v>
      </c>
      <c r="J38" s="79">
        <f t="shared" ca="1" si="13"/>
        <v>1249758.2097181301</v>
      </c>
      <c r="K38" s="52" t="str">
        <f ca="1">IFERROR(OFFSET(INDIRECT($H$3 &amp; "!A44"), 7, 0), "")</f>
        <v>스테이터스네트워크토큰</v>
      </c>
      <c r="L38" s="39">
        <f t="shared" ca="1" si="9"/>
        <v>23.7</v>
      </c>
      <c r="M38" s="70">
        <f t="shared" ca="1" si="10"/>
        <v>-4.2016807E-3</v>
      </c>
      <c r="N38" s="79">
        <f t="shared" ca="1" si="14"/>
        <v>4725990.8858469902</v>
      </c>
      <c r="O38" s="52" t="str">
        <f ca="1">IFERROR(OFFSET(INDIRECT($H$3 &amp; "!A71"), 7, 0), "")</f>
        <v>펀디엑스</v>
      </c>
      <c r="P38" s="39">
        <f t="shared" ca="1" si="11"/>
        <v>404</v>
      </c>
      <c r="Q38" s="70">
        <f t="shared" ca="1" si="12"/>
        <v>1.50753769E-2</v>
      </c>
      <c r="R38" s="79">
        <f t="shared" ca="1" si="15"/>
        <v>2459928.3850344401</v>
      </c>
    </row>
    <row r="39" spans="1:18">
      <c r="A39" s="40" t="s">
        <v>238</v>
      </c>
      <c r="B39" s="11" t="s">
        <v>239</v>
      </c>
      <c r="C39" s="86">
        <v>406</v>
      </c>
      <c r="D39" s="34">
        <v>0</v>
      </c>
      <c r="E39" s="84">
        <v>374753.55526499002</v>
      </c>
      <c r="F39" s="35"/>
      <c r="G39" s="52" t="str">
        <f ca="1">IFERROR(OFFSET(INDIRECT($H$3 &amp; "!A98"), 8, 0), "")</f>
        <v>하이파이</v>
      </c>
      <c r="H39" s="39">
        <f t="shared" ca="1" si="7"/>
        <v>575</v>
      </c>
      <c r="I39" s="70">
        <f t="shared" ca="1" si="8"/>
        <v>1.2323943699999999E-2</v>
      </c>
      <c r="J39" s="79">
        <f t="shared" ca="1" si="13"/>
        <v>19866820.554709248</v>
      </c>
      <c r="K39" s="52" t="str">
        <f ca="1">IFERROR(OFFSET(INDIRECT($H$3 &amp; "!A44"), 8, 0), "")</f>
        <v>이캐시</v>
      </c>
      <c r="L39" s="39">
        <f t="shared" ca="1" si="9"/>
        <v>2.8000000000000001E-2</v>
      </c>
      <c r="M39" s="70">
        <f t="shared" ca="1" si="10"/>
        <v>1.08303249E-2</v>
      </c>
      <c r="N39" s="79">
        <f t="shared" ca="1" si="14"/>
        <v>17373972920.799984</v>
      </c>
      <c r="O39" s="52" t="str">
        <f ca="1">IFERROR(OFFSET(INDIRECT($H$3 &amp; "!A71"), 8, 0), "")</f>
        <v>그로스톨코인</v>
      </c>
      <c r="P39" s="39">
        <f t="shared" ca="1" si="11"/>
        <v>406</v>
      </c>
      <c r="Q39" s="70">
        <f t="shared" ca="1" si="12"/>
        <v>0</v>
      </c>
      <c r="R39" s="79">
        <f t="shared" ca="1" si="15"/>
        <v>374753.55526499002</v>
      </c>
    </row>
    <row r="40" spans="1:18" ht="17.25" thickBot="1">
      <c r="A40" s="40" t="s">
        <v>53</v>
      </c>
      <c r="B40" s="11" t="s">
        <v>329</v>
      </c>
      <c r="C40" s="86">
        <v>46.6</v>
      </c>
      <c r="D40" s="34">
        <v>0</v>
      </c>
      <c r="E40" s="84">
        <v>13686489.59128548</v>
      </c>
      <c r="F40" s="35"/>
      <c r="G40" s="53" t="str">
        <f ca="1">IFERROR(OFFSET(INDIRECT($H$3 &amp; "!A98"), 9, 0), "")</f>
        <v>스테픈</v>
      </c>
      <c r="H40" s="37">
        <f t="shared" ca="1" si="7"/>
        <v>295</v>
      </c>
      <c r="I40" s="72">
        <f t="shared" ca="1" si="8"/>
        <v>1.02739726E-2</v>
      </c>
      <c r="J40" s="80">
        <f t="shared" ca="1" si="13"/>
        <v>8142064.9640025301</v>
      </c>
      <c r="K40" s="53" t="str">
        <f ca="1">IFERROR(OFFSET(INDIRECT($H$3 &amp; "!A44"), 9, 0), "")</f>
        <v>센티넬프로토콜</v>
      </c>
      <c r="L40" s="37">
        <f t="shared" ca="1" si="9"/>
        <v>58.7</v>
      </c>
      <c r="M40" s="72">
        <f t="shared" ca="1" si="10"/>
        <v>3.4188033999999999E-3</v>
      </c>
      <c r="N40" s="80">
        <f t="shared" ca="1" si="14"/>
        <v>3371539.9551235298</v>
      </c>
      <c r="O40" s="53" t="str">
        <f ca="1">IFERROR(OFFSET(INDIRECT($H$3 &amp; "!A71"), 9, 0), "")</f>
        <v>아이오타</v>
      </c>
      <c r="P40" s="37">
        <f t="shared" ca="1" si="11"/>
        <v>217</v>
      </c>
      <c r="Q40" s="72">
        <f t="shared" ca="1" si="12"/>
        <v>9.3023255999999995E-3</v>
      </c>
      <c r="R40" s="80">
        <f t="shared" ca="1" si="15"/>
        <v>270644.83601427998</v>
      </c>
    </row>
    <row r="41" spans="1:18">
      <c r="A41" s="40" t="s">
        <v>192</v>
      </c>
      <c r="B41" s="11" t="s">
        <v>193</v>
      </c>
      <c r="C41" s="86">
        <v>14.8</v>
      </c>
      <c r="D41" s="34">
        <v>0</v>
      </c>
      <c r="E41" s="84">
        <v>6917145.2086782996</v>
      </c>
      <c r="F41" s="35"/>
      <c r="G41" s="55" t="str">
        <f ca="1">IFERROR(OFFSET(INDIRECT($H$3 &amp; "!A98"), 10, 0), "")</f>
        <v>아르고</v>
      </c>
      <c r="H41" s="38">
        <f t="shared" ca="1" si="7"/>
        <v>115</v>
      </c>
      <c r="I41" s="69">
        <f t="shared" ca="1" si="8"/>
        <v>1.7699115000000001E-2</v>
      </c>
      <c r="J41" s="78">
        <f t="shared" ca="1" si="13"/>
        <v>21498928.224920131</v>
      </c>
      <c r="K41" s="51" t="str">
        <f ca="1">IFERROR(OFFSET(INDIRECT($H$3 &amp; "!A44"), 10, 0), "")</f>
        <v>크로노스</v>
      </c>
      <c r="L41" s="38">
        <f t="shared" ca="1" si="9"/>
        <v>71.400000000000006</v>
      </c>
      <c r="M41" s="69">
        <f t="shared" ca="1" si="10"/>
        <v>2.8089887999999999E-3</v>
      </c>
      <c r="N41" s="78">
        <f t="shared" ca="1" si="14"/>
        <v>2187261.7661352898</v>
      </c>
      <c r="O41" s="51" t="str">
        <f ca="1">IFERROR(OFFSET(INDIRECT($H$3 &amp; "!A71"), 10, 0), "")</f>
        <v>아크</v>
      </c>
      <c r="P41" s="38">
        <f t="shared" ca="1" si="11"/>
        <v>302</v>
      </c>
      <c r="Q41" s="69">
        <f t="shared" ca="1" si="12"/>
        <v>3.3222591000000002E-3</v>
      </c>
      <c r="R41" s="78">
        <f t="shared" ca="1" si="15"/>
        <v>2516497.41695937</v>
      </c>
    </row>
    <row r="42" spans="1:18">
      <c r="A42" s="40" t="s">
        <v>208</v>
      </c>
      <c r="B42" s="11" t="s">
        <v>209</v>
      </c>
      <c r="C42" s="86">
        <v>69</v>
      </c>
      <c r="D42" s="34">
        <v>0</v>
      </c>
      <c r="E42" s="84">
        <v>3216182.2248579902</v>
      </c>
      <c r="F42" s="35"/>
      <c r="G42" s="52" t="str">
        <f ca="1">IFERROR(OFFSET(INDIRECT($H$3 &amp; "!A98"), 11, 0), "")</f>
        <v>폴리매쉬</v>
      </c>
      <c r="H42" s="39">
        <f t="shared" ca="1" si="7"/>
        <v>151</v>
      </c>
      <c r="I42" s="70">
        <f t="shared" ca="1" si="8"/>
        <v>1.34228188E-2</v>
      </c>
      <c r="J42" s="79">
        <f t="shared" ca="1" si="13"/>
        <v>13079271.6467875</v>
      </c>
      <c r="K42" s="52" t="str">
        <f ca="1">IFERROR(OFFSET(INDIRECT($H$3 &amp; "!A44"), 11, 0), "")</f>
        <v>비트토렌트</v>
      </c>
      <c r="L42" s="39">
        <f t="shared" ca="1" si="9"/>
        <v>8.0000000000000004E-4</v>
      </c>
      <c r="M42" s="70">
        <f t="shared" ca="1" si="10"/>
        <v>0</v>
      </c>
      <c r="N42" s="79">
        <f t="shared" ca="1" si="14"/>
        <v>58000499617.417603</v>
      </c>
      <c r="O42" s="52" t="str">
        <f ca="1">IFERROR(OFFSET(INDIRECT($H$3 &amp; "!A71"), 11, 0), "")</f>
        <v>에이다</v>
      </c>
      <c r="P42" s="39">
        <f t="shared" ca="1" si="11"/>
        <v>312</v>
      </c>
      <c r="Q42" s="70">
        <f t="shared" ca="1" si="12"/>
        <v>-3.1948882E-3</v>
      </c>
      <c r="R42" s="79">
        <f t="shared" ca="1" si="15"/>
        <v>2818443.86332143</v>
      </c>
    </row>
    <row r="43" spans="1:18">
      <c r="A43" s="40" t="s">
        <v>175</v>
      </c>
      <c r="B43" s="11" t="s">
        <v>176</v>
      </c>
      <c r="C43" s="86">
        <v>273</v>
      </c>
      <c r="D43" s="34">
        <v>0</v>
      </c>
      <c r="E43" s="84">
        <v>309023.61335935001</v>
      </c>
      <c r="F43" s="35"/>
      <c r="G43" s="52" t="str">
        <f ca="1">IFERROR(OFFSET(INDIRECT($H$3 &amp; "!A98"), 12, 0), "")</f>
        <v>제로엑스</v>
      </c>
      <c r="H43" s="39">
        <f t="shared" ca="1" si="7"/>
        <v>189</v>
      </c>
      <c r="I43" s="70">
        <f t="shared" ca="1" si="8"/>
        <v>0</v>
      </c>
      <c r="J43" s="79">
        <f t="shared" ca="1" si="13"/>
        <v>1134644.3581622101</v>
      </c>
      <c r="K43" s="52" t="str">
        <f ca="1">IFERROR(OFFSET(INDIRECT($H$3 &amp; "!A44"), 12, 0), "")</f>
        <v>헤데라</v>
      </c>
      <c r="L43" s="39">
        <f t="shared" ca="1" si="9"/>
        <v>46.6</v>
      </c>
      <c r="M43" s="70">
        <f t="shared" ca="1" si="10"/>
        <v>0</v>
      </c>
      <c r="N43" s="79">
        <f t="shared" ca="1" si="14"/>
        <v>13686489.59128548</v>
      </c>
      <c r="O43" s="52" t="str">
        <f ca="1">IFERROR(OFFSET(INDIRECT($H$3 &amp; "!A71"), 12, 0), "")</f>
        <v>알고랜드</v>
      </c>
      <c r="P43" s="39">
        <f t="shared" ca="1" si="11"/>
        <v>220</v>
      </c>
      <c r="Q43" s="70">
        <f t="shared" ca="1" si="12"/>
        <v>4.5662100000000002E-3</v>
      </c>
      <c r="R43" s="79">
        <f t="shared" ca="1" si="15"/>
        <v>1602913.8661053299</v>
      </c>
    </row>
    <row r="44" spans="1:18">
      <c r="A44" s="40" t="s">
        <v>166</v>
      </c>
      <c r="B44" s="11" t="s">
        <v>167</v>
      </c>
      <c r="C44" s="86">
        <v>156</v>
      </c>
      <c r="D44" s="34">
        <v>0</v>
      </c>
      <c r="E44" s="84">
        <v>1920657.22562679</v>
      </c>
      <c r="F44" s="35"/>
      <c r="G44" s="52" t="str">
        <f ca="1">IFERROR(OFFSET(INDIRECT($H$3 &amp; "!A98"), 13, 0), "")</f>
        <v>앵커</v>
      </c>
      <c r="H44" s="39">
        <f t="shared" ca="1" si="7"/>
        <v>19.7</v>
      </c>
      <c r="I44" s="70">
        <f t="shared" ca="1" si="8"/>
        <v>5.1020407999999998E-3</v>
      </c>
      <c r="J44" s="79">
        <f t="shared" ca="1" si="13"/>
        <v>10071870.493890701</v>
      </c>
      <c r="K44" s="52" t="str">
        <f ca="1">IFERROR(OFFSET(INDIRECT($H$3 &amp; "!A44"), 13, 0), "")</f>
        <v>메타디움</v>
      </c>
      <c r="L44" s="39">
        <f t="shared" ca="1" si="9"/>
        <v>22.2</v>
      </c>
      <c r="M44" s="70">
        <f t="shared" ca="1" si="10"/>
        <v>-4.4843048999999996E-3</v>
      </c>
      <c r="N44" s="79">
        <f t="shared" ca="1" si="14"/>
        <v>3954284.81263091</v>
      </c>
      <c r="O44" s="52" t="str">
        <f ca="1">IFERROR(OFFSET(INDIRECT($H$3 &amp; "!A71"), 13, 0), "")</f>
        <v>베이직어텐션토큰</v>
      </c>
      <c r="P44" s="39">
        <f t="shared" ca="1" si="11"/>
        <v>212</v>
      </c>
      <c r="Q44" s="70">
        <f t="shared" ca="1" si="12"/>
        <v>4.7393365E-3</v>
      </c>
      <c r="R44" s="79">
        <f t="shared" ca="1" si="15"/>
        <v>567076.15847826004</v>
      </c>
    </row>
    <row r="45" spans="1:18">
      <c r="A45" s="40" t="s">
        <v>139</v>
      </c>
      <c r="B45" s="11" t="s">
        <v>330</v>
      </c>
      <c r="C45" s="86">
        <v>256</v>
      </c>
      <c r="D45" s="34">
        <v>0</v>
      </c>
      <c r="E45" s="84">
        <v>723045.36277358001</v>
      </c>
      <c r="F45" s="35"/>
      <c r="G45" s="54" t="str">
        <f ca="1">IFERROR(OFFSET(INDIRECT($H$3 &amp; "!A98"), 14, 0), "")</f>
        <v>펀디엑스</v>
      </c>
      <c r="H45" s="44">
        <f t="shared" ca="1" si="7"/>
        <v>404</v>
      </c>
      <c r="I45" s="71">
        <f t="shared" ca="1" si="8"/>
        <v>1.50753769E-2</v>
      </c>
      <c r="J45" s="83">
        <f t="shared" ca="1" si="13"/>
        <v>2459928.3850344401</v>
      </c>
      <c r="K45" s="54" t="str">
        <f ca="1">IFERROR(OFFSET(INDIRECT($H$3 &amp; "!A44"), 14, 0), "")</f>
        <v>리퍼리움</v>
      </c>
      <c r="L45" s="44">
        <f t="shared" ca="1" si="9"/>
        <v>5.45</v>
      </c>
      <c r="M45" s="71">
        <f t="shared" ca="1" si="10"/>
        <v>-3.6563071000000002E-3</v>
      </c>
      <c r="N45" s="83">
        <f t="shared" ca="1" si="14"/>
        <v>25640217.523485139</v>
      </c>
      <c r="O45" s="54" t="str">
        <f ca="1">IFERROR(OFFSET(INDIRECT($H$3 &amp; "!A71"), 14, 0), "")</f>
        <v>칠리즈</v>
      </c>
      <c r="P45" s="44">
        <f t="shared" ca="1" si="11"/>
        <v>128</v>
      </c>
      <c r="Q45" s="71">
        <f t="shared" ca="1" si="12"/>
        <v>0</v>
      </c>
      <c r="R45" s="83">
        <f t="shared" ca="1" si="15"/>
        <v>7045510.5139572499</v>
      </c>
    </row>
    <row r="46" spans="1:18">
      <c r="A46" s="40" t="s">
        <v>131</v>
      </c>
      <c r="B46" s="11" t="s">
        <v>132</v>
      </c>
      <c r="C46" s="86">
        <v>40.200000000000003</v>
      </c>
      <c r="D46" s="34">
        <v>0</v>
      </c>
      <c r="E46" s="84">
        <v>5458674.7653792296</v>
      </c>
      <c r="F46" s="35"/>
      <c r="G46" s="52" t="str">
        <f ca="1">IFERROR(OFFSET(INDIRECT($H$3 &amp; "!A98"), 15, 0), "")</f>
        <v>그로스톨코인</v>
      </c>
      <c r="H46" s="39">
        <f t="shared" ca="1" si="7"/>
        <v>406</v>
      </c>
      <c r="I46" s="70">
        <f t="shared" ca="1" si="8"/>
        <v>0</v>
      </c>
      <c r="J46" s="89">
        <f t="shared" ca="1" si="13"/>
        <v>374753.55526499002</v>
      </c>
      <c r="K46" s="52" t="str">
        <f ca="1">IFERROR(OFFSET(INDIRECT($H$3 &amp; "!A44"), 15, 0), "")</f>
        <v>시아코인</v>
      </c>
      <c r="L46" s="39">
        <f t="shared" ca="1" si="9"/>
        <v>2.89</v>
      </c>
      <c r="M46" s="70">
        <f t="shared" ca="1" si="10"/>
        <v>3.4722222000000001E-3</v>
      </c>
      <c r="N46" s="89">
        <f t="shared" ca="1" si="14"/>
        <v>63533174.506704926</v>
      </c>
      <c r="O46" s="52" t="str">
        <f ca="1">IFERROR(OFFSET(INDIRECT($H$3 &amp; "!A71"), 15, 0), "")</f>
        <v>엔진코인</v>
      </c>
      <c r="P46" s="39">
        <f t="shared" ca="1" si="11"/>
        <v>308</v>
      </c>
      <c r="Q46" s="70">
        <f t="shared" ca="1" si="12"/>
        <v>6.5359477000000001E-3</v>
      </c>
      <c r="R46" s="89">
        <f t="shared" ca="1" si="15"/>
        <v>217292.44609422999</v>
      </c>
    </row>
    <row r="47" spans="1:18">
      <c r="A47" s="40" t="s">
        <v>179</v>
      </c>
      <c r="B47" s="11" t="s">
        <v>333</v>
      </c>
      <c r="C47" s="86">
        <v>3.95</v>
      </c>
      <c r="D47" s="34">
        <v>0</v>
      </c>
      <c r="E47" s="84">
        <v>56602020.15258301</v>
      </c>
      <c r="F47" s="35"/>
      <c r="G47" s="52" t="str">
        <f ca="1">IFERROR(OFFSET(INDIRECT($H$3 &amp; "!A98"), 16, 0), "")</f>
        <v>아이오타</v>
      </c>
      <c r="H47" s="39">
        <f t="shared" ca="1" si="7"/>
        <v>217</v>
      </c>
      <c r="I47" s="70">
        <f t="shared" ca="1" si="8"/>
        <v>9.3023255999999995E-3</v>
      </c>
      <c r="J47" s="79">
        <f t="shared" ca="1" si="13"/>
        <v>270644.83601427998</v>
      </c>
      <c r="K47" s="52" t="str">
        <f ca="1">IFERROR(OFFSET(INDIRECT($H$3 &amp; "!A44"), 16, 0), "")</f>
        <v>스톰엑스</v>
      </c>
      <c r="L47" s="39">
        <f t="shared" ca="1" si="9"/>
        <v>4.53</v>
      </c>
      <c r="M47" s="70">
        <f t="shared" ca="1" si="10"/>
        <v>6.6666666999999997E-3</v>
      </c>
      <c r="N47" s="79">
        <f t="shared" ca="1" si="14"/>
        <v>48642484.303245239</v>
      </c>
      <c r="O47" s="52" t="str">
        <f ca="1">IFERROR(OFFSET(INDIRECT($H$3 &amp; "!A71"), 16, 0), "")</f>
        <v>솔라</v>
      </c>
      <c r="P47" s="39">
        <f t="shared" ca="1" si="11"/>
        <v>256</v>
      </c>
      <c r="Q47" s="70">
        <f t="shared" ca="1" si="12"/>
        <v>0</v>
      </c>
      <c r="R47" s="79">
        <f t="shared" ca="1" si="15"/>
        <v>723045.36277358001</v>
      </c>
    </row>
    <row r="48" spans="1:18">
      <c r="A48" s="40" t="s">
        <v>50</v>
      </c>
      <c r="B48" s="11" t="s">
        <v>51</v>
      </c>
      <c r="C48" s="86">
        <v>90.6</v>
      </c>
      <c r="D48" s="34">
        <v>0</v>
      </c>
      <c r="E48" s="84">
        <v>4218050.0058022896</v>
      </c>
      <c r="F48" s="35"/>
      <c r="G48" s="52" t="str">
        <f ca="1">IFERROR(OFFSET(INDIRECT($H$3 &amp; "!A98"), 17, 0), "")</f>
        <v>트론</v>
      </c>
      <c r="H48" s="39">
        <f t="shared" ca="1" si="7"/>
        <v>69.7</v>
      </c>
      <c r="I48" s="70">
        <f t="shared" ca="1" si="8"/>
        <v>2.8776978000000001E-3</v>
      </c>
      <c r="J48" s="79">
        <f t="shared" ca="1" si="13"/>
        <v>21424139.978806619</v>
      </c>
      <c r="K48" s="52" t="str">
        <f ca="1">IFERROR(OFFSET(INDIRECT($H$3 &amp; "!A44"), 17, 0), "")</f>
        <v>쎄타퓨엘</v>
      </c>
      <c r="L48" s="39">
        <f t="shared" ca="1" si="9"/>
        <v>40.200000000000003</v>
      </c>
      <c r="M48" s="70">
        <f t="shared" ca="1" si="10"/>
        <v>0</v>
      </c>
      <c r="N48" s="79">
        <f t="shared" ca="1" si="14"/>
        <v>5458674.7653792296</v>
      </c>
      <c r="O48" s="52" t="str">
        <f ca="1">IFERROR(OFFSET(INDIRECT($H$3 &amp; "!A71"), 17, 0), "")</f>
        <v>1인치네트워크</v>
      </c>
      <c r="P48" s="39">
        <f t="shared" ca="1" si="11"/>
        <v>487</v>
      </c>
      <c r="Q48" s="70">
        <f t="shared" ca="1" si="12"/>
        <v>-2.0491802999999999E-3</v>
      </c>
      <c r="R48" s="79">
        <f t="shared" ca="1" si="15"/>
        <v>319528.83175860002</v>
      </c>
    </row>
    <row r="49" spans="1:18">
      <c r="A49" s="40" t="s">
        <v>102</v>
      </c>
      <c r="B49" s="11" t="s">
        <v>103</v>
      </c>
      <c r="C49" s="86">
        <v>189</v>
      </c>
      <c r="D49" s="34">
        <v>0</v>
      </c>
      <c r="E49" s="84">
        <v>1134644.3581622101</v>
      </c>
      <c r="F49" s="35"/>
      <c r="G49" s="52" t="str">
        <f ca="1">IFERROR(OFFSET(INDIRECT($H$3 &amp; "!A98"), 18, 0), "")</f>
        <v>스테이터스네트워크토큰</v>
      </c>
      <c r="H49" s="39">
        <f t="shared" ca="1" si="7"/>
        <v>23.7</v>
      </c>
      <c r="I49" s="70">
        <f t="shared" ca="1" si="8"/>
        <v>-4.2016807E-3</v>
      </c>
      <c r="J49" s="79">
        <f t="shared" ca="1" si="13"/>
        <v>4725990.8858469902</v>
      </c>
      <c r="K49" s="52" t="str">
        <f ca="1">IFERROR(OFFSET(INDIRECT($H$3 &amp; "!A44"), 18, 0), "")</f>
        <v>모스코인</v>
      </c>
      <c r="L49" s="39">
        <f t="shared" ca="1" si="9"/>
        <v>69</v>
      </c>
      <c r="M49" s="70">
        <f t="shared" ca="1" si="10"/>
        <v>0</v>
      </c>
      <c r="N49" s="79">
        <f t="shared" ca="1" si="14"/>
        <v>3216182.2248579902</v>
      </c>
      <c r="O49" s="52" t="str">
        <f ca="1">IFERROR(OFFSET(INDIRECT($H$3 &amp; "!A71"), 18, 0), "")</f>
        <v>쎄타토큰</v>
      </c>
      <c r="P49" s="39">
        <f t="shared" ca="1" si="11"/>
        <v>917</v>
      </c>
      <c r="Q49" s="70">
        <f t="shared" ca="1" si="12"/>
        <v>-5.4229934999999998E-3</v>
      </c>
      <c r="R49" s="79">
        <f t="shared" ca="1" si="15"/>
        <v>123346.46341652</v>
      </c>
    </row>
    <row r="50" spans="1:18" ht="17.25" thickBot="1">
      <c r="A50" s="40" t="s">
        <v>92</v>
      </c>
      <c r="B50" s="11" t="s">
        <v>93</v>
      </c>
      <c r="C50" s="86">
        <v>1524000</v>
      </c>
      <c r="D50" s="34">
        <v>-6.5573770000000001E-4</v>
      </c>
      <c r="E50" s="84">
        <v>2047.02400784</v>
      </c>
      <c r="F50" s="35"/>
      <c r="G50" s="53" t="str">
        <f ca="1">IFERROR(OFFSET(INDIRECT($H$3 &amp; "!A98"), 19, 0), "")</f>
        <v>이캐시</v>
      </c>
      <c r="H50" s="37">
        <f t="shared" ca="1" si="7"/>
        <v>2.8000000000000001E-2</v>
      </c>
      <c r="I50" s="72">
        <f t="shared" ca="1" si="8"/>
        <v>1.08303249E-2</v>
      </c>
      <c r="J50" s="80">
        <f t="shared" ca="1" si="13"/>
        <v>17373972920.799984</v>
      </c>
      <c r="K50" s="53" t="str">
        <f ca="1">IFERROR(OFFSET(INDIRECT($H$3 &amp; "!A44"), 19, 0), "")</f>
        <v>왁스</v>
      </c>
      <c r="L50" s="37">
        <f t="shared" ca="1" si="9"/>
        <v>53</v>
      </c>
      <c r="M50" s="72">
        <f t="shared" ca="1" si="10"/>
        <v>-3.7593984999999999E-3</v>
      </c>
      <c r="N50" s="80">
        <f t="shared" ca="1" si="14"/>
        <v>1502597.3194866001</v>
      </c>
      <c r="O50" s="53" t="str">
        <f ca="1">IFERROR(OFFSET(INDIRECT($H$3 &amp; "!A71"), 19, 0), "")</f>
        <v>아이콘</v>
      </c>
      <c r="P50" s="37">
        <f t="shared" ca="1" si="11"/>
        <v>179</v>
      </c>
      <c r="Q50" s="72">
        <f t="shared" ca="1" si="12"/>
        <v>-5.5555556000000004E-3</v>
      </c>
      <c r="R50" s="80">
        <f t="shared" ca="1" si="15"/>
        <v>549087.86696570006</v>
      </c>
    </row>
    <row r="51" spans="1:18">
      <c r="A51" s="40" t="s">
        <v>63</v>
      </c>
      <c r="B51" s="11" t="s">
        <v>64</v>
      </c>
      <c r="C51" s="86">
        <v>8.57</v>
      </c>
      <c r="D51" s="34">
        <v>-1.1655012000000001E-3</v>
      </c>
      <c r="E51" s="84">
        <v>24265632.758178301</v>
      </c>
      <c r="F51" s="35"/>
    </row>
    <row r="52" spans="1:18" ht="17.25" thickBot="1">
      <c r="A52" s="40" t="s">
        <v>76</v>
      </c>
      <c r="B52" s="11" t="s">
        <v>77</v>
      </c>
      <c r="C52" s="86">
        <v>123400</v>
      </c>
      <c r="D52" s="34">
        <v>-1.2140834000000001E-3</v>
      </c>
      <c r="E52" s="84">
        <v>2491.0162393599999</v>
      </c>
      <c r="F52" s="35"/>
    </row>
    <row r="53" spans="1:18" ht="17.25" thickBot="1">
      <c r="A53" s="40" t="s">
        <v>196</v>
      </c>
      <c r="B53" s="11" t="s">
        <v>197</v>
      </c>
      <c r="C53" s="86">
        <v>5.45</v>
      </c>
      <c r="D53" s="34">
        <v>-1.8315018E-3</v>
      </c>
      <c r="E53" s="84">
        <v>35629315.262185551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232</v>
      </c>
      <c r="B54" s="11" t="s">
        <v>233</v>
      </c>
      <c r="C54" s="86">
        <v>2665</v>
      </c>
      <c r="D54" s="34">
        <v>-1.8726591999999999E-3</v>
      </c>
      <c r="E54" s="84">
        <v>21625.33006783</v>
      </c>
      <c r="F54" s="35"/>
      <c r="G54" s="200" t="s">
        <v>54</v>
      </c>
      <c r="H54" s="212">
        <f ca="1">NOW()</f>
        <v>44927.647940856485</v>
      </c>
      <c r="I54" s="213"/>
      <c r="J54" s="214"/>
      <c r="K54" s="203" t="s">
        <v>54</v>
      </c>
      <c r="L54" s="212">
        <f ca="1">NOW()</f>
        <v>44927.647940856485</v>
      </c>
      <c r="M54" s="213"/>
      <c r="N54" s="214"/>
      <c r="O54" s="203" t="s">
        <v>54</v>
      </c>
      <c r="P54" s="212">
        <f ca="1">NOW()</f>
        <v>44927.647940856485</v>
      </c>
      <c r="Q54" s="213"/>
      <c r="R54" s="214"/>
    </row>
    <row r="55" spans="1:18" ht="17.25" thickBot="1">
      <c r="A55" s="40" t="s">
        <v>331</v>
      </c>
      <c r="B55" s="11" t="s">
        <v>332</v>
      </c>
      <c r="C55" s="86">
        <v>487</v>
      </c>
      <c r="D55" s="34">
        <v>-2.0491802999999999E-3</v>
      </c>
      <c r="E55" s="84">
        <v>319528.83175860002</v>
      </c>
      <c r="F55" s="35"/>
      <c r="G55" s="197"/>
      <c r="H55" s="36" t="s">
        <v>57</v>
      </c>
      <c r="I55" s="36" t="s">
        <v>58</v>
      </c>
      <c r="J55" s="64" t="s">
        <v>251</v>
      </c>
      <c r="K55" s="197"/>
      <c r="L55" s="36" t="s">
        <v>57</v>
      </c>
      <c r="M55" s="36" t="s">
        <v>58</v>
      </c>
      <c r="N55" s="64" t="s">
        <v>251</v>
      </c>
      <c r="O55" s="197"/>
      <c r="P55" s="36" t="s">
        <v>57</v>
      </c>
      <c r="Q55" s="36" t="s">
        <v>58</v>
      </c>
      <c r="R55" s="64" t="s">
        <v>251</v>
      </c>
    </row>
    <row r="56" spans="1:18">
      <c r="A56" s="40" t="s">
        <v>226</v>
      </c>
      <c r="B56" s="11" t="s">
        <v>227</v>
      </c>
      <c r="C56" s="86">
        <v>32.9</v>
      </c>
      <c r="D56" s="34">
        <v>-3.0303029999999998E-3</v>
      </c>
      <c r="E56" s="84">
        <v>7351637.8738897098</v>
      </c>
      <c r="F56" s="35"/>
      <c r="G56" s="51" t="str">
        <f ca="1">IFERROR(OFFSET(INDIRECT($H$3 &amp; "!A179"), 0, 0), "")</f>
        <v>셀로</v>
      </c>
      <c r="H56" s="38">
        <f t="shared" ref="H56:H65" ca="1" si="16">_xlfn.IFNA(VLOOKUP(G56, $B$2:$D$200, 2, FALSE), "")</f>
        <v>597</v>
      </c>
      <c r="I56" s="69">
        <f t="shared" ref="I56:I65" ca="1" si="17">_xlfn.IFNA(VLOOKUP(G56, $B$2:$D$200, 3, FALSE), "")</f>
        <v>-1.3223140499999999E-2</v>
      </c>
      <c r="J56" s="78">
        <f ca="1">_xlfn.IFNA(VLOOKUP(G56, $B$2:$E$200, 4, FALSE), "")</f>
        <v>635456.84921267</v>
      </c>
      <c r="K56" s="51" t="str">
        <f ca="1">IFERROR(OFFSET(INDIRECT($H$3 &amp; "!A125"), 0, 0), "")</f>
        <v>왁스</v>
      </c>
      <c r="L56" s="38">
        <f t="shared" ref="L56:L75" ca="1" si="18">_xlfn.IFNA(VLOOKUP(K56, $B$2:$D$200, 2, FALSE), "")</f>
        <v>53</v>
      </c>
      <c r="M56" s="69">
        <f t="shared" ref="M56:M75" ca="1" si="19">_xlfn.IFNA(VLOOKUP(K56, $B$2:$D$200, 3, FALSE), "")</f>
        <v>-3.7593984999999999E-3</v>
      </c>
      <c r="N56" s="78">
        <f ca="1">_xlfn.IFNA(VLOOKUP(K56, $B$2:$E$200, 4, FALSE), "")</f>
        <v>1502597.3194866001</v>
      </c>
      <c r="O56" s="51" t="str">
        <f ca="1">IFERROR(OFFSET(INDIRECT($H$3 &amp; "!A152"), 0, 0), "")</f>
        <v>밀크</v>
      </c>
      <c r="P56" s="38">
        <f t="shared" ref="P56:P75" ca="1" si="20">_xlfn.IFNA(VLOOKUP(O56, $B$2:$D$200, 2, FALSE), "")</f>
        <v>260</v>
      </c>
      <c r="Q56" s="69">
        <f t="shared" ref="Q56:Q75" ca="1" si="21">_xlfn.IFNA(VLOOKUP(O56, $B$2:$D$200, 3, FALSE), "")</f>
        <v>-7.6335878000000001E-3</v>
      </c>
      <c r="R56" s="78">
        <f ca="1">_xlfn.IFNA(VLOOKUP(O56, $B$2:$E$200, 4, FALSE), "")</f>
        <v>354105.20598224999</v>
      </c>
    </row>
    <row r="57" spans="1:18">
      <c r="A57" s="40" t="s">
        <v>142</v>
      </c>
      <c r="B57" s="11" t="s">
        <v>143</v>
      </c>
      <c r="C57" s="86">
        <v>3.28</v>
      </c>
      <c r="D57" s="34">
        <v>-3.0395137E-3</v>
      </c>
      <c r="E57" s="84">
        <v>17708546.830658771</v>
      </c>
      <c r="F57" s="35"/>
      <c r="G57" s="52" t="str">
        <f ca="1">IFERROR(OFFSET(INDIRECT($H$3 &amp; "!A179"), 1, 0), "")</f>
        <v>디카르고</v>
      </c>
      <c r="H57" s="39">
        <f t="shared" ca="1" si="16"/>
        <v>32.799999999999997</v>
      </c>
      <c r="I57" s="70">
        <f t="shared" ca="1" si="17"/>
        <v>-1.20481928E-2</v>
      </c>
      <c r="J57" s="79">
        <f t="shared" ref="J57:J75" ca="1" si="22">_xlfn.IFNA(VLOOKUP(G57, $B$2:$E$200, 4, FALSE), "")</f>
        <v>10787718.79069436</v>
      </c>
      <c r="K57" s="52" t="str">
        <f ca="1">IFERROR(OFFSET(INDIRECT($H$3 &amp; "!A125"), 1, 0), "")</f>
        <v>스텔라루멘</v>
      </c>
      <c r="L57" s="39">
        <f t="shared" ca="1" si="18"/>
        <v>90.6</v>
      </c>
      <c r="M57" s="70">
        <f t="shared" ca="1" si="19"/>
        <v>0</v>
      </c>
      <c r="N57" s="79">
        <f t="shared" ref="N57:N75" ca="1" si="23">_xlfn.IFNA(VLOOKUP(K57, $B$2:$E$200, 4, FALSE), "")</f>
        <v>4218050.0058022896</v>
      </c>
      <c r="O57" s="52" t="str">
        <f ca="1">IFERROR(OFFSET(INDIRECT($H$3 &amp; "!A152"), 1, 0), "")</f>
        <v>골렘</v>
      </c>
      <c r="P57" s="39">
        <f t="shared" ca="1" si="20"/>
        <v>226</v>
      </c>
      <c r="Q57" s="70">
        <f t="shared" ca="1" si="21"/>
        <v>-1.3100436700000001E-2</v>
      </c>
      <c r="R57" s="79">
        <f t="shared" ref="R57:R75" ca="1" si="24">_xlfn.IFNA(VLOOKUP(O57, $B$2:$E$200, 4, FALSE), "")</f>
        <v>1204977.7674155701</v>
      </c>
    </row>
    <row r="58" spans="1:18">
      <c r="A58" s="40" t="s">
        <v>218</v>
      </c>
      <c r="B58" s="11" t="s">
        <v>219</v>
      </c>
      <c r="C58" s="86">
        <v>328</v>
      </c>
      <c r="D58" s="34">
        <v>-3.0395137E-3</v>
      </c>
      <c r="E58" s="84">
        <v>743480.57946696004</v>
      </c>
      <c r="F58" s="35"/>
      <c r="G58" s="52" t="str">
        <f ca="1">IFERROR(OFFSET(INDIRECT($H$3 &amp; "!A179"), 2, 0), "")</f>
        <v>에스티피</v>
      </c>
      <c r="H58" s="39">
        <f t="shared" ca="1" si="16"/>
        <v>32.9</v>
      </c>
      <c r="I58" s="70">
        <f t="shared" ca="1" si="17"/>
        <v>-3.0303029999999998E-3</v>
      </c>
      <c r="J58" s="79">
        <f t="shared" ca="1" si="22"/>
        <v>7351637.8738897098</v>
      </c>
      <c r="K58" s="52" t="str">
        <f ca="1">IFERROR(OFFSET(INDIRECT($H$3 &amp; "!A125"), 2, 0), "")</f>
        <v>아이오에스티</v>
      </c>
      <c r="L58" s="39">
        <f t="shared" ca="1" si="18"/>
        <v>8.57</v>
      </c>
      <c r="M58" s="70">
        <f t="shared" ca="1" si="19"/>
        <v>-1.1655012000000001E-3</v>
      </c>
      <c r="N58" s="79">
        <f t="shared" ca="1" si="23"/>
        <v>24265632.758178301</v>
      </c>
      <c r="O58" s="52" t="str">
        <f ca="1">IFERROR(OFFSET(INDIRECT($H$3 &amp; "!A152"), 2, 0), "")</f>
        <v>플로우</v>
      </c>
      <c r="P58" s="39">
        <f t="shared" ca="1" si="20"/>
        <v>826</v>
      </c>
      <c r="Q58" s="70">
        <f t="shared" ca="1" si="21"/>
        <v>-9.5923260999999996E-3</v>
      </c>
      <c r="R58" s="79">
        <f t="shared" ca="1" si="24"/>
        <v>1430814.4184874899</v>
      </c>
    </row>
    <row r="59" spans="1:18">
      <c r="A59" s="40" t="s">
        <v>80</v>
      </c>
      <c r="B59" s="11" t="s">
        <v>81</v>
      </c>
      <c r="C59" s="86">
        <v>312</v>
      </c>
      <c r="D59" s="34">
        <v>-3.1948882E-3</v>
      </c>
      <c r="E59" s="84">
        <v>2818443.86332143</v>
      </c>
      <c r="F59" s="35"/>
      <c r="G59" s="52" t="str">
        <f ca="1">IFERROR(OFFSET(INDIRECT($H$3 &amp; "!A179"), 3, 0), "")</f>
        <v>디센트럴랜드</v>
      </c>
      <c r="H59" s="39">
        <f t="shared" ca="1" si="16"/>
        <v>373</v>
      </c>
      <c r="I59" s="70">
        <f t="shared" ca="1" si="17"/>
        <v>-1.5831134600000001E-2</v>
      </c>
      <c r="J59" s="79">
        <f t="shared" ca="1" si="22"/>
        <v>854729.57165474002</v>
      </c>
      <c r="K59" s="52" t="str">
        <f ca="1">IFERROR(OFFSET(INDIRECT($H$3 &amp; "!A125"), 3, 0), "")</f>
        <v>엠블</v>
      </c>
      <c r="L59" s="39">
        <f t="shared" ca="1" si="18"/>
        <v>3.82</v>
      </c>
      <c r="M59" s="70">
        <f t="shared" ca="1" si="19"/>
        <v>-5.2083333000000004E-3</v>
      </c>
      <c r="N59" s="79">
        <f t="shared" ca="1" si="23"/>
        <v>27019778.60990246</v>
      </c>
      <c r="O59" s="52" t="str">
        <f ca="1">IFERROR(OFFSET(INDIRECT($H$3 &amp; "!A152"), 3, 0), "")</f>
        <v>엘프</v>
      </c>
      <c r="P59" s="39">
        <f t="shared" ca="1" si="20"/>
        <v>198</v>
      </c>
      <c r="Q59" s="70">
        <f t="shared" ca="1" si="21"/>
        <v>-5.0251256000000003E-3</v>
      </c>
      <c r="R59" s="79">
        <f t="shared" ca="1" si="24"/>
        <v>7910707.3200263102</v>
      </c>
    </row>
    <row r="60" spans="1:18">
      <c r="A60" s="40" t="s">
        <v>152</v>
      </c>
      <c r="B60" s="11" t="s">
        <v>153</v>
      </c>
      <c r="C60" s="86">
        <v>312</v>
      </c>
      <c r="D60" s="34">
        <v>-3.1948882E-3</v>
      </c>
      <c r="E60" s="84">
        <v>1754119.61634736</v>
      </c>
      <c r="F60" s="35"/>
      <c r="G60" s="52" t="str">
        <f ca="1">IFERROR(OFFSET(INDIRECT($H$3 &amp; "!A179"), 4, 0), "")</f>
        <v>샌드박스</v>
      </c>
      <c r="H60" s="39">
        <f t="shared" ca="1" si="16"/>
        <v>482</v>
      </c>
      <c r="I60" s="70">
        <f t="shared" ca="1" si="17"/>
        <v>-1.2295082000000001E-2</v>
      </c>
      <c r="J60" s="83">
        <f t="shared" ca="1" si="22"/>
        <v>5073903.0407424197</v>
      </c>
      <c r="K60" s="54" t="str">
        <f ca="1">IFERROR(OFFSET(INDIRECT($H$3 &amp; "!A125"), 4, 0), "")</f>
        <v>오브스</v>
      </c>
      <c r="L60" s="44">
        <f t="shared" ca="1" si="18"/>
        <v>26.9</v>
      </c>
      <c r="M60" s="71">
        <f t="shared" ca="1" si="19"/>
        <v>3.7313432999999999E-3</v>
      </c>
      <c r="N60" s="83">
        <f t="shared" ca="1" si="23"/>
        <v>3627991.5682977601</v>
      </c>
      <c r="O60" s="54" t="str">
        <f ca="1">IFERROR(OFFSET(INDIRECT($H$3 &amp; "!A152"), 4, 0), "")</f>
        <v>헌트</v>
      </c>
      <c r="P60" s="44">
        <f t="shared" ca="1" si="20"/>
        <v>277</v>
      </c>
      <c r="Q60" s="71">
        <f t="shared" ca="1" si="21"/>
        <v>-1.0714285699999999E-2</v>
      </c>
      <c r="R60" s="83">
        <f t="shared" ca="1" si="24"/>
        <v>882988.03384646995</v>
      </c>
    </row>
    <row r="61" spans="1:18">
      <c r="A61" s="40" t="s">
        <v>202</v>
      </c>
      <c r="B61" s="11" t="s">
        <v>203</v>
      </c>
      <c r="C61" s="86">
        <v>2.9</v>
      </c>
      <c r="D61" s="34">
        <v>-3.4364260999999998E-3</v>
      </c>
      <c r="E61" s="84">
        <v>87315776.904850259</v>
      </c>
      <c r="F61" s="35"/>
      <c r="G61" s="56" t="str">
        <f ca="1">IFERROR(OFFSET(INDIRECT($H$3 &amp; "!A179"), 5, 0), "")</f>
        <v>스트라이크</v>
      </c>
      <c r="H61" s="45">
        <f t="shared" ca="1" si="16"/>
        <v>11350</v>
      </c>
      <c r="I61" s="73">
        <f t="shared" ca="1" si="17"/>
        <v>-1.30434783E-2</v>
      </c>
      <c r="J61" s="89">
        <f t="shared" ca="1" si="22"/>
        <v>9416.7211202300005</v>
      </c>
      <c r="K61" s="52" t="str">
        <f ca="1">IFERROR(OFFSET(INDIRECT($H$3 &amp; "!A125"), 5, 0), "")</f>
        <v>저스트</v>
      </c>
      <c r="L61" s="39">
        <f t="shared" ca="1" si="18"/>
        <v>25.1</v>
      </c>
      <c r="M61" s="70">
        <f t="shared" ca="1" si="19"/>
        <v>-1.18110236E-2</v>
      </c>
      <c r="N61" s="89">
        <f t="shared" ca="1" si="23"/>
        <v>4010970.2929187398</v>
      </c>
      <c r="O61" s="52" t="str">
        <f ca="1">IFERROR(OFFSET(INDIRECT($H$3 &amp; "!A152"), 5, 0), "")</f>
        <v>스팀</v>
      </c>
      <c r="P61" s="39">
        <f t="shared" ca="1" si="20"/>
        <v>185</v>
      </c>
      <c r="Q61" s="70">
        <f t="shared" ca="1" si="21"/>
        <v>-5.3763441000000004E-3</v>
      </c>
      <c r="R61" s="89">
        <f t="shared" ca="1" si="24"/>
        <v>594660.18546985998</v>
      </c>
    </row>
    <row r="62" spans="1:18">
      <c r="A62" s="40" t="s">
        <v>194</v>
      </c>
      <c r="B62" s="11" t="s">
        <v>195</v>
      </c>
      <c r="C62" s="86">
        <v>5.45</v>
      </c>
      <c r="D62" s="34">
        <v>-3.6563071000000002E-3</v>
      </c>
      <c r="E62" s="84">
        <v>25640217.523485139</v>
      </c>
      <c r="F62" s="35"/>
      <c r="G62" s="52" t="str">
        <f ca="1">IFERROR(OFFSET(INDIRECT($H$3 &amp; "!A179"), 6, 0), "")</f>
        <v>썸씽</v>
      </c>
      <c r="H62" s="39">
        <f t="shared" ca="1" si="16"/>
        <v>17.2</v>
      </c>
      <c r="I62" s="70">
        <f t="shared" ca="1" si="17"/>
        <v>-1.14942529E-2</v>
      </c>
      <c r="J62" s="79">
        <f t="shared" ca="1" si="22"/>
        <v>4370486.0850975104</v>
      </c>
      <c r="K62" s="52" t="str">
        <f ca="1">IFERROR(OFFSET(INDIRECT($H$3 &amp; "!A125"), 6, 0), "")</f>
        <v>질리카</v>
      </c>
      <c r="L62" s="39">
        <f t="shared" ca="1" si="18"/>
        <v>20.100000000000001</v>
      </c>
      <c r="M62" s="70">
        <f t="shared" ca="1" si="19"/>
        <v>-4.9504950000000001E-3</v>
      </c>
      <c r="N62" s="79">
        <f t="shared" ca="1" si="23"/>
        <v>9500896.6536671296</v>
      </c>
      <c r="O62" s="52" t="str">
        <f ca="1">IFERROR(OFFSET(INDIRECT($H$3 &amp; "!A152"), 6, 0), "")</f>
        <v>폴리곤</v>
      </c>
      <c r="P62" s="39">
        <f t="shared" ca="1" si="20"/>
        <v>959</v>
      </c>
      <c r="Q62" s="70">
        <f t="shared" ca="1" si="21"/>
        <v>-7.2463768E-3</v>
      </c>
      <c r="R62" s="79">
        <f t="shared" ca="1" si="24"/>
        <v>1267216.3143669099</v>
      </c>
    </row>
    <row r="63" spans="1:18">
      <c r="A63" s="40" t="s">
        <v>216</v>
      </c>
      <c r="B63" s="11" t="s">
        <v>217</v>
      </c>
      <c r="C63" s="86">
        <v>53</v>
      </c>
      <c r="D63" s="34">
        <v>-3.7593984999999999E-3</v>
      </c>
      <c r="E63" s="84">
        <v>1502597.3194866001</v>
      </c>
      <c r="F63" s="35"/>
      <c r="G63" s="52" t="str">
        <f ca="1">IFERROR(OFFSET(INDIRECT($H$3 &amp; "!A179"), 7, 0), "")</f>
        <v>세럼</v>
      </c>
      <c r="H63" s="39">
        <f t="shared" ca="1" si="16"/>
        <v>225</v>
      </c>
      <c r="I63" s="70">
        <f t="shared" ca="1" si="17"/>
        <v>-1.3157894700000001E-2</v>
      </c>
      <c r="J63" s="79">
        <f t="shared" ca="1" si="22"/>
        <v>2975489.7397455899</v>
      </c>
      <c r="K63" s="52" t="str">
        <f ca="1">IFERROR(OFFSET(INDIRECT($H$3 &amp; "!A125"), 7, 0), "")</f>
        <v>아하토큰</v>
      </c>
      <c r="L63" s="39">
        <f t="shared" ca="1" si="18"/>
        <v>5.45</v>
      </c>
      <c r="M63" s="70">
        <f t="shared" ca="1" si="19"/>
        <v>-1.8315018E-3</v>
      </c>
      <c r="N63" s="79">
        <f t="shared" ca="1" si="23"/>
        <v>35629315.262185551</v>
      </c>
      <c r="O63" s="52" t="str">
        <f ca="1">IFERROR(OFFSET(INDIRECT($H$3 &amp; "!A152"), 7, 0), "")</f>
        <v>플레이댑</v>
      </c>
      <c r="P63" s="39">
        <f t="shared" ca="1" si="20"/>
        <v>170</v>
      </c>
      <c r="Q63" s="70">
        <f t="shared" ca="1" si="21"/>
        <v>-5.8479532000000004E-3</v>
      </c>
      <c r="R63" s="79">
        <f t="shared" ca="1" si="24"/>
        <v>2853870.3768062601</v>
      </c>
    </row>
    <row r="64" spans="1:18">
      <c r="A64" s="40" t="s">
        <v>154</v>
      </c>
      <c r="B64" s="11" t="s">
        <v>155</v>
      </c>
      <c r="C64" s="86">
        <v>23.7</v>
      </c>
      <c r="D64" s="34">
        <v>-4.2016807E-3</v>
      </c>
      <c r="E64" s="84">
        <v>4725990.8858469902</v>
      </c>
      <c r="F64" s="35"/>
      <c r="G64" s="52" t="str">
        <f ca="1">IFERROR(OFFSET(INDIRECT($H$3 &amp; "!A179"), 8, 0), "")</f>
        <v>메탈</v>
      </c>
      <c r="H64" s="39">
        <f t="shared" ca="1" si="16"/>
        <v>874</v>
      </c>
      <c r="I64" s="70">
        <f t="shared" ca="1" si="17"/>
        <v>-1.68728909E-2</v>
      </c>
      <c r="J64" s="79">
        <f t="shared" ca="1" si="22"/>
        <v>2164910.9733821801</v>
      </c>
      <c r="K64" s="52" t="str">
        <f ca="1">IFERROR(OFFSET(INDIRECT($H$3 &amp; "!A125"), 8, 0), "")</f>
        <v>캐리프로토콜</v>
      </c>
      <c r="L64" s="39">
        <f t="shared" ca="1" si="18"/>
        <v>3.28</v>
      </c>
      <c r="M64" s="70">
        <f t="shared" ca="1" si="19"/>
        <v>-3.0395137E-3</v>
      </c>
      <c r="N64" s="79">
        <f t="shared" ca="1" si="23"/>
        <v>17708546.830658771</v>
      </c>
      <c r="O64" s="52" t="str">
        <f ca="1">IFERROR(OFFSET(INDIRECT($H$3 &amp; "!A152"), 8, 0), "")</f>
        <v>카이버네트워크</v>
      </c>
      <c r="P64" s="39">
        <f t="shared" ca="1" si="20"/>
        <v>575</v>
      </c>
      <c r="Q64" s="70">
        <f t="shared" ca="1" si="21"/>
        <v>-1.03270224E-2</v>
      </c>
      <c r="R64" s="79">
        <f t="shared" ca="1" si="24"/>
        <v>944795.05583056004</v>
      </c>
    </row>
    <row r="65" spans="1:18" ht="17.25" thickBot="1">
      <c r="A65" s="40" t="s">
        <v>184</v>
      </c>
      <c r="B65" s="11" t="s">
        <v>185</v>
      </c>
      <c r="C65" s="86">
        <v>22.2</v>
      </c>
      <c r="D65" s="34">
        <v>-4.4843048999999996E-3</v>
      </c>
      <c r="E65" s="84">
        <v>3954284.81263091</v>
      </c>
      <c r="F65" s="35"/>
      <c r="G65" s="53" t="str">
        <f ca="1">IFERROR(OFFSET(INDIRECT($H$3 &amp; "!A179"), 9, 0), "")</f>
        <v>솔라나</v>
      </c>
      <c r="H65" s="37">
        <f t="shared" ca="1" si="16"/>
        <v>12540</v>
      </c>
      <c r="I65" s="72">
        <f t="shared" ca="1" si="17"/>
        <v>-1.1820331E-2</v>
      </c>
      <c r="J65" s="80">
        <f t="shared" ca="1" si="22"/>
        <v>830818.91243287001</v>
      </c>
      <c r="K65" s="53" t="str">
        <f ca="1">IFERROR(OFFSET(INDIRECT($H$3 &amp; "!A125"), 9, 0), "")</f>
        <v>메디블록</v>
      </c>
      <c r="L65" s="37">
        <f t="shared" ca="1" si="18"/>
        <v>14.8</v>
      </c>
      <c r="M65" s="72">
        <f t="shared" ca="1" si="19"/>
        <v>0</v>
      </c>
      <c r="N65" s="80">
        <f t="shared" ca="1" si="23"/>
        <v>6917145.2086782996</v>
      </c>
      <c r="O65" s="53" t="str">
        <f ca="1">IFERROR(OFFSET(INDIRECT($H$3 &amp; "!A152"), 9, 0), "")</f>
        <v>테조스</v>
      </c>
      <c r="P65" s="37">
        <f t="shared" ca="1" si="20"/>
        <v>904</v>
      </c>
      <c r="Q65" s="72">
        <f t="shared" ca="1" si="21"/>
        <v>-9.8576123000000005E-3</v>
      </c>
      <c r="R65" s="80">
        <f t="shared" ca="1" si="24"/>
        <v>154444.67886252</v>
      </c>
    </row>
    <row r="66" spans="1:18">
      <c r="A66" s="40" t="s">
        <v>88</v>
      </c>
      <c r="B66" s="11" t="s">
        <v>89</v>
      </c>
      <c r="C66" s="86">
        <v>430</v>
      </c>
      <c r="D66" s="34">
        <v>-4.6296295999999999E-3</v>
      </c>
      <c r="E66" s="84">
        <v>32097596.61394009</v>
      </c>
      <c r="F66" s="35"/>
      <c r="G66" s="52" t="str">
        <f ca="1">IFERROR(OFFSET(INDIRECT($H$3 &amp; "!A179"), 10, 0), "")</f>
        <v>톤</v>
      </c>
      <c r="H66" s="38">
        <f t="shared" ref="H66:H75" ca="1" si="25">_xlfn.IFNA(VLOOKUP(G66, $B$2:$D$200, 2, FALSE), "")</f>
        <v>1325</v>
      </c>
      <c r="I66" s="69">
        <f t="shared" ref="I66:I75" ca="1" si="26">_xlfn.IFNA(VLOOKUP(G66, $B$2:$D$200, 3, FALSE), "")</f>
        <v>-1.4869888499999999E-2</v>
      </c>
      <c r="J66" s="78">
        <f t="shared" ca="1" si="22"/>
        <v>106283.76345599</v>
      </c>
      <c r="K66" s="51" t="str">
        <f ca="1">IFERROR(OFFSET(INDIRECT($H$3 &amp; "!A125"), 10, 0), "")</f>
        <v>무비블록</v>
      </c>
      <c r="L66" s="38">
        <f t="shared" ca="1" si="18"/>
        <v>2.9</v>
      </c>
      <c r="M66" s="69">
        <f t="shared" ca="1" si="19"/>
        <v>-3.4364260999999998E-3</v>
      </c>
      <c r="N66" s="78">
        <f t="shared" ca="1" si="23"/>
        <v>87315776.904850259</v>
      </c>
      <c r="O66" s="51" t="str">
        <f ca="1">IFERROR(OFFSET(INDIRECT($H$3 &amp; "!A152"), 10, 0), "")</f>
        <v>스트라티스</v>
      </c>
      <c r="P66" s="38">
        <f t="shared" ca="1" si="20"/>
        <v>491</v>
      </c>
      <c r="Q66" s="69">
        <f t="shared" ca="1" si="21"/>
        <v>-1.00806452E-2</v>
      </c>
      <c r="R66" s="78">
        <f t="shared" ca="1" si="24"/>
        <v>459083.98123804998</v>
      </c>
    </row>
    <row r="67" spans="1:18">
      <c r="A67" s="40" t="s">
        <v>336</v>
      </c>
      <c r="B67" s="11" t="s">
        <v>337</v>
      </c>
      <c r="C67" s="86">
        <v>65930</v>
      </c>
      <c r="D67" s="34">
        <v>-4.6799516999999997E-3</v>
      </c>
      <c r="E67" s="84">
        <v>5653.4831825000001</v>
      </c>
      <c r="F67" s="35"/>
      <c r="G67" s="52" t="str">
        <f ca="1">IFERROR(OFFSET(INDIRECT($H$3 &amp; "!A179"), 11, 0), "")</f>
        <v>누사이퍼</v>
      </c>
      <c r="H67" s="39">
        <f t="shared" ca="1" si="25"/>
        <v>105</v>
      </c>
      <c r="I67" s="70">
        <f t="shared" ca="1" si="26"/>
        <v>-1.8691588799999999E-2</v>
      </c>
      <c r="J67" s="79">
        <f t="shared" ca="1" si="22"/>
        <v>3304776.4681058698</v>
      </c>
      <c r="K67" s="52" t="str">
        <f ca="1">IFERROR(OFFSET(INDIRECT($H$3 &amp; "!A125"), 11, 0), "")</f>
        <v>썬더코어</v>
      </c>
      <c r="L67" s="39">
        <f t="shared" ca="1" si="18"/>
        <v>3.95</v>
      </c>
      <c r="M67" s="70">
        <f t="shared" ca="1" si="19"/>
        <v>0</v>
      </c>
      <c r="N67" s="79">
        <f t="shared" ca="1" si="23"/>
        <v>56602020.15258301</v>
      </c>
      <c r="O67" s="52" t="str">
        <f ca="1">IFERROR(OFFSET(INDIRECT($H$3 &amp; "!A152"), 11, 0), "")</f>
        <v>셀로</v>
      </c>
      <c r="P67" s="39">
        <f t="shared" ca="1" si="20"/>
        <v>597</v>
      </c>
      <c r="Q67" s="70">
        <f t="shared" ca="1" si="21"/>
        <v>-1.3223140499999999E-2</v>
      </c>
      <c r="R67" s="79">
        <f t="shared" ca="1" si="24"/>
        <v>635456.84921267</v>
      </c>
    </row>
    <row r="68" spans="1:18">
      <c r="A68" s="40" t="s">
        <v>74</v>
      </c>
      <c r="B68" s="11" t="s">
        <v>75</v>
      </c>
      <c r="C68" s="86">
        <v>7060</v>
      </c>
      <c r="D68" s="34">
        <v>-4.9330514000000001E-3</v>
      </c>
      <c r="E68" s="84">
        <v>27420.143439160001</v>
      </c>
      <c r="F68" s="35"/>
      <c r="G68" s="52" t="str">
        <f ca="1">IFERROR(OFFSET(INDIRECT($H$3 &amp; "!A179"), 12, 0), "")</f>
        <v>아발란체</v>
      </c>
      <c r="H68" s="39">
        <f t="shared" ca="1" si="25"/>
        <v>13690</v>
      </c>
      <c r="I68" s="70">
        <f t="shared" ca="1" si="26"/>
        <v>-1.58159597E-2</v>
      </c>
      <c r="J68" s="79">
        <f t="shared" ca="1" si="22"/>
        <v>20291.714792549999</v>
      </c>
      <c r="K68" s="52" t="str">
        <f ca="1">IFERROR(OFFSET(INDIRECT($H$3 &amp; "!A125"), 12, 0), "")</f>
        <v>비체인</v>
      </c>
      <c r="L68" s="39">
        <f t="shared" ca="1" si="18"/>
        <v>20</v>
      </c>
      <c r="M68" s="70">
        <f t="shared" ca="1" si="19"/>
        <v>-9.9009900999999997E-3</v>
      </c>
      <c r="N68" s="79">
        <f t="shared" ca="1" si="23"/>
        <v>11467124.893646389</v>
      </c>
      <c r="O68" s="52" t="str">
        <f ca="1">IFERROR(OFFSET(INDIRECT($H$3 &amp; "!A152"), 12, 0), "")</f>
        <v>디센트럴랜드</v>
      </c>
      <c r="P68" s="39">
        <f t="shared" ca="1" si="20"/>
        <v>373</v>
      </c>
      <c r="Q68" s="70">
        <f t="shared" ca="1" si="21"/>
        <v>-1.5831134600000001E-2</v>
      </c>
      <c r="R68" s="79">
        <f t="shared" ca="1" si="24"/>
        <v>854729.57165474002</v>
      </c>
    </row>
    <row r="69" spans="1:18">
      <c r="A69" s="40" t="s">
        <v>125</v>
      </c>
      <c r="B69" s="11" t="s">
        <v>126</v>
      </c>
      <c r="C69" s="86">
        <v>20.100000000000001</v>
      </c>
      <c r="D69" s="34">
        <v>-4.9504950000000001E-3</v>
      </c>
      <c r="E69" s="84">
        <v>9500896.6536671296</v>
      </c>
      <c r="F69" s="35"/>
      <c r="G69" s="52" t="str">
        <f ca="1">IFERROR(OFFSET(INDIRECT($H$3 &amp; "!A179"), 13, 0), "")</f>
        <v>리스크</v>
      </c>
      <c r="H69" s="39">
        <f t="shared" ca="1" si="25"/>
        <v>900</v>
      </c>
      <c r="I69" s="70">
        <f t="shared" ca="1" si="26"/>
        <v>-1.8538713200000001E-2</v>
      </c>
      <c r="J69" s="79">
        <f t="shared" ca="1" si="22"/>
        <v>1172135.15191696</v>
      </c>
      <c r="K69" s="52" t="str">
        <f ca="1">IFERROR(OFFSET(INDIRECT($H$3 &amp; "!A125"), 13, 0), "")</f>
        <v>넴</v>
      </c>
      <c r="L69" s="39">
        <f t="shared" ca="1" si="18"/>
        <v>36.200000000000003</v>
      </c>
      <c r="M69" s="70">
        <f t="shared" ca="1" si="19"/>
        <v>-8.2191781000000002E-3</v>
      </c>
      <c r="N69" s="79">
        <f t="shared" ca="1" si="23"/>
        <v>3235953.9474301501</v>
      </c>
      <c r="O69" s="52" t="str">
        <f ca="1">IFERROR(OFFSET(INDIRECT($H$3 &amp; "!A152"), 13, 0), "")</f>
        <v>샌드박스</v>
      </c>
      <c r="P69" s="39">
        <f t="shared" ca="1" si="20"/>
        <v>482</v>
      </c>
      <c r="Q69" s="70">
        <f t="shared" ca="1" si="21"/>
        <v>-1.2295082000000001E-2</v>
      </c>
      <c r="R69" s="79">
        <f t="shared" ca="1" si="24"/>
        <v>5073903.0407424197</v>
      </c>
    </row>
    <row r="70" spans="1:18">
      <c r="A70" s="40" t="s">
        <v>156</v>
      </c>
      <c r="B70" s="11" t="s">
        <v>157</v>
      </c>
      <c r="C70" s="86">
        <v>198</v>
      </c>
      <c r="D70" s="34">
        <v>-5.0251256000000003E-3</v>
      </c>
      <c r="E70" s="84">
        <v>7910707.3200263102</v>
      </c>
      <c r="F70" s="35"/>
      <c r="G70" s="52" t="str">
        <f ca="1">IFERROR(OFFSET(INDIRECT($H$3 &amp; "!A179"), 14, 0), "")</f>
        <v>스택스</v>
      </c>
      <c r="H70" s="39">
        <f t="shared" ca="1" si="25"/>
        <v>269</v>
      </c>
      <c r="I70" s="70">
        <f t="shared" ca="1" si="26"/>
        <v>-1.8248175200000001E-2</v>
      </c>
      <c r="J70" s="83">
        <f t="shared" ca="1" si="22"/>
        <v>2187558.3877982399</v>
      </c>
      <c r="K70" s="54" t="str">
        <f ca="1">IFERROR(OFFSET(INDIRECT($H$3 &amp; "!A125"), 14, 0), "")</f>
        <v>도지코인</v>
      </c>
      <c r="L70" s="44">
        <f t="shared" ca="1" si="18"/>
        <v>88.7</v>
      </c>
      <c r="M70" s="71">
        <f t="shared" ca="1" si="19"/>
        <v>-7.8299775999999995E-3</v>
      </c>
      <c r="N70" s="83">
        <f t="shared" ca="1" si="23"/>
        <v>72631562.846164167</v>
      </c>
      <c r="O70" s="54" t="str">
        <f ca="1">IFERROR(OFFSET(INDIRECT($H$3 &amp; "!A152"), 14, 0), "")</f>
        <v>세럼</v>
      </c>
      <c r="P70" s="44">
        <f t="shared" ca="1" si="20"/>
        <v>225</v>
      </c>
      <c r="Q70" s="71">
        <f t="shared" ca="1" si="21"/>
        <v>-1.3157894700000001E-2</v>
      </c>
      <c r="R70" s="83">
        <f t="shared" ca="1" si="24"/>
        <v>2975489.7397455899</v>
      </c>
    </row>
    <row r="71" spans="1:18">
      <c r="A71" s="40" t="s">
        <v>65</v>
      </c>
      <c r="B71" s="11" t="s">
        <v>66</v>
      </c>
      <c r="C71" s="86">
        <v>575</v>
      </c>
      <c r="D71" s="34">
        <v>-5.1903113999999997E-3</v>
      </c>
      <c r="E71" s="84">
        <v>282830.03431989002</v>
      </c>
      <c r="F71" s="35"/>
      <c r="G71" s="56" t="str">
        <f ca="1">IFERROR(OFFSET(INDIRECT($H$3 &amp; "!A179"), 15, 0), "")</f>
        <v>웨이브</v>
      </c>
      <c r="H71" s="45">
        <f t="shared" ca="1" si="25"/>
        <v>1635</v>
      </c>
      <c r="I71" s="73">
        <f t="shared" ca="1" si="26"/>
        <v>-2.0958083799999999E-2</v>
      </c>
      <c r="J71" s="89">
        <f t="shared" ca="1" si="22"/>
        <v>1154672.3256576499</v>
      </c>
      <c r="K71" s="52" t="str">
        <f ca="1">IFERROR(OFFSET(INDIRECT($H$3 &amp; "!A125"), 15, 0), "")</f>
        <v>디카르고</v>
      </c>
      <c r="L71" s="39">
        <f t="shared" ca="1" si="18"/>
        <v>32.799999999999997</v>
      </c>
      <c r="M71" s="70">
        <f t="shared" ca="1" si="19"/>
        <v>-1.20481928E-2</v>
      </c>
      <c r="N71" s="89">
        <f t="shared" ca="1" si="23"/>
        <v>10787718.79069436</v>
      </c>
      <c r="O71" s="52" t="str">
        <f ca="1">IFERROR(OFFSET(INDIRECT($H$3 &amp; "!A152"), 15, 0), "")</f>
        <v>메탈</v>
      </c>
      <c r="P71" s="39">
        <f t="shared" ca="1" si="20"/>
        <v>874</v>
      </c>
      <c r="Q71" s="70">
        <f t="shared" ca="1" si="21"/>
        <v>-1.68728909E-2</v>
      </c>
      <c r="R71" s="89">
        <f t="shared" ca="1" si="24"/>
        <v>2164910.9733821801</v>
      </c>
    </row>
    <row r="72" spans="1:18">
      <c r="A72" s="40" t="s">
        <v>180</v>
      </c>
      <c r="B72" s="11" t="s">
        <v>181</v>
      </c>
      <c r="C72" s="86">
        <v>3.82</v>
      </c>
      <c r="D72" s="34">
        <v>-5.2083333000000004E-3</v>
      </c>
      <c r="E72" s="84">
        <v>27019778.60990246</v>
      </c>
      <c r="F72" s="35"/>
      <c r="G72" s="52" t="str">
        <f ca="1">IFERROR(OFFSET(INDIRECT($H$3 &amp; "!A179"), 16, 0), "")</f>
        <v>쓰레스홀드</v>
      </c>
      <c r="H72" s="39">
        <f t="shared" ca="1" si="25"/>
        <v>20.100000000000001</v>
      </c>
      <c r="I72" s="70">
        <f t="shared" ca="1" si="26"/>
        <v>-2.42718447E-2</v>
      </c>
      <c r="J72" s="79">
        <f t="shared" ca="1" si="22"/>
        <v>18257925.172683861</v>
      </c>
      <c r="K72" s="52" t="str">
        <f ca="1">IFERROR(OFFSET(INDIRECT($H$3 &amp; "!A125"), 16, 0), "")</f>
        <v>에스티피</v>
      </c>
      <c r="L72" s="39">
        <f t="shared" ca="1" si="18"/>
        <v>32.9</v>
      </c>
      <c r="M72" s="70">
        <f t="shared" ca="1" si="19"/>
        <v>-3.0303029999999998E-3</v>
      </c>
      <c r="N72" s="79">
        <f t="shared" ca="1" si="23"/>
        <v>7351637.8738897098</v>
      </c>
      <c r="O72" s="52" t="str">
        <f ca="1">IFERROR(OFFSET(INDIRECT($H$3 &amp; "!A152"), 16, 0), "")</f>
        <v>누사이퍼</v>
      </c>
      <c r="P72" s="39">
        <f t="shared" ca="1" si="20"/>
        <v>105</v>
      </c>
      <c r="Q72" s="70">
        <f t="shared" ca="1" si="21"/>
        <v>-1.8691588799999999E-2</v>
      </c>
      <c r="R72" s="79">
        <f t="shared" ca="1" si="24"/>
        <v>3304776.4681058698</v>
      </c>
    </row>
    <row r="73" spans="1:18">
      <c r="A73" s="40" t="s">
        <v>222</v>
      </c>
      <c r="B73" s="11" t="s">
        <v>223</v>
      </c>
      <c r="C73" s="86">
        <v>185</v>
      </c>
      <c r="D73" s="34">
        <v>-5.3763441000000004E-3</v>
      </c>
      <c r="E73" s="84">
        <v>594660.18546985998</v>
      </c>
      <c r="F73" s="35"/>
      <c r="G73" s="52" t="str">
        <f ca="1">IFERROR(OFFSET(INDIRECT($H$3 &amp; "!A179"), 17, 0), "")</f>
        <v>아이큐</v>
      </c>
      <c r="H73" s="39">
        <f t="shared" ca="1" si="25"/>
        <v>5.51</v>
      </c>
      <c r="I73" s="70">
        <f t="shared" ca="1" si="26"/>
        <v>-2.3049645399999999E-2</v>
      </c>
      <c r="J73" s="79">
        <f t="shared" ca="1" si="22"/>
        <v>1149294390.8977778</v>
      </c>
      <c r="K73" s="52" t="str">
        <f ca="1">IFERROR(OFFSET(INDIRECT($H$3 &amp; "!A125"), 17, 0), "")</f>
        <v>썸씽</v>
      </c>
      <c r="L73" s="39">
        <f t="shared" ca="1" si="18"/>
        <v>17.2</v>
      </c>
      <c r="M73" s="70">
        <f t="shared" ca="1" si="19"/>
        <v>-1.14942529E-2</v>
      </c>
      <c r="N73" s="79">
        <f t="shared" ca="1" si="23"/>
        <v>4370486.0850975104</v>
      </c>
      <c r="O73" s="52" t="str">
        <f ca="1">IFERROR(OFFSET(INDIRECT($H$3 &amp; "!A152"), 17, 0), "")</f>
        <v>리스크</v>
      </c>
      <c r="P73" s="39">
        <f t="shared" ca="1" si="20"/>
        <v>900</v>
      </c>
      <c r="Q73" s="70">
        <f t="shared" ca="1" si="21"/>
        <v>-1.8538713200000001E-2</v>
      </c>
      <c r="R73" s="79">
        <f t="shared" ca="1" si="24"/>
        <v>1172135.15191696</v>
      </c>
    </row>
    <row r="74" spans="1:18">
      <c r="A74" s="40" t="s">
        <v>108</v>
      </c>
      <c r="B74" s="11" t="s">
        <v>109</v>
      </c>
      <c r="C74" s="86">
        <v>917</v>
      </c>
      <c r="D74" s="34">
        <v>-5.4229934999999998E-3</v>
      </c>
      <c r="E74" s="84">
        <v>123346.46341652</v>
      </c>
      <c r="F74" s="35"/>
      <c r="G74" s="52" t="str">
        <f ca="1">IFERROR(OFFSET(INDIRECT($H$3 &amp; "!A179"), 18, 0), "")</f>
        <v>카바</v>
      </c>
      <c r="H74" s="39">
        <f t="shared" ca="1" si="25"/>
        <v>1050</v>
      </c>
      <c r="I74" s="70">
        <f t="shared" ca="1" si="26"/>
        <v>-4.1095890400000001E-2</v>
      </c>
      <c r="J74" s="79">
        <f t="shared" ca="1" si="22"/>
        <v>3646917.9271847899</v>
      </c>
      <c r="K74" s="52" t="str">
        <f ca="1">IFERROR(OFFSET(INDIRECT($H$3 &amp; "!A125"), 18, 0), "")</f>
        <v>쓰레스홀드</v>
      </c>
      <c r="L74" s="39">
        <f t="shared" ca="1" si="18"/>
        <v>20.100000000000001</v>
      </c>
      <c r="M74" s="70">
        <f t="shared" ca="1" si="19"/>
        <v>-2.42718447E-2</v>
      </c>
      <c r="N74" s="79">
        <f t="shared" ca="1" si="23"/>
        <v>18257925.172683861</v>
      </c>
      <c r="O74" s="52" t="str">
        <f ca="1">IFERROR(OFFSET(INDIRECT($H$3 &amp; "!A152"), 18, 0), "")</f>
        <v>스택스</v>
      </c>
      <c r="P74" s="39">
        <f t="shared" ca="1" si="20"/>
        <v>269</v>
      </c>
      <c r="Q74" s="70">
        <f t="shared" ca="1" si="21"/>
        <v>-1.8248175200000001E-2</v>
      </c>
      <c r="R74" s="79">
        <f t="shared" ca="1" si="24"/>
        <v>2187558.3877982399</v>
      </c>
    </row>
    <row r="75" spans="1:18" ht="17.25" thickBot="1">
      <c r="A75" s="40" t="s">
        <v>104</v>
      </c>
      <c r="B75" s="11" t="s">
        <v>105</v>
      </c>
      <c r="C75" s="86">
        <v>179</v>
      </c>
      <c r="D75" s="34">
        <v>-5.5555556000000004E-3</v>
      </c>
      <c r="E75" s="84">
        <v>549087.86696570006</v>
      </c>
      <c r="F75" s="35"/>
      <c r="G75" s="53" t="str">
        <f ca="1">IFERROR(OFFSET(INDIRECT($H$3 &amp; "!A179"), 19, 0), "")</f>
        <v>알파쿼크</v>
      </c>
      <c r="H75" s="37">
        <f t="shared" ca="1" si="25"/>
        <v>938</v>
      </c>
      <c r="I75" s="72">
        <f t="shared" ca="1" si="26"/>
        <v>-6.1061061100000001E-2</v>
      </c>
      <c r="J75" s="80">
        <f t="shared" ca="1" si="22"/>
        <v>4822749.2836128604</v>
      </c>
      <c r="K75" s="53" t="str">
        <f ca="1">IFERROR(OFFSET(INDIRECT($H$3 &amp; "!A125"), 19, 0), "")</f>
        <v>아이큐</v>
      </c>
      <c r="L75" s="37">
        <f t="shared" ca="1" si="18"/>
        <v>5.51</v>
      </c>
      <c r="M75" s="72">
        <f t="shared" ca="1" si="19"/>
        <v>-2.3049645399999999E-2</v>
      </c>
      <c r="N75" s="80">
        <f t="shared" ca="1" si="23"/>
        <v>1149294390.8977778</v>
      </c>
      <c r="O75" s="53" t="str">
        <f ca="1">IFERROR(OFFSET(INDIRECT($H$3 &amp; "!A152"), 19, 0), "")</f>
        <v>알파쿼크</v>
      </c>
      <c r="P75" s="37">
        <f t="shared" ca="1" si="20"/>
        <v>938</v>
      </c>
      <c r="Q75" s="72">
        <f t="shared" ca="1" si="21"/>
        <v>-6.1061061100000001E-2</v>
      </c>
      <c r="R75" s="80">
        <f t="shared" ca="1" si="24"/>
        <v>4822749.2836128604</v>
      </c>
    </row>
    <row r="76" spans="1:18">
      <c r="A76" s="40" t="s">
        <v>200</v>
      </c>
      <c r="B76" s="11" t="s">
        <v>201</v>
      </c>
      <c r="C76" s="86">
        <v>170</v>
      </c>
      <c r="D76" s="34">
        <v>-5.8479532000000004E-3</v>
      </c>
      <c r="E76" s="84">
        <v>2853870.3768062601</v>
      </c>
      <c r="F76" s="35"/>
      <c r="G76" s="35"/>
      <c r="H76" s="35"/>
      <c r="I76" s="35"/>
    </row>
    <row r="77" spans="1:18">
      <c r="A77" s="40" t="s">
        <v>146</v>
      </c>
      <c r="B77" s="11" t="s">
        <v>147</v>
      </c>
      <c r="C77" s="86">
        <v>7645</v>
      </c>
      <c r="D77" s="34">
        <v>-6.4977257999999996E-3</v>
      </c>
      <c r="E77" s="84">
        <v>252904.85031574999</v>
      </c>
      <c r="F77" s="35"/>
      <c r="G77" s="35"/>
      <c r="H77" s="35"/>
      <c r="I77" s="35"/>
    </row>
    <row r="78" spans="1:18">
      <c r="A78" s="40" t="s">
        <v>338</v>
      </c>
      <c r="B78" s="11" t="s">
        <v>339</v>
      </c>
      <c r="C78" s="86">
        <v>959</v>
      </c>
      <c r="D78" s="34">
        <v>-7.2463768E-3</v>
      </c>
      <c r="E78" s="84">
        <v>1267216.3143669099</v>
      </c>
      <c r="F78" s="35"/>
      <c r="G78" s="35"/>
      <c r="H78" s="35"/>
      <c r="I78" s="35"/>
    </row>
    <row r="79" spans="1:18">
      <c r="A79" s="40" t="s">
        <v>158</v>
      </c>
      <c r="B79" s="11" t="s">
        <v>159</v>
      </c>
      <c r="C79" s="86">
        <v>133</v>
      </c>
      <c r="D79" s="34">
        <v>-7.4626865999999998E-3</v>
      </c>
      <c r="E79" s="84">
        <v>3301004.0617756201</v>
      </c>
      <c r="F79" s="35"/>
      <c r="G79" s="35"/>
      <c r="H79" s="35"/>
      <c r="I79" s="35"/>
    </row>
    <row r="80" spans="1:18">
      <c r="A80" s="40" t="s">
        <v>198</v>
      </c>
      <c r="B80" s="11" t="s">
        <v>199</v>
      </c>
      <c r="C80" s="86">
        <v>260</v>
      </c>
      <c r="D80" s="34">
        <v>-7.6335878000000001E-3</v>
      </c>
      <c r="E80" s="84">
        <v>354105.20598224999</v>
      </c>
      <c r="F80" s="35"/>
      <c r="G80" s="35"/>
      <c r="H80" s="35"/>
      <c r="I80" s="35"/>
    </row>
    <row r="81" spans="1:9">
      <c r="A81" s="40" t="s">
        <v>252</v>
      </c>
      <c r="B81" s="11" t="s">
        <v>253</v>
      </c>
      <c r="C81" s="86">
        <v>88.7</v>
      </c>
      <c r="D81" s="34">
        <v>-7.8299775999999995E-3</v>
      </c>
      <c r="E81" s="84">
        <v>72631562.846164167</v>
      </c>
      <c r="F81" s="35"/>
      <c r="G81" s="35"/>
      <c r="H81" s="35"/>
      <c r="I81" s="35"/>
    </row>
    <row r="82" spans="1:9">
      <c r="A82" s="40" t="s">
        <v>55</v>
      </c>
      <c r="B82" s="11" t="s">
        <v>56</v>
      </c>
      <c r="C82" s="86">
        <v>36.200000000000003</v>
      </c>
      <c r="D82" s="34">
        <v>-8.2191781000000002E-3</v>
      </c>
      <c r="E82" s="84">
        <v>3235953.9474301501</v>
      </c>
      <c r="F82" s="35"/>
      <c r="G82" s="35"/>
      <c r="H82" s="35"/>
      <c r="I82" s="35"/>
    </row>
    <row r="83" spans="1:9">
      <c r="A83" s="40" t="s">
        <v>186</v>
      </c>
      <c r="B83" s="11" t="s">
        <v>187</v>
      </c>
      <c r="C83" s="86">
        <v>705</v>
      </c>
      <c r="D83" s="34">
        <v>-8.4388186E-3</v>
      </c>
      <c r="E83" s="84">
        <v>446229.26632071001</v>
      </c>
      <c r="F83" s="35"/>
      <c r="G83" s="35"/>
      <c r="H83" s="35"/>
      <c r="I83" s="35"/>
    </row>
    <row r="84" spans="1:9">
      <c r="A84" s="40" t="s">
        <v>82</v>
      </c>
      <c r="B84" s="11" t="s">
        <v>83</v>
      </c>
      <c r="C84" s="86">
        <v>1095</v>
      </c>
      <c r="D84" s="34">
        <v>-9.0497738000000008E-3</v>
      </c>
      <c r="E84" s="84">
        <v>334503.33131480002</v>
      </c>
      <c r="F84" s="35"/>
      <c r="G84" s="35"/>
      <c r="H84" s="35"/>
      <c r="I84" s="35"/>
    </row>
    <row r="85" spans="1:9">
      <c r="A85" s="40" t="s">
        <v>188</v>
      </c>
      <c r="B85" s="11" t="s">
        <v>189</v>
      </c>
      <c r="C85" s="86">
        <v>826</v>
      </c>
      <c r="D85" s="34">
        <v>-9.5923260999999996E-3</v>
      </c>
      <c r="E85" s="84">
        <v>1430814.4184874899</v>
      </c>
      <c r="F85" s="35"/>
      <c r="G85" s="35"/>
      <c r="H85" s="35"/>
      <c r="I85" s="35"/>
    </row>
    <row r="86" spans="1:9">
      <c r="A86" s="40" t="s">
        <v>94</v>
      </c>
      <c r="B86" s="11" t="s">
        <v>95</v>
      </c>
      <c r="C86" s="86">
        <v>904</v>
      </c>
      <c r="D86" s="34">
        <v>-9.8576123000000005E-3</v>
      </c>
      <c r="E86" s="84">
        <v>154444.67886252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86">
        <v>20</v>
      </c>
      <c r="D87" s="34">
        <v>-9.9009900999999997E-3</v>
      </c>
      <c r="E87" s="84">
        <v>11467124.893646389</v>
      </c>
      <c r="F87" s="35"/>
      <c r="G87" s="35"/>
      <c r="H87" s="35"/>
      <c r="I87" s="35"/>
    </row>
    <row r="88" spans="1:9">
      <c r="A88" s="40" t="s">
        <v>234</v>
      </c>
      <c r="B88" s="11" t="s">
        <v>235</v>
      </c>
      <c r="C88" s="86">
        <v>491</v>
      </c>
      <c r="D88" s="34">
        <v>-1.00806452E-2</v>
      </c>
      <c r="E88" s="84">
        <v>459083.98123804998</v>
      </c>
      <c r="F88" s="35"/>
      <c r="G88" s="35"/>
      <c r="H88" s="35"/>
      <c r="I88" s="35"/>
    </row>
    <row r="89" spans="1:9">
      <c r="A89" s="40" t="s">
        <v>129</v>
      </c>
      <c r="B89" s="11" t="s">
        <v>130</v>
      </c>
      <c r="C89" s="86">
        <v>575</v>
      </c>
      <c r="D89" s="34">
        <v>-1.03270224E-2</v>
      </c>
      <c r="E89" s="84">
        <v>944795.05583056004</v>
      </c>
      <c r="F89" s="35"/>
      <c r="G89" s="35"/>
      <c r="H89" s="35"/>
      <c r="I89" s="35"/>
    </row>
    <row r="90" spans="1:9">
      <c r="A90" s="40" t="s">
        <v>214</v>
      </c>
      <c r="B90" s="11" t="s">
        <v>215</v>
      </c>
      <c r="C90" s="86">
        <v>277</v>
      </c>
      <c r="D90" s="34">
        <v>-1.0714285699999999E-2</v>
      </c>
      <c r="E90" s="84">
        <v>882988.03384646995</v>
      </c>
      <c r="F90" s="35"/>
      <c r="G90" s="35"/>
      <c r="H90" s="35"/>
      <c r="I90" s="35"/>
    </row>
    <row r="91" spans="1:9">
      <c r="A91" s="40" t="s">
        <v>162</v>
      </c>
      <c r="B91" s="11" t="s">
        <v>163</v>
      </c>
      <c r="C91" s="86">
        <v>5325</v>
      </c>
      <c r="D91" s="34">
        <v>-1.1142061300000001E-2</v>
      </c>
      <c r="E91" s="84">
        <v>60669.368968850002</v>
      </c>
      <c r="F91" s="35"/>
      <c r="G91" s="35"/>
      <c r="H91" s="35"/>
      <c r="I91" s="35"/>
    </row>
    <row r="92" spans="1:9">
      <c r="A92" s="40" t="s">
        <v>220</v>
      </c>
      <c r="B92" s="11" t="s">
        <v>221</v>
      </c>
      <c r="C92" s="86">
        <v>17.2</v>
      </c>
      <c r="D92" s="34">
        <v>-1.14942529E-2</v>
      </c>
      <c r="E92" s="84">
        <v>4370486.0850975104</v>
      </c>
      <c r="F92" s="35"/>
      <c r="G92" s="35"/>
      <c r="H92" s="35"/>
      <c r="I92" s="35"/>
    </row>
    <row r="93" spans="1:9">
      <c r="A93" s="40" t="s">
        <v>236</v>
      </c>
      <c r="B93" s="11" t="s">
        <v>237</v>
      </c>
      <c r="C93" s="86">
        <v>25.1</v>
      </c>
      <c r="D93" s="34">
        <v>-1.18110236E-2</v>
      </c>
      <c r="E93" s="84">
        <v>4010970.2929187398</v>
      </c>
      <c r="F93" s="35"/>
      <c r="G93" s="35"/>
      <c r="H93" s="35"/>
      <c r="I93" s="35"/>
    </row>
    <row r="94" spans="1:9">
      <c r="A94" s="40" t="s">
        <v>342</v>
      </c>
      <c r="B94" s="11" t="s">
        <v>343</v>
      </c>
      <c r="C94" s="86">
        <v>12540</v>
      </c>
      <c r="D94" s="34">
        <v>-1.1820331E-2</v>
      </c>
      <c r="E94" s="84">
        <v>830818.91243287001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86">
        <v>2490</v>
      </c>
      <c r="D95" s="34">
        <v>-1.19047619E-2</v>
      </c>
      <c r="E95" s="84">
        <v>112398.75898075</v>
      </c>
      <c r="F95" s="35"/>
      <c r="G95" s="35"/>
      <c r="H95" s="35"/>
      <c r="I95" s="35"/>
    </row>
    <row r="96" spans="1:9">
      <c r="A96" s="40" t="s">
        <v>106</v>
      </c>
      <c r="B96" s="11" t="s">
        <v>107</v>
      </c>
      <c r="C96" s="86">
        <v>32.799999999999997</v>
      </c>
      <c r="D96" s="34">
        <v>-1.20481928E-2</v>
      </c>
      <c r="E96" s="84">
        <v>10787718.79069436</v>
      </c>
      <c r="F96" s="35"/>
      <c r="G96" s="35"/>
      <c r="H96" s="35"/>
      <c r="I96" s="35"/>
    </row>
    <row r="97" spans="1:9">
      <c r="A97" s="40" t="s">
        <v>110</v>
      </c>
      <c r="B97" s="11" t="s">
        <v>111</v>
      </c>
      <c r="C97" s="86">
        <v>482</v>
      </c>
      <c r="D97" s="34">
        <v>-1.2295082000000001E-2</v>
      </c>
      <c r="E97" s="84">
        <v>5073903.0407424197</v>
      </c>
      <c r="F97" s="35"/>
      <c r="G97" s="35"/>
      <c r="H97" s="35"/>
      <c r="I97" s="35"/>
    </row>
    <row r="98" spans="1:9">
      <c r="A98" s="40" t="s">
        <v>334</v>
      </c>
      <c r="B98" s="11" t="s">
        <v>335</v>
      </c>
      <c r="C98" s="86">
        <v>1585</v>
      </c>
      <c r="D98" s="34">
        <v>-1.2461059199999999E-2</v>
      </c>
      <c r="E98" s="84">
        <v>428344.39372426999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86">
        <v>11350</v>
      </c>
      <c r="D99" s="34">
        <v>-1.30434783E-2</v>
      </c>
      <c r="E99" s="84">
        <v>9416.7211202300005</v>
      </c>
      <c r="F99" s="35"/>
      <c r="G99" s="35"/>
      <c r="H99" s="35"/>
      <c r="I99" s="35"/>
    </row>
    <row r="100" spans="1:9">
      <c r="A100" s="40" t="s">
        <v>228</v>
      </c>
      <c r="B100" s="11" t="s">
        <v>229</v>
      </c>
      <c r="C100" s="86">
        <v>226</v>
      </c>
      <c r="D100" s="34">
        <v>-1.3100436700000001E-2</v>
      </c>
      <c r="E100" s="84">
        <v>1204977.7674155701</v>
      </c>
      <c r="F100" s="35"/>
      <c r="G100" s="35"/>
      <c r="H100" s="35"/>
      <c r="I100" s="35"/>
    </row>
    <row r="101" spans="1:9">
      <c r="A101" s="40" t="s">
        <v>67</v>
      </c>
      <c r="B101" s="11" t="s">
        <v>68</v>
      </c>
      <c r="C101" s="86">
        <v>225</v>
      </c>
      <c r="D101" s="34">
        <v>-1.3157894700000001E-2</v>
      </c>
      <c r="E101" s="84">
        <v>2975489.7397455899</v>
      </c>
      <c r="F101" s="35"/>
      <c r="G101" s="35"/>
      <c r="H101" s="35"/>
      <c r="I101" s="35"/>
    </row>
    <row r="102" spans="1:9">
      <c r="A102" s="40" t="s">
        <v>340</v>
      </c>
      <c r="B102" s="11" t="s">
        <v>341</v>
      </c>
      <c r="C102" s="86">
        <v>597</v>
      </c>
      <c r="D102" s="34">
        <v>-1.3223140499999999E-2</v>
      </c>
      <c r="E102" s="84">
        <v>635456.84921267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86">
        <v>1325</v>
      </c>
      <c r="D103" s="34">
        <v>-1.4869888499999999E-2</v>
      </c>
      <c r="E103" s="84">
        <v>106283.76345599</v>
      </c>
      <c r="F103" s="35"/>
      <c r="G103" s="35"/>
      <c r="H103" s="35"/>
      <c r="I103" s="35"/>
    </row>
    <row r="104" spans="1:9">
      <c r="A104" s="40" t="s">
        <v>346</v>
      </c>
      <c r="B104" s="11" t="s">
        <v>347</v>
      </c>
      <c r="C104" s="86">
        <v>13690</v>
      </c>
      <c r="D104" s="34">
        <v>-1.58159597E-2</v>
      </c>
      <c r="E104" s="84">
        <v>20291.714792549999</v>
      </c>
      <c r="F104" s="35"/>
      <c r="G104" s="35"/>
      <c r="H104" s="35"/>
      <c r="I104" s="35"/>
    </row>
    <row r="105" spans="1:9">
      <c r="A105" s="40" t="s">
        <v>59</v>
      </c>
      <c r="B105" s="11" t="s">
        <v>60</v>
      </c>
      <c r="C105" s="86">
        <v>373</v>
      </c>
      <c r="D105" s="34">
        <v>-1.5831134600000001E-2</v>
      </c>
      <c r="E105" s="84">
        <v>854729.57165474002</v>
      </c>
      <c r="F105" s="35"/>
      <c r="G105" s="35"/>
      <c r="H105" s="35"/>
      <c r="I105" s="35"/>
    </row>
    <row r="106" spans="1:9">
      <c r="A106" s="40" t="s">
        <v>164</v>
      </c>
      <c r="B106" s="11" t="s">
        <v>165</v>
      </c>
      <c r="C106" s="86">
        <v>874</v>
      </c>
      <c r="D106" s="34">
        <v>-1.68728909E-2</v>
      </c>
      <c r="E106" s="84">
        <v>2164910.9733821801</v>
      </c>
      <c r="F106" s="35"/>
      <c r="G106" s="35"/>
      <c r="H106" s="35"/>
      <c r="I106" s="35"/>
    </row>
    <row r="107" spans="1:9">
      <c r="A107" s="40" t="s">
        <v>160</v>
      </c>
      <c r="B107" s="11" t="s">
        <v>161</v>
      </c>
      <c r="C107" s="86">
        <v>269</v>
      </c>
      <c r="D107" s="34">
        <v>-1.8248175200000001E-2</v>
      </c>
      <c r="E107" s="84">
        <v>2187558.3877982399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86">
        <v>900</v>
      </c>
      <c r="D108" s="34">
        <v>-1.8538713200000001E-2</v>
      </c>
      <c r="E108" s="84">
        <v>1172135.15191696</v>
      </c>
      <c r="F108" s="35"/>
      <c r="G108" s="35"/>
      <c r="H108" s="35"/>
      <c r="I108" s="35"/>
    </row>
    <row r="109" spans="1:9">
      <c r="A109" s="40" t="s">
        <v>344</v>
      </c>
      <c r="B109" s="11" t="s">
        <v>345</v>
      </c>
      <c r="C109" s="86">
        <v>105</v>
      </c>
      <c r="D109" s="34">
        <v>-1.8691588799999999E-2</v>
      </c>
      <c r="E109" s="41">
        <v>3304776.4681058698</v>
      </c>
    </row>
    <row r="110" spans="1:9">
      <c r="A110" s="40" t="s">
        <v>150</v>
      </c>
      <c r="B110" s="11" t="s">
        <v>151</v>
      </c>
      <c r="C110" s="86">
        <v>1635</v>
      </c>
      <c r="D110" s="34">
        <v>-2.0958083799999999E-2</v>
      </c>
      <c r="E110" s="41">
        <v>1154672.3256576499</v>
      </c>
    </row>
    <row r="111" spans="1:9">
      <c r="A111" s="40" t="s">
        <v>170</v>
      </c>
      <c r="B111" s="11" t="s">
        <v>350</v>
      </c>
      <c r="C111" s="86">
        <v>5.51</v>
      </c>
      <c r="D111" s="34">
        <v>-2.3049645399999999E-2</v>
      </c>
      <c r="E111" s="41">
        <v>1149294390.8977778</v>
      </c>
    </row>
    <row r="112" spans="1:9">
      <c r="A112" s="40" t="s">
        <v>348</v>
      </c>
      <c r="B112" s="11" t="s">
        <v>349</v>
      </c>
      <c r="C112" s="86">
        <v>20.100000000000001</v>
      </c>
      <c r="D112" s="34">
        <v>-2.42718447E-2</v>
      </c>
      <c r="E112" s="41">
        <v>18257925.172683861</v>
      </c>
    </row>
    <row r="113" spans="1:5">
      <c r="A113" s="40" t="s">
        <v>112</v>
      </c>
      <c r="B113" s="11" t="s">
        <v>113</v>
      </c>
      <c r="C113" s="86">
        <v>1050</v>
      </c>
      <c r="D113" s="34">
        <v>-4.1095890400000001E-2</v>
      </c>
      <c r="E113" s="41">
        <v>3646917.9271847899</v>
      </c>
    </row>
    <row r="114" spans="1:5">
      <c r="A114" s="40" t="s">
        <v>115</v>
      </c>
      <c r="B114" s="11" t="s">
        <v>116</v>
      </c>
      <c r="C114" s="86">
        <v>938</v>
      </c>
      <c r="D114" s="34">
        <v>-6.1061061100000001E-2</v>
      </c>
      <c r="E114" s="41">
        <v>4822749.2836128604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119</v>
      </c>
      <c r="B2" s="11" t="s">
        <v>120</v>
      </c>
      <c r="C2" s="86">
        <v>108</v>
      </c>
      <c r="D2" s="34">
        <v>0.13089005240000001</v>
      </c>
      <c r="E2" s="84">
        <v>84854132.580444857</v>
      </c>
      <c r="F2" s="35"/>
      <c r="G2" s="50"/>
      <c r="H2" s="35"/>
      <c r="I2" s="35"/>
    </row>
    <row r="3" spans="1:18" ht="17.25" thickBot="1">
      <c r="A3" s="40" t="s">
        <v>204</v>
      </c>
      <c r="B3" s="11" t="s">
        <v>205</v>
      </c>
      <c r="C3" s="86">
        <v>92.3</v>
      </c>
      <c r="D3" s="34">
        <v>4.88636364E-2</v>
      </c>
      <c r="E3" s="84">
        <v>178347723.31199464</v>
      </c>
      <c r="F3" s="35"/>
      <c r="G3" s="196" t="s">
        <v>247</v>
      </c>
      <c r="H3" s="208" t="s">
        <v>351</v>
      </c>
      <c r="I3" s="208"/>
      <c r="K3" s="135" t="s">
        <v>34</v>
      </c>
      <c r="L3" s="136"/>
      <c r="M3" s="136"/>
      <c r="N3" s="137"/>
      <c r="O3" s="135" t="s">
        <v>248</v>
      </c>
      <c r="P3" s="136"/>
      <c r="Q3" s="136"/>
      <c r="R3" s="137"/>
    </row>
    <row r="4" spans="1:18" ht="17.25" thickBot="1">
      <c r="A4" s="40" t="s">
        <v>70</v>
      </c>
      <c r="B4" s="11" t="s">
        <v>71</v>
      </c>
      <c r="C4" s="86">
        <v>9.86</v>
      </c>
      <c r="D4" s="34">
        <v>4.5599151599999999E-2</v>
      </c>
      <c r="E4" s="84">
        <v>890510802.53444898</v>
      </c>
      <c r="F4" s="35"/>
      <c r="G4" s="197"/>
      <c r="H4" s="209"/>
      <c r="I4" s="209"/>
      <c r="K4" s="200" t="s">
        <v>54</v>
      </c>
      <c r="L4" s="212">
        <f ca="1">NOW()</f>
        <v>44927.647940856485</v>
      </c>
      <c r="M4" s="213"/>
      <c r="N4" s="214"/>
      <c r="O4" s="203" t="s">
        <v>54</v>
      </c>
      <c r="P4" s="212">
        <f ca="1">NOW()</f>
        <v>44927.647940856485</v>
      </c>
      <c r="Q4" s="213"/>
      <c r="R4" s="214"/>
    </row>
    <row r="5" spans="1:18" ht="17.25" thickBot="1">
      <c r="A5" s="40" t="s">
        <v>190</v>
      </c>
      <c r="B5" s="11" t="s">
        <v>191</v>
      </c>
      <c r="C5" s="86">
        <v>47</v>
      </c>
      <c r="D5" s="34">
        <v>3.9823008799999997E-2</v>
      </c>
      <c r="E5" s="84">
        <v>92355967.75560756</v>
      </c>
      <c r="F5" s="35"/>
      <c r="K5" s="197"/>
      <c r="L5" s="36" t="s">
        <v>57</v>
      </c>
      <c r="M5" s="36" t="s">
        <v>58</v>
      </c>
      <c r="N5" s="64" t="s">
        <v>251</v>
      </c>
      <c r="O5" s="15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240</v>
      </c>
      <c r="B6" s="11" t="s">
        <v>241</v>
      </c>
      <c r="C6" s="86">
        <v>87.5</v>
      </c>
      <c r="D6" s="34">
        <v>3.1839622599999999E-2</v>
      </c>
      <c r="E6" s="84">
        <v>30777816.3858012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120</v>
      </c>
      <c r="P6" s="38">
        <f t="shared" ref="P6:P25" si="2">_xlfn.IFNA(VLOOKUP(O6, $B$2:$D$200, 2, FALSE), "")</f>
        <v>108</v>
      </c>
      <c r="Q6" s="69">
        <f t="shared" ref="Q6:Q25" si="3">_xlfn.IFNA(VLOOKUP(O6, $B$2:$D$200, 3, FALSE), "")</f>
        <v>0.13089005240000001</v>
      </c>
      <c r="R6" s="78">
        <f>_xlfn.IFNA(VLOOKUP(O6, $B$2:$E$200, 4, FALSE), "")</f>
        <v>84854132.580444857</v>
      </c>
    </row>
    <row r="7" spans="1:18">
      <c r="A7" s="40" t="s">
        <v>133</v>
      </c>
      <c r="B7" s="11" t="s">
        <v>134</v>
      </c>
      <c r="C7" s="86">
        <v>1335</v>
      </c>
      <c r="D7" s="34">
        <v>2.2988505699999998E-2</v>
      </c>
      <c r="E7" s="84">
        <v>160091.34748754001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205</v>
      </c>
      <c r="P7" s="39">
        <f t="shared" si="2"/>
        <v>92.3</v>
      </c>
      <c r="Q7" s="70">
        <f t="shared" si="3"/>
        <v>4.88636364E-2</v>
      </c>
      <c r="R7" s="79">
        <f t="shared" ref="R7:R25" si="5">_xlfn.IFNA(VLOOKUP(O7, $B$2:$E$200, 4, FALSE), "")</f>
        <v>178347723.31199464</v>
      </c>
    </row>
    <row r="8" spans="1:18" ht="17.25" thickBot="1">
      <c r="A8" s="40" t="s">
        <v>224</v>
      </c>
      <c r="B8" s="11" t="s">
        <v>225</v>
      </c>
      <c r="C8" s="86">
        <v>51.5</v>
      </c>
      <c r="D8" s="34">
        <v>1.77865613E-2</v>
      </c>
      <c r="E8" s="84">
        <v>44645096.496679127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71</v>
      </c>
      <c r="P8" s="39">
        <f t="shared" si="2"/>
        <v>9.86</v>
      </c>
      <c r="Q8" s="70">
        <f t="shared" si="3"/>
        <v>4.5599151599999999E-2</v>
      </c>
      <c r="R8" s="79">
        <f t="shared" si="5"/>
        <v>890510802.53444898</v>
      </c>
    </row>
    <row r="9" spans="1:18" ht="17.25" thickBot="1">
      <c r="A9" s="40" t="s">
        <v>182</v>
      </c>
      <c r="B9" s="11" t="s">
        <v>183</v>
      </c>
      <c r="C9" s="86">
        <v>115</v>
      </c>
      <c r="D9" s="34">
        <v>1.7699115000000001E-2</v>
      </c>
      <c r="E9" s="84">
        <v>21498928.224920131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191</v>
      </c>
      <c r="P9" s="39">
        <f t="shared" si="2"/>
        <v>47</v>
      </c>
      <c r="Q9" s="70">
        <f t="shared" si="3"/>
        <v>3.9823008799999997E-2</v>
      </c>
      <c r="R9" s="79">
        <f t="shared" si="5"/>
        <v>92355967.75560756</v>
      </c>
    </row>
    <row r="10" spans="1:18">
      <c r="A10" s="40" t="s">
        <v>100</v>
      </c>
      <c r="B10" s="11" t="s">
        <v>101</v>
      </c>
      <c r="C10" s="86">
        <v>195</v>
      </c>
      <c r="D10" s="34">
        <v>1.5625E-2</v>
      </c>
      <c r="E10" s="84">
        <v>1249758.2097181301</v>
      </c>
      <c r="F10" s="35"/>
      <c r="G10" s="210">
        <f>_xlfn.IFNA(VLOOKUP(G7, $B$2:$D$200, 3, FALSE), "-")</f>
        <v>2.8464350000000001E-4</v>
      </c>
      <c r="H10" s="204">
        <f>_xlfn.IFNA(VLOOKUP(G7, $B$2:$D$200, 2, FALSE), "-")</f>
        <v>21085000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241</v>
      </c>
      <c r="P10" s="39">
        <f t="shared" si="2"/>
        <v>87.5</v>
      </c>
      <c r="Q10" s="70">
        <f t="shared" si="3"/>
        <v>3.1839622599999999E-2</v>
      </c>
      <c r="R10" s="83">
        <f t="shared" si="5"/>
        <v>30777816.3858012</v>
      </c>
    </row>
    <row r="11" spans="1:18" ht="17.25" thickBot="1">
      <c r="A11" s="40" t="s">
        <v>212</v>
      </c>
      <c r="B11" s="11" t="s">
        <v>213</v>
      </c>
      <c r="C11" s="86">
        <v>404</v>
      </c>
      <c r="D11" s="34">
        <v>1.50753769E-2</v>
      </c>
      <c r="E11" s="84">
        <v>2459928.3850344401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134</v>
      </c>
      <c r="P11" s="45">
        <f t="shared" si="2"/>
        <v>1335</v>
      </c>
      <c r="Q11" s="73">
        <f t="shared" si="3"/>
        <v>2.2988505699999998E-2</v>
      </c>
      <c r="R11" s="89">
        <f t="shared" si="5"/>
        <v>160091.34748754001</v>
      </c>
    </row>
    <row r="12" spans="1:18" ht="17.25" thickBot="1">
      <c r="A12" s="40" t="s">
        <v>320</v>
      </c>
      <c r="B12" s="11" t="s">
        <v>321</v>
      </c>
      <c r="C12" s="86">
        <v>151</v>
      </c>
      <c r="D12" s="34">
        <v>1.34228188E-2</v>
      </c>
      <c r="E12" s="84">
        <v>13079271.6467875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225</v>
      </c>
      <c r="P12" s="39">
        <f t="shared" si="2"/>
        <v>51.5</v>
      </c>
      <c r="Q12" s="70">
        <f t="shared" si="3"/>
        <v>1.77865613E-2</v>
      </c>
      <c r="R12" s="79">
        <f t="shared" si="5"/>
        <v>44645096.496679127</v>
      </c>
    </row>
    <row r="13" spans="1:18" ht="17.25" thickBot="1">
      <c r="A13" s="40" t="s">
        <v>316</v>
      </c>
      <c r="B13" s="11" t="s">
        <v>317</v>
      </c>
      <c r="C13" s="86">
        <v>575</v>
      </c>
      <c r="D13" s="34">
        <v>1.2323943699999999E-2</v>
      </c>
      <c r="E13" s="84">
        <v>19866820.554709248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183</v>
      </c>
      <c r="P13" s="39">
        <f t="shared" si="2"/>
        <v>115</v>
      </c>
      <c r="Q13" s="70">
        <f t="shared" si="3"/>
        <v>1.7699115000000001E-2</v>
      </c>
      <c r="R13" s="79">
        <f t="shared" si="5"/>
        <v>21498928.224920131</v>
      </c>
    </row>
    <row r="14" spans="1:18">
      <c r="A14" s="40" t="s">
        <v>322</v>
      </c>
      <c r="B14" s="11" t="s">
        <v>323</v>
      </c>
      <c r="C14" s="86">
        <v>2.8000000000000001E-2</v>
      </c>
      <c r="D14" s="34">
        <v>1.08303249E-2</v>
      </c>
      <c r="E14" s="84">
        <v>17373972920.799984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101</v>
      </c>
      <c r="P14" s="39">
        <f t="shared" si="2"/>
        <v>195</v>
      </c>
      <c r="Q14" s="70">
        <f t="shared" si="3"/>
        <v>1.5625E-2</v>
      </c>
      <c r="R14" s="79">
        <f t="shared" si="5"/>
        <v>1249758.2097181301</v>
      </c>
    </row>
    <row r="15" spans="1:18" ht="17.25" thickBot="1">
      <c r="A15" s="40" t="s">
        <v>318</v>
      </c>
      <c r="B15" s="11" t="s">
        <v>319</v>
      </c>
      <c r="C15" s="86">
        <v>295</v>
      </c>
      <c r="D15" s="34">
        <v>1.02739726E-2</v>
      </c>
      <c r="E15" s="84">
        <v>8142064.9640025301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213</v>
      </c>
      <c r="P15" s="37">
        <f t="shared" si="2"/>
        <v>404</v>
      </c>
      <c r="Q15" s="72">
        <f t="shared" si="3"/>
        <v>1.50753769E-2</v>
      </c>
      <c r="R15" s="80">
        <f t="shared" si="5"/>
        <v>2459928.3850344401</v>
      </c>
    </row>
    <row r="16" spans="1:18" ht="17.25" thickBot="1">
      <c r="A16" s="40" t="s">
        <v>168</v>
      </c>
      <c r="B16" s="11" t="s">
        <v>169</v>
      </c>
      <c r="C16" s="86">
        <v>217</v>
      </c>
      <c r="D16" s="34">
        <v>9.3023255999999995E-3</v>
      </c>
      <c r="E16" s="84">
        <v>270644.83601427998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321</v>
      </c>
      <c r="P16" s="38">
        <f t="shared" si="2"/>
        <v>151</v>
      </c>
      <c r="Q16" s="69">
        <f t="shared" si="3"/>
        <v>1.34228188E-2</v>
      </c>
      <c r="R16" s="78">
        <f t="shared" si="5"/>
        <v>13079271.6467875</v>
      </c>
    </row>
    <row r="17" spans="1:18">
      <c r="A17" s="40" t="s">
        <v>327</v>
      </c>
      <c r="B17" s="11" t="s">
        <v>328</v>
      </c>
      <c r="C17" s="86">
        <v>4415</v>
      </c>
      <c r="D17" s="34">
        <v>6.8415050999999999E-3</v>
      </c>
      <c r="E17" s="84">
        <v>308520.61245894001</v>
      </c>
      <c r="F17" s="35"/>
      <c r="G17" s="210">
        <f>_xlfn.IFNA(VLOOKUP(G14, $B$2:$D$200, 3, FALSE), "-")</f>
        <v>2.8464350000000001E-4</v>
      </c>
      <c r="H17" s="204">
        <f>_xlfn.IFNA(VLOOKUP(G14, $B$2:$D$200, 2, FALSE), "-")</f>
        <v>21085000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317</v>
      </c>
      <c r="P17" s="39">
        <f t="shared" si="2"/>
        <v>575</v>
      </c>
      <c r="Q17" s="70">
        <f t="shared" si="3"/>
        <v>1.2323943699999999E-2</v>
      </c>
      <c r="R17" s="79">
        <f t="shared" si="5"/>
        <v>19866820.554709248</v>
      </c>
    </row>
    <row r="18" spans="1:18" ht="17.25" thickBot="1">
      <c r="A18" s="40" t="s">
        <v>117</v>
      </c>
      <c r="B18" s="11" t="s">
        <v>118</v>
      </c>
      <c r="C18" s="86">
        <v>4.53</v>
      </c>
      <c r="D18" s="34">
        <v>6.6666666999999997E-3</v>
      </c>
      <c r="E18" s="84">
        <v>48642484.303245239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323</v>
      </c>
      <c r="P18" s="39">
        <f t="shared" si="2"/>
        <v>2.8000000000000001E-2</v>
      </c>
      <c r="Q18" s="70">
        <f t="shared" si="3"/>
        <v>1.08303249E-2</v>
      </c>
      <c r="R18" s="79">
        <f t="shared" si="5"/>
        <v>17373972920.799984</v>
      </c>
    </row>
    <row r="19" spans="1:18" ht="17.25" thickBot="1">
      <c r="A19" s="40" t="s">
        <v>148</v>
      </c>
      <c r="B19" s="11" t="s">
        <v>149</v>
      </c>
      <c r="C19" s="86">
        <v>308</v>
      </c>
      <c r="D19" s="34">
        <v>6.5359477000000001E-3</v>
      </c>
      <c r="E19" s="84">
        <v>217292.44609422999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319</v>
      </c>
      <c r="P19" s="39">
        <f t="shared" si="2"/>
        <v>295</v>
      </c>
      <c r="Q19" s="70">
        <f t="shared" si="3"/>
        <v>1.02739726E-2</v>
      </c>
      <c r="R19" s="79">
        <f t="shared" si="5"/>
        <v>8142064.9640025301</v>
      </c>
    </row>
    <row r="20" spans="1:18" ht="17.25" thickBot="1">
      <c r="A20" s="40" t="s">
        <v>137</v>
      </c>
      <c r="B20" s="11" t="s">
        <v>138</v>
      </c>
      <c r="C20" s="86">
        <v>19.7</v>
      </c>
      <c r="D20" s="34">
        <v>5.1020407999999998E-3</v>
      </c>
      <c r="E20" s="84">
        <v>10071870.493890701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169</v>
      </c>
      <c r="P20" s="39">
        <f t="shared" si="2"/>
        <v>217</v>
      </c>
      <c r="Q20" s="70">
        <f t="shared" si="3"/>
        <v>9.3023255999999995E-3</v>
      </c>
      <c r="R20" s="83">
        <f t="shared" si="5"/>
        <v>270644.83601427998</v>
      </c>
    </row>
    <row r="21" spans="1:18">
      <c r="A21" s="40" t="s">
        <v>78</v>
      </c>
      <c r="B21" s="11" t="s">
        <v>79</v>
      </c>
      <c r="C21" s="86">
        <v>212</v>
      </c>
      <c r="D21" s="34">
        <v>4.7393365E-3</v>
      </c>
      <c r="E21" s="84">
        <v>567076.15847826004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328</v>
      </c>
      <c r="P21" s="45">
        <f t="shared" si="2"/>
        <v>4415</v>
      </c>
      <c r="Q21" s="73">
        <f t="shared" si="3"/>
        <v>6.8415050999999999E-3</v>
      </c>
      <c r="R21" s="89">
        <f t="shared" si="5"/>
        <v>308520.61245894001</v>
      </c>
    </row>
    <row r="22" spans="1:18" ht="17.25" thickBot="1">
      <c r="A22" s="40" t="s">
        <v>325</v>
      </c>
      <c r="B22" s="11" t="s">
        <v>326</v>
      </c>
      <c r="C22" s="86">
        <v>220</v>
      </c>
      <c r="D22" s="34">
        <v>4.5662100000000002E-3</v>
      </c>
      <c r="E22" s="84">
        <v>1602913.8661053299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118</v>
      </c>
      <c r="P22" s="39">
        <f t="shared" si="2"/>
        <v>4.53</v>
      </c>
      <c r="Q22" s="70">
        <f t="shared" si="3"/>
        <v>6.6666666999999997E-3</v>
      </c>
      <c r="R22" s="79">
        <f t="shared" si="5"/>
        <v>48642484.303245239</v>
      </c>
    </row>
    <row r="23" spans="1:18" ht="17.25" thickBot="1">
      <c r="A23" s="40" t="s">
        <v>123</v>
      </c>
      <c r="B23" s="11" t="s">
        <v>124</v>
      </c>
      <c r="C23" s="86">
        <v>26.9</v>
      </c>
      <c r="D23" s="34">
        <v>3.7313432999999999E-3</v>
      </c>
      <c r="E23" s="84">
        <v>3627991.5682977601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149</v>
      </c>
      <c r="P23" s="39">
        <f t="shared" si="2"/>
        <v>308</v>
      </c>
      <c r="Q23" s="70">
        <f t="shared" si="3"/>
        <v>6.5359477000000001E-3</v>
      </c>
      <c r="R23" s="79">
        <f t="shared" si="5"/>
        <v>217292.44609422999</v>
      </c>
    </row>
    <row r="24" spans="1:18">
      <c r="A24" s="40" t="s">
        <v>140</v>
      </c>
      <c r="B24" s="11" t="s">
        <v>141</v>
      </c>
      <c r="C24" s="86">
        <v>2.89</v>
      </c>
      <c r="D24" s="34">
        <v>3.4722222000000001E-3</v>
      </c>
      <c r="E24" s="84">
        <v>63533174.506704926</v>
      </c>
      <c r="F24" s="35"/>
      <c r="G24" s="210">
        <f>_xlfn.IFNA(VLOOKUP(G21, $B$2:$D$200, 3, FALSE), "-")</f>
        <v>2.8464350000000001E-4</v>
      </c>
      <c r="H24" s="204">
        <f>_xlfn.IFNA(VLOOKUP(G21, $B$2:$D$200, 2, FALSE), "-")</f>
        <v>21085000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138</v>
      </c>
      <c r="P24" s="39">
        <f t="shared" si="2"/>
        <v>19.7</v>
      </c>
      <c r="Q24" s="70">
        <f t="shared" si="3"/>
        <v>5.1020407999999998E-3</v>
      </c>
      <c r="R24" s="79">
        <f t="shared" si="5"/>
        <v>10071870.493890701</v>
      </c>
    </row>
    <row r="25" spans="1:18" ht="17.25" thickBot="1">
      <c r="A25" s="40" t="s">
        <v>206</v>
      </c>
      <c r="B25" s="11" t="s">
        <v>207</v>
      </c>
      <c r="C25" s="86">
        <v>58.7</v>
      </c>
      <c r="D25" s="34">
        <v>3.4188033999999999E-3</v>
      </c>
      <c r="E25" s="84">
        <v>3371539.9551235298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79</v>
      </c>
      <c r="P25" s="37">
        <f t="shared" si="2"/>
        <v>212</v>
      </c>
      <c r="Q25" s="72">
        <f t="shared" si="3"/>
        <v>4.7393365E-3</v>
      </c>
      <c r="R25" s="80">
        <f t="shared" si="5"/>
        <v>567076.15847826004</v>
      </c>
    </row>
    <row r="26" spans="1:18">
      <c r="A26" s="40" t="s">
        <v>230</v>
      </c>
      <c r="B26" s="11" t="s">
        <v>231</v>
      </c>
      <c r="C26" s="86">
        <v>302</v>
      </c>
      <c r="D26" s="34">
        <v>3.3222591000000002E-3</v>
      </c>
      <c r="E26" s="84">
        <v>2516497.41695937</v>
      </c>
      <c r="F26" s="35"/>
    </row>
    <row r="27" spans="1:18" ht="17.25" thickBot="1">
      <c r="A27" s="40" t="s">
        <v>61</v>
      </c>
      <c r="B27" s="11" t="s">
        <v>62</v>
      </c>
      <c r="C27" s="86">
        <v>7855</v>
      </c>
      <c r="D27" s="34">
        <v>3.1928479999999999E-3</v>
      </c>
      <c r="E27" s="84">
        <v>74132.687496810002</v>
      </c>
      <c r="F27" s="35"/>
    </row>
    <row r="28" spans="1:18" ht="17.25" thickBot="1">
      <c r="A28" s="40" t="s">
        <v>144</v>
      </c>
      <c r="B28" s="11" t="s">
        <v>145</v>
      </c>
      <c r="C28" s="86">
        <v>69.7</v>
      </c>
      <c r="D28" s="34">
        <v>2.8776978000000001E-3</v>
      </c>
      <c r="E28" s="84">
        <v>21424139.978806619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114</v>
      </c>
      <c r="B29" s="11" t="s">
        <v>324</v>
      </c>
      <c r="C29" s="86">
        <v>71.400000000000006</v>
      </c>
      <c r="D29" s="34">
        <v>2.8089887999999999E-3</v>
      </c>
      <c r="E29" s="84">
        <v>2187261.7661352898</v>
      </c>
      <c r="F29" s="35"/>
      <c r="G29" s="200" t="s">
        <v>54</v>
      </c>
      <c r="H29" s="212">
        <f ca="1">NOW()</f>
        <v>44927.647940856485</v>
      </c>
      <c r="I29" s="213"/>
      <c r="J29" s="214"/>
      <c r="K29" s="203" t="s">
        <v>54</v>
      </c>
      <c r="L29" s="212">
        <f ca="1">NOW()</f>
        <v>44927.647940856485</v>
      </c>
      <c r="M29" s="213"/>
      <c r="N29" s="214"/>
      <c r="O29" s="203" t="s">
        <v>54</v>
      </c>
      <c r="P29" s="212">
        <f ca="1">NOW()</f>
        <v>44927.647940856485</v>
      </c>
      <c r="Q29" s="213"/>
      <c r="R29" s="214"/>
    </row>
    <row r="30" spans="1:18" ht="17.25" thickBot="1">
      <c r="A30" s="40" t="s">
        <v>90</v>
      </c>
      <c r="B30" s="11" t="s">
        <v>91</v>
      </c>
      <c r="C30" s="86">
        <v>14870</v>
      </c>
      <c r="D30" s="34">
        <v>2.6972353000000002E-3</v>
      </c>
      <c r="E30" s="84">
        <v>15993.715533709999</v>
      </c>
      <c r="F30" s="35"/>
      <c r="G30" s="197"/>
      <c r="H30" s="36" t="s">
        <v>57</v>
      </c>
      <c r="I30" s="36" t="s">
        <v>58</v>
      </c>
      <c r="J30" s="64" t="s">
        <v>251</v>
      </c>
      <c r="K30" s="152"/>
      <c r="L30" s="36" t="s">
        <v>57</v>
      </c>
      <c r="M30" s="36" t="s">
        <v>58</v>
      </c>
      <c r="N30" s="64" t="s">
        <v>251</v>
      </c>
      <c r="O30" s="152"/>
      <c r="P30" s="36" t="s">
        <v>57</v>
      </c>
      <c r="Q30" s="36" t="s">
        <v>58</v>
      </c>
      <c r="R30" s="64" t="s">
        <v>251</v>
      </c>
    </row>
    <row r="31" spans="1:18">
      <c r="A31" s="40" t="s">
        <v>72</v>
      </c>
      <c r="B31" s="11" t="s">
        <v>73</v>
      </c>
      <c r="C31" s="86">
        <v>11930</v>
      </c>
      <c r="D31" s="34">
        <v>2.5210084000000001E-3</v>
      </c>
      <c r="E31" s="84">
        <v>82807.64213059</v>
      </c>
      <c r="F31" s="35"/>
      <c r="G31" s="46" t="s">
        <v>120</v>
      </c>
      <c r="H31" s="38">
        <f t="shared" ref="H31:H50" si="6">_xlfn.IFNA(VLOOKUP(G31, $B$2:$D$200, 2, FALSE), "")</f>
        <v>108</v>
      </c>
      <c r="I31" s="69">
        <f t="shared" ref="I31:I50" si="7">_xlfn.IFNA(VLOOKUP(G31, $B$2:$D$200, 3, FALSE), "")</f>
        <v>0.13089005240000001</v>
      </c>
      <c r="J31" s="78">
        <f>_xlfn.IFNA(VLOOKUP(G31, $B$2:$E$200, 4, FALSE), "")</f>
        <v>84854132.580444857</v>
      </c>
      <c r="K31" s="74" t="s">
        <v>205</v>
      </c>
      <c r="L31" s="38">
        <f t="shared" ref="L31:L50" si="8">_xlfn.IFNA(VLOOKUP(K31, $B$2:$D$200, 2, FALSE), "")</f>
        <v>92.3</v>
      </c>
      <c r="M31" s="69">
        <f t="shared" ref="M31:M50" si="9">_xlfn.IFNA(VLOOKUP(K31, $B$2:$D$200, 3, FALSE), "")</f>
        <v>4.88636364E-2</v>
      </c>
      <c r="N31" s="78">
        <f>_xlfn.IFNA(VLOOKUP(K31, $B$2:$E$200, 4, FALSE), "")</f>
        <v>178347723.31199464</v>
      </c>
      <c r="O31" s="74" t="s">
        <v>120</v>
      </c>
      <c r="P31" s="38">
        <f t="shared" ref="P31:P50" si="10">_xlfn.IFNA(VLOOKUP(O31, $B$2:$D$200, 2, FALSE), "")</f>
        <v>108</v>
      </c>
      <c r="Q31" s="69">
        <f t="shared" ref="Q31:Q50" si="11">_xlfn.IFNA(VLOOKUP(O31, $B$2:$D$200, 3, FALSE), "")</f>
        <v>0.13089005240000001</v>
      </c>
      <c r="R31" s="78">
        <f>_xlfn.IFNA(VLOOKUP(O31, $B$2:$E$200, 4, FALSE), "")</f>
        <v>84854132.580444857</v>
      </c>
    </row>
    <row r="32" spans="1:18">
      <c r="A32" s="40" t="s">
        <v>171</v>
      </c>
      <c r="B32" s="11" t="s">
        <v>172</v>
      </c>
      <c r="C32" s="86">
        <v>2340</v>
      </c>
      <c r="D32" s="34">
        <v>2.1413275999999999E-3</v>
      </c>
      <c r="E32" s="84">
        <v>128775.38787132</v>
      </c>
      <c r="F32" s="35"/>
      <c r="G32" s="47" t="s">
        <v>205</v>
      </c>
      <c r="H32" s="39">
        <f t="shared" si="6"/>
        <v>92.3</v>
      </c>
      <c r="I32" s="70">
        <f t="shared" si="7"/>
        <v>4.88636364E-2</v>
      </c>
      <c r="J32" s="79">
        <f t="shared" ref="J32:J50" si="12">_xlfn.IFNA(VLOOKUP(G32, $B$2:$E$200, 4, FALSE), "")</f>
        <v>178347723.31199464</v>
      </c>
      <c r="K32" s="75" t="s">
        <v>71</v>
      </c>
      <c r="L32" s="39">
        <f t="shared" si="8"/>
        <v>9.86</v>
      </c>
      <c r="M32" s="70">
        <f t="shared" si="9"/>
        <v>4.5599151599999999E-2</v>
      </c>
      <c r="N32" s="79">
        <f t="shared" ref="N32:N50" si="13">_xlfn.IFNA(VLOOKUP(K32, $B$2:$E$200, 4, FALSE), "")</f>
        <v>890510802.53444898</v>
      </c>
      <c r="O32" s="75" t="s">
        <v>183</v>
      </c>
      <c r="P32" s="39">
        <f t="shared" si="10"/>
        <v>115</v>
      </c>
      <c r="Q32" s="70">
        <f t="shared" si="11"/>
        <v>1.7699115000000001E-2</v>
      </c>
      <c r="R32" s="79">
        <f t="shared" ref="R32:R50" si="14">_xlfn.IFNA(VLOOKUP(O32, $B$2:$E$200, 4, FALSE), "")</f>
        <v>21498928.224920131</v>
      </c>
    </row>
    <row r="33" spans="1:18">
      <c r="A33" s="40" t="s">
        <v>98</v>
      </c>
      <c r="B33" s="11" t="s">
        <v>99</v>
      </c>
      <c r="C33" s="86">
        <v>20000</v>
      </c>
      <c r="D33" s="34">
        <v>2.0040079999999998E-3</v>
      </c>
      <c r="E33" s="84">
        <v>87716.324779360002</v>
      </c>
      <c r="F33" s="35"/>
      <c r="G33" s="47" t="s">
        <v>71</v>
      </c>
      <c r="H33" s="39">
        <f t="shared" si="6"/>
        <v>9.86</v>
      </c>
      <c r="I33" s="70">
        <f t="shared" si="7"/>
        <v>4.5599151599999999E-2</v>
      </c>
      <c r="J33" s="79">
        <f t="shared" si="12"/>
        <v>890510802.53444898</v>
      </c>
      <c r="K33" s="75" t="s">
        <v>191</v>
      </c>
      <c r="L33" s="39">
        <f t="shared" si="8"/>
        <v>47</v>
      </c>
      <c r="M33" s="70">
        <f t="shared" si="9"/>
        <v>3.9823008799999997E-2</v>
      </c>
      <c r="N33" s="79">
        <f t="shared" si="13"/>
        <v>92355967.75560756</v>
      </c>
      <c r="O33" s="75" t="s">
        <v>101</v>
      </c>
      <c r="P33" s="39">
        <f t="shared" si="10"/>
        <v>195</v>
      </c>
      <c r="Q33" s="70">
        <f t="shared" si="11"/>
        <v>1.5625E-2</v>
      </c>
      <c r="R33" s="79">
        <f t="shared" si="14"/>
        <v>1249758.2097181301</v>
      </c>
    </row>
    <row r="34" spans="1:18">
      <c r="A34" s="40" t="s">
        <v>86</v>
      </c>
      <c r="B34" s="11" t="s">
        <v>87</v>
      </c>
      <c r="C34" s="86">
        <v>52520</v>
      </c>
      <c r="D34" s="34">
        <v>3.8095240000000002E-4</v>
      </c>
      <c r="E34" s="84">
        <v>5092.59818232</v>
      </c>
      <c r="F34" s="35"/>
      <c r="G34" s="47" t="s">
        <v>191</v>
      </c>
      <c r="H34" s="39">
        <f t="shared" si="6"/>
        <v>47</v>
      </c>
      <c r="I34" s="70">
        <f t="shared" si="7"/>
        <v>3.9823008799999997E-2</v>
      </c>
      <c r="J34" s="79">
        <f t="shared" si="12"/>
        <v>92355967.75560756</v>
      </c>
      <c r="K34" s="75" t="s">
        <v>241</v>
      </c>
      <c r="L34" s="39">
        <f t="shared" si="8"/>
        <v>87.5</v>
      </c>
      <c r="M34" s="70">
        <f t="shared" si="9"/>
        <v>3.1839622599999999E-2</v>
      </c>
      <c r="N34" s="79">
        <f t="shared" si="13"/>
        <v>30777816.3858012</v>
      </c>
      <c r="O34" s="75" t="s">
        <v>213</v>
      </c>
      <c r="P34" s="39">
        <f t="shared" si="10"/>
        <v>404</v>
      </c>
      <c r="Q34" s="70">
        <f t="shared" si="11"/>
        <v>1.50753769E-2</v>
      </c>
      <c r="R34" s="79">
        <f t="shared" si="14"/>
        <v>2459928.3850344401</v>
      </c>
    </row>
    <row r="35" spans="1:18">
      <c r="A35" s="40" t="s">
        <v>48</v>
      </c>
      <c r="B35" s="11" t="s">
        <v>49</v>
      </c>
      <c r="C35" s="86">
        <v>21085000</v>
      </c>
      <c r="D35" s="34">
        <v>2.8464350000000001E-4</v>
      </c>
      <c r="E35" s="84">
        <v>653.82077734999996</v>
      </c>
      <c r="F35" s="35"/>
      <c r="G35" s="47" t="s">
        <v>241</v>
      </c>
      <c r="H35" s="44">
        <f t="shared" si="6"/>
        <v>87.5</v>
      </c>
      <c r="I35" s="71">
        <f t="shared" si="7"/>
        <v>3.1839622599999999E-2</v>
      </c>
      <c r="J35" s="83">
        <f t="shared" si="12"/>
        <v>30777816.3858012</v>
      </c>
      <c r="K35" s="76" t="s">
        <v>225</v>
      </c>
      <c r="L35" s="44">
        <f t="shared" si="8"/>
        <v>51.5</v>
      </c>
      <c r="M35" s="71">
        <f t="shared" si="9"/>
        <v>1.77865613E-2</v>
      </c>
      <c r="N35" s="83">
        <f t="shared" si="13"/>
        <v>44645096.496679127</v>
      </c>
      <c r="O35" s="76" t="s">
        <v>321</v>
      </c>
      <c r="P35" s="44">
        <f t="shared" si="10"/>
        <v>151</v>
      </c>
      <c r="Q35" s="71">
        <f t="shared" si="11"/>
        <v>1.34228188E-2</v>
      </c>
      <c r="R35" s="83">
        <f t="shared" si="14"/>
        <v>13079271.6467875</v>
      </c>
    </row>
    <row r="36" spans="1:18">
      <c r="A36" s="40" t="s">
        <v>96</v>
      </c>
      <c r="B36" s="11" t="s">
        <v>97</v>
      </c>
      <c r="C36" s="86">
        <v>8.0000000000000004E-4</v>
      </c>
      <c r="D36" s="34">
        <v>0</v>
      </c>
      <c r="E36" s="84">
        <v>58000499617.417603</v>
      </c>
      <c r="F36" s="35"/>
      <c r="G36" s="49" t="s">
        <v>134</v>
      </c>
      <c r="H36" s="39">
        <f t="shared" si="6"/>
        <v>1335</v>
      </c>
      <c r="I36" s="70">
        <f t="shared" si="7"/>
        <v>2.2988505699999998E-2</v>
      </c>
      <c r="J36" s="89">
        <f t="shared" si="12"/>
        <v>160091.34748754001</v>
      </c>
      <c r="K36" s="75" t="s">
        <v>323</v>
      </c>
      <c r="L36" s="39">
        <f t="shared" si="8"/>
        <v>2.8000000000000001E-2</v>
      </c>
      <c r="M36" s="70">
        <f t="shared" si="9"/>
        <v>1.08303249E-2</v>
      </c>
      <c r="N36" s="89">
        <f t="shared" si="13"/>
        <v>17373972920.799984</v>
      </c>
      <c r="O36" s="75" t="s">
        <v>317</v>
      </c>
      <c r="P36" s="39">
        <f t="shared" si="10"/>
        <v>575</v>
      </c>
      <c r="Q36" s="70">
        <f t="shared" si="11"/>
        <v>1.2323943699999999E-2</v>
      </c>
      <c r="R36" s="89">
        <f t="shared" si="14"/>
        <v>19866820.554709248</v>
      </c>
    </row>
    <row r="37" spans="1:18">
      <c r="A37" s="40" t="s">
        <v>84</v>
      </c>
      <c r="B37" s="11" t="s">
        <v>85</v>
      </c>
      <c r="C37" s="86">
        <v>128</v>
      </c>
      <c r="D37" s="34">
        <v>0</v>
      </c>
      <c r="E37" s="84">
        <v>7045510.5139572499</v>
      </c>
      <c r="F37" s="35"/>
      <c r="G37" s="47" t="s">
        <v>225</v>
      </c>
      <c r="H37" s="39">
        <f t="shared" si="6"/>
        <v>51.5</v>
      </c>
      <c r="I37" s="70">
        <f t="shared" si="7"/>
        <v>1.77865613E-2</v>
      </c>
      <c r="J37" s="79">
        <f t="shared" si="12"/>
        <v>44645096.496679127</v>
      </c>
      <c r="K37" s="75" t="s">
        <v>118</v>
      </c>
      <c r="L37" s="39">
        <f t="shared" si="8"/>
        <v>4.53</v>
      </c>
      <c r="M37" s="70">
        <f t="shared" si="9"/>
        <v>6.6666666999999997E-3</v>
      </c>
      <c r="N37" s="79">
        <f t="shared" si="13"/>
        <v>48642484.303245239</v>
      </c>
      <c r="O37" s="75" t="s">
        <v>319</v>
      </c>
      <c r="P37" s="39">
        <f t="shared" si="10"/>
        <v>295</v>
      </c>
      <c r="Q37" s="70">
        <f t="shared" si="11"/>
        <v>1.02739726E-2</v>
      </c>
      <c r="R37" s="79">
        <f t="shared" si="14"/>
        <v>8142064.9640025301</v>
      </c>
    </row>
    <row r="38" spans="1:18">
      <c r="A38" s="40" t="s">
        <v>127</v>
      </c>
      <c r="B38" s="11" t="s">
        <v>128</v>
      </c>
      <c r="C38" s="86">
        <v>5485</v>
      </c>
      <c r="D38" s="34">
        <v>0</v>
      </c>
      <c r="E38" s="84">
        <v>28566.273360629999</v>
      </c>
      <c r="F38" s="35"/>
      <c r="G38" s="47" t="s">
        <v>183</v>
      </c>
      <c r="H38" s="39">
        <f t="shared" si="6"/>
        <v>115</v>
      </c>
      <c r="I38" s="70">
        <f t="shared" si="7"/>
        <v>1.7699115000000001E-2</v>
      </c>
      <c r="J38" s="79">
        <f t="shared" si="12"/>
        <v>21498928.224920131</v>
      </c>
      <c r="K38" s="75" t="s">
        <v>138</v>
      </c>
      <c r="L38" s="39">
        <f t="shared" si="8"/>
        <v>19.7</v>
      </c>
      <c r="M38" s="70">
        <f t="shared" si="9"/>
        <v>5.1020407999999998E-3</v>
      </c>
      <c r="N38" s="79">
        <f t="shared" si="13"/>
        <v>10071870.493890701</v>
      </c>
      <c r="O38" s="75" t="s">
        <v>169</v>
      </c>
      <c r="P38" s="39">
        <f t="shared" si="10"/>
        <v>217</v>
      </c>
      <c r="Q38" s="70">
        <f t="shared" si="11"/>
        <v>9.3023255999999995E-3</v>
      </c>
      <c r="R38" s="79">
        <f t="shared" si="14"/>
        <v>270644.83601427998</v>
      </c>
    </row>
    <row r="39" spans="1:18">
      <c r="A39" s="40" t="s">
        <v>238</v>
      </c>
      <c r="B39" s="11" t="s">
        <v>239</v>
      </c>
      <c r="C39" s="86">
        <v>406</v>
      </c>
      <c r="D39" s="34">
        <v>0</v>
      </c>
      <c r="E39" s="84">
        <v>374753.55526499002</v>
      </c>
      <c r="F39" s="35"/>
      <c r="G39" s="47" t="s">
        <v>101</v>
      </c>
      <c r="H39" s="39">
        <f t="shared" si="6"/>
        <v>195</v>
      </c>
      <c r="I39" s="70">
        <f t="shared" si="7"/>
        <v>1.5625E-2</v>
      </c>
      <c r="J39" s="79">
        <f t="shared" si="12"/>
        <v>1249758.2097181301</v>
      </c>
      <c r="K39" s="75" t="s">
        <v>124</v>
      </c>
      <c r="L39" s="39">
        <f t="shared" si="8"/>
        <v>26.9</v>
      </c>
      <c r="M39" s="70">
        <f t="shared" si="9"/>
        <v>3.7313432999999999E-3</v>
      </c>
      <c r="N39" s="79">
        <f t="shared" si="13"/>
        <v>3627991.5682977601</v>
      </c>
      <c r="O39" s="75" t="s">
        <v>149</v>
      </c>
      <c r="P39" s="39">
        <f t="shared" si="10"/>
        <v>308</v>
      </c>
      <c r="Q39" s="70">
        <f t="shared" si="11"/>
        <v>6.5359477000000001E-3</v>
      </c>
      <c r="R39" s="79">
        <f t="shared" si="14"/>
        <v>217292.44609422999</v>
      </c>
    </row>
    <row r="40" spans="1:18" ht="17.25" thickBot="1">
      <c r="A40" s="40" t="s">
        <v>53</v>
      </c>
      <c r="B40" s="11" t="s">
        <v>329</v>
      </c>
      <c r="C40" s="86">
        <v>46.6</v>
      </c>
      <c r="D40" s="34">
        <v>0</v>
      </c>
      <c r="E40" s="84">
        <v>13686489.59128548</v>
      </c>
      <c r="F40" s="35"/>
      <c r="G40" s="48" t="s">
        <v>213</v>
      </c>
      <c r="H40" s="37">
        <f t="shared" si="6"/>
        <v>404</v>
      </c>
      <c r="I40" s="72">
        <f t="shared" si="7"/>
        <v>1.50753769E-2</v>
      </c>
      <c r="J40" s="80">
        <f t="shared" si="12"/>
        <v>2459928.3850344401</v>
      </c>
      <c r="K40" s="77" t="s">
        <v>141</v>
      </c>
      <c r="L40" s="37">
        <f t="shared" si="8"/>
        <v>2.89</v>
      </c>
      <c r="M40" s="72">
        <f t="shared" si="9"/>
        <v>3.4722222000000001E-3</v>
      </c>
      <c r="N40" s="80">
        <f t="shared" si="13"/>
        <v>63533174.506704926</v>
      </c>
      <c r="O40" s="77" t="s">
        <v>79</v>
      </c>
      <c r="P40" s="37">
        <f t="shared" si="10"/>
        <v>212</v>
      </c>
      <c r="Q40" s="72">
        <f t="shared" si="11"/>
        <v>4.7393365E-3</v>
      </c>
      <c r="R40" s="80">
        <f t="shared" si="14"/>
        <v>567076.15847826004</v>
      </c>
    </row>
    <row r="41" spans="1:18">
      <c r="A41" s="40" t="s">
        <v>192</v>
      </c>
      <c r="B41" s="11" t="s">
        <v>193</v>
      </c>
      <c r="C41" s="86">
        <v>14.8</v>
      </c>
      <c r="D41" s="34">
        <v>0</v>
      </c>
      <c r="E41" s="84">
        <v>6917145.2086782996</v>
      </c>
      <c r="F41" s="35"/>
      <c r="G41" s="46" t="s">
        <v>321</v>
      </c>
      <c r="H41" s="38">
        <f t="shared" si="6"/>
        <v>151</v>
      </c>
      <c r="I41" s="69">
        <f t="shared" si="7"/>
        <v>1.34228188E-2</v>
      </c>
      <c r="J41" s="78">
        <f t="shared" si="12"/>
        <v>13079271.6467875</v>
      </c>
      <c r="K41" s="74" t="s">
        <v>207</v>
      </c>
      <c r="L41" s="38">
        <f t="shared" si="8"/>
        <v>58.7</v>
      </c>
      <c r="M41" s="69">
        <f t="shared" si="9"/>
        <v>3.4188033999999999E-3</v>
      </c>
      <c r="N41" s="78">
        <f t="shared" si="13"/>
        <v>3371539.9551235298</v>
      </c>
      <c r="O41" s="74" t="s">
        <v>326</v>
      </c>
      <c r="P41" s="38">
        <f t="shared" si="10"/>
        <v>220</v>
      </c>
      <c r="Q41" s="69">
        <f t="shared" si="11"/>
        <v>4.5662100000000002E-3</v>
      </c>
      <c r="R41" s="78">
        <f t="shared" si="14"/>
        <v>1602913.8661053299</v>
      </c>
    </row>
    <row r="42" spans="1:18">
      <c r="A42" s="40" t="s">
        <v>208</v>
      </c>
      <c r="B42" s="11" t="s">
        <v>209</v>
      </c>
      <c r="C42" s="86">
        <v>69</v>
      </c>
      <c r="D42" s="34">
        <v>0</v>
      </c>
      <c r="E42" s="84">
        <v>3216182.2248579902</v>
      </c>
      <c r="F42" s="35"/>
      <c r="G42" s="47" t="s">
        <v>317</v>
      </c>
      <c r="H42" s="39">
        <f t="shared" si="6"/>
        <v>575</v>
      </c>
      <c r="I42" s="70">
        <f t="shared" si="7"/>
        <v>1.2323943699999999E-2</v>
      </c>
      <c r="J42" s="79">
        <f t="shared" si="12"/>
        <v>19866820.554709248</v>
      </c>
      <c r="K42" s="75" t="s">
        <v>145</v>
      </c>
      <c r="L42" s="39">
        <f t="shared" si="8"/>
        <v>69.7</v>
      </c>
      <c r="M42" s="70">
        <f t="shared" si="9"/>
        <v>2.8776978000000001E-3</v>
      </c>
      <c r="N42" s="79">
        <f t="shared" si="13"/>
        <v>21424139.978806619</v>
      </c>
      <c r="O42" s="75" t="s">
        <v>231</v>
      </c>
      <c r="P42" s="39">
        <f t="shared" si="10"/>
        <v>302</v>
      </c>
      <c r="Q42" s="70">
        <f t="shared" si="11"/>
        <v>3.3222591000000002E-3</v>
      </c>
      <c r="R42" s="79">
        <f t="shared" si="14"/>
        <v>2516497.41695937</v>
      </c>
    </row>
    <row r="43" spans="1:18">
      <c r="A43" s="40" t="s">
        <v>175</v>
      </c>
      <c r="B43" s="11" t="s">
        <v>176</v>
      </c>
      <c r="C43" s="86">
        <v>273</v>
      </c>
      <c r="D43" s="34">
        <v>0</v>
      </c>
      <c r="E43" s="84">
        <v>309023.61335935001</v>
      </c>
      <c r="F43" s="35"/>
      <c r="G43" s="47" t="s">
        <v>323</v>
      </c>
      <c r="H43" s="39">
        <f t="shared" si="6"/>
        <v>2.8000000000000001E-2</v>
      </c>
      <c r="I43" s="70">
        <f t="shared" si="7"/>
        <v>1.08303249E-2</v>
      </c>
      <c r="J43" s="79">
        <f t="shared" si="12"/>
        <v>17373972920.799984</v>
      </c>
      <c r="K43" s="75" t="s">
        <v>324</v>
      </c>
      <c r="L43" s="39">
        <f t="shared" si="8"/>
        <v>71.400000000000006</v>
      </c>
      <c r="M43" s="70">
        <f t="shared" si="9"/>
        <v>2.8089887999999999E-3</v>
      </c>
      <c r="N43" s="79">
        <f t="shared" si="13"/>
        <v>2187261.7661352898</v>
      </c>
      <c r="O43" s="75" t="s">
        <v>85</v>
      </c>
      <c r="P43" s="39">
        <f t="shared" si="10"/>
        <v>128</v>
      </c>
      <c r="Q43" s="70">
        <f t="shared" si="11"/>
        <v>0</v>
      </c>
      <c r="R43" s="79">
        <f t="shared" si="14"/>
        <v>7045510.5139572499</v>
      </c>
    </row>
    <row r="44" spans="1:18">
      <c r="A44" s="40" t="s">
        <v>166</v>
      </c>
      <c r="B44" s="11" t="s">
        <v>167</v>
      </c>
      <c r="C44" s="86">
        <v>156</v>
      </c>
      <c r="D44" s="34">
        <v>0</v>
      </c>
      <c r="E44" s="84">
        <v>1920657.22562679</v>
      </c>
      <c r="F44" s="35"/>
      <c r="G44" s="47" t="s">
        <v>319</v>
      </c>
      <c r="H44" s="39">
        <f t="shared" si="6"/>
        <v>295</v>
      </c>
      <c r="I44" s="70">
        <f t="shared" si="7"/>
        <v>1.02739726E-2</v>
      </c>
      <c r="J44" s="79">
        <f t="shared" si="12"/>
        <v>8142064.9640025301</v>
      </c>
      <c r="K44" s="75" t="s">
        <v>97</v>
      </c>
      <c r="L44" s="39">
        <f t="shared" si="8"/>
        <v>8.0000000000000004E-4</v>
      </c>
      <c r="M44" s="70">
        <f t="shared" si="9"/>
        <v>0</v>
      </c>
      <c r="N44" s="79">
        <f t="shared" si="13"/>
        <v>58000499617.417603</v>
      </c>
      <c r="O44" s="75" t="s">
        <v>239</v>
      </c>
      <c r="P44" s="39">
        <f t="shared" si="10"/>
        <v>406</v>
      </c>
      <c r="Q44" s="70">
        <f t="shared" si="11"/>
        <v>0</v>
      </c>
      <c r="R44" s="79">
        <f t="shared" si="14"/>
        <v>374753.55526499002</v>
      </c>
    </row>
    <row r="45" spans="1:18">
      <c r="A45" s="40" t="s">
        <v>139</v>
      </c>
      <c r="B45" s="11" t="s">
        <v>330</v>
      </c>
      <c r="C45" s="86">
        <v>256</v>
      </c>
      <c r="D45" s="34">
        <v>0</v>
      </c>
      <c r="E45" s="84">
        <v>723045.36277358001</v>
      </c>
      <c r="F45" s="35"/>
      <c r="G45" s="47" t="s">
        <v>169</v>
      </c>
      <c r="H45" s="44">
        <f t="shared" si="6"/>
        <v>217</v>
      </c>
      <c r="I45" s="71">
        <f t="shared" si="7"/>
        <v>9.3023255999999995E-3</v>
      </c>
      <c r="J45" s="83">
        <f t="shared" si="12"/>
        <v>270644.83601427998</v>
      </c>
      <c r="K45" s="76" t="s">
        <v>329</v>
      </c>
      <c r="L45" s="44">
        <f t="shared" si="8"/>
        <v>46.6</v>
      </c>
      <c r="M45" s="71">
        <f t="shared" si="9"/>
        <v>0</v>
      </c>
      <c r="N45" s="83">
        <f t="shared" si="13"/>
        <v>13686489.59128548</v>
      </c>
      <c r="O45" s="76" t="s">
        <v>176</v>
      </c>
      <c r="P45" s="44">
        <f t="shared" si="10"/>
        <v>273</v>
      </c>
      <c r="Q45" s="71">
        <f t="shared" si="11"/>
        <v>0</v>
      </c>
      <c r="R45" s="83">
        <f t="shared" si="14"/>
        <v>309023.61335935001</v>
      </c>
    </row>
    <row r="46" spans="1:18">
      <c r="A46" s="40" t="s">
        <v>131</v>
      </c>
      <c r="B46" s="11" t="s">
        <v>132</v>
      </c>
      <c r="C46" s="86">
        <v>40.200000000000003</v>
      </c>
      <c r="D46" s="34">
        <v>0</v>
      </c>
      <c r="E46" s="84">
        <v>5458674.7653792296</v>
      </c>
      <c r="F46" s="35"/>
      <c r="G46" s="49" t="s">
        <v>328</v>
      </c>
      <c r="H46" s="39">
        <f t="shared" si="6"/>
        <v>4415</v>
      </c>
      <c r="I46" s="70">
        <f t="shared" si="7"/>
        <v>6.8415050999999999E-3</v>
      </c>
      <c r="J46" s="89">
        <f t="shared" si="12"/>
        <v>308520.61245894001</v>
      </c>
      <c r="K46" s="75" t="s">
        <v>193</v>
      </c>
      <c r="L46" s="39">
        <f t="shared" si="8"/>
        <v>14.8</v>
      </c>
      <c r="M46" s="70">
        <f t="shared" si="9"/>
        <v>0</v>
      </c>
      <c r="N46" s="89">
        <f t="shared" si="13"/>
        <v>6917145.2086782996</v>
      </c>
      <c r="O46" s="75" t="s">
        <v>167</v>
      </c>
      <c r="P46" s="39">
        <f t="shared" si="10"/>
        <v>156</v>
      </c>
      <c r="Q46" s="70">
        <f t="shared" si="11"/>
        <v>0</v>
      </c>
      <c r="R46" s="89">
        <f t="shared" si="14"/>
        <v>1920657.22562679</v>
      </c>
    </row>
    <row r="47" spans="1:18">
      <c r="A47" s="40" t="s">
        <v>179</v>
      </c>
      <c r="B47" s="11" t="s">
        <v>333</v>
      </c>
      <c r="C47" s="86">
        <v>3.95</v>
      </c>
      <c r="D47" s="34">
        <v>0</v>
      </c>
      <c r="E47" s="84">
        <v>56602020.15258301</v>
      </c>
      <c r="F47" s="35"/>
      <c r="G47" s="47" t="s">
        <v>118</v>
      </c>
      <c r="H47" s="39">
        <f t="shared" si="6"/>
        <v>4.53</v>
      </c>
      <c r="I47" s="70">
        <f t="shared" si="7"/>
        <v>6.6666666999999997E-3</v>
      </c>
      <c r="J47" s="79">
        <f t="shared" si="12"/>
        <v>48642484.303245239</v>
      </c>
      <c r="K47" s="75" t="s">
        <v>209</v>
      </c>
      <c r="L47" s="39">
        <f t="shared" si="8"/>
        <v>69</v>
      </c>
      <c r="M47" s="70">
        <f t="shared" si="9"/>
        <v>0</v>
      </c>
      <c r="N47" s="79">
        <f t="shared" si="13"/>
        <v>3216182.2248579902</v>
      </c>
      <c r="O47" s="75" t="s">
        <v>330</v>
      </c>
      <c r="P47" s="39">
        <f t="shared" si="10"/>
        <v>256</v>
      </c>
      <c r="Q47" s="70">
        <f t="shared" si="11"/>
        <v>0</v>
      </c>
      <c r="R47" s="79">
        <f t="shared" si="14"/>
        <v>723045.36277358001</v>
      </c>
    </row>
    <row r="48" spans="1:18">
      <c r="A48" s="40" t="s">
        <v>50</v>
      </c>
      <c r="B48" s="11" t="s">
        <v>51</v>
      </c>
      <c r="C48" s="86">
        <v>90.6</v>
      </c>
      <c r="D48" s="34">
        <v>0</v>
      </c>
      <c r="E48" s="84">
        <v>4218050.0058022896</v>
      </c>
      <c r="F48" s="35"/>
      <c r="G48" s="47" t="s">
        <v>149</v>
      </c>
      <c r="H48" s="39">
        <f t="shared" si="6"/>
        <v>308</v>
      </c>
      <c r="I48" s="70">
        <f t="shared" si="7"/>
        <v>6.5359477000000001E-3</v>
      </c>
      <c r="J48" s="79">
        <f t="shared" si="12"/>
        <v>217292.44609422999</v>
      </c>
      <c r="K48" s="75" t="s">
        <v>132</v>
      </c>
      <c r="L48" s="39">
        <f t="shared" si="8"/>
        <v>40.200000000000003</v>
      </c>
      <c r="M48" s="70">
        <f t="shared" si="9"/>
        <v>0</v>
      </c>
      <c r="N48" s="79">
        <f t="shared" si="13"/>
        <v>5458674.7653792296</v>
      </c>
      <c r="O48" s="75" t="s">
        <v>103</v>
      </c>
      <c r="P48" s="39">
        <f t="shared" si="10"/>
        <v>189</v>
      </c>
      <c r="Q48" s="70">
        <f t="shared" si="11"/>
        <v>0</v>
      </c>
      <c r="R48" s="79">
        <f t="shared" si="14"/>
        <v>1134644.3581622101</v>
      </c>
    </row>
    <row r="49" spans="1:18">
      <c r="A49" s="40" t="s">
        <v>102</v>
      </c>
      <c r="B49" s="11" t="s">
        <v>103</v>
      </c>
      <c r="C49" s="86">
        <v>189</v>
      </c>
      <c r="D49" s="34">
        <v>0</v>
      </c>
      <c r="E49" s="84">
        <v>1134644.3581622101</v>
      </c>
      <c r="F49" s="35"/>
      <c r="G49" s="47" t="s">
        <v>138</v>
      </c>
      <c r="H49" s="39">
        <f t="shared" si="6"/>
        <v>19.7</v>
      </c>
      <c r="I49" s="70">
        <f t="shared" si="7"/>
        <v>5.1020407999999998E-3</v>
      </c>
      <c r="J49" s="79">
        <f t="shared" si="12"/>
        <v>10071870.493890701</v>
      </c>
      <c r="K49" s="75" t="s">
        <v>333</v>
      </c>
      <c r="L49" s="39">
        <f t="shared" si="8"/>
        <v>3.95</v>
      </c>
      <c r="M49" s="70">
        <f t="shared" si="9"/>
        <v>0</v>
      </c>
      <c r="N49" s="79">
        <f t="shared" si="13"/>
        <v>56602020.15258301</v>
      </c>
      <c r="O49" s="75" t="s">
        <v>332</v>
      </c>
      <c r="P49" s="39">
        <f t="shared" si="10"/>
        <v>487</v>
      </c>
      <c r="Q49" s="70">
        <f t="shared" si="11"/>
        <v>-2.0491802999999999E-3</v>
      </c>
      <c r="R49" s="79">
        <f t="shared" si="14"/>
        <v>319528.83175860002</v>
      </c>
    </row>
    <row r="50" spans="1:18" ht="17.25" thickBot="1">
      <c r="A50" s="40" t="s">
        <v>92</v>
      </c>
      <c r="B50" s="11" t="s">
        <v>93</v>
      </c>
      <c r="C50" s="86">
        <v>1524000</v>
      </c>
      <c r="D50" s="34">
        <v>-6.5573770000000001E-4</v>
      </c>
      <c r="E50" s="84">
        <v>2047.02400784</v>
      </c>
      <c r="F50" s="35"/>
      <c r="G50" s="48" t="s">
        <v>79</v>
      </c>
      <c r="H50" s="37">
        <f t="shared" si="6"/>
        <v>212</v>
      </c>
      <c r="I50" s="72">
        <f t="shared" si="7"/>
        <v>4.7393365E-3</v>
      </c>
      <c r="J50" s="80">
        <f t="shared" si="12"/>
        <v>567076.15847826004</v>
      </c>
      <c r="K50" s="77" t="s">
        <v>51</v>
      </c>
      <c r="L50" s="37">
        <f t="shared" si="8"/>
        <v>90.6</v>
      </c>
      <c r="M50" s="72">
        <f t="shared" si="9"/>
        <v>0</v>
      </c>
      <c r="N50" s="80">
        <f t="shared" si="13"/>
        <v>4218050.0058022896</v>
      </c>
      <c r="O50" s="77" t="s">
        <v>219</v>
      </c>
      <c r="P50" s="37">
        <f t="shared" si="10"/>
        <v>328</v>
      </c>
      <c r="Q50" s="72">
        <f t="shared" si="11"/>
        <v>-3.0395137E-3</v>
      </c>
      <c r="R50" s="80">
        <f t="shared" si="14"/>
        <v>743480.57946696004</v>
      </c>
    </row>
    <row r="51" spans="1:18">
      <c r="A51" s="40" t="s">
        <v>63</v>
      </c>
      <c r="B51" s="11" t="s">
        <v>64</v>
      </c>
      <c r="C51" s="86">
        <v>8.57</v>
      </c>
      <c r="D51" s="34">
        <v>-1.1655012000000001E-3</v>
      </c>
      <c r="E51" s="84">
        <v>24265632.758178301</v>
      </c>
      <c r="F51" s="35"/>
    </row>
    <row r="52" spans="1:18" ht="17.25" thickBot="1">
      <c r="A52" s="40" t="s">
        <v>76</v>
      </c>
      <c r="B52" s="11" t="s">
        <v>77</v>
      </c>
      <c r="C52" s="86">
        <v>123400</v>
      </c>
      <c r="D52" s="34">
        <v>-1.2140834000000001E-3</v>
      </c>
      <c r="E52" s="84">
        <v>2491.0162393599999</v>
      </c>
      <c r="F52" s="35"/>
    </row>
    <row r="53" spans="1:18" ht="17.25" thickBot="1">
      <c r="A53" s="40" t="s">
        <v>196</v>
      </c>
      <c r="B53" s="11" t="s">
        <v>197</v>
      </c>
      <c r="C53" s="86">
        <v>5.45</v>
      </c>
      <c r="D53" s="34">
        <v>-1.8315018E-3</v>
      </c>
      <c r="E53" s="84">
        <v>35629315.262185551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232</v>
      </c>
      <c r="B54" s="11" t="s">
        <v>233</v>
      </c>
      <c r="C54" s="86">
        <v>2665</v>
      </c>
      <c r="D54" s="34">
        <v>-1.8726591999999999E-3</v>
      </c>
      <c r="E54" s="84">
        <v>21625.33006783</v>
      </c>
      <c r="F54" s="35"/>
      <c r="G54" s="200" t="s">
        <v>54</v>
      </c>
      <c r="H54" s="212">
        <f ca="1">NOW()</f>
        <v>44927.647940856485</v>
      </c>
      <c r="I54" s="213"/>
      <c r="J54" s="214"/>
      <c r="K54" s="203" t="s">
        <v>54</v>
      </c>
      <c r="L54" s="212">
        <f ca="1">NOW()</f>
        <v>44927.647940856485</v>
      </c>
      <c r="M54" s="213"/>
      <c r="N54" s="214"/>
      <c r="O54" s="203" t="s">
        <v>54</v>
      </c>
      <c r="P54" s="212">
        <f ca="1">NOW()</f>
        <v>44927.647940856485</v>
      </c>
      <c r="Q54" s="213"/>
      <c r="R54" s="214"/>
    </row>
    <row r="55" spans="1:18" ht="17.25" thickBot="1">
      <c r="A55" s="40" t="s">
        <v>331</v>
      </c>
      <c r="B55" s="11" t="s">
        <v>332</v>
      </c>
      <c r="C55" s="86">
        <v>487</v>
      </c>
      <c r="D55" s="34">
        <v>-2.0491802999999999E-3</v>
      </c>
      <c r="E55" s="84">
        <v>319528.83175860002</v>
      </c>
      <c r="F55" s="35"/>
      <c r="G55" s="197"/>
      <c r="H55" s="36" t="s">
        <v>57</v>
      </c>
      <c r="I55" s="36" t="s">
        <v>58</v>
      </c>
      <c r="J55" s="64" t="s">
        <v>251</v>
      </c>
      <c r="K55" s="152"/>
      <c r="L55" s="36" t="s">
        <v>57</v>
      </c>
      <c r="M55" s="36" t="s">
        <v>58</v>
      </c>
      <c r="N55" s="64" t="s">
        <v>251</v>
      </c>
      <c r="O55" s="152"/>
      <c r="P55" s="36" t="s">
        <v>57</v>
      </c>
      <c r="Q55" s="36" t="s">
        <v>58</v>
      </c>
      <c r="R55" s="64" t="s">
        <v>251</v>
      </c>
    </row>
    <row r="56" spans="1:18">
      <c r="A56" s="40" t="s">
        <v>226</v>
      </c>
      <c r="B56" s="11" t="s">
        <v>227</v>
      </c>
      <c r="C56" s="86">
        <v>32.9</v>
      </c>
      <c r="D56" s="34">
        <v>-3.0303029999999998E-3</v>
      </c>
      <c r="E56" s="84">
        <v>7351637.8738897098</v>
      </c>
      <c r="F56" s="35"/>
      <c r="G56" s="51" t="s">
        <v>136</v>
      </c>
      <c r="H56" s="38">
        <f t="shared" ref="H56:H75" si="15">_xlfn.IFNA(VLOOKUP(G56, $B$2:$D$200, 2, FALSE), "")</f>
        <v>2490</v>
      </c>
      <c r="I56" s="69">
        <f t="shared" ref="I56:I65" si="16">_xlfn.IFNA(VLOOKUP(G56, $B$2:$D$200, 3, FALSE), "")</f>
        <v>-1.19047619E-2</v>
      </c>
      <c r="J56" s="78">
        <f>_xlfn.IFNA(VLOOKUP(G56, $B$2:$E$200, 4, FALSE), "")</f>
        <v>112398.75898075</v>
      </c>
      <c r="K56" s="74" t="s">
        <v>51</v>
      </c>
      <c r="L56" s="38">
        <f t="shared" ref="L56:L75" si="17">_xlfn.IFNA(VLOOKUP(K56, $B$2:$D$200, 2, FALSE), "")</f>
        <v>90.6</v>
      </c>
      <c r="M56" s="69">
        <f t="shared" ref="M56:M75" si="18">_xlfn.IFNA(VLOOKUP(K56, $B$2:$D$200, 3, FALSE), "")</f>
        <v>0</v>
      </c>
      <c r="N56" s="78">
        <f>_xlfn.IFNA(VLOOKUP(K56, $B$2:$E$200, 4, FALSE), "")</f>
        <v>4218050.0058022896</v>
      </c>
      <c r="O56" s="74" t="s">
        <v>201</v>
      </c>
      <c r="P56" s="38">
        <f t="shared" ref="P56:P75" si="19">_xlfn.IFNA(VLOOKUP(O56, $B$2:$D$200, 2, FALSE), "")</f>
        <v>170</v>
      </c>
      <c r="Q56" s="69">
        <f t="shared" ref="Q56:Q75" si="20">_xlfn.IFNA(VLOOKUP(O56, $B$2:$D$200, 3, FALSE), "")</f>
        <v>-5.8479532000000004E-3</v>
      </c>
      <c r="R56" s="78">
        <f>_xlfn.IFNA(VLOOKUP(O56, $B$2:$E$200, 4, FALSE), "")</f>
        <v>2853870.3768062601</v>
      </c>
    </row>
    <row r="57" spans="1:18">
      <c r="A57" s="40" t="s">
        <v>142</v>
      </c>
      <c r="B57" s="11" t="s">
        <v>143</v>
      </c>
      <c r="C57" s="86">
        <v>3.28</v>
      </c>
      <c r="D57" s="34">
        <v>-3.0395137E-3</v>
      </c>
      <c r="E57" s="84">
        <v>17708546.830658771</v>
      </c>
      <c r="F57" s="35"/>
      <c r="G57" s="52" t="s">
        <v>107</v>
      </c>
      <c r="H57" s="39">
        <f t="shared" si="15"/>
        <v>32.799999999999997</v>
      </c>
      <c r="I57" s="70">
        <f t="shared" si="16"/>
        <v>-1.20481928E-2</v>
      </c>
      <c r="J57" s="79">
        <f t="shared" ref="J57:J75" si="21">_xlfn.IFNA(VLOOKUP(G57, $B$2:$E$200, 4, FALSE), "")</f>
        <v>10787718.79069436</v>
      </c>
      <c r="K57" s="75" t="s">
        <v>64</v>
      </c>
      <c r="L57" s="39">
        <f t="shared" si="17"/>
        <v>8.57</v>
      </c>
      <c r="M57" s="70">
        <f t="shared" si="18"/>
        <v>-1.1655012000000001E-3</v>
      </c>
      <c r="N57" s="79">
        <f t="shared" ref="N57:N75" si="22">_xlfn.IFNA(VLOOKUP(K57, $B$2:$E$200, 4, FALSE), "")</f>
        <v>24265632.758178301</v>
      </c>
      <c r="O57" s="75" t="s">
        <v>339</v>
      </c>
      <c r="P57" s="39">
        <f t="shared" si="19"/>
        <v>959</v>
      </c>
      <c r="Q57" s="70">
        <f t="shared" si="20"/>
        <v>-7.2463768E-3</v>
      </c>
      <c r="R57" s="79">
        <f t="shared" ref="R57:R75" si="23">_xlfn.IFNA(VLOOKUP(O57, $B$2:$E$200, 4, FALSE), "")</f>
        <v>1267216.3143669099</v>
      </c>
    </row>
    <row r="58" spans="1:18">
      <c r="A58" s="40" t="s">
        <v>218</v>
      </c>
      <c r="B58" s="11" t="s">
        <v>219</v>
      </c>
      <c r="C58" s="86">
        <v>328</v>
      </c>
      <c r="D58" s="34">
        <v>-3.0395137E-3</v>
      </c>
      <c r="E58" s="84">
        <v>743480.57946696004</v>
      </c>
      <c r="F58" s="35"/>
      <c r="G58" s="52" t="s">
        <v>111</v>
      </c>
      <c r="H58" s="39">
        <f t="shared" si="15"/>
        <v>482</v>
      </c>
      <c r="I58" s="70">
        <f t="shared" si="16"/>
        <v>-1.2295082000000001E-2</v>
      </c>
      <c r="J58" s="79">
        <f t="shared" si="21"/>
        <v>5073903.0407424197</v>
      </c>
      <c r="K58" s="75" t="s">
        <v>197</v>
      </c>
      <c r="L58" s="39">
        <f t="shared" si="17"/>
        <v>5.45</v>
      </c>
      <c r="M58" s="70">
        <f t="shared" si="18"/>
        <v>-1.8315018E-3</v>
      </c>
      <c r="N58" s="79">
        <f t="shared" si="22"/>
        <v>35629315.262185551</v>
      </c>
      <c r="O58" s="75" t="s">
        <v>159</v>
      </c>
      <c r="P58" s="39">
        <f t="shared" si="19"/>
        <v>133</v>
      </c>
      <c r="Q58" s="70">
        <f t="shared" si="20"/>
        <v>-7.4626865999999998E-3</v>
      </c>
      <c r="R58" s="79">
        <f t="shared" si="23"/>
        <v>3301004.0617756201</v>
      </c>
    </row>
    <row r="59" spans="1:18">
      <c r="A59" s="40" t="s">
        <v>80</v>
      </c>
      <c r="B59" s="11" t="s">
        <v>81</v>
      </c>
      <c r="C59" s="86">
        <v>312</v>
      </c>
      <c r="D59" s="34">
        <v>-3.1948882E-3</v>
      </c>
      <c r="E59" s="84">
        <v>2818443.86332143</v>
      </c>
      <c r="F59" s="35"/>
      <c r="G59" s="52" t="s">
        <v>335</v>
      </c>
      <c r="H59" s="39">
        <f t="shared" si="15"/>
        <v>1585</v>
      </c>
      <c r="I59" s="70">
        <f t="shared" si="16"/>
        <v>-1.2461059199999999E-2</v>
      </c>
      <c r="J59" s="79">
        <f t="shared" si="21"/>
        <v>428344.39372426999</v>
      </c>
      <c r="K59" s="75" t="s">
        <v>227</v>
      </c>
      <c r="L59" s="39">
        <f t="shared" si="17"/>
        <v>32.9</v>
      </c>
      <c r="M59" s="70">
        <f t="shared" si="18"/>
        <v>-3.0303029999999998E-3</v>
      </c>
      <c r="N59" s="79">
        <f t="shared" si="22"/>
        <v>7351637.8738897098</v>
      </c>
      <c r="O59" s="75" t="s">
        <v>199</v>
      </c>
      <c r="P59" s="39">
        <f t="shared" si="19"/>
        <v>260</v>
      </c>
      <c r="Q59" s="70">
        <f t="shared" si="20"/>
        <v>-7.6335878000000001E-3</v>
      </c>
      <c r="R59" s="79">
        <f t="shared" si="23"/>
        <v>354105.20598224999</v>
      </c>
    </row>
    <row r="60" spans="1:18">
      <c r="A60" s="40" t="s">
        <v>152</v>
      </c>
      <c r="B60" s="11" t="s">
        <v>153</v>
      </c>
      <c r="C60" s="86">
        <v>312</v>
      </c>
      <c r="D60" s="34">
        <v>-3.1948882E-3</v>
      </c>
      <c r="E60" s="84">
        <v>1754119.61634736</v>
      </c>
      <c r="F60" s="35"/>
      <c r="G60" s="52" t="s">
        <v>174</v>
      </c>
      <c r="H60" s="39">
        <f t="shared" si="15"/>
        <v>11350</v>
      </c>
      <c r="I60" s="70">
        <f t="shared" si="16"/>
        <v>-1.30434783E-2</v>
      </c>
      <c r="J60" s="83">
        <f t="shared" si="21"/>
        <v>9416.7211202300005</v>
      </c>
      <c r="K60" s="76" t="s">
        <v>143</v>
      </c>
      <c r="L60" s="44">
        <f t="shared" si="17"/>
        <v>3.28</v>
      </c>
      <c r="M60" s="71">
        <f t="shared" si="18"/>
        <v>-3.0395137E-3</v>
      </c>
      <c r="N60" s="83">
        <f t="shared" si="22"/>
        <v>17708546.830658771</v>
      </c>
      <c r="O60" s="76" t="s">
        <v>187</v>
      </c>
      <c r="P60" s="44">
        <f t="shared" si="19"/>
        <v>705</v>
      </c>
      <c r="Q60" s="71">
        <f t="shared" si="20"/>
        <v>-8.4388186E-3</v>
      </c>
      <c r="R60" s="83">
        <f t="shared" si="23"/>
        <v>446229.26632071001</v>
      </c>
    </row>
    <row r="61" spans="1:18">
      <c r="A61" s="40" t="s">
        <v>202</v>
      </c>
      <c r="B61" s="11" t="s">
        <v>203</v>
      </c>
      <c r="C61" s="86">
        <v>2.9</v>
      </c>
      <c r="D61" s="34">
        <v>-3.4364260999999998E-3</v>
      </c>
      <c r="E61" s="84">
        <v>87315776.904850259</v>
      </c>
      <c r="F61" s="35"/>
      <c r="G61" s="56" t="s">
        <v>229</v>
      </c>
      <c r="H61" s="45">
        <f t="shared" si="15"/>
        <v>226</v>
      </c>
      <c r="I61" s="73">
        <f t="shared" si="16"/>
        <v>-1.3100436700000001E-2</v>
      </c>
      <c r="J61" s="89">
        <f t="shared" si="21"/>
        <v>1204977.7674155701</v>
      </c>
      <c r="K61" s="75" t="s">
        <v>203</v>
      </c>
      <c r="L61" s="39">
        <f t="shared" si="17"/>
        <v>2.9</v>
      </c>
      <c r="M61" s="70">
        <f t="shared" si="18"/>
        <v>-3.4364260999999998E-3</v>
      </c>
      <c r="N61" s="89">
        <f t="shared" si="22"/>
        <v>87315776.904850259</v>
      </c>
      <c r="O61" s="75" t="s">
        <v>189</v>
      </c>
      <c r="P61" s="39">
        <f t="shared" si="19"/>
        <v>826</v>
      </c>
      <c r="Q61" s="70">
        <f t="shared" si="20"/>
        <v>-9.5923260999999996E-3</v>
      </c>
      <c r="R61" s="89">
        <f t="shared" si="23"/>
        <v>1430814.4184874899</v>
      </c>
    </row>
    <row r="62" spans="1:18">
      <c r="A62" s="40" t="s">
        <v>194</v>
      </c>
      <c r="B62" s="11" t="s">
        <v>195</v>
      </c>
      <c r="C62" s="86">
        <v>5.45</v>
      </c>
      <c r="D62" s="34">
        <v>-3.6563071000000002E-3</v>
      </c>
      <c r="E62" s="84">
        <v>25640217.523485139</v>
      </c>
      <c r="F62" s="35"/>
      <c r="G62" s="52" t="s">
        <v>68</v>
      </c>
      <c r="H62" s="39">
        <f t="shared" si="15"/>
        <v>225</v>
      </c>
      <c r="I62" s="70">
        <f t="shared" si="16"/>
        <v>-1.3157894700000001E-2</v>
      </c>
      <c r="J62" s="79">
        <f t="shared" si="21"/>
        <v>2975489.7397455899</v>
      </c>
      <c r="K62" s="75" t="s">
        <v>195</v>
      </c>
      <c r="L62" s="39">
        <f t="shared" si="17"/>
        <v>5.45</v>
      </c>
      <c r="M62" s="70">
        <f t="shared" si="18"/>
        <v>-3.6563071000000002E-3</v>
      </c>
      <c r="N62" s="79">
        <f t="shared" si="22"/>
        <v>25640217.523485139</v>
      </c>
      <c r="O62" s="75" t="s">
        <v>95</v>
      </c>
      <c r="P62" s="39">
        <f t="shared" si="19"/>
        <v>904</v>
      </c>
      <c r="Q62" s="70">
        <f t="shared" si="20"/>
        <v>-9.8576123000000005E-3</v>
      </c>
      <c r="R62" s="79">
        <f t="shared" si="23"/>
        <v>154444.67886252</v>
      </c>
    </row>
    <row r="63" spans="1:18">
      <c r="A63" s="40" t="s">
        <v>216</v>
      </c>
      <c r="B63" s="11" t="s">
        <v>217</v>
      </c>
      <c r="C63" s="86">
        <v>53</v>
      </c>
      <c r="D63" s="34">
        <v>-3.7593984999999999E-3</v>
      </c>
      <c r="E63" s="84">
        <v>1502597.3194866001</v>
      </c>
      <c r="F63" s="35"/>
      <c r="G63" s="52" t="s">
        <v>341</v>
      </c>
      <c r="H63" s="39">
        <f t="shared" si="15"/>
        <v>597</v>
      </c>
      <c r="I63" s="70">
        <f t="shared" si="16"/>
        <v>-1.3223140499999999E-2</v>
      </c>
      <c r="J63" s="79">
        <f t="shared" si="21"/>
        <v>635456.84921267</v>
      </c>
      <c r="K63" s="75" t="s">
        <v>217</v>
      </c>
      <c r="L63" s="39">
        <f t="shared" si="17"/>
        <v>53</v>
      </c>
      <c r="M63" s="70">
        <f t="shared" si="18"/>
        <v>-3.7593984999999999E-3</v>
      </c>
      <c r="N63" s="79">
        <f t="shared" si="22"/>
        <v>1502597.3194866001</v>
      </c>
      <c r="O63" s="75" t="s">
        <v>235</v>
      </c>
      <c r="P63" s="39">
        <f t="shared" si="19"/>
        <v>491</v>
      </c>
      <c r="Q63" s="70">
        <f t="shared" si="20"/>
        <v>-1.00806452E-2</v>
      </c>
      <c r="R63" s="79">
        <f t="shared" si="23"/>
        <v>459083.98123804998</v>
      </c>
    </row>
    <row r="64" spans="1:18">
      <c r="A64" s="40" t="s">
        <v>154</v>
      </c>
      <c r="B64" s="11" t="s">
        <v>155</v>
      </c>
      <c r="C64" s="86">
        <v>23.7</v>
      </c>
      <c r="D64" s="34">
        <v>-4.2016807E-3</v>
      </c>
      <c r="E64" s="84">
        <v>4725990.8858469902</v>
      </c>
      <c r="F64" s="35"/>
      <c r="G64" s="52" t="s">
        <v>178</v>
      </c>
      <c r="H64" s="39">
        <f t="shared" si="15"/>
        <v>1325</v>
      </c>
      <c r="I64" s="70">
        <f t="shared" si="16"/>
        <v>-1.4869888499999999E-2</v>
      </c>
      <c r="J64" s="79">
        <f t="shared" si="21"/>
        <v>106283.76345599</v>
      </c>
      <c r="K64" s="75" t="s">
        <v>155</v>
      </c>
      <c r="L64" s="39">
        <f t="shared" si="17"/>
        <v>23.7</v>
      </c>
      <c r="M64" s="70">
        <f t="shared" si="18"/>
        <v>-4.2016807E-3</v>
      </c>
      <c r="N64" s="79">
        <f t="shared" si="22"/>
        <v>4725990.8858469902</v>
      </c>
      <c r="O64" s="75" t="s">
        <v>130</v>
      </c>
      <c r="P64" s="39">
        <f t="shared" si="19"/>
        <v>575</v>
      </c>
      <c r="Q64" s="70">
        <f t="shared" si="20"/>
        <v>-1.03270224E-2</v>
      </c>
      <c r="R64" s="79">
        <f t="shared" si="23"/>
        <v>944795.05583056004</v>
      </c>
    </row>
    <row r="65" spans="1:18" ht="17.25" thickBot="1">
      <c r="A65" s="40" t="s">
        <v>184</v>
      </c>
      <c r="B65" s="11" t="s">
        <v>185</v>
      </c>
      <c r="C65" s="86">
        <v>22.2</v>
      </c>
      <c r="D65" s="34">
        <v>-4.4843048999999996E-3</v>
      </c>
      <c r="E65" s="84">
        <v>3954284.81263091</v>
      </c>
      <c r="F65" s="35"/>
      <c r="G65" s="53" t="s">
        <v>347</v>
      </c>
      <c r="H65" s="37">
        <f t="shared" si="15"/>
        <v>13690</v>
      </c>
      <c r="I65" s="72">
        <f t="shared" si="16"/>
        <v>-1.58159597E-2</v>
      </c>
      <c r="J65" s="80">
        <f t="shared" si="21"/>
        <v>20291.714792549999</v>
      </c>
      <c r="K65" s="77" t="s">
        <v>185</v>
      </c>
      <c r="L65" s="37">
        <f t="shared" si="17"/>
        <v>22.2</v>
      </c>
      <c r="M65" s="72">
        <f t="shared" si="18"/>
        <v>-4.4843048999999996E-3</v>
      </c>
      <c r="N65" s="80">
        <f t="shared" si="22"/>
        <v>3954284.81263091</v>
      </c>
      <c r="O65" s="77" t="s">
        <v>215</v>
      </c>
      <c r="P65" s="37">
        <f t="shared" si="19"/>
        <v>277</v>
      </c>
      <c r="Q65" s="72">
        <f t="shared" si="20"/>
        <v>-1.0714285699999999E-2</v>
      </c>
      <c r="R65" s="80">
        <f t="shared" si="23"/>
        <v>882988.03384646995</v>
      </c>
    </row>
    <row r="66" spans="1:18">
      <c r="A66" s="40" t="s">
        <v>88</v>
      </c>
      <c r="B66" s="11" t="s">
        <v>89</v>
      </c>
      <c r="C66" s="86">
        <v>430</v>
      </c>
      <c r="D66" s="34">
        <v>-4.6296295999999999E-3</v>
      </c>
      <c r="E66" s="84">
        <v>32097596.61394009</v>
      </c>
      <c r="F66" s="35"/>
      <c r="G66" s="52" t="s">
        <v>60</v>
      </c>
      <c r="H66" s="38">
        <f t="shared" si="15"/>
        <v>373</v>
      </c>
      <c r="I66" s="69">
        <f t="shared" ref="I66:I75" si="24">_xlfn.IFNA(VLOOKUP(G66, $B$2:$D$200, 3, FALSE), "")</f>
        <v>-1.5831134600000001E-2</v>
      </c>
      <c r="J66" s="78">
        <f t="shared" si="21"/>
        <v>854729.57165474002</v>
      </c>
      <c r="K66" s="74" t="s">
        <v>126</v>
      </c>
      <c r="L66" s="38">
        <f t="shared" si="17"/>
        <v>20.100000000000001</v>
      </c>
      <c r="M66" s="69">
        <f t="shared" si="18"/>
        <v>-4.9504950000000001E-3</v>
      </c>
      <c r="N66" s="78">
        <f t="shared" si="22"/>
        <v>9500896.6536671296</v>
      </c>
      <c r="O66" s="74" t="s">
        <v>111</v>
      </c>
      <c r="P66" s="38">
        <f t="shared" si="19"/>
        <v>482</v>
      </c>
      <c r="Q66" s="69">
        <f t="shared" si="20"/>
        <v>-1.2295082000000001E-2</v>
      </c>
      <c r="R66" s="78">
        <f t="shared" si="23"/>
        <v>5073903.0407424197</v>
      </c>
    </row>
    <row r="67" spans="1:18">
      <c r="A67" s="40" t="s">
        <v>336</v>
      </c>
      <c r="B67" s="11" t="s">
        <v>337</v>
      </c>
      <c r="C67" s="86">
        <v>65930</v>
      </c>
      <c r="D67" s="34">
        <v>-4.6799516999999997E-3</v>
      </c>
      <c r="E67" s="84">
        <v>5653.4831825000001</v>
      </c>
      <c r="F67" s="35"/>
      <c r="G67" s="52" t="s">
        <v>165</v>
      </c>
      <c r="H67" s="39">
        <f t="shared" si="15"/>
        <v>874</v>
      </c>
      <c r="I67" s="70">
        <f t="shared" si="24"/>
        <v>-1.68728909E-2</v>
      </c>
      <c r="J67" s="79">
        <f t="shared" si="21"/>
        <v>2164910.9733821801</v>
      </c>
      <c r="K67" s="75" t="s">
        <v>181</v>
      </c>
      <c r="L67" s="39">
        <f t="shared" si="17"/>
        <v>3.82</v>
      </c>
      <c r="M67" s="70">
        <f t="shared" si="18"/>
        <v>-5.2083333000000004E-3</v>
      </c>
      <c r="N67" s="79">
        <f t="shared" si="22"/>
        <v>27019778.60990246</v>
      </c>
      <c r="O67" s="75" t="s">
        <v>229</v>
      </c>
      <c r="P67" s="39">
        <f t="shared" si="19"/>
        <v>226</v>
      </c>
      <c r="Q67" s="70">
        <f t="shared" si="20"/>
        <v>-1.3100436700000001E-2</v>
      </c>
      <c r="R67" s="79">
        <f t="shared" si="23"/>
        <v>1204977.7674155701</v>
      </c>
    </row>
    <row r="68" spans="1:18">
      <c r="A68" s="40" t="s">
        <v>74</v>
      </c>
      <c r="B68" s="11" t="s">
        <v>75</v>
      </c>
      <c r="C68" s="86">
        <v>7060</v>
      </c>
      <c r="D68" s="34">
        <v>-4.9330514000000001E-3</v>
      </c>
      <c r="E68" s="84">
        <v>27420.143439160001</v>
      </c>
      <c r="F68" s="35"/>
      <c r="G68" s="52" t="s">
        <v>161</v>
      </c>
      <c r="H68" s="39">
        <f t="shared" si="15"/>
        <v>269</v>
      </c>
      <c r="I68" s="70">
        <f t="shared" si="24"/>
        <v>-1.8248175200000001E-2</v>
      </c>
      <c r="J68" s="79">
        <f t="shared" si="21"/>
        <v>2187558.3877982399</v>
      </c>
      <c r="K68" s="75" t="s">
        <v>253</v>
      </c>
      <c r="L68" s="39">
        <f t="shared" si="17"/>
        <v>88.7</v>
      </c>
      <c r="M68" s="70">
        <f t="shared" si="18"/>
        <v>-7.8299775999999995E-3</v>
      </c>
      <c r="N68" s="79">
        <f t="shared" si="22"/>
        <v>72631562.846164167</v>
      </c>
      <c r="O68" s="75" t="s">
        <v>68</v>
      </c>
      <c r="P68" s="39">
        <f t="shared" si="19"/>
        <v>225</v>
      </c>
      <c r="Q68" s="70">
        <f t="shared" si="20"/>
        <v>-1.3157894700000001E-2</v>
      </c>
      <c r="R68" s="79">
        <f t="shared" si="23"/>
        <v>2975489.7397455899</v>
      </c>
    </row>
    <row r="69" spans="1:18">
      <c r="A69" s="40" t="s">
        <v>125</v>
      </c>
      <c r="B69" s="11" t="s">
        <v>126</v>
      </c>
      <c r="C69" s="86">
        <v>20.100000000000001</v>
      </c>
      <c r="D69" s="34">
        <v>-4.9504950000000001E-3</v>
      </c>
      <c r="E69" s="84">
        <v>9500896.6536671296</v>
      </c>
      <c r="F69" s="35"/>
      <c r="G69" s="52" t="s">
        <v>211</v>
      </c>
      <c r="H69" s="39">
        <f t="shared" si="15"/>
        <v>900</v>
      </c>
      <c r="I69" s="70">
        <f t="shared" si="24"/>
        <v>-1.8538713200000001E-2</v>
      </c>
      <c r="J69" s="79">
        <f t="shared" si="21"/>
        <v>1172135.15191696</v>
      </c>
      <c r="K69" s="75" t="s">
        <v>56</v>
      </c>
      <c r="L69" s="39">
        <f t="shared" si="17"/>
        <v>36.200000000000003</v>
      </c>
      <c r="M69" s="70">
        <f t="shared" si="18"/>
        <v>-8.2191781000000002E-3</v>
      </c>
      <c r="N69" s="79">
        <f t="shared" si="22"/>
        <v>3235953.9474301501</v>
      </c>
      <c r="O69" s="75" t="s">
        <v>341</v>
      </c>
      <c r="P69" s="39">
        <f t="shared" si="19"/>
        <v>597</v>
      </c>
      <c r="Q69" s="70">
        <f t="shared" si="20"/>
        <v>-1.3223140499999999E-2</v>
      </c>
      <c r="R69" s="79">
        <f t="shared" si="23"/>
        <v>635456.84921267</v>
      </c>
    </row>
    <row r="70" spans="1:18">
      <c r="A70" s="40" t="s">
        <v>156</v>
      </c>
      <c r="B70" s="11" t="s">
        <v>157</v>
      </c>
      <c r="C70" s="86">
        <v>198</v>
      </c>
      <c r="D70" s="34">
        <v>-5.0251256000000003E-3</v>
      </c>
      <c r="E70" s="84">
        <v>7910707.3200263102</v>
      </c>
      <c r="F70" s="35"/>
      <c r="G70" s="52" t="s">
        <v>345</v>
      </c>
      <c r="H70" s="39">
        <f t="shared" si="15"/>
        <v>105</v>
      </c>
      <c r="I70" s="70">
        <f t="shared" si="24"/>
        <v>-1.8691588799999999E-2</v>
      </c>
      <c r="J70" s="83">
        <f t="shared" si="21"/>
        <v>3304776.4681058698</v>
      </c>
      <c r="K70" s="76" t="s">
        <v>122</v>
      </c>
      <c r="L70" s="44">
        <f t="shared" si="17"/>
        <v>20</v>
      </c>
      <c r="M70" s="71">
        <f t="shared" si="18"/>
        <v>-9.9009900999999997E-3</v>
      </c>
      <c r="N70" s="83">
        <f t="shared" si="22"/>
        <v>11467124.893646389</v>
      </c>
      <c r="O70" s="76" t="s">
        <v>60</v>
      </c>
      <c r="P70" s="44">
        <f t="shared" si="19"/>
        <v>373</v>
      </c>
      <c r="Q70" s="71">
        <f t="shared" si="20"/>
        <v>-1.5831134600000001E-2</v>
      </c>
      <c r="R70" s="83">
        <f t="shared" si="23"/>
        <v>854729.57165474002</v>
      </c>
    </row>
    <row r="71" spans="1:18">
      <c r="A71" s="40" t="s">
        <v>65</v>
      </c>
      <c r="B71" s="11" t="s">
        <v>66</v>
      </c>
      <c r="C71" s="86">
        <v>575</v>
      </c>
      <c r="D71" s="34">
        <v>-5.1903113999999997E-3</v>
      </c>
      <c r="E71" s="84">
        <v>282830.03431989002</v>
      </c>
      <c r="F71" s="35"/>
      <c r="G71" s="56" t="s">
        <v>151</v>
      </c>
      <c r="H71" s="45">
        <f t="shared" si="15"/>
        <v>1635</v>
      </c>
      <c r="I71" s="73">
        <f t="shared" si="24"/>
        <v>-2.0958083799999999E-2</v>
      </c>
      <c r="J71" s="89">
        <f t="shared" si="21"/>
        <v>1154672.3256576499</v>
      </c>
      <c r="K71" s="75" t="s">
        <v>221</v>
      </c>
      <c r="L71" s="39">
        <f t="shared" si="17"/>
        <v>17.2</v>
      </c>
      <c r="M71" s="70">
        <f t="shared" si="18"/>
        <v>-1.14942529E-2</v>
      </c>
      <c r="N71" s="89">
        <f t="shared" si="22"/>
        <v>4370486.0850975104</v>
      </c>
      <c r="O71" s="75" t="s">
        <v>165</v>
      </c>
      <c r="P71" s="39">
        <f t="shared" si="19"/>
        <v>874</v>
      </c>
      <c r="Q71" s="70">
        <f t="shared" si="20"/>
        <v>-1.68728909E-2</v>
      </c>
      <c r="R71" s="89">
        <f t="shared" si="23"/>
        <v>2164910.9733821801</v>
      </c>
    </row>
    <row r="72" spans="1:18">
      <c r="A72" s="40" t="s">
        <v>180</v>
      </c>
      <c r="B72" s="11" t="s">
        <v>181</v>
      </c>
      <c r="C72" s="86">
        <v>3.82</v>
      </c>
      <c r="D72" s="34">
        <v>-5.2083333000000004E-3</v>
      </c>
      <c r="E72" s="84">
        <v>27019778.60990246</v>
      </c>
      <c r="F72" s="35"/>
      <c r="G72" s="52" t="s">
        <v>350</v>
      </c>
      <c r="H72" s="39">
        <f t="shared" si="15"/>
        <v>5.51</v>
      </c>
      <c r="I72" s="70">
        <f t="shared" si="24"/>
        <v>-2.3049645399999999E-2</v>
      </c>
      <c r="J72" s="79">
        <f t="shared" si="21"/>
        <v>1149294390.8977778</v>
      </c>
      <c r="K72" s="75" t="s">
        <v>237</v>
      </c>
      <c r="L72" s="39">
        <f t="shared" si="17"/>
        <v>25.1</v>
      </c>
      <c r="M72" s="70">
        <f t="shared" si="18"/>
        <v>-1.18110236E-2</v>
      </c>
      <c r="N72" s="79">
        <f t="shared" si="22"/>
        <v>4010970.2929187398</v>
      </c>
      <c r="O72" s="75" t="s">
        <v>161</v>
      </c>
      <c r="P72" s="39">
        <f t="shared" si="19"/>
        <v>269</v>
      </c>
      <c r="Q72" s="70">
        <f t="shared" si="20"/>
        <v>-1.8248175200000001E-2</v>
      </c>
      <c r="R72" s="79">
        <f t="shared" si="23"/>
        <v>2187558.3877982399</v>
      </c>
    </row>
    <row r="73" spans="1:18">
      <c r="A73" s="40" t="s">
        <v>222</v>
      </c>
      <c r="B73" s="11" t="s">
        <v>223</v>
      </c>
      <c r="C73" s="86">
        <v>185</v>
      </c>
      <c r="D73" s="34">
        <v>-5.3763441000000004E-3</v>
      </c>
      <c r="E73" s="84">
        <v>594660.18546985998</v>
      </c>
      <c r="F73" s="35"/>
      <c r="G73" s="52" t="s">
        <v>349</v>
      </c>
      <c r="H73" s="39">
        <f t="shared" si="15"/>
        <v>20.100000000000001</v>
      </c>
      <c r="I73" s="70">
        <f t="shared" si="24"/>
        <v>-2.42718447E-2</v>
      </c>
      <c r="J73" s="79">
        <f t="shared" si="21"/>
        <v>18257925.172683861</v>
      </c>
      <c r="K73" s="75" t="s">
        <v>107</v>
      </c>
      <c r="L73" s="39">
        <f t="shared" si="17"/>
        <v>32.799999999999997</v>
      </c>
      <c r="M73" s="70">
        <f t="shared" si="18"/>
        <v>-1.20481928E-2</v>
      </c>
      <c r="N73" s="79">
        <f t="shared" si="22"/>
        <v>10787718.79069436</v>
      </c>
      <c r="O73" s="75" t="s">
        <v>211</v>
      </c>
      <c r="P73" s="39">
        <f t="shared" si="19"/>
        <v>900</v>
      </c>
      <c r="Q73" s="70">
        <f t="shared" si="20"/>
        <v>-1.8538713200000001E-2</v>
      </c>
      <c r="R73" s="79">
        <f t="shared" si="23"/>
        <v>1172135.15191696</v>
      </c>
    </row>
    <row r="74" spans="1:18">
      <c r="A74" s="40" t="s">
        <v>108</v>
      </c>
      <c r="B74" s="11" t="s">
        <v>109</v>
      </c>
      <c r="C74" s="86">
        <v>917</v>
      </c>
      <c r="D74" s="34">
        <v>-5.4229934999999998E-3</v>
      </c>
      <c r="E74" s="84">
        <v>123346.46341652</v>
      </c>
      <c r="F74" s="35"/>
      <c r="G74" s="52" t="s">
        <v>113</v>
      </c>
      <c r="H74" s="39">
        <f t="shared" si="15"/>
        <v>1050</v>
      </c>
      <c r="I74" s="70">
        <f t="shared" si="24"/>
        <v>-4.1095890400000001E-2</v>
      </c>
      <c r="J74" s="79">
        <f t="shared" si="21"/>
        <v>3646917.9271847899</v>
      </c>
      <c r="K74" s="75" t="s">
        <v>350</v>
      </c>
      <c r="L74" s="39">
        <f t="shared" si="17"/>
        <v>5.51</v>
      </c>
      <c r="M74" s="70">
        <f t="shared" si="18"/>
        <v>-2.3049645399999999E-2</v>
      </c>
      <c r="N74" s="79">
        <f t="shared" si="22"/>
        <v>1149294390.8977778</v>
      </c>
      <c r="O74" s="75" t="s">
        <v>345</v>
      </c>
      <c r="P74" s="39">
        <f t="shared" si="19"/>
        <v>105</v>
      </c>
      <c r="Q74" s="70">
        <f t="shared" si="20"/>
        <v>-1.8691588799999999E-2</v>
      </c>
      <c r="R74" s="79">
        <f t="shared" si="23"/>
        <v>3304776.4681058698</v>
      </c>
    </row>
    <row r="75" spans="1:18" ht="17.25" thickBot="1">
      <c r="A75" s="40" t="s">
        <v>104</v>
      </c>
      <c r="B75" s="11" t="s">
        <v>105</v>
      </c>
      <c r="C75" s="86">
        <v>179</v>
      </c>
      <c r="D75" s="34">
        <v>-5.5555556000000004E-3</v>
      </c>
      <c r="E75" s="84">
        <v>549087.86696570006</v>
      </c>
      <c r="F75" s="35"/>
      <c r="G75" s="53" t="s">
        <v>116</v>
      </c>
      <c r="H75" s="37">
        <f t="shared" si="15"/>
        <v>938</v>
      </c>
      <c r="I75" s="72">
        <f t="shared" si="24"/>
        <v>-6.1061061100000001E-2</v>
      </c>
      <c r="J75" s="80">
        <f t="shared" si="21"/>
        <v>4822749.2836128604</v>
      </c>
      <c r="K75" s="77" t="s">
        <v>349</v>
      </c>
      <c r="L75" s="37">
        <f t="shared" si="17"/>
        <v>20.100000000000001</v>
      </c>
      <c r="M75" s="72">
        <f t="shared" si="18"/>
        <v>-2.42718447E-2</v>
      </c>
      <c r="N75" s="80">
        <f t="shared" si="22"/>
        <v>18257925.172683861</v>
      </c>
      <c r="O75" s="77" t="s">
        <v>116</v>
      </c>
      <c r="P75" s="37">
        <f t="shared" si="19"/>
        <v>938</v>
      </c>
      <c r="Q75" s="72">
        <f t="shared" si="20"/>
        <v>-6.1061061100000001E-2</v>
      </c>
      <c r="R75" s="80">
        <f t="shared" si="23"/>
        <v>4822749.2836128604</v>
      </c>
    </row>
    <row r="76" spans="1:18">
      <c r="A76" s="40" t="s">
        <v>200</v>
      </c>
      <c r="B76" s="11" t="s">
        <v>201</v>
      </c>
      <c r="C76" s="86">
        <v>170</v>
      </c>
      <c r="D76" s="34">
        <v>-5.8479532000000004E-3</v>
      </c>
      <c r="E76" s="84">
        <v>2853870.3768062601</v>
      </c>
      <c r="F76" s="35"/>
      <c r="G76" s="35"/>
      <c r="H76" s="35"/>
      <c r="I76" s="35"/>
    </row>
    <row r="77" spans="1:18">
      <c r="A77" s="40" t="s">
        <v>146</v>
      </c>
      <c r="B77" s="11" t="s">
        <v>147</v>
      </c>
      <c r="C77" s="86">
        <v>7645</v>
      </c>
      <c r="D77" s="34">
        <v>-6.4977257999999996E-3</v>
      </c>
      <c r="E77" s="84">
        <v>252904.85031574999</v>
      </c>
      <c r="F77" s="35"/>
      <c r="G77" s="35"/>
      <c r="H77" s="35"/>
      <c r="I77" s="35"/>
    </row>
    <row r="78" spans="1:18">
      <c r="A78" s="40" t="s">
        <v>338</v>
      </c>
      <c r="B78" s="11" t="s">
        <v>339</v>
      </c>
      <c r="C78" s="86">
        <v>959</v>
      </c>
      <c r="D78" s="34">
        <v>-7.2463768E-3</v>
      </c>
      <c r="E78" s="84">
        <v>1267216.3143669099</v>
      </c>
      <c r="F78" s="35"/>
      <c r="G78" s="35"/>
      <c r="H78" s="35"/>
      <c r="I78" s="35"/>
    </row>
    <row r="79" spans="1:18">
      <c r="A79" s="40" t="s">
        <v>158</v>
      </c>
      <c r="B79" s="11" t="s">
        <v>159</v>
      </c>
      <c r="C79" s="86">
        <v>133</v>
      </c>
      <c r="D79" s="34">
        <v>-7.4626865999999998E-3</v>
      </c>
      <c r="E79" s="84">
        <v>3301004.0617756201</v>
      </c>
      <c r="F79" s="35"/>
      <c r="G79" s="35"/>
      <c r="H79" s="35"/>
      <c r="I79" s="35"/>
    </row>
    <row r="80" spans="1:18">
      <c r="A80" s="40" t="s">
        <v>198</v>
      </c>
      <c r="B80" s="11" t="s">
        <v>199</v>
      </c>
      <c r="C80" s="86">
        <v>260</v>
      </c>
      <c r="D80" s="34">
        <v>-7.6335878000000001E-3</v>
      </c>
      <c r="E80" s="84">
        <v>354105.20598224999</v>
      </c>
      <c r="F80" s="35"/>
      <c r="G80" s="35"/>
      <c r="H80" s="35"/>
      <c r="I80" s="35"/>
    </row>
    <row r="81" spans="1:9">
      <c r="A81" s="40" t="s">
        <v>252</v>
      </c>
      <c r="B81" s="11" t="s">
        <v>253</v>
      </c>
      <c r="C81" s="86">
        <v>88.7</v>
      </c>
      <c r="D81" s="34">
        <v>-7.8299775999999995E-3</v>
      </c>
      <c r="E81" s="84">
        <v>72631562.846164167</v>
      </c>
      <c r="F81" s="35"/>
      <c r="G81" s="35"/>
      <c r="H81" s="35"/>
      <c r="I81" s="35"/>
    </row>
    <row r="82" spans="1:9">
      <c r="A82" s="40" t="s">
        <v>55</v>
      </c>
      <c r="B82" s="11" t="s">
        <v>56</v>
      </c>
      <c r="C82" s="86">
        <v>36.200000000000003</v>
      </c>
      <c r="D82" s="34">
        <v>-8.2191781000000002E-3</v>
      </c>
      <c r="E82" s="84">
        <v>3235953.9474301501</v>
      </c>
      <c r="F82" s="35"/>
      <c r="G82" s="35"/>
      <c r="H82" s="35"/>
      <c r="I82" s="35"/>
    </row>
    <row r="83" spans="1:9">
      <c r="A83" s="40" t="s">
        <v>186</v>
      </c>
      <c r="B83" s="11" t="s">
        <v>187</v>
      </c>
      <c r="C83" s="86">
        <v>705</v>
      </c>
      <c r="D83" s="34">
        <v>-8.4388186E-3</v>
      </c>
      <c r="E83" s="84">
        <v>446229.26632071001</v>
      </c>
      <c r="F83" s="35"/>
      <c r="G83" s="35"/>
      <c r="H83" s="35"/>
      <c r="I83" s="35"/>
    </row>
    <row r="84" spans="1:9">
      <c r="A84" s="40" t="s">
        <v>82</v>
      </c>
      <c r="B84" s="11" t="s">
        <v>83</v>
      </c>
      <c r="C84" s="86">
        <v>1095</v>
      </c>
      <c r="D84" s="34">
        <v>-9.0497738000000008E-3</v>
      </c>
      <c r="E84" s="84">
        <v>334503.33131480002</v>
      </c>
      <c r="F84" s="35"/>
      <c r="G84" s="35"/>
      <c r="H84" s="35"/>
      <c r="I84" s="35"/>
    </row>
    <row r="85" spans="1:9">
      <c r="A85" s="40" t="s">
        <v>188</v>
      </c>
      <c r="B85" s="11" t="s">
        <v>189</v>
      </c>
      <c r="C85" s="86">
        <v>826</v>
      </c>
      <c r="D85" s="34">
        <v>-9.5923260999999996E-3</v>
      </c>
      <c r="E85" s="84">
        <v>1430814.4184874899</v>
      </c>
      <c r="F85" s="35"/>
      <c r="G85" s="35"/>
      <c r="H85" s="35"/>
      <c r="I85" s="35"/>
    </row>
    <row r="86" spans="1:9">
      <c r="A86" s="40" t="s">
        <v>94</v>
      </c>
      <c r="B86" s="11" t="s">
        <v>95</v>
      </c>
      <c r="C86" s="86">
        <v>904</v>
      </c>
      <c r="D86" s="34">
        <v>-9.8576123000000005E-3</v>
      </c>
      <c r="E86" s="84">
        <v>154444.67886252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86">
        <v>20</v>
      </c>
      <c r="D87" s="34">
        <v>-9.9009900999999997E-3</v>
      </c>
      <c r="E87" s="84">
        <v>11467124.893646389</v>
      </c>
      <c r="F87" s="35"/>
      <c r="G87" s="35"/>
      <c r="H87" s="35"/>
      <c r="I87" s="35"/>
    </row>
    <row r="88" spans="1:9">
      <c r="A88" s="40" t="s">
        <v>234</v>
      </c>
      <c r="B88" s="11" t="s">
        <v>235</v>
      </c>
      <c r="C88" s="86">
        <v>491</v>
      </c>
      <c r="D88" s="34">
        <v>-1.00806452E-2</v>
      </c>
      <c r="E88" s="84">
        <v>459083.98123804998</v>
      </c>
      <c r="F88" s="35"/>
      <c r="G88" s="35"/>
      <c r="H88" s="35"/>
      <c r="I88" s="35"/>
    </row>
    <row r="89" spans="1:9">
      <c r="A89" s="40" t="s">
        <v>129</v>
      </c>
      <c r="B89" s="11" t="s">
        <v>130</v>
      </c>
      <c r="C89" s="86">
        <v>575</v>
      </c>
      <c r="D89" s="34">
        <v>-1.03270224E-2</v>
      </c>
      <c r="E89" s="84">
        <v>944795.05583056004</v>
      </c>
      <c r="F89" s="35"/>
      <c r="G89" s="35"/>
      <c r="H89" s="35"/>
      <c r="I89" s="35"/>
    </row>
    <row r="90" spans="1:9">
      <c r="A90" s="40" t="s">
        <v>214</v>
      </c>
      <c r="B90" s="11" t="s">
        <v>215</v>
      </c>
      <c r="C90" s="86">
        <v>277</v>
      </c>
      <c r="D90" s="34">
        <v>-1.0714285699999999E-2</v>
      </c>
      <c r="E90" s="84">
        <v>882988.03384646995</v>
      </c>
      <c r="F90" s="35"/>
      <c r="G90" s="35"/>
      <c r="H90" s="35"/>
      <c r="I90" s="35"/>
    </row>
    <row r="91" spans="1:9">
      <c r="A91" s="40" t="s">
        <v>162</v>
      </c>
      <c r="B91" s="11" t="s">
        <v>163</v>
      </c>
      <c r="C91" s="86">
        <v>5325</v>
      </c>
      <c r="D91" s="34">
        <v>-1.1142061300000001E-2</v>
      </c>
      <c r="E91" s="84">
        <v>60669.368968850002</v>
      </c>
      <c r="F91" s="35"/>
      <c r="G91" s="35"/>
      <c r="H91" s="35"/>
      <c r="I91" s="35"/>
    </row>
    <row r="92" spans="1:9">
      <c r="A92" s="40" t="s">
        <v>220</v>
      </c>
      <c r="B92" s="11" t="s">
        <v>221</v>
      </c>
      <c r="C92" s="86">
        <v>17.2</v>
      </c>
      <c r="D92" s="34">
        <v>-1.14942529E-2</v>
      </c>
      <c r="E92" s="84">
        <v>4370486.0850975104</v>
      </c>
      <c r="F92" s="35"/>
      <c r="G92" s="35"/>
      <c r="H92" s="35"/>
      <c r="I92" s="35"/>
    </row>
    <row r="93" spans="1:9">
      <c r="A93" s="40" t="s">
        <v>236</v>
      </c>
      <c r="B93" s="11" t="s">
        <v>237</v>
      </c>
      <c r="C93" s="86">
        <v>25.1</v>
      </c>
      <c r="D93" s="34">
        <v>-1.18110236E-2</v>
      </c>
      <c r="E93" s="84">
        <v>4010970.2929187398</v>
      </c>
      <c r="F93" s="35"/>
      <c r="G93" s="35"/>
      <c r="H93" s="35"/>
      <c r="I93" s="35"/>
    </row>
    <row r="94" spans="1:9">
      <c r="A94" s="40" t="s">
        <v>342</v>
      </c>
      <c r="B94" s="11" t="s">
        <v>343</v>
      </c>
      <c r="C94" s="86">
        <v>12540</v>
      </c>
      <c r="D94" s="34">
        <v>-1.1820331E-2</v>
      </c>
      <c r="E94" s="84">
        <v>830818.91243287001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86">
        <v>2490</v>
      </c>
      <c r="D95" s="34">
        <v>-1.19047619E-2</v>
      </c>
      <c r="E95" s="84">
        <v>112398.75898075</v>
      </c>
      <c r="F95" s="35"/>
      <c r="G95" s="35"/>
      <c r="H95" s="35"/>
      <c r="I95" s="35"/>
    </row>
    <row r="96" spans="1:9">
      <c r="A96" s="40" t="s">
        <v>106</v>
      </c>
      <c r="B96" s="11" t="s">
        <v>107</v>
      </c>
      <c r="C96" s="86">
        <v>32.799999999999997</v>
      </c>
      <c r="D96" s="34">
        <v>-1.20481928E-2</v>
      </c>
      <c r="E96" s="84">
        <v>10787718.79069436</v>
      </c>
      <c r="F96" s="35"/>
      <c r="G96" s="35"/>
      <c r="H96" s="35"/>
      <c r="I96" s="35"/>
    </row>
    <row r="97" spans="1:9">
      <c r="A97" s="40" t="s">
        <v>110</v>
      </c>
      <c r="B97" s="11" t="s">
        <v>111</v>
      </c>
      <c r="C97" s="86">
        <v>482</v>
      </c>
      <c r="D97" s="34">
        <v>-1.2295082000000001E-2</v>
      </c>
      <c r="E97" s="84">
        <v>5073903.0407424197</v>
      </c>
      <c r="F97" s="35"/>
      <c r="G97" s="35"/>
      <c r="H97" s="35"/>
      <c r="I97" s="35"/>
    </row>
    <row r="98" spans="1:9">
      <c r="A98" s="40" t="s">
        <v>334</v>
      </c>
      <c r="B98" s="11" t="s">
        <v>335</v>
      </c>
      <c r="C98" s="86">
        <v>1585</v>
      </c>
      <c r="D98" s="34">
        <v>-1.2461059199999999E-2</v>
      </c>
      <c r="E98" s="84">
        <v>428344.39372426999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86">
        <v>11350</v>
      </c>
      <c r="D99" s="34">
        <v>-1.30434783E-2</v>
      </c>
      <c r="E99" s="84">
        <v>9416.7211202300005</v>
      </c>
      <c r="F99" s="35"/>
      <c r="G99" s="35"/>
      <c r="H99" s="35"/>
      <c r="I99" s="35"/>
    </row>
    <row r="100" spans="1:9">
      <c r="A100" s="40" t="s">
        <v>228</v>
      </c>
      <c r="B100" s="11" t="s">
        <v>229</v>
      </c>
      <c r="C100" s="86">
        <v>226</v>
      </c>
      <c r="D100" s="34">
        <v>-1.3100436700000001E-2</v>
      </c>
      <c r="E100" s="84">
        <v>1204977.7674155701</v>
      </c>
      <c r="F100" s="35"/>
      <c r="G100" s="35"/>
      <c r="H100" s="35"/>
      <c r="I100" s="35"/>
    </row>
    <row r="101" spans="1:9">
      <c r="A101" s="40" t="s">
        <v>67</v>
      </c>
      <c r="B101" s="11" t="s">
        <v>68</v>
      </c>
      <c r="C101" s="86">
        <v>225</v>
      </c>
      <c r="D101" s="34">
        <v>-1.3157894700000001E-2</v>
      </c>
      <c r="E101" s="84">
        <v>2975489.7397455899</v>
      </c>
      <c r="F101" s="35"/>
      <c r="G101" s="35"/>
      <c r="H101" s="35"/>
      <c r="I101" s="35"/>
    </row>
    <row r="102" spans="1:9">
      <c r="A102" s="40" t="s">
        <v>340</v>
      </c>
      <c r="B102" s="11" t="s">
        <v>341</v>
      </c>
      <c r="C102" s="86">
        <v>597</v>
      </c>
      <c r="D102" s="34">
        <v>-1.3223140499999999E-2</v>
      </c>
      <c r="E102" s="84">
        <v>635456.84921267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86">
        <v>1325</v>
      </c>
      <c r="D103" s="34">
        <v>-1.4869888499999999E-2</v>
      </c>
      <c r="E103" s="84">
        <v>106283.76345599</v>
      </c>
      <c r="F103" s="35"/>
      <c r="G103" s="35"/>
      <c r="H103" s="35"/>
      <c r="I103" s="35"/>
    </row>
    <row r="104" spans="1:9">
      <c r="A104" s="40" t="s">
        <v>346</v>
      </c>
      <c r="B104" s="11" t="s">
        <v>347</v>
      </c>
      <c r="C104" s="86">
        <v>13690</v>
      </c>
      <c r="D104" s="34">
        <v>-1.58159597E-2</v>
      </c>
      <c r="E104" s="84">
        <v>20291.714792549999</v>
      </c>
      <c r="F104" s="35"/>
      <c r="G104" s="35"/>
      <c r="H104" s="35"/>
      <c r="I104" s="35"/>
    </row>
    <row r="105" spans="1:9">
      <c r="A105" s="40" t="s">
        <v>59</v>
      </c>
      <c r="B105" s="11" t="s">
        <v>60</v>
      </c>
      <c r="C105" s="86">
        <v>373</v>
      </c>
      <c r="D105" s="34">
        <v>-1.5831134600000001E-2</v>
      </c>
      <c r="E105" s="84">
        <v>854729.57165474002</v>
      </c>
      <c r="F105" s="35"/>
      <c r="G105" s="35"/>
      <c r="H105" s="35"/>
      <c r="I105" s="35"/>
    </row>
    <row r="106" spans="1:9">
      <c r="A106" s="40" t="s">
        <v>164</v>
      </c>
      <c r="B106" s="11" t="s">
        <v>165</v>
      </c>
      <c r="C106" s="86">
        <v>874</v>
      </c>
      <c r="D106" s="34">
        <v>-1.68728909E-2</v>
      </c>
      <c r="E106" s="84">
        <v>2164910.9733821801</v>
      </c>
      <c r="F106" s="35"/>
      <c r="G106" s="35"/>
      <c r="H106" s="35"/>
      <c r="I106" s="35"/>
    </row>
    <row r="107" spans="1:9">
      <c r="A107" s="40" t="s">
        <v>160</v>
      </c>
      <c r="B107" s="11" t="s">
        <v>161</v>
      </c>
      <c r="C107" s="86">
        <v>269</v>
      </c>
      <c r="D107" s="34">
        <v>-1.8248175200000001E-2</v>
      </c>
      <c r="E107" s="84">
        <v>2187558.3877982399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86">
        <v>900</v>
      </c>
      <c r="D108" s="34">
        <v>-1.8538713200000001E-2</v>
      </c>
      <c r="E108" s="84">
        <v>1172135.15191696</v>
      </c>
      <c r="F108" s="35"/>
      <c r="G108" s="35"/>
      <c r="H108" s="35"/>
      <c r="I108" s="35"/>
    </row>
    <row r="109" spans="1:9">
      <c r="A109" s="40" t="s">
        <v>344</v>
      </c>
      <c r="B109" s="11" t="s">
        <v>345</v>
      </c>
      <c r="C109" s="86">
        <v>105</v>
      </c>
      <c r="D109" s="34">
        <v>-1.8691588799999999E-2</v>
      </c>
      <c r="E109" s="41">
        <v>3304776.4681058698</v>
      </c>
    </row>
    <row r="110" spans="1:9">
      <c r="A110" s="40" t="s">
        <v>150</v>
      </c>
      <c r="B110" s="11" t="s">
        <v>151</v>
      </c>
      <c r="C110" s="86">
        <v>1635</v>
      </c>
      <c r="D110" s="34">
        <v>-2.0958083799999999E-2</v>
      </c>
      <c r="E110" s="41">
        <v>1154672.3256576499</v>
      </c>
    </row>
    <row r="111" spans="1:9">
      <c r="A111" s="40" t="s">
        <v>170</v>
      </c>
      <c r="B111" s="11" t="s">
        <v>350</v>
      </c>
      <c r="C111" s="86">
        <v>5.51</v>
      </c>
      <c r="D111" s="34">
        <v>-2.3049645399999999E-2</v>
      </c>
      <c r="E111" s="41">
        <v>1149294390.8977778</v>
      </c>
    </row>
    <row r="112" spans="1:9">
      <c r="A112" s="40" t="s">
        <v>348</v>
      </c>
      <c r="B112" s="11" t="s">
        <v>349</v>
      </c>
      <c r="C112" s="86">
        <v>20.100000000000001</v>
      </c>
      <c r="D112" s="34">
        <v>-2.42718447E-2</v>
      </c>
      <c r="E112" s="41">
        <v>18257925.172683861</v>
      </c>
    </row>
    <row r="113" spans="1:5">
      <c r="A113" s="40" t="s">
        <v>112</v>
      </c>
      <c r="B113" s="11" t="s">
        <v>113</v>
      </c>
      <c r="C113" s="86">
        <v>1050</v>
      </c>
      <c r="D113" s="34">
        <v>-4.1095890400000001E-2</v>
      </c>
      <c r="E113" s="41">
        <v>3646917.9271847899</v>
      </c>
    </row>
    <row r="114" spans="1:5">
      <c r="A114" s="40" t="s">
        <v>115</v>
      </c>
      <c r="B114" s="11" t="s">
        <v>116</v>
      </c>
      <c r="C114" s="86">
        <v>938</v>
      </c>
      <c r="D114" s="34">
        <v>-6.1061061100000001E-2</v>
      </c>
      <c r="E114" s="41">
        <v>4822749.2836128604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38" t="str">
        <f>TEXT(투자전략!$G$1, "[$-ko-KR]yyyy년 mm월") &amp; " 총결산"</f>
        <v>2023년 01월 총결산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6.5" customHeight="1" thickBot="1">
      <c r="A2" s="144" t="s">
        <v>276</v>
      </c>
      <c r="B2" s="145"/>
      <c r="C2" s="145"/>
      <c r="D2" s="136" t="s">
        <v>272</v>
      </c>
      <c r="E2" s="136"/>
      <c r="F2" s="137"/>
      <c r="G2" s="138" t="s">
        <v>273</v>
      </c>
      <c r="H2" s="139"/>
      <c r="I2" s="140"/>
      <c r="J2" s="135" t="s">
        <v>274</v>
      </c>
      <c r="K2" s="136"/>
      <c r="L2" s="136"/>
      <c r="M2" s="136" t="s">
        <v>275</v>
      </c>
      <c r="N2" s="136"/>
      <c r="O2" s="137"/>
    </row>
    <row r="3" spans="1:15" ht="16.5" customHeight="1">
      <c r="A3" s="215">
        <v>1</v>
      </c>
      <c r="B3" s="1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Bottom20</v>
      </c>
      <c r="C3" s="146"/>
      <c r="D3" s="144" t="s">
        <v>277</v>
      </c>
      <c r="E3" s="145"/>
      <c r="F3" s="146"/>
      <c r="G3" s="144" t="s">
        <v>284</v>
      </c>
      <c r="H3" s="145"/>
      <c r="I3" s="146"/>
      <c r="J3" s="144" t="s">
        <v>291</v>
      </c>
      <c r="K3" s="145"/>
      <c r="L3" s="146"/>
      <c r="M3" s="144" t="s">
        <v>298</v>
      </c>
      <c r="N3" s="145"/>
      <c r="O3" s="146"/>
    </row>
    <row r="4" spans="1:15" ht="16.5" customHeight="1" thickBot="1">
      <c r="A4" s="216"/>
      <c r="B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9,476 KRW (0.32%)</v>
      </c>
      <c r="C4" s="152"/>
      <c r="D4" s="150" t="str">
        <f ca="1" xml:space="preserve"> TEXT($F$92, "#,##0") &amp; " KRW (" &amp; TEXT($E$92, "0.00%)")</f>
        <v>2,324 KRW (0.08%)</v>
      </c>
      <c r="E4" s="151"/>
      <c r="F4" s="152"/>
      <c r="G4" s="150" t="str">
        <f ca="1" xml:space="preserve"> TEXT($I$92, "#,##0") &amp; " KRW (" &amp; TEXT($H$92, "0.00%)")</f>
        <v>0 KRW (0.00%)</v>
      </c>
      <c r="H4" s="151"/>
      <c r="I4" s="152"/>
      <c r="J4" s="150" t="str">
        <f ca="1" xml:space="preserve"> TEXT($L$92, "#,##0") &amp; " KRW (" &amp; TEXT($K$92, "0.00%)")</f>
        <v>0 KRW (0.00%)</v>
      </c>
      <c r="K4" s="151"/>
      <c r="L4" s="152"/>
      <c r="M4" s="150" t="str">
        <f ca="1" xml:space="preserve"> TEXT($O$92, "#,##0") &amp; " KRW (" &amp; TEXT($N$92, "0.00%)")</f>
        <v>0 KRW (0.00%)</v>
      </c>
      <c r="N4" s="151"/>
      <c r="O4" s="152"/>
    </row>
    <row r="5" spans="1:15" ht="16.5" customHeight="1">
      <c r="A5" s="215">
        <v>2</v>
      </c>
      <c r="B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146"/>
      <c r="D5" s="144" t="s">
        <v>278</v>
      </c>
      <c r="E5" s="145"/>
      <c r="F5" s="146"/>
      <c r="G5" s="144" t="s">
        <v>285</v>
      </c>
      <c r="H5" s="145"/>
      <c r="I5" s="146"/>
      <c r="J5" s="144" t="s">
        <v>292</v>
      </c>
      <c r="K5" s="145"/>
      <c r="L5" s="146"/>
      <c r="M5" s="144" t="s">
        <v>299</v>
      </c>
      <c r="N5" s="145"/>
      <c r="O5" s="146"/>
    </row>
    <row r="6" spans="1:15" ht="16.5" customHeight="1" thickBot="1">
      <c r="A6" s="216"/>
      <c r="B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8,843 KRW (0.29%)</v>
      </c>
      <c r="C6" s="152"/>
      <c r="D6" s="150" t="str">
        <f ca="1" xml:space="preserve"> TEXT($F$130, "#,##0") &amp; " KRW (" &amp; TEXT($E$130, "0.00%)")</f>
        <v>3,246 KRW (0.11%)</v>
      </c>
      <c r="E6" s="151"/>
      <c r="F6" s="152"/>
      <c r="G6" s="150" t="str">
        <f ca="1" xml:space="preserve"> TEXT($I$130, "#,##0") &amp; " KRW (" &amp; TEXT($H$130, "0.00%)")</f>
        <v>0 KRW (0.00%)</v>
      </c>
      <c r="H6" s="151"/>
      <c r="I6" s="152"/>
      <c r="J6" s="150" t="str">
        <f ca="1" xml:space="preserve"> TEXT($L$130, "#,##0") &amp; " KRW (" &amp; TEXT($K$130, "0.00%)")</f>
        <v>0 KRW (0.00%)</v>
      </c>
      <c r="K6" s="151"/>
      <c r="L6" s="152"/>
      <c r="M6" s="150" t="str">
        <f ca="1" xml:space="preserve"> TEXT($O$130, "#,##0") &amp; " KRW (" &amp; TEXT($N$130, "0.00%)")</f>
        <v>0 KRW (0.00%)</v>
      </c>
      <c r="N6" s="151"/>
      <c r="O6" s="152"/>
    </row>
    <row r="7" spans="1:15" ht="16.5" customHeight="1">
      <c r="A7" s="215">
        <v>3</v>
      </c>
      <c r="B7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Bottom20</v>
      </c>
      <c r="C7" s="146"/>
      <c r="D7" s="144" t="s">
        <v>279</v>
      </c>
      <c r="E7" s="145"/>
      <c r="F7" s="146"/>
      <c r="G7" s="144" t="s">
        <v>286</v>
      </c>
      <c r="H7" s="145"/>
      <c r="I7" s="146"/>
      <c r="J7" s="144" t="s">
        <v>293</v>
      </c>
      <c r="K7" s="145"/>
      <c r="L7" s="146"/>
      <c r="M7" s="144" t="s">
        <v>300</v>
      </c>
      <c r="N7" s="145"/>
      <c r="O7" s="146"/>
    </row>
    <row r="8" spans="1:15" ht="16.5" customHeight="1" thickBot="1">
      <c r="A8" s="216"/>
      <c r="B8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5,765 KRW (0.19%)</v>
      </c>
      <c r="C8" s="152"/>
      <c r="D8" s="150" t="str">
        <f ca="1" xml:space="preserve"> TEXT($F$206, "#,##0") &amp; " KRW (" &amp; TEXT($E$206, "0.00%)")</f>
        <v>8,843 KRW (0.29%)</v>
      </c>
      <c r="E8" s="151"/>
      <c r="F8" s="152"/>
      <c r="G8" s="150" t="str">
        <f ca="1" xml:space="preserve"> TEXT($I$206, "#,##0") &amp; " KRW (" &amp; TEXT($H$206, "0.00%)")</f>
        <v>0 KRW (0.00%)</v>
      </c>
      <c r="H8" s="151"/>
      <c r="I8" s="152"/>
      <c r="J8" s="150" t="str">
        <f ca="1" xml:space="preserve"> TEXT($L$206, "#,##0") &amp; " KRW (" &amp; TEXT($K$206, "0.00%)")</f>
        <v>0 KRW (0.00%)</v>
      </c>
      <c r="K8" s="151"/>
      <c r="L8" s="152"/>
      <c r="M8" s="150" t="str">
        <f ca="1" xml:space="preserve"> TEXT($O$206, "#,##0") &amp; " KRW (" &amp; TEXT($N$206, "0.00%)")</f>
        <v>0 KRW (0.00%)</v>
      </c>
      <c r="N8" s="151"/>
      <c r="O8" s="152"/>
    </row>
    <row r="9" spans="1:15" ht="16.5" customHeight="1">
      <c r="A9" s="215">
        <v>4</v>
      </c>
      <c r="B9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146"/>
      <c r="D9" s="144" t="s">
        <v>280</v>
      </c>
      <c r="E9" s="145"/>
      <c r="F9" s="146"/>
      <c r="G9" s="144" t="s">
        <v>287</v>
      </c>
      <c r="H9" s="145"/>
      <c r="I9" s="146"/>
      <c r="J9" s="144" t="s">
        <v>294</v>
      </c>
      <c r="K9" s="145"/>
      <c r="L9" s="146"/>
      <c r="M9" s="144" t="s">
        <v>301</v>
      </c>
      <c r="N9" s="145"/>
      <c r="O9" s="146"/>
    </row>
    <row r="10" spans="1:15" ht="16.5" customHeight="1" thickBot="1">
      <c r="A10" s="216"/>
      <c r="B10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3,536 KRW (0.12%)</v>
      </c>
      <c r="C10" s="152"/>
      <c r="D10" s="150" t="str">
        <f ca="1" xml:space="preserve"> TEXT($F$244, "#,##0") &amp; " KRW (" &amp; TEXT($E$244, "0.00%)")</f>
        <v>5,765 KRW (0.19%)</v>
      </c>
      <c r="E10" s="151"/>
      <c r="F10" s="152"/>
      <c r="G10" s="150" t="str">
        <f ca="1" xml:space="preserve"> TEXT($I$244, "#,##0") &amp; " KRW (" &amp; TEXT($H$244, "0.00%)")</f>
        <v>0 KRW (0.00%)</v>
      </c>
      <c r="H10" s="151"/>
      <c r="I10" s="152"/>
      <c r="J10" s="150" t="str">
        <f ca="1" xml:space="preserve"> TEXT($L$244, "#,##0") &amp; " KRW (" &amp; TEXT($K$244, "0.00%)")</f>
        <v>0 KRW (0.00%)</v>
      </c>
      <c r="K10" s="151"/>
      <c r="L10" s="152"/>
      <c r="M10" s="150" t="str">
        <f ca="1" xml:space="preserve"> TEXT($O$244, "#,##0") &amp; " KRW (" &amp; TEXT($N$244, "0.00%)")</f>
        <v>0 KRW (0.00%)</v>
      </c>
      <c r="N10" s="151"/>
      <c r="O10" s="152"/>
    </row>
    <row r="11" spans="1:15" ht="16.5" customHeight="1">
      <c r="A11" s="215">
        <v>5</v>
      </c>
      <c r="B11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146"/>
      <c r="D11" s="144" t="s">
        <v>281</v>
      </c>
      <c r="E11" s="145"/>
      <c r="F11" s="146"/>
      <c r="G11" s="144" t="s">
        <v>288</v>
      </c>
      <c r="H11" s="145"/>
      <c r="I11" s="146"/>
      <c r="J11" s="144" t="s">
        <v>295</v>
      </c>
      <c r="K11" s="145"/>
      <c r="L11" s="146"/>
      <c r="M11" s="144" t="s">
        <v>302</v>
      </c>
      <c r="N11" s="145"/>
      <c r="O11" s="146"/>
    </row>
    <row r="12" spans="1:15" ht="16.5" customHeight="1" thickBot="1">
      <c r="A12" s="216"/>
      <c r="B12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3,246 KRW (0.11%)</v>
      </c>
      <c r="C12" s="152"/>
      <c r="D12" s="150" t="str">
        <f ca="1" xml:space="preserve"> TEXT($F$168, "#,##0") &amp; " KRW (" &amp; TEXT($E$168, "0.00%)")</f>
        <v>3,536 KRW (0.12%)</v>
      </c>
      <c r="E12" s="151"/>
      <c r="F12" s="152"/>
      <c r="G12" s="150" t="str">
        <f ca="1" xml:space="preserve"> TEXT($I$168, "#,##0") &amp; " KRW (" &amp; TEXT($H$168, "0.00%)")</f>
        <v>0 KRW (0.00%)</v>
      </c>
      <c r="H12" s="151"/>
      <c r="I12" s="152"/>
      <c r="J12" s="150" t="str">
        <f ca="1" xml:space="preserve"> TEXT($L$168, "#,##0") &amp; " KRW (" &amp; TEXT($K$168, "0.00%)")</f>
        <v>0 KRW (0.00%)</v>
      </c>
      <c r="K12" s="151"/>
      <c r="L12" s="152"/>
      <c r="M12" s="150" t="str">
        <f ca="1" xml:space="preserve"> TEXT($O$168, "#,##0") &amp; " KRW (" &amp; TEXT($N$168, "0.00%)")</f>
        <v>0 KRW (0.00%)</v>
      </c>
      <c r="N12" s="151"/>
      <c r="O12" s="152"/>
    </row>
    <row r="13" spans="1:15" ht="16.5" customHeight="1">
      <c r="A13" s="215">
        <v>6</v>
      </c>
      <c r="B13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146"/>
      <c r="D13" s="144" t="s">
        <v>282</v>
      </c>
      <c r="E13" s="145"/>
      <c r="F13" s="146"/>
      <c r="G13" s="144" t="s">
        <v>289</v>
      </c>
      <c r="H13" s="145"/>
      <c r="I13" s="146"/>
      <c r="J13" s="144" t="s">
        <v>296</v>
      </c>
      <c r="K13" s="145"/>
      <c r="L13" s="146"/>
      <c r="M13" s="144" t="s">
        <v>303</v>
      </c>
      <c r="N13" s="145"/>
      <c r="O13" s="146"/>
    </row>
    <row r="14" spans="1:15" ht="16.5" customHeight="1" thickBot="1">
      <c r="A14" s="216"/>
      <c r="B1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2,324 KRW (0.08%)</v>
      </c>
      <c r="C14" s="152"/>
      <c r="D14" s="150" t="str">
        <f ca="1" xml:space="preserve"> TEXT($F$282, "#,##0") &amp; " KRW (" &amp; TEXT($E$282, "0.00%)")</f>
        <v>9,476 KRW (0.32%)</v>
      </c>
      <c r="E14" s="151"/>
      <c r="F14" s="152"/>
      <c r="G14" s="150" t="str">
        <f ca="1" xml:space="preserve"> TEXT($I$282, "#,##0") &amp; " KRW (" &amp; TEXT($H$282, "0.00%)")</f>
        <v>0 KRW (0.00%)</v>
      </c>
      <c r="H14" s="151"/>
      <c r="I14" s="152"/>
      <c r="J14" s="150" t="str">
        <f ca="1" xml:space="preserve"> TEXT($L$282, "#,##0") &amp; " KRW (" &amp; TEXT($K$282, "0.00%)")</f>
        <v>0 KRW (0.00%)</v>
      </c>
      <c r="K14" s="151"/>
      <c r="L14" s="152"/>
      <c r="M14" s="150" t="str">
        <f ca="1" xml:space="preserve"> TEXT($O$282, "#,##0") &amp; " KRW (" &amp; TEXT($N$282, "0.00%)")</f>
        <v>0 KRW (0.00%)</v>
      </c>
      <c r="N14" s="151"/>
      <c r="O14" s="152"/>
    </row>
    <row r="15" spans="1:15" ht="16.5" customHeight="1">
      <c r="A15" s="215">
        <v>7</v>
      </c>
      <c r="B1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46"/>
      <c r="D15" s="144" t="s">
        <v>283</v>
      </c>
      <c r="E15" s="145"/>
      <c r="F15" s="146"/>
      <c r="G15" s="144" t="s">
        <v>290</v>
      </c>
      <c r="H15" s="145"/>
      <c r="I15" s="146"/>
      <c r="J15" s="144" t="s">
        <v>297</v>
      </c>
      <c r="K15" s="145"/>
      <c r="L15" s="146"/>
      <c r="M15" s="144" t="s">
        <v>304</v>
      </c>
      <c r="N15" s="145"/>
      <c r="O15" s="146"/>
    </row>
    <row r="16" spans="1:15" ht="16.5" customHeight="1" thickBot="1">
      <c r="A16" s="216"/>
      <c r="B1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52"/>
      <c r="D16" s="150" t="str">
        <f ca="1" xml:space="preserve"> TEXT($F$54, "#,##0") &amp; " KRW (" &amp; TEXT($E$54, "0.00%)")</f>
        <v>0 KRW (0.00%)</v>
      </c>
      <c r="E16" s="151"/>
      <c r="F16" s="152"/>
      <c r="G16" s="150" t="str">
        <f ca="1" xml:space="preserve"> TEXT($I$54, "#,##0") &amp; " KRW (" &amp; TEXT($H$54, "0.00%)")</f>
        <v>0 KRW (0.00%)</v>
      </c>
      <c r="H16" s="151"/>
      <c r="I16" s="152"/>
      <c r="J16" s="150" t="str">
        <f ca="1" xml:space="preserve"> TEXT($L$54, "#,##0") &amp; " KRW (" &amp; TEXT($K$54, "0.00%)")</f>
        <v>0 KRW (0.00%)</v>
      </c>
      <c r="K16" s="151"/>
      <c r="L16" s="152"/>
      <c r="M16" s="150" t="str">
        <f ca="1" xml:space="preserve"> TEXT($O$54, "#,##0") &amp; " KRW (" &amp; TEXT($N$54, "0.00%)")</f>
        <v>0 KRW (0.00%)</v>
      </c>
      <c r="N16" s="151"/>
      <c r="O16" s="152"/>
    </row>
    <row r="18" spans="1:15" ht="16.5" customHeight="1" thickBot="1"/>
    <row r="19" spans="1:15" ht="16.5" customHeight="1" thickBot="1">
      <c r="A19" s="135" t="str">
        <f>TEXT(투자전략!$G$1, "[$-ko-KR]yyyy년 mm월 ") &amp; "실거래 월말결산"</f>
        <v>2023년 01월 실거래 월말결산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7"/>
    </row>
    <row r="20" spans="1:15" ht="16.5" customHeight="1" thickBot="1">
      <c r="A20" s="196" t="s">
        <v>271</v>
      </c>
      <c r="B20" s="150" t="s">
        <v>269</v>
      </c>
      <c r="C20" s="152"/>
      <c r="D20" s="150" t="s">
        <v>261</v>
      </c>
      <c r="E20" s="151"/>
      <c r="F20" s="152"/>
      <c r="G20" s="150" t="s">
        <v>262</v>
      </c>
      <c r="H20" s="151"/>
      <c r="I20" s="152"/>
      <c r="J20" s="150" t="s">
        <v>263</v>
      </c>
      <c r="K20" s="151"/>
      <c r="L20" s="152"/>
      <c r="M20" s="150" t="s">
        <v>264</v>
      </c>
      <c r="N20" s="151"/>
      <c r="O20" s="152"/>
    </row>
    <row r="21" spans="1:15" ht="16.5" customHeight="1" thickBot="1">
      <c r="A21" s="200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2023.01.01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2023.01.02</v>
      </c>
      <c r="C23" s="118" t="str">
        <f t="shared" ref="C23:C52" ca="1" si="0">IFERROR(COUNTA(INDIRECT($B23&amp;"!A17:A36")) * INDIRECT($B23&amp;"!B37"), "")</f>
        <v/>
      </c>
      <c r="D23" s="122" t="str">
        <f t="shared" ref="D23:D52" ca="1" si="1">IFERROR($C23 * (1 + E23), "")</f>
        <v/>
      </c>
      <c r="E23" s="70" t="str">
        <f t="shared" ref="E23:E52" ca="1" si="2">IFERROR(INDIRECT($B23&amp;"!E37"), "")</f>
        <v/>
      </c>
      <c r="F23" s="120" t="str">
        <f t="shared" ref="F23:F52" ca="1" si="3">IFERROR(INDIRECT($B23&amp;"!F37"), "")</f>
        <v/>
      </c>
      <c r="G23" s="122" t="str">
        <f t="shared" ref="G23:G52" ca="1" si="4">IFERROR($C23 * (1 + H23), "")</f>
        <v/>
      </c>
      <c r="H23" s="70" t="str">
        <f t="shared" ref="H23:H52" ca="1" si="5">IFERROR(INDIRECT($B23&amp;"!H37"), "")</f>
        <v/>
      </c>
      <c r="I23" s="120" t="str">
        <f t="shared" ref="I23:I52" ca="1" si="6">IFERROR(INDIRECT($B23&amp;"!I37"), "")</f>
        <v/>
      </c>
      <c r="J23" s="122" t="str">
        <f t="shared" ref="J23:J52" ca="1" si="7">IFERROR($C23 * (1 + K23), "")</f>
        <v/>
      </c>
      <c r="K23" s="70" t="str">
        <f t="shared" ref="K23:K52" ca="1" si="8">IFERROR(INDIRECT($B23&amp;"!K37"), "")</f>
        <v/>
      </c>
      <c r="L23" s="120" t="str">
        <f t="shared" ref="L23:L52" ca="1" si="9">IFERROR(INDIRECT($B23&amp;"!L37"), "")</f>
        <v/>
      </c>
      <c r="M23" s="122" t="str">
        <f t="shared" ref="M23:M52" ca="1" si="10">IFERROR($C23 * (1 + N23), "")</f>
        <v/>
      </c>
      <c r="N23" s="70" t="str">
        <f t="shared" ref="N23:N52" ca="1" si="11">IFERROR(INDIRECT($B23&amp;"!N37"), "")</f>
        <v/>
      </c>
      <c r="O23" s="120" t="str">
        <f t="shared" ref="O23:O52" ca="1" si="12">IFERROR(INDIRECT($B23&amp;"!O37"), "")</f>
        <v/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2023.01.03</v>
      </c>
      <c r="C24" s="118" t="str">
        <f t="shared" ca="1" si="0"/>
        <v/>
      </c>
      <c r="D24" s="122" t="str">
        <f t="shared" ca="1" si="1"/>
        <v/>
      </c>
      <c r="E24" s="70" t="str">
        <f t="shared" ca="1" si="2"/>
        <v/>
      </c>
      <c r="F24" s="120" t="str">
        <f t="shared" ca="1" si="3"/>
        <v/>
      </c>
      <c r="G24" s="122" t="str">
        <f t="shared" ca="1" si="4"/>
        <v/>
      </c>
      <c r="H24" s="70" t="str">
        <f t="shared" ca="1" si="5"/>
        <v/>
      </c>
      <c r="I24" s="120" t="str">
        <f t="shared" ca="1" si="6"/>
        <v/>
      </c>
      <c r="J24" s="122" t="str">
        <f t="shared" ca="1" si="7"/>
        <v/>
      </c>
      <c r="K24" s="70" t="str">
        <f t="shared" ca="1" si="8"/>
        <v/>
      </c>
      <c r="L24" s="120" t="str">
        <f t="shared" ca="1" si="9"/>
        <v/>
      </c>
      <c r="M24" s="122" t="str">
        <f t="shared" ca="1" si="10"/>
        <v/>
      </c>
      <c r="N24" s="70" t="str">
        <f t="shared" ca="1" si="11"/>
        <v/>
      </c>
      <c r="O24" s="120" t="str">
        <f t="shared" ca="1" si="12"/>
        <v/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2023.01.04</v>
      </c>
      <c r="C25" s="118" t="str">
        <f t="shared" ca="1" si="0"/>
        <v/>
      </c>
      <c r="D25" s="122" t="str">
        <f t="shared" ca="1" si="1"/>
        <v/>
      </c>
      <c r="E25" s="70" t="str">
        <f t="shared" ca="1" si="2"/>
        <v/>
      </c>
      <c r="F25" s="120" t="str">
        <f t="shared" ca="1" si="3"/>
        <v/>
      </c>
      <c r="G25" s="122" t="str">
        <f t="shared" ca="1" si="4"/>
        <v/>
      </c>
      <c r="H25" s="70" t="str">
        <f t="shared" ca="1" si="5"/>
        <v/>
      </c>
      <c r="I25" s="120" t="str">
        <f t="shared" ca="1" si="6"/>
        <v/>
      </c>
      <c r="J25" s="122" t="str">
        <f t="shared" ca="1" si="7"/>
        <v/>
      </c>
      <c r="K25" s="70" t="str">
        <f t="shared" ca="1" si="8"/>
        <v/>
      </c>
      <c r="L25" s="120" t="str">
        <f t="shared" ca="1" si="9"/>
        <v/>
      </c>
      <c r="M25" s="122" t="str">
        <f t="shared" ca="1" si="10"/>
        <v/>
      </c>
      <c r="N25" s="70" t="str">
        <f t="shared" ca="1" si="11"/>
        <v/>
      </c>
      <c r="O25" s="120" t="str">
        <f t="shared" ca="1" si="12"/>
        <v/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2023.01.05</v>
      </c>
      <c r="C26" s="118" t="str">
        <f t="shared" ca="1" si="0"/>
        <v/>
      </c>
      <c r="D26" s="122" t="str">
        <f t="shared" ca="1" si="1"/>
        <v/>
      </c>
      <c r="E26" s="70" t="str">
        <f t="shared" ca="1" si="2"/>
        <v/>
      </c>
      <c r="F26" s="120" t="str">
        <f t="shared" ca="1" si="3"/>
        <v/>
      </c>
      <c r="G26" s="122" t="str">
        <f t="shared" ca="1" si="4"/>
        <v/>
      </c>
      <c r="H26" s="70" t="str">
        <f t="shared" ca="1" si="5"/>
        <v/>
      </c>
      <c r="I26" s="120" t="str">
        <f t="shared" ca="1" si="6"/>
        <v/>
      </c>
      <c r="J26" s="122" t="str">
        <f t="shared" ca="1" si="7"/>
        <v/>
      </c>
      <c r="K26" s="70" t="str">
        <f t="shared" ca="1" si="8"/>
        <v/>
      </c>
      <c r="L26" s="120" t="str">
        <f t="shared" ca="1" si="9"/>
        <v/>
      </c>
      <c r="M26" s="122" t="str">
        <f t="shared" ca="1" si="10"/>
        <v/>
      </c>
      <c r="N26" s="70" t="str">
        <f t="shared" ca="1" si="11"/>
        <v/>
      </c>
      <c r="O26" s="120" t="str">
        <f t="shared" ca="1" si="12"/>
        <v/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2023.01.06</v>
      </c>
      <c r="C27" s="118" t="str">
        <f t="shared" ca="1" si="0"/>
        <v/>
      </c>
      <c r="D27" s="122" t="str">
        <f t="shared" ca="1" si="1"/>
        <v/>
      </c>
      <c r="E27" s="70" t="str">
        <f t="shared" ca="1" si="2"/>
        <v/>
      </c>
      <c r="F27" s="120" t="str">
        <f t="shared" ca="1" si="3"/>
        <v/>
      </c>
      <c r="G27" s="122" t="str">
        <f t="shared" ca="1" si="4"/>
        <v/>
      </c>
      <c r="H27" s="70" t="str">
        <f t="shared" ca="1" si="5"/>
        <v/>
      </c>
      <c r="I27" s="120" t="str">
        <f t="shared" ca="1" si="6"/>
        <v/>
      </c>
      <c r="J27" s="122" t="str">
        <f t="shared" ca="1" si="7"/>
        <v/>
      </c>
      <c r="K27" s="70" t="str">
        <f t="shared" ca="1" si="8"/>
        <v/>
      </c>
      <c r="L27" s="120" t="str">
        <f t="shared" ca="1" si="9"/>
        <v/>
      </c>
      <c r="M27" s="122" t="str">
        <f t="shared" ca="1" si="10"/>
        <v/>
      </c>
      <c r="N27" s="70" t="str">
        <f t="shared" ca="1" si="11"/>
        <v/>
      </c>
      <c r="O27" s="120" t="str">
        <f t="shared" ca="1" si="12"/>
        <v/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2023.01.07</v>
      </c>
      <c r="C28" s="119" t="str">
        <f t="shared" ca="1" si="0"/>
        <v/>
      </c>
      <c r="D28" s="123" t="str">
        <f t="shared" ca="1" si="1"/>
        <v/>
      </c>
      <c r="E28" s="72" t="str">
        <f t="shared" ca="1" si="2"/>
        <v/>
      </c>
      <c r="F28" s="121" t="str">
        <f t="shared" ca="1" si="3"/>
        <v/>
      </c>
      <c r="G28" s="123" t="str">
        <f t="shared" ca="1" si="4"/>
        <v/>
      </c>
      <c r="H28" s="72" t="str">
        <f t="shared" ca="1" si="5"/>
        <v/>
      </c>
      <c r="I28" s="121" t="str">
        <f t="shared" ca="1" si="6"/>
        <v/>
      </c>
      <c r="J28" s="123" t="str">
        <f t="shared" ca="1" si="7"/>
        <v/>
      </c>
      <c r="K28" s="72" t="str">
        <f t="shared" ca="1" si="8"/>
        <v/>
      </c>
      <c r="L28" s="121" t="str">
        <f t="shared" ca="1" si="9"/>
        <v/>
      </c>
      <c r="M28" s="123" t="str">
        <f t="shared" ca="1" si="10"/>
        <v/>
      </c>
      <c r="N28" s="72" t="str">
        <f t="shared" ca="1" si="11"/>
        <v/>
      </c>
      <c r="O28" s="121" t="str">
        <f t="shared" ca="1" si="12"/>
        <v/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2023.01.08</v>
      </c>
      <c r="C29" s="117" t="str">
        <f t="shared" ca="1" si="0"/>
        <v/>
      </c>
      <c r="D29" s="125" t="str">
        <f t="shared" ca="1" si="1"/>
        <v/>
      </c>
      <c r="E29" s="69" t="str">
        <f t="shared" ca="1" si="2"/>
        <v/>
      </c>
      <c r="F29" s="124" t="str">
        <f t="shared" ca="1" si="3"/>
        <v/>
      </c>
      <c r="G29" s="125" t="str">
        <f t="shared" ca="1" si="4"/>
        <v/>
      </c>
      <c r="H29" s="69" t="str">
        <f t="shared" ca="1" si="5"/>
        <v/>
      </c>
      <c r="I29" s="124" t="str">
        <f t="shared" ca="1" si="6"/>
        <v/>
      </c>
      <c r="J29" s="125" t="str">
        <f t="shared" ca="1" si="7"/>
        <v/>
      </c>
      <c r="K29" s="69" t="str">
        <f t="shared" ca="1" si="8"/>
        <v/>
      </c>
      <c r="L29" s="124" t="str">
        <f t="shared" ca="1" si="9"/>
        <v/>
      </c>
      <c r="M29" s="125" t="str">
        <f t="shared" ca="1" si="10"/>
        <v/>
      </c>
      <c r="N29" s="69" t="str">
        <f t="shared" ca="1" si="11"/>
        <v/>
      </c>
      <c r="O29" s="124" t="str">
        <f t="shared" ca="1" si="12"/>
        <v/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2023.01.09</v>
      </c>
      <c r="C30" s="118" t="str">
        <f t="shared" ca="1" si="0"/>
        <v/>
      </c>
      <c r="D30" s="122" t="str">
        <f t="shared" ca="1" si="1"/>
        <v/>
      </c>
      <c r="E30" s="70" t="str">
        <f t="shared" ca="1" si="2"/>
        <v/>
      </c>
      <c r="F30" s="120" t="str">
        <f t="shared" ca="1" si="3"/>
        <v/>
      </c>
      <c r="G30" s="122" t="str">
        <f t="shared" ca="1" si="4"/>
        <v/>
      </c>
      <c r="H30" s="70" t="str">
        <f t="shared" ca="1" si="5"/>
        <v/>
      </c>
      <c r="I30" s="120" t="str">
        <f t="shared" ca="1" si="6"/>
        <v/>
      </c>
      <c r="J30" s="122" t="str">
        <f t="shared" ca="1" si="7"/>
        <v/>
      </c>
      <c r="K30" s="70" t="str">
        <f t="shared" ca="1" si="8"/>
        <v/>
      </c>
      <c r="L30" s="120" t="str">
        <f t="shared" ca="1" si="9"/>
        <v/>
      </c>
      <c r="M30" s="122" t="str">
        <f t="shared" ca="1" si="10"/>
        <v/>
      </c>
      <c r="N30" s="70" t="str">
        <f t="shared" ca="1" si="11"/>
        <v/>
      </c>
      <c r="O30" s="120" t="str">
        <f t="shared" ca="1" si="12"/>
        <v/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2023.01.10</v>
      </c>
      <c r="C31" s="118" t="str">
        <f t="shared" ca="1" si="0"/>
        <v/>
      </c>
      <c r="D31" s="122" t="str">
        <f t="shared" ca="1" si="1"/>
        <v/>
      </c>
      <c r="E31" s="70" t="str">
        <f t="shared" ca="1" si="2"/>
        <v/>
      </c>
      <c r="F31" s="120" t="str">
        <f t="shared" ca="1" si="3"/>
        <v/>
      </c>
      <c r="G31" s="122" t="str">
        <f t="shared" ca="1" si="4"/>
        <v/>
      </c>
      <c r="H31" s="70" t="str">
        <f t="shared" ca="1" si="5"/>
        <v/>
      </c>
      <c r="I31" s="120" t="str">
        <f t="shared" ca="1" si="6"/>
        <v/>
      </c>
      <c r="J31" s="122" t="str">
        <f t="shared" ca="1" si="7"/>
        <v/>
      </c>
      <c r="K31" s="70" t="str">
        <f t="shared" ca="1" si="8"/>
        <v/>
      </c>
      <c r="L31" s="120" t="str">
        <f t="shared" ca="1" si="9"/>
        <v/>
      </c>
      <c r="M31" s="122" t="str">
        <f t="shared" ca="1" si="10"/>
        <v/>
      </c>
      <c r="N31" s="70" t="str">
        <f t="shared" ca="1" si="11"/>
        <v/>
      </c>
      <c r="O31" s="120" t="str">
        <f t="shared" ca="1" si="12"/>
        <v/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2023.01.11</v>
      </c>
      <c r="C32" s="118" t="str">
        <f t="shared" ca="1" si="0"/>
        <v/>
      </c>
      <c r="D32" s="122" t="str">
        <f t="shared" ca="1" si="1"/>
        <v/>
      </c>
      <c r="E32" s="70" t="str">
        <f t="shared" ca="1" si="2"/>
        <v/>
      </c>
      <c r="F32" s="120" t="str">
        <f t="shared" ca="1" si="3"/>
        <v/>
      </c>
      <c r="G32" s="122" t="str">
        <f t="shared" ca="1" si="4"/>
        <v/>
      </c>
      <c r="H32" s="70" t="str">
        <f t="shared" ca="1" si="5"/>
        <v/>
      </c>
      <c r="I32" s="120" t="str">
        <f t="shared" ca="1" si="6"/>
        <v/>
      </c>
      <c r="J32" s="122" t="str">
        <f t="shared" ca="1" si="7"/>
        <v/>
      </c>
      <c r="K32" s="70" t="str">
        <f t="shared" ca="1" si="8"/>
        <v/>
      </c>
      <c r="L32" s="120" t="str">
        <f t="shared" ca="1" si="9"/>
        <v/>
      </c>
      <c r="M32" s="122" t="str">
        <f t="shared" ca="1" si="10"/>
        <v/>
      </c>
      <c r="N32" s="70" t="str">
        <f t="shared" ca="1" si="11"/>
        <v/>
      </c>
      <c r="O32" s="120" t="str">
        <f t="shared" ca="1" si="12"/>
        <v/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2023.01.12</v>
      </c>
      <c r="C33" s="118" t="str">
        <f t="shared" ca="1" si="0"/>
        <v/>
      </c>
      <c r="D33" s="122" t="str">
        <f t="shared" ca="1" si="1"/>
        <v/>
      </c>
      <c r="E33" s="70" t="str">
        <f t="shared" ca="1" si="2"/>
        <v/>
      </c>
      <c r="F33" s="120" t="str">
        <f t="shared" ca="1" si="3"/>
        <v/>
      </c>
      <c r="G33" s="122" t="str">
        <f t="shared" ca="1" si="4"/>
        <v/>
      </c>
      <c r="H33" s="70" t="str">
        <f t="shared" ca="1" si="5"/>
        <v/>
      </c>
      <c r="I33" s="120" t="str">
        <f t="shared" ca="1" si="6"/>
        <v/>
      </c>
      <c r="J33" s="122" t="str">
        <f t="shared" ca="1" si="7"/>
        <v/>
      </c>
      <c r="K33" s="70" t="str">
        <f t="shared" ca="1" si="8"/>
        <v/>
      </c>
      <c r="L33" s="120" t="str">
        <f t="shared" ca="1" si="9"/>
        <v/>
      </c>
      <c r="M33" s="122" t="str">
        <f t="shared" ca="1" si="10"/>
        <v/>
      </c>
      <c r="N33" s="70" t="str">
        <f t="shared" ca="1" si="11"/>
        <v/>
      </c>
      <c r="O33" s="120" t="str">
        <f t="shared" ca="1" si="12"/>
        <v/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2023.01.13</v>
      </c>
      <c r="C34" s="118" t="str">
        <f t="shared" ca="1" si="0"/>
        <v/>
      </c>
      <c r="D34" s="122" t="str">
        <f t="shared" ca="1" si="1"/>
        <v/>
      </c>
      <c r="E34" s="70" t="str">
        <f t="shared" ca="1" si="2"/>
        <v/>
      </c>
      <c r="F34" s="120" t="str">
        <f t="shared" ca="1" si="3"/>
        <v/>
      </c>
      <c r="G34" s="122" t="str">
        <f t="shared" ca="1" si="4"/>
        <v/>
      </c>
      <c r="H34" s="70" t="str">
        <f t="shared" ca="1" si="5"/>
        <v/>
      </c>
      <c r="I34" s="120" t="str">
        <f t="shared" ca="1" si="6"/>
        <v/>
      </c>
      <c r="J34" s="122" t="str">
        <f t="shared" ca="1" si="7"/>
        <v/>
      </c>
      <c r="K34" s="70" t="str">
        <f t="shared" ca="1" si="8"/>
        <v/>
      </c>
      <c r="L34" s="120" t="str">
        <f t="shared" ca="1" si="9"/>
        <v/>
      </c>
      <c r="M34" s="122" t="str">
        <f t="shared" ca="1" si="10"/>
        <v/>
      </c>
      <c r="N34" s="70" t="str">
        <f t="shared" ca="1" si="11"/>
        <v/>
      </c>
      <c r="O34" s="120" t="str">
        <f t="shared" ca="1" si="12"/>
        <v/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2023.01.14</v>
      </c>
      <c r="C35" s="119" t="str">
        <f t="shared" ca="1" si="0"/>
        <v/>
      </c>
      <c r="D35" s="123" t="str">
        <f t="shared" ca="1" si="1"/>
        <v/>
      </c>
      <c r="E35" s="72" t="str">
        <f t="shared" ca="1" si="2"/>
        <v/>
      </c>
      <c r="F35" s="121" t="str">
        <f t="shared" ca="1" si="3"/>
        <v/>
      </c>
      <c r="G35" s="123" t="str">
        <f t="shared" ca="1" si="4"/>
        <v/>
      </c>
      <c r="H35" s="72" t="str">
        <f t="shared" ca="1" si="5"/>
        <v/>
      </c>
      <c r="I35" s="121" t="str">
        <f t="shared" ca="1" si="6"/>
        <v/>
      </c>
      <c r="J35" s="123" t="str">
        <f t="shared" ca="1" si="7"/>
        <v/>
      </c>
      <c r="K35" s="72" t="str">
        <f t="shared" ca="1" si="8"/>
        <v/>
      </c>
      <c r="L35" s="121" t="str">
        <f t="shared" ca="1" si="9"/>
        <v/>
      </c>
      <c r="M35" s="123" t="str">
        <f t="shared" ca="1" si="10"/>
        <v/>
      </c>
      <c r="N35" s="72" t="str">
        <f t="shared" ca="1" si="11"/>
        <v/>
      </c>
      <c r="O35" s="121" t="str">
        <f t="shared" ca="1" si="12"/>
        <v/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2023.01.15</v>
      </c>
      <c r="C36" s="117" t="str">
        <f t="shared" ca="1" si="0"/>
        <v/>
      </c>
      <c r="D36" s="125" t="str">
        <f t="shared" ca="1" si="1"/>
        <v/>
      </c>
      <c r="E36" s="69" t="str">
        <f t="shared" ca="1" si="2"/>
        <v/>
      </c>
      <c r="F36" s="124" t="str">
        <f t="shared" ca="1" si="3"/>
        <v/>
      </c>
      <c r="G36" s="125" t="str">
        <f t="shared" ca="1" si="4"/>
        <v/>
      </c>
      <c r="H36" s="69" t="str">
        <f t="shared" ca="1" si="5"/>
        <v/>
      </c>
      <c r="I36" s="124" t="str">
        <f t="shared" ca="1" si="6"/>
        <v/>
      </c>
      <c r="J36" s="125" t="str">
        <f t="shared" ca="1" si="7"/>
        <v/>
      </c>
      <c r="K36" s="69" t="str">
        <f t="shared" ca="1" si="8"/>
        <v/>
      </c>
      <c r="L36" s="124" t="str">
        <f t="shared" ca="1" si="9"/>
        <v/>
      </c>
      <c r="M36" s="125" t="str">
        <f t="shared" ca="1" si="10"/>
        <v/>
      </c>
      <c r="N36" s="69" t="str">
        <f t="shared" ca="1" si="11"/>
        <v/>
      </c>
      <c r="O36" s="124" t="str">
        <f t="shared" ca="1" si="12"/>
        <v/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2023.01.16</v>
      </c>
      <c r="C37" s="118" t="str">
        <f t="shared" ca="1" si="0"/>
        <v/>
      </c>
      <c r="D37" s="122" t="str">
        <f t="shared" ca="1" si="1"/>
        <v/>
      </c>
      <c r="E37" s="70" t="str">
        <f t="shared" ca="1" si="2"/>
        <v/>
      </c>
      <c r="F37" s="120" t="str">
        <f t="shared" ca="1" si="3"/>
        <v/>
      </c>
      <c r="G37" s="122" t="str">
        <f t="shared" ca="1" si="4"/>
        <v/>
      </c>
      <c r="H37" s="70" t="str">
        <f t="shared" ca="1" si="5"/>
        <v/>
      </c>
      <c r="I37" s="120" t="str">
        <f t="shared" ca="1" si="6"/>
        <v/>
      </c>
      <c r="J37" s="122" t="str">
        <f t="shared" ca="1" si="7"/>
        <v/>
      </c>
      <c r="K37" s="70" t="str">
        <f t="shared" ca="1" si="8"/>
        <v/>
      </c>
      <c r="L37" s="120" t="str">
        <f t="shared" ca="1" si="9"/>
        <v/>
      </c>
      <c r="M37" s="122" t="str">
        <f t="shared" ca="1" si="10"/>
        <v/>
      </c>
      <c r="N37" s="70" t="str">
        <f t="shared" ca="1" si="11"/>
        <v/>
      </c>
      <c r="O37" s="120" t="str">
        <f t="shared" ca="1" si="12"/>
        <v/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2023.01.17</v>
      </c>
      <c r="C38" s="118" t="str">
        <f t="shared" ca="1" si="0"/>
        <v/>
      </c>
      <c r="D38" s="122" t="str">
        <f t="shared" ca="1" si="1"/>
        <v/>
      </c>
      <c r="E38" s="70" t="str">
        <f t="shared" ca="1" si="2"/>
        <v/>
      </c>
      <c r="F38" s="120" t="str">
        <f t="shared" ca="1" si="3"/>
        <v/>
      </c>
      <c r="G38" s="122" t="str">
        <f t="shared" ca="1" si="4"/>
        <v/>
      </c>
      <c r="H38" s="70" t="str">
        <f t="shared" ca="1" si="5"/>
        <v/>
      </c>
      <c r="I38" s="120" t="str">
        <f t="shared" ca="1" si="6"/>
        <v/>
      </c>
      <c r="J38" s="122" t="str">
        <f t="shared" ca="1" si="7"/>
        <v/>
      </c>
      <c r="K38" s="70" t="str">
        <f t="shared" ca="1" si="8"/>
        <v/>
      </c>
      <c r="L38" s="120" t="str">
        <f t="shared" ca="1" si="9"/>
        <v/>
      </c>
      <c r="M38" s="122" t="str">
        <f t="shared" ca="1" si="10"/>
        <v/>
      </c>
      <c r="N38" s="70" t="str">
        <f t="shared" ca="1" si="11"/>
        <v/>
      </c>
      <c r="O38" s="120" t="str">
        <f t="shared" ca="1" si="12"/>
        <v/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2023.01.18</v>
      </c>
      <c r="C39" s="118" t="str">
        <f t="shared" ca="1" si="0"/>
        <v/>
      </c>
      <c r="D39" s="122" t="str">
        <f t="shared" ca="1" si="1"/>
        <v/>
      </c>
      <c r="E39" s="70" t="str">
        <f t="shared" ca="1" si="2"/>
        <v/>
      </c>
      <c r="F39" s="120" t="str">
        <f t="shared" ca="1" si="3"/>
        <v/>
      </c>
      <c r="G39" s="122" t="str">
        <f t="shared" ca="1" si="4"/>
        <v/>
      </c>
      <c r="H39" s="70" t="str">
        <f t="shared" ca="1" si="5"/>
        <v/>
      </c>
      <c r="I39" s="120" t="str">
        <f t="shared" ca="1" si="6"/>
        <v/>
      </c>
      <c r="J39" s="122" t="str">
        <f t="shared" ca="1" si="7"/>
        <v/>
      </c>
      <c r="K39" s="70" t="str">
        <f t="shared" ca="1" si="8"/>
        <v/>
      </c>
      <c r="L39" s="120" t="str">
        <f t="shared" ca="1" si="9"/>
        <v/>
      </c>
      <c r="M39" s="122" t="str">
        <f t="shared" ca="1" si="10"/>
        <v/>
      </c>
      <c r="N39" s="70" t="str">
        <f t="shared" ca="1" si="11"/>
        <v/>
      </c>
      <c r="O39" s="120" t="str">
        <f t="shared" ca="1" si="12"/>
        <v/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2023.01.19</v>
      </c>
      <c r="C40" s="118" t="str">
        <f t="shared" ca="1" si="0"/>
        <v/>
      </c>
      <c r="D40" s="122" t="str">
        <f t="shared" ca="1" si="1"/>
        <v/>
      </c>
      <c r="E40" s="70" t="str">
        <f t="shared" ca="1" si="2"/>
        <v/>
      </c>
      <c r="F40" s="120" t="str">
        <f t="shared" ca="1" si="3"/>
        <v/>
      </c>
      <c r="G40" s="122" t="str">
        <f t="shared" ca="1" si="4"/>
        <v/>
      </c>
      <c r="H40" s="70" t="str">
        <f t="shared" ca="1" si="5"/>
        <v/>
      </c>
      <c r="I40" s="120" t="str">
        <f t="shared" ca="1" si="6"/>
        <v/>
      </c>
      <c r="J40" s="122" t="str">
        <f t="shared" ca="1" si="7"/>
        <v/>
      </c>
      <c r="K40" s="70" t="str">
        <f t="shared" ca="1" si="8"/>
        <v/>
      </c>
      <c r="L40" s="120" t="str">
        <f t="shared" ca="1" si="9"/>
        <v/>
      </c>
      <c r="M40" s="122" t="str">
        <f t="shared" ca="1" si="10"/>
        <v/>
      </c>
      <c r="N40" s="70" t="str">
        <f t="shared" ca="1" si="11"/>
        <v/>
      </c>
      <c r="O40" s="120" t="str">
        <f t="shared" ca="1" si="12"/>
        <v/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2023.01.20</v>
      </c>
      <c r="C41" s="118" t="str">
        <f t="shared" ca="1" si="0"/>
        <v/>
      </c>
      <c r="D41" s="122" t="str">
        <f t="shared" ca="1" si="1"/>
        <v/>
      </c>
      <c r="E41" s="70" t="str">
        <f t="shared" ca="1" si="2"/>
        <v/>
      </c>
      <c r="F41" s="120" t="str">
        <f t="shared" ca="1" si="3"/>
        <v/>
      </c>
      <c r="G41" s="122" t="str">
        <f t="shared" ca="1" si="4"/>
        <v/>
      </c>
      <c r="H41" s="70" t="str">
        <f t="shared" ca="1" si="5"/>
        <v/>
      </c>
      <c r="I41" s="120" t="str">
        <f t="shared" ca="1" si="6"/>
        <v/>
      </c>
      <c r="J41" s="122" t="str">
        <f t="shared" ca="1" si="7"/>
        <v/>
      </c>
      <c r="K41" s="70" t="str">
        <f t="shared" ca="1" si="8"/>
        <v/>
      </c>
      <c r="L41" s="120" t="str">
        <f t="shared" ca="1" si="9"/>
        <v/>
      </c>
      <c r="M41" s="122" t="str">
        <f t="shared" ca="1" si="10"/>
        <v/>
      </c>
      <c r="N41" s="70" t="str">
        <f t="shared" ca="1" si="11"/>
        <v/>
      </c>
      <c r="O41" s="120" t="str">
        <f t="shared" ca="1" si="12"/>
        <v/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2023.01.21</v>
      </c>
      <c r="C42" s="119" t="str">
        <f t="shared" ca="1" si="0"/>
        <v/>
      </c>
      <c r="D42" s="123" t="str">
        <f t="shared" ca="1" si="1"/>
        <v/>
      </c>
      <c r="E42" s="72" t="str">
        <f t="shared" ca="1" si="2"/>
        <v/>
      </c>
      <c r="F42" s="121" t="str">
        <f t="shared" ca="1" si="3"/>
        <v/>
      </c>
      <c r="G42" s="123" t="str">
        <f t="shared" ca="1" si="4"/>
        <v/>
      </c>
      <c r="H42" s="72" t="str">
        <f t="shared" ca="1" si="5"/>
        <v/>
      </c>
      <c r="I42" s="121" t="str">
        <f t="shared" ca="1" si="6"/>
        <v/>
      </c>
      <c r="J42" s="123" t="str">
        <f t="shared" ca="1" si="7"/>
        <v/>
      </c>
      <c r="K42" s="72" t="str">
        <f t="shared" ca="1" si="8"/>
        <v/>
      </c>
      <c r="L42" s="121" t="str">
        <f t="shared" ca="1" si="9"/>
        <v/>
      </c>
      <c r="M42" s="123" t="str">
        <f t="shared" ca="1" si="10"/>
        <v/>
      </c>
      <c r="N42" s="72" t="str">
        <f t="shared" ca="1" si="11"/>
        <v/>
      </c>
      <c r="O42" s="121" t="str">
        <f t="shared" ca="1" si="12"/>
        <v/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2023.01.22</v>
      </c>
      <c r="C43" s="117" t="str">
        <f t="shared" ca="1" si="0"/>
        <v/>
      </c>
      <c r="D43" s="125" t="str">
        <f t="shared" ca="1" si="1"/>
        <v/>
      </c>
      <c r="E43" s="69" t="str">
        <f t="shared" ca="1" si="2"/>
        <v/>
      </c>
      <c r="F43" s="124" t="str">
        <f t="shared" ca="1" si="3"/>
        <v/>
      </c>
      <c r="G43" s="125" t="str">
        <f t="shared" ca="1" si="4"/>
        <v/>
      </c>
      <c r="H43" s="69" t="str">
        <f t="shared" ca="1" si="5"/>
        <v/>
      </c>
      <c r="I43" s="124" t="str">
        <f t="shared" ca="1" si="6"/>
        <v/>
      </c>
      <c r="J43" s="125" t="str">
        <f t="shared" ca="1" si="7"/>
        <v/>
      </c>
      <c r="K43" s="69" t="str">
        <f t="shared" ca="1" si="8"/>
        <v/>
      </c>
      <c r="L43" s="124" t="str">
        <f t="shared" ca="1" si="9"/>
        <v/>
      </c>
      <c r="M43" s="125" t="str">
        <f t="shared" ca="1" si="10"/>
        <v/>
      </c>
      <c r="N43" s="69" t="str">
        <f t="shared" ca="1" si="11"/>
        <v/>
      </c>
      <c r="O43" s="124" t="str">
        <f t="shared" ca="1" si="12"/>
        <v/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2023.01.23</v>
      </c>
      <c r="C44" s="118" t="str">
        <f t="shared" ca="1" si="0"/>
        <v/>
      </c>
      <c r="D44" s="122" t="str">
        <f t="shared" ca="1" si="1"/>
        <v/>
      </c>
      <c r="E44" s="70" t="str">
        <f t="shared" ca="1" si="2"/>
        <v/>
      </c>
      <c r="F44" s="120" t="str">
        <f t="shared" ca="1" si="3"/>
        <v/>
      </c>
      <c r="G44" s="122" t="str">
        <f t="shared" ca="1" si="4"/>
        <v/>
      </c>
      <c r="H44" s="70" t="str">
        <f t="shared" ca="1" si="5"/>
        <v/>
      </c>
      <c r="I44" s="120" t="str">
        <f t="shared" ca="1" si="6"/>
        <v/>
      </c>
      <c r="J44" s="122" t="str">
        <f t="shared" ca="1" si="7"/>
        <v/>
      </c>
      <c r="K44" s="70" t="str">
        <f t="shared" ca="1" si="8"/>
        <v/>
      </c>
      <c r="L44" s="120" t="str">
        <f t="shared" ca="1" si="9"/>
        <v/>
      </c>
      <c r="M44" s="122" t="str">
        <f t="shared" ca="1" si="10"/>
        <v/>
      </c>
      <c r="N44" s="70" t="str">
        <f t="shared" ca="1" si="11"/>
        <v/>
      </c>
      <c r="O44" s="120" t="str">
        <f t="shared" ca="1" si="12"/>
        <v/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2023.01.24</v>
      </c>
      <c r="C45" s="118" t="str">
        <f t="shared" ca="1" si="0"/>
        <v/>
      </c>
      <c r="D45" s="122" t="str">
        <f t="shared" ca="1" si="1"/>
        <v/>
      </c>
      <c r="E45" s="70" t="str">
        <f t="shared" ca="1" si="2"/>
        <v/>
      </c>
      <c r="F45" s="120" t="str">
        <f t="shared" ca="1" si="3"/>
        <v/>
      </c>
      <c r="G45" s="122" t="str">
        <f t="shared" ca="1" si="4"/>
        <v/>
      </c>
      <c r="H45" s="70" t="str">
        <f t="shared" ca="1" si="5"/>
        <v/>
      </c>
      <c r="I45" s="120" t="str">
        <f t="shared" ca="1" si="6"/>
        <v/>
      </c>
      <c r="J45" s="122" t="str">
        <f t="shared" ca="1" si="7"/>
        <v/>
      </c>
      <c r="K45" s="70" t="str">
        <f t="shared" ca="1" si="8"/>
        <v/>
      </c>
      <c r="L45" s="120" t="str">
        <f t="shared" ca="1" si="9"/>
        <v/>
      </c>
      <c r="M45" s="122" t="str">
        <f t="shared" ca="1" si="10"/>
        <v/>
      </c>
      <c r="N45" s="70" t="str">
        <f t="shared" ca="1" si="11"/>
        <v/>
      </c>
      <c r="O45" s="120" t="str">
        <f t="shared" ca="1" si="12"/>
        <v/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2023.01.25</v>
      </c>
      <c r="C46" s="118" t="str">
        <f t="shared" ca="1" si="0"/>
        <v/>
      </c>
      <c r="D46" s="122" t="str">
        <f t="shared" ca="1" si="1"/>
        <v/>
      </c>
      <c r="E46" s="70" t="str">
        <f t="shared" ca="1" si="2"/>
        <v/>
      </c>
      <c r="F46" s="120" t="str">
        <f t="shared" ca="1" si="3"/>
        <v/>
      </c>
      <c r="G46" s="122" t="str">
        <f t="shared" ca="1" si="4"/>
        <v/>
      </c>
      <c r="H46" s="70" t="str">
        <f t="shared" ca="1" si="5"/>
        <v/>
      </c>
      <c r="I46" s="120" t="str">
        <f t="shared" ca="1" si="6"/>
        <v/>
      </c>
      <c r="J46" s="122" t="str">
        <f t="shared" ca="1" si="7"/>
        <v/>
      </c>
      <c r="K46" s="70" t="str">
        <f t="shared" ca="1" si="8"/>
        <v/>
      </c>
      <c r="L46" s="120" t="str">
        <f t="shared" ca="1" si="9"/>
        <v/>
      </c>
      <c r="M46" s="122" t="str">
        <f t="shared" ca="1" si="10"/>
        <v/>
      </c>
      <c r="N46" s="70" t="str">
        <f t="shared" ca="1" si="11"/>
        <v/>
      </c>
      <c r="O46" s="120" t="str">
        <f t="shared" ca="1" si="12"/>
        <v/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2023.01.26</v>
      </c>
      <c r="C47" s="118" t="str">
        <f t="shared" ca="1" si="0"/>
        <v/>
      </c>
      <c r="D47" s="122" t="str">
        <f t="shared" ca="1" si="1"/>
        <v/>
      </c>
      <c r="E47" s="70" t="str">
        <f t="shared" ca="1" si="2"/>
        <v/>
      </c>
      <c r="F47" s="120" t="str">
        <f t="shared" ca="1" si="3"/>
        <v/>
      </c>
      <c r="G47" s="122" t="str">
        <f t="shared" ca="1" si="4"/>
        <v/>
      </c>
      <c r="H47" s="70" t="str">
        <f t="shared" ca="1" si="5"/>
        <v/>
      </c>
      <c r="I47" s="120" t="str">
        <f t="shared" ca="1" si="6"/>
        <v/>
      </c>
      <c r="J47" s="122" t="str">
        <f t="shared" ca="1" si="7"/>
        <v/>
      </c>
      <c r="K47" s="70" t="str">
        <f t="shared" ca="1" si="8"/>
        <v/>
      </c>
      <c r="L47" s="120" t="str">
        <f t="shared" ca="1" si="9"/>
        <v/>
      </c>
      <c r="M47" s="122" t="str">
        <f t="shared" ca="1" si="10"/>
        <v/>
      </c>
      <c r="N47" s="70" t="str">
        <f t="shared" ca="1" si="11"/>
        <v/>
      </c>
      <c r="O47" s="120" t="str">
        <f t="shared" ca="1" si="12"/>
        <v/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2023.01.27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2023.01.28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2023.01.29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2023.01.30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2023.01.31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44" t="s">
        <v>270</v>
      </c>
      <c r="B53" s="146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50"/>
      <c r="B54" s="152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35" t="str">
        <f>TEXT(투자전략!$G$1, "[$-ko-KR]yyyy년 mm월 ") &amp; "[엽전코인] 전일대비 상승률 Top20 월말결산"</f>
        <v>2023년 01월 [엽전코인] 전일대비 상승률 Top20 월말결산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7"/>
    </row>
    <row r="58" spans="1:15" ht="16.5" customHeight="1" thickBot="1">
      <c r="A58" s="196" t="s">
        <v>271</v>
      </c>
      <c r="B58" s="150" t="s">
        <v>269</v>
      </c>
      <c r="C58" s="152"/>
      <c r="D58" s="150" t="s">
        <v>261</v>
      </c>
      <c r="E58" s="151"/>
      <c r="F58" s="152"/>
      <c r="G58" s="150" t="s">
        <v>262</v>
      </c>
      <c r="H58" s="151"/>
      <c r="I58" s="152"/>
      <c r="J58" s="150" t="s">
        <v>263</v>
      </c>
      <c r="K58" s="151"/>
      <c r="L58" s="152"/>
      <c r="M58" s="150" t="s">
        <v>264</v>
      </c>
      <c r="N58" s="151"/>
      <c r="O58" s="152"/>
    </row>
    <row r="59" spans="1:15" ht="16.5" customHeight="1" thickBot="1">
      <c r="A59" s="200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2023.01.01</v>
      </c>
      <c r="C60" s="117">
        <f ca="1">IFERROR(COUNTA(INDIRECT($B60&amp;"!A44:A63")) * INDIRECT($B60&amp;"!B64"), "")</f>
        <v>3000000</v>
      </c>
      <c r="D60" s="125">
        <f ca="1">IFERROR($C60 * (1 + E60), "")</f>
        <v>3002324.2297785319</v>
      </c>
      <c r="E60" s="69">
        <f ca="1">IFERROR(INDIRECT($B60&amp;"!E64"), "")</f>
        <v>7.7474325951062408E-4</v>
      </c>
      <c r="F60" s="124">
        <f ca="1">IFERROR(INDIRECT($B60&amp;"!F64"), "")</f>
        <v>2324.2297785318719</v>
      </c>
      <c r="G60" s="125">
        <f ca="1">IFERROR($C60 * (1 + H60), "")</f>
        <v>3000000</v>
      </c>
      <c r="H60" s="69">
        <f ca="1">IFERROR(INDIRECT($B60&amp;"!H64"), "")</f>
        <v>0</v>
      </c>
      <c r="I60" s="124">
        <f ca="1">IFERROR(INDIRECT($B60&amp;"!I64"), "")</f>
        <v>0</v>
      </c>
      <c r="J60" s="125">
        <f ca="1">IFERROR($C60 * (1 + K60), "")</f>
        <v>3000000</v>
      </c>
      <c r="K60" s="69">
        <f ca="1">IFERROR(INDIRECT($B60&amp;"!K64"), "")</f>
        <v>0</v>
      </c>
      <c r="L60" s="124">
        <f ca="1">IFERROR(INDIRECT($B60&amp;"!L64"), "")</f>
        <v>0</v>
      </c>
      <c r="M60" s="125">
        <f ca="1">IFERROR($C60 * (1 + N60), "")</f>
        <v>3000000</v>
      </c>
      <c r="N60" s="69">
        <f ca="1">IFERROR(INDIRECT($B60&amp;"!N64"), "")</f>
        <v>0</v>
      </c>
      <c r="O60" s="124">
        <f ca="1">IFERROR(INDIRECT($B60&amp;"!O64"), "")</f>
        <v>0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2023.01.02</v>
      </c>
      <c r="C61" s="118" t="str">
        <f t="shared" ref="C61:C90" ca="1" si="13">IFERROR(COUNTA(INDIRECT($B61&amp;"!A44:A63")) * INDIRECT($B61&amp;"!B64"), "")</f>
        <v/>
      </c>
      <c r="D61" s="122" t="str">
        <f t="shared" ref="D61:D90" ca="1" si="14">IFERROR($C61 * (1 + E61), "")</f>
        <v/>
      </c>
      <c r="E61" s="70" t="str">
        <f t="shared" ref="E61:E90" ca="1" si="15">IFERROR(INDIRECT($B61&amp;"!E64"), "")</f>
        <v/>
      </c>
      <c r="F61" s="120" t="str">
        <f t="shared" ref="F61:F90" ca="1" si="16">IFERROR(INDIRECT($B61&amp;"!F64"), "")</f>
        <v/>
      </c>
      <c r="G61" s="122" t="str">
        <f t="shared" ref="G61:G90" ca="1" si="17">IFERROR($C61 * (1 + H61), "")</f>
        <v/>
      </c>
      <c r="H61" s="70" t="str">
        <f t="shared" ref="H61:H90" ca="1" si="18">IFERROR(INDIRECT($B61&amp;"!H64"), "")</f>
        <v/>
      </c>
      <c r="I61" s="120" t="str">
        <f t="shared" ref="I61:I90" ca="1" si="19">IFERROR(INDIRECT($B61&amp;"!I64"), "")</f>
        <v/>
      </c>
      <c r="J61" s="122" t="str">
        <f t="shared" ref="J61:J90" ca="1" si="20">IFERROR($C61 * (1 + K61), "")</f>
        <v/>
      </c>
      <c r="K61" s="70" t="str">
        <f t="shared" ref="K61:K90" ca="1" si="21">IFERROR(INDIRECT($B61&amp;"!K64"), "")</f>
        <v/>
      </c>
      <c r="L61" s="120" t="str">
        <f t="shared" ref="L61:L90" ca="1" si="22">IFERROR(INDIRECT($B61&amp;"!L64"), "")</f>
        <v/>
      </c>
      <c r="M61" s="122" t="str">
        <f t="shared" ref="M61:M90" ca="1" si="23">IFERROR($C61 * (1 + N61), "")</f>
        <v/>
      </c>
      <c r="N61" s="70" t="str">
        <f t="shared" ref="N61:N90" ca="1" si="24">IFERROR(INDIRECT($B61&amp;"!N64"), "")</f>
        <v/>
      </c>
      <c r="O61" s="120" t="str">
        <f t="shared" ref="O61:O90" ca="1" si="25">IFERROR(INDIRECT($B61&amp;"!O64"), "")</f>
        <v/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2023.01.03</v>
      </c>
      <c r="C62" s="118" t="str">
        <f t="shared" ca="1" si="13"/>
        <v/>
      </c>
      <c r="D62" s="122" t="str">
        <f t="shared" ca="1" si="14"/>
        <v/>
      </c>
      <c r="E62" s="70" t="str">
        <f t="shared" ca="1" si="15"/>
        <v/>
      </c>
      <c r="F62" s="120" t="str">
        <f t="shared" ca="1" si="16"/>
        <v/>
      </c>
      <c r="G62" s="122" t="str">
        <f t="shared" ca="1" si="17"/>
        <v/>
      </c>
      <c r="H62" s="70" t="str">
        <f t="shared" ca="1" si="18"/>
        <v/>
      </c>
      <c r="I62" s="120" t="str">
        <f t="shared" ca="1" si="19"/>
        <v/>
      </c>
      <c r="J62" s="122" t="str">
        <f t="shared" ca="1" si="20"/>
        <v/>
      </c>
      <c r="K62" s="70" t="str">
        <f t="shared" ca="1" si="21"/>
        <v/>
      </c>
      <c r="L62" s="120" t="str">
        <f t="shared" ca="1" si="22"/>
        <v/>
      </c>
      <c r="M62" s="122" t="str">
        <f t="shared" ca="1" si="23"/>
        <v/>
      </c>
      <c r="N62" s="70" t="str">
        <f t="shared" ca="1" si="24"/>
        <v/>
      </c>
      <c r="O62" s="120" t="str">
        <f t="shared" ca="1" si="25"/>
        <v/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2023.01.04</v>
      </c>
      <c r="C63" s="118" t="str">
        <f t="shared" ca="1" si="13"/>
        <v/>
      </c>
      <c r="D63" s="122" t="str">
        <f t="shared" ca="1" si="14"/>
        <v/>
      </c>
      <c r="E63" s="70" t="str">
        <f t="shared" ca="1" si="15"/>
        <v/>
      </c>
      <c r="F63" s="120" t="str">
        <f t="shared" ca="1" si="16"/>
        <v/>
      </c>
      <c r="G63" s="122" t="str">
        <f t="shared" ca="1" si="17"/>
        <v/>
      </c>
      <c r="H63" s="70" t="str">
        <f t="shared" ca="1" si="18"/>
        <v/>
      </c>
      <c r="I63" s="120" t="str">
        <f t="shared" ca="1" si="19"/>
        <v/>
      </c>
      <c r="J63" s="122" t="str">
        <f t="shared" ca="1" si="20"/>
        <v/>
      </c>
      <c r="K63" s="70" t="str">
        <f t="shared" ca="1" si="21"/>
        <v/>
      </c>
      <c r="L63" s="120" t="str">
        <f t="shared" ca="1" si="22"/>
        <v/>
      </c>
      <c r="M63" s="122" t="str">
        <f t="shared" ca="1" si="23"/>
        <v/>
      </c>
      <c r="N63" s="70" t="str">
        <f t="shared" ca="1" si="24"/>
        <v/>
      </c>
      <c r="O63" s="120" t="str">
        <f t="shared" ca="1" si="25"/>
        <v/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2023.01.05</v>
      </c>
      <c r="C64" s="118" t="str">
        <f t="shared" ca="1" si="13"/>
        <v/>
      </c>
      <c r="D64" s="122" t="str">
        <f t="shared" ca="1" si="14"/>
        <v/>
      </c>
      <c r="E64" s="70" t="str">
        <f t="shared" ca="1" si="15"/>
        <v/>
      </c>
      <c r="F64" s="120" t="str">
        <f t="shared" ca="1" si="16"/>
        <v/>
      </c>
      <c r="G64" s="122" t="str">
        <f t="shared" ca="1" si="17"/>
        <v/>
      </c>
      <c r="H64" s="70" t="str">
        <f t="shared" ca="1" si="18"/>
        <v/>
      </c>
      <c r="I64" s="120" t="str">
        <f t="shared" ca="1" si="19"/>
        <v/>
      </c>
      <c r="J64" s="122" t="str">
        <f t="shared" ca="1" si="20"/>
        <v/>
      </c>
      <c r="K64" s="70" t="str">
        <f t="shared" ca="1" si="21"/>
        <v/>
      </c>
      <c r="L64" s="120" t="str">
        <f t="shared" ca="1" si="22"/>
        <v/>
      </c>
      <c r="M64" s="122" t="str">
        <f t="shared" ca="1" si="23"/>
        <v/>
      </c>
      <c r="N64" s="70" t="str">
        <f t="shared" ca="1" si="24"/>
        <v/>
      </c>
      <c r="O64" s="120" t="str">
        <f t="shared" ca="1" si="25"/>
        <v/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2023.01.06</v>
      </c>
      <c r="C65" s="118" t="str">
        <f t="shared" ca="1" si="13"/>
        <v/>
      </c>
      <c r="D65" s="122" t="str">
        <f t="shared" ca="1" si="14"/>
        <v/>
      </c>
      <c r="E65" s="70" t="str">
        <f t="shared" ca="1" si="15"/>
        <v/>
      </c>
      <c r="F65" s="120" t="str">
        <f t="shared" ca="1" si="16"/>
        <v/>
      </c>
      <c r="G65" s="122" t="str">
        <f t="shared" ca="1" si="17"/>
        <v/>
      </c>
      <c r="H65" s="70" t="str">
        <f t="shared" ca="1" si="18"/>
        <v/>
      </c>
      <c r="I65" s="120" t="str">
        <f t="shared" ca="1" si="19"/>
        <v/>
      </c>
      <c r="J65" s="122" t="str">
        <f t="shared" ca="1" si="20"/>
        <v/>
      </c>
      <c r="K65" s="70" t="str">
        <f t="shared" ca="1" si="21"/>
        <v/>
      </c>
      <c r="L65" s="120" t="str">
        <f t="shared" ca="1" si="22"/>
        <v/>
      </c>
      <c r="M65" s="122" t="str">
        <f t="shared" ca="1" si="23"/>
        <v/>
      </c>
      <c r="N65" s="70" t="str">
        <f t="shared" ca="1" si="24"/>
        <v/>
      </c>
      <c r="O65" s="120" t="str">
        <f t="shared" ca="1" si="25"/>
        <v/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2023.01.07</v>
      </c>
      <c r="C66" s="118" t="str">
        <f t="shared" ca="1" si="13"/>
        <v/>
      </c>
      <c r="D66" s="122" t="str">
        <f t="shared" ca="1" si="14"/>
        <v/>
      </c>
      <c r="E66" s="70" t="str">
        <f t="shared" ca="1" si="15"/>
        <v/>
      </c>
      <c r="F66" s="120" t="str">
        <f t="shared" ca="1" si="16"/>
        <v/>
      </c>
      <c r="G66" s="122" t="str">
        <f t="shared" ca="1" si="17"/>
        <v/>
      </c>
      <c r="H66" s="70" t="str">
        <f t="shared" ca="1" si="18"/>
        <v/>
      </c>
      <c r="I66" s="120" t="str">
        <f t="shared" ca="1" si="19"/>
        <v/>
      </c>
      <c r="J66" s="122" t="str">
        <f t="shared" ca="1" si="20"/>
        <v/>
      </c>
      <c r="K66" s="70" t="str">
        <f t="shared" ca="1" si="21"/>
        <v/>
      </c>
      <c r="L66" s="120" t="str">
        <f t="shared" ca="1" si="22"/>
        <v/>
      </c>
      <c r="M66" s="122" t="str">
        <f t="shared" ca="1" si="23"/>
        <v/>
      </c>
      <c r="N66" s="70" t="str">
        <f t="shared" ca="1" si="24"/>
        <v/>
      </c>
      <c r="O66" s="120" t="str">
        <f t="shared" ca="1" si="25"/>
        <v/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2023.01.08</v>
      </c>
      <c r="C67" s="117" t="str">
        <f t="shared" ca="1" si="13"/>
        <v/>
      </c>
      <c r="D67" s="125" t="str">
        <f t="shared" ca="1" si="14"/>
        <v/>
      </c>
      <c r="E67" s="69" t="str">
        <f t="shared" ca="1" si="15"/>
        <v/>
      </c>
      <c r="F67" s="124" t="str">
        <f t="shared" ca="1" si="16"/>
        <v/>
      </c>
      <c r="G67" s="125" t="str">
        <f t="shared" ca="1" si="17"/>
        <v/>
      </c>
      <c r="H67" s="69" t="str">
        <f t="shared" ca="1" si="18"/>
        <v/>
      </c>
      <c r="I67" s="124" t="str">
        <f t="shared" ca="1" si="19"/>
        <v/>
      </c>
      <c r="J67" s="125" t="str">
        <f t="shared" ca="1" si="20"/>
        <v/>
      </c>
      <c r="K67" s="69" t="str">
        <f t="shared" ca="1" si="21"/>
        <v/>
      </c>
      <c r="L67" s="124" t="str">
        <f t="shared" ca="1" si="22"/>
        <v/>
      </c>
      <c r="M67" s="125" t="str">
        <f t="shared" ca="1" si="23"/>
        <v/>
      </c>
      <c r="N67" s="69" t="str">
        <f t="shared" ca="1" si="24"/>
        <v/>
      </c>
      <c r="O67" s="124" t="str">
        <f t="shared" ca="1" si="25"/>
        <v/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2023.01.09</v>
      </c>
      <c r="C68" s="118" t="str">
        <f t="shared" ca="1" si="13"/>
        <v/>
      </c>
      <c r="D68" s="122" t="str">
        <f t="shared" ca="1" si="14"/>
        <v/>
      </c>
      <c r="E68" s="70" t="str">
        <f t="shared" ca="1" si="15"/>
        <v/>
      </c>
      <c r="F68" s="120" t="str">
        <f t="shared" ca="1" si="16"/>
        <v/>
      </c>
      <c r="G68" s="122" t="str">
        <f t="shared" ca="1" si="17"/>
        <v/>
      </c>
      <c r="H68" s="70" t="str">
        <f t="shared" ca="1" si="18"/>
        <v/>
      </c>
      <c r="I68" s="120" t="str">
        <f t="shared" ca="1" si="19"/>
        <v/>
      </c>
      <c r="J68" s="122" t="str">
        <f t="shared" ca="1" si="20"/>
        <v/>
      </c>
      <c r="K68" s="70" t="str">
        <f t="shared" ca="1" si="21"/>
        <v/>
      </c>
      <c r="L68" s="120" t="str">
        <f t="shared" ca="1" si="22"/>
        <v/>
      </c>
      <c r="M68" s="122" t="str">
        <f t="shared" ca="1" si="23"/>
        <v/>
      </c>
      <c r="N68" s="70" t="str">
        <f t="shared" ca="1" si="24"/>
        <v/>
      </c>
      <c r="O68" s="120" t="str">
        <f t="shared" ca="1" si="25"/>
        <v/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2023.01.10</v>
      </c>
      <c r="C69" s="118" t="str">
        <f t="shared" ca="1" si="13"/>
        <v/>
      </c>
      <c r="D69" s="122" t="str">
        <f t="shared" ca="1" si="14"/>
        <v/>
      </c>
      <c r="E69" s="70" t="str">
        <f t="shared" ca="1" si="15"/>
        <v/>
      </c>
      <c r="F69" s="120" t="str">
        <f t="shared" ca="1" si="16"/>
        <v/>
      </c>
      <c r="G69" s="122" t="str">
        <f t="shared" ca="1" si="17"/>
        <v/>
      </c>
      <c r="H69" s="70" t="str">
        <f t="shared" ca="1" si="18"/>
        <v/>
      </c>
      <c r="I69" s="120" t="str">
        <f t="shared" ca="1" si="19"/>
        <v/>
      </c>
      <c r="J69" s="122" t="str">
        <f t="shared" ca="1" si="20"/>
        <v/>
      </c>
      <c r="K69" s="70" t="str">
        <f t="shared" ca="1" si="21"/>
        <v/>
      </c>
      <c r="L69" s="120" t="str">
        <f t="shared" ca="1" si="22"/>
        <v/>
      </c>
      <c r="M69" s="122" t="str">
        <f t="shared" ca="1" si="23"/>
        <v/>
      </c>
      <c r="N69" s="70" t="str">
        <f t="shared" ca="1" si="24"/>
        <v/>
      </c>
      <c r="O69" s="120" t="str">
        <f t="shared" ca="1" si="25"/>
        <v/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2023.01.11</v>
      </c>
      <c r="C70" s="118" t="str">
        <f t="shared" ca="1" si="13"/>
        <v/>
      </c>
      <c r="D70" s="122" t="str">
        <f t="shared" ca="1" si="14"/>
        <v/>
      </c>
      <c r="E70" s="70" t="str">
        <f t="shared" ca="1" si="15"/>
        <v/>
      </c>
      <c r="F70" s="120" t="str">
        <f t="shared" ca="1" si="16"/>
        <v/>
      </c>
      <c r="G70" s="122" t="str">
        <f t="shared" ca="1" si="17"/>
        <v/>
      </c>
      <c r="H70" s="70" t="str">
        <f t="shared" ca="1" si="18"/>
        <v/>
      </c>
      <c r="I70" s="120" t="str">
        <f t="shared" ca="1" si="19"/>
        <v/>
      </c>
      <c r="J70" s="122" t="str">
        <f t="shared" ca="1" si="20"/>
        <v/>
      </c>
      <c r="K70" s="70" t="str">
        <f t="shared" ca="1" si="21"/>
        <v/>
      </c>
      <c r="L70" s="120" t="str">
        <f t="shared" ca="1" si="22"/>
        <v/>
      </c>
      <c r="M70" s="122" t="str">
        <f t="shared" ca="1" si="23"/>
        <v/>
      </c>
      <c r="N70" s="70" t="str">
        <f t="shared" ca="1" si="24"/>
        <v/>
      </c>
      <c r="O70" s="120" t="str">
        <f t="shared" ca="1" si="25"/>
        <v/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2023.01.12</v>
      </c>
      <c r="C71" s="118" t="str">
        <f t="shared" ca="1" si="13"/>
        <v/>
      </c>
      <c r="D71" s="122" t="str">
        <f t="shared" ca="1" si="14"/>
        <v/>
      </c>
      <c r="E71" s="70" t="str">
        <f t="shared" ca="1" si="15"/>
        <v/>
      </c>
      <c r="F71" s="120" t="str">
        <f t="shared" ca="1" si="16"/>
        <v/>
      </c>
      <c r="G71" s="122" t="str">
        <f t="shared" ca="1" si="17"/>
        <v/>
      </c>
      <c r="H71" s="70" t="str">
        <f t="shared" ca="1" si="18"/>
        <v/>
      </c>
      <c r="I71" s="120" t="str">
        <f t="shared" ca="1" si="19"/>
        <v/>
      </c>
      <c r="J71" s="122" t="str">
        <f t="shared" ca="1" si="20"/>
        <v/>
      </c>
      <c r="K71" s="70" t="str">
        <f t="shared" ca="1" si="21"/>
        <v/>
      </c>
      <c r="L71" s="120" t="str">
        <f t="shared" ca="1" si="22"/>
        <v/>
      </c>
      <c r="M71" s="122" t="str">
        <f t="shared" ca="1" si="23"/>
        <v/>
      </c>
      <c r="N71" s="70" t="str">
        <f t="shared" ca="1" si="24"/>
        <v/>
      </c>
      <c r="O71" s="120" t="str">
        <f t="shared" ca="1" si="25"/>
        <v/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2023.01.13</v>
      </c>
      <c r="C72" s="118" t="str">
        <f t="shared" ca="1" si="13"/>
        <v/>
      </c>
      <c r="D72" s="122" t="str">
        <f t="shared" ca="1" si="14"/>
        <v/>
      </c>
      <c r="E72" s="70" t="str">
        <f t="shared" ca="1" si="15"/>
        <v/>
      </c>
      <c r="F72" s="120" t="str">
        <f t="shared" ca="1" si="16"/>
        <v/>
      </c>
      <c r="G72" s="122" t="str">
        <f t="shared" ca="1" si="17"/>
        <v/>
      </c>
      <c r="H72" s="70" t="str">
        <f t="shared" ca="1" si="18"/>
        <v/>
      </c>
      <c r="I72" s="120" t="str">
        <f t="shared" ca="1" si="19"/>
        <v/>
      </c>
      <c r="J72" s="122" t="str">
        <f t="shared" ca="1" si="20"/>
        <v/>
      </c>
      <c r="K72" s="70" t="str">
        <f t="shared" ca="1" si="21"/>
        <v/>
      </c>
      <c r="L72" s="120" t="str">
        <f t="shared" ca="1" si="22"/>
        <v/>
      </c>
      <c r="M72" s="122" t="str">
        <f t="shared" ca="1" si="23"/>
        <v/>
      </c>
      <c r="N72" s="70" t="str">
        <f t="shared" ca="1" si="24"/>
        <v/>
      </c>
      <c r="O72" s="120" t="str">
        <f t="shared" ca="1" si="25"/>
        <v/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2023.01.14</v>
      </c>
      <c r="C73" s="119" t="str">
        <f t="shared" ca="1" si="13"/>
        <v/>
      </c>
      <c r="D73" s="123" t="str">
        <f t="shared" ca="1" si="14"/>
        <v/>
      </c>
      <c r="E73" s="72" t="str">
        <f t="shared" ca="1" si="15"/>
        <v/>
      </c>
      <c r="F73" s="121" t="str">
        <f t="shared" ca="1" si="16"/>
        <v/>
      </c>
      <c r="G73" s="123" t="str">
        <f t="shared" ca="1" si="17"/>
        <v/>
      </c>
      <c r="H73" s="72" t="str">
        <f t="shared" ca="1" si="18"/>
        <v/>
      </c>
      <c r="I73" s="121" t="str">
        <f t="shared" ca="1" si="19"/>
        <v/>
      </c>
      <c r="J73" s="123" t="str">
        <f t="shared" ca="1" si="20"/>
        <v/>
      </c>
      <c r="K73" s="72" t="str">
        <f t="shared" ca="1" si="21"/>
        <v/>
      </c>
      <c r="L73" s="121" t="str">
        <f t="shared" ca="1" si="22"/>
        <v/>
      </c>
      <c r="M73" s="123" t="str">
        <f t="shared" ca="1" si="23"/>
        <v/>
      </c>
      <c r="N73" s="72" t="str">
        <f t="shared" ca="1" si="24"/>
        <v/>
      </c>
      <c r="O73" s="121" t="str">
        <f t="shared" ca="1" si="25"/>
        <v/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2023.01.15</v>
      </c>
      <c r="C74" s="118" t="str">
        <f t="shared" ca="1" si="13"/>
        <v/>
      </c>
      <c r="D74" s="122" t="str">
        <f t="shared" ca="1" si="14"/>
        <v/>
      </c>
      <c r="E74" s="70" t="str">
        <f t="shared" ca="1" si="15"/>
        <v/>
      </c>
      <c r="F74" s="120" t="str">
        <f t="shared" ca="1" si="16"/>
        <v/>
      </c>
      <c r="G74" s="122" t="str">
        <f t="shared" ca="1" si="17"/>
        <v/>
      </c>
      <c r="H74" s="70" t="str">
        <f t="shared" ca="1" si="18"/>
        <v/>
      </c>
      <c r="I74" s="120" t="str">
        <f t="shared" ca="1" si="19"/>
        <v/>
      </c>
      <c r="J74" s="122" t="str">
        <f t="shared" ca="1" si="20"/>
        <v/>
      </c>
      <c r="K74" s="70" t="str">
        <f t="shared" ca="1" si="21"/>
        <v/>
      </c>
      <c r="L74" s="120" t="str">
        <f t="shared" ca="1" si="22"/>
        <v/>
      </c>
      <c r="M74" s="122" t="str">
        <f t="shared" ca="1" si="23"/>
        <v/>
      </c>
      <c r="N74" s="70" t="str">
        <f t="shared" ca="1" si="24"/>
        <v/>
      </c>
      <c r="O74" s="120" t="str">
        <f t="shared" ca="1" si="25"/>
        <v/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2023.01.16</v>
      </c>
      <c r="C75" s="118" t="str">
        <f t="shared" ca="1" si="13"/>
        <v/>
      </c>
      <c r="D75" s="122" t="str">
        <f t="shared" ca="1" si="14"/>
        <v/>
      </c>
      <c r="E75" s="70" t="str">
        <f t="shared" ca="1" si="15"/>
        <v/>
      </c>
      <c r="F75" s="120" t="str">
        <f t="shared" ca="1" si="16"/>
        <v/>
      </c>
      <c r="G75" s="122" t="str">
        <f t="shared" ca="1" si="17"/>
        <v/>
      </c>
      <c r="H75" s="70" t="str">
        <f t="shared" ca="1" si="18"/>
        <v/>
      </c>
      <c r="I75" s="120" t="str">
        <f t="shared" ca="1" si="19"/>
        <v/>
      </c>
      <c r="J75" s="122" t="str">
        <f t="shared" ca="1" si="20"/>
        <v/>
      </c>
      <c r="K75" s="70" t="str">
        <f t="shared" ca="1" si="21"/>
        <v/>
      </c>
      <c r="L75" s="120" t="str">
        <f t="shared" ca="1" si="22"/>
        <v/>
      </c>
      <c r="M75" s="122" t="str">
        <f t="shared" ca="1" si="23"/>
        <v/>
      </c>
      <c r="N75" s="70" t="str">
        <f t="shared" ca="1" si="24"/>
        <v/>
      </c>
      <c r="O75" s="120" t="str">
        <f t="shared" ca="1" si="25"/>
        <v/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2023.01.17</v>
      </c>
      <c r="C76" s="118" t="str">
        <f t="shared" ca="1" si="13"/>
        <v/>
      </c>
      <c r="D76" s="122" t="str">
        <f t="shared" ca="1" si="14"/>
        <v/>
      </c>
      <c r="E76" s="70" t="str">
        <f t="shared" ca="1" si="15"/>
        <v/>
      </c>
      <c r="F76" s="120" t="str">
        <f t="shared" ca="1" si="16"/>
        <v/>
      </c>
      <c r="G76" s="122" t="str">
        <f t="shared" ca="1" si="17"/>
        <v/>
      </c>
      <c r="H76" s="70" t="str">
        <f t="shared" ca="1" si="18"/>
        <v/>
      </c>
      <c r="I76" s="120" t="str">
        <f t="shared" ca="1" si="19"/>
        <v/>
      </c>
      <c r="J76" s="122" t="str">
        <f t="shared" ca="1" si="20"/>
        <v/>
      </c>
      <c r="K76" s="70" t="str">
        <f t="shared" ca="1" si="21"/>
        <v/>
      </c>
      <c r="L76" s="120" t="str">
        <f t="shared" ca="1" si="22"/>
        <v/>
      </c>
      <c r="M76" s="122" t="str">
        <f t="shared" ca="1" si="23"/>
        <v/>
      </c>
      <c r="N76" s="70" t="str">
        <f t="shared" ca="1" si="24"/>
        <v/>
      </c>
      <c r="O76" s="120" t="str">
        <f t="shared" ca="1" si="25"/>
        <v/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2023.01.18</v>
      </c>
      <c r="C77" s="118" t="str">
        <f t="shared" ca="1" si="13"/>
        <v/>
      </c>
      <c r="D77" s="122" t="str">
        <f t="shared" ca="1" si="14"/>
        <v/>
      </c>
      <c r="E77" s="70" t="str">
        <f t="shared" ca="1" si="15"/>
        <v/>
      </c>
      <c r="F77" s="120" t="str">
        <f t="shared" ca="1" si="16"/>
        <v/>
      </c>
      <c r="G77" s="122" t="str">
        <f t="shared" ca="1" si="17"/>
        <v/>
      </c>
      <c r="H77" s="70" t="str">
        <f t="shared" ca="1" si="18"/>
        <v/>
      </c>
      <c r="I77" s="120" t="str">
        <f t="shared" ca="1" si="19"/>
        <v/>
      </c>
      <c r="J77" s="122" t="str">
        <f t="shared" ca="1" si="20"/>
        <v/>
      </c>
      <c r="K77" s="70" t="str">
        <f t="shared" ca="1" si="21"/>
        <v/>
      </c>
      <c r="L77" s="120" t="str">
        <f t="shared" ca="1" si="22"/>
        <v/>
      </c>
      <c r="M77" s="122" t="str">
        <f t="shared" ca="1" si="23"/>
        <v/>
      </c>
      <c r="N77" s="70" t="str">
        <f t="shared" ca="1" si="24"/>
        <v/>
      </c>
      <c r="O77" s="120" t="str">
        <f t="shared" ca="1" si="25"/>
        <v/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2023.01.19</v>
      </c>
      <c r="C78" s="118" t="str">
        <f t="shared" ca="1" si="13"/>
        <v/>
      </c>
      <c r="D78" s="122" t="str">
        <f t="shared" ca="1" si="14"/>
        <v/>
      </c>
      <c r="E78" s="70" t="str">
        <f t="shared" ca="1" si="15"/>
        <v/>
      </c>
      <c r="F78" s="120" t="str">
        <f t="shared" ca="1" si="16"/>
        <v/>
      </c>
      <c r="G78" s="122" t="str">
        <f t="shared" ca="1" si="17"/>
        <v/>
      </c>
      <c r="H78" s="70" t="str">
        <f t="shared" ca="1" si="18"/>
        <v/>
      </c>
      <c r="I78" s="120" t="str">
        <f t="shared" ca="1" si="19"/>
        <v/>
      </c>
      <c r="J78" s="122" t="str">
        <f t="shared" ca="1" si="20"/>
        <v/>
      </c>
      <c r="K78" s="70" t="str">
        <f t="shared" ca="1" si="21"/>
        <v/>
      </c>
      <c r="L78" s="120" t="str">
        <f t="shared" ca="1" si="22"/>
        <v/>
      </c>
      <c r="M78" s="122" t="str">
        <f t="shared" ca="1" si="23"/>
        <v/>
      </c>
      <c r="N78" s="70" t="str">
        <f t="shared" ca="1" si="24"/>
        <v/>
      </c>
      <c r="O78" s="120" t="str">
        <f t="shared" ca="1" si="25"/>
        <v/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2023.01.20</v>
      </c>
      <c r="C79" s="118" t="str">
        <f t="shared" ca="1" si="13"/>
        <v/>
      </c>
      <c r="D79" s="122" t="str">
        <f t="shared" ca="1" si="14"/>
        <v/>
      </c>
      <c r="E79" s="70" t="str">
        <f t="shared" ca="1" si="15"/>
        <v/>
      </c>
      <c r="F79" s="120" t="str">
        <f t="shared" ca="1" si="16"/>
        <v/>
      </c>
      <c r="G79" s="122" t="str">
        <f t="shared" ca="1" si="17"/>
        <v/>
      </c>
      <c r="H79" s="70" t="str">
        <f t="shared" ca="1" si="18"/>
        <v/>
      </c>
      <c r="I79" s="120" t="str">
        <f t="shared" ca="1" si="19"/>
        <v/>
      </c>
      <c r="J79" s="122" t="str">
        <f t="shared" ca="1" si="20"/>
        <v/>
      </c>
      <c r="K79" s="70" t="str">
        <f t="shared" ca="1" si="21"/>
        <v/>
      </c>
      <c r="L79" s="120" t="str">
        <f t="shared" ca="1" si="22"/>
        <v/>
      </c>
      <c r="M79" s="122" t="str">
        <f t="shared" ca="1" si="23"/>
        <v/>
      </c>
      <c r="N79" s="70" t="str">
        <f t="shared" ca="1" si="24"/>
        <v/>
      </c>
      <c r="O79" s="120" t="str">
        <f t="shared" ca="1" si="25"/>
        <v/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2023.01.21</v>
      </c>
      <c r="C80" s="118" t="str">
        <f t="shared" ca="1" si="13"/>
        <v/>
      </c>
      <c r="D80" s="122" t="str">
        <f t="shared" ca="1" si="14"/>
        <v/>
      </c>
      <c r="E80" s="70" t="str">
        <f t="shared" ca="1" si="15"/>
        <v/>
      </c>
      <c r="F80" s="120" t="str">
        <f t="shared" ca="1" si="16"/>
        <v/>
      </c>
      <c r="G80" s="122" t="str">
        <f t="shared" ca="1" si="17"/>
        <v/>
      </c>
      <c r="H80" s="70" t="str">
        <f t="shared" ca="1" si="18"/>
        <v/>
      </c>
      <c r="I80" s="120" t="str">
        <f t="shared" ca="1" si="19"/>
        <v/>
      </c>
      <c r="J80" s="122" t="str">
        <f t="shared" ca="1" si="20"/>
        <v/>
      </c>
      <c r="K80" s="70" t="str">
        <f t="shared" ca="1" si="21"/>
        <v/>
      </c>
      <c r="L80" s="120" t="str">
        <f t="shared" ca="1" si="22"/>
        <v/>
      </c>
      <c r="M80" s="122" t="str">
        <f t="shared" ca="1" si="23"/>
        <v/>
      </c>
      <c r="N80" s="70" t="str">
        <f t="shared" ca="1" si="24"/>
        <v/>
      </c>
      <c r="O80" s="120" t="str">
        <f t="shared" ca="1" si="25"/>
        <v/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2023.01.22</v>
      </c>
      <c r="C81" s="117" t="str">
        <f t="shared" ca="1" si="13"/>
        <v/>
      </c>
      <c r="D81" s="125" t="str">
        <f t="shared" ca="1" si="14"/>
        <v/>
      </c>
      <c r="E81" s="69" t="str">
        <f t="shared" ca="1" si="15"/>
        <v/>
      </c>
      <c r="F81" s="124" t="str">
        <f t="shared" ca="1" si="16"/>
        <v/>
      </c>
      <c r="G81" s="125" t="str">
        <f t="shared" ca="1" si="17"/>
        <v/>
      </c>
      <c r="H81" s="69" t="str">
        <f t="shared" ca="1" si="18"/>
        <v/>
      </c>
      <c r="I81" s="124" t="str">
        <f t="shared" ca="1" si="19"/>
        <v/>
      </c>
      <c r="J81" s="125" t="str">
        <f t="shared" ca="1" si="20"/>
        <v/>
      </c>
      <c r="K81" s="69" t="str">
        <f t="shared" ca="1" si="21"/>
        <v/>
      </c>
      <c r="L81" s="124" t="str">
        <f t="shared" ca="1" si="22"/>
        <v/>
      </c>
      <c r="M81" s="125" t="str">
        <f t="shared" ca="1" si="23"/>
        <v/>
      </c>
      <c r="N81" s="69" t="str">
        <f t="shared" ca="1" si="24"/>
        <v/>
      </c>
      <c r="O81" s="124" t="str">
        <f t="shared" ca="1" si="25"/>
        <v/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2023.01.23</v>
      </c>
      <c r="C82" s="118" t="str">
        <f t="shared" ca="1" si="13"/>
        <v/>
      </c>
      <c r="D82" s="122" t="str">
        <f t="shared" ca="1" si="14"/>
        <v/>
      </c>
      <c r="E82" s="70" t="str">
        <f t="shared" ca="1" si="15"/>
        <v/>
      </c>
      <c r="F82" s="120" t="str">
        <f t="shared" ca="1" si="16"/>
        <v/>
      </c>
      <c r="G82" s="122" t="str">
        <f t="shared" ca="1" si="17"/>
        <v/>
      </c>
      <c r="H82" s="70" t="str">
        <f t="shared" ca="1" si="18"/>
        <v/>
      </c>
      <c r="I82" s="120" t="str">
        <f t="shared" ca="1" si="19"/>
        <v/>
      </c>
      <c r="J82" s="122" t="str">
        <f t="shared" ca="1" si="20"/>
        <v/>
      </c>
      <c r="K82" s="70" t="str">
        <f t="shared" ca="1" si="21"/>
        <v/>
      </c>
      <c r="L82" s="120" t="str">
        <f t="shared" ca="1" si="22"/>
        <v/>
      </c>
      <c r="M82" s="122" t="str">
        <f t="shared" ca="1" si="23"/>
        <v/>
      </c>
      <c r="N82" s="70" t="str">
        <f t="shared" ca="1" si="24"/>
        <v/>
      </c>
      <c r="O82" s="120" t="str">
        <f t="shared" ca="1" si="25"/>
        <v/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2023.01.24</v>
      </c>
      <c r="C83" s="118" t="str">
        <f t="shared" ca="1" si="13"/>
        <v/>
      </c>
      <c r="D83" s="122" t="str">
        <f t="shared" ca="1" si="14"/>
        <v/>
      </c>
      <c r="E83" s="70" t="str">
        <f t="shared" ca="1" si="15"/>
        <v/>
      </c>
      <c r="F83" s="120" t="str">
        <f t="shared" ca="1" si="16"/>
        <v/>
      </c>
      <c r="G83" s="122" t="str">
        <f t="shared" ca="1" si="17"/>
        <v/>
      </c>
      <c r="H83" s="70" t="str">
        <f t="shared" ca="1" si="18"/>
        <v/>
      </c>
      <c r="I83" s="120" t="str">
        <f t="shared" ca="1" si="19"/>
        <v/>
      </c>
      <c r="J83" s="122" t="str">
        <f t="shared" ca="1" si="20"/>
        <v/>
      </c>
      <c r="K83" s="70" t="str">
        <f t="shared" ca="1" si="21"/>
        <v/>
      </c>
      <c r="L83" s="120" t="str">
        <f t="shared" ca="1" si="22"/>
        <v/>
      </c>
      <c r="M83" s="122" t="str">
        <f t="shared" ca="1" si="23"/>
        <v/>
      </c>
      <c r="N83" s="70" t="str">
        <f t="shared" ca="1" si="24"/>
        <v/>
      </c>
      <c r="O83" s="120" t="str">
        <f t="shared" ca="1" si="25"/>
        <v/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2023.01.25</v>
      </c>
      <c r="C84" s="118" t="str">
        <f t="shared" ca="1" si="13"/>
        <v/>
      </c>
      <c r="D84" s="122" t="str">
        <f t="shared" ca="1" si="14"/>
        <v/>
      </c>
      <c r="E84" s="70" t="str">
        <f t="shared" ca="1" si="15"/>
        <v/>
      </c>
      <c r="F84" s="120" t="str">
        <f t="shared" ca="1" si="16"/>
        <v/>
      </c>
      <c r="G84" s="122" t="str">
        <f t="shared" ca="1" si="17"/>
        <v/>
      </c>
      <c r="H84" s="70" t="str">
        <f t="shared" ca="1" si="18"/>
        <v/>
      </c>
      <c r="I84" s="120" t="str">
        <f t="shared" ca="1" si="19"/>
        <v/>
      </c>
      <c r="J84" s="122" t="str">
        <f t="shared" ca="1" si="20"/>
        <v/>
      </c>
      <c r="K84" s="70" t="str">
        <f t="shared" ca="1" si="21"/>
        <v/>
      </c>
      <c r="L84" s="120" t="str">
        <f t="shared" ca="1" si="22"/>
        <v/>
      </c>
      <c r="M84" s="122" t="str">
        <f t="shared" ca="1" si="23"/>
        <v/>
      </c>
      <c r="N84" s="70" t="str">
        <f t="shared" ca="1" si="24"/>
        <v/>
      </c>
      <c r="O84" s="120" t="str">
        <f t="shared" ca="1" si="25"/>
        <v/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2023.01.26</v>
      </c>
      <c r="C85" s="118" t="str">
        <f t="shared" ca="1" si="13"/>
        <v/>
      </c>
      <c r="D85" s="122" t="str">
        <f t="shared" ca="1" si="14"/>
        <v/>
      </c>
      <c r="E85" s="70" t="str">
        <f t="shared" ca="1" si="15"/>
        <v/>
      </c>
      <c r="F85" s="120" t="str">
        <f t="shared" ca="1" si="16"/>
        <v/>
      </c>
      <c r="G85" s="122" t="str">
        <f t="shared" ca="1" si="17"/>
        <v/>
      </c>
      <c r="H85" s="70" t="str">
        <f t="shared" ca="1" si="18"/>
        <v/>
      </c>
      <c r="I85" s="120" t="str">
        <f t="shared" ca="1" si="19"/>
        <v/>
      </c>
      <c r="J85" s="122" t="str">
        <f t="shared" ca="1" si="20"/>
        <v/>
      </c>
      <c r="K85" s="70" t="str">
        <f t="shared" ca="1" si="21"/>
        <v/>
      </c>
      <c r="L85" s="120" t="str">
        <f t="shared" ca="1" si="22"/>
        <v/>
      </c>
      <c r="M85" s="122" t="str">
        <f t="shared" ca="1" si="23"/>
        <v/>
      </c>
      <c r="N85" s="70" t="str">
        <f t="shared" ca="1" si="24"/>
        <v/>
      </c>
      <c r="O85" s="120" t="str">
        <f t="shared" ca="1" si="25"/>
        <v/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2023.01.27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2023.01.28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2023.01.29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2023.01.30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2023.01.31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44" t="s">
        <v>270</v>
      </c>
      <c r="B91" s="146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50"/>
      <c r="B92" s="152"/>
      <c r="C92" s="119">
        <f ca="1">SUM(C60:C90)</f>
        <v>3000000</v>
      </c>
      <c r="D92" s="123">
        <f ca="1">SUM(D60:D90)</f>
        <v>3002324.2297785319</v>
      </c>
      <c r="E92" s="72">
        <f ca="1">IFERROR(F92 / (SUM($C60:$C90) / COUNT($C60:$C90)), 0)</f>
        <v>7.7474325951062397E-4</v>
      </c>
      <c r="F92" s="121">
        <f ca="1">SUM(F60:F90)</f>
        <v>2324.2297785318719</v>
      </c>
      <c r="G92" s="123">
        <f ca="1">SUM(G60:G90)</f>
        <v>3000000</v>
      </c>
      <c r="H92" s="72">
        <f ca="1">IFERROR(I92 / (SUM($C60:$C90) / COUNT($C60:$C90)), 0)</f>
        <v>0</v>
      </c>
      <c r="I92" s="121">
        <f ca="1">SUM(I60:I90)</f>
        <v>0</v>
      </c>
      <c r="J92" s="123">
        <f ca="1">SUM(J60:J90)</f>
        <v>3000000</v>
      </c>
      <c r="K92" s="72">
        <f ca="1">IFERROR(L92 / (SUM($C60:$C90) / COUNT($C60:$C90)), 0)</f>
        <v>0</v>
      </c>
      <c r="L92" s="121">
        <f ca="1">SUM(L60:L90)</f>
        <v>0</v>
      </c>
      <c r="M92" s="123">
        <f ca="1">SUM(M60:M90)</f>
        <v>3000000</v>
      </c>
      <c r="N92" s="72">
        <f ca="1">IFERROR(O92 / (SUM($C60:$C90) / COUNT($C60:$C90)), 0)</f>
        <v>0</v>
      </c>
      <c r="O92" s="121">
        <f ca="1">SUM(O60:O90)</f>
        <v>0</v>
      </c>
    </row>
    <row r="94" spans="1:15" ht="16.5" customHeight="1" thickBot="1"/>
    <row r="95" spans="1:15" ht="16.5" customHeight="1" thickBot="1">
      <c r="A95" s="135" t="str">
        <f>TEXT(투자전략!$G$1, "[$-ko-KR]yyyy년 mm월 ") &amp; "[동전코인] 전일대비 상승률 Top20 월말결산"</f>
        <v>2023년 01월 [동전코인] 전일대비 상승률 Top20 월말결산</v>
      </c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7"/>
    </row>
    <row r="96" spans="1:15" ht="16.5" customHeight="1" thickBot="1">
      <c r="A96" s="196" t="s">
        <v>271</v>
      </c>
      <c r="B96" s="150" t="s">
        <v>269</v>
      </c>
      <c r="C96" s="152"/>
      <c r="D96" s="150" t="s">
        <v>261</v>
      </c>
      <c r="E96" s="151"/>
      <c r="F96" s="152"/>
      <c r="G96" s="150" t="s">
        <v>262</v>
      </c>
      <c r="H96" s="151"/>
      <c r="I96" s="152"/>
      <c r="J96" s="150" t="s">
        <v>263</v>
      </c>
      <c r="K96" s="151"/>
      <c r="L96" s="152"/>
      <c r="M96" s="150" t="s">
        <v>264</v>
      </c>
      <c r="N96" s="151"/>
      <c r="O96" s="152"/>
    </row>
    <row r="97" spans="1:15" ht="16.5" customHeight="1" thickBot="1">
      <c r="A97" s="200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2023.01.01</v>
      </c>
      <c r="C98" s="117">
        <f ca="1">IFERROR(COUNTA(INDIRECT($B98&amp;"!A71:A90")) * INDIRECT($B98&amp;"!B91"), "")</f>
        <v>3000000</v>
      </c>
      <c r="D98" s="125">
        <f ca="1">IFERROR($C98 * (1 + E98), "")</f>
        <v>3003245.893571422</v>
      </c>
      <c r="E98" s="69">
        <f ca="1">IFERROR(INDIRECT($B98&amp;"!E91"), "")</f>
        <v>1.0819645238074088E-3</v>
      </c>
      <c r="F98" s="124">
        <f ca="1">IFERROR(INDIRECT($B98&amp;"!F91"), "")</f>
        <v>3245.8935714222266</v>
      </c>
      <c r="G98" s="125">
        <f ca="1">IFERROR($C98 * (1 + H98), "")</f>
        <v>3000000</v>
      </c>
      <c r="H98" s="69">
        <f ca="1">IFERROR(INDIRECT($B98&amp;"!H91"), "")</f>
        <v>0</v>
      </c>
      <c r="I98" s="124">
        <f ca="1">IFERROR(INDIRECT($B98&amp;"!I91"), "")</f>
        <v>0</v>
      </c>
      <c r="J98" s="125">
        <f ca="1">IFERROR($C98 * (1 + K98), "")</f>
        <v>3000000</v>
      </c>
      <c r="K98" s="69">
        <f ca="1">IFERROR(INDIRECT($B98&amp;"!K91"), "")</f>
        <v>0</v>
      </c>
      <c r="L98" s="124">
        <f ca="1">IFERROR(INDIRECT($B98&amp;"!L91"), "")</f>
        <v>0</v>
      </c>
      <c r="M98" s="125">
        <f ca="1">IFERROR($C98 * (1 + N98), "")</f>
        <v>3000000</v>
      </c>
      <c r="N98" s="69">
        <f ca="1">IFERROR(INDIRECT($B98&amp;"!N91"), "")</f>
        <v>0</v>
      </c>
      <c r="O98" s="124">
        <f ca="1">IFERROR(INDIRECT($B98&amp;"!O91"), "")</f>
        <v>0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2023.01.02</v>
      </c>
      <c r="C99" s="118" t="str">
        <f t="shared" ref="C99:C128" ca="1" si="26">IFERROR(COUNTA(INDIRECT($B99&amp;"!A71:A90")) * INDIRECT($B99&amp;"!B91"), "")</f>
        <v/>
      </c>
      <c r="D99" s="122" t="str">
        <f t="shared" ref="D99:D128" ca="1" si="27">IFERROR($C99 * (1 + E99), "")</f>
        <v/>
      </c>
      <c r="E99" s="70" t="str">
        <f t="shared" ref="E99:E128" ca="1" si="28">IFERROR(INDIRECT($B99&amp;"!E91"), "")</f>
        <v/>
      </c>
      <c r="F99" s="120" t="str">
        <f t="shared" ref="F99:F128" ca="1" si="29">IFERROR(INDIRECT($B99&amp;"!F91"), "")</f>
        <v/>
      </c>
      <c r="G99" s="122" t="str">
        <f t="shared" ref="G99:G128" ca="1" si="30">IFERROR($C99 * (1 + H99), "")</f>
        <v/>
      </c>
      <c r="H99" s="70" t="str">
        <f t="shared" ref="H99:H128" ca="1" si="31">IFERROR(INDIRECT($B99&amp;"!H91"), "")</f>
        <v/>
      </c>
      <c r="I99" s="120" t="str">
        <f t="shared" ref="I99:I128" ca="1" si="32">IFERROR(INDIRECT($B99&amp;"!I91"), "")</f>
        <v/>
      </c>
      <c r="J99" s="122" t="str">
        <f t="shared" ref="J99:J128" ca="1" si="33">IFERROR($C99 * (1 + K99), "")</f>
        <v/>
      </c>
      <c r="K99" s="70" t="str">
        <f t="shared" ref="K99:K128" ca="1" si="34">IFERROR(INDIRECT($B99&amp;"!K91"), "")</f>
        <v/>
      </c>
      <c r="L99" s="120" t="str">
        <f t="shared" ref="L99:L128" ca="1" si="35">IFERROR(INDIRECT($B99&amp;"!L91"), "")</f>
        <v/>
      </c>
      <c r="M99" s="122" t="str">
        <f t="shared" ref="M99:M128" ca="1" si="36">IFERROR($C99 * (1 + N99), "")</f>
        <v/>
      </c>
      <c r="N99" s="70" t="str">
        <f t="shared" ref="N99:N128" ca="1" si="37">IFERROR(INDIRECT($B99&amp;"!N91"), "")</f>
        <v/>
      </c>
      <c r="O99" s="120" t="str">
        <f t="shared" ref="O99:O128" ca="1" si="38">IFERROR(INDIRECT($B99&amp;"!O91"), "")</f>
        <v/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2023.01.03</v>
      </c>
      <c r="C100" s="118" t="str">
        <f t="shared" ca="1" si="26"/>
        <v/>
      </c>
      <c r="D100" s="122" t="str">
        <f t="shared" ca="1" si="27"/>
        <v/>
      </c>
      <c r="E100" s="70" t="str">
        <f t="shared" ca="1" si="28"/>
        <v/>
      </c>
      <c r="F100" s="120" t="str">
        <f t="shared" ca="1" si="29"/>
        <v/>
      </c>
      <c r="G100" s="122" t="str">
        <f t="shared" ca="1" si="30"/>
        <v/>
      </c>
      <c r="H100" s="70" t="str">
        <f t="shared" ca="1" si="31"/>
        <v/>
      </c>
      <c r="I100" s="120" t="str">
        <f t="shared" ca="1" si="32"/>
        <v/>
      </c>
      <c r="J100" s="122" t="str">
        <f t="shared" ca="1" si="33"/>
        <v/>
      </c>
      <c r="K100" s="70" t="str">
        <f t="shared" ca="1" si="34"/>
        <v/>
      </c>
      <c r="L100" s="120" t="str">
        <f t="shared" ca="1" si="35"/>
        <v/>
      </c>
      <c r="M100" s="122" t="str">
        <f t="shared" ca="1" si="36"/>
        <v/>
      </c>
      <c r="N100" s="70" t="str">
        <f t="shared" ca="1" si="37"/>
        <v/>
      </c>
      <c r="O100" s="120" t="str">
        <f t="shared" ca="1" si="38"/>
        <v/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2023.01.04</v>
      </c>
      <c r="C101" s="118" t="str">
        <f t="shared" ca="1" si="26"/>
        <v/>
      </c>
      <c r="D101" s="122" t="str">
        <f t="shared" ca="1" si="27"/>
        <v/>
      </c>
      <c r="E101" s="70" t="str">
        <f t="shared" ca="1" si="28"/>
        <v/>
      </c>
      <c r="F101" s="120" t="str">
        <f t="shared" ca="1" si="29"/>
        <v/>
      </c>
      <c r="G101" s="122" t="str">
        <f t="shared" ca="1" si="30"/>
        <v/>
      </c>
      <c r="H101" s="70" t="str">
        <f t="shared" ca="1" si="31"/>
        <v/>
      </c>
      <c r="I101" s="120" t="str">
        <f t="shared" ca="1" si="32"/>
        <v/>
      </c>
      <c r="J101" s="122" t="str">
        <f t="shared" ca="1" si="33"/>
        <v/>
      </c>
      <c r="K101" s="70" t="str">
        <f t="shared" ca="1" si="34"/>
        <v/>
      </c>
      <c r="L101" s="120" t="str">
        <f t="shared" ca="1" si="35"/>
        <v/>
      </c>
      <c r="M101" s="122" t="str">
        <f t="shared" ca="1" si="36"/>
        <v/>
      </c>
      <c r="N101" s="70" t="str">
        <f t="shared" ca="1" si="37"/>
        <v/>
      </c>
      <c r="O101" s="120" t="str">
        <f t="shared" ca="1" si="38"/>
        <v/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2023.01.05</v>
      </c>
      <c r="C102" s="118" t="str">
        <f t="shared" ca="1" si="26"/>
        <v/>
      </c>
      <c r="D102" s="122" t="str">
        <f t="shared" ca="1" si="27"/>
        <v/>
      </c>
      <c r="E102" s="70" t="str">
        <f t="shared" ca="1" si="28"/>
        <v/>
      </c>
      <c r="F102" s="120" t="str">
        <f t="shared" ca="1" si="29"/>
        <v/>
      </c>
      <c r="G102" s="122" t="str">
        <f t="shared" ca="1" si="30"/>
        <v/>
      </c>
      <c r="H102" s="70" t="str">
        <f t="shared" ca="1" si="31"/>
        <v/>
      </c>
      <c r="I102" s="120" t="str">
        <f t="shared" ca="1" si="32"/>
        <v/>
      </c>
      <c r="J102" s="122" t="str">
        <f t="shared" ca="1" si="33"/>
        <v/>
      </c>
      <c r="K102" s="70" t="str">
        <f t="shared" ca="1" si="34"/>
        <v/>
      </c>
      <c r="L102" s="120" t="str">
        <f t="shared" ca="1" si="35"/>
        <v/>
      </c>
      <c r="M102" s="122" t="str">
        <f t="shared" ca="1" si="36"/>
        <v/>
      </c>
      <c r="N102" s="70" t="str">
        <f t="shared" ca="1" si="37"/>
        <v/>
      </c>
      <c r="O102" s="120" t="str">
        <f t="shared" ca="1" si="38"/>
        <v/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2023.01.06</v>
      </c>
      <c r="C103" s="118" t="str">
        <f t="shared" ca="1" si="26"/>
        <v/>
      </c>
      <c r="D103" s="122" t="str">
        <f t="shared" ca="1" si="27"/>
        <v/>
      </c>
      <c r="E103" s="70" t="str">
        <f t="shared" ca="1" si="28"/>
        <v/>
      </c>
      <c r="F103" s="120" t="str">
        <f t="shared" ca="1" si="29"/>
        <v/>
      </c>
      <c r="G103" s="122" t="str">
        <f t="shared" ca="1" si="30"/>
        <v/>
      </c>
      <c r="H103" s="70" t="str">
        <f t="shared" ca="1" si="31"/>
        <v/>
      </c>
      <c r="I103" s="120" t="str">
        <f t="shared" ca="1" si="32"/>
        <v/>
      </c>
      <c r="J103" s="122" t="str">
        <f t="shared" ca="1" si="33"/>
        <v/>
      </c>
      <c r="K103" s="70" t="str">
        <f t="shared" ca="1" si="34"/>
        <v/>
      </c>
      <c r="L103" s="120" t="str">
        <f t="shared" ca="1" si="35"/>
        <v/>
      </c>
      <c r="M103" s="122" t="str">
        <f t="shared" ca="1" si="36"/>
        <v/>
      </c>
      <c r="N103" s="70" t="str">
        <f t="shared" ca="1" si="37"/>
        <v/>
      </c>
      <c r="O103" s="120" t="str">
        <f t="shared" ca="1" si="38"/>
        <v/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2023.01.07</v>
      </c>
      <c r="C104" s="118" t="str">
        <f t="shared" ca="1" si="26"/>
        <v/>
      </c>
      <c r="D104" s="122" t="str">
        <f t="shared" ca="1" si="27"/>
        <v/>
      </c>
      <c r="E104" s="70" t="str">
        <f t="shared" ca="1" si="28"/>
        <v/>
      </c>
      <c r="F104" s="120" t="str">
        <f t="shared" ca="1" si="29"/>
        <v/>
      </c>
      <c r="G104" s="122" t="str">
        <f t="shared" ca="1" si="30"/>
        <v/>
      </c>
      <c r="H104" s="70" t="str">
        <f t="shared" ca="1" si="31"/>
        <v/>
      </c>
      <c r="I104" s="120" t="str">
        <f t="shared" ca="1" si="32"/>
        <v/>
      </c>
      <c r="J104" s="122" t="str">
        <f t="shared" ca="1" si="33"/>
        <v/>
      </c>
      <c r="K104" s="70" t="str">
        <f t="shared" ca="1" si="34"/>
        <v/>
      </c>
      <c r="L104" s="120" t="str">
        <f t="shared" ca="1" si="35"/>
        <v/>
      </c>
      <c r="M104" s="122" t="str">
        <f t="shared" ca="1" si="36"/>
        <v/>
      </c>
      <c r="N104" s="70" t="str">
        <f t="shared" ca="1" si="37"/>
        <v/>
      </c>
      <c r="O104" s="120" t="str">
        <f t="shared" ca="1" si="38"/>
        <v/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2023.01.08</v>
      </c>
      <c r="C105" s="117" t="str">
        <f t="shared" ca="1" si="26"/>
        <v/>
      </c>
      <c r="D105" s="125" t="str">
        <f t="shared" ca="1" si="27"/>
        <v/>
      </c>
      <c r="E105" s="69" t="str">
        <f t="shared" ca="1" si="28"/>
        <v/>
      </c>
      <c r="F105" s="124" t="str">
        <f t="shared" ca="1" si="29"/>
        <v/>
      </c>
      <c r="G105" s="125" t="str">
        <f t="shared" ca="1" si="30"/>
        <v/>
      </c>
      <c r="H105" s="69" t="str">
        <f t="shared" ca="1" si="31"/>
        <v/>
      </c>
      <c r="I105" s="124" t="str">
        <f t="shared" ca="1" si="32"/>
        <v/>
      </c>
      <c r="J105" s="125" t="str">
        <f t="shared" ca="1" si="33"/>
        <v/>
      </c>
      <c r="K105" s="69" t="str">
        <f t="shared" ca="1" si="34"/>
        <v/>
      </c>
      <c r="L105" s="124" t="str">
        <f t="shared" ca="1" si="35"/>
        <v/>
      </c>
      <c r="M105" s="125" t="str">
        <f t="shared" ca="1" si="36"/>
        <v/>
      </c>
      <c r="N105" s="69" t="str">
        <f t="shared" ca="1" si="37"/>
        <v/>
      </c>
      <c r="O105" s="124" t="str">
        <f t="shared" ca="1" si="38"/>
        <v/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2023.01.09</v>
      </c>
      <c r="C106" s="118" t="str">
        <f t="shared" ca="1" si="26"/>
        <v/>
      </c>
      <c r="D106" s="122" t="str">
        <f t="shared" ca="1" si="27"/>
        <v/>
      </c>
      <c r="E106" s="70" t="str">
        <f t="shared" ca="1" si="28"/>
        <v/>
      </c>
      <c r="F106" s="120" t="str">
        <f t="shared" ca="1" si="29"/>
        <v/>
      </c>
      <c r="G106" s="122" t="str">
        <f t="shared" ca="1" si="30"/>
        <v/>
      </c>
      <c r="H106" s="70" t="str">
        <f t="shared" ca="1" si="31"/>
        <v/>
      </c>
      <c r="I106" s="120" t="str">
        <f t="shared" ca="1" si="32"/>
        <v/>
      </c>
      <c r="J106" s="122" t="str">
        <f t="shared" ca="1" si="33"/>
        <v/>
      </c>
      <c r="K106" s="70" t="str">
        <f t="shared" ca="1" si="34"/>
        <v/>
      </c>
      <c r="L106" s="120" t="str">
        <f t="shared" ca="1" si="35"/>
        <v/>
      </c>
      <c r="M106" s="122" t="str">
        <f t="shared" ca="1" si="36"/>
        <v/>
      </c>
      <c r="N106" s="70" t="str">
        <f t="shared" ca="1" si="37"/>
        <v/>
      </c>
      <c r="O106" s="120" t="str">
        <f t="shared" ca="1" si="38"/>
        <v/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2023.01.10</v>
      </c>
      <c r="C107" s="118" t="str">
        <f t="shared" ca="1" si="26"/>
        <v/>
      </c>
      <c r="D107" s="122" t="str">
        <f t="shared" ca="1" si="27"/>
        <v/>
      </c>
      <c r="E107" s="70" t="str">
        <f t="shared" ca="1" si="28"/>
        <v/>
      </c>
      <c r="F107" s="120" t="str">
        <f t="shared" ca="1" si="29"/>
        <v/>
      </c>
      <c r="G107" s="122" t="str">
        <f t="shared" ca="1" si="30"/>
        <v/>
      </c>
      <c r="H107" s="70" t="str">
        <f t="shared" ca="1" si="31"/>
        <v/>
      </c>
      <c r="I107" s="120" t="str">
        <f t="shared" ca="1" si="32"/>
        <v/>
      </c>
      <c r="J107" s="122" t="str">
        <f t="shared" ca="1" si="33"/>
        <v/>
      </c>
      <c r="K107" s="70" t="str">
        <f t="shared" ca="1" si="34"/>
        <v/>
      </c>
      <c r="L107" s="120" t="str">
        <f t="shared" ca="1" si="35"/>
        <v/>
      </c>
      <c r="M107" s="122" t="str">
        <f t="shared" ca="1" si="36"/>
        <v/>
      </c>
      <c r="N107" s="70" t="str">
        <f t="shared" ca="1" si="37"/>
        <v/>
      </c>
      <c r="O107" s="120" t="str">
        <f t="shared" ca="1" si="38"/>
        <v/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2023.01.11</v>
      </c>
      <c r="C108" s="118" t="str">
        <f t="shared" ca="1" si="26"/>
        <v/>
      </c>
      <c r="D108" s="122" t="str">
        <f t="shared" ca="1" si="27"/>
        <v/>
      </c>
      <c r="E108" s="70" t="str">
        <f t="shared" ca="1" si="28"/>
        <v/>
      </c>
      <c r="F108" s="120" t="str">
        <f t="shared" ca="1" si="29"/>
        <v/>
      </c>
      <c r="G108" s="122" t="str">
        <f t="shared" ca="1" si="30"/>
        <v/>
      </c>
      <c r="H108" s="70" t="str">
        <f t="shared" ca="1" si="31"/>
        <v/>
      </c>
      <c r="I108" s="120" t="str">
        <f t="shared" ca="1" si="32"/>
        <v/>
      </c>
      <c r="J108" s="122" t="str">
        <f t="shared" ca="1" si="33"/>
        <v/>
      </c>
      <c r="K108" s="70" t="str">
        <f t="shared" ca="1" si="34"/>
        <v/>
      </c>
      <c r="L108" s="120" t="str">
        <f t="shared" ca="1" si="35"/>
        <v/>
      </c>
      <c r="M108" s="122" t="str">
        <f t="shared" ca="1" si="36"/>
        <v/>
      </c>
      <c r="N108" s="70" t="str">
        <f t="shared" ca="1" si="37"/>
        <v/>
      </c>
      <c r="O108" s="120" t="str">
        <f t="shared" ca="1" si="38"/>
        <v/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2023.01.12</v>
      </c>
      <c r="C109" s="118" t="str">
        <f t="shared" ca="1" si="26"/>
        <v/>
      </c>
      <c r="D109" s="122" t="str">
        <f t="shared" ca="1" si="27"/>
        <v/>
      </c>
      <c r="E109" s="70" t="str">
        <f t="shared" ca="1" si="28"/>
        <v/>
      </c>
      <c r="F109" s="120" t="str">
        <f t="shared" ca="1" si="29"/>
        <v/>
      </c>
      <c r="G109" s="122" t="str">
        <f t="shared" ca="1" si="30"/>
        <v/>
      </c>
      <c r="H109" s="70" t="str">
        <f t="shared" ca="1" si="31"/>
        <v/>
      </c>
      <c r="I109" s="120" t="str">
        <f t="shared" ca="1" si="32"/>
        <v/>
      </c>
      <c r="J109" s="122" t="str">
        <f t="shared" ca="1" si="33"/>
        <v/>
      </c>
      <c r="K109" s="70" t="str">
        <f t="shared" ca="1" si="34"/>
        <v/>
      </c>
      <c r="L109" s="120" t="str">
        <f t="shared" ca="1" si="35"/>
        <v/>
      </c>
      <c r="M109" s="122" t="str">
        <f t="shared" ca="1" si="36"/>
        <v/>
      </c>
      <c r="N109" s="70" t="str">
        <f t="shared" ca="1" si="37"/>
        <v/>
      </c>
      <c r="O109" s="120" t="str">
        <f t="shared" ca="1" si="38"/>
        <v/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2023.01.13</v>
      </c>
      <c r="C110" s="118" t="str">
        <f t="shared" ca="1" si="26"/>
        <v/>
      </c>
      <c r="D110" s="122" t="str">
        <f t="shared" ca="1" si="27"/>
        <v/>
      </c>
      <c r="E110" s="70" t="str">
        <f t="shared" ca="1" si="28"/>
        <v/>
      </c>
      <c r="F110" s="120" t="str">
        <f t="shared" ca="1" si="29"/>
        <v/>
      </c>
      <c r="G110" s="122" t="str">
        <f t="shared" ca="1" si="30"/>
        <v/>
      </c>
      <c r="H110" s="70" t="str">
        <f t="shared" ca="1" si="31"/>
        <v/>
      </c>
      <c r="I110" s="120" t="str">
        <f t="shared" ca="1" si="32"/>
        <v/>
      </c>
      <c r="J110" s="122" t="str">
        <f t="shared" ca="1" si="33"/>
        <v/>
      </c>
      <c r="K110" s="70" t="str">
        <f t="shared" ca="1" si="34"/>
        <v/>
      </c>
      <c r="L110" s="120" t="str">
        <f t="shared" ca="1" si="35"/>
        <v/>
      </c>
      <c r="M110" s="122" t="str">
        <f t="shared" ca="1" si="36"/>
        <v/>
      </c>
      <c r="N110" s="70" t="str">
        <f t="shared" ca="1" si="37"/>
        <v/>
      </c>
      <c r="O110" s="120" t="str">
        <f t="shared" ca="1" si="38"/>
        <v/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2023.01.14</v>
      </c>
      <c r="C111" s="119" t="str">
        <f t="shared" ca="1" si="26"/>
        <v/>
      </c>
      <c r="D111" s="123" t="str">
        <f t="shared" ca="1" si="27"/>
        <v/>
      </c>
      <c r="E111" s="72" t="str">
        <f t="shared" ca="1" si="28"/>
        <v/>
      </c>
      <c r="F111" s="121" t="str">
        <f t="shared" ca="1" si="29"/>
        <v/>
      </c>
      <c r="G111" s="123" t="str">
        <f t="shared" ca="1" si="30"/>
        <v/>
      </c>
      <c r="H111" s="72" t="str">
        <f t="shared" ca="1" si="31"/>
        <v/>
      </c>
      <c r="I111" s="121" t="str">
        <f t="shared" ca="1" si="32"/>
        <v/>
      </c>
      <c r="J111" s="123" t="str">
        <f t="shared" ca="1" si="33"/>
        <v/>
      </c>
      <c r="K111" s="72" t="str">
        <f t="shared" ca="1" si="34"/>
        <v/>
      </c>
      <c r="L111" s="121" t="str">
        <f t="shared" ca="1" si="35"/>
        <v/>
      </c>
      <c r="M111" s="123" t="str">
        <f t="shared" ca="1" si="36"/>
        <v/>
      </c>
      <c r="N111" s="72" t="str">
        <f t="shared" ca="1" si="37"/>
        <v/>
      </c>
      <c r="O111" s="121" t="str">
        <f t="shared" ca="1" si="38"/>
        <v/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2023.01.15</v>
      </c>
      <c r="C112" s="118" t="str">
        <f t="shared" ca="1" si="26"/>
        <v/>
      </c>
      <c r="D112" s="122" t="str">
        <f t="shared" ca="1" si="27"/>
        <v/>
      </c>
      <c r="E112" s="70" t="str">
        <f t="shared" ca="1" si="28"/>
        <v/>
      </c>
      <c r="F112" s="120" t="str">
        <f t="shared" ca="1" si="29"/>
        <v/>
      </c>
      <c r="G112" s="122" t="str">
        <f t="shared" ca="1" si="30"/>
        <v/>
      </c>
      <c r="H112" s="70" t="str">
        <f t="shared" ca="1" si="31"/>
        <v/>
      </c>
      <c r="I112" s="120" t="str">
        <f t="shared" ca="1" si="32"/>
        <v/>
      </c>
      <c r="J112" s="122" t="str">
        <f t="shared" ca="1" si="33"/>
        <v/>
      </c>
      <c r="K112" s="70" t="str">
        <f t="shared" ca="1" si="34"/>
        <v/>
      </c>
      <c r="L112" s="120" t="str">
        <f t="shared" ca="1" si="35"/>
        <v/>
      </c>
      <c r="M112" s="122" t="str">
        <f t="shared" ca="1" si="36"/>
        <v/>
      </c>
      <c r="N112" s="70" t="str">
        <f t="shared" ca="1" si="37"/>
        <v/>
      </c>
      <c r="O112" s="120" t="str">
        <f t="shared" ca="1" si="38"/>
        <v/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2023.01.16</v>
      </c>
      <c r="C113" s="118" t="str">
        <f t="shared" ca="1" si="26"/>
        <v/>
      </c>
      <c r="D113" s="122" t="str">
        <f t="shared" ca="1" si="27"/>
        <v/>
      </c>
      <c r="E113" s="70" t="str">
        <f t="shared" ca="1" si="28"/>
        <v/>
      </c>
      <c r="F113" s="120" t="str">
        <f t="shared" ca="1" si="29"/>
        <v/>
      </c>
      <c r="G113" s="122" t="str">
        <f t="shared" ca="1" si="30"/>
        <v/>
      </c>
      <c r="H113" s="70" t="str">
        <f t="shared" ca="1" si="31"/>
        <v/>
      </c>
      <c r="I113" s="120" t="str">
        <f t="shared" ca="1" si="32"/>
        <v/>
      </c>
      <c r="J113" s="122" t="str">
        <f t="shared" ca="1" si="33"/>
        <v/>
      </c>
      <c r="K113" s="70" t="str">
        <f t="shared" ca="1" si="34"/>
        <v/>
      </c>
      <c r="L113" s="120" t="str">
        <f t="shared" ca="1" si="35"/>
        <v/>
      </c>
      <c r="M113" s="122" t="str">
        <f t="shared" ca="1" si="36"/>
        <v/>
      </c>
      <c r="N113" s="70" t="str">
        <f t="shared" ca="1" si="37"/>
        <v/>
      </c>
      <c r="O113" s="120" t="str">
        <f t="shared" ca="1" si="38"/>
        <v/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2023.01.17</v>
      </c>
      <c r="C114" s="118" t="str">
        <f t="shared" ca="1" si="26"/>
        <v/>
      </c>
      <c r="D114" s="122" t="str">
        <f t="shared" ca="1" si="27"/>
        <v/>
      </c>
      <c r="E114" s="70" t="str">
        <f t="shared" ca="1" si="28"/>
        <v/>
      </c>
      <c r="F114" s="120" t="str">
        <f t="shared" ca="1" si="29"/>
        <v/>
      </c>
      <c r="G114" s="122" t="str">
        <f t="shared" ca="1" si="30"/>
        <v/>
      </c>
      <c r="H114" s="70" t="str">
        <f t="shared" ca="1" si="31"/>
        <v/>
      </c>
      <c r="I114" s="120" t="str">
        <f t="shared" ca="1" si="32"/>
        <v/>
      </c>
      <c r="J114" s="122" t="str">
        <f t="shared" ca="1" si="33"/>
        <v/>
      </c>
      <c r="K114" s="70" t="str">
        <f t="shared" ca="1" si="34"/>
        <v/>
      </c>
      <c r="L114" s="120" t="str">
        <f t="shared" ca="1" si="35"/>
        <v/>
      </c>
      <c r="M114" s="122" t="str">
        <f t="shared" ca="1" si="36"/>
        <v/>
      </c>
      <c r="N114" s="70" t="str">
        <f t="shared" ca="1" si="37"/>
        <v/>
      </c>
      <c r="O114" s="120" t="str">
        <f t="shared" ca="1" si="38"/>
        <v/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2023.01.18</v>
      </c>
      <c r="C115" s="118" t="str">
        <f t="shared" ca="1" si="26"/>
        <v/>
      </c>
      <c r="D115" s="122" t="str">
        <f t="shared" ca="1" si="27"/>
        <v/>
      </c>
      <c r="E115" s="70" t="str">
        <f t="shared" ca="1" si="28"/>
        <v/>
      </c>
      <c r="F115" s="120" t="str">
        <f t="shared" ca="1" si="29"/>
        <v/>
      </c>
      <c r="G115" s="122" t="str">
        <f t="shared" ca="1" si="30"/>
        <v/>
      </c>
      <c r="H115" s="70" t="str">
        <f t="shared" ca="1" si="31"/>
        <v/>
      </c>
      <c r="I115" s="120" t="str">
        <f t="shared" ca="1" si="32"/>
        <v/>
      </c>
      <c r="J115" s="122" t="str">
        <f t="shared" ca="1" si="33"/>
        <v/>
      </c>
      <c r="K115" s="70" t="str">
        <f t="shared" ca="1" si="34"/>
        <v/>
      </c>
      <c r="L115" s="120" t="str">
        <f t="shared" ca="1" si="35"/>
        <v/>
      </c>
      <c r="M115" s="122" t="str">
        <f t="shared" ca="1" si="36"/>
        <v/>
      </c>
      <c r="N115" s="70" t="str">
        <f t="shared" ca="1" si="37"/>
        <v/>
      </c>
      <c r="O115" s="120" t="str">
        <f t="shared" ca="1" si="38"/>
        <v/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2023.01.19</v>
      </c>
      <c r="C116" s="118" t="str">
        <f t="shared" ca="1" si="26"/>
        <v/>
      </c>
      <c r="D116" s="122" t="str">
        <f t="shared" ca="1" si="27"/>
        <v/>
      </c>
      <c r="E116" s="70" t="str">
        <f t="shared" ca="1" si="28"/>
        <v/>
      </c>
      <c r="F116" s="120" t="str">
        <f t="shared" ca="1" si="29"/>
        <v/>
      </c>
      <c r="G116" s="122" t="str">
        <f t="shared" ca="1" si="30"/>
        <v/>
      </c>
      <c r="H116" s="70" t="str">
        <f t="shared" ca="1" si="31"/>
        <v/>
      </c>
      <c r="I116" s="120" t="str">
        <f t="shared" ca="1" si="32"/>
        <v/>
      </c>
      <c r="J116" s="122" t="str">
        <f t="shared" ca="1" si="33"/>
        <v/>
      </c>
      <c r="K116" s="70" t="str">
        <f t="shared" ca="1" si="34"/>
        <v/>
      </c>
      <c r="L116" s="120" t="str">
        <f t="shared" ca="1" si="35"/>
        <v/>
      </c>
      <c r="M116" s="122" t="str">
        <f t="shared" ca="1" si="36"/>
        <v/>
      </c>
      <c r="N116" s="70" t="str">
        <f t="shared" ca="1" si="37"/>
        <v/>
      </c>
      <c r="O116" s="120" t="str">
        <f t="shared" ca="1" si="38"/>
        <v/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2023.01.20</v>
      </c>
      <c r="C117" s="118" t="str">
        <f t="shared" ca="1" si="26"/>
        <v/>
      </c>
      <c r="D117" s="122" t="str">
        <f t="shared" ca="1" si="27"/>
        <v/>
      </c>
      <c r="E117" s="70" t="str">
        <f t="shared" ca="1" si="28"/>
        <v/>
      </c>
      <c r="F117" s="120" t="str">
        <f t="shared" ca="1" si="29"/>
        <v/>
      </c>
      <c r="G117" s="122" t="str">
        <f t="shared" ca="1" si="30"/>
        <v/>
      </c>
      <c r="H117" s="70" t="str">
        <f t="shared" ca="1" si="31"/>
        <v/>
      </c>
      <c r="I117" s="120" t="str">
        <f t="shared" ca="1" si="32"/>
        <v/>
      </c>
      <c r="J117" s="122" t="str">
        <f t="shared" ca="1" si="33"/>
        <v/>
      </c>
      <c r="K117" s="70" t="str">
        <f t="shared" ca="1" si="34"/>
        <v/>
      </c>
      <c r="L117" s="120" t="str">
        <f t="shared" ca="1" si="35"/>
        <v/>
      </c>
      <c r="M117" s="122" t="str">
        <f t="shared" ca="1" si="36"/>
        <v/>
      </c>
      <c r="N117" s="70" t="str">
        <f t="shared" ca="1" si="37"/>
        <v/>
      </c>
      <c r="O117" s="120" t="str">
        <f t="shared" ca="1" si="38"/>
        <v/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2023.01.21</v>
      </c>
      <c r="C118" s="118" t="str">
        <f t="shared" ca="1" si="26"/>
        <v/>
      </c>
      <c r="D118" s="122" t="str">
        <f t="shared" ca="1" si="27"/>
        <v/>
      </c>
      <c r="E118" s="70" t="str">
        <f t="shared" ca="1" si="28"/>
        <v/>
      </c>
      <c r="F118" s="120" t="str">
        <f t="shared" ca="1" si="29"/>
        <v/>
      </c>
      <c r="G118" s="122" t="str">
        <f t="shared" ca="1" si="30"/>
        <v/>
      </c>
      <c r="H118" s="70" t="str">
        <f t="shared" ca="1" si="31"/>
        <v/>
      </c>
      <c r="I118" s="120" t="str">
        <f t="shared" ca="1" si="32"/>
        <v/>
      </c>
      <c r="J118" s="122" t="str">
        <f t="shared" ca="1" si="33"/>
        <v/>
      </c>
      <c r="K118" s="70" t="str">
        <f t="shared" ca="1" si="34"/>
        <v/>
      </c>
      <c r="L118" s="120" t="str">
        <f t="shared" ca="1" si="35"/>
        <v/>
      </c>
      <c r="M118" s="122" t="str">
        <f t="shared" ca="1" si="36"/>
        <v/>
      </c>
      <c r="N118" s="70" t="str">
        <f t="shared" ca="1" si="37"/>
        <v/>
      </c>
      <c r="O118" s="120" t="str">
        <f t="shared" ca="1" si="38"/>
        <v/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2023.01.22</v>
      </c>
      <c r="C119" s="117" t="str">
        <f t="shared" ca="1" si="26"/>
        <v/>
      </c>
      <c r="D119" s="125" t="str">
        <f t="shared" ca="1" si="27"/>
        <v/>
      </c>
      <c r="E119" s="69" t="str">
        <f t="shared" ca="1" si="28"/>
        <v/>
      </c>
      <c r="F119" s="124" t="str">
        <f t="shared" ca="1" si="29"/>
        <v/>
      </c>
      <c r="G119" s="125" t="str">
        <f t="shared" ca="1" si="30"/>
        <v/>
      </c>
      <c r="H119" s="69" t="str">
        <f t="shared" ca="1" si="31"/>
        <v/>
      </c>
      <c r="I119" s="124" t="str">
        <f t="shared" ca="1" si="32"/>
        <v/>
      </c>
      <c r="J119" s="125" t="str">
        <f t="shared" ca="1" si="33"/>
        <v/>
      </c>
      <c r="K119" s="69" t="str">
        <f t="shared" ca="1" si="34"/>
        <v/>
      </c>
      <c r="L119" s="124" t="str">
        <f t="shared" ca="1" si="35"/>
        <v/>
      </c>
      <c r="M119" s="125" t="str">
        <f t="shared" ca="1" si="36"/>
        <v/>
      </c>
      <c r="N119" s="69" t="str">
        <f t="shared" ca="1" si="37"/>
        <v/>
      </c>
      <c r="O119" s="124" t="str">
        <f t="shared" ca="1" si="38"/>
        <v/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2023.01.23</v>
      </c>
      <c r="C120" s="118" t="str">
        <f t="shared" ca="1" si="26"/>
        <v/>
      </c>
      <c r="D120" s="122" t="str">
        <f t="shared" ca="1" si="27"/>
        <v/>
      </c>
      <c r="E120" s="70" t="str">
        <f t="shared" ca="1" si="28"/>
        <v/>
      </c>
      <c r="F120" s="120" t="str">
        <f t="shared" ca="1" si="29"/>
        <v/>
      </c>
      <c r="G120" s="122" t="str">
        <f t="shared" ca="1" si="30"/>
        <v/>
      </c>
      <c r="H120" s="70" t="str">
        <f t="shared" ca="1" si="31"/>
        <v/>
      </c>
      <c r="I120" s="120" t="str">
        <f t="shared" ca="1" si="32"/>
        <v/>
      </c>
      <c r="J120" s="122" t="str">
        <f t="shared" ca="1" si="33"/>
        <v/>
      </c>
      <c r="K120" s="70" t="str">
        <f t="shared" ca="1" si="34"/>
        <v/>
      </c>
      <c r="L120" s="120" t="str">
        <f t="shared" ca="1" si="35"/>
        <v/>
      </c>
      <c r="M120" s="122" t="str">
        <f t="shared" ca="1" si="36"/>
        <v/>
      </c>
      <c r="N120" s="70" t="str">
        <f t="shared" ca="1" si="37"/>
        <v/>
      </c>
      <c r="O120" s="120" t="str">
        <f t="shared" ca="1" si="38"/>
        <v/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2023.01.24</v>
      </c>
      <c r="C121" s="118" t="str">
        <f t="shared" ca="1" si="26"/>
        <v/>
      </c>
      <c r="D121" s="122" t="str">
        <f t="shared" ca="1" si="27"/>
        <v/>
      </c>
      <c r="E121" s="70" t="str">
        <f t="shared" ca="1" si="28"/>
        <v/>
      </c>
      <c r="F121" s="120" t="str">
        <f t="shared" ca="1" si="29"/>
        <v/>
      </c>
      <c r="G121" s="122" t="str">
        <f t="shared" ca="1" si="30"/>
        <v/>
      </c>
      <c r="H121" s="70" t="str">
        <f t="shared" ca="1" si="31"/>
        <v/>
      </c>
      <c r="I121" s="120" t="str">
        <f t="shared" ca="1" si="32"/>
        <v/>
      </c>
      <c r="J121" s="122" t="str">
        <f t="shared" ca="1" si="33"/>
        <v/>
      </c>
      <c r="K121" s="70" t="str">
        <f t="shared" ca="1" si="34"/>
        <v/>
      </c>
      <c r="L121" s="120" t="str">
        <f t="shared" ca="1" si="35"/>
        <v/>
      </c>
      <c r="M121" s="122" t="str">
        <f t="shared" ca="1" si="36"/>
        <v/>
      </c>
      <c r="N121" s="70" t="str">
        <f t="shared" ca="1" si="37"/>
        <v/>
      </c>
      <c r="O121" s="120" t="str">
        <f t="shared" ca="1" si="38"/>
        <v/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2023.01.25</v>
      </c>
      <c r="C122" s="118" t="str">
        <f t="shared" ca="1" si="26"/>
        <v/>
      </c>
      <c r="D122" s="122" t="str">
        <f t="shared" ca="1" si="27"/>
        <v/>
      </c>
      <c r="E122" s="70" t="str">
        <f t="shared" ca="1" si="28"/>
        <v/>
      </c>
      <c r="F122" s="120" t="str">
        <f t="shared" ca="1" si="29"/>
        <v/>
      </c>
      <c r="G122" s="122" t="str">
        <f t="shared" ca="1" si="30"/>
        <v/>
      </c>
      <c r="H122" s="70" t="str">
        <f t="shared" ca="1" si="31"/>
        <v/>
      </c>
      <c r="I122" s="120" t="str">
        <f t="shared" ca="1" si="32"/>
        <v/>
      </c>
      <c r="J122" s="122" t="str">
        <f t="shared" ca="1" si="33"/>
        <v/>
      </c>
      <c r="K122" s="70" t="str">
        <f t="shared" ca="1" si="34"/>
        <v/>
      </c>
      <c r="L122" s="120" t="str">
        <f t="shared" ca="1" si="35"/>
        <v/>
      </c>
      <c r="M122" s="122" t="str">
        <f t="shared" ca="1" si="36"/>
        <v/>
      </c>
      <c r="N122" s="70" t="str">
        <f t="shared" ca="1" si="37"/>
        <v/>
      </c>
      <c r="O122" s="120" t="str">
        <f t="shared" ca="1" si="38"/>
        <v/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2023.01.26</v>
      </c>
      <c r="C123" s="118" t="str">
        <f t="shared" ca="1" si="26"/>
        <v/>
      </c>
      <c r="D123" s="122" t="str">
        <f t="shared" ca="1" si="27"/>
        <v/>
      </c>
      <c r="E123" s="70" t="str">
        <f t="shared" ca="1" si="28"/>
        <v/>
      </c>
      <c r="F123" s="120" t="str">
        <f t="shared" ca="1" si="29"/>
        <v/>
      </c>
      <c r="G123" s="122" t="str">
        <f t="shared" ca="1" si="30"/>
        <v/>
      </c>
      <c r="H123" s="70" t="str">
        <f t="shared" ca="1" si="31"/>
        <v/>
      </c>
      <c r="I123" s="120" t="str">
        <f t="shared" ca="1" si="32"/>
        <v/>
      </c>
      <c r="J123" s="122" t="str">
        <f t="shared" ca="1" si="33"/>
        <v/>
      </c>
      <c r="K123" s="70" t="str">
        <f t="shared" ca="1" si="34"/>
        <v/>
      </c>
      <c r="L123" s="120" t="str">
        <f t="shared" ca="1" si="35"/>
        <v/>
      </c>
      <c r="M123" s="122" t="str">
        <f t="shared" ca="1" si="36"/>
        <v/>
      </c>
      <c r="N123" s="70" t="str">
        <f t="shared" ca="1" si="37"/>
        <v/>
      </c>
      <c r="O123" s="120" t="str">
        <f t="shared" ca="1" si="38"/>
        <v/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2023.01.27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2023.01.28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2023.01.29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2023.01.30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2023.01.31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44" t="s">
        <v>270</v>
      </c>
      <c r="B129" s="146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50"/>
      <c r="B130" s="152"/>
      <c r="C130" s="119">
        <f ca="1">SUM(C98:C128)</f>
        <v>3000000</v>
      </c>
      <c r="D130" s="123">
        <f ca="1">SUM(D98:D128)</f>
        <v>3003245.893571422</v>
      </c>
      <c r="E130" s="72">
        <f ca="1">IFERROR(F130 / (SUM($C98:$C128) / COUNT($C98:$C128)), 0)</f>
        <v>1.0819645238074088E-3</v>
      </c>
      <c r="F130" s="121">
        <f ca="1">SUM(F98:F128)</f>
        <v>3245.8935714222266</v>
      </c>
      <c r="G130" s="123">
        <f ca="1">SUM(G98:G128)</f>
        <v>3000000</v>
      </c>
      <c r="H130" s="72">
        <f ca="1">IFERROR(I130 / (SUM($C98:$C128) / COUNT($C98:$C128)), 0)</f>
        <v>0</v>
      </c>
      <c r="I130" s="121">
        <f ca="1">SUM(I98:I128)</f>
        <v>0</v>
      </c>
      <c r="J130" s="123">
        <f ca="1">SUM(J98:J128)</f>
        <v>3000000</v>
      </c>
      <c r="K130" s="72">
        <f ca="1">IFERROR(L130 / (SUM($C98:$C128) / COUNT($C98:$C128)), 0)</f>
        <v>0</v>
      </c>
      <c r="L130" s="121">
        <f ca="1">SUM(L98:L128)</f>
        <v>0</v>
      </c>
      <c r="M130" s="123">
        <f ca="1">SUM(M98:M128)</f>
        <v>3000000</v>
      </c>
      <c r="N130" s="72">
        <f ca="1">IFERROR(O130 / (SUM($C98:$C128) / COUNT($C98:$C128)), 0)</f>
        <v>0</v>
      </c>
      <c r="O130" s="121">
        <f ca="1">SUM(O98:O128)</f>
        <v>0</v>
      </c>
    </row>
    <row r="132" spans="1:15" ht="16.5" customHeight="1" thickBot="1"/>
    <row r="133" spans="1:15" ht="16.5" customHeight="1" thickBot="1">
      <c r="A133" s="135" t="str">
        <f>TEXT(투자전략!$G$1, "[$-ko-KR]yyyy년 mm월 ") &amp; "전일대비 상승률 Top20 월말결산"</f>
        <v>2023년 01월 전일대비 상승률 Top20 월말결산</v>
      </c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7"/>
    </row>
    <row r="134" spans="1:15" ht="16.5" customHeight="1" thickBot="1">
      <c r="A134" s="196" t="s">
        <v>271</v>
      </c>
      <c r="B134" s="150" t="s">
        <v>269</v>
      </c>
      <c r="C134" s="152"/>
      <c r="D134" s="150" t="s">
        <v>261</v>
      </c>
      <c r="E134" s="151"/>
      <c r="F134" s="152"/>
      <c r="G134" s="150" t="s">
        <v>262</v>
      </c>
      <c r="H134" s="151"/>
      <c r="I134" s="152"/>
      <c r="J134" s="150" t="s">
        <v>263</v>
      </c>
      <c r="K134" s="151"/>
      <c r="L134" s="152"/>
      <c r="M134" s="150" t="s">
        <v>264</v>
      </c>
      <c r="N134" s="151"/>
      <c r="O134" s="152"/>
    </row>
    <row r="135" spans="1:15" ht="16.5" customHeight="1" thickBot="1">
      <c r="A135" s="200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2023.01.01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3003535.7283659815</v>
      </c>
      <c r="E136" s="69">
        <f ca="1">IFERROR(INDIRECT($B136&amp;"!E118"), "")</f>
        <v>1.1785761219938247E-3</v>
      </c>
      <c r="F136" s="124">
        <f ca="1">IFERROR(INDIRECT($B136&amp;"!F118"), "")</f>
        <v>3535.7283659814739</v>
      </c>
      <c r="G136" s="125">
        <f ca="1">IFERROR($C136 * (1 + H136), "")</f>
        <v>3000000</v>
      </c>
      <c r="H136" s="69">
        <f ca="1">IFERROR(INDIRECT($B136&amp;"!H118"), "")</f>
        <v>0</v>
      </c>
      <c r="I136" s="124">
        <f ca="1">IFERROR(INDIRECT($B136&amp;"!I118"), "")</f>
        <v>0</v>
      </c>
      <c r="J136" s="125">
        <f ca="1">IFERROR($C136 * (1 + K136), "")</f>
        <v>3000000</v>
      </c>
      <c r="K136" s="69">
        <f ca="1">IFERROR(INDIRECT($B136&amp;"!K118"), "")</f>
        <v>0</v>
      </c>
      <c r="L136" s="124">
        <f ca="1">IFERROR(INDIRECT($B136&amp;"!L118"), "")</f>
        <v>0</v>
      </c>
      <c r="M136" s="125">
        <f ca="1">IFERROR($C136 * (1 + N136), "")</f>
        <v>3000000</v>
      </c>
      <c r="N136" s="69">
        <f ca="1">IFERROR(INDIRECT($B136&amp;"!N118"), "")</f>
        <v>0</v>
      </c>
      <c r="O136" s="124">
        <f ca="1">IFERROR(INDIRECT($B136&amp;"!O118"), "")</f>
        <v>0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2023.01.02</v>
      </c>
      <c r="C137" s="118" t="str">
        <f t="shared" ref="C137:C166" ca="1" si="39">IFERROR(COUNTA(INDIRECT($B137&amp;"!A98:A117")) * INDIRECT($B137&amp;"!B118"), "")</f>
        <v/>
      </c>
      <c r="D137" s="122" t="str">
        <f t="shared" ref="D137:D166" ca="1" si="40">IFERROR($C137 * (1 + E137), "")</f>
        <v/>
      </c>
      <c r="E137" s="70" t="str">
        <f t="shared" ref="E137:E166" ca="1" si="41">IFERROR(INDIRECT($B137&amp;"!E118"), "")</f>
        <v/>
      </c>
      <c r="F137" s="120" t="str">
        <f t="shared" ref="F137:F166" ca="1" si="42">IFERROR(INDIRECT($B137&amp;"!F118"), "")</f>
        <v/>
      </c>
      <c r="G137" s="122" t="str">
        <f t="shared" ref="G137:G166" ca="1" si="43">IFERROR($C137 * (1 + H137), "")</f>
        <v/>
      </c>
      <c r="H137" s="70" t="str">
        <f t="shared" ref="H137:H166" ca="1" si="44">IFERROR(INDIRECT($B137&amp;"!H118"), "")</f>
        <v/>
      </c>
      <c r="I137" s="120" t="str">
        <f t="shared" ref="I137:I166" ca="1" si="45">IFERROR(INDIRECT($B137&amp;"!I118"), "")</f>
        <v/>
      </c>
      <c r="J137" s="122" t="str">
        <f t="shared" ref="J137:J166" ca="1" si="46">IFERROR($C137 * (1 + K137), "")</f>
        <v/>
      </c>
      <c r="K137" s="70" t="str">
        <f t="shared" ref="K137:K166" ca="1" si="47">IFERROR(INDIRECT($B137&amp;"!K118"), "")</f>
        <v/>
      </c>
      <c r="L137" s="120" t="str">
        <f t="shared" ref="L137:L166" ca="1" si="48">IFERROR(INDIRECT($B137&amp;"!L118"), "")</f>
        <v/>
      </c>
      <c r="M137" s="122" t="str">
        <f t="shared" ref="M137:M166" ca="1" si="49">IFERROR($C137 * (1 + N137), "")</f>
        <v/>
      </c>
      <c r="N137" s="70" t="str">
        <f t="shared" ref="N137:N166" ca="1" si="50">IFERROR(INDIRECT($B137&amp;"!N118"), "")</f>
        <v/>
      </c>
      <c r="O137" s="120" t="str">
        <f t="shared" ref="O137:O166" ca="1" si="51">IFERROR(INDIRECT($B137&amp;"!O118"), "")</f>
        <v/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2023.01.03</v>
      </c>
      <c r="C138" s="118" t="str">
        <f t="shared" ca="1" si="39"/>
        <v/>
      </c>
      <c r="D138" s="122" t="str">
        <f t="shared" ca="1" si="40"/>
        <v/>
      </c>
      <c r="E138" s="70" t="str">
        <f t="shared" ca="1" si="41"/>
        <v/>
      </c>
      <c r="F138" s="120" t="str">
        <f t="shared" ca="1" si="42"/>
        <v/>
      </c>
      <c r="G138" s="122" t="str">
        <f t="shared" ca="1" si="43"/>
        <v/>
      </c>
      <c r="H138" s="70" t="str">
        <f t="shared" ca="1" si="44"/>
        <v/>
      </c>
      <c r="I138" s="120" t="str">
        <f t="shared" ca="1" si="45"/>
        <v/>
      </c>
      <c r="J138" s="122" t="str">
        <f t="shared" ca="1" si="46"/>
        <v/>
      </c>
      <c r="K138" s="70" t="str">
        <f t="shared" ca="1" si="47"/>
        <v/>
      </c>
      <c r="L138" s="120" t="str">
        <f t="shared" ca="1" si="48"/>
        <v/>
      </c>
      <c r="M138" s="122" t="str">
        <f t="shared" ca="1" si="49"/>
        <v/>
      </c>
      <c r="N138" s="70" t="str">
        <f t="shared" ca="1" si="50"/>
        <v/>
      </c>
      <c r="O138" s="120" t="str">
        <f t="shared" ca="1" si="51"/>
        <v/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2023.01.04</v>
      </c>
      <c r="C139" s="118" t="str">
        <f t="shared" ca="1" si="39"/>
        <v/>
      </c>
      <c r="D139" s="122" t="str">
        <f t="shared" ca="1" si="40"/>
        <v/>
      </c>
      <c r="E139" s="70" t="str">
        <f t="shared" ca="1" si="41"/>
        <v/>
      </c>
      <c r="F139" s="120" t="str">
        <f t="shared" ca="1" si="42"/>
        <v/>
      </c>
      <c r="G139" s="122" t="str">
        <f t="shared" ca="1" si="43"/>
        <v/>
      </c>
      <c r="H139" s="70" t="str">
        <f t="shared" ca="1" si="44"/>
        <v/>
      </c>
      <c r="I139" s="120" t="str">
        <f t="shared" ca="1" si="45"/>
        <v/>
      </c>
      <c r="J139" s="122" t="str">
        <f t="shared" ca="1" si="46"/>
        <v/>
      </c>
      <c r="K139" s="70" t="str">
        <f t="shared" ca="1" si="47"/>
        <v/>
      </c>
      <c r="L139" s="120" t="str">
        <f t="shared" ca="1" si="48"/>
        <v/>
      </c>
      <c r="M139" s="122" t="str">
        <f t="shared" ca="1" si="49"/>
        <v/>
      </c>
      <c r="N139" s="70" t="str">
        <f t="shared" ca="1" si="50"/>
        <v/>
      </c>
      <c r="O139" s="120" t="str">
        <f t="shared" ca="1" si="51"/>
        <v/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2023.01.05</v>
      </c>
      <c r="C140" s="118" t="str">
        <f t="shared" ca="1" si="39"/>
        <v/>
      </c>
      <c r="D140" s="122" t="str">
        <f t="shared" ca="1" si="40"/>
        <v/>
      </c>
      <c r="E140" s="70" t="str">
        <f t="shared" ca="1" si="41"/>
        <v/>
      </c>
      <c r="F140" s="120" t="str">
        <f t="shared" ca="1" si="42"/>
        <v/>
      </c>
      <c r="G140" s="122" t="str">
        <f t="shared" ca="1" si="43"/>
        <v/>
      </c>
      <c r="H140" s="70" t="str">
        <f t="shared" ca="1" si="44"/>
        <v/>
      </c>
      <c r="I140" s="120" t="str">
        <f t="shared" ca="1" si="45"/>
        <v/>
      </c>
      <c r="J140" s="122" t="str">
        <f t="shared" ca="1" si="46"/>
        <v/>
      </c>
      <c r="K140" s="70" t="str">
        <f t="shared" ca="1" si="47"/>
        <v/>
      </c>
      <c r="L140" s="120" t="str">
        <f t="shared" ca="1" si="48"/>
        <v/>
      </c>
      <c r="M140" s="122" t="str">
        <f t="shared" ca="1" si="49"/>
        <v/>
      </c>
      <c r="N140" s="70" t="str">
        <f t="shared" ca="1" si="50"/>
        <v/>
      </c>
      <c r="O140" s="120" t="str">
        <f t="shared" ca="1" si="51"/>
        <v/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2023.01.06</v>
      </c>
      <c r="C141" s="118" t="str">
        <f t="shared" ca="1" si="39"/>
        <v/>
      </c>
      <c r="D141" s="122" t="str">
        <f t="shared" ca="1" si="40"/>
        <v/>
      </c>
      <c r="E141" s="70" t="str">
        <f t="shared" ca="1" si="41"/>
        <v/>
      </c>
      <c r="F141" s="120" t="str">
        <f t="shared" ca="1" si="42"/>
        <v/>
      </c>
      <c r="G141" s="122" t="str">
        <f t="shared" ca="1" si="43"/>
        <v/>
      </c>
      <c r="H141" s="70" t="str">
        <f t="shared" ca="1" si="44"/>
        <v/>
      </c>
      <c r="I141" s="120" t="str">
        <f t="shared" ca="1" si="45"/>
        <v/>
      </c>
      <c r="J141" s="122" t="str">
        <f t="shared" ca="1" si="46"/>
        <v/>
      </c>
      <c r="K141" s="70" t="str">
        <f t="shared" ca="1" si="47"/>
        <v/>
      </c>
      <c r="L141" s="120" t="str">
        <f t="shared" ca="1" si="48"/>
        <v/>
      </c>
      <c r="M141" s="122" t="str">
        <f t="shared" ca="1" si="49"/>
        <v/>
      </c>
      <c r="N141" s="70" t="str">
        <f t="shared" ca="1" si="50"/>
        <v/>
      </c>
      <c r="O141" s="120" t="str">
        <f t="shared" ca="1" si="51"/>
        <v/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2023.01.07</v>
      </c>
      <c r="C142" s="118" t="str">
        <f t="shared" ca="1" si="39"/>
        <v/>
      </c>
      <c r="D142" s="122" t="str">
        <f t="shared" ca="1" si="40"/>
        <v/>
      </c>
      <c r="E142" s="70" t="str">
        <f t="shared" ca="1" si="41"/>
        <v/>
      </c>
      <c r="F142" s="120" t="str">
        <f t="shared" ca="1" si="42"/>
        <v/>
      </c>
      <c r="G142" s="122" t="str">
        <f t="shared" ca="1" si="43"/>
        <v/>
      </c>
      <c r="H142" s="70" t="str">
        <f t="shared" ca="1" si="44"/>
        <v/>
      </c>
      <c r="I142" s="120" t="str">
        <f t="shared" ca="1" si="45"/>
        <v/>
      </c>
      <c r="J142" s="122" t="str">
        <f t="shared" ca="1" si="46"/>
        <v/>
      </c>
      <c r="K142" s="70" t="str">
        <f t="shared" ca="1" si="47"/>
        <v/>
      </c>
      <c r="L142" s="120" t="str">
        <f t="shared" ca="1" si="48"/>
        <v/>
      </c>
      <c r="M142" s="122" t="str">
        <f t="shared" ca="1" si="49"/>
        <v/>
      </c>
      <c r="N142" s="70" t="str">
        <f t="shared" ca="1" si="50"/>
        <v/>
      </c>
      <c r="O142" s="120" t="str">
        <f t="shared" ca="1" si="51"/>
        <v/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2023.01.08</v>
      </c>
      <c r="C143" s="117" t="str">
        <f t="shared" ca="1" si="39"/>
        <v/>
      </c>
      <c r="D143" s="125" t="str">
        <f t="shared" ca="1" si="40"/>
        <v/>
      </c>
      <c r="E143" s="69" t="str">
        <f t="shared" ca="1" si="41"/>
        <v/>
      </c>
      <c r="F143" s="124" t="str">
        <f t="shared" ca="1" si="42"/>
        <v/>
      </c>
      <c r="G143" s="125" t="str">
        <f t="shared" ca="1" si="43"/>
        <v/>
      </c>
      <c r="H143" s="69" t="str">
        <f t="shared" ca="1" si="44"/>
        <v/>
      </c>
      <c r="I143" s="124" t="str">
        <f t="shared" ca="1" si="45"/>
        <v/>
      </c>
      <c r="J143" s="125" t="str">
        <f t="shared" ca="1" si="46"/>
        <v/>
      </c>
      <c r="K143" s="69" t="str">
        <f t="shared" ca="1" si="47"/>
        <v/>
      </c>
      <c r="L143" s="124" t="str">
        <f t="shared" ca="1" si="48"/>
        <v/>
      </c>
      <c r="M143" s="125" t="str">
        <f t="shared" ca="1" si="49"/>
        <v/>
      </c>
      <c r="N143" s="69" t="str">
        <f t="shared" ca="1" si="50"/>
        <v/>
      </c>
      <c r="O143" s="124" t="str">
        <f t="shared" ca="1" si="51"/>
        <v/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2023.01.09</v>
      </c>
      <c r="C144" s="118" t="str">
        <f t="shared" ca="1" si="39"/>
        <v/>
      </c>
      <c r="D144" s="122" t="str">
        <f t="shared" ca="1" si="40"/>
        <v/>
      </c>
      <c r="E144" s="70" t="str">
        <f t="shared" ca="1" si="41"/>
        <v/>
      </c>
      <c r="F144" s="120" t="str">
        <f t="shared" ca="1" si="42"/>
        <v/>
      </c>
      <c r="G144" s="122" t="str">
        <f t="shared" ca="1" si="43"/>
        <v/>
      </c>
      <c r="H144" s="70" t="str">
        <f t="shared" ca="1" si="44"/>
        <v/>
      </c>
      <c r="I144" s="120" t="str">
        <f t="shared" ca="1" si="45"/>
        <v/>
      </c>
      <c r="J144" s="122" t="str">
        <f t="shared" ca="1" si="46"/>
        <v/>
      </c>
      <c r="K144" s="70" t="str">
        <f t="shared" ca="1" si="47"/>
        <v/>
      </c>
      <c r="L144" s="120" t="str">
        <f t="shared" ca="1" si="48"/>
        <v/>
      </c>
      <c r="M144" s="122" t="str">
        <f t="shared" ca="1" si="49"/>
        <v/>
      </c>
      <c r="N144" s="70" t="str">
        <f t="shared" ca="1" si="50"/>
        <v/>
      </c>
      <c r="O144" s="120" t="str">
        <f t="shared" ca="1" si="51"/>
        <v/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2023.01.10</v>
      </c>
      <c r="C145" s="118" t="str">
        <f t="shared" ca="1" si="39"/>
        <v/>
      </c>
      <c r="D145" s="122" t="str">
        <f t="shared" ca="1" si="40"/>
        <v/>
      </c>
      <c r="E145" s="70" t="str">
        <f t="shared" ca="1" si="41"/>
        <v/>
      </c>
      <c r="F145" s="120" t="str">
        <f t="shared" ca="1" si="42"/>
        <v/>
      </c>
      <c r="G145" s="122" t="str">
        <f t="shared" ca="1" si="43"/>
        <v/>
      </c>
      <c r="H145" s="70" t="str">
        <f t="shared" ca="1" si="44"/>
        <v/>
      </c>
      <c r="I145" s="120" t="str">
        <f t="shared" ca="1" si="45"/>
        <v/>
      </c>
      <c r="J145" s="122" t="str">
        <f t="shared" ca="1" si="46"/>
        <v/>
      </c>
      <c r="K145" s="70" t="str">
        <f t="shared" ca="1" si="47"/>
        <v/>
      </c>
      <c r="L145" s="120" t="str">
        <f t="shared" ca="1" si="48"/>
        <v/>
      </c>
      <c r="M145" s="122" t="str">
        <f t="shared" ca="1" si="49"/>
        <v/>
      </c>
      <c r="N145" s="70" t="str">
        <f t="shared" ca="1" si="50"/>
        <v/>
      </c>
      <c r="O145" s="120" t="str">
        <f t="shared" ca="1" si="51"/>
        <v/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2023.01.11</v>
      </c>
      <c r="C146" s="118" t="str">
        <f t="shared" ca="1" si="39"/>
        <v/>
      </c>
      <c r="D146" s="122" t="str">
        <f t="shared" ca="1" si="40"/>
        <v/>
      </c>
      <c r="E146" s="70" t="str">
        <f t="shared" ca="1" si="41"/>
        <v/>
      </c>
      <c r="F146" s="120" t="str">
        <f t="shared" ca="1" si="42"/>
        <v/>
      </c>
      <c r="G146" s="122" t="str">
        <f t="shared" ca="1" si="43"/>
        <v/>
      </c>
      <c r="H146" s="70" t="str">
        <f t="shared" ca="1" si="44"/>
        <v/>
      </c>
      <c r="I146" s="120" t="str">
        <f t="shared" ca="1" si="45"/>
        <v/>
      </c>
      <c r="J146" s="122" t="str">
        <f t="shared" ca="1" si="46"/>
        <v/>
      </c>
      <c r="K146" s="70" t="str">
        <f t="shared" ca="1" si="47"/>
        <v/>
      </c>
      <c r="L146" s="120" t="str">
        <f t="shared" ca="1" si="48"/>
        <v/>
      </c>
      <c r="M146" s="122" t="str">
        <f t="shared" ca="1" si="49"/>
        <v/>
      </c>
      <c r="N146" s="70" t="str">
        <f t="shared" ca="1" si="50"/>
        <v/>
      </c>
      <c r="O146" s="120" t="str">
        <f t="shared" ca="1" si="51"/>
        <v/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2023.01.12</v>
      </c>
      <c r="C147" s="118" t="str">
        <f t="shared" ca="1" si="39"/>
        <v/>
      </c>
      <c r="D147" s="122" t="str">
        <f t="shared" ca="1" si="40"/>
        <v/>
      </c>
      <c r="E147" s="70" t="str">
        <f t="shared" ca="1" si="41"/>
        <v/>
      </c>
      <c r="F147" s="120" t="str">
        <f t="shared" ca="1" si="42"/>
        <v/>
      </c>
      <c r="G147" s="122" t="str">
        <f t="shared" ca="1" si="43"/>
        <v/>
      </c>
      <c r="H147" s="70" t="str">
        <f t="shared" ca="1" si="44"/>
        <v/>
      </c>
      <c r="I147" s="120" t="str">
        <f t="shared" ca="1" si="45"/>
        <v/>
      </c>
      <c r="J147" s="122" t="str">
        <f t="shared" ca="1" si="46"/>
        <v/>
      </c>
      <c r="K147" s="70" t="str">
        <f t="shared" ca="1" si="47"/>
        <v/>
      </c>
      <c r="L147" s="120" t="str">
        <f t="shared" ca="1" si="48"/>
        <v/>
      </c>
      <c r="M147" s="122" t="str">
        <f t="shared" ca="1" si="49"/>
        <v/>
      </c>
      <c r="N147" s="70" t="str">
        <f t="shared" ca="1" si="50"/>
        <v/>
      </c>
      <c r="O147" s="120" t="str">
        <f t="shared" ca="1" si="51"/>
        <v/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2023.01.13</v>
      </c>
      <c r="C148" s="118" t="str">
        <f t="shared" ca="1" si="39"/>
        <v/>
      </c>
      <c r="D148" s="122" t="str">
        <f t="shared" ca="1" si="40"/>
        <v/>
      </c>
      <c r="E148" s="70" t="str">
        <f t="shared" ca="1" si="41"/>
        <v/>
      </c>
      <c r="F148" s="120" t="str">
        <f t="shared" ca="1" si="42"/>
        <v/>
      </c>
      <c r="G148" s="122" t="str">
        <f t="shared" ca="1" si="43"/>
        <v/>
      </c>
      <c r="H148" s="70" t="str">
        <f t="shared" ca="1" si="44"/>
        <v/>
      </c>
      <c r="I148" s="120" t="str">
        <f t="shared" ca="1" si="45"/>
        <v/>
      </c>
      <c r="J148" s="122" t="str">
        <f t="shared" ca="1" si="46"/>
        <v/>
      </c>
      <c r="K148" s="70" t="str">
        <f t="shared" ca="1" si="47"/>
        <v/>
      </c>
      <c r="L148" s="120" t="str">
        <f t="shared" ca="1" si="48"/>
        <v/>
      </c>
      <c r="M148" s="122" t="str">
        <f t="shared" ca="1" si="49"/>
        <v/>
      </c>
      <c r="N148" s="70" t="str">
        <f t="shared" ca="1" si="50"/>
        <v/>
      </c>
      <c r="O148" s="120" t="str">
        <f t="shared" ca="1" si="51"/>
        <v/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2023.01.14</v>
      </c>
      <c r="C149" s="119" t="str">
        <f t="shared" ca="1" si="39"/>
        <v/>
      </c>
      <c r="D149" s="123" t="str">
        <f t="shared" ca="1" si="40"/>
        <v/>
      </c>
      <c r="E149" s="72" t="str">
        <f t="shared" ca="1" si="41"/>
        <v/>
      </c>
      <c r="F149" s="121" t="str">
        <f t="shared" ca="1" si="42"/>
        <v/>
      </c>
      <c r="G149" s="123" t="str">
        <f t="shared" ca="1" si="43"/>
        <v/>
      </c>
      <c r="H149" s="72" t="str">
        <f t="shared" ca="1" si="44"/>
        <v/>
      </c>
      <c r="I149" s="121" t="str">
        <f t="shared" ca="1" si="45"/>
        <v/>
      </c>
      <c r="J149" s="123" t="str">
        <f t="shared" ca="1" si="46"/>
        <v/>
      </c>
      <c r="K149" s="72" t="str">
        <f t="shared" ca="1" si="47"/>
        <v/>
      </c>
      <c r="L149" s="121" t="str">
        <f t="shared" ca="1" si="48"/>
        <v/>
      </c>
      <c r="M149" s="123" t="str">
        <f t="shared" ca="1" si="49"/>
        <v/>
      </c>
      <c r="N149" s="72" t="str">
        <f t="shared" ca="1" si="50"/>
        <v/>
      </c>
      <c r="O149" s="121" t="str">
        <f t="shared" ca="1" si="51"/>
        <v/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2023.01.15</v>
      </c>
      <c r="C150" s="118" t="str">
        <f t="shared" ca="1" si="39"/>
        <v/>
      </c>
      <c r="D150" s="122" t="str">
        <f t="shared" ca="1" si="40"/>
        <v/>
      </c>
      <c r="E150" s="70" t="str">
        <f t="shared" ca="1" si="41"/>
        <v/>
      </c>
      <c r="F150" s="120" t="str">
        <f t="shared" ca="1" si="42"/>
        <v/>
      </c>
      <c r="G150" s="122" t="str">
        <f t="shared" ca="1" si="43"/>
        <v/>
      </c>
      <c r="H150" s="70" t="str">
        <f t="shared" ca="1" si="44"/>
        <v/>
      </c>
      <c r="I150" s="120" t="str">
        <f t="shared" ca="1" si="45"/>
        <v/>
      </c>
      <c r="J150" s="122" t="str">
        <f t="shared" ca="1" si="46"/>
        <v/>
      </c>
      <c r="K150" s="70" t="str">
        <f t="shared" ca="1" si="47"/>
        <v/>
      </c>
      <c r="L150" s="120" t="str">
        <f t="shared" ca="1" si="48"/>
        <v/>
      </c>
      <c r="M150" s="122" t="str">
        <f t="shared" ca="1" si="49"/>
        <v/>
      </c>
      <c r="N150" s="70" t="str">
        <f t="shared" ca="1" si="50"/>
        <v/>
      </c>
      <c r="O150" s="120" t="str">
        <f t="shared" ca="1" si="51"/>
        <v/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2023.01.16</v>
      </c>
      <c r="C151" s="118" t="str">
        <f t="shared" ca="1" si="39"/>
        <v/>
      </c>
      <c r="D151" s="122" t="str">
        <f t="shared" ca="1" si="40"/>
        <v/>
      </c>
      <c r="E151" s="70" t="str">
        <f t="shared" ca="1" si="41"/>
        <v/>
      </c>
      <c r="F151" s="120" t="str">
        <f t="shared" ca="1" si="42"/>
        <v/>
      </c>
      <c r="G151" s="122" t="str">
        <f t="shared" ca="1" si="43"/>
        <v/>
      </c>
      <c r="H151" s="70" t="str">
        <f t="shared" ca="1" si="44"/>
        <v/>
      </c>
      <c r="I151" s="120" t="str">
        <f t="shared" ca="1" si="45"/>
        <v/>
      </c>
      <c r="J151" s="122" t="str">
        <f t="shared" ca="1" si="46"/>
        <v/>
      </c>
      <c r="K151" s="70" t="str">
        <f t="shared" ca="1" si="47"/>
        <v/>
      </c>
      <c r="L151" s="120" t="str">
        <f t="shared" ca="1" si="48"/>
        <v/>
      </c>
      <c r="M151" s="122" t="str">
        <f t="shared" ca="1" si="49"/>
        <v/>
      </c>
      <c r="N151" s="70" t="str">
        <f t="shared" ca="1" si="50"/>
        <v/>
      </c>
      <c r="O151" s="120" t="str">
        <f t="shared" ca="1" si="51"/>
        <v/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2023.01.17</v>
      </c>
      <c r="C152" s="118" t="str">
        <f t="shared" ca="1" si="39"/>
        <v/>
      </c>
      <c r="D152" s="122" t="str">
        <f t="shared" ca="1" si="40"/>
        <v/>
      </c>
      <c r="E152" s="70" t="str">
        <f t="shared" ca="1" si="41"/>
        <v/>
      </c>
      <c r="F152" s="120" t="str">
        <f t="shared" ca="1" si="42"/>
        <v/>
      </c>
      <c r="G152" s="122" t="str">
        <f t="shared" ca="1" si="43"/>
        <v/>
      </c>
      <c r="H152" s="70" t="str">
        <f t="shared" ca="1" si="44"/>
        <v/>
      </c>
      <c r="I152" s="120" t="str">
        <f t="shared" ca="1" si="45"/>
        <v/>
      </c>
      <c r="J152" s="122" t="str">
        <f t="shared" ca="1" si="46"/>
        <v/>
      </c>
      <c r="K152" s="70" t="str">
        <f t="shared" ca="1" si="47"/>
        <v/>
      </c>
      <c r="L152" s="120" t="str">
        <f t="shared" ca="1" si="48"/>
        <v/>
      </c>
      <c r="M152" s="122" t="str">
        <f t="shared" ca="1" si="49"/>
        <v/>
      </c>
      <c r="N152" s="70" t="str">
        <f t="shared" ca="1" si="50"/>
        <v/>
      </c>
      <c r="O152" s="120" t="str">
        <f t="shared" ca="1" si="51"/>
        <v/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2023.01.18</v>
      </c>
      <c r="C153" s="118" t="str">
        <f t="shared" ca="1" si="39"/>
        <v/>
      </c>
      <c r="D153" s="122" t="str">
        <f t="shared" ca="1" si="40"/>
        <v/>
      </c>
      <c r="E153" s="70" t="str">
        <f t="shared" ca="1" si="41"/>
        <v/>
      </c>
      <c r="F153" s="120" t="str">
        <f t="shared" ca="1" si="42"/>
        <v/>
      </c>
      <c r="G153" s="122" t="str">
        <f t="shared" ca="1" si="43"/>
        <v/>
      </c>
      <c r="H153" s="70" t="str">
        <f t="shared" ca="1" si="44"/>
        <v/>
      </c>
      <c r="I153" s="120" t="str">
        <f t="shared" ca="1" si="45"/>
        <v/>
      </c>
      <c r="J153" s="122" t="str">
        <f t="shared" ca="1" si="46"/>
        <v/>
      </c>
      <c r="K153" s="70" t="str">
        <f t="shared" ca="1" si="47"/>
        <v/>
      </c>
      <c r="L153" s="120" t="str">
        <f t="shared" ca="1" si="48"/>
        <v/>
      </c>
      <c r="M153" s="122" t="str">
        <f t="shared" ca="1" si="49"/>
        <v/>
      </c>
      <c r="N153" s="70" t="str">
        <f t="shared" ca="1" si="50"/>
        <v/>
      </c>
      <c r="O153" s="120" t="str">
        <f t="shared" ca="1" si="51"/>
        <v/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2023.01.19</v>
      </c>
      <c r="C154" s="118" t="str">
        <f t="shared" ca="1" si="39"/>
        <v/>
      </c>
      <c r="D154" s="122" t="str">
        <f t="shared" ca="1" si="40"/>
        <v/>
      </c>
      <c r="E154" s="70" t="str">
        <f t="shared" ca="1" si="41"/>
        <v/>
      </c>
      <c r="F154" s="120" t="str">
        <f t="shared" ca="1" si="42"/>
        <v/>
      </c>
      <c r="G154" s="122" t="str">
        <f t="shared" ca="1" si="43"/>
        <v/>
      </c>
      <c r="H154" s="70" t="str">
        <f t="shared" ca="1" si="44"/>
        <v/>
      </c>
      <c r="I154" s="120" t="str">
        <f t="shared" ca="1" si="45"/>
        <v/>
      </c>
      <c r="J154" s="122" t="str">
        <f t="shared" ca="1" si="46"/>
        <v/>
      </c>
      <c r="K154" s="70" t="str">
        <f t="shared" ca="1" si="47"/>
        <v/>
      </c>
      <c r="L154" s="120" t="str">
        <f t="shared" ca="1" si="48"/>
        <v/>
      </c>
      <c r="M154" s="122" t="str">
        <f t="shared" ca="1" si="49"/>
        <v/>
      </c>
      <c r="N154" s="70" t="str">
        <f t="shared" ca="1" si="50"/>
        <v/>
      </c>
      <c r="O154" s="120" t="str">
        <f t="shared" ca="1" si="51"/>
        <v/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2023.01.20</v>
      </c>
      <c r="C155" s="118" t="str">
        <f t="shared" ca="1" si="39"/>
        <v/>
      </c>
      <c r="D155" s="122" t="str">
        <f t="shared" ca="1" si="40"/>
        <v/>
      </c>
      <c r="E155" s="70" t="str">
        <f t="shared" ca="1" si="41"/>
        <v/>
      </c>
      <c r="F155" s="120" t="str">
        <f t="shared" ca="1" si="42"/>
        <v/>
      </c>
      <c r="G155" s="122" t="str">
        <f t="shared" ca="1" si="43"/>
        <v/>
      </c>
      <c r="H155" s="70" t="str">
        <f t="shared" ca="1" si="44"/>
        <v/>
      </c>
      <c r="I155" s="120" t="str">
        <f t="shared" ca="1" si="45"/>
        <v/>
      </c>
      <c r="J155" s="122" t="str">
        <f t="shared" ca="1" si="46"/>
        <v/>
      </c>
      <c r="K155" s="70" t="str">
        <f t="shared" ca="1" si="47"/>
        <v/>
      </c>
      <c r="L155" s="120" t="str">
        <f t="shared" ca="1" si="48"/>
        <v/>
      </c>
      <c r="M155" s="122" t="str">
        <f t="shared" ca="1" si="49"/>
        <v/>
      </c>
      <c r="N155" s="70" t="str">
        <f t="shared" ca="1" si="50"/>
        <v/>
      </c>
      <c r="O155" s="120" t="str">
        <f t="shared" ca="1" si="51"/>
        <v/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2023.01.21</v>
      </c>
      <c r="C156" s="118" t="str">
        <f t="shared" ca="1" si="39"/>
        <v/>
      </c>
      <c r="D156" s="122" t="str">
        <f t="shared" ca="1" si="40"/>
        <v/>
      </c>
      <c r="E156" s="70" t="str">
        <f t="shared" ca="1" si="41"/>
        <v/>
      </c>
      <c r="F156" s="120" t="str">
        <f t="shared" ca="1" si="42"/>
        <v/>
      </c>
      <c r="G156" s="122" t="str">
        <f t="shared" ca="1" si="43"/>
        <v/>
      </c>
      <c r="H156" s="70" t="str">
        <f t="shared" ca="1" si="44"/>
        <v/>
      </c>
      <c r="I156" s="120" t="str">
        <f t="shared" ca="1" si="45"/>
        <v/>
      </c>
      <c r="J156" s="122" t="str">
        <f t="shared" ca="1" si="46"/>
        <v/>
      </c>
      <c r="K156" s="70" t="str">
        <f t="shared" ca="1" si="47"/>
        <v/>
      </c>
      <c r="L156" s="120" t="str">
        <f t="shared" ca="1" si="48"/>
        <v/>
      </c>
      <c r="M156" s="122" t="str">
        <f t="shared" ca="1" si="49"/>
        <v/>
      </c>
      <c r="N156" s="70" t="str">
        <f t="shared" ca="1" si="50"/>
        <v/>
      </c>
      <c r="O156" s="120" t="str">
        <f t="shared" ca="1" si="51"/>
        <v/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2023.01.22</v>
      </c>
      <c r="C157" s="117" t="str">
        <f t="shared" ca="1" si="39"/>
        <v/>
      </c>
      <c r="D157" s="125" t="str">
        <f t="shared" ca="1" si="40"/>
        <v/>
      </c>
      <c r="E157" s="69" t="str">
        <f t="shared" ca="1" si="41"/>
        <v/>
      </c>
      <c r="F157" s="124" t="str">
        <f t="shared" ca="1" si="42"/>
        <v/>
      </c>
      <c r="G157" s="125" t="str">
        <f t="shared" ca="1" si="43"/>
        <v/>
      </c>
      <c r="H157" s="69" t="str">
        <f t="shared" ca="1" si="44"/>
        <v/>
      </c>
      <c r="I157" s="124" t="str">
        <f t="shared" ca="1" si="45"/>
        <v/>
      </c>
      <c r="J157" s="125" t="str">
        <f t="shared" ca="1" si="46"/>
        <v/>
      </c>
      <c r="K157" s="69" t="str">
        <f t="shared" ca="1" si="47"/>
        <v/>
      </c>
      <c r="L157" s="124" t="str">
        <f t="shared" ca="1" si="48"/>
        <v/>
      </c>
      <c r="M157" s="125" t="str">
        <f t="shared" ca="1" si="49"/>
        <v/>
      </c>
      <c r="N157" s="69" t="str">
        <f t="shared" ca="1" si="50"/>
        <v/>
      </c>
      <c r="O157" s="124" t="str">
        <f t="shared" ca="1" si="51"/>
        <v/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2023.01.23</v>
      </c>
      <c r="C158" s="118" t="str">
        <f t="shared" ca="1" si="39"/>
        <v/>
      </c>
      <c r="D158" s="122" t="str">
        <f t="shared" ca="1" si="40"/>
        <v/>
      </c>
      <c r="E158" s="70" t="str">
        <f t="shared" ca="1" si="41"/>
        <v/>
      </c>
      <c r="F158" s="120" t="str">
        <f t="shared" ca="1" si="42"/>
        <v/>
      </c>
      <c r="G158" s="122" t="str">
        <f t="shared" ca="1" si="43"/>
        <v/>
      </c>
      <c r="H158" s="70" t="str">
        <f t="shared" ca="1" si="44"/>
        <v/>
      </c>
      <c r="I158" s="120" t="str">
        <f t="shared" ca="1" si="45"/>
        <v/>
      </c>
      <c r="J158" s="122" t="str">
        <f t="shared" ca="1" si="46"/>
        <v/>
      </c>
      <c r="K158" s="70" t="str">
        <f t="shared" ca="1" si="47"/>
        <v/>
      </c>
      <c r="L158" s="120" t="str">
        <f t="shared" ca="1" si="48"/>
        <v/>
      </c>
      <c r="M158" s="122" t="str">
        <f t="shared" ca="1" si="49"/>
        <v/>
      </c>
      <c r="N158" s="70" t="str">
        <f t="shared" ca="1" si="50"/>
        <v/>
      </c>
      <c r="O158" s="120" t="str">
        <f t="shared" ca="1" si="51"/>
        <v/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2023.01.24</v>
      </c>
      <c r="C159" s="118" t="str">
        <f t="shared" ca="1" si="39"/>
        <v/>
      </c>
      <c r="D159" s="122" t="str">
        <f t="shared" ca="1" si="40"/>
        <v/>
      </c>
      <c r="E159" s="70" t="str">
        <f t="shared" ca="1" si="41"/>
        <v/>
      </c>
      <c r="F159" s="120" t="str">
        <f t="shared" ca="1" si="42"/>
        <v/>
      </c>
      <c r="G159" s="122" t="str">
        <f t="shared" ca="1" si="43"/>
        <v/>
      </c>
      <c r="H159" s="70" t="str">
        <f t="shared" ca="1" si="44"/>
        <v/>
      </c>
      <c r="I159" s="120" t="str">
        <f t="shared" ca="1" si="45"/>
        <v/>
      </c>
      <c r="J159" s="122" t="str">
        <f t="shared" ca="1" si="46"/>
        <v/>
      </c>
      <c r="K159" s="70" t="str">
        <f t="shared" ca="1" si="47"/>
        <v/>
      </c>
      <c r="L159" s="120" t="str">
        <f t="shared" ca="1" si="48"/>
        <v/>
      </c>
      <c r="M159" s="122" t="str">
        <f t="shared" ca="1" si="49"/>
        <v/>
      </c>
      <c r="N159" s="70" t="str">
        <f t="shared" ca="1" si="50"/>
        <v/>
      </c>
      <c r="O159" s="120" t="str">
        <f t="shared" ca="1" si="51"/>
        <v/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2023.01.25</v>
      </c>
      <c r="C160" s="118" t="str">
        <f t="shared" ca="1" si="39"/>
        <v/>
      </c>
      <c r="D160" s="122" t="str">
        <f t="shared" ca="1" si="40"/>
        <v/>
      </c>
      <c r="E160" s="70" t="str">
        <f t="shared" ca="1" si="41"/>
        <v/>
      </c>
      <c r="F160" s="120" t="str">
        <f t="shared" ca="1" si="42"/>
        <v/>
      </c>
      <c r="G160" s="122" t="str">
        <f t="shared" ca="1" si="43"/>
        <v/>
      </c>
      <c r="H160" s="70" t="str">
        <f t="shared" ca="1" si="44"/>
        <v/>
      </c>
      <c r="I160" s="120" t="str">
        <f t="shared" ca="1" si="45"/>
        <v/>
      </c>
      <c r="J160" s="122" t="str">
        <f t="shared" ca="1" si="46"/>
        <v/>
      </c>
      <c r="K160" s="70" t="str">
        <f t="shared" ca="1" si="47"/>
        <v/>
      </c>
      <c r="L160" s="120" t="str">
        <f t="shared" ca="1" si="48"/>
        <v/>
      </c>
      <c r="M160" s="122" t="str">
        <f t="shared" ca="1" si="49"/>
        <v/>
      </c>
      <c r="N160" s="70" t="str">
        <f t="shared" ca="1" si="50"/>
        <v/>
      </c>
      <c r="O160" s="120" t="str">
        <f t="shared" ca="1" si="51"/>
        <v/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2023.01.26</v>
      </c>
      <c r="C161" s="118" t="str">
        <f t="shared" ca="1" si="39"/>
        <v/>
      </c>
      <c r="D161" s="122" t="str">
        <f t="shared" ca="1" si="40"/>
        <v/>
      </c>
      <c r="E161" s="70" t="str">
        <f t="shared" ca="1" si="41"/>
        <v/>
      </c>
      <c r="F161" s="120" t="str">
        <f t="shared" ca="1" si="42"/>
        <v/>
      </c>
      <c r="G161" s="122" t="str">
        <f t="shared" ca="1" si="43"/>
        <v/>
      </c>
      <c r="H161" s="70" t="str">
        <f t="shared" ca="1" si="44"/>
        <v/>
      </c>
      <c r="I161" s="120" t="str">
        <f t="shared" ca="1" si="45"/>
        <v/>
      </c>
      <c r="J161" s="122" t="str">
        <f t="shared" ca="1" si="46"/>
        <v/>
      </c>
      <c r="K161" s="70" t="str">
        <f t="shared" ca="1" si="47"/>
        <v/>
      </c>
      <c r="L161" s="120" t="str">
        <f t="shared" ca="1" si="48"/>
        <v/>
      </c>
      <c r="M161" s="122" t="str">
        <f t="shared" ca="1" si="49"/>
        <v/>
      </c>
      <c r="N161" s="70" t="str">
        <f t="shared" ca="1" si="50"/>
        <v/>
      </c>
      <c r="O161" s="120" t="str">
        <f t="shared" ca="1" si="51"/>
        <v/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2023.01.27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2023.01.28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2023.01.29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2023.01.30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2023.01.31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44" t="s">
        <v>270</v>
      </c>
      <c r="B167" s="146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50"/>
      <c r="B168" s="152"/>
      <c r="C168" s="119">
        <f ca="1">SUM(C136:C166)</f>
        <v>3000000</v>
      </c>
      <c r="D168" s="123">
        <f ca="1">SUM(D136:D166)</f>
        <v>3003535.7283659815</v>
      </c>
      <c r="E168" s="72">
        <f ca="1">IFERROR(F168 / (SUM($C136:$C166) / COUNT($C136:$C166)), 0)</f>
        <v>1.1785761219938245E-3</v>
      </c>
      <c r="F168" s="121">
        <f ca="1">SUM(F136:F166)</f>
        <v>3535.7283659814739</v>
      </c>
      <c r="G168" s="123">
        <f ca="1">SUM(G136:G166)</f>
        <v>3000000</v>
      </c>
      <c r="H168" s="72">
        <f ca="1">IFERROR(I168 / (SUM($C136:$C166) / COUNT($C136:$C166)), 0)</f>
        <v>0</v>
      </c>
      <c r="I168" s="121">
        <f ca="1">SUM(I136:I166)</f>
        <v>0</v>
      </c>
      <c r="J168" s="123">
        <f ca="1">SUM(J136:J166)</f>
        <v>3000000</v>
      </c>
      <c r="K168" s="72">
        <f ca="1">IFERROR(L168 / (SUM($C136:$C166) / COUNT($C136:$C166)), 0)</f>
        <v>0</v>
      </c>
      <c r="L168" s="121">
        <f ca="1">SUM(L136:L166)</f>
        <v>0</v>
      </c>
      <c r="M168" s="123">
        <f ca="1">SUM(M136:M166)</f>
        <v>3000000</v>
      </c>
      <c r="N168" s="72">
        <f ca="1">IFERROR(O168 / (SUM($C136:$C166) / COUNT($C136:$C166)), 0)</f>
        <v>0</v>
      </c>
      <c r="O168" s="121">
        <f ca="1">SUM(O136:O166)</f>
        <v>0</v>
      </c>
    </row>
    <row r="170" spans="1:15" ht="16.5" customHeight="1" thickBot="1"/>
    <row r="171" spans="1:15" ht="16.5" customHeight="1" thickBot="1">
      <c r="A171" s="135" t="str">
        <f>TEXT(투자전략!$G$1, "[$-ko-KR]yyyy년 mm월 ") &amp; "[엽전코인] 전일대비 상승률 Bottom20 월말결산"</f>
        <v>2023년 01월 [엽전코인] 전일대비 상승률 Bottom20 월말결산</v>
      </c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7"/>
    </row>
    <row r="172" spans="1:15" ht="16.5" customHeight="1" thickBot="1">
      <c r="A172" s="196" t="s">
        <v>271</v>
      </c>
      <c r="B172" s="150" t="s">
        <v>269</v>
      </c>
      <c r="C172" s="152"/>
      <c r="D172" s="150" t="s">
        <v>261</v>
      </c>
      <c r="E172" s="151"/>
      <c r="F172" s="152"/>
      <c r="G172" s="150" t="s">
        <v>262</v>
      </c>
      <c r="H172" s="151"/>
      <c r="I172" s="152"/>
      <c r="J172" s="150" t="s">
        <v>263</v>
      </c>
      <c r="K172" s="151"/>
      <c r="L172" s="152"/>
      <c r="M172" s="150" t="s">
        <v>264</v>
      </c>
      <c r="N172" s="151"/>
      <c r="O172" s="152"/>
    </row>
    <row r="173" spans="1:15" ht="16.5" customHeight="1" thickBot="1">
      <c r="A173" s="200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2023.01.01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3008843.3550232379</v>
      </c>
      <c r="E174" s="69">
        <f ca="1">IFERROR(INDIRECT($B174&amp;"!E145"), "")</f>
        <v>2.9477850077459481E-3</v>
      </c>
      <c r="F174" s="124">
        <f ca="1">IFERROR(INDIRECT($B174&amp;"!F145"), "")</f>
        <v>8843.3550232378439</v>
      </c>
      <c r="G174" s="125">
        <f ca="1">IFERROR($C174 * (1 + H174), "")</f>
        <v>3000000</v>
      </c>
      <c r="H174" s="69">
        <f ca="1">IFERROR(INDIRECT($B174&amp;"!H145"), "")</f>
        <v>0</v>
      </c>
      <c r="I174" s="124">
        <f ca="1">IFERROR(INDIRECT($B174&amp;"!I145"), "")</f>
        <v>0</v>
      </c>
      <c r="J174" s="125">
        <f ca="1">IFERROR($C174 * (1 + K174), "")</f>
        <v>3000000</v>
      </c>
      <c r="K174" s="69">
        <f ca="1">IFERROR(INDIRECT($B174&amp;"!K145"), "")</f>
        <v>0</v>
      </c>
      <c r="L174" s="124">
        <f ca="1">IFERROR(INDIRECT($B174&amp;"!L145"), "")</f>
        <v>0</v>
      </c>
      <c r="M174" s="125">
        <f ca="1">IFERROR($C174 * (1 + N174), "")</f>
        <v>3000000</v>
      </c>
      <c r="N174" s="69">
        <f ca="1">IFERROR(INDIRECT($B174&amp;"!N145"), "")</f>
        <v>0</v>
      </c>
      <c r="O174" s="124">
        <f ca="1">IFERROR(INDIRECT($B174&amp;"!O145"), "")</f>
        <v>0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2023.01.02</v>
      </c>
      <c r="C175" s="118" t="str">
        <f t="shared" ref="C175:C204" ca="1" si="52">IFERROR(COUNTA(INDIRECT($B175&amp;"!A125:A144")) * INDIRECT($B175&amp;"!B145"), "")</f>
        <v/>
      </c>
      <c r="D175" s="122" t="str">
        <f t="shared" ref="D175:D204" ca="1" si="53">IFERROR($C175 * (1 + E175), "")</f>
        <v/>
      </c>
      <c r="E175" s="70" t="str">
        <f t="shared" ref="E175:E204" ca="1" si="54">IFERROR(INDIRECT($B175&amp;"!E145"), "")</f>
        <v/>
      </c>
      <c r="F175" s="120" t="str">
        <f t="shared" ref="F175:F204" ca="1" si="55">IFERROR(INDIRECT($B175&amp;"!F145"), "")</f>
        <v/>
      </c>
      <c r="G175" s="122" t="str">
        <f t="shared" ref="G175:G204" ca="1" si="56">IFERROR($C175 * (1 + H175), "")</f>
        <v/>
      </c>
      <c r="H175" s="70" t="str">
        <f t="shared" ref="H175:H204" ca="1" si="57">IFERROR(INDIRECT($B175&amp;"!H145"), "")</f>
        <v/>
      </c>
      <c r="I175" s="120" t="str">
        <f t="shared" ref="I175:I204" ca="1" si="58">IFERROR(INDIRECT($B175&amp;"!I145"), "")</f>
        <v/>
      </c>
      <c r="J175" s="122" t="str">
        <f t="shared" ref="J175:J204" ca="1" si="59">IFERROR($C175 * (1 + K175), "")</f>
        <v/>
      </c>
      <c r="K175" s="70" t="str">
        <f t="shared" ref="K175:K204" ca="1" si="60">IFERROR(INDIRECT($B175&amp;"!K145"), "")</f>
        <v/>
      </c>
      <c r="L175" s="120" t="str">
        <f t="shared" ref="L175:L204" ca="1" si="61">IFERROR(INDIRECT($B175&amp;"!L145"), "")</f>
        <v/>
      </c>
      <c r="M175" s="122" t="str">
        <f t="shared" ref="M175:M204" ca="1" si="62">IFERROR($C175 * (1 + N175), "")</f>
        <v/>
      </c>
      <c r="N175" s="70" t="str">
        <f t="shared" ref="N175:N204" ca="1" si="63">IFERROR(INDIRECT($B175&amp;"!N145"), "")</f>
        <v/>
      </c>
      <c r="O175" s="120" t="str">
        <f t="shared" ref="O175:O204" ca="1" si="64">IFERROR(INDIRECT($B175&amp;"!O145"), "")</f>
        <v/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2023.01.03</v>
      </c>
      <c r="C176" s="118" t="str">
        <f t="shared" ca="1" si="52"/>
        <v/>
      </c>
      <c r="D176" s="122" t="str">
        <f t="shared" ca="1" si="53"/>
        <v/>
      </c>
      <c r="E176" s="70" t="str">
        <f t="shared" ca="1" si="54"/>
        <v/>
      </c>
      <c r="F176" s="120" t="str">
        <f t="shared" ca="1" si="55"/>
        <v/>
      </c>
      <c r="G176" s="122" t="str">
        <f t="shared" ca="1" si="56"/>
        <v/>
      </c>
      <c r="H176" s="70" t="str">
        <f t="shared" ca="1" si="57"/>
        <v/>
      </c>
      <c r="I176" s="120" t="str">
        <f t="shared" ca="1" si="58"/>
        <v/>
      </c>
      <c r="J176" s="122" t="str">
        <f t="shared" ca="1" si="59"/>
        <v/>
      </c>
      <c r="K176" s="70" t="str">
        <f t="shared" ca="1" si="60"/>
        <v/>
      </c>
      <c r="L176" s="120" t="str">
        <f t="shared" ca="1" si="61"/>
        <v/>
      </c>
      <c r="M176" s="122" t="str">
        <f t="shared" ca="1" si="62"/>
        <v/>
      </c>
      <c r="N176" s="70" t="str">
        <f t="shared" ca="1" si="63"/>
        <v/>
      </c>
      <c r="O176" s="120" t="str">
        <f t="shared" ca="1" si="64"/>
        <v/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2023.01.04</v>
      </c>
      <c r="C177" s="118" t="str">
        <f t="shared" ca="1" si="52"/>
        <v/>
      </c>
      <c r="D177" s="122" t="str">
        <f t="shared" ca="1" si="53"/>
        <v/>
      </c>
      <c r="E177" s="70" t="str">
        <f t="shared" ca="1" si="54"/>
        <v/>
      </c>
      <c r="F177" s="120" t="str">
        <f t="shared" ca="1" si="55"/>
        <v/>
      </c>
      <c r="G177" s="122" t="str">
        <f t="shared" ca="1" si="56"/>
        <v/>
      </c>
      <c r="H177" s="70" t="str">
        <f t="shared" ca="1" si="57"/>
        <v/>
      </c>
      <c r="I177" s="120" t="str">
        <f t="shared" ca="1" si="58"/>
        <v/>
      </c>
      <c r="J177" s="122" t="str">
        <f t="shared" ca="1" si="59"/>
        <v/>
      </c>
      <c r="K177" s="70" t="str">
        <f t="shared" ca="1" si="60"/>
        <v/>
      </c>
      <c r="L177" s="120" t="str">
        <f t="shared" ca="1" si="61"/>
        <v/>
      </c>
      <c r="M177" s="122" t="str">
        <f t="shared" ca="1" si="62"/>
        <v/>
      </c>
      <c r="N177" s="70" t="str">
        <f t="shared" ca="1" si="63"/>
        <v/>
      </c>
      <c r="O177" s="120" t="str">
        <f t="shared" ca="1" si="64"/>
        <v/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2023.01.05</v>
      </c>
      <c r="C178" s="118" t="str">
        <f t="shared" ca="1" si="52"/>
        <v/>
      </c>
      <c r="D178" s="122" t="str">
        <f t="shared" ca="1" si="53"/>
        <v/>
      </c>
      <c r="E178" s="70" t="str">
        <f t="shared" ca="1" si="54"/>
        <v/>
      </c>
      <c r="F178" s="120" t="str">
        <f t="shared" ca="1" si="55"/>
        <v/>
      </c>
      <c r="G178" s="122" t="str">
        <f t="shared" ca="1" si="56"/>
        <v/>
      </c>
      <c r="H178" s="70" t="str">
        <f t="shared" ca="1" si="57"/>
        <v/>
      </c>
      <c r="I178" s="120" t="str">
        <f t="shared" ca="1" si="58"/>
        <v/>
      </c>
      <c r="J178" s="122" t="str">
        <f t="shared" ca="1" si="59"/>
        <v/>
      </c>
      <c r="K178" s="70" t="str">
        <f t="shared" ca="1" si="60"/>
        <v/>
      </c>
      <c r="L178" s="120" t="str">
        <f t="shared" ca="1" si="61"/>
        <v/>
      </c>
      <c r="M178" s="122" t="str">
        <f t="shared" ca="1" si="62"/>
        <v/>
      </c>
      <c r="N178" s="70" t="str">
        <f t="shared" ca="1" si="63"/>
        <v/>
      </c>
      <c r="O178" s="120" t="str">
        <f t="shared" ca="1" si="64"/>
        <v/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2023.01.06</v>
      </c>
      <c r="C179" s="118" t="str">
        <f t="shared" ca="1" si="52"/>
        <v/>
      </c>
      <c r="D179" s="122" t="str">
        <f t="shared" ca="1" si="53"/>
        <v/>
      </c>
      <c r="E179" s="70" t="str">
        <f t="shared" ca="1" si="54"/>
        <v/>
      </c>
      <c r="F179" s="120" t="str">
        <f t="shared" ca="1" si="55"/>
        <v/>
      </c>
      <c r="G179" s="122" t="str">
        <f t="shared" ca="1" si="56"/>
        <v/>
      </c>
      <c r="H179" s="70" t="str">
        <f t="shared" ca="1" si="57"/>
        <v/>
      </c>
      <c r="I179" s="120" t="str">
        <f t="shared" ca="1" si="58"/>
        <v/>
      </c>
      <c r="J179" s="122" t="str">
        <f t="shared" ca="1" si="59"/>
        <v/>
      </c>
      <c r="K179" s="70" t="str">
        <f t="shared" ca="1" si="60"/>
        <v/>
      </c>
      <c r="L179" s="120" t="str">
        <f t="shared" ca="1" si="61"/>
        <v/>
      </c>
      <c r="M179" s="122" t="str">
        <f t="shared" ca="1" si="62"/>
        <v/>
      </c>
      <c r="N179" s="70" t="str">
        <f t="shared" ca="1" si="63"/>
        <v/>
      </c>
      <c r="O179" s="120" t="str">
        <f t="shared" ca="1" si="64"/>
        <v/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2023.01.07</v>
      </c>
      <c r="C180" s="118" t="str">
        <f t="shared" ca="1" si="52"/>
        <v/>
      </c>
      <c r="D180" s="122" t="str">
        <f t="shared" ca="1" si="53"/>
        <v/>
      </c>
      <c r="E180" s="70" t="str">
        <f t="shared" ca="1" si="54"/>
        <v/>
      </c>
      <c r="F180" s="120" t="str">
        <f t="shared" ca="1" si="55"/>
        <v/>
      </c>
      <c r="G180" s="122" t="str">
        <f t="shared" ca="1" si="56"/>
        <v/>
      </c>
      <c r="H180" s="70" t="str">
        <f t="shared" ca="1" si="57"/>
        <v/>
      </c>
      <c r="I180" s="120" t="str">
        <f t="shared" ca="1" si="58"/>
        <v/>
      </c>
      <c r="J180" s="122" t="str">
        <f t="shared" ca="1" si="59"/>
        <v/>
      </c>
      <c r="K180" s="70" t="str">
        <f t="shared" ca="1" si="60"/>
        <v/>
      </c>
      <c r="L180" s="120" t="str">
        <f t="shared" ca="1" si="61"/>
        <v/>
      </c>
      <c r="M180" s="122" t="str">
        <f t="shared" ca="1" si="62"/>
        <v/>
      </c>
      <c r="N180" s="70" t="str">
        <f t="shared" ca="1" si="63"/>
        <v/>
      </c>
      <c r="O180" s="120" t="str">
        <f t="shared" ca="1" si="64"/>
        <v/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2023.01.08</v>
      </c>
      <c r="C181" s="117" t="str">
        <f t="shared" ca="1" si="52"/>
        <v/>
      </c>
      <c r="D181" s="125" t="str">
        <f t="shared" ca="1" si="53"/>
        <v/>
      </c>
      <c r="E181" s="69" t="str">
        <f t="shared" ca="1" si="54"/>
        <v/>
      </c>
      <c r="F181" s="124" t="str">
        <f t="shared" ca="1" si="55"/>
        <v/>
      </c>
      <c r="G181" s="125" t="str">
        <f t="shared" ca="1" si="56"/>
        <v/>
      </c>
      <c r="H181" s="69" t="str">
        <f t="shared" ca="1" si="57"/>
        <v/>
      </c>
      <c r="I181" s="124" t="str">
        <f t="shared" ca="1" si="58"/>
        <v/>
      </c>
      <c r="J181" s="125" t="str">
        <f t="shared" ca="1" si="59"/>
        <v/>
      </c>
      <c r="K181" s="69" t="str">
        <f t="shared" ca="1" si="60"/>
        <v/>
      </c>
      <c r="L181" s="124" t="str">
        <f t="shared" ca="1" si="61"/>
        <v/>
      </c>
      <c r="M181" s="125" t="str">
        <f t="shared" ca="1" si="62"/>
        <v/>
      </c>
      <c r="N181" s="69" t="str">
        <f t="shared" ca="1" si="63"/>
        <v/>
      </c>
      <c r="O181" s="124" t="str">
        <f t="shared" ca="1" si="64"/>
        <v/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2023.01.09</v>
      </c>
      <c r="C182" s="118" t="str">
        <f t="shared" ca="1" si="52"/>
        <v/>
      </c>
      <c r="D182" s="122" t="str">
        <f t="shared" ca="1" si="53"/>
        <v/>
      </c>
      <c r="E182" s="70" t="str">
        <f t="shared" ca="1" si="54"/>
        <v/>
      </c>
      <c r="F182" s="120" t="str">
        <f t="shared" ca="1" si="55"/>
        <v/>
      </c>
      <c r="G182" s="122" t="str">
        <f t="shared" ca="1" si="56"/>
        <v/>
      </c>
      <c r="H182" s="70" t="str">
        <f t="shared" ca="1" si="57"/>
        <v/>
      </c>
      <c r="I182" s="120" t="str">
        <f t="shared" ca="1" si="58"/>
        <v/>
      </c>
      <c r="J182" s="122" t="str">
        <f t="shared" ca="1" si="59"/>
        <v/>
      </c>
      <c r="K182" s="70" t="str">
        <f t="shared" ca="1" si="60"/>
        <v/>
      </c>
      <c r="L182" s="120" t="str">
        <f t="shared" ca="1" si="61"/>
        <v/>
      </c>
      <c r="M182" s="122" t="str">
        <f t="shared" ca="1" si="62"/>
        <v/>
      </c>
      <c r="N182" s="70" t="str">
        <f t="shared" ca="1" si="63"/>
        <v/>
      </c>
      <c r="O182" s="120" t="str">
        <f t="shared" ca="1" si="64"/>
        <v/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2023.01.10</v>
      </c>
      <c r="C183" s="118" t="str">
        <f t="shared" ca="1" si="52"/>
        <v/>
      </c>
      <c r="D183" s="122" t="str">
        <f t="shared" ca="1" si="53"/>
        <v/>
      </c>
      <c r="E183" s="70" t="str">
        <f t="shared" ca="1" si="54"/>
        <v/>
      </c>
      <c r="F183" s="120" t="str">
        <f t="shared" ca="1" si="55"/>
        <v/>
      </c>
      <c r="G183" s="122" t="str">
        <f t="shared" ca="1" si="56"/>
        <v/>
      </c>
      <c r="H183" s="70" t="str">
        <f t="shared" ca="1" si="57"/>
        <v/>
      </c>
      <c r="I183" s="120" t="str">
        <f t="shared" ca="1" si="58"/>
        <v/>
      </c>
      <c r="J183" s="122" t="str">
        <f t="shared" ca="1" si="59"/>
        <v/>
      </c>
      <c r="K183" s="70" t="str">
        <f t="shared" ca="1" si="60"/>
        <v/>
      </c>
      <c r="L183" s="120" t="str">
        <f t="shared" ca="1" si="61"/>
        <v/>
      </c>
      <c r="M183" s="122" t="str">
        <f t="shared" ca="1" si="62"/>
        <v/>
      </c>
      <c r="N183" s="70" t="str">
        <f t="shared" ca="1" si="63"/>
        <v/>
      </c>
      <c r="O183" s="120" t="str">
        <f t="shared" ca="1" si="64"/>
        <v/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2023.01.11</v>
      </c>
      <c r="C184" s="118" t="str">
        <f t="shared" ca="1" si="52"/>
        <v/>
      </c>
      <c r="D184" s="122" t="str">
        <f t="shared" ca="1" si="53"/>
        <v/>
      </c>
      <c r="E184" s="70" t="str">
        <f t="shared" ca="1" si="54"/>
        <v/>
      </c>
      <c r="F184" s="120" t="str">
        <f t="shared" ca="1" si="55"/>
        <v/>
      </c>
      <c r="G184" s="122" t="str">
        <f t="shared" ca="1" si="56"/>
        <v/>
      </c>
      <c r="H184" s="70" t="str">
        <f t="shared" ca="1" si="57"/>
        <v/>
      </c>
      <c r="I184" s="120" t="str">
        <f t="shared" ca="1" si="58"/>
        <v/>
      </c>
      <c r="J184" s="122" t="str">
        <f t="shared" ca="1" si="59"/>
        <v/>
      </c>
      <c r="K184" s="70" t="str">
        <f t="shared" ca="1" si="60"/>
        <v/>
      </c>
      <c r="L184" s="120" t="str">
        <f t="shared" ca="1" si="61"/>
        <v/>
      </c>
      <c r="M184" s="122" t="str">
        <f t="shared" ca="1" si="62"/>
        <v/>
      </c>
      <c r="N184" s="70" t="str">
        <f t="shared" ca="1" si="63"/>
        <v/>
      </c>
      <c r="O184" s="120" t="str">
        <f t="shared" ca="1" si="64"/>
        <v/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2023.01.12</v>
      </c>
      <c r="C185" s="118" t="str">
        <f t="shared" ca="1" si="52"/>
        <v/>
      </c>
      <c r="D185" s="122" t="str">
        <f t="shared" ca="1" si="53"/>
        <v/>
      </c>
      <c r="E185" s="70" t="str">
        <f t="shared" ca="1" si="54"/>
        <v/>
      </c>
      <c r="F185" s="120" t="str">
        <f t="shared" ca="1" si="55"/>
        <v/>
      </c>
      <c r="G185" s="122" t="str">
        <f t="shared" ca="1" si="56"/>
        <v/>
      </c>
      <c r="H185" s="70" t="str">
        <f t="shared" ca="1" si="57"/>
        <v/>
      </c>
      <c r="I185" s="120" t="str">
        <f t="shared" ca="1" si="58"/>
        <v/>
      </c>
      <c r="J185" s="122" t="str">
        <f t="shared" ca="1" si="59"/>
        <v/>
      </c>
      <c r="K185" s="70" t="str">
        <f t="shared" ca="1" si="60"/>
        <v/>
      </c>
      <c r="L185" s="120" t="str">
        <f t="shared" ca="1" si="61"/>
        <v/>
      </c>
      <c r="M185" s="122" t="str">
        <f t="shared" ca="1" si="62"/>
        <v/>
      </c>
      <c r="N185" s="70" t="str">
        <f t="shared" ca="1" si="63"/>
        <v/>
      </c>
      <c r="O185" s="120" t="str">
        <f t="shared" ca="1" si="64"/>
        <v/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2023.01.13</v>
      </c>
      <c r="C186" s="118" t="str">
        <f t="shared" ca="1" si="52"/>
        <v/>
      </c>
      <c r="D186" s="122" t="str">
        <f t="shared" ca="1" si="53"/>
        <v/>
      </c>
      <c r="E186" s="70" t="str">
        <f t="shared" ca="1" si="54"/>
        <v/>
      </c>
      <c r="F186" s="120" t="str">
        <f t="shared" ca="1" si="55"/>
        <v/>
      </c>
      <c r="G186" s="122" t="str">
        <f t="shared" ca="1" si="56"/>
        <v/>
      </c>
      <c r="H186" s="70" t="str">
        <f t="shared" ca="1" si="57"/>
        <v/>
      </c>
      <c r="I186" s="120" t="str">
        <f t="shared" ca="1" si="58"/>
        <v/>
      </c>
      <c r="J186" s="122" t="str">
        <f t="shared" ca="1" si="59"/>
        <v/>
      </c>
      <c r="K186" s="70" t="str">
        <f t="shared" ca="1" si="60"/>
        <v/>
      </c>
      <c r="L186" s="120" t="str">
        <f t="shared" ca="1" si="61"/>
        <v/>
      </c>
      <c r="M186" s="122" t="str">
        <f t="shared" ca="1" si="62"/>
        <v/>
      </c>
      <c r="N186" s="70" t="str">
        <f t="shared" ca="1" si="63"/>
        <v/>
      </c>
      <c r="O186" s="120" t="str">
        <f t="shared" ca="1" si="64"/>
        <v/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2023.01.14</v>
      </c>
      <c r="C187" s="119" t="str">
        <f t="shared" ca="1" si="52"/>
        <v/>
      </c>
      <c r="D187" s="123" t="str">
        <f t="shared" ca="1" si="53"/>
        <v/>
      </c>
      <c r="E187" s="72" t="str">
        <f t="shared" ca="1" si="54"/>
        <v/>
      </c>
      <c r="F187" s="121" t="str">
        <f t="shared" ca="1" si="55"/>
        <v/>
      </c>
      <c r="G187" s="123" t="str">
        <f t="shared" ca="1" si="56"/>
        <v/>
      </c>
      <c r="H187" s="72" t="str">
        <f t="shared" ca="1" si="57"/>
        <v/>
      </c>
      <c r="I187" s="121" t="str">
        <f t="shared" ca="1" si="58"/>
        <v/>
      </c>
      <c r="J187" s="123" t="str">
        <f t="shared" ca="1" si="59"/>
        <v/>
      </c>
      <c r="K187" s="72" t="str">
        <f t="shared" ca="1" si="60"/>
        <v/>
      </c>
      <c r="L187" s="121" t="str">
        <f t="shared" ca="1" si="61"/>
        <v/>
      </c>
      <c r="M187" s="123" t="str">
        <f t="shared" ca="1" si="62"/>
        <v/>
      </c>
      <c r="N187" s="72" t="str">
        <f t="shared" ca="1" si="63"/>
        <v/>
      </c>
      <c r="O187" s="121" t="str">
        <f t="shared" ca="1" si="64"/>
        <v/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2023.01.15</v>
      </c>
      <c r="C188" s="118" t="str">
        <f t="shared" ca="1" si="52"/>
        <v/>
      </c>
      <c r="D188" s="122" t="str">
        <f t="shared" ca="1" si="53"/>
        <v/>
      </c>
      <c r="E188" s="70" t="str">
        <f t="shared" ca="1" si="54"/>
        <v/>
      </c>
      <c r="F188" s="120" t="str">
        <f t="shared" ca="1" si="55"/>
        <v/>
      </c>
      <c r="G188" s="122" t="str">
        <f t="shared" ca="1" si="56"/>
        <v/>
      </c>
      <c r="H188" s="70" t="str">
        <f t="shared" ca="1" si="57"/>
        <v/>
      </c>
      <c r="I188" s="120" t="str">
        <f t="shared" ca="1" si="58"/>
        <v/>
      </c>
      <c r="J188" s="122" t="str">
        <f t="shared" ca="1" si="59"/>
        <v/>
      </c>
      <c r="K188" s="70" t="str">
        <f t="shared" ca="1" si="60"/>
        <v/>
      </c>
      <c r="L188" s="120" t="str">
        <f t="shared" ca="1" si="61"/>
        <v/>
      </c>
      <c r="M188" s="122" t="str">
        <f t="shared" ca="1" si="62"/>
        <v/>
      </c>
      <c r="N188" s="70" t="str">
        <f t="shared" ca="1" si="63"/>
        <v/>
      </c>
      <c r="O188" s="120" t="str">
        <f t="shared" ca="1" si="64"/>
        <v/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2023.01.16</v>
      </c>
      <c r="C189" s="118" t="str">
        <f t="shared" ca="1" si="52"/>
        <v/>
      </c>
      <c r="D189" s="122" t="str">
        <f t="shared" ca="1" si="53"/>
        <v/>
      </c>
      <c r="E189" s="70" t="str">
        <f t="shared" ca="1" si="54"/>
        <v/>
      </c>
      <c r="F189" s="120" t="str">
        <f t="shared" ca="1" si="55"/>
        <v/>
      </c>
      <c r="G189" s="122" t="str">
        <f t="shared" ca="1" si="56"/>
        <v/>
      </c>
      <c r="H189" s="70" t="str">
        <f t="shared" ca="1" si="57"/>
        <v/>
      </c>
      <c r="I189" s="120" t="str">
        <f t="shared" ca="1" si="58"/>
        <v/>
      </c>
      <c r="J189" s="122" t="str">
        <f t="shared" ca="1" si="59"/>
        <v/>
      </c>
      <c r="K189" s="70" t="str">
        <f t="shared" ca="1" si="60"/>
        <v/>
      </c>
      <c r="L189" s="120" t="str">
        <f t="shared" ca="1" si="61"/>
        <v/>
      </c>
      <c r="M189" s="122" t="str">
        <f t="shared" ca="1" si="62"/>
        <v/>
      </c>
      <c r="N189" s="70" t="str">
        <f t="shared" ca="1" si="63"/>
        <v/>
      </c>
      <c r="O189" s="120" t="str">
        <f t="shared" ca="1" si="64"/>
        <v/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2023.01.17</v>
      </c>
      <c r="C190" s="118" t="str">
        <f t="shared" ca="1" si="52"/>
        <v/>
      </c>
      <c r="D190" s="122" t="str">
        <f t="shared" ca="1" si="53"/>
        <v/>
      </c>
      <c r="E190" s="70" t="str">
        <f t="shared" ca="1" si="54"/>
        <v/>
      </c>
      <c r="F190" s="120" t="str">
        <f t="shared" ca="1" si="55"/>
        <v/>
      </c>
      <c r="G190" s="122" t="str">
        <f t="shared" ca="1" si="56"/>
        <v/>
      </c>
      <c r="H190" s="70" t="str">
        <f t="shared" ca="1" si="57"/>
        <v/>
      </c>
      <c r="I190" s="120" t="str">
        <f t="shared" ca="1" si="58"/>
        <v/>
      </c>
      <c r="J190" s="122" t="str">
        <f t="shared" ca="1" si="59"/>
        <v/>
      </c>
      <c r="K190" s="70" t="str">
        <f t="shared" ca="1" si="60"/>
        <v/>
      </c>
      <c r="L190" s="120" t="str">
        <f t="shared" ca="1" si="61"/>
        <v/>
      </c>
      <c r="M190" s="122" t="str">
        <f t="shared" ca="1" si="62"/>
        <v/>
      </c>
      <c r="N190" s="70" t="str">
        <f t="shared" ca="1" si="63"/>
        <v/>
      </c>
      <c r="O190" s="120" t="str">
        <f t="shared" ca="1" si="64"/>
        <v/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2023.01.18</v>
      </c>
      <c r="C191" s="118" t="str">
        <f t="shared" ca="1" si="52"/>
        <v/>
      </c>
      <c r="D191" s="122" t="str">
        <f t="shared" ca="1" si="53"/>
        <v/>
      </c>
      <c r="E191" s="70" t="str">
        <f t="shared" ca="1" si="54"/>
        <v/>
      </c>
      <c r="F191" s="120" t="str">
        <f t="shared" ca="1" si="55"/>
        <v/>
      </c>
      <c r="G191" s="122" t="str">
        <f t="shared" ca="1" si="56"/>
        <v/>
      </c>
      <c r="H191" s="70" t="str">
        <f t="shared" ca="1" si="57"/>
        <v/>
      </c>
      <c r="I191" s="120" t="str">
        <f t="shared" ca="1" si="58"/>
        <v/>
      </c>
      <c r="J191" s="122" t="str">
        <f t="shared" ca="1" si="59"/>
        <v/>
      </c>
      <c r="K191" s="70" t="str">
        <f t="shared" ca="1" si="60"/>
        <v/>
      </c>
      <c r="L191" s="120" t="str">
        <f t="shared" ca="1" si="61"/>
        <v/>
      </c>
      <c r="M191" s="122" t="str">
        <f t="shared" ca="1" si="62"/>
        <v/>
      </c>
      <c r="N191" s="70" t="str">
        <f t="shared" ca="1" si="63"/>
        <v/>
      </c>
      <c r="O191" s="120" t="str">
        <f t="shared" ca="1" si="64"/>
        <v/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2023.01.19</v>
      </c>
      <c r="C192" s="118" t="str">
        <f t="shared" ca="1" si="52"/>
        <v/>
      </c>
      <c r="D192" s="122" t="str">
        <f t="shared" ca="1" si="53"/>
        <v/>
      </c>
      <c r="E192" s="70" t="str">
        <f t="shared" ca="1" si="54"/>
        <v/>
      </c>
      <c r="F192" s="120" t="str">
        <f t="shared" ca="1" si="55"/>
        <v/>
      </c>
      <c r="G192" s="122" t="str">
        <f t="shared" ca="1" si="56"/>
        <v/>
      </c>
      <c r="H192" s="70" t="str">
        <f t="shared" ca="1" si="57"/>
        <v/>
      </c>
      <c r="I192" s="120" t="str">
        <f t="shared" ca="1" si="58"/>
        <v/>
      </c>
      <c r="J192" s="122" t="str">
        <f t="shared" ca="1" si="59"/>
        <v/>
      </c>
      <c r="K192" s="70" t="str">
        <f t="shared" ca="1" si="60"/>
        <v/>
      </c>
      <c r="L192" s="120" t="str">
        <f t="shared" ca="1" si="61"/>
        <v/>
      </c>
      <c r="M192" s="122" t="str">
        <f t="shared" ca="1" si="62"/>
        <v/>
      </c>
      <c r="N192" s="70" t="str">
        <f t="shared" ca="1" si="63"/>
        <v/>
      </c>
      <c r="O192" s="120" t="str">
        <f t="shared" ca="1" si="64"/>
        <v/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2023.01.20</v>
      </c>
      <c r="C193" s="118" t="str">
        <f t="shared" ca="1" si="52"/>
        <v/>
      </c>
      <c r="D193" s="122" t="str">
        <f t="shared" ca="1" si="53"/>
        <v/>
      </c>
      <c r="E193" s="70" t="str">
        <f t="shared" ca="1" si="54"/>
        <v/>
      </c>
      <c r="F193" s="120" t="str">
        <f t="shared" ca="1" si="55"/>
        <v/>
      </c>
      <c r="G193" s="122" t="str">
        <f t="shared" ca="1" si="56"/>
        <v/>
      </c>
      <c r="H193" s="70" t="str">
        <f t="shared" ca="1" si="57"/>
        <v/>
      </c>
      <c r="I193" s="120" t="str">
        <f t="shared" ca="1" si="58"/>
        <v/>
      </c>
      <c r="J193" s="122" t="str">
        <f t="shared" ca="1" si="59"/>
        <v/>
      </c>
      <c r="K193" s="70" t="str">
        <f t="shared" ca="1" si="60"/>
        <v/>
      </c>
      <c r="L193" s="120" t="str">
        <f t="shared" ca="1" si="61"/>
        <v/>
      </c>
      <c r="M193" s="122" t="str">
        <f t="shared" ca="1" si="62"/>
        <v/>
      </c>
      <c r="N193" s="70" t="str">
        <f t="shared" ca="1" si="63"/>
        <v/>
      </c>
      <c r="O193" s="120" t="str">
        <f t="shared" ca="1" si="64"/>
        <v/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2023.01.21</v>
      </c>
      <c r="C194" s="118" t="str">
        <f t="shared" ca="1" si="52"/>
        <v/>
      </c>
      <c r="D194" s="122" t="str">
        <f t="shared" ca="1" si="53"/>
        <v/>
      </c>
      <c r="E194" s="70" t="str">
        <f t="shared" ca="1" si="54"/>
        <v/>
      </c>
      <c r="F194" s="120" t="str">
        <f t="shared" ca="1" si="55"/>
        <v/>
      </c>
      <c r="G194" s="122" t="str">
        <f t="shared" ca="1" si="56"/>
        <v/>
      </c>
      <c r="H194" s="70" t="str">
        <f t="shared" ca="1" si="57"/>
        <v/>
      </c>
      <c r="I194" s="120" t="str">
        <f t="shared" ca="1" si="58"/>
        <v/>
      </c>
      <c r="J194" s="122" t="str">
        <f t="shared" ca="1" si="59"/>
        <v/>
      </c>
      <c r="K194" s="70" t="str">
        <f t="shared" ca="1" si="60"/>
        <v/>
      </c>
      <c r="L194" s="120" t="str">
        <f t="shared" ca="1" si="61"/>
        <v/>
      </c>
      <c r="M194" s="122" t="str">
        <f t="shared" ca="1" si="62"/>
        <v/>
      </c>
      <c r="N194" s="70" t="str">
        <f t="shared" ca="1" si="63"/>
        <v/>
      </c>
      <c r="O194" s="120" t="str">
        <f t="shared" ca="1" si="64"/>
        <v/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2023.01.22</v>
      </c>
      <c r="C195" s="117" t="str">
        <f t="shared" ca="1" si="52"/>
        <v/>
      </c>
      <c r="D195" s="125" t="str">
        <f t="shared" ca="1" si="53"/>
        <v/>
      </c>
      <c r="E195" s="69" t="str">
        <f t="shared" ca="1" si="54"/>
        <v/>
      </c>
      <c r="F195" s="124" t="str">
        <f t="shared" ca="1" si="55"/>
        <v/>
      </c>
      <c r="G195" s="125" t="str">
        <f t="shared" ca="1" si="56"/>
        <v/>
      </c>
      <c r="H195" s="69" t="str">
        <f t="shared" ca="1" si="57"/>
        <v/>
      </c>
      <c r="I195" s="124" t="str">
        <f t="shared" ca="1" si="58"/>
        <v/>
      </c>
      <c r="J195" s="125" t="str">
        <f t="shared" ca="1" si="59"/>
        <v/>
      </c>
      <c r="K195" s="69" t="str">
        <f t="shared" ca="1" si="60"/>
        <v/>
      </c>
      <c r="L195" s="124" t="str">
        <f t="shared" ca="1" si="61"/>
        <v/>
      </c>
      <c r="M195" s="125" t="str">
        <f t="shared" ca="1" si="62"/>
        <v/>
      </c>
      <c r="N195" s="69" t="str">
        <f t="shared" ca="1" si="63"/>
        <v/>
      </c>
      <c r="O195" s="124" t="str">
        <f t="shared" ca="1" si="64"/>
        <v/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2023.01.23</v>
      </c>
      <c r="C196" s="118" t="str">
        <f t="shared" ca="1" si="52"/>
        <v/>
      </c>
      <c r="D196" s="122" t="str">
        <f t="shared" ca="1" si="53"/>
        <v/>
      </c>
      <c r="E196" s="70" t="str">
        <f t="shared" ca="1" si="54"/>
        <v/>
      </c>
      <c r="F196" s="120" t="str">
        <f t="shared" ca="1" si="55"/>
        <v/>
      </c>
      <c r="G196" s="122" t="str">
        <f t="shared" ca="1" si="56"/>
        <v/>
      </c>
      <c r="H196" s="70" t="str">
        <f t="shared" ca="1" si="57"/>
        <v/>
      </c>
      <c r="I196" s="120" t="str">
        <f t="shared" ca="1" si="58"/>
        <v/>
      </c>
      <c r="J196" s="122" t="str">
        <f t="shared" ca="1" si="59"/>
        <v/>
      </c>
      <c r="K196" s="70" t="str">
        <f t="shared" ca="1" si="60"/>
        <v/>
      </c>
      <c r="L196" s="120" t="str">
        <f t="shared" ca="1" si="61"/>
        <v/>
      </c>
      <c r="M196" s="122" t="str">
        <f t="shared" ca="1" si="62"/>
        <v/>
      </c>
      <c r="N196" s="70" t="str">
        <f t="shared" ca="1" si="63"/>
        <v/>
      </c>
      <c r="O196" s="120" t="str">
        <f t="shared" ca="1" si="64"/>
        <v/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2023.01.24</v>
      </c>
      <c r="C197" s="118" t="str">
        <f t="shared" ca="1" si="52"/>
        <v/>
      </c>
      <c r="D197" s="122" t="str">
        <f t="shared" ca="1" si="53"/>
        <v/>
      </c>
      <c r="E197" s="70" t="str">
        <f t="shared" ca="1" si="54"/>
        <v/>
      </c>
      <c r="F197" s="120" t="str">
        <f t="shared" ca="1" si="55"/>
        <v/>
      </c>
      <c r="G197" s="122" t="str">
        <f t="shared" ca="1" si="56"/>
        <v/>
      </c>
      <c r="H197" s="70" t="str">
        <f t="shared" ca="1" si="57"/>
        <v/>
      </c>
      <c r="I197" s="120" t="str">
        <f t="shared" ca="1" si="58"/>
        <v/>
      </c>
      <c r="J197" s="122" t="str">
        <f t="shared" ca="1" si="59"/>
        <v/>
      </c>
      <c r="K197" s="70" t="str">
        <f t="shared" ca="1" si="60"/>
        <v/>
      </c>
      <c r="L197" s="120" t="str">
        <f t="shared" ca="1" si="61"/>
        <v/>
      </c>
      <c r="M197" s="122" t="str">
        <f t="shared" ca="1" si="62"/>
        <v/>
      </c>
      <c r="N197" s="70" t="str">
        <f t="shared" ca="1" si="63"/>
        <v/>
      </c>
      <c r="O197" s="120" t="str">
        <f t="shared" ca="1" si="64"/>
        <v/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2023.01.25</v>
      </c>
      <c r="C198" s="118" t="str">
        <f t="shared" ca="1" si="52"/>
        <v/>
      </c>
      <c r="D198" s="122" t="str">
        <f t="shared" ca="1" si="53"/>
        <v/>
      </c>
      <c r="E198" s="70" t="str">
        <f t="shared" ca="1" si="54"/>
        <v/>
      </c>
      <c r="F198" s="120" t="str">
        <f t="shared" ca="1" si="55"/>
        <v/>
      </c>
      <c r="G198" s="122" t="str">
        <f t="shared" ca="1" si="56"/>
        <v/>
      </c>
      <c r="H198" s="70" t="str">
        <f t="shared" ca="1" si="57"/>
        <v/>
      </c>
      <c r="I198" s="120" t="str">
        <f t="shared" ca="1" si="58"/>
        <v/>
      </c>
      <c r="J198" s="122" t="str">
        <f t="shared" ca="1" si="59"/>
        <v/>
      </c>
      <c r="K198" s="70" t="str">
        <f t="shared" ca="1" si="60"/>
        <v/>
      </c>
      <c r="L198" s="120" t="str">
        <f t="shared" ca="1" si="61"/>
        <v/>
      </c>
      <c r="M198" s="122" t="str">
        <f t="shared" ca="1" si="62"/>
        <v/>
      </c>
      <c r="N198" s="70" t="str">
        <f t="shared" ca="1" si="63"/>
        <v/>
      </c>
      <c r="O198" s="120" t="str">
        <f t="shared" ca="1" si="64"/>
        <v/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2023.01.26</v>
      </c>
      <c r="C199" s="118" t="str">
        <f t="shared" ca="1" si="52"/>
        <v/>
      </c>
      <c r="D199" s="122" t="str">
        <f t="shared" ca="1" si="53"/>
        <v/>
      </c>
      <c r="E199" s="70" t="str">
        <f t="shared" ca="1" si="54"/>
        <v/>
      </c>
      <c r="F199" s="120" t="str">
        <f t="shared" ca="1" si="55"/>
        <v/>
      </c>
      <c r="G199" s="122" t="str">
        <f t="shared" ca="1" si="56"/>
        <v/>
      </c>
      <c r="H199" s="70" t="str">
        <f t="shared" ca="1" si="57"/>
        <v/>
      </c>
      <c r="I199" s="120" t="str">
        <f t="shared" ca="1" si="58"/>
        <v/>
      </c>
      <c r="J199" s="122" t="str">
        <f t="shared" ca="1" si="59"/>
        <v/>
      </c>
      <c r="K199" s="70" t="str">
        <f t="shared" ca="1" si="60"/>
        <v/>
      </c>
      <c r="L199" s="120" t="str">
        <f t="shared" ca="1" si="61"/>
        <v/>
      </c>
      <c r="M199" s="122" t="str">
        <f t="shared" ca="1" si="62"/>
        <v/>
      </c>
      <c r="N199" s="70" t="str">
        <f t="shared" ca="1" si="63"/>
        <v/>
      </c>
      <c r="O199" s="120" t="str">
        <f t="shared" ca="1" si="64"/>
        <v/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2023.01.27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2023.01.28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2023.01.29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2023.01.30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2023.01.31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44" t="s">
        <v>270</v>
      </c>
      <c r="B205" s="146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50"/>
      <c r="B206" s="152"/>
      <c r="C206" s="119">
        <f ca="1">SUM(C174:C204)</f>
        <v>3000000</v>
      </c>
      <c r="D206" s="123">
        <f ca="1">SUM(D174:D204)</f>
        <v>3008843.3550232379</v>
      </c>
      <c r="E206" s="72">
        <f ca="1">IFERROR(F206 / (SUM($C174:$C204) / COUNT($C174:$C204)), 0)</f>
        <v>2.9477850077459481E-3</v>
      </c>
      <c r="F206" s="121">
        <f ca="1">SUM(F174:F204)</f>
        <v>8843.3550232378439</v>
      </c>
      <c r="G206" s="123">
        <f ca="1">SUM(G174:G204)</f>
        <v>3000000</v>
      </c>
      <c r="H206" s="72">
        <f ca="1">IFERROR(I206 / (SUM($C174:$C204) / COUNT($C174:$C204)), 0)</f>
        <v>0</v>
      </c>
      <c r="I206" s="121">
        <f ca="1">SUM(I174:I204)</f>
        <v>0</v>
      </c>
      <c r="J206" s="123">
        <f ca="1">SUM(J174:J204)</f>
        <v>3000000</v>
      </c>
      <c r="K206" s="72">
        <f ca="1">IFERROR(L206 / (SUM($C174:$C204) / COUNT($C174:$C204)), 0)</f>
        <v>0</v>
      </c>
      <c r="L206" s="121">
        <f ca="1">SUM(L174:L204)</f>
        <v>0</v>
      </c>
      <c r="M206" s="123">
        <f ca="1">SUM(M174:M204)</f>
        <v>3000000</v>
      </c>
      <c r="N206" s="72">
        <f ca="1">IFERROR(O206 / (SUM($C174:$C204) / COUNT($C174:$C204)), 0)</f>
        <v>0</v>
      </c>
      <c r="O206" s="121">
        <f ca="1">SUM(O174:O204)</f>
        <v>0</v>
      </c>
    </row>
    <row r="208" spans="1:15" ht="16.5" customHeight="1" thickBot="1"/>
    <row r="209" spans="1:15" ht="16.5" customHeight="1" thickBot="1">
      <c r="A209" s="135" t="str">
        <f>TEXT(투자전략!$G$1, "[$-ko-KR]yyyy년 mm월 ") &amp; "[동전코인] 전일대비 상승률 Bottom20 월말결산"</f>
        <v>2023년 01월 [동전코인] 전일대비 상승률 Bottom20 월말결산</v>
      </c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7"/>
    </row>
    <row r="210" spans="1:15" ht="16.5" customHeight="1" thickBot="1">
      <c r="A210" s="196" t="s">
        <v>271</v>
      </c>
      <c r="B210" s="150" t="s">
        <v>269</v>
      </c>
      <c r="C210" s="152"/>
      <c r="D210" s="150" t="s">
        <v>261</v>
      </c>
      <c r="E210" s="151"/>
      <c r="F210" s="152"/>
      <c r="G210" s="150" t="s">
        <v>262</v>
      </c>
      <c r="H210" s="151"/>
      <c r="I210" s="152"/>
      <c r="J210" s="150" t="s">
        <v>263</v>
      </c>
      <c r="K210" s="151"/>
      <c r="L210" s="152"/>
      <c r="M210" s="150" t="s">
        <v>264</v>
      </c>
      <c r="N210" s="151"/>
      <c r="O210" s="152"/>
    </row>
    <row r="211" spans="1:15" ht="16.5" customHeight="1" thickBot="1">
      <c r="A211" s="200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2023.01.01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3005764.6538142692</v>
      </c>
      <c r="E212" s="69">
        <f ca="1">IFERROR(INDIRECT($B212&amp;"!E172"), "")</f>
        <v>1.9215512714229198E-3</v>
      </c>
      <c r="F212" s="124">
        <f ca="1">IFERROR(INDIRECT($B212&amp;"!F172"), "")</f>
        <v>5764.6538142687596</v>
      </c>
      <c r="G212" s="125">
        <f ca="1">IFERROR($C212 * (1 + H212), "")</f>
        <v>3000000</v>
      </c>
      <c r="H212" s="69">
        <f ca="1">IFERROR(INDIRECT($B212&amp;"!H172"), "")</f>
        <v>0</v>
      </c>
      <c r="I212" s="124">
        <f ca="1">IFERROR(INDIRECT($B212&amp;"!I172"), "")</f>
        <v>0</v>
      </c>
      <c r="J212" s="125">
        <f ca="1">IFERROR($C212 * (1 + K212), "")</f>
        <v>3000000</v>
      </c>
      <c r="K212" s="69">
        <f ca="1">IFERROR(INDIRECT($B212&amp;"!K172"), "")</f>
        <v>0</v>
      </c>
      <c r="L212" s="124">
        <f ca="1">IFERROR(INDIRECT($B212&amp;"!L172"), "")</f>
        <v>0</v>
      </c>
      <c r="M212" s="125">
        <f ca="1">IFERROR($C212 * (1 + N212), "")</f>
        <v>3000000</v>
      </c>
      <c r="N212" s="69">
        <f ca="1">IFERROR(INDIRECT($B212&amp;"!N172"), "")</f>
        <v>0</v>
      </c>
      <c r="O212" s="124">
        <f ca="1">IFERROR(INDIRECT($B212&amp;"!O172"), "")</f>
        <v>0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2023.01.02</v>
      </c>
      <c r="C213" s="118" t="str">
        <f t="shared" ref="C213:C242" ca="1" si="65">IFERROR(COUNTA(INDIRECT($B213&amp;"!A152:A171")) * INDIRECT($B213&amp;"!B172"), "")</f>
        <v/>
      </c>
      <c r="D213" s="122" t="str">
        <f t="shared" ref="D213:D242" ca="1" si="66">IFERROR($C213 * (1 + E213), "")</f>
        <v/>
      </c>
      <c r="E213" s="70" t="str">
        <f t="shared" ref="E213:E242" ca="1" si="67">IFERROR(INDIRECT($B213&amp;"!E172"), "")</f>
        <v/>
      </c>
      <c r="F213" s="120" t="str">
        <f t="shared" ref="F213:F242" ca="1" si="68">IFERROR(INDIRECT($B213&amp;"!F172"), "")</f>
        <v/>
      </c>
      <c r="G213" s="122" t="str">
        <f t="shared" ref="G213:G242" ca="1" si="69">IFERROR($C213 * (1 + H213), "")</f>
        <v/>
      </c>
      <c r="H213" s="70" t="str">
        <f t="shared" ref="H213:H242" ca="1" si="70">IFERROR(INDIRECT($B213&amp;"!H172"), "")</f>
        <v/>
      </c>
      <c r="I213" s="120" t="str">
        <f t="shared" ref="I213:I242" ca="1" si="71">IFERROR(INDIRECT($B213&amp;"!I172"), "")</f>
        <v/>
      </c>
      <c r="J213" s="122" t="str">
        <f t="shared" ref="J213:J242" ca="1" si="72">IFERROR($C213 * (1 + K213), "")</f>
        <v/>
      </c>
      <c r="K213" s="70" t="str">
        <f t="shared" ref="K213:K242" ca="1" si="73">IFERROR(INDIRECT($B213&amp;"!K172"), "")</f>
        <v/>
      </c>
      <c r="L213" s="120" t="str">
        <f t="shared" ref="L213:L242" ca="1" si="74">IFERROR(INDIRECT($B213&amp;"!L172"), "")</f>
        <v/>
      </c>
      <c r="M213" s="122" t="str">
        <f t="shared" ref="M213:M242" ca="1" si="75">IFERROR($C213 * (1 + N213), "")</f>
        <v/>
      </c>
      <c r="N213" s="70" t="str">
        <f t="shared" ref="N213:N242" ca="1" si="76">IFERROR(INDIRECT($B213&amp;"!N172"), "")</f>
        <v/>
      </c>
      <c r="O213" s="120" t="str">
        <f t="shared" ref="O213:O242" ca="1" si="77">IFERROR(INDIRECT($B213&amp;"!O172"), "")</f>
        <v/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2023.01.03</v>
      </c>
      <c r="C214" s="118" t="str">
        <f t="shared" ca="1" si="65"/>
        <v/>
      </c>
      <c r="D214" s="122" t="str">
        <f t="shared" ca="1" si="66"/>
        <v/>
      </c>
      <c r="E214" s="70" t="str">
        <f t="shared" ca="1" si="67"/>
        <v/>
      </c>
      <c r="F214" s="120" t="str">
        <f t="shared" ca="1" si="68"/>
        <v/>
      </c>
      <c r="G214" s="122" t="str">
        <f t="shared" ca="1" si="69"/>
        <v/>
      </c>
      <c r="H214" s="70" t="str">
        <f t="shared" ca="1" si="70"/>
        <v/>
      </c>
      <c r="I214" s="120" t="str">
        <f t="shared" ca="1" si="71"/>
        <v/>
      </c>
      <c r="J214" s="122" t="str">
        <f t="shared" ca="1" si="72"/>
        <v/>
      </c>
      <c r="K214" s="70" t="str">
        <f t="shared" ca="1" si="73"/>
        <v/>
      </c>
      <c r="L214" s="120" t="str">
        <f t="shared" ca="1" si="74"/>
        <v/>
      </c>
      <c r="M214" s="122" t="str">
        <f t="shared" ca="1" si="75"/>
        <v/>
      </c>
      <c r="N214" s="70" t="str">
        <f t="shared" ca="1" si="76"/>
        <v/>
      </c>
      <c r="O214" s="120" t="str">
        <f t="shared" ca="1" si="77"/>
        <v/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2023.01.04</v>
      </c>
      <c r="C215" s="118" t="str">
        <f t="shared" ca="1" si="65"/>
        <v/>
      </c>
      <c r="D215" s="122" t="str">
        <f t="shared" ca="1" si="66"/>
        <v/>
      </c>
      <c r="E215" s="70" t="str">
        <f t="shared" ca="1" si="67"/>
        <v/>
      </c>
      <c r="F215" s="120" t="str">
        <f t="shared" ca="1" si="68"/>
        <v/>
      </c>
      <c r="G215" s="122" t="str">
        <f t="shared" ca="1" si="69"/>
        <v/>
      </c>
      <c r="H215" s="70" t="str">
        <f t="shared" ca="1" si="70"/>
        <v/>
      </c>
      <c r="I215" s="120" t="str">
        <f t="shared" ca="1" si="71"/>
        <v/>
      </c>
      <c r="J215" s="122" t="str">
        <f t="shared" ca="1" si="72"/>
        <v/>
      </c>
      <c r="K215" s="70" t="str">
        <f t="shared" ca="1" si="73"/>
        <v/>
      </c>
      <c r="L215" s="120" t="str">
        <f t="shared" ca="1" si="74"/>
        <v/>
      </c>
      <c r="M215" s="122" t="str">
        <f t="shared" ca="1" si="75"/>
        <v/>
      </c>
      <c r="N215" s="70" t="str">
        <f t="shared" ca="1" si="76"/>
        <v/>
      </c>
      <c r="O215" s="120" t="str">
        <f t="shared" ca="1" si="77"/>
        <v/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2023.01.05</v>
      </c>
      <c r="C216" s="118" t="str">
        <f t="shared" ca="1" si="65"/>
        <v/>
      </c>
      <c r="D216" s="122" t="str">
        <f t="shared" ca="1" si="66"/>
        <v/>
      </c>
      <c r="E216" s="70" t="str">
        <f t="shared" ca="1" si="67"/>
        <v/>
      </c>
      <c r="F216" s="120" t="str">
        <f t="shared" ca="1" si="68"/>
        <v/>
      </c>
      <c r="G216" s="122" t="str">
        <f t="shared" ca="1" si="69"/>
        <v/>
      </c>
      <c r="H216" s="70" t="str">
        <f t="shared" ca="1" si="70"/>
        <v/>
      </c>
      <c r="I216" s="120" t="str">
        <f t="shared" ca="1" si="71"/>
        <v/>
      </c>
      <c r="J216" s="122" t="str">
        <f t="shared" ca="1" si="72"/>
        <v/>
      </c>
      <c r="K216" s="70" t="str">
        <f t="shared" ca="1" si="73"/>
        <v/>
      </c>
      <c r="L216" s="120" t="str">
        <f t="shared" ca="1" si="74"/>
        <v/>
      </c>
      <c r="M216" s="122" t="str">
        <f t="shared" ca="1" si="75"/>
        <v/>
      </c>
      <c r="N216" s="70" t="str">
        <f t="shared" ca="1" si="76"/>
        <v/>
      </c>
      <c r="O216" s="120" t="str">
        <f t="shared" ca="1" si="77"/>
        <v/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2023.01.06</v>
      </c>
      <c r="C217" s="118" t="str">
        <f t="shared" ca="1" si="65"/>
        <v/>
      </c>
      <c r="D217" s="122" t="str">
        <f t="shared" ca="1" si="66"/>
        <v/>
      </c>
      <c r="E217" s="70" t="str">
        <f t="shared" ca="1" si="67"/>
        <v/>
      </c>
      <c r="F217" s="120" t="str">
        <f t="shared" ca="1" si="68"/>
        <v/>
      </c>
      <c r="G217" s="122" t="str">
        <f t="shared" ca="1" si="69"/>
        <v/>
      </c>
      <c r="H217" s="70" t="str">
        <f t="shared" ca="1" si="70"/>
        <v/>
      </c>
      <c r="I217" s="120" t="str">
        <f t="shared" ca="1" si="71"/>
        <v/>
      </c>
      <c r="J217" s="122" t="str">
        <f t="shared" ca="1" si="72"/>
        <v/>
      </c>
      <c r="K217" s="70" t="str">
        <f t="shared" ca="1" si="73"/>
        <v/>
      </c>
      <c r="L217" s="120" t="str">
        <f t="shared" ca="1" si="74"/>
        <v/>
      </c>
      <c r="M217" s="122" t="str">
        <f t="shared" ca="1" si="75"/>
        <v/>
      </c>
      <c r="N217" s="70" t="str">
        <f t="shared" ca="1" si="76"/>
        <v/>
      </c>
      <c r="O217" s="120" t="str">
        <f t="shared" ca="1" si="77"/>
        <v/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2023.01.07</v>
      </c>
      <c r="C218" s="118" t="str">
        <f t="shared" ca="1" si="65"/>
        <v/>
      </c>
      <c r="D218" s="122" t="str">
        <f t="shared" ca="1" si="66"/>
        <v/>
      </c>
      <c r="E218" s="70" t="str">
        <f t="shared" ca="1" si="67"/>
        <v/>
      </c>
      <c r="F218" s="120" t="str">
        <f t="shared" ca="1" si="68"/>
        <v/>
      </c>
      <c r="G218" s="122" t="str">
        <f t="shared" ca="1" si="69"/>
        <v/>
      </c>
      <c r="H218" s="70" t="str">
        <f t="shared" ca="1" si="70"/>
        <v/>
      </c>
      <c r="I218" s="120" t="str">
        <f t="shared" ca="1" si="71"/>
        <v/>
      </c>
      <c r="J218" s="122" t="str">
        <f t="shared" ca="1" si="72"/>
        <v/>
      </c>
      <c r="K218" s="70" t="str">
        <f t="shared" ca="1" si="73"/>
        <v/>
      </c>
      <c r="L218" s="120" t="str">
        <f t="shared" ca="1" si="74"/>
        <v/>
      </c>
      <c r="M218" s="122" t="str">
        <f t="shared" ca="1" si="75"/>
        <v/>
      </c>
      <c r="N218" s="70" t="str">
        <f t="shared" ca="1" si="76"/>
        <v/>
      </c>
      <c r="O218" s="120" t="str">
        <f t="shared" ca="1" si="77"/>
        <v/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2023.01.08</v>
      </c>
      <c r="C219" s="117" t="str">
        <f t="shared" ca="1" si="65"/>
        <v/>
      </c>
      <c r="D219" s="125" t="str">
        <f t="shared" ca="1" si="66"/>
        <v/>
      </c>
      <c r="E219" s="69" t="str">
        <f t="shared" ca="1" si="67"/>
        <v/>
      </c>
      <c r="F219" s="124" t="str">
        <f t="shared" ca="1" si="68"/>
        <v/>
      </c>
      <c r="G219" s="125" t="str">
        <f t="shared" ca="1" si="69"/>
        <v/>
      </c>
      <c r="H219" s="69" t="str">
        <f t="shared" ca="1" si="70"/>
        <v/>
      </c>
      <c r="I219" s="124" t="str">
        <f t="shared" ca="1" si="71"/>
        <v/>
      </c>
      <c r="J219" s="125" t="str">
        <f t="shared" ca="1" si="72"/>
        <v/>
      </c>
      <c r="K219" s="69" t="str">
        <f t="shared" ca="1" si="73"/>
        <v/>
      </c>
      <c r="L219" s="124" t="str">
        <f t="shared" ca="1" si="74"/>
        <v/>
      </c>
      <c r="M219" s="125" t="str">
        <f t="shared" ca="1" si="75"/>
        <v/>
      </c>
      <c r="N219" s="69" t="str">
        <f t="shared" ca="1" si="76"/>
        <v/>
      </c>
      <c r="O219" s="124" t="str">
        <f t="shared" ca="1" si="77"/>
        <v/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2023.01.09</v>
      </c>
      <c r="C220" s="118" t="str">
        <f t="shared" ca="1" si="65"/>
        <v/>
      </c>
      <c r="D220" s="122" t="str">
        <f t="shared" ca="1" si="66"/>
        <v/>
      </c>
      <c r="E220" s="70" t="str">
        <f t="shared" ca="1" si="67"/>
        <v/>
      </c>
      <c r="F220" s="120" t="str">
        <f t="shared" ca="1" si="68"/>
        <v/>
      </c>
      <c r="G220" s="122" t="str">
        <f t="shared" ca="1" si="69"/>
        <v/>
      </c>
      <c r="H220" s="70" t="str">
        <f t="shared" ca="1" si="70"/>
        <v/>
      </c>
      <c r="I220" s="120" t="str">
        <f t="shared" ca="1" si="71"/>
        <v/>
      </c>
      <c r="J220" s="122" t="str">
        <f t="shared" ca="1" si="72"/>
        <v/>
      </c>
      <c r="K220" s="70" t="str">
        <f t="shared" ca="1" si="73"/>
        <v/>
      </c>
      <c r="L220" s="120" t="str">
        <f t="shared" ca="1" si="74"/>
        <v/>
      </c>
      <c r="M220" s="122" t="str">
        <f t="shared" ca="1" si="75"/>
        <v/>
      </c>
      <c r="N220" s="70" t="str">
        <f t="shared" ca="1" si="76"/>
        <v/>
      </c>
      <c r="O220" s="120" t="str">
        <f t="shared" ca="1" si="77"/>
        <v/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2023.01.10</v>
      </c>
      <c r="C221" s="118" t="str">
        <f t="shared" ca="1" si="65"/>
        <v/>
      </c>
      <c r="D221" s="122" t="str">
        <f t="shared" ca="1" si="66"/>
        <v/>
      </c>
      <c r="E221" s="70" t="str">
        <f t="shared" ca="1" si="67"/>
        <v/>
      </c>
      <c r="F221" s="120" t="str">
        <f t="shared" ca="1" si="68"/>
        <v/>
      </c>
      <c r="G221" s="122" t="str">
        <f t="shared" ca="1" si="69"/>
        <v/>
      </c>
      <c r="H221" s="70" t="str">
        <f t="shared" ca="1" si="70"/>
        <v/>
      </c>
      <c r="I221" s="120" t="str">
        <f t="shared" ca="1" si="71"/>
        <v/>
      </c>
      <c r="J221" s="122" t="str">
        <f t="shared" ca="1" si="72"/>
        <v/>
      </c>
      <c r="K221" s="70" t="str">
        <f t="shared" ca="1" si="73"/>
        <v/>
      </c>
      <c r="L221" s="120" t="str">
        <f t="shared" ca="1" si="74"/>
        <v/>
      </c>
      <c r="M221" s="122" t="str">
        <f t="shared" ca="1" si="75"/>
        <v/>
      </c>
      <c r="N221" s="70" t="str">
        <f t="shared" ca="1" si="76"/>
        <v/>
      </c>
      <c r="O221" s="120" t="str">
        <f t="shared" ca="1" si="77"/>
        <v/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2023.01.11</v>
      </c>
      <c r="C222" s="118" t="str">
        <f t="shared" ca="1" si="65"/>
        <v/>
      </c>
      <c r="D222" s="122" t="str">
        <f t="shared" ca="1" si="66"/>
        <v/>
      </c>
      <c r="E222" s="70" t="str">
        <f t="shared" ca="1" si="67"/>
        <v/>
      </c>
      <c r="F222" s="120" t="str">
        <f t="shared" ca="1" si="68"/>
        <v/>
      </c>
      <c r="G222" s="122" t="str">
        <f t="shared" ca="1" si="69"/>
        <v/>
      </c>
      <c r="H222" s="70" t="str">
        <f t="shared" ca="1" si="70"/>
        <v/>
      </c>
      <c r="I222" s="120" t="str">
        <f t="shared" ca="1" si="71"/>
        <v/>
      </c>
      <c r="J222" s="122" t="str">
        <f t="shared" ca="1" si="72"/>
        <v/>
      </c>
      <c r="K222" s="70" t="str">
        <f t="shared" ca="1" si="73"/>
        <v/>
      </c>
      <c r="L222" s="120" t="str">
        <f t="shared" ca="1" si="74"/>
        <v/>
      </c>
      <c r="M222" s="122" t="str">
        <f t="shared" ca="1" si="75"/>
        <v/>
      </c>
      <c r="N222" s="70" t="str">
        <f t="shared" ca="1" si="76"/>
        <v/>
      </c>
      <c r="O222" s="120" t="str">
        <f t="shared" ca="1" si="77"/>
        <v/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2023.01.12</v>
      </c>
      <c r="C223" s="118" t="str">
        <f t="shared" ca="1" si="65"/>
        <v/>
      </c>
      <c r="D223" s="122" t="str">
        <f t="shared" ca="1" si="66"/>
        <v/>
      </c>
      <c r="E223" s="70" t="str">
        <f t="shared" ca="1" si="67"/>
        <v/>
      </c>
      <c r="F223" s="120" t="str">
        <f t="shared" ca="1" si="68"/>
        <v/>
      </c>
      <c r="G223" s="122" t="str">
        <f t="shared" ca="1" si="69"/>
        <v/>
      </c>
      <c r="H223" s="70" t="str">
        <f t="shared" ca="1" si="70"/>
        <v/>
      </c>
      <c r="I223" s="120" t="str">
        <f t="shared" ca="1" si="71"/>
        <v/>
      </c>
      <c r="J223" s="122" t="str">
        <f t="shared" ca="1" si="72"/>
        <v/>
      </c>
      <c r="K223" s="70" t="str">
        <f t="shared" ca="1" si="73"/>
        <v/>
      </c>
      <c r="L223" s="120" t="str">
        <f t="shared" ca="1" si="74"/>
        <v/>
      </c>
      <c r="M223" s="122" t="str">
        <f t="shared" ca="1" si="75"/>
        <v/>
      </c>
      <c r="N223" s="70" t="str">
        <f t="shared" ca="1" si="76"/>
        <v/>
      </c>
      <c r="O223" s="120" t="str">
        <f t="shared" ca="1" si="77"/>
        <v/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2023.01.13</v>
      </c>
      <c r="C224" s="118" t="str">
        <f t="shared" ca="1" si="65"/>
        <v/>
      </c>
      <c r="D224" s="122" t="str">
        <f t="shared" ca="1" si="66"/>
        <v/>
      </c>
      <c r="E224" s="70" t="str">
        <f t="shared" ca="1" si="67"/>
        <v/>
      </c>
      <c r="F224" s="120" t="str">
        <f t="shared" ca="1" si="68"/>
        <v/>
      </c>
      <c r="G224" s="122" t="str">
        <f t="shared" ca="1" si="69"/>
        <v/>
      </c>
      <c r="H224" s="70" t="str">
        <f t="shared" ca="1" si="70"/>
        <v/>
      </c>
      <c r="I224" s="120" t="str">
        <f t="shared" ca="1" si="71"/>
        <v/>
      </c>
      <c r="J224" s="122" t="str">
        <f t="shared" ca="1" si="72"/>
        <v/>
      </c>
      <c r="K224" s="70" t="str">
        <f t="shared" ca="1" si="73"/>
        <v/>
      </c>
      <c r="L224" s="120" t="str">
        <f t="shared" ca="1" si="74"/>
        <v/>
      </c>
      <c r="M224" s="122" t="str">
        <f t="shared" ca="1" si="75"/>
        <v/>
      </c>
      <c r="N224" s="70" t="str">
        <f t="shared" ca="1" si="76"/>
        <v/>
      </c>
      <c r="O224" s="120" t="str">
        <f t="shared" ca="1" si="77"/>
        <v/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2023.01.14</v>
      </c>
      <c r="C225" s="119" t="str">
        <f t="shared" ca="1" si="65"/>
        <v/>
      </c>
      <c r="D225" s="123" t="str">
        <f t="shared" ca="1" si="66"/>
        <v/>
      </c>
      <c r="E225" s="72" t="str">
        <f t="shared" ca="1" si="67"/>
        <v/>
      </c>
      <c r="F225" s="121" t="str">
        <f t="shared" ca="1" si="68"/>
        <v/>
      </c>
      <c r="G225" s="123" t="str">
        <f t="shared" ca="1" si="69"/>
        <v/>
      </c>
      <c r="H225" s="72" t="str">
        <f t="shared" ca="1" si="70"/>
        <v/>
      </c>
      <c r="I225" s="121" t="str">
        <f t="shared" ca="1" si="71"/>
        <v/>
      </c>
      <c r="J225" s="123" t="str">
        <f t="shared" ca="1" si="72"/>
        <v/>
      </c>
      <c r="K225" s="72" t="str">
        <f t="shared" ca="1" si="73"/>
        <v/>
      </c>
      <c r="L225" s="121" t="str">
        <f t="shared" ca="1" si="74"/>
        <v/>
      </c>
      <c r="M225" s="123" t="str">
        <f t="shared" ca="1" si="75"/>
        <v/>
      </c>
      <c r="N225" s="72" t="str">
        <f t="shared" ca="1" si="76"/>
        <v/>
      </c>
      <c r="O225" s="121" t="str">
        <f t="shared" ca="1" si="77"/>
        <v/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2023.01.15</v>
      </c>
      <c r="C226" s="118" t="str">
        <f t="shared" ca="1" si="65"/>
        <v/>
      </c>
      <c r="D226" s="122" t="str">
        <f t="shared" ca="1" si="66"/>
        <v/>
      </c>
      <c r="E226" s="70" t="str">
        <f t="shared" ca="1" si="67"/>
        <v/>
      </c>
      <c r="F226" s="120" t="str">
        <f t="shared" ca="1" si="68"/>
        <v/>
      </c>
      <c r="G226" s="122" t="str">
        <f t="shared" ca="1" si="69"/>
        <v/>
      </c>
      <c r="H226" s="70" t="str">
        <f t="shared" ca="1" si="70"/>
        <v/>
      </c>
      <c r="I226" s="120" t="str">
        <f t="shared" ca="1" si="71"/>
        <v/>
      </c>
      <c r="J226" s="122" t="str">
        <f t="shared" ca="1" si="72"/>
        <v/>
      </c>
      <c r="K226" s="70" t="str">
        <f t="shared" ca="1" si="73"/>
        <v/>
      </c>
      <c r="L226" s="120" t="str">
        <f t="shared" ca="1" si="74"/>
        <v/>
      </c>
      <c r="M226" s="122" t="str">
        <f t="shared" ca="1" si="75"/>
        <v/>
      </c>
      <c r="N226" s="70" t="str">
        <f t="shared" ca="1" si="76"/>
        <v/>
      </c>
      <c r="O226" s="120" t="str">
        <f t="shared" ca="1" si="77"/>
        <v/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2023.01.16</v>
      </c>
      <c r="C227" s="118" t="str">
        <f t="shared" ca="1" si="65"/>
        <v/>
      </c>
      <c r="D227" s="122" t="str">
        <f t="shared" ca="1" si="66"/>
        <v/>
      </c>
      <c r="E227" s="70" t="str">
        <f t="shared" ca="1" si="67"/>
        <v/>
      </c>
      <c r="F227" s="120" t="str">
        <f t="shared" ca="1" si="68"/>
        <v/>
      </c>
      <c r="G227" s="122" t="str">
        <f t="shared" ca="1" si="69"/>
        <v/>
      </c>
      <c r="H227" s="70" t="str">
        <f t="shared" ca="1" si="70"/>
        <v/>
      </c>
      <c r="I227" s="120" t="str">
        <f t="shared" ca="1" si="71"/>
        <v/>
      </c>
      <c r="J227" s="122" t="str">
        <f t="shared" ca="1" si="72"/>
        <v/>
      </c>
      <c r="K227" s="70" t="str">
        <f t="shared" ca="1" si="73"/>
        <v/>
      </c>
      <c r="L227" s="120" t="str">
        <f t="shared" ca="1" si="74"/>
        <v/>
      </c>
      <c r="M227" s="122" t="str">
        <f t="shared" ca="1" si="75"/>
        <v/>
      </c>
      <c r="N227" s="70" t="str">
        <f t="shared" ca="1" si="76"/>
        <v/>
      </c>
      <c r="O227" s="120" t="str">
        <f t="shared" ca="1" si="77"/>
        <v/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2023.01.17</v>
      </c>
      <c r="C228" s="118" t="str">
        <f t="shared" ca="1" si="65"/>
        <v/>
      </c>
      <c r="D228" s="122" t="str">
        <f t="shared" ca="1" si="66"/>
        <v/>
      </c>
      <c r="E228" s="70" t="str">
        <f t="shared" ca="1" si="67"/>
        <v/>
      </c>
      <c r="F228" s="120" t="str">
        <f t="shared" ca="1" si="68"/>
        <v/>
      </c>
      <c r="G228" s="122" t="str">
        <f t="shared" ca="1" si="69"/>
        <v/>
      </c>
      <c r="H228" s="70" t="str">
        <f t="shared" ca="1" si="70"/>
        <v/>
      </c>
      <c r="I228" s="120" t="str">
        <f t="shared" ca="1" si="71"/>
        <v/>
      </c>
      <c r="J228" s="122" t="str">
        <f t="shared" ca="1" si="72"/>
        <v/>
      </c>
      <c r="K228" s="70" t="str">
        <f t="shared" ca="1" si="73"/>
        <v/>
      </c>
      <c r="L228" s="120" t="str">
        <f t="shared" ca="1" si="74"/>
        <v/>
      </c>
      <c r="M228" s="122" t="str">
        <f t="shared" ca="1" si="75"/>
        <v/>
      </c>
      <c r="N228" s="70" t="str">
        <f t="shared" ca="1" si="76"/>
        <v/>
      </c>
      <c r="O228" s="120" t="str">
        <f t="shared" ca="1" si="77"/>
        <v/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2023.01.18</v>
      </c>
      <c r="C229" s="118" t="str">
        <f t="shared" ca="1" si="65"/>
        <v/>
      </c>
      <c r="D229" s="122" t="str">
        <f t="shared" ca="1" si="66"/>
        <v/>
      </c>
      <c r="E229" s="70" t="str">
        <f t="shared" ca="1" si="67"/>
        <v/>
      </c>
      <c r="F229" s="120" t="str">
        <f t="shared" ca="1" si="68"/>
        <v/>
      </c>
      <c r="G229" s="122" t="str">
        <f t="shared" ca="1" si="69"/>
        <v/>
      </c>
      <c r="H229" s="70" t="str">
        <f t="shared" ca="1" si="70"/>
        <v/>
      </c>
      <c r="I229" s="120" t="str">
        <f t="shared" ca="1" si="71"/>
        <v/>
      </c>
      <c r="J229" s="122" t="str">
        <f t="shared" ca="1" si="72"/>
        <v/>
      </c>
      <c r="K229" s="70" t="str">
        <f t="shared" ca="1" si="73"/>
        <v/>
      </c>
      <c r="L229" s="120" t="str">
        <f t="shared" ca="1" si="74"/>
        <v/>
      </c>
      <c r="M229" s="122" t="str">
        <f t="shared" ca="1" si="75"/>
        <v/>
      </c>
      <c r="N229" s="70" t="str">
        <f t="shared" ca="1" si="76"/>
        <v/>
      </c>
      <c r="O229" s="120" t="str">
        <f t="shared" ca="1" si="77"/>
        <v/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2023.01.19</v>
      </c>
      <c r="C230" s="118" t="str">
        <f t="shared" ca="1" si="65"/>
        <v/>
      </c>
      <c r="D230" s="122" t="str">
        <f t="shared" ca="1" si="66"/>
        <v/>
      </c>
      <c r="E230" s="70" t="str">
        <f t="shared" ca="1" si="67"/>
        <v/>
      </c>
      <c r="F230" s="120" t="str">
        <f t="shared" ca="1" si="68"/>
        <v/>
      </c>
      <c r="G230" s="122" t="str">
        <f t="shared" ca="1" si="69"/>
        <v/>
      </c>
      <c r="H230" s="70" t="str">
        <f t="shared" ca="1" si="70"/>
        <v/>
      </c>
      <c r="I230" s="120" t="str">
        <f t="shared" ca="1" si="71"/>
        <v/>
      </c>
      <c r="J230" s="122" t="str">
        <f t="shared" ca="1" si="72"/>
        <v/>
      </c>
      <c r="K230" s="70" t="str">
        <f t="shared" ca="1" si="73"/>
        <v/>
      </c>
      <c r="L230" s="120" t="str">
        <f t="shared" ca="1" si="74"/>
        <v/>
      </c>
      <c r="M230" s="122" t="str">
        <f t="shared" ca="1" si="75"/>
        <v/>
      </c>
      <c r="N230" s="70" t="str">
        <f t="shared" ca="1" si="76"/>
        <v/>
      </c>
      <c r="O230" s="120" t="str">
        <f t="shared" ca="1" si="77"/>
        <v/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2023.01.20</v>
      </c>
      <c r="C231" s="118" t="str">
        <f t="shared" ca="1" si="65"/>
        <v/>
      </c>
      <c r="D231" s="122" t="str">
        <f t="shared" ca="1" si="66"/>
        <v/>
      </c>
      <c r="E231" s="70" t="str">
        <f t="shared" ca="1" si="67"/>
        <v/>
      </c>
      <c r="F231" s="120" t="str">
        <f t="shared" ca="1" si="68"/>
        <v/>
      </c>
      <c r="G231" s="122" t="str">
        <f t="shared" ca="1" si="69"/>
        <v/>
      </c>
      <c r="H231" s="70" t="str">
        <f t="shared" ca="1" si="70"/>
        <v/>
      </c>
      <c r="I231" s="120" t="str">
        <f t="shared" ca="1" si="71"/>
        <v/>
      </c>
      <c r="J231" s="122" t="str">
        <f t="shared" ca="1" si="72"/>
        <v/>
      </c>
      <c r="K231" s="70" t="str">
        <f t="shared" ca="1" si="73"/>
        <v/>
      </c>
      <c r="L231" s="120" t="str">
        <f t="shared" ca="1" si="74"/>
        <v/>
      </c>
      <c r="M231" s="122" t="str">
        <f t="shared" ca="1" si="75"/>
        <v/>
      </c>
      <c r="N231" s="70" t="str">
        <f t="shared" ca="1" si="76"/>
        <v/>
      </c>
      <c r="O231" s="120" t="str">
        <f t="shared" ca="1" si="77"/>
        <v/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2023.01.21</v>
      </c>
      <c r="C232" s="118" t="str">
        <f t="shared" ca="1" si="65"/>
        <v/>
      </c>
      <c r="D232" s="122" t="str">
        <f t="shared" ca="1" si="66"/>
        <v/>
      </c>
      <c r="E232" s="70" t="str">
        <f t="shared" ca="1" si="67"/>
        <v/>
      </c>
      <c r="F232" s="120" t="str">
        <f t="shared" ca="1" si="68"/>
        <v/>
      </c>
      <c r="G232" s="122" t="str">
        <f t="shared" ca="1" si="69"/>
        <v/>
      </c>
      <c r="H232" s="70" t="str">
        <f t="shared" ca="1" si="70"/>
        <v/>
      </c>
      <c r="I232" s="120" t="str">
        <f t="shared" ca="1" si="71"/>
        <v/>
      </c>
      <c r="J232" s="122" t="str">
        <f t="shared" ca="1" si="72"/>
        <v/>
      </c>
      <c r="K232" s="70" t="str">
        <f t="shared" ca="1" si="73"/>
        <v/>
      </c>
      <c r="L232" s="120" t="str">
        <f t="shared" ca="1" si="74"/>
        <v/>
      </c>
      <c r="M232" s="122" t="str">
        <f t="shared" ca="1" si="75"/>
        <v/>
      </c>
      <c r="N232" s="70" t="str">
        <f t="shared" ca="1" si="76"/>
        <v/>
      </c>
      <c r="O232" s="120" t="str">
        <f t="shared" ca="1" si="77"/>
        <v/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2023.01.22</v>
      </c>
      <c r="C233" s="117" t="str">
        <f t="shared" ca="1" si="65"/>
        <v/>
      </c>
      <c r="D233" s="125" t="str">
        <f t="shared" ca="1" si="66"/>
        <v/>
      </c>
      <c r="E233" s="69" t="str">
        <f t="shared" ca="1" si="67"/>
        <v/>
      </c>
      <c r="F233" s="124" t="str">
        <f t="shared" ca="1" si="68"/>
        <v/>
      </c>
      <c r="G233" s="125" t="str">
        <f t="shared" ca="1" si="69"/>
        <v/>
      </c>
      <c r="H233" s="69" t="str">
        <f t="shared" ca="1" si="70"/>
        <v/>
      </c>
      <c r="I233" s="124" t="str">
        <f t="shared" ca="1" si="71"/>
        <v/>
      </c>
      <c r="J233" s="125" t="str">
        <f t="shared" ca="1" si="72"/>
        <v/>
      </c>
      <c r="K233" s="69" t="str">
        <f t="shared" ca="1" si="73"/>
        <v/>
      </c>
      <c r="L233" s="124" t="str">
        <f t="shared" ca="1" si="74"/>
        <v/>
      </c>
      <c r="M233" s="125" t="str">
        <f t="shared" ca="1" si="75"/>
        <v/>
      </c>
      <c r="N233" s="69" t="str">
        <f t="shared" ca="1" si="76"/>
        <v/>
      </c>
      <c r="O233" s="124" t="str">
        <f t="shared" ca="1" si="77"/>
        <v/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2023.01.23</v>
      </c>
      <c r="C234" s="118" t="str">
        <f t="shared" ca="1" si="65"/>
        <v/>
      </c>
      <c r="D234" s="122" t="str">
        <f t="shared" ca="1" si="66"/>
        <v/>
      </c>
      <c r="E234" s="70" t="str">
        <f t="shared" ca="1" si="67"/>
        <v/>
      </c>
      <c r="F234" s="120" t="str">
        <f t="shared" ca="1" si="68"/>
        <v/>
      </c>
      <c r="G234" s="122" t="str">
        <f t="shared" ca="1" si="69"/>
        <v/>
      </c>
      <c r="H234" s="70" t="str">
        <f t="shared" ca="1" si="70"/>
        <v/>
      </c>
      <c r="I234" s="120" t="str">
        <f t="shared" ca="1" si="71"/>
        <v/>
      </c>
      <c r="J234" s="122" t="str">
        <f t="shared" ca="1" si="72"/>
        <v/>
      </c>
      <c r="K234" s="70" t="str">
        <f t="shared" ca="1" si="73"/>
        <v/>
      </c>
      <c r="L234" s="120" t="str">
        <f t="shared" ca="1" si="74"/>
        <v/>
      </c>
      <c r="M234" s="122" t="str">
        <f t="shared" ca="1" si="75"/>
        <v/>
      </c>
      <c r="N234" s="70" t="str">
        <f t="shared" ca="1" si="76"/>
        <v/>
      </c>
      <c r="O234" s="120" t="str">
        <f t="shared" ca="1" si="77"/>
        <v/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2023.01.24</v>
      </c>
      <c r="C235" s="118" t="str">
        <f t="shared" ca="1" si="65"/>
        <v/>
      </c>
      <c r="D235" s="122" t="str">
        <f t="shared" ca="1" si="66"/>
        <v/>
      </c>
      <c r="E235" s="70" t="str">
        <f t="shared" ca="1" si="67"/>
        <v/>
      </c>
      <c r="F235" s="120" t="str">
        <f t="shared" ca="1" si="68"/>
        <v/>
      </c>
      <c r="G235" s="122" t="str">
        <f t="shared" ca="1" si="69"/>
        <v/>
      </c>
      <c r="H235" s="70" t="str">
        <f t="shared" ca="1" si="70"/>
        <v/>
      </c>
      <c r="I235" s="120" t="str">
        <f t="shared" ca="1" si="71"/>
        <v/>
      </c>
      <c r="J235" s="122" t="str">
        <f t="shared" ca="1" si="72"/>
        <v/>
      </c>
      <c r="K235" s="70" t="str">
        <f t="shared" ca="1" si="73"/>
        <v/>
      </c>
      <c r="L235" s="120" t="str">
        <f t="shared" ca="1" si="74"/>
        <v/>
      </c>
      <c r="M235" s="122" t="str">
        <f t="shared" ca="1" si="75"/>
        <v/>
      </c>
      <c r="N235" s="70" t="str">
        <f t="shared" ca="1" si="76"/>
        <v/>
      </c>
      <c r="O235" s="120" t="str">
        <f t="shared" ca="1" si="77"/>
        <v/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2023.01.25</v>
      </c>
      <c r="C236" s="118" t="str">
        <f t="shared" ca="1" si="65"/>
        <v/>
      </c>
      <c r="D236" s="122" t="str">
        <f t="shared" ca="1" si="66"/>
        <v/>
      </c>
      <c r="E236" s="70" t="str">
        <f t="shared" ca="1" si="67"/>
        <v/>
      </c>
      <c r="F236" s="120" t="str">
        <f t="shared" ca="1" si="68"/>
        <v/>
      </c>
      <c r="G236" s="122" t="str">
        <f t="shared" ca="1" si="69"/>
        <v/>
      </c>
      <c r="H236" s="70" t="str">
        <f t="shared" ca="1" si="70"/>
        <v/>
      </c>
      <c r="I236" s="120" t="str">
        <f t="shared" ca="1" si="71"/>
        <v/>
      </c>
      <c r="J236" s="122" t="str">
        <f t="shared" ca="1" si="72"/>
        <v/>
      </c>
      <c r="K236" s="70" t="str">
        <f t="shared" ca="1" si="73"/>
        <v/>
      </c>
      <c r="L236" s="120" t="str">
        <f t="shared" ca="1" si="74"/>
        <v/>
      </c>
      <c r="M236" s="122" t="str">
        <f t="shared" ca="1" si="75"/>
        <v/>
      </c>
      <c r="N236" s="70" t="str">
        <f t="shared" ca="1" si="76"/>
        <v/>
      </c>
      <c r="O236" s="120" t="str">
        <f t="shared" ca="1" si="77"/>
        <v/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2023.01.26</v>
      </c>
      <c r="C237" s="118" t="str">
        <f t="shared" ca="1" si="65"/>
        <v/>
      </c>
      <c r="D237" s="122" t="str">
        <f t="shared" ca="1" si="66"/>
        <v/>
      </c>
      <c r="E237" s="70" t="str">
        <f t="shared" ca="1" si="67"/>
        <v/>
      </c>
      <c r="F237" s="120" t="str">
        <f t="shared" ca="1" si="68"/>
        <v/>
      </c>
      <c r="G237" s="122" t="str">
        <f t="shared" ca="1" si="69"/>
        <v/>
      </c>
      <c r="H237" s="70" t="str">
        <f t="shared" ca="1" si="70"/>
        <v/>
      </c>
      <c r="I237" s="120" t="str">
        <f t="shared" ca="1" si="71"/>
        <v/>
      </c>
      <c r="J237" s="122" t="str">
        <f t="shared" ca="1" si="72"/>
        <v/>
      </c>
      <c r="K237" s="70" t="str">
        <f t="shared" ca="1" si="73"/>
        <v/>
      </c>
      <c r="L237" s="120" t="str">
        <f t="shared" ca="1" si="74"/>
        <v/>
      </c>
      <c r="M237" s="122" t="str">
        <f t="shared" ca="1" si="75"/>
        <v/>
      </c>
      <c r="N237" s="70" t="str">
        <f t="shared" ca="1" si="76"/>
        <v/>
      </c>
      <c r="O237" s="120" t="str">
        <f t="shared" ca="1" si="77"/>
        <v/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2023.01.27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2023.01.28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2023.01.29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2023.01.30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2023.01.31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44" t="s">
        <v>270</v>
      </c>
      <c r="B243" s="146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50"/>
      <c r="B244" s="152"/>
      <c r="C244" s="119">
        <f ca="1">SUM(C212:C242)</f>
        <v>3000000</v>
      </c>
      <c r="D244" s="123">
        <f ca="1">SUM(D212:D242)</f>
        <v>3005764.6538142692</v>
      </c>
      <c r="E244" s="72">
        <f ca="1">IFERROR(F244 / (SUM($C212:$C242) / COUNT($C212:$C242)), 0)</f>
        <v>1.9215512714229198E-3</v>
      </c>
      <c r="F244" s="121">
        <f ca="1">SUM(F212:F242)</f>
        <v>5764.6538142687596</v>
      </c>
      <c r="G244" s="123">
        <f ca="1">SUM(G212:G242)</f>
        <v>3000000</v>
      </c>
      <c r="H244" s="72">
        <f ca="1">IFERROR(I244 / (SUM($C212:$C242) / COUNT($C212:$C242)), 0)</f>
        <v>0</v>
      </c>
      <c r="I244" s="121">
        <f ca="1">SUM(I212:I242)</f>
        <v>0</v>
      </c>
      <c r="J244" s="123">
        <f ca="1">SUM(J212:J242)</f>
        <v>3000000</v>
      </c>
      <c r="K244" s="72">
        <f ca="1">IFERROR(L244 / (SUM($C212:$C242) / COUNT($C212:$C242)), 0)</f>
        <v>0</v>
      </c>
      <c r="L244" s="121">
        <f ca="1">SUM(L212:L242)</f>
        <v>0</v>
      </c>
      <c r="M244" s="123">
        <f ca="1">SUM(M212:M242)</f>
        <v>3000000</v>
      </c>
      <c r="N244" s="72">
        <f ca="1">IFERROR(O244 / (SUM($C212:$C242) / COUNT($C212:$C242)), 0)</f>
        <v>0</v>
      </c>
      <c r="O244" s="121">
        <f ca="1">SUM(O212:O242)</f>
        <v>0</v>
      </c>
    </row>
    <row r="246" spans="1:15" ht="16.5" customHeight="1" thickBot="1"/>
    <row r="247" spans="1:15" ht="16.5" customHeight="1" thickBot="1">
      <c r="A247" s="135" t="str">
        <f>TEXT(투자전략!$G$1, "[$-ko-KR]yyyy년 mm월 ") &amp; "전일대비 상승률 Bottom20 월말결산"</f>
        <v>2023년 01월 전일대비 상승률 Bottom20 월말결산</v>
      </c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7"/>
    </row>
    <row r="248" spans="1:15" ht="16.5" customHeight="1" thickBot="1">
      <c r="A248" s="196" t="s">
        <v>271</v>
      </c>
      <c r="B248" s="150" t="s">
        <v>269</v>
      </c>
      <c r="C248" s="152"/>
      <c r="D248" s="150" t="s">
        <v>261</v>
      </c>
      <c r="E248" s="151"/>
      <c r="F248" s="152"/>
      <c r="G248" s="150" t="s">
        <v>262</v>
      </c>
      <c r="H248" s="151"/>
      <c r="I248" s="152"/>
      <c r="J248" s="150" t="s">
        <v>263</v>
      </c>
      <c r="K248" s="151"/>
      <c r="L248" s="152"/>
      <c r="M248" s="150" t="s">
        <v>264</v>
      </c>
      <c r="N248" s="151"/>
      <c r="O248" s="152"/>
    </row>
    <row r="249" spans="1:15" ht="16.5" customHeight="1" thickBot="1">
      <c r="A249" s="200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2023.01.01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3009476.2449241634</v>
      </c>
      <c r="E250" s="69">
        <f ca="1">IFERROR(INDIRECT($B250&amp;"!E199"), "")</f>
        <v>3.1587483080544169E-3</v>
      </c>
      <c r="F250" s="124">
        <f ca="1">IFERROR(INDIRECT($B250&amp;"!F199"), "")</f>
        <v>9476.2449241632512</v>
      </c>
      <c r="G250" s="125">
        <f ca="1">IFERROR($C250 * (1 + H250), "")</f>
        <v>3000000</v>
      </c>
      <c r="H250" s="69">
        <f ca="1">IFERROR(INDIRECT($B250&amp;"!H199"), "")</f>
        <v>0</v>
      </c>
      <c r="I250" s="124">
        <f ca="1">IFERROR(INDIRECT($B250&amp;"!I199"), "")</f>
        <v>0</v>
      </c>
      <c r="J250" s="125">
        <f ca="1">IFERROR($C250 * (1 + K250), "")</f>
        <v>3000000</v>
      </c>
      <c r="K250" s="69">
        <f ca="1">IFERROR(INDIRECT($B250&amp;"!K199"), "")</f>
        <v>0</v>
      </c>
      <c r="L250" s="124">
        <f ca="1">IFERROR(INDIRECT($B250&amp;"!L199"), "")</f>
        <v>0</v>
      </c>
      <c r="M250" s="125">
        <f ca="1">IFERROR($C250 * (1 + N250), "")</f>
        <v>3000000</v>
      </c>
      <c r="N250" s="69">
        <f ca="1">IFERROR(INDIRECT($B250&amp;"!N199"), "")</f>
        <v>0</v>
      </c>
      <c r="O250" s="124">
        <f ca="1">IFERROR(INDIRECT($B250&amp;"!O199"), "")</f>
        <v>0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2023.01.02</v>
      </c>
      <c r="C251" s="118" t="str">
        <f t="shared" ref="C251:C280" ca="1" si="78">IFERROR(COUNTA(INDIRECT($B251&amp;"!A179:A198")) * INDIRECT($B251&amp;"!B199"), "")</f>
        <v/>
      </c>
      <c r="D251" s="122" t="str">
        <f t="shared" ref="D251:D280" ca="1" si="79">IFERROR($C251 * (1 + E251), "")</f>
        <v/>
      </c>
      <c r="E251" s="70" t="str">
        <f t="shared" ref="E251:E280" ca="1" si="80">IFERROR(INDIRECT($B251&amp;"!E199"), "")</f>
        <v/>
      </c>
      <c r="F251" s="120" t="str">
        <f t="shared" ref="F251:F280" ca="1" si="81">IFERROR(INDIRECT($B251&amp;"!F199"), "")</f>
        <v/>
      </c>
      <c r="G251" s="122" t="str">
        <f t="shared" ref="G251:G280" ca="1" si="82">IFERROR($C251 * (1 + H251), "")</f>
        <v/>
      </c>
      <c r="H251" s="70" t="str">
        <f t="shared" ref="H251:H280" ca="1" si="83">IFERROR(INDIRECT($B251&amp;"!H199"), "")</f>
        <v/>
      </c>
      <c r="I251" s="120" t="str">
        <f t="shared" ref="I251:I280" ca="1" si="84">IFERROR(INDIRECT($B251&amp;"!I199"), "")</f>
        <v/>
      </c>
      <c r="J251" s="122" t="str">
        <f t="shared" ref="J251:J280" ca="1" si="85">IFERROR($C251 * (1 + K251), "")</f>
        <v/>
      </c>
      <c r="K251" s="70" t="str">
        <f t="shared" ref="K251:K280" ca="1" si="86">IFERROR(INDIRECT($B251&amp;"!K199"), "")</f>
        <v/>
      </c>
      <c r="L251" s="120" t="str">
        <f t="shared" ref="L251:L280" ca="1" si="87">IFERROR(INDIRECT($B251&amp;"!L199"), "")</f>
        <v/>
      </c>
      <c r="M251" s="122" t="str">
        <f t="shared" ref="M251:M280" ca="1" si="88">IFERROR($C251 * (1 + N251), "")</f>
        <v/>
      </c>
      <c r="N251" s="70" t="str">
        <f t="shared" ref="N251:N280" ca="1" si="89">IFERROR(INDIRECT($B251&amp;"!N199"), "")</f>
        <v/>
      </c>
      <c r="O251" s="120" t="str">
        <f t="shared" ref="O251:O280" ca="1" si="90">IFERROR(INDIRECT($B251&amp;"!O199"), "")</f>
        <v/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2023.01.03</v>
      </c>
      <c r="C252" s="118" t="str">
        <f t="shared" ca="1" si="78"/>
        <v/>
      </c>
      <c r="D252" s="122" t="str">
        <f t="shared" ca="1" si="79"/>
        <v/>
      </c>
      <c r="E252" s="70" t="str">
        <f t="shared" ca="1" si="80"/>
        <v/>
      </c>
      <c r="F252" s="120" t="str">
        <f t="shared" ca="1" si="81"/>
        <v/>
      </c>
      <c r="G252" s="122" t="str">
        <f t="shared" ca="1" si="82"/>
        <v/>
      </c>
      <c r="H252" s="70" t="str">
        <f t="shared" ca="1" si="83"/>
        <v/>
      </c>
      <c r="I252" s="120" t="str">
        <f t="shared" ca="1" si="84"/>
        <v/>
      </c>
      <c r="J252" s="122" t="str">
        <f t="shared" ca="1" si="85"/>
        <v/>
      </c>
      <c r="K252" s="70" t="str">
        <f t="shared" ca="1" si="86"/>
        <v/>
      </c>
      <c r="L252" s="120" t="str">
        <f t="shared" ca="1" si="87"/>
        <v/>
      </c>
      <c r="M252" s="122" t="str">
        <f t="shared" ca="1" si="88"/>
        <v/>
      </c>
      <c r="N252" s="70" t="str">
        <f t="shared" ca="1" si="89"/>
        <v/>
      </c>
      <c r="O252" s="120" t="str">
        <f t="shared" ca="1" si="90"/>
        <v/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2023.01.04</v>
      </c>
      <c r="C253" s="118" t="str">
        <f t="shared" ca="1" si="78"/>
        <v/>
      </c>
      <c r="D253" s="122" t="str">
        <f t="shared" ca="1" si="79"/>
        <v/>
      </c>
      <c r="E253" s="70" t="str">
        <f t="shared" ca="1" si="80"/>
        <v/>
      </c>
      <c r="F253" s="120" t="str">
        <f t="shared" ca="1" si="81"/>
        <v/>
      </c>
      <c r="G253" s="122" t="str">
        <f t="shared" ca="1" si="82"/>
        <v/>
      </c>
      <c r="H253" s="70" t="str">
        <f t="shared" ca="1" si="83"/>
        <v/>
      </c>
      <c r="I253" s="120" t="str">
        <f t="shared" ca="1" si="84"/>
        <v/>
      </c>
      <c r="J253" s="122" t="str">
        <f t="shared" ca="1" si="85"/>
        <v/>
      </c>
      <c r="K253" s="70" t="str">
        <f t="shared" ca="1" si="86"/>
        <v/>
      </c>
      <c r="L253" s="120" t="str">
        <f t="shared" ca="1" si="87"/>
        <v/>
      </c>
      <c r="M253" s="122" t="str">
        <f t="shared" ca="1" si="88"/>
        <v/>
      </c>
      <c r="N253" s="70" t="str">
        <f t="shared" ca="1" si="89"/>
        <v/>
      </c>
      <c r="O253" s="120" t="str">
        <f t="shared" ca="1" si="90"/>
        <v/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2023.01.05</v>
      </c>
      <c r="C254" s="118" t="str">
        <f t="shared" ca="1" si="78"/>
        <v/>
      </c>
      <c r="D254" s="122" t="str">
        <f t="shared" ca="1" si="79"/>
        <v/>
      </c>
      <c r="E254" s="70" t="str">
        <f t="shared" ca="1" si="80"/>
        <v/>
      </c>
      <c r="F254" s="120" t="str">
        <f t="shared" ca="1" si="81"/>
        <v/>
      </c>
      <c r="G254" s="122" t="str">
        <f t="shared" ca="1" si="82"/>
        <v/>
      </c>
      <c r="H254" s="70" t="str">
        <f t="shared" ca="1" si="83"/>
        <v/>
      </c>
      <c r="I254" s="120" t="str">
        <f t="shared" ca="1" si="84"/>
        <v/>
      </c>
      <c r="J254" s="122" t="str">
        <f t="shared" ca="1" si="85"/>
        <v/>
      </c>
      <c r="K254" s="70" t="str">
        <f t="shared" ca="1" si="86"/>
        <v/>
      </c>
      <c r="L254" s="120" t="str">
        <f t="shared" ca="1" si="87"/>
        <v/>
      </c>
      <c r="M254" s="122" t="str">
        <f t="shared" ca="1" si="88"/>
        <v/>
      </c>
      <c r="N254" s="70" t="str">
        <f t="shared" ca="1" si="89"/>
        <v/>
      </c>
      <c r="O254" s="120" t="str">
        <f t="shared" ca="1" si="90"/>
        <v/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2023.01.06</v>
      </c>
      <c r="C255" s="118" t="str">
        <f t="shared" ca="1" si="78"/>
        <v/>
      </c>
      <c r="D255" s="122" t="str">
        <f t="shared" ca="1" si="79"/>
        <v/>
      </c>
      <c r="E255" s="70" t="str">
        <f t="shared" ca="1" si="80"/>
        <v/>
      </c>
      <c r="F255" s="120" t="str">
        <f t="shared" ca="1" si="81"/>
        <v/>
      </c>
      <c r="G255" s="122" t="str">
        <f t="shared" ca="1" si="82"/>
        <v/>
      </c>
      <c r="H255" s="70" t="str">
        <f t="shared" ca="1" si="83"/>
        <v/>
      </c>
      <c r="I255" s="120" t="str">
        <f t="shared" ca="1" si="84"/>
        <v/>
      </c>
      <c r="J255" s="122" t="str">
        <f t="shared" ca="1" si="85"/>
        <v/>
      </c>
      <c r="K255" s="70" t="str">
        <f t="shared" ca="1" si="86"/>
        <v/>
      </c>
      <c r="L255" s="120" t="str">
        <f t="shared" ca="1" si="87"/>
        <v/>
      </c>
      <c r="M255" s="122" t="str">
        <f t="shared" ca="1" si="88"/>
        <v/>
      </c>
      <c r="N255" s="70" t="str">
        <f t="shared" ca="1" si="89"/>
        <v/>
      </c>
      <c r="O255" s="120" t="str">
        <f t="shared" ca="1" si="90"/>
        <v/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2023.01.07</v>
      </c>
      <c r="C256" s="118" t="str">
        <f t="shared" ca="1" si="78"/>
        <v/>
      </c>
      <c r="D256" s="122" t="str">
        <f t="shared" ca="1" si="79"/>
        <v/>
      </c>
      <c r="E256" s="70" t="str">
        <f t="shared" ca="1" si="80"/>
        <v/>
      </c>
      <c r="F256" s="120" t="str">
        <f t="shared" ca="1" si="81"/>
        <v/>
      </c>
      <c r="G256" s="122" t="str">
        <f t="shared" ca="1" si="82"/>
        <v/>
      </c>
      <c r="H256" s="70" t="str">
        <f t="shared" ca="1" si="83"/>
        <v/>
      </c>
      <c r="I256" s="120" t="str">
        <f t="shared" ca="1" si="84"/>
        <v/>
      </c>
      <c r="J256" s="122" t="str">
        <f t="shared" ca="1" si="85"/>
        <v/>
      </c>
      <c r="K256" s="70" t="str">
        <f t="shared" ca="1" si="86"/>
        <v/>
      </c>
      <c r="L256" s="120" t="str">
        <f t="shared" ca="1" si="87"/>
        <v/>
      </c>
      <c r="M256" s="122" t="str">
        <f t="shared" ca="1" si="88"/>
        <v/>
      </c>
      <c r="N256" s="70" t="str">
        <f t="shared" ca="1" si="89"/>
        <v/>
      </c>
      <c r="O256" s="120" t="str">
        <f t="shared" ca="1" si="90"/>
        <v/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2023.01.08</v>
      </c>
      <c r="C257" s="117" t="str">
        <f t="shared" ca="1" si="78"/>
        <v/>
      </c>
      <c r="D257" s="125" t="str">
        <f t="shared" ca="1" si="79"/>
        <v/>
      </c>
      <c r="E257" s="69" t="str">
        <f t="shared" ca="1" si="80"/>
        <v/>
      </c>
      <c r="F257" s="124" t="str">
        <f t="shared" ca="1" si="81"/>
        <v/>
      </c>
      <c r="G257" s="125" t="str">
        <f t="shared" ca="1" si="82"/>
        <v/>
      </c>
      <c r="H257" s="69" t="str">
        <f t="shared" ca="1" si="83"/>
        <v/>
      </c>
      <c r="I257" s="124" t="str">
        <f t="shared" ca="1" si="84"/>
        <v/>
      </c>
      <c r="J257" s="125" t="str">
        <f t="shared" ca="1" si="85"/>
        <v/>
      </c>
      <c r="K257" s="69" t="str">
        <f t="shared" ca="1" si="86"/>
        <v/>
      </c>
      <c r="L257" s="124" t="str">
        <f t="shared" ca="1" si="87"/>
        <v/>
      </c>
      <c r="M257" s="125" t="str">
        <f t="shared" ca="1" si="88"/>
        <v/>
      </c>
      <c r="N257" s="69" t="str">
        <f t="shared" ca="1" si="89"/>
        <v/>
      </c>
      <c r="O257" s="124" t="str">
        <f t="shared" ca="1" si="90"/>
        <v/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2023.01.09</v>
      </c>
      <c r="C258" s="118" t="str">
        <f t="shared" ca="1" si="78"/>
        <v/>
      </c>
      <c r="D258" s="122" t="str">
        <f t="shared" ca="1" si="79"/>
        <v/>
      </c>
      <c r="E258" s="70" t="str">
        <f t="shared" ca="1" si="80"/>
        <v/>
      </c>
      <c r="F258" s="120" t="str">
        <f t="shared" ca="1" si="81"/>
        <v/>
      </c>
      <c r="G258" s="122" t="str">
        <f t="shared" ca="1" si="82"/>
        <v/>
      </c>
      <c r="H258" s="70" t="str">
        <f t="shared" ca="1" si="83"/>
        <v/>
      </c>
      <c r="I258" s="120" t="str">
        <f t="shared" ca="1" si="84"/>
        <v/>
      </c>
      <c r="J258" s="122" t="str">
        <f t="shared" ca="1" si="85"/>
        <v/>
      </c>
      <c r="K258" s="70" t="str">
        <f t="shared" ca="1" si="86"/>
        <v/>
      </c>
      <c r="L258" s="120" t="str">
        <f t="shared" ca="1" si="87"/>
        <v/>
      </c>
      <c r="M258" s="122" t="str">
        <f t="shared" ca="1" si="88"/>
        <v/>
      </c>
      <c r="N258" s="70" t="str">
        <f t="shared" ca="1" si="89"/>
        <v/>
      </c>
      <c r="O258" s="120" t="str">
        <f t="shared" ca="1" si="90"/>
        <v/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2023.01.10</v>
      </c>
      <c r="C259" s="118" t="str">
        <f t="shared" ca="1" si="78"/>
        <v/>
      </c>
      <c r="D259" s="122" t="str">
        <f t="shared" ca="1" si="79"/>
        <v/>
      </c>
      <c r="E259" s="70" t="str">
        <f t="shared" ca="1" si="80"/>
        <v/>
      </c>
      <c r="F259" s="120" t="str">
        <f t="shared" ca="1" si="81"/>
        <v/>
      </c>
      <c r="G259" s="122" t="str">
        <f t="shared" ca="1" si="82"/>
        <v/>
      </c>
      <c r="H259" s="70" t="str">
        <f t="shared" ca="1" si="83"/>
        <v/>
      </c>
      <c r="I259" s="120" t="str">
        <f t="shared" ca="1" si="84"/>
        <v/>
      </c>
      <c r="J259" s="122" t="str">
        <f t="shared" ca="1" si="85"/>
        <v/>
      </c>
      <c r="K259" s="70" t="str">
        <f t="shared" ca="1" si="86"/>
        <v/>
      </c>
      <c r="L259" s="120" t="str">
        <f t="shared" ca="1" si="87"/>
        <v/>
      </c>
      <c r="M259" s="122" t="str">
        <f t="shared" ca="1" si="88"/>
        <v/>
      </c>
      <c r="N259" s="70" t="str">
        <f t="shared" ca="1" si="89"/>
        <v/>
      </c>
      <c r="O259" s="120" t="str">
        <f t="shared" ca="1" si="90"/>
        <v/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2023.01.11</v>
      </c>
      <c r="C260" s="118" t="str">
        <f t="shared" ca="1" si="78"/>
        <v/>
      </c>
      <c r="D260" s="122" t="str">
        <f t="shared" ca="1" si="79"/>
        <v/>
      </c>
      <c r="E260" s="70" t="str">
        <f t="shared" ca="1" si="80"/>
        <v/>
      </c>
      <c r="F260" s="120" t="str">
        <f t="shared" ca="1" si="81"/>
        <v/>
      </c>
      <c r="G260" s="122" t="str">
        <f t="shared" ca="1" si="82"/>
        <v/>
      </c>
      <c r="H260" s="70" t="str">
        <f t="shared" ca="1" si="83"/>
        <v/>
      </c>
      <c r="I260" s="120" t="str">
        <f t="shared" ca="1" si="84"/>
        <v/>
      </c>
      <c r="J260" s="122" t="str">
        <f t="shared" ca="1" si="85"/>
        <v/>
      </c>
      <c r="K260" s="70" t="str">
        <f t="shared" ca="1" si="86"/>
        <v/>
      </c>
      <c r="L260" s="120" t="str">
        <f t="shared" ca="1" si="87"/>
        <v/>
      </c>
      <c r="M260" s="122" t="str">
        <f t="shared" ca="1" si="88"/>
        <v/>
      </c>
      <c r="N260" s="70" t="str">
        <f t="shared" ca="1" si="89"/>
        <v/>
      </c>
      <c r="O260" s="120" t="str">
        <f t="shared" ca="1" si="90"/>
        <v/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2023.01.12</v>
      </c>
      <c r="C261" s="118" t="str">
        <f t="shared" ca="1" si="78"/>
        <v/>
      </c>
      <c r="D261" s="122" t="str">
        <f t="shared" ca="1" si="79"/>
        <v/>
      </c>
      <c r="E261" s="70" t="str">
        <f t="shared" ca="1" si="80"/>
        <v/>
      </c>
      <c r="F261" s="120" t="str">
        <f t="shared" ca="1" si="81"/>
        <v/>
      </c>
      <c r="G261" s="122" t="str">
        <f t="shared" ca="1" si="82"/>
        <v/>
      </c>
      <c r="H261" s="70" t="str">
        <f t="shared" ca="1" si="83"/>
        <v/>
      </c>
      <c r="I261" s="120" t="str">
        <f t="shared" ca="1" si="84"/>
        <v/>
      </c>
      <c r="J261" s="122" t="str">
        <f t="shared" ca="1" si="85"/>
        <v/>
      </c>
      <c r="K261" s="70" t="str">
        <f t="shared" ca="1" si="86"/>
        <v/>
      </c>
      <c r="L261" s="120" t="str">
        <f t="shared" ca="1" si="87"/>
        <v/>
      </c>
      <c r="M261" s="122" t="str">
        <f t="shared" ca="1" si="88"/>
        <v/>
      </c>
      <c r="N261" s="70" t="str">
        <f t="shared" ca="1" si="89"/>
        <v/>
      </c>
      <c r="O261" s="120" t="str">
        <f t="shared" ca="1" si="90"/>
        <v/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2023.01.13</v>
      </c>
      <c r="C262" s="118" t="str">
        <f t="shared" ca="1" si="78"/>
        <v/>
      </c>
      <c r="D262" s="122" t="str">
        <f t="shared" ca="1" si="79"/>
        <v/>
      </c>
      <c r="E262" s="70" t="str">
        <f t="shared" ca="1" si="80"/>
        <v/>
      </c>
      <c r="F262" s="120" t="str">
        <f t="shared" ca="1" si="81"/>
        <v/>
      </c>
      <c r="G262" s="122" t="str">
        <f t="shared" ca="1" si="82"/>
        <v/>
      </c>
      <c r="H262" s="70" t="str">
        <f t="shared" ca="1" si="83"/>
        <v/>
      </c>
      <c r="I262" s="120" t="str">
        <f t="shared" ca="1" si="84"/>
        <v/>
      </c>
      <c r="J262" s="122" t="str">
        <f t="shared" ca="1" si="85"/>
        <v/>
      </c>
      <c r="K262" s="70" t="str">
        <f t="shared" ca="1" si="86"/>
        <v/>
      </c>
      <c r="L262" s="120" t="str">
        <f t="shared" ca="1" si="87"/>
        <v/>
      </c>
      <c r="M262" s="122" t="str">
        <f t="shared" ca="1" si="88"/>
        <v/>
      </c>
      <c r="N262" s="70" t="str">
        <f t="shared" ca="1" si="89"/>
        <v/>
      </c>
      <c r="O262" s="120" t="str">
        <f t="shared" ca="1" si="90"/>
        <v/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2023.01.14</v>
      </c>
      <c r="C263" s="119" t="str">
        <f t="shared" ca="1" si="78"/>
        <v/>
      </c>
      <c r="D263" s="123" t="str">
        <f t="shared" ca="1" si="79"/>
        <v/>
      </c>
      <c r="E263" s="72" t="str">
        <f t="shared" ca="1" si="80"/>
        <v/>
      </c>
      <c r="F263" s="121" t="str">
        <f t="shared" ca="1" si="81"/>
        <v/>
      </c>
      <c r="G263" s="123" t="str">
        <f t="shared" ca="1" si="82"/>
        <v/>
      </c>
      <c r="H263" s="72" t="str">
        <f t="shared" ca="1" si="83"/>
        <v/>
      </c>
      <c r="I263" s="121" t="str">
        <f t="shared" ca="1" si="84"/>
        <v/>
      </c>
      <c r="J263" s="123" t="str">
        <f t="shared" ca="1" si="85"/>
        <v/>
      </c>
      <c r="K263" s="72" t="str">
        <f t="shared" ca="1" si="86"/>
        <v/>
      </c>
      <c r="L263" s="121" t="str">
        <f t="shared" ca="1" si="87"/>
        <v/>
      </c>
      <c r="M263" s="123" t="str">
        <f t="shared" ca="1" si="88"/>
        <v/>
      </c>
      <c r="N263" s="72" t="str">
        <f t="shared" ca="1" si="89"/>
        <v/>
      </c>
      <c r="O263" s="121" t="str">
        <f t="shared" ca="1" si="90"/>
        <v/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2023.01.15</v>
      </c>
      <c r="C264" s="118" t="str">
        <f t="shared" ca="1" si="78"/>
        <v/>
      </c>
      <c r="D264" s="122" t="str">
        <f t="shared" ca="1" si="79"/>
        <v/>
      </c>
      <c r="E264" s="70" t="str">
        <f t="shared" ca="1" si="80"/>
        <v/>
      </c>
      <c r="F264" s="120" t="str">
        <f t="shared" ca="1" si="81"/>
        <v/>
      </c>
      <c r="G264" s="122" t="str">
        <f t="shared" ca="1" si="82"/>
        <v/>
      </c>
      <c r="H264" s="70" t="str">
        <f t="shared" ca="1" si="83"/>
        <v/>
      </c>
      <c r="I264" s="120" t="str">
        <f t="shared" ca="1" si="84"/>
        <v/>
      </c>
      <c r="J264" s="122" t="str">
        <f t="shared" ca="1" si="85"/>
        <v/>
      </c>
      <c r="K264" s="70" t="str">
        <f t="shared" ca="1" si="86"/>
        <v/>
      </c>
      <c r="L264" s="120" t="str">
        <f t="shared" ca="1" si="87"/>
        <v/>
      </c>
      <c r="M264" s="122" t="str">
        <f t="shared" ca="1" si="88"/>
        <v/>
      </c>
      <c r="N264" s="70" t="str">
        <f t="shared" ca="1" si="89"/>
        <v/>
      </c>
      <c r="O264" s="120" t="str">
        <f t="shared" ca="1" si="90"/>
        <v/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2023.01.16</v>
      </c>
      <c r="C265" s="118" t="str">
        <f t="shared" ca="1" si="78"/>
        <v/>
      </c>
      <c r="D265" s="122" t="str">
        <f t="shared" ca="1" si="79"/>
        <v/>
      </c>
      <c r="E265" s="70" t="str">
        <f t="shared" ca="1" si="80"/>
        <v/>
      </c>
      <c r="F265" s="120" t="str">
        <f t="shared" ca="1" si="81"/>
        <v/>
      </c>
      <c r="G265" s="122" t="str">
        <f t="shared" ca="1" si="82"/>
        <v/>
      </c>
      <c r="H265" s="70" t="str">
        <f t="shared" ca="1" si="83"/>
        <v/>
      </c>
      <c r="I265" s="120" t="str">
        <f t="shared" ca="1" si="84"/>
        <v/>
      </c>
      <c r="J265" s="122" t="str">
        <f t="shared" ca="1" si="85"/>
        <v/>
      </c>
      <c r="K265" s="70" t="str">
        <f t="shared" ca="1" si="86"/>
        <v/>
      </c>
      <c r="L265" s="120" t="str">
        <f t="shared" ca="1" si="87"/>
        <v/>
      </c>
      <c r="M265" s="122" t="str">
        <f t="shared" ca="1" si="88"/>
        <v/>
      </c>
      <c r="N265" s="70" t="str">
        <f t="shared" ca="1" si="89"/>
        <v/>
      </c>
      <c r="O265" s="120" t="str">
        <f t="shared" ca="1" si="90"/>
        <v/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2023.01.17</v>
      </c>
      <c r="C266" s="118" t="str">
        <f t="shared" ca="1" si="78"/>
        <v/>
      </c>
      <c r="D266" s="122" t="str">
        <f t="shared" ca="1" si="79"/>
        <v/>
      </c>
      <c r="E266" s="70" t="str">
        <f t="shared" ca="1" si="80"/>
        <v/>
      </c>
      <c r="F266" s="120" t="str">
        <f t="shared" ca="1" si="81"/>
        <v/>
      </c>
      <c r="G266" s="122" t="str">
        <f t="shared" ca="1" si="82"/>
        <v/>
      </c>
      <c r="H266" s="70" t="str">
        <f t="shared" ca="1" si="83"/>
        <v/>
      </c>
      <c r="I266" s="120" t="str">
        <f t="shared" ca="1" si="84"/>
        <v/>
      </c>
      <c r="J266" s="122" t="str">
        <f t="shared" ca="1" si="85"/>
        <v/>
      </c>
      <c r="K266" s="70" t="str">
        <f t="shared" ca="1" si="86"/>
        <v/>
      </c>
      <c r="L266" s="120" t="str">
        <f t="shared" ca="1" si="87"/>
        <v/>
      </c>
      <c r="M266" s="122" t="str">
        <f t="shared" ca="1" si="88"/>
        <v/>
      </c>
      <c r="N266" s="70" t="str">
        <f t="shared" ca="1" si="89"/>
        <v/>
      </c>
      <c r="O266" s="120" t="str">
        <f t="shared" ca="1" si="90"/>
        <v/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2023.01.18</v>
      </c>
      <c r="C267" s="118" t="str">
        <f t="shared" ca="1" si="78"/>
        <v/>
      </c>
      <c r="D267" s="122" t="str">
        <f t="shared" ca="1" si="79"/>
        <v/>
      </c>
      <c r="E267" s="70" t="str">
        <f t="shared" ca="1" si="80"/>
        <v/>
      </c>
      <c r="F267" s="120" t="str">
        <f t="shared" ca="1" si="81"/>
        <v/>
      </c>
      <c r="G267" s="122" t="str">
        <f t="shared" ca="1" si="82"/>
        <v/>
      </c>
      <c r="H267" s="70" t="str">
        <f t="shared" ca="1" si="83"/>
        <v/>
      </c>
      <c r="I267" s="120" t="str">
        <f t="shared" ca="1" si="84"/>
        <v/>
      </c>
      <c r="J267" s="122" t="str">
        <f t="shared" ca="1" si="85"/>
        <v/>
      </c>
      <c r="K267" s="70" t="str">
        <f t="shared" ca="1" si="86"/>
        <v/>
      </c>
      <c r="L267" s="120" t="str">
        <f t="shared" ca="1" si="87"/>
        <v/>
      </c>
      <c r="M267" s="122" t="str">
        <f t="shared" ca="1" si="88"/>
        <v/>
      </c>
      <c r="N267" s="70" t="str">
        <f t="shared" ca="1" si="89"/>
        <v/>
      </c>
      <c r="O267" s="120" t="str">
        <f t="shared" ca="1" si="90"/>
        <v/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2023.01.19</v>
      </c>
      <c r="C268" s="118" t="str">
        <f t="shared" ca="1" si="78"/>
        <v/>
      </c>
      <c r="D268" s="122" t="str">
        <f t="shared" ca="1" si="79"/>
        <v/>
      </c>
      <c r="E268" s="70" t="str">
        <f t="shared" ca="1" si="80"/>
        <v/>
      </c>
      <c r="F268" s="120" t="str">
        <f t="shared" ca="1" si="81"/>
        <v/>
      </c>
      <c r="G268" s="122" t="str">
        <f t="shared" ca="1" si="82"/>
        <v/>
      </c>
      <c r="H268" s="70" t="str">
        <f t="shared" ca="1" si="83"/>
        <v/>
      </c>
      <c r="I268" s="120" t="str">
        <f t="shared" ca="1" si="84"/>
        <v/>
      </c>
      <c r="J268" s="122" t="str">
        <f t="shared" ca="1" si="85"/>
        <v/>
      </c>
      <c r="K268" s="70" t="str">
        <f t="shared" ca="1" si="86"/>
        <v/>
      </c>
      <c r="L268" s="120" t="str">
        <f t="shared" ca="1" si="87"/>
        <v/>
      </c>
      <c r="M268" s="122" t="str">
        <f t="shared" ca="1" si="88"/>
        <v/>
      </c>
      <c r="N268" s="70" t="str">
        <f t="shared" ca="1" si="89"/>
        <v/>
      </c>
      <c r="O268" s="120" t="str">
        <f t="shared" ca="1" si="90"/>
        <v/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2023.01.20</v>
      </c>
      <c r="C269" s="118" t="str">
        <f t="shared" ca="1" si="78"/>
        <v/>
      </c>
      <c r="D269" s="122" t="str">
        <f t="shared" ca="1" si="79"/>
        <v/>
      </c>
      <c r="E269" s="70" t="str">
        <f t="shared" ca="1" si="80"/>
        <v/>
      </c>
      <c r="F269" s="120" t="str">
        <f t="shared" ca="1" si="81"/>
        <v/>
      </c>
      <c r="G269" s="122" t="str">
        <f t="shared" ca="1" si="82"/>
        <v/>
      </c>
      <c r="H269" s="70" t="str">
        <f t="shared" ca="1" si="83"/>
        <v/>
      </c>
      <c r="I269" s="120" t="str">
        <f t="shared" ca="1" si="84"/>
        <v/>
      </c>
      <c r="J269" s="122" t="str">
        <f t="shared" ca="1" si="85"/>
        <v/>
      </c>
      <c r="K269" s="70" t="str">
        <f t="shared" ca="1" si="86"/>
        <v/>
      </c>
      <c r="L269" s="120" t="str">
        <f t="shared" ca="1" si="87"/>
        <v/>
      </c>
      <c r="M269" s="122" t="str">
        <f t="shared" ca="1" si="88"/>
        <v/>
      </c>
      <c r="N269" s="70" t="str">
        <f t="shared" ca="1" si="89"/>
        <v/>
      </c>
      <c r="O269" s="120" t="str">
        <f t="shared" ca="1" si="90"/>
        <v/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2023.01.21</v>
      </c>
      <c r="C270" s="118" t="str">
        <f t="shared" ca="1" si="78"/>
        <v/>
      </c>
      <c r="D270" s="122" t="str">
        <f t="shared" ca="1" si="79"/>
        <v/>
      </c>
      <c r="E270" s="70" t="str">
        <f t="shared" ca="1" si="80"/>
        <v/>
      </c>
      <c r="F270" s="120" t="str">
        <f t="shared" ca="1" si="81"/>
        <v/>
      </c>
      <c r="G270" s="122" t="str">
        <f t="shared" ca="1" si="82"/>
        <v/>
      </c>
      <c r="H270" s="70" t="str">
        <f t="shared" ca="1" si="83"/>
        <v/>
      </c>
      <c r="I270" s="120" t="str">
        <f t="shared" ca="1" si="84"/>
        <v/>
      </c>
      <c r="J270" s="122" t="str">
        <f t="shared" ca="1" si="85"/>
        <v/>
      </c>
      <c r="K270" s="70" t="str">
        <f t="shared" ca="1" si="86"/>
        <v/>
      </c>
      <c r="L270" s="120" t="str">
        <f t="shared" ca="1" si="87"/>
        <v/>
      </c>
      <c r="M270" s="122" t="str">
        <f t="shared" ca="1" si="88"/>
        <v/>
      </c>
      <c r="N270" s="70" t="str">
        <f t="shared" ca="1" si="89"/>
        <v/>
      </c>
      <c r="O270" s="120" t="str">
        <f t="shared" ca="1" si="90"/>
        <v/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2023.01.22</v>
      </c>
      <c r="C271" s="117" t="str">
        <f t="shared" ca="1" si="78"/>
        <v/>
      </c>
      <c r="D271" s="125" t="str">
        <f t="shared" ca="1" si="79"/>
        <v/>
      </c>
      <c r="E271" s="69" t="str">
        <f t="shared" ca="1" si="80"/>
        <v/>
      </c>
      <c r="F271" s="124" t="str">
        <f t="shared" ca="1" si="81"/>
        <v/>
      </c>
      <c r="G271" s="125" t="str">
        <f t="shared" ca="1" si="82"/>
        <v/>
      </c>
      <c r="H271" s="69" t="str">
        <f t="shared" ca="1" si="83"/>
        <v/>
      </c>
      <c r="I271" s="124" t="str">
        <f t="shared" ca="1" si="84"/>
        <v/>
      </c>
      <c r="J271" s="125" t="str">
        <f t="shared" ca="1" si="85"/>
        <v/>
      </c>
      <c r="K271" s="69" t="str">
        <f t="shared" ca="1" si="86"/>
        <v/>
      </c>
      <c r="L271" s="124" t="str">
        <f t="shared" ca="1" si="87"/>
        <v/>
      </c>
      <c r="M271" s="125" t="str">
        <f t="shared" ca="1" si="88"/>
        <v/>
      </c>
      <c r="N271" s="69" t="str">
        <f t="shared" ca="1" si="89"/>
        <v/>
      </c>
      <c r="O271" s="124" t="str">
        <f t="shared" ca="1" si="90"/>
        <v/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2023.01.23</v>
      </c>
      <c r="C272" s="118" t="str">
        <f t="shared" ca="1" si="78"/>
        <v/>
      </c>
      <c r="D272" s="122" t="str">
        <f t="shared" ca="1" si="79"/>
        <v/>
      </c>
      <c r="E272" s="70" t="str">
        <f t="shared" ca="1" si="80"/>
        <v/>
      </c>
      <c r="F272" s="120" t="str">
        <f t="shared" ca="1" si="81"/>
        <v/>
      </c>
      <c r="G272" s="122" t="str">
        <f t="shared" ca="1" si="82"/>
        <v/>
      </c>
      <c r="H272" s="70" t="str">
        <f t="shared" ca="1" si="83"/>
        <v/>
      </c>
      <c r="I272" s="120" t="str">
        <f t="shared" ca="1" si="84"/>
        <v/>
      </c>
      <c r="J272" s="122" t="str">
        <f t="shared" ca="1" si="85"/>
        <v/>
      </c>
      <c r="K272" s="70" t="str">
        <f t="shared" ca="1" si="86"/>
        <v/>
      </c>
      <c r="L272" s="120" t="str">
        <f t="shared" ca="1" si="87"/>
        <v/>
      </c>
      <c r="M272" s="122" t="str">
        <f t="shared" ca="1" si="88"/>
        <v/>
      </c>
      <c r="N272" s="70" t="str">
        <f t="shared" ca="1" si="89"/>
        <v/>
      </c>
      <c r="O272" s="120" t="str">
        <f t="shared" ca="1" si="90"/>
        <v/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2023.01.24</v>
      </c>
      <c r="C273" s="118" t="str">
        <f t="shared" ca="1" si="78"/>
        <v/>
      </c>
      <c r="D273" s="122" t="str">
        <f t="shared" ca="1" si="79"/>
        <v/>
      </c>
      <c r="E273" s="70" t="str">
        <f t="shared" ca="1" si="80"/>
        <v/>
      </c>
      <c r="F273" s="120" t="str">
        <f t="shared" ca="1" si="81"/>
        <v/>
      </c>
      <c r="G273" s="122" t="str">
        <f t="shared" ca="1" si="82"/>
        <v/>
      </c>
      <c r="H273" s="70" t="str">
        <f t="shared" ca="1" si="83"/>
        <v/>
      </c>
      <c r="I273" s="120" t="str">
        <f t="shared" ca="1" si="84"/>
        <v/>
      </c>
      <c r="J273" s="122" t="str">
        <f t="shared" ca="1" si="85"/>
        <v/>
      </c>
      <c r="K273" s="70" t="str">
        <f t="shared" ca="1" si="86"/>
        <v/>
      </c>
      <c r="L273" s="120" t="str">
        <f t="shared" ca="1" si="87"/>
        <v/>
      </c>
      <c r="M273" s="122" t="str">
        <f t="shared" ca="1" si="88"/>
        <v/>
      </c>
      <c r="N273" s="70" t="str">
        <f t="shared" ca="1" si="89"/>
        <v/>
      </c>
      <c r="O273" s="120" t="str">
        <f t="shared" ca="1" si="90"/>
        <v/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2023.01.25</v>
      </c>
      <c r="C274" s="118" t="str">
        <f t="shared" ca="1" si="78"/>
        <v/>
      </c>
      <c r="D274" s="122" t="str">
        <f t="shared" ca="1" si="79"/>
        <v/>
      </c>
      <c r="E274" s="70" t="str">
        <f t="shared" ca="1" si="80"/>
        <v/>
      </c>
      <c r="F274" s="120" t="str">
        <f t="shared" ca="1" si="81"/>
        <v/>
      </c>
      <c r="G274" s="122" t="str">
        <f t="shared" ca="1" si="82"/>
        <v/>
      </c>
      <c r="H274" s="70" t="str">
        <f t="shared" ca="1" si="83"/>
        <v/>
      </c>
      <c r="I274" s="120" t="str">
        <f t="shared" ca="1" si="84"/>
        <v/>
      </c>
      <c r="J274" s="122" t="str">
        <f t="shared" ca="1" si="85"/>
        <v/>
      </c>
      <c r="K274" s="70" t="str">
        <f t="shared" ca="1" si="86"/>
        <v/>
      </c>
      <c r="L274" s="120" t="str">
        <f t="shared" ca="1" si="87"/>
        <v/>
      </c>
      <c r="M274" s="122" t="str">
        <f t="shared" ca="1" si="88"/>
        <v/>
      </c>
      <c r="N274" s="70" t="str">
        <f t="shared" ca="1" si="89"/>
        <v/>
      </c>
      <c r="O274" s="120" t="str">
        <f t="shared" ca="1" si="90"/>
        <v/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2023.01.26</v>
      </c>
      <c r="C275" s="118" t="str">
        <f t="shared" ca="1" si="78"/>
        <v/>
      </c>
      <c r="D275" s="122" t="str">
        <f t="shared" ca="1" si="79"/>
        <v/>
      </c>
      <c r="E275" s="70" t="str">
        <f t="shared" ca="1" si="80"/>
        <v/>
      </c>
      <c r="F275" s="120" t="str">
        <f t="shared" ca="1" si="81"/>
        <v/>
      </c>
      <c r="G275" s="122" t="str">
        <f t="shared" ca="1" si="82"/>
        <v/>
      </c>
      <c r="H275" s="70" t="str">
        <f t="shared" ca="1" si="83"/>
        <v/>
      </c>
      <c r="I275" s="120" t="str">
        <f t="shared" ca="1" si="84"/>
        <v/>
      </c>
      <c r="J275" s="122" t="str">
        <f t="shared" ca="1" si="85"/>
        <v/>
      </c>
      <c r="K275" s="70" t="str">
        <f t="shared" ca="1" si="86"/>
        <v/>
      </c>
      <c r="L275" s="120" t="str">
        <f t="shared" ca="1" si="87"/>
        <v/>
      </c>
      <c r="M275" s="122" t="str">
        <f t="shared" ca="1" si="88"/>
        <v/>
      </c>
      <c r="N275" s="70" t="str">
        <f t="shared" ca="1" si="89"/>
        <v/>
      </c>
      <c r="O275" s="120" t="str">
        <f t="shared" ca="1" si="90"/>
        <v/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2023.01.27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2023.01.28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2023.01.29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2023.01.30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2023.01.31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44" t="s">
        <v>270</v>
      </c>
      <c r="B281" s="146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50"/>
      <c r="B282" s="152"/>
      <c r="C282" s="119">
        <f ca="1">SUM(C250:C280)</f>
        <v>3000000</v>
      </c>
      <c r="D282" s="123">
        <f ca="1">SUM(D250:D280)</f>
        <v>3009476.2449241634</v>
      </c>
      <c r="E282" s="72">
        <f ca="1">IFERROR(F282 / (SUM($C250:$C280) / COUNT($C250:$C280)), 0)</f>
        <v>3.1587483080544169E-3</v>
      </c>
      <c r="F282" s="121">
        <f ca="1">SUM(F250:F280)</f>
        <v>9476.2449241632512</v>
      </c>
      <c r="G282" s="123">
        <f ca="1">SUM(G250:G280)</f>
        <v>3000000</v>
      </c>
      <c r="H282" s="72">
        <f ca="1">IFERROR(I282 / (SUM($C250:$C280) / COUNT($C250:$C280)), 0)</f>
        <v>0</v>
      </c>
      <c r="I282" s="121">
        <f ca="1">SUM(I250:I280)</f>
        <v>0</v>
      </c>
      <c r="J282" s="123">
        <f ca="1">SUM(J250:J280)</f>
        <v>3000000</v>
      </c>
      <c r="K282" s="72">
        <f ca="1">IFERROR(L282 / (SUM($C250:$C280) / COUNT($C250:$C280)), 0)</f>
        <v>0</v>
      </c>
      <c r="L282" s="121">
        <f ca="1">SUM(L250:L280)</f>
        <v>0</v>
      </c>
      <c r="M282" s="123">
        <f ca="1">SUM(M250:M280)</f>
        <v>3000000</v>
      </c>
      <c r="N282" s="72">
        <f ca="1">IFERROR(O282 / (SUM($C250:$C280) / COUNT($C250:$C280)), 0)</f>
        <v>0</v>
      </c>
      <c r="O282" s="121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16D62-8F7F-4774-8136-9E04F3DBE41C}">
  <sheetPr codeName="Sheet6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44927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3,536 KRW (0.12%)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2,324 KRW (0.08%)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3,246 KRW (0.11%)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9,476 KRW (0.32%)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21085000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2.8464350000000001E-4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2023-01-01(일) 오전 00:00</v>
      </c>
      <c r="C15" s="202"/>
      <c r="D15" s="158" t="str">
        <f>TEXT($G$1, "[$-ko-KR]yyyy-mm-dd(ddd) ") &amp; "오후 14:00"</f>
        <v>2023-01-01(일) 오후 14:00</v>
      </c>
      <c r="E15" s="159"/>
      <c r="F15" s="160"/>
      <c r="G15" s="158" t="str">
        <f>TEXT($G$1, "[$-ko-KR]yyyy-mm-dd(ddd) ") &amp; "오후 19:00"</f>
        <v>2023-01-01(일) 오후 19:00</v>
      </c>
      <c r="H15" s="159"/>
      <c r="I15" s="160"/>
      <c r="J15" s="158" t="str">
        <f>TEXT($G$1, "[$-ko-KR]yyyy-mm-dd(ddd) ") &amp; "오후 21:00"</f>
        <v>2023-01-01(일) 오후 21:00</v>
      </c>
      <c r="K15" s="159"/>
      <c r="L15" s="160"/>
      <c r="M15" s="158" t="str">
        <f>TEXT($G$1+1, "[$-ko-KR]yyyy-mm-dd(ddd) ") &amp; "오전 00:00"</f>
        <v>2023-01-02(월)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21085000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2.8464350000000001E-4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2023-01-01(일) 오전 00:00</v>
      </c>
      <c r="C42" s="199"/>
      <c r="D42" s="158" t="str">
        <f>TEXT($G$1, "[$-ko-KR]yyyy-mm-dd(ddd) ") &amp; "오후 14:00"</f>
        <v>2023-01-01(일) 오후 14:00</v>
      </c>
      <c r="E42" s="159"/>
      <c r="F42" s="160"/>
      <c r="G42" s="158" t="str">
        <f>TEXT($G$1, "[$-ko-KR]yyyy-mm-dd(ddd) ") &amp; "오후 19:00"</f>
        <v>2023-01-01(일) 오후 19:00</v>
      </c>
      <c r="H42" s="159"/>
      <c r="I42" s="160"/>
      <c r="J42" s="158" t="str">
        <f>TEXT($G$1, "[$-ko-KR]yyyy-mm-dd(ddd) ") &amp; "오후 21:00"</f>
        <v>2023-01-01(일) 오후 21:00</v>
      </c>
      <c r="K42" s="159"/>
      <c r="L42" s="160"/>
      <c r="M42" s="158" t="str">
        <f>TEXT($G$1+1, "[$-ko-KR]yyyy-mm-dd(ddd) ") &amp; "오전 00:00"</f>
        <v>2023-01-02(월)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 t="s">
        <v>205</v>
      </c>
      <c r="B44" s="108">
        <v>92</v>
      </c>
      <c r="C44" s="69">
        <v>4.5454545499999999E-2</v>
      </c>
      <c r="D44" s="13">
        <v>92.3</v>
      </c>
      <c r="E44" s="14">
        <f>IF(ISNUMBER(D44), (D44 - $B44) / $B44, "")</f>
        <v>3.2608695652173603E-3</v>
      </c>
      <c r="F44" s="16">
        <f>IF(ISNUMBER(D44), $B64 * E44, "")</f>
        <v>489.13043478260403</v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191</v>
      </c>
      <c r="B45" s="110">
        <v>47.2</v>
      </c>
      <c r="C45" s="70">
        <v>4.4247787599999998E-2</v>
      </c>
      <c r="D45" s="15">
        <v>47</v>
      </c>
      <c r="E45" s="32">
        <f t="shared" ref="E45:E48" si="14">IF(ISNUMBER(D45), (D45 - $B45) / $B45, "")</f>
        <v>-4.2372881355932802E-3</v>
      </c>
      <c r="F45" s="18">
        <f>IF(ISNUMBER(D45), $B64 * E45, "")</f>
        <v>-635.59322033899207</v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241</v>
      </c>
      <c r="B46" s="110">
        <v>87.9</v>
      </c>
      <c r="C46" s="70">
        <v>3.6556603799999997E-2</v>
      </c>
      <c r="D46" s="15">
        <v>87.5</v>
      </c>
      <c r="E46" s="32">
        <f t="shared" si="14"/>
        <v>-4.5506257110353313E-3</v>
      </c>
      <c r="F46" s="18">
        <f>IF(ISNUMBER(D46), $B64 * E46, "")</f>
        <v>-682.59385665529965</v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 t="s">
        <v>71</v>
      </c>
      <c r="B47" s="110">
        <v>9.64</v>
      </c>
      <c r="C47" s="70">
        <v>2.22693531E-2</v>
      </c>
      <c r="D47" s="15">
        <v>9.86</v>
      </c>
      <c r="E47" s="32">
        <f t="shared" si="14"/>
        <v>2.2821576763485358E-2</v>
      </c>
      <c r="F47" s="18">
        <f>IF(ISNUMBER(D47), $B64 * E47, "")</f>
        <v>3423.2365145228036</v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 t="s">
        <v>225</v>
      </c>
      <c r="B48" s="112">
        <v>51.7</v>
      </c>
      <c r="C48" s="71">
        <v>2.1739130400000001E-2</v>
      </c>
      <c r="D48" s="20">
        <v>51.5</v>
      </c>
      <c r="E48" s="21">
        <f t="shared" si="14"/>
        <v>-3.8684719535783912E-3</v>
      </c>
      <c r="F48" s="22">
        <f>IF(ISNUMBER(D48), $B64 * E48, "")</f>
        <v>-580.27079303675873</v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 t="s">
        <v>138</v>
      </c>
      <c r="B49" s="113">
        <v>19.7</v>
      </c>
      <c r="C49" s="73">
        <v>5.1020407999999998E-3</v>
      </c>
      <c r="D49" s="96">
        <v>19.7</v>
      </c>
      <c r="E49" s="97">
        <f>IF(ISNUMBER(D49), (D49 - $B49) / $B49, "")</f>
        <v>0</v>
      </c>
      <c r="F49" s="98">
        <f>IF(ISNUMBER(D49), $B64 * E49, "")</f>
        <v>0</v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 t="s">
        <v>145</v>
      </c>
      <c r="B50" s="110">
        <v>69.8</v>
      </c>
      <c r="C50" s="70">
        <v>4.3165468000000004E-3</v>
      </c>
      <c r="D50" s="15">
        <v>69.7</v>
      </c>
      <c r="E50" s="32">
        <f t="shared" ref="E50:E53" si="18">IF(ISNUMBER(D50), (D50 - $B50) / $B50, "")</f>
        <v>-1.43266475644691E-3</v>
      </c>
      <c r="F50" s="18">
        <f>IF(ISNUMBER(D50), $B64 * E50, "")</f>
        <v>-214.89971346703652</v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 t="s">
        <v>155</v>
      </c>
      <c r="B51" s="110">
        <v>23.9</v>
      </c>
      <c r="C51" s="70">
        <v>4.2016807E-3</v>
      </c>
      <c r="D51" s="15">
        <v>23.7</v>
      </c>
      <c r="E51" s="32">
        <f t="shared" si="18"/>
        <v>-8.3682008368200552E-3</v>
      </c>
      <c r="F51" s="18">
        <f>IF(ISNUMBER(D51), $B64 * E51, "")</f>
        <v>-1255.2301255230084</v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 t="s">
        <v>323</v>
      </c>
      <c r="B52" s="110">
        <v>2.7799999999999998E-2</v>
      </c>
      <c r="C52" s="70">
        <v>3.6101083E-3</v>
      </c>
      <c r="D52" s="15">
        <v>2.8000000000000001E-2</v>
      </c>
      <c r="E52" s="32">
        <f t="shared" si="18"/>
        <v>7.1942446043166287E-3</v>
      </c>
      <c r="F52" s="18">
        <f>IF(ISNUMBER(D52), $B64 * E52, "")</f>
        <v>1079.1366906474943</v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207</v>
      </c>
      <c r="B53" s="115">
        <v>58.6</v>
      </c>
      <c r="C53" s="72">
        <v>1.7094017E-3</v>
      </c>
      <c r="D53" s="24">
        <v>58.7</v>
      </c>
      <c r="E53" s="25">
        <f t="shared" si="18"/>
        <v>1.7064846416382496E-3</v>
      </c>
      <c r="F53" s="94">
        <f>IF(ISNUMBER(D53), $B64 * E53, "")</f>
        <v>255.97269624573744</v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 t="s">
        <v>324</v>
      </c>
      <c r="B54" s="108">
        <v>71.3</v>
      </c>
      <c r="C54" s="69">
        <v>1.4044944E-3</v>
      </c>
      <c r="D54" s="13">
        <v>71.400000000000006</v>
      </c>
      <c r="E54" s="14">
        <f>IF(ISNUMBER(D54), (D54 - $B54) / $B54, "")</f>
        <v>1.4025245441796428E-3</v>
      </c>
      <c r="F54" s="16">
        <f>IF(ISNUMBER(D54), $B64 * E54, "")</f>
        <v>210.37868162694642</v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 t="s">
        <v>97</v>
      </c>
      <c r="B55" s="110">
        <v>8.0000000000000004E-4</v>
      </c>
      <c r="C55" s="70">
        <v>0</v>
      </c>
      <c r="D55" s="15">
        <v>8.0000000000000004E-4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 t="s">
        <v>329</v>
      </c>
      <c r="B56" s="110">
        <v>46.6</v>
      </c>
      <c r="C56" s="70">
        <v>0</v>
      </c>
      <c r="D56" s="15">
        <v>46.6</v>
      </c>
      <c r="E56" s="32">
        <f t="shared" si="22"/>
        <v>0</v>
      </c>
      <c r="F56" s="18">
        <f>IF(ISNUMBER(D56), $B64 * E56, "")</f>
        <v>0</v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 t="s">
        <v>185</v>
      </c>
      <c r="B57" s="110">
        <v>22.3</v>
      </c>
      <c r="C57" s="70">
        <v>0</v>
      </c>
      <c r="D57" s="15">
        <v>22.2</v>
      </c>
      <c r="E57" s="32">
        <f t="shared" si="22"/>
        <v>-4.4843049327354893E-3</v>
      </c>
      <c r="F57" s="18">
        <f>IF(ISNUMBER(D57), $B64 * E57, "")</f>
        <v>-672.64573991032341</v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195</v>
      </c>
      <c r="B58" s="112">
        <v>5.47</v>
      </c>
      <c r="C58" s="71">
        <v>0</v>
      </c>
      <c r="D58" s="20">
        <v>5.45</v>
      </c>
      <c r="E58" s="21">
        <f t="shared" si="22"/>
        <v>-3.6563071297988255E-3</v>
      </c>
      <c r="F58" s="22">
        <f>IF(ISNUMBER(D58), $B64 * E58, "")</f>
        <v>-548.44606946982378</v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141</v>
      </c>
      <c r="B59" s="113">
        <v>2.88</v>
      </c>
      <c r="C59" s="73">
        <v>0</v>
      </c>
      <c r="D59" s="96">
        <v>2.89</v>
      </c>
      <c r="E59" s="97">
        <f>IF(ISNUMBER(D59), (D59 - $B59) / $B59, "")</f>
        <v>3.4722222222223027E-3</v>
      </c>
      <c r="F59" s="98">
        <f>IF(ISNUMBER(D59), $B64 * E59, "")</f>
        <v>520.83333333334542</v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 t="s">
        <v>118</v>
      </c>
      <c r="B60" s="110">
        <v>4.5</v>
      </c>
      <c r="C60" s="70">
        <v>0</v>
      </c>
      <c r="D60" s="15">
        <v>4.53</v>
      </c>
      <c r="E60" s="32">
        <f t="shared" ref="E60:E63" si="26">IF(ISNUMBER(D60), (D60 - $B60) / $B60, "")</f>
        <v>6.6666666666667217E-3</v>
      </c>
      <c r="F60" s="18">
        <f>IF(ISNUMBER(D60), $B64 * E60, "")</f>
        <v>1000.0000000000083</v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 t="s">
        <v>132</v>
      </c>
      <c r="B61" s="110">
        <v>40.200000000000003</v>
      </c>
      <c r="C61" s="70">
        <v>0</v>
      </c>
      <c r="D61" s="15">
        <v>40.200000000000003</v>
      </c>
      <c r="E61" s="32">
        <f t="shared" si="26"/>
        <v>0</v>
      </c>
      <c r="F61" s="18">
        <f>IF(ISNUMBER(D61), $B64 * E61, "")</f>
        <v>0</v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 t="s">
        <v>209</v>
      </c>
      <c r="B62" s="110">
        <v>68.900000000000006</v>
      </c>
      <c r="C62" s="70">
        <v>-1.4492754E-3</v>
      </c>
      <c r="D62" s="15">
        <v>69</v>
      </c>
      <c r="E62" s="32">
        <f t="shared" si="26"/>
        <v>1.4513788098692933E-3</v>
      </c>
      <c r="F62" s="18">
        <f>IF(ISNUMBER(D62), $B64 * E62, "")</f>
        <v>217.70682148039398</v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 t="s">
        <v>217</v>
      </c>
      <c r="B63" s="115">
        <v>53.1</v>
      </c>
      <c r="C63" s="72">
        <v>-1.8796991999999999E-3</v>
      </c>
      <c r="D63" s="24">
        <v>53</v>
      </c>
      <c r="E63" s="25">
        <f t="shared" si="26"/>
        <v>-1.8832391713747914E-3</v>
      </c>
      <c r="F63" s="94">
        <f>IF(ISNUMBER(D63), $B64 * E63, "")</f>
        <v>-282.48587570621874</v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7.7474325951062408E-4</v>
      </c>
      <c r="F64" s="28">
        <f>SUM(F44:F63)</f>
        <v>2324.2297785318719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21085000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2.8464350000000001E-4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2023-01-01(일) 오전 00:00</v>
      </c>
      <c r="C69" s="199"/>
      <c r="D69" s="158" t="str">
        <f>TEXT($G$1, "[$-ko-KR]yyyy-mm-dd(ddd) ") &amp; "오후 14:00"</f>
        <v>2023-01-01(일) 오후 14:00</v>
      </c>
      <c r="E69" s="159"/>
      <c r="F69" s="160"/>
      <c r="G69" s="158" t="str">
        <f>TEXT($G$1, "[$-ko-KR]yyyy-mm-dd(ddd) ") &amp; "오후 19:00"</f>
        <v>2023-01-01(일) 오후 19:00</v>
      </c>
      <c r="H69" s="159"/>
      <c r="I69" s="160"/>
      <c r="J69" s="158" t="str">
        <f>TEXT($G$1, "[$-ko-KR]yyyy-mm-dd(ddd) ") &amp; "오후 21:00"</f>
        <v>2023-01-01(일) 오후 21:00</v>
      </c>
      <c r="K69" s="159"/>
      <c r="L69" s="160"/>
      <c r="M69" s="158" t="str">
        <f>TEXT($G$1+1, "[$-ko-KR]yyyy-mm-dd(ddd) ") &amp; "오전 00:00"</f>
        <v>2023-01-02(월)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 t="s">
        <v>120</v>
      </c>
      <c r="B71" s="108">
        <v>109</v>
      </c>
      <c r="C71" s="69">
        <v>0.1413612565</v>
      </c>
      <c r="D71" s="13">
        <v>108</v>
      </c>
      <c r="E71" s="14">
        <f>IF(ISNUMBER(D71), (D71 - $B71) / $B71, "")</f>
        <v>-9.1743119266055051E-3</v>
      </c>
      <c r="F71" s="16">
        <f>IF(ISNUMBER(D71), $B91 * E71, "")</f>
        <v>-1376.1467889908258</v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101</v>
      </c>
      <c r="B72" s="110">
        <v>195</v>
      </c>
      <c r="C72" s="70">
        <v>1.5625E-2</v>
      </c>
      <c r="D72" s="15">
        <v>195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317</v>
      </c>
      <c r="B73" s="110">
        <v>576</v>
      </c>
      <c r="C73" s="70">
        <v>1.4084507E-2</v>
      </c>
      <c r="D73" s="15">
        <v>575</v>
      </c>
      <c r="E73" s="32">
        <f t="shared" si="30"/>
        <v>-1.736111111111111E-3</v>
      </c>
      <c r="F73" s="18">
        <f>IF(ISNUMBER(D73), $B91 * E73, "")</f>
        <v>-260.41666666666663</v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 t="s">
        <v>319</v>
      </c>
      <c r="B74" s="110">
        <v>295</v>
      </c>
      <c r="C74" s="70">
        <v>1.02739726E-2</v>
      </c>
      <c r="D74" s="15">
        <v>295</v>
      </c>
      <c r="E74" s="32">
        <f t="shared" si="30"/>
        <v>0</v>
      </c>
      <c r="F74" s="18">
        <f>IF(ISNUMBER(D74), $B91 * E74, "")</f>
        <v>0</v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 t="s">
        <v>183</v>
      </c>
      <c r="B75" s="112">
        <v>114</v>
      </c>
      <c r="C75" s="71">
        <v>8.8495575000000007E-3</v>
      </c>
      <c r="D75" s="20">
        <v>115</v>
      </c>
      <c r="E75" s="21">
        <f t="shared" si="30"/>
        <v>8.771929824561403E-3</v>
      </c>
      <c r="F75" s="22">
        <f>IF(ISNUMBER(D75), $B91 * E75, "")</f>
        <v>1315.7894736842104</v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 t="s">
        <v>321</v>
      </c>
      <c r="B76" s="113">
        <v>150</v>
      </c>
      <c r="C76" s="73">
        <v>6.7114093999999999E-3</v>
      </c>
      <c r="D76" s="96">
        <v>151</v>
      </c>
      <c r="E76" s="97">
        <f>IF(ISNUMBER(D76), (D76 - $B76) / $B76, "")</f>
        <v>6.6666666666666671E-3</v>
      </c>
      <c r="F76" s="98">
        <f>IF(ISNUMBER(D76), $B91 * E76, "")</f>
        <v>1000.0000000000001</v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 t="s">
        <v>103</v>
      </c>
      <c r="B77" s="110">
        <v>190</v>
      </c>
      <c r="C77" s="70">
        <v>5.2910053000000002E-3</v>
      </c>
      <c r="D77" s="15">
        <v>189</v>
      </c>
      <c r="E77" s="32">
        <f t="shared" ref="E77:E80" si="34">IF(ISNUMBER(D77), (D77 - $B77) / $B77, "")</f>
        <v>-5.263157894736842E-3</v>
      </c>
      <c r="F77" s="18">
        <f>IF(ISNUMBER(D77), $B91 * E77, "")</f>
        <v>-789.47368421052624</v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 t="s">
        <v>213</v>
      </c>
      <c r="B78" s="110">
        <v>400</v>
      </c>
      <c r="C78" s="70">
        <v>5.0251256000000003E-3</v>
      </c>
      <c r="D78" s="15">
        <v>404</v>
      </c>
      <c r="E78" s="32">
        <f t="shared" si="34"/>
        <v>0.01</v>
      </c>
      <c r="F78" s="18">
        <f>IF(ISNUMBER(D78), $B91 * E78, "")</f>
        <v>1500</v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 t="s">
        <v>239</v>
      </c>
      <c r="B79" s="110">
        <v>408</v>
      </c>
      <c r="C79" s="70">
        <v>4.9261084000000004E-3</v>
      </c>
      <c r="D79" s="15">
        <v>406</v>
      </c>
      <c r="E79" s="32">
        <f t="shared" si="34"/>
        <v>-4.9019607843137254E-3</v>
      </c>
      <c r="F79" s="18">
        <f>IF(ISNUMBER(D79), $B91 * E79, "")</f>
        <v>-735.29411764705878</v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169</v>
      </c>
      <c r="B80" s="115">
        <v>216</v>
      </c>
      <c r="C80" s="72">
        <v>4.6511627999999998E-3</v>
      </c>
      <c r="D80" s="24">
        <v>217</v>
      </c>
      <c r="E80" s="25">
        <f t="shared" si="34"/>
        <v>4.6296296296296294E-3</v>
      </c>
      <c r="F80" s="94">
        <f>IF(ISNUMBER(D80), $B91 * E80, "")</f>
        <v>694.44444444444446</v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 t="s">
        <v>231</v>
      </c>
      <c r="B81" s="108">
        <v>302</v>
      </c>
      <c r="C81" s="69">
        <v>3.3222591000000002E-3</v>
      </c>
      <c r="D81" s="13">
        <v>302</v>
      </c>
      <c r="E81" s="14">
        <f>IF(ISNUMBER(D81), (D81 - $B81) / $B81, "")</f>
        <v>0</v>
      </c>
      <c r="F81" s="16">
        <f>IF(ISNUMBER(D81), $B91 * E81, "")</f>
        <v>0</v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 t="s">
        <v>81</v>
      </c>
      <c r="B82" s="110">
        <v>313</v>
      </c>
      <c r="C82" s="70">
        <v>0</v>
      </c>
      <c r="D82" s="15">
        <v>312</v>
      </c>
      <c r="E82" s="32">
        <f t="shared" ref="E82:E85" si="38">IF(ISNUMBER(D82), (D82 - $B82) / $B82, "")</f>
        <v>-3.1948881789137379E-3</v>
      </c>
      <c r="F82" s="18">
        <f>IF(ISNUMBER(D82), $B91 * E82, "")</f>
        <v>-479.23322683706067</v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 t="s">
        <v>326</v>
      </c>
      <c r="B83" s="110">
        <v>219</v>
      </c>
      <c r="C83" s="70">
        <v>0</v>
      </c>
      <c r="D83" s="15">
        <v>220</v>
      </c>
      <c r="E83" s="32">
        <f t="shared" si="38"/>
        <v>4.5662100456621002E-3</v>
      </c>
      <c r="F83" s="18">
        <f>IF(ISNUMBER(D83), $B91 * E83, "")</f>
        <v>684.93150684931504</v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 t="s">
        <v>79</v>
      </c>
      <c r="B84" s="110">
        <v>211</v>
      </c>
      <c r="C84" s="70">
        <v>0</v>
      </c>
      <c r="D84" s="15">
        <v>212</v>
      </c>
      <c r="E84" s="32">
        <f t="shared" si="38"/>
        <v>4.7393364928909956E-3</v>
      </c>
      <c r="F84" s="18">
        <f>IF(ISNUMBER(D84), $B91 * E84, "")</f>
        <v>710.90047393364932</v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85</v>
      </c>
      <c r="B85" s="112">
        <v>128</v>
      </c>
      <c r="C85" s="71">
        <v>0</v>
      </c>
      <c r="D85" s="20">
        <v>128</v>
      </c>
      <c r="E85" s="21">
        <f t="shared" si="38"/>
        <v>0</v>
      </c>
      <c r="F85" s="22">
        <f>IF(ISNUMBER(D85), $B91 * E85, "")</f>
        <v>0</v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149</v>
      </c>
      <c r="B86" s="113">
        <v>306</v>
      </c>
      <c r="C86" s="73">
        <v>0</v>
      </c>
      <c r="D86" s="96">
        <v>308</v>
      </c>
      <c r="E86" s="97">
        <f>IF(ISNUMBER(D86), (D86 - $B86) / $B86, "")</f>
        <v>6.5359477124183009E-3</v>
      </c>
      <c r="F86" s="98">
        <f>IF(ISNUMBER(D86), $B91 * E86, "")</f>
        <v>980.39215686274508</v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 t="s">
        <v>330</v>
      </c>
      <c r="B87" s="110">
        <v>256</v>
      </c>
      <c r="C87" s="70">
        <v>0</v>
      </c>
      <c r="D87" s="15">
        <v>256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 t="s">
        <v>332</v>
      </c>
      <c r="B88" s="110">
        <v>487</v>
      </c>
      <c r="C88" s="70">
        <v>-2.0491802999999999E-3</v>
      </c>
      <c r="D88" s="15">
        <v>487</v>
      </c>
      <c r="E88" s="32">
        <f t="shared" si="42"/>
        <v>0</v>
      </c>
      <c r="F88" s="18">
        <f>IF(ISNUMBER(D88), $B91 * E88, "")</f>
        <v>0</v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 t="s">
        <v>109</v>
      </c>
      <c r="B89" s="110">
        <v>917</v>
      </c>
      <c r="C89" s="70">
        <v>-5.4229934999999998E-3</v>
      </c>
      <c r="D89" s="15">
        <v>917</v>
      </c>
      <c r="E89" s="32">
        <f t="shared" si="42"/>
        <v>0</v>
      </c>
      <c r="F89" s="18">
        <f>IF(ISNUMBER(D89), $B91 * E89, "")</f>
        <v>0</v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 t="s">
        <v>105</v>
      </c>
      <c r="B90" s="115">
        <v>179</v>
      </c>
      <c r="C90" s="72">
        <v>-5.5555556000000004E-3</v>
      </c>
      <c r="D90" s="24">
        <v>179</v>
      </c>
      <c r="E90" s="25">
        <f t="shared" si="42"/>
        <v>0</v>
      </c>
      <c r="F90" s="94">
        <f>IF(ISNUMBER(D90), $B91 * E90, "")</f>
        <v>0</v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1.0819645238074088E-3</v>
      </c>
      <c r="F91" s="28">
        <f>SUM(F71:F90)</f>
        <v>3245.8935714222266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21085000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2.8464350000000001E-4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2023-01-01(일) 오전 00:00</v>
      </c>
      <c r="C96" s="199"/>
      <c r="D96" s="158" t="str">
        <f>TEXT($G$1, "[$-ko-KR]yyyy-mm-dd(ddd) ") &amp; "오후 14:00"</f>
        <v>2023-01-01(일) 오후 14:00</v>
      </c>
      <c r="E96" s="159"/>
      <c r="F96" s="160"/>
      <c r="G96" s="158" t="str">
        <f>TEXT($G$1, "[$-ko-KR]yyyy-mm-dd(ddd) ") &amp; "오후 19:00"</f>
        <v>2023-01-01(일) 오후 19:00</v>
      </c>
      <c r="H96" s="159"/>
      <c r="I96" s="160"/>
      <c r="J96" s="158" t="str">
        <f>TEXT($G$1, "[$-ko-KR]yyyy-mm-dd(ddd) ") &amp; "오후 21:00"</f>
        <v>2023-01-01(일) 오후 21:00</v>
      </c>
      <c r="K96" s="159"/>
      <c r="L96" s="160"/>
      <c r="M96" s="158" t="str">
        <f>TEXT($G$1+1, "[$-ko-KR]yyyy-mm-dd(ddd) ") &amp; "오전 00:00"</f>
        <v>2023-01-02(월)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 t="s">
        <v>120</v>
      </c>
      <c r="B98" s="108">
        <v>109</v>
      </c>
      <c r="C98" s="69">
        <v>0.1413612565</v>
      </c>
      <c r="D98" s="13">
        <v>108</v>
      </c>
      <c r="E98" s="14">
        <f>IF(ISNUMBER(D98), (D98 - $B98) / $B98, "")</f>
        <v>-9.1743119266055051E-3</v>
      </c>
      <c r="F98" s="16">
        <f>IF(ISNUMBER(D98), $B118 * E98, "")</f>
        <v>-1376.1467889908258</v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205</v>
      </c>
      <c r="B99" s="110">
        <v>92</v>
      </c>
      <c r="C99" s="70">
        <v>4.5454545499999999E-2</v>
      </c>
      <c r="D99" s="15">
        <v>92.3</v>
      </c>
      <c r="E99" s="32">
        <f t="shared" ref="E99:E102" si="46">IF(ISNUMBER(D99), (D99 - $B99) / $B99, "")</f>
        <v>3.2608695652173603E-3</v>
      </c>
      <c r="F99" s="18">
        <f>IF(ISNUMBER(D99), $B118 * E99, "")</f>
        <v>489.13043478260403</v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191</v>
      </c>
      <c r="B100" s="110">
        <v>47.2</v>
      </c>
      <c r="C100" s="70">
        <v>4.4247787599999998E-2</v>
      </c>
      <c r="D100" s="15">
        <v>47</v>
      </c>
      <c r="E100" s="32">
        <f t="shared" si="46"/>
        <v>-4.2372881355932802E-3</v>
      </c>
      <c r="F100" s="18">
        <f>IF(ISNUMBER(D100), $B118 * E100, "")</f>
        <v>-635.59322033899207</v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 t="s">
        <v>241</v>
      </c>
      <c r="B101" s="110">
        <v>87.9</v>
      </c>
      <c r="C101" s="70">
        <v>3.6556603799999997E-2</v>
      </c>
      <c r="D101" s="15">
        <v>87.5</v>
      </c>
      <c r="E101" s="32">
        <f t="shared" si="46"/>
        <v>-4.5506257110353313E-3</v>
      </c>
      <c r="F101" s="18">
        <f>IF(ISNUMBER(D101), $B118 * E101, "")</f>
        <v>-682.59385665529965</v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 t="s">
        <v>71</v>
      </c>
      <c r="B102" s="112">
        <v>9.64</v>
      </c>
      <c r="C102" s="71">
        <v>2.22693531E-2</v>
      </c>
      <c r="D102" s="20">
        <v>9.86</v>
      </c>
      <c r="E102" s="21">
        <f t="shared" si="46"/>
        <v>2.2821576763485358E-2</v>
      </c>
      <c r="F102" s="22">
        <f>IF(ISNUMBER(D102), $B118 * E102, "")</f>
        <v>3423.2365145228036</v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 t="s">
        <v>225</v>
      </c>
      <c r="B103" s="113">
        <v>51.7</v>
      </c>
      <c r="C103" s="73">
        <v>2.1739130400000001E-2</v>
      </c>
      <c r="D103" s="96">
        <v>51.5</v>
      </c>
      <c r="E103" s="97">
        <f>IF(ISNUMBER(D103), (D103 - $B103) / $B103, "")</f>
        <v>-3.8684719535783912E-3</v>
      </c>
      <c r="F103" s="98">
        <f>IF(ISNUMBER(D103), $B118 * E103, "")</f>
        <v>-580.27079303675873</v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 t="s">
        <v>134</v>
      </c>
      <c r="B104" s="110">
        <v>1330</v>
      </c>
      <c r="C104" s="70">
        <v>1.9157088100000001E-2</v>
      </c>
      <c r="D104" s="15">
        <v>1335</v>
      </c>
      <c r="E104" s="32">
        <f t="shared" ref="E104:E107" si="50">IF(ISNUMBER(D104), (D104 - $B104) / $B104, "")</f>
        <v>3.7593984962406013E-3</v>
      </c>
      <c r="F104" s="18">
        <f>IF(ISNUMBER(D104), $B118 * E104, "")</f>
        <v>563.90977443609017</v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 t="s">
        <v>101</v>
      </c>
      <c r="B105" s="110">
        <v>195</v>
      </c>
      <c r="C105" s="70">
        <v>1.5625E-2</v>
      </c>
      <c r="D105" s="15">
        <v>195</v>
      </c>
      <c r="E105" s="32">
        <f t="shared" si="50"/>
        <v>0</v>
      </c>
      <c r="F105" s="18">
        <f>IF(ISNUMBER(D105), $B118 * E105, "")</f>
        <v>0</v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 t="s">
        <v>317</v>
      </c>
      <c r="B106" s="110">
        <v>576</v>
      </c>
      <c r="C106" s="70">
        <v>1.4084507E-2</v>
      </c>
      <c r="D106" s="15">
        <v>575</v>
      </c>
      <c r="E106" s="32">
        <f t="shared" si="50"/>
        <v>-1.736111111111111E-3</v>
      </c>
      <c r="F106" s="18">
        <f>IF(ISNUMBER(D106), $B118 * E106, "")</f>
        <v>-260.41666666666663</v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319</v>
      </c>
      <c r="B107" s="115">
        <v>295</v>
      </c>
      <c r="C107" s="72">
        <v>1.02739726E-2</v>
      </c>
      <c r="D107" s="24">
        <v>295</v>
      </c>
      <c r="E107" s="25">
        <f t="shared" si="50"/>
        <v>0</v>
      </c>
      <c r="F107" s="94">
        <f>IF(ISNUMBER(D107), $B118 * E107, "")</f>
        <v>0</v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 t="s">
        <v>183</v>
      </c>
      <c r="B108" s="108">
        <v>114</v>
      </c>
      <c r="C108" s="69">
        <v>8.8495575000000007E-3</v>
      </c>
      <c r="D108" s="13">
        <v>115</v>
      </c>
      <c r="E108" s="14">
        <f>IF(ISNUMBER(D108), (D108 - $B108) / $B108, "")</f>
        <v>8.771929824561403E-3</v>
      </c>
      <c r="F108" s="16">
        <f>IF(ISNUMBER(D108), $B118 * E108, "")</f>
        <v>1315.7894736842104</v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 t="s">
        <v>321</v>
      </c>
      <c r="B109" s="110">
        <v>150</v>
      </c>
      <c r="C109" s="70">
        <v>6.7114093999999999E-3</v>
      </c>
      <c r="D109" s="15">
        <v>151</v>
      </c>
      <c r="E109" s="32">
        <f t="shared" ref="E109:E112" si="54">IF(ISNUMBER(D109), (D109 - $B109) / $B109, "")</f>
        <v>6.6666666666666671E-3</v>
      </c>
      <c r="F109" s="18">
        <f>IF(ISNUMBER(D109), $B118 * E109, "")</f>
        <v>1000.0000000000001</v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 t="s">
        <v>103</v>
      </c>
      <c r="B110" s="110">
        <v>190</v>
      </c>
      <c r="C110" s="70">
        <v>5.2910053000000002E-3</v>
      </c>
      <c r="D110" s="15">
        <v>189</v>
      </c>
      <c r="E110" s="32">
        <f t="shared" si="54"/>
        <v>-5.263157894736842E-3</v>
      </c>
      <c r="F110" s="18">
        <f>IF(ISNUMBER(D110), $B118 * E110, "")</f>
        <v>-789.47368421052624</v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 t="s">
        <v>138</v>
      </c>
      <c r="B111" s="110">
        <v>19.7</v>
      </c>
      <c r="C111" s="70">
        <v>5.1020407999999998E-3</v>
      </c>
      <c r="D111" s="15">
        <v>19.7</v>
      </c>
      <c r="E111" s="32">
        <f t="shared" si="54"/>
        <v>0</v>
      </c>
      <c r="F111" s="18">
        <f>IF(ISNUMBER(D111), $B118 * E111, "")</f>
        <v>0</v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213</v>
      </c>
      <c r="B112" s="112">
        <v>400</v>
      </c>
      <c r="C112" s="71">
        <v>5.0251256000000003E-3</v>
      </c>
      <c r="D112" s="20">
        <v>404</v>
      </c>
      <c r="E112" s="21">
        <f t="shared" si="54"/>
        <v>0.01</v>
      </c>
      <c r="F112" s="22">
        <f>IF(ISNUMBER(D112), $B118 * E112, "")</f>
        <v>1500</v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239</v>
      </c>
      <c r="B113" s="113">
        <v>408</v>
      </c>
      <c r="C113" s="73">
        <v>4.9261084000000004E-3</v>
      </c>
      <c r="D113" s="96">
        <v>406</v>
      </c>
      <c r="E113" s="97">
        <f>IF(ISNUMBER(D113), (D113 - $B113) / $B113, "")</f>
        <v>-4.9019607843137254E-3</v>
      </c>
      <c r="F113" s="98">
        <f>IF(ISNUMBER(D113), $B118 * E113, "")</f>
        <v>-735.29411764705878</v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 t="s">
        <v>169</v>
      </c>
      <c r="B114" s="110">
        <v>216</v>
      </c>
      <c r="C114" s="70">
        <v>4.6511627999999998E-3</v>
      </c>
      <c r="D114" s="15">
        <v>217</v>
      </c>
      <c r="E114" s="32">
        <f t="shared" ref="E114:E117" si="58">IF(ISNUMBER(D114), (D114 - $B114) / $B114, "")</f>
        <v>4.6296296296296294E-3</v>
      </c>
      <c r="F114" s="18">
        <f>IF(ISNUMBER(D114), $B118 * E114, "")</f>
        <v>694.44444444444446</v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 t="s">
        <v>145</v>
      </c>
      <c r="B115" s="110">
        <v>69.8</v>
      </c>
      <c r="C115" s="70">
        <v>4.3165468000000004E-3</v>
      </c>
      <c r="D115" s="15">
        <v>69.7</v>
      </c>
      <c r="E115" s="32">
        <f t="shared" si="58"/>
        <v>-1.43266475644691E-3</v>
      </c>
      <c r="F115" s="18">
        <f>IF(ISNUMBER(D115), $B118 * E115, "")</f>
        <v>-214.89971346703652</v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 t="s">
        <v>155</v>
      </c>
      <c r="B116" s="110">
        <v>23.9</v>
      </c>
      <c r="C116" s="70">
        <v>4.2016807E-3</v>
      </c>
      <c r="D116" s="15">
        <v>23.7</v>
      </c>
      <c r="E116" s="32">
        <f t="shared" si="58"/>
        <v>-8.3682008368200552E-3</v>
      </c>
      <c r="F116" s="18">
        <f>IF(ISNUMBER(D116), $B118 * E116, "")</f>
        <v>-1255.2301255230084</v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 t="s">
        <v>323</v>
      </c>
      <c r="B117" s="115">
        <v>2.7799999999999998E-2</v>
      </c>
      <c r="C117" s="72">
        <v>3.6101083E-3</v>
      </c>
      <c r="D117" s="24">
        <v>2.8000000000000001E-2</v>
      </c>
      <c r="E117" s="25">
        <f t="shared" si="58"/>
        <v>7.1942446043166287E-3</v>
      </c>
      <c r="F117" s="94">
        <f>IF(ISNUMBER(D117), $B118 * E117, "")</f>
        <v>1079.1366906474943</v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1.1785761219938247E-3</v>
      </c>
      <c r="F118" s="28">
        <f>SUM(F98:F117)</f>
        <v>3535.7283659814739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21085000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2.8464350000000001E-4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2023-01-01(일) 오전 00:00</v>
      </c>
      <c r="C123" s="199"/>
      <c r="D123" s="158" t="str">
        <f>TEXT($G$1, "[$-ko-KR]yyyy-mm-dd(ddd) ") &amp; "오후 14:00"</f>
        <v>2023-01-01(일) 오후 14:00</v>
      </c>
      <c r="E123" s="159"/>
      <c r="F123" s="160"/>
      <c r="G123" s="158" t="str">
        <f>TEXT($G$1, "[$-ko-KR]yyyy-mm-dd(ddd) ") &amp; "오후 19:00"</f>
        <v>2023-01-01(일) 오후 19:00</v>
      </c>
      <c r="H123" s="159"/>
      <c r="I123" s="160"/>
      <c r="J123" s="158" t="str">
        <f>TEXT($G$1, "[$-ko-KR]yyyy-mm-dd(ddd) ") &amp; "오후 21:00"</f>
        <v>2023-01-01(일) 오후 21:00</v>
      </c>
      <c r="K123" s="159"/>
      <c r="L123" s="160"/>
      <c r="M123" s="158" t="str">
        <f>TEXT($G$1+1, "[$-ko-KR]yyyy-mm-dd(ddd) ") &amp; "오전 00:00"</f>
        <v>2023-01-02(월)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 t="s">
        <v>217</v>
      </c>
      <c r="B125" s="108">
        <v>53.1</v>
      </c>
      <c r="C125" s="69">
        <v>-1.8796991999999999E-3</v>
      </c>
      <c r="D125" s="13">
        <v>53</v>
      </c>
      <c r="E125" s="14">
        <f>IF(ISNUMBER(D125), (D125 - $B125) / $B125, "")</f>
        <v>-1.8832391713747914E-3</v>
      </c>
      <c r="F125" s="16">
        <f>IF(ISNUMBER(D125), $B145 * E125, "")</f>
        <v>-282.48587570621874</v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51</v>
      </c>
      <c r="B126" s="110">
        <v>90.4</v>
      </c>
      <c r="C126" s="70">
        <v>-2.2075055E-3</v>
      </c>
      <c r="D126" s="15">
        <v>90.6</v>
      </c>
      <c r="E126" s="32">
        <f t="shared" ref="E126:E129" si="62">IF(ISNUMBER(D126), (D126 - $B126) / $B126, "")</f>
        <v>2.2123893805308477E-3</v>
      </c>
      <c r="F126" s="18">
        <f>IF(ISNUMBER(D126), $B145 * E126, "")</f>
        <v>331.85840707962717</v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64</v>
      </c>
      <c r="B127" s="110">
        <v>8.56</v>
      </c>
      <c r="C127" s="70">
        <v>-2.3310023000000001E-3</v>
      </c>
      <c r="D127" s="15">
        <v>8.57</v>
      </c>
      <c r="E127" s="32">
        <f t="shared" si="62"/>
        <v>1.1682242990653955E-3</v>
      </c>
      <c r="F127" s="18">
        <f>IF(ISNUMBER(D127), $B145 * E127, "")</f>
        <v>175.23364485980932</v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 t="s">
        <v>181</v>
      </c>
      <c r="B128" s="110">
        <v>3.83</v>
      </c>
      <c r="C128" s="70">
        <v>-2.6041667E-3</v>
      </c>
      <c r="D128" s="15">
        <v>3.82</v>
      </c>
      <c r="E128" s="32">
        <f t="shared" si="62"/>
        <v>-2.6109660574413136E-3</v>
      </c>
      <c r="F128" s="18">
        <f>IF(ISNUMBER(D128), $B145 * E128, "")</f>
        <v>-391.64490861619703</v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 t="s">
        <v>124</v>
      </c>
      <c r="B129" s="112">
        <v>26.7</v>
      </c>
      <c r="C129" s="71">
        <v>-3.7313432999999999E-3</v>
      </c>
      <c r="D129" s="20">
        <v>26.9</v>
      </c>
      <c r="E129" s="21">
        <f t="shared" si="62"/>
        <v>7.4906367041198234E-3</v>
      </c>
      <c r="F129" s="22">
        <f>IF(ISNUMBER(D129), $B145 * E129, "")</f>
        <v>1123.5955056179735</v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 t="s">
        <v>237</v>
      </c>
      <c r="B130" s="113">
        <v>25.3</v>
      </c>
      <c r="C130" s="73">
        <v>-3.9370079000000001E-3</v>
      </c>
      <c r="D130" s="96">
        <v>25.1</v>
      </c>
      <c r="E130" s="97">
        <f>IF(ISNUMBER(D130), (D130 - $B130) / $B130, "")</f>
        <v>-7.9051383399209203E-3</v>
      </c>
      <c r="F130" s="98">
        <f>IF(ISNUMBER(D130), $B145 * E130, "")</f>
        <v>-1185.7707509881382</v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 t="s">
        <v>126</v>
      </c>
      <c r="B131" s="110">
        <v>20.100000000000001</v>
      </c>
      <c r="C131" s="70">
        <v>-4.9504950000000001E-3</v>
      </c>
      <c r="D131" s="15">
        <v>20.100000000000001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 t="s">
        <v>197</v>
      </c>
      <c r="B132" s="110">
        <v>5.43</v>
      </c>
      <c r="C132" s="70">
        <v>-5.4945055E-3</v>
      </c>
      <c r="D132" s="15">
        <v>5.45</v>
      </c>
      <c r="E132" s="32">
        <f t="shared" si="66"/>
        <v>3.6832412523021109E-3</v>
      </c>
      <c r="F132" s="18">
        <f>IF(ISNUMBER(D132), $B145 * E132, "")</f>
        <v>552.48618784531664</v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 t="s">
        <v>143</v>
      </c>
      <c r="B133" s="110">
        <v>3.27</v>
      </c>
      <c r="C133" s="70">
        <v>-6.0790274E-3</v>
      </c>
      <c r="D133" s="15">
        <v>3.28</v>
      </c>
      <c r="E133" s="32">
        <f t="shared" si="66"/>
        <v>3.0581039755351032E-3</v>
      </c>
      <c r="F133" s="18">
        <f>IF(ISNUMBER(D133), $B145 * E133, "")</f>
        <v>458.7155963302655</v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193</v>
      </c>
      <c r="B134" s="115">
        <v>14.7</v>
      </c>
      <c r="C134" s="72">
        <v>-6.7567568000000003E-3</v>
      </c>
      <c r="D134" s="24">
        <v>14.8</v>
      </c>
      <c r="E134" s="25">
        <f t="shared" si="66"/>
        <v>6.802721088435471E-3</v>
      </c>
      <c r="F134" s="94">
        <f>IF(ISNUMBER(D134), $B145 * E134, "")</f>
        <v>1020.4081632653207</v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 t="s">
        <v>203</v>
      </c>
      <c r="B135" s="108">
        <v>2.89</v>
      </c>
      <c r="C135" s="69">
        <v>-6.8728521999999997E-3</v>
      </c>
      <c r="D135" s="13">
        <v>2.9</v>
      </c>
      <c r="E135" s="14">
        <f>IF(ISNUMBER(D135), (D135 - $B135) / $B135, "")</f>
        <v>3.4602076124566734E-3</v>
      </c>
      <c r="F135" s="16">
        <f>IF(ISNUMBER(D135), $B145 * E135, "")</f>
        <v>519.03114186850098</v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 t="s">
        <v>333</v>
      </c>
      <c r="B136" s="110">
        <v>3.92</v>
      </c>
      <c r="C136" s="70">
        <v>-7.5949366999999999E-3</v>
      </c>
      <c r="D136" s="15">
        <v>3.95</v>
      </c>
      <c r="E136" s="32">
        <f t="shared" ref="E136:E139" si="70">IF(ISNUMBER(D136), (D136 - $B136) / $B136, "")</f>
        <v>7.6530612244898599E-3</v>
      </c>
      <c r="F136" s="18">
        <f>IF(ISNUMBER(D136), $B145 * E136, "")</f>
        <v>1147.9591836734789</v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 t="s">
        <v>122</v>
      </c>
      <c r="B137" s="110">
        <v>20</v>
      </c>
      <c r="C137" s="70">
        <v>-9.9009900999999997E-3</v>
      </c>
      <c r="D137" s="15">
        <v>20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 t="s">
        <v>56</v>
      </c>
      <c r="B138" s="110">
        <v>36.1</v>
      </c>
      <c r="C138" s="70">
        <v>-1.09589041E-2</v>
      </c>
      <c r="D138" s="15">
        <v>36.200000000000003</v>
      </c>
      <c r="E138" s="32">
        <f t="shared" si="70"/>
        <v>2.7700831024931143E-3</v>
      </c>
      <c r="F138" s="18">
        <f>IF(ISNUMBER(D138), $B145 * E138, "")</f>
        <v>415.51246537396713</v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253</v>
      </c>
      <c r="B139" s="112">
        <v>88.3</v>
      </c>
      <c r="C139" s="71">
        <v>-1.23042506E-2</v>
      </c>
      <c r="D139" s="20">
        <v>88.7</v>
      </c>
      <c r="E139" s="21">
        <f t="shared" si="70"/>
        <v>4.5300113250283771E-3</v>
      </c>
      <c r="F139" s="22">
        <f>IF(ISNUMBER(D139), $B145 * E139, "")</f>
        <v>679.50169875425661</v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107</v>
      </c>
      <c r="B140" s="113">
        <v>32.700000000000003</v>
      </c>
      <c r="C140" s="73">
        <v>-1.5060241E-2</v>
      </c>
      <c r="D140" s="96">
        <v>32.799999999999997</v>
      </c>
      <c r="E140" s="97">
        <f>IF(ISNUMBER(D140), (D140 - $B140) / $B140, "")</f>
        <v>3.0581039755349939E-3</v>
      </c>
      <c r="F140" s="98">
        <f>IF(ISNUMBER(D140), $B145 * E140, "")</f>
        <v>458.71559633024907</v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 t="s">
        <v>227</v>
      </c>
      <c r="B141" s="110">
        <v>32.5</v>
      </c>
      <c r="C141" s="70">
        <v>-1.51515152E-2</v>
      </c>
      <c r="D141" s="15">
        <v>32.9</v>
      </c>
      <c r="E141" s="32">
        <f t="shared" ref="E141:E144" si="74">IF(ISNUMBER(D141), (D141 - $B141) / $B141, "")</f>
        <v>1.2307692307692264E-2</v>
      </c>
      <c r="F141" s="18">
        <f>IF(ISNUMBER(D141), $B145 * E141, "")</f>
        <v>1846.1538461538396</v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 t="s">
        <v>221</v>
      </c>
      <c r="B142" s="110">
        <v>17.100000000000001</v>
      </c>
      <c r="C142" s="70">
        <v>-1.7241379300000002E-2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 t="s">
        <v>349</v>
      </c>
      <c r="B143" s="110">
        <v>20.100000000000001</v>
      </c>
      <c r="C143" s="70">
        <v>-2.42718447E-2</v>
      </c>
      <c r="D143" s="15">
        <v>20.100000000000001</v>
      </c>
      <c r="E143" s="32">
        <f t="shared" si="74"/>
        <v>0</v>
      </c>
      <c r="F143" s="18">
        <f>IF(ISNUMBER(D143), $B145 * E143, "")</f>
        <v>0</v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 t="s">
        <v>350</v>
      </c>
      <c r="B144" s="115">
        <v>5.47</v>
      </c>
      <c r="C144" s="72">
        <v>-3.0141844000000001E-2</v>
      </c>
      <c r="D144" s="24">
        <v>5.51</v>
      </c>
      <c r="E144" s="25">
        <f t="shared" si="74"/>
        <v>7.3126142595978131E-3</v>
      </c>
      <c r="F144" s="94">
        <f>IF(ISNUMBER(D144), $B145 * E144, "")</f>
        <v>1096.8921389396719</v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2.9477850077459481E-3</v>
      </c>
      <c r="F145" s="28">
        <f>SUM(F125:F144)</f>
        <v>8843.3550232378439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21085000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2.8464350000000001E-4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2023-01-01(일) 오전 00:00</v>
      </c>
      <c r="C150" s="199"/>
      <c r="D150" s="158" t="str">
        <f>TEXT($G$1, "[$-ko-KR]yyyy-mm-dd(ddd) ") &amp; "오후 14:00"</f>
        <v>2023-01-01(일) 오후 14:00</v>
      </c>
      <c r="E150" s="159"/>
      <c r="F150" s="160"/>
      <c r="G150" s="158" t="str">
        <f>TEXT($G$1, "[$-ko-KR]yyyy-mm-dd(ddd) ") &amp; "오후 19:00"</f>
        <v>2023-01-01(일) 오후 19:00</v>
      </c>
      <c r="H150" s="159"/>
      <c r="I150" s="160"/>
      <c r="J150" s="158" t="str">
        <f>TEXT($G$1, "[$-ko-KR]yyyy-mm-dd(ddd) ") &amp; "오후 21:00"</f>
        <v>2023-01-01(일) 오후 21:00</v>
      </c>
      <c r="K150" s="159"/>
      <c r="L150" s="160"/>
      <c r="M150" s="158" t="str">
        <f>TEXT($G$1+1, "[$-ko-KR]yyyy-mm-dd(ddd) ") &amp; "오전 00:00"</f>
        <v>2023-01-02(월)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 t="s">
        <v>199</v>
      </c>
      <c r="B152" s="108">
        <v>260</v>
      </c>
      <c r="C152" s="69">
        <v>-7.6335878000000001E-3</v>
      </c>
      <c r="D152" s="13">
        <v>260</v>
      </c>
      <c r="E152" s="14">
        <f>IF(ISNUMBER(D152), (D152 - $B152) / $B152, "")</f>
        <v>0</v>
      </c>
      <c r="F152" s="16">
        <f>IF(ISNUMBER(D152), $B172 * E152, "")</f>
        <v>0</v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229</v>
      </c>
      <c r="B153" s="110">
        <v>227</v>
      </c>
      <c r="C153" s="70">
        <v>-8.7336245000000003E-3</v>
      </c>
      <c r="D153" s="15">
        <v>226</v>
      </c>
      <c r="E153" s="32">
        <f t="shared" ref="E153:E156" si="78">IF(ISNUMBER(D153), (D153 - $B153) / $B153, "")</f>
        <v>-4.4052863436123352E-3</v>
      </c>
      <c r="F153" s="18">
        <f>IF(ISNUMBER(D153), $B172 * E153, "")</f>
        <v>-660.79295154185024</v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189</v>
      </c>
      <c r="B154" s="110">
        <v>826</v>
      </c>
      <c r="C154" s="70">
        <v>-9.5923260999999996E-3</v>
      </c>
      <c r="D154" s="15">
        <v>826</v>
      </c>
      <c r="E154" s="32">
        <f t="shared" si="78"/>
        <v>0</v>
      </c>
      <c r="F154" s="18">
        <f>IF(ISNUMBER(D154), $B172 * E154, "")</f>
        <v>0</v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 t="s">
        <v>157</v>
      </c>
      <c r="B155" s="110">
        <v>197</v>
      </c>
      <c r="C155" s="70">
        <v>-1.00502513E-2</v>
      </c>
      <c r="D155" s="15">
        <v>198</v>
      </c>
      <c r="E155" s="32">
        <f t="shared" si="78"/>
        <v>5.076142131979695E-3</v>
      </c>
      <c r="F155" s="18">
        <f>IF(ISNUMBER(D155), $B172 * E155, "")</f>
        <v>761.42131979695421</v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 t="s">
        <v>215</v>
      </c>
      <c r="B156" s="112">
        <v>277</v>
      </c>
      <c r="C156" s="71">
        <v>-1.0714285699999999E-2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 t="s">
        <v>223</v>
      </c>
      <c r="B157" s="113">
        <v>184</v>
      </c>
      <c r="C157" s="73">
        <v>-1.0752688200000001E-2</v>
      </c>
      <c r="D157" s="96">
        <v>185</v>
      </c>
      <c r="E157" s="97">
        <f>IF(ISNUMBER(D157), (D157 - $B157) / $B157, "")</f>
        <v>5.434782608695652E-3</v>
      </c>
      <c r="F157" s="98">
        <f>IF(ISNUMBER(D157), $B172 * E157, "")</f>
        <v>815.21739130434776</v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 t="s">
        <v>339</v>
      </c>
      <c r="B158" s="110">
        <v>955</v>
      </c>
      <c r="C158" s="70">
        <v>-1.13871636E-2</v>
      </c>
      <c r="D158" s="15">
        <v>959</v>
      </c>
      <c r="E158" s="32">
        <f t="shared" ref="E158:E161" si="82">IF(ISNUMBER(D158), (D158 - $B158) / $B158, "")</f>
        <v>4.1884816753926706E-3</v>
      </c>
      <c r="F158" s="18">
        <f>IF(ISNUMBER(D158), $B172 * E158, "")</f>
        <v>628.27225130890054</v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 t="s">
        <v>201</v>
      </c>
      <c r="B159" s="110">
        <v>169</v>
      </c>
      <c r="C159" s="70">
        <v>-1.1695906400000001E-2</v>
      </c>
      <c r="D159" s="15">
        <v>170</v>
      </c>
      <c r="E159" s="32">
        <f t="shared" si="82"/>
        <v>5.9171597633136093E-3</v>
      </c>
      <c r="F159" s="18">
        <f>IF(ISNUMBER(D159), $B172 * E159, "")</f>
        <v>887.5739644970414</v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 t="s">
        <v>130</v>
      </c>
      <c r="B160" s="110">
        <v>574</v>
      </c>
      <c r="C160" s="70">
        <v>-1.20481928E-2</v>
      </c>
      <c r="D160" s="15">
        <v>575</v>
      </c>
      <c r="E160" s="32">
        <f t="shared" si="82"/>
        <v>1.7421602787456446E-3</v>
      </c>
      <c r="F160" s="18">
        <f>IF(ISNUMBER(D160), $B172 * E160, "")</f>
        <v>261.32404181184671</v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95</v>
      </c>
      <c r="B161" s="115">
        <v>902</v>
      </c>
      <c r="C161" s="72">
        <v>-1.20481928E-2</v>
      </c>
      <c r="D161" s="24">
        <v>904</v>
      </c>
      <c r="E161" s="25">
        <f t="shared" si="82"/>
        <v>2.2172949002217295E-3</v>
      </c>
      <c r="F161" s="94">
        <f>IF(ISNUMBER(D161), $B172 * E161, "")</f>
        <v>332.59423503325945</v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 t="s">
        <v>235</v>
      </c>
      <c r="B162" s="108">
        <v>489</v>
      </c>
      <c r="C162" s="69">
        <v>-1.41129032E-2</v>
      </c>
      <c r="D162" s="13">
        <v>491</v>
      </c>
      <c r="E162" s="14">
        <f>IF(ISNUMBER(D162), (D162 - $B162) / $B162, "")</f>
        <v>4.0899795501022499E-3</v>
      </c>
      <c r="F162" s="16">
        <f>IF(ISNUMBER(D162), $B172 * E162, "")</f>
        <v>613.49693251533745</v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 t="s">
        <v>341</v>
      </c>
      <c r="B163" s="110">
        <v>596</v>
      </c>
      <c r="C163" s="70">
        <v>-1.48760331E-2</v>
      </c>
      <c r="D163" s="15">
        <v>597</v>
      </c>
      <c r="E163" s="32">
        <f t="shared" ref="E163:E166" si="86">IF(ISNUMBER(D163), (D163 - $B163) / $B163, "")</f>
        <v>1.6778523489932886E-3</v>
      </c>
      <c r="F163" s="18">
        <f>IF(ISNUMBER(D163), $B172 * E163, "")</f>
        <v>251.67785234899327</v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 t="s">
        <v>60</v>
      </c>
      <c r="B164" s="110">
        <v>373</v>
      </c>
      <c r="C164" s="70">
        <v>-1.5831134600000001E-2</v>
      </c>
      <c r="D164" s="15">
        <v>373</v>
      </c>
      <c r="E164" s="32">
        <f t="shared" si="86"/>
        <v>0</v>
      </c>
      <c r="F164" s="18">
        <f>IF(ISNUMBER(D164), $B172 * E164, "")</f>
        <v>0</v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 t="s">
        <v>111</v>
      </c>
      <c r="B165" s="110">
        <v>480</v>
      </c>
      <c r="C165" s="70">
        <v>-1.6393442599999999E-2</v>
      </c>
      <c r="D165" s="15">
        <v>482</v>
      </c>
      <c r="E165" s="32">
        <f t="shared" si="86"/>
        <v>4.1666666666666666E-3</v>
      </c>
      <c r="F165" s="18">
        <f>IF(ISNUMBER(D165), $B172 * E165, "")</f>
        <v>625</v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68</v>
      </c>
      <c r="B166" s="112">
        <v>224</v>
      </c>
      <c r="C166" s="71">
        <v>-1.75438596E-2</v>
      </c>
      <c r="D166" s="20">
        <v>225</v>
      </c>
      <c r="E166" s="21">
        <f t="shared" si="86"/>
        <v>4.464285714285714E-3</v>
      </c>
      <c r="F166" s="22">
        <f>IF(ISNUMBER(D166), $B172 * E166, "")</f>
        <v>669.64285714285711</v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165</v>
      </c>
      <c r="B167" s="113">
        <v>873</v>
      </c>
      <c r="C167" s="73">
        <v>-1.79977503E-2</v>
      </c>
      <c r="D167" s="96">
        <v>874</v>
      </c>
      <c r="E167" s="97">
        <f>IF(ISNUMBER(D167), (D167 - $B167) / $B167, "")</f>
        <v>1.145475372279496E-3</v>
      </c>
      <c r="F167" s="98">
        <f>IF(ISNUMBER(D167), $B172 * E167, "")</f>
        <v>171.82130584192441</v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 t="s">
        <v>345</v>
      </c>
      <c r="B168" s="110">
        <v>105</v>
      </c>
      <c r="C168" s="70">
        <v>-1.8691588799999999E-2</v>
      </c>
      <c r="D168" s="15">
        <v>105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 t="s">
        <v>211</v>
      </c>
      <c r="B169" s="110">
        <v>899</v>
      </c>
      <c r="C169" s="70">
        <v>-1.9629225699999999E-2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 t="s">
        <v>161</v>
      </c>
      <c r="B170" s="110">
        <v>268</v>
      </c>
      <c r="C170" s="70">
        <v>-2.1897810199999999E-2</v>
      </c>
      <c r="D170" s="15">
        <v>269</v>
      </c>
      <c r="E170" s="32">
        <f t="shared" si="90"/>
        <v>3.7313432835820895E-3</v>
      </c>
      <c r="F170" s="18">
        <f>IF(ISNUMBER(D170), $B172 * E170, "")</f>
        <v>559.70149253731347</v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 t="s">
        <v>116</v>
      </c>
      <c r="B171" s="115">
        <v>940</v>
      </c>
      <c r="C171" s="72">
        <v>-5.9059059099999998E-2</v>
      </c>
      <c r="D171" s="24">
        <v>938</v>
      </c>
      <c r="E171" s="25">
        <f t="shared" si="90"/>
        <v>-2.1276595744680851E-3</v>
      </c>
      <c r="F171" s="94">
        <f>IF(ISNUMBER(D171), $B172 * E171, "")</f>
        <v>-319.14893617021278</v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1.9215512714229198E-3</v>
      </c>
      <c r="F172" s="28">
        <f>SUM(F152:F171)</f>
        <v>5764.6538142687596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21085000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2.8464350000000001E-4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2023-01-01(일) 오전 00:00</v>
      </c>
      <c r="C177" s="199"/>
      <c r="D177" s="158" t="str">
        <f>TEXT($G$1, "[$-ko-KR]yyyy-mm-dd(ddd) ") &amp; "오후 14:00"</f>
        <v>2023-01-01(일) 오후 14:00</v>
      </c>
      <c r="E177" s="159"/>
      <c r="F177" s="160"/>
      <c r="G177" s="158" t="str">
        <f>TEXT($G$1, "[$-ko-KR]yyyy-mm-dd(ddd) ") &amp; "오후 19:00"</f>
        <v>2023-01-01(일) 오후 19:00</v>
      </c>
      <c r="H177" s="159"/>
      <c r="I177" s="160"/>
      <c r="J177" s="158" t="str">
        <f>TEXT($G$1, "[$-ko-KR]yyyy-mm-dd(ddd) ") &amp; "오후 21:00"</f>
        <v>2023-01-01(일) 오후 21:00</v>
      </c>
      <c r="K177" s="159"/>
      <c r="L177" s="160"/>
      <c r="M177" s="158" t="str">
        <f>TEXT($G$1+1, "[$-ko-KR]yyyy-mm-dd(ddd) ") &amp; "오전 00:00"</f>
        <v>2023-01-02(월)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 t="s">
        <v>341</v>
      </c>
      <c r="B179" s="108">
        <v>596</v>
      </c>
      <c r="C179" s="69">
        <v>-1.48760331E-2</v>
      </c>
      <c r="D179" s="13">
        <v>597</v>
      </c>
      <c r="E179" s="14">
        <f>IF(ISNUMBER(D179), (D179 - $B179) / $B179, "")</f>
        <v>1.6778523489932886E-3</v>
      </c>
      <c r="F179" s="16">
        <f>IF(ISNUMBER(D179), $B199 * E179, "")</f>
        <v>251.67785234899327</v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107</v>
      </c>
      <c r="B180" s="110">
        <v>32.700000000000003</v>
      </c>
      <c r="C180" s="70">
        <v>-1.5060241E-2</v>
      </c>
      <c r="D180" s="15">
        <v>32.799999999999997</v>
      </c>
      <c r="E180" s="32">
        <f t="shared" ref="E180:E183" si="94">IF(ISNUMBER(D180), (D180 - $B180) / $B180, "")</f>
        <v>3.0581039755349939E-3</v>
      </c>
      <c r="F180" s="18">
        <f>IF(ISNUMBER(D180), $B199 * E180, "")</f>
        <v>458.71559633024907</v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227</v>
      </c>
      <c r="B181" s="110">
        <v>32.5</v>
      </c>
      <c r="C181" s="70">
        <v>-1.51515152E-2</v>
      </c>
      <c r="D181" s="15">
        <v>32.9</v>
      </c>
      <c r="E181" s="32">
        <f t="shared" si="94"/>
        <v>1.2307692307692264E-2</v>
      </c>
      <c r="F181" s="18">
        <f>IF(ISNUMBER(D181), $B199 * E181, "")</f>
        <v>1846.1538461538396</v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 t="s">
        <v>60</v>
      </c>
      <c r="B182" s="110">
        <v>373</v>
      </c>
      <c r="C182" s="70">
        <v>-1.5831134600000001E-2</v>
      </c>
      <c r="D182" s="15">
        <v>373</v>
      </c>
      <c r="E182" s="32">
        <f t="shared" si="94"/>
        <v>0</v>
      </c>
      <c r="F182" s="18">
        <f>IF(ISNUMBER(D182), $B199 * E182, "")</f>
        <v>0</v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 t="s">
        <v>111</v>
      </c>
      <c r="B183" s="112">
        <v>480</v>
      </c>
      <c r="C183" s="71">
        <v>-1.6393442599999999E-2</v>
      </c>
      <c r="D183" s="20">
        <v>482</v>
      </c>
      <c r="E183" s="21">
        <f t="shared" si="94"/>
        <v>4.1666666666666666E-3</v>
      </c>
      <c r="F183" s="22">
        <f>IF(ISNUMBER(D183), $B199 * E183, "")</f>
        <v>625</v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 t="s">
        <v>174</v>
      </c>
      <c r="B184" s="113">
        <v>11310</v>
      </c>
      <c r="C184" s="73">
        <v>-1.6521739099999998E-2</v>
      </c>
      <c r="D184" s="96">
        <v>11350</v>
      </c>
      <c r="E184" s="97">
        <f>IF(ISNUMBER(D184), (D184 - $B184) / $B184, "")</f>
        <v>3.5366931918656055E-3</v>
      </c>
      <c r="F184" s="98">
        <f>IF(ISNUMBER(D184), $B199 * E184, "")</f>
        <v>530.50397877984085</v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 t="s">
        <v>221</v>
      </c>
      <c r="B185" s="110">
        <v>17.100000000000001</v>
      </c>
      <c r="C185" s="70">
        <v>-1.7241379300000002E-2</v>
      </c>
      <c r="D185" s="15">
        <v>17.2</v>
      </c>
      <c r="E185" s="32">
        <f t="shared" ref="E185:E188" si="98">IF(ISNUMBER(D185), (D185 - $B185) / $B185, "")</f>
        <v>5.8479532163741438E-3</v>
      </c>
      <c r="F185" s="18">
        <f>IF(ISNUMBER(D185), $B199 * E185, "")</f>
        <v>877.19298245612151</v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 t="s">
        <v>68</v>
      </c>
      <c r="B186" s="110">
        <v>224</v>
      </c>
      <c r="C186" s="70">
        <v>-1.75438596E-2</v>
      </c>
      <c r="D186" s="15">
        <v>225</v>
      </c>
      <c r="E186" s="32">
        <f t="shared" si="98"/>
        <v>4.464285714285714E-3</v>
      </c>
      <c r="F186" s="18">
        <f>IF(ISNUMBER(D186), $B199 * E186, "")</f>
        <v>669.64285714285711</v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 t="s">
        <v>165</v>
      </c>
      <c r="B187" s="110">
        <v>873</v>
      </c>
      <c r="C187" s="70">
        <v>-1.79977503E-2</v>
      </c>
      <c r="D187" s="15">
        <v>874</v>
      </c>
      <c r="E187" s="32">
        <f t="shared" si="98"/>
        <v>1.145475372279496E-3</v>
      </c>
      <c r="F187" s="18">
        <f>IF(ISNUMBER(D187), $B199 * E187, "")</f>
        <v>171.82130584192441</v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343</v>
      </c>
      <c r="B188" s="115">
        <v>12460</v>
      </c>
      <c r="C188" s="72">
        <v>-1.8124507500000001E-2</v>
      </c>
      <c r="D188" s="24">
        <v>12540</v>
      </c>
      <c r="E188" s="25">
        <f t="shared" si="98"/>
        <v>6.420545746388443E-3</v>
      </c>
      <c r="F188" s="94">
        <f>IF(ISNUMBER(D188), $B199 * E188, "")</f>
        <v>963.08186195826647</v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 t="s">
        <v>178</v>
      </c>
      <c r="B189" s="108">
        <v>1320</v>
      </c>
      <c r="C189" s="69">
        <v>-1.8587360599999998E-2</v>
      </c>
      <c r="D189" s="13">
        <v>1325</v>
      </c>
      <c r="E189" s="14">
        <f>IF(ISNUMBER(D189), (D189 - $B189) / $B189, "")</f>
        <v>3.787878787878788E-3</v>
      </c>
      <c r="F189" s="16">
        <f>IF(ISNUMBER(D189), $B199 * E189, "")</f>
        <v>568.18181818181824</v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 t="s">
        <v>345</v>
      </c>
      <c r="B190" s="110">
        <v>105</v>
      </c>
      <c r="C190" s="70">
        <v>-1.8691588799999999E-2</v>
      </c>
      <c r="D190" s="15">
        <v>105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 t="s">
        <v>347</v>
      </c>
      <c r="B191" s="110">
        <v>13640</v>
      </c>
      <c r="C191" s="70">
        <v>-1.9410495999999999E-2</v>
      </c>
      <c r="D191" s="15">
        <v>13690</v>
      </c>
      <c r="E191" s="32">
        <f t="shared" si="102"/>
        <v>3.6656891495601175E-3</v>
      </c>
      <c r="F191" s="18">
        <f>IF(ISNUMBER(D191), $B199 * E191, "")</f>
        <v>549.85337243401761</v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 t="s">
        <v>211</v>
      </c>
      <c r="B192" s="110">
        <v>899</v>
      </c>
      <c r="C192" s="70">
        <v>-1.9629225699999999E-2</v>
      </c>
      <c r="D192" s="15">
        <v>900</v>
      </c>
      <c r="E192" s="32">
        <f t="shared" si="102"/>
        <v>1.1123470522803114E-3</v>
      </c>
      <c r="F192" s="18">
        <f>IF(ISNUMBER(D192), $B199 * E192, "")</f>
        <v>166.85205784204672</v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161</v>
      </c>
      <c r="B193" s="112">
        <v>268</v>
      </c>
      <c r="C193" s="71">
        <v>-2.1897810199999999E-2</v>
      </c>
      <c r="D193" s="20">
        <v>269</v>
      </c>
      <c r="E193" s="21">
        <f t="shared" si="102"/>
        <v>3.7313432835820895E-3</v>
      </c>
      <c r="F193" s="22">
        <f>IF(ISNUMBER(D193), $B199 * E193, "")</f>
        <v>559.70149253731347</v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151</v>
      </c>
      <c r="B194" s="113">
        <v>1630</v>
      </c>
      <c r="C194" s="73">
        <v>-2.39520958E-2</v>
      </c>
      <c r="D194" s="96">
        <v>1635</v>
      </c>
      <c r="E194" s="97">
        <f>IF(ISNUMBER(D194), (D194 - $B194) / $B194, "")</f>
        <v>3.0674846625766872E-3</v>
      </c>
      <c r="F194" s="98">
        <f>IF(ISNUMBER(D194), $B199 * E194, "")</f>
        <v>460.12269938650309</v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 t="s">
        <v>349</v>
      </c>
      <c r="B195" s="110">
        <v>20.100000000000001</v>
      </c>
      <c r="C195" s="70">
        <v>-2.42718447E-2</v>
      </c>
      <c r="D195" s="15">
        <v>20.100000000000001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 t="s">
        <v>350</v>
      </c>
      <c r="B196" s="110">
        <v>5.47</v>
      </c>
      <c r="C196" s="70">
        <v>-3.0141844000000001E-2</v>
      </c>
      <c r="D196" s="15">
        <v>5.51</v>
      </c>
      <c r="E196" s="32">
        <f t="shared" si="106"/>
        <v>7.3126142595978131E-3</v>
      </c>
      <c r="F196" s="18">
        <f>IF(ISNUMBER(D196), $B199 * E196, "")</f>
        <v>1096.8921389396719</v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 t="s">
        <v>113</v>
      </c>
      <c r="B197" s="110">
        <v>1050</v>
      </c>
      <c r="C197" s="70">
        <v>-4.1095890400000001E-2</v>
      </c>
      <c r="D197" s="15">
        <v>1050</v>
      </c>
      <c r="E197" s="32">
        <f t="shared" si="106"/>
        <v>0</v>
      </c>
      <c r="F197" s="18">
        <f>IF(ISNUMBER(D197), $B199 * E197, "")</f>
        <v>0</v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 t="s">
        <v>116</v>
      </c>
      <c r="B198" s="115">
        <v>940</v>
      </c>
      <c r="C198" s="72">
        <v>-5.9059059099999998E-2</v>
      </c>
      <c r="D198" s="24">
        <v>938</v>
      </c>
      <c r="E198" s="25">
        <f t="shared" si="106"/>
        <v>-2.1276595744680851E-3</v>
      </c>
      <c r="F198" s="94">
        <f>IF(ISNUMBER(D198), $B199 * E198, "")</f>
        <v>-319.14893617021278</v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3.1587483080544169E-3</v>
      </c>
      <c r="F199" s="28">
        <f>SUM(F179:F198)</f>
        <v>9476.2449241632512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2023.01.01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2023-01-01T06:33:04Z</dcterms:modified>
</cp:coreProperties>
</file>