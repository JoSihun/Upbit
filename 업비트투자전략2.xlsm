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2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C434765C-47DE-415D-9431-0471DADDB3AB}" xr6:coauthVersionLast="46" xr6:coauthVersionMax="46" xr10:uidLastSave="{00000000-0000-0000-0000-000000000000}"/>
  <bookViews>
    <workbookView xWindow="28680" yWindow="-120" windowWidth="29040" windowHeight="15840" activeTab="3" xr2:uid="{6DFA4163-58A4-446A-8567-281C8DD649E3}"/>
  </bookViews>
  <sheets>
    <sheet name="투자전략" sheetId="2" r:id="rId1"/>
    <sheet name="2021.04.14" sheetId="4" r:id="rId2"/>
    <sheet name="현재가테이블" sheetId="3" r:id="rId3"/>
    <sheet name="종목선정" sheetId="5" r:id="rId4"/>
  </sheets>
  <definedNames>
    <definedName name="_xlnm._FilterDatabase" localSheetId="1" hidden="1">'2021.04.14'!#REF!</definedName>
    <definedName name="_xlnm._FilterDatabase" localSheetId="3" hidden="1">종목선정!$A$1:$D$117</definedName>
    <definedName name="_xlnm._FilterDatabase" localSheetId="0" hidden="1">투자전략!#REF!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0" i="5" l="1" a="1"/>
  <c r="K50" i="5" s="1"/>
  <c r="K49" i="5" a="1"/>
  <c r="K49" i="5" s="1"/>
  <c r="K48" i="5" a="1"/>
  <c r="K48" i="5" s="1"/>
  <c r="K47" i="5" a="1"/>
  <c r="K47" i="5" s="1"/>
  <c r="K46" i="5" a="1"/>
  <c r="K46" i="5" s="1"/>
  <c r="K45" i="5" a="1"/>
  <c r="K45" i="5" s="1"/>
  <c r="K44" i="5" a="1"/>
  <c r="K44" i="5" s="1"/>
  <c r="K43" i="5" a="1"/>
  <c r="K43" i="5" s="1"/>
  <c r="K42" i="5" a="1"/>
  <c r="K42" i="5" s="1"/>
  <c r="K41" i="5" a="1"/>
  <c r="K41" i="5" s="1"/>
  <c r="K40" i="5" a="1"/>
  <c r="K40" i="5" s="1"/>
  <c r="K39" i="5" a="1"/>
  <c r="K39" i="5" s="1"/>
  <c r="K38" i="5" a="1"/>
  <c r="K38" i="5" s="1"/>
  <c r="K37" i="5" a="1"/>
  <c r="K37" i="5" s="1"/>
  <c r="K36" i="5" a="1"/>
  <c r="K36" i="5" s="1"/>
  <c r="K35" i="5" a="1"/>
  <c r="K35" i="5" s="1"/>
  <c r="K34" i="5" a="1"/>
  <c r="K34" i="5" s="1"/>
  <c r="K33" i="5" a="1"/>
  <c r="K33" i="5" s="1"/>
  <c r="K32" i="5" a="1"/>
  <c r="K32" i="5" s="1"/>
  <c r="K31" i="5" a="1"/>
  <c r="K31" i="5" s="1"/>
  <c r="G56" i="5"/>
  <c r="G57" i="5"/>
  <c r="G58" i="5"/>
  <c r="G59" i="5"/>
  <c r="G60" i="5"/>
  <c r="G61" i="5"/>
  <c r="G62" i="5"/>
  <c r="G63" i="5"/>
  <c r="G64" i="5"/>
  <c r="G65" i="5"/>
  <c r="G66" i="5"/>
  <c r="H66" i="5" s="1"/>
  <c r="G67" i="5"/>
  <c r="I67" i="5" s="1"/>
  <c r="G68" i="5"/>
  <c r="H68" i="5" s="1"/>
  <c r="G69" i="5"/>
  <c r="I69" i="5" s="1"/>
  <c r="G70" i="5"/>
  <c r="H70" i="5" s="1"/>
  <c r="G71" i="5"/>
  <c r="I71" i="5" s="1"/>
  <c r="G72" i="5"/>
  <c r="H72" i="5" s="1"/>
  <c r="G73" i="5"/>
  <c r="I73" i="5" s="1"/>
  <c r="G74" i="5"/>
  <c r="H74" i="5" s="1"/>
  <c r="G75" i="5"/>
  <c r="I75" i="5" s="1"/>
  <c r="G3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O25" i="5"/>
  <c r="Q25" i="5" s="1"/>
  <c r="O24" i="5"/>
  <c r="Q24" i="5" s="1"/>
  <c r="H24" i="5"/>
  <c r="G24" i="5"/>
  <c r="O23" i="5"/>
  <c r="Q23" i="5" s="1"/>
  <c r="O22" i="5"/>
  <c r="P22" i="5" s="1"/>
  <c r="O21" i="5"/>
  <c r="Q21" i="5" s="1"/>
  <c r="O20" i="5"/>
  <c r="P20" i="5" s="1"/>
  <c r="O19" i="5"/>
  <c r="Q19" i="5" s="1"/>
  <c r="O18" i="5"/>
  <c r="P18" i="5" s="1"/>
  <c r="O17" i="5"/>
  <c r="Q17" i="5" s="1"/>
  <c r="H17" i="5"/>
  <c r="G17" i="5"/>
  <c r="O16" i="5"/>
  <c r="Q16" i="5" s="1"/>
  <c r="O15" i="5"/>
  <c r="Q15" i="5" s="1"/>
  <c r="O14" i="5"/>
  <c r="Q14" i="5" s="1"/>
  <c r="O13" i="5"/>
  <c r="Q13" i="5" s="1"/>
  <c r="O12" i="5"/>
  <c r="Q12" i="5" s="1"/>
  <c r="O11" i="5"/>
  <c r="Q11" i="5" s="1"/>
  <c r="O10" i="5"/>
  <c r="Q10" i="5" s="1"/>
  <c r="H10" i="5"/>
  <c r="G10" i="5"/>
  <c r="O9" i="5"/>
  <c r="Q9" i="5" s="1"/>
  <c r="O8" i="5"/>
  <c r="Q8" i="5" s="1"/>
  <c r="O7" i="5"/>
  <c r="Q7" i="5" s="1"/>
  <c r="O6" i="5"/>
  <c r="Q6" i="5" s="1"/>
  <c r="O198" i="4"/>
  <c r="N198" i="4"/>
  <c r="L198" i="4"/>
  <c r="K198" i="4"/>
  <c r="I198" i="4"/>
  <c r="H198" i="4"/>
  <c r="F198" i="4"/>
  <c r="E198" i="4"/>
  <c r="O197" i="4"/>
  <c r="N197" i="4"/>
  <c r="L197" i="4"/>
  <c r="K197" i="4"/>
  <c r="I197" i="4"/>
  <c r="H197" i="4"/>
  <c r="F197" i="4"/>
  <c r="E197" i="4"/>
  <c r="O196" i="4"/>
  <c r="N196" i="4"/>
  <c r="L196" i="4"/>
  <c r="K196" i="4"/>
  <c r="I196" i="4"/>
  <c r="H196" i="4"/>
  <c r="F196" i="4"/>
  <c r="E196" i="4"/>
  <c r="O195" i="4"/>
  <c r="N195" i="4"/>
  <c r="L195" i="4"/>
  <c r="K195" i="4"/>
  <c r="I195" i="4"/>
  <c r="H195" i="4"/>
  <c r="F195" i="4"/>
  <c r="E195" i="4"/>
  <c r="O194" i="4"/>
  <c r="N194" i="4"/>
  <c r="L194" i="4"/>
  <c r="K194" i="4"/>
  <c r="I194" i="4"/>
  <c r="H194" i="4"/>
  <c r="F194" i="4"/>
  <c r="E194" i="4"/>
  <c r="O193" i="4"/>
  <c r="N193" i="4"/>
  <c r="L193" i="4"/>
  <c r="K193" i="4"/>
  <c r="I193" i="4"/>
  <c r="H193" i="4"/>
  <c r="F193" i="4"/>
  <c r="E193" i="4"/>
  <c r="O192" i="4"/>
  <c r="N192" i="4"/>
  <c r="L192" i="4"/>
  <c r="K192" i="4"/>
  <c r="I192" i="4"/>
  <c r="H192" i="4"/>
  <c r="F192" i="4"/>
  <c r="E192" i="4"/>
  <c r="O191" i="4"/>
  <c r="N191" i="4"/>
  <c r="L191" i="4"/>
  <c r="K191" i="4"/>
  <c r="I191" i="4"/>
  <c r="H191" i="4"/>
  <c r="F191" i="4"/>
  <c r="E191" i="4"/>
  <c r="O190" i="4"/>
  <c r="N190" i="4"/>
  <c r="L190" i="4"/>
  <c r="K190" i="4"/>
  <c r="I190" i="4"/>
  <c r="H190" i="4"/>
  <c r="F190" i="4"/>
  <c r="E190" i="4"/>
  <c r="O189" i="4"/>
  <c r="N189" i="4"/>
  <c r="L189" i="4"/>
  <c r="K189" i="4"/>
  <c r="I189" i="4"/>
  <c r="H189" i="4"/>
  <c r="F189" i="4"/>
  <c r="E189" i="4"/>
  <c r="O188" i="4"/>
  <c r="N188" i="4"/>
  <c r="L188" i="4"/>
  <c r="K188" i="4"/>
  <c r="I188" i="4"/>
  <c r="H188" i="4"/>
  <c r="F188" i="4"/>
  <c r="E188" i="4"/>
  <c r="O187" i="4"/>
  <c r="N187" i="4"/>
  <c r="L187" i="4"/>
  <c r="K187" i="4"/>
  <c r="I187" i="4"/>
  <c r="H187" i="4"/>
  <c r="F187" i="4"/>
  <c r="E187" i="4"/>
  <c r="O186" i="4"/>
  <c r="N186" i="4"/>
  <c r="L186" i="4"/>
  <c r="K186" i="4"/>
  <c r="I186" i="4"/>
  <c r="H186" i="4"/>
  <c r="F186" i="4"/>
  <c r="E186" i="4"/>
  <c r="O185" i="4"/>
  <c r="N185" i="4"/>
  <c r="L185" i="4"/>
  <c r="K185" i="4"/>
  <c r="I185" i="4"/>
  <c r="H185" i="4"/>
  <c r="F185" i="4"/>
  <c r="E185" i="4"/>
  <c r="O184" i="4"/>
  <c r="N184" i="4"/>
  <c r="L184" i="4"/>
  <c r="K184" i="4"/>
  <c r="I184" i="4"/>
  <c r="H184" i="4"/>
  <c r="F184" i="4"/>
  <c r="E184" i="4"/>
  <c r="O183" i="4"/>
  <c r="N183" i="4"/>
  <c r="L183" i="4"/>
  <c r="K183" i="4"/>
  <c r="I183" i="4"/>
  <c r="H183" i="4"/>
  <c r="F183" i="4"/>
  <c r="E183" i="4"/>
  <c r="O182" i="4"/>
  <c r="N182" i="4"/>
  <c r="L182" i="4"/>
  <c r="K182" i="4"/>
  <c r="I182" i="4"/>
  <c r="H182" i="4"/>
  <c r="F182" i="4"/>
  <c r="E182" i="4"/>
  <c r="O181" i="4"/>
  <c r="N181" i="4"/>
  <c r="L181" i="4"/>
  <c r="K181" i="4"/>
  <c r="I181" i="4"/>
  <c r="H181" i="4"/>
  <c r="F181" i="4"/>
  <c r="E181" i="4"/>
  <c r="O180" i="4"/>
  <c r="N180" i="4"/>
  <c r="L180" i="4"/>
  <c r="K180" i="4"/>
  <c r="I180" i="4"/>
  <c r="H180" i="4"/>
  <c r="F180" i="4"/>
  <c r="E180" i="4"/>
  <c r="O179" i="4"/>
  <c r="O199" i="4" s="1"/>
  <c r="N179" i="4"/>
  <c r="N199" i="4" s="1"/>
  <c r="L179" i="4"/>
  <c r="L199" i="4" s="1"/>
  <c r="K179" i="4"/>
  <c r="K199" i="4" s="1"/>
  <c r="I179" i="4"/>
  <c r="I199" i="4" s="1"/>
  <c r="H179" i="4"/>
  <c r="H199" i="4" s="1"/>
  <c r="F179" i="4"/>
  <c r="F199" i="4" s="1"/>
  <c r="E179" i="4"/>
  <c r="E199" i="4" s="1"/>
  <c r="M176" i="4"/>
  <c r="G176" i="4"/>
  <c r="O171" i="4"/>
  <c r="N171" i="4"/>
  <c r="L171" i="4"/>
  <c r="K171" i="4"/>
  <c r="I171" i="4"/>
  <c r="H171" i="4"/>
  <c r="F171" i="4"/>
  <c r="E171" i="4"/>
  <c r="O170" i="4"/>
  <c r="N170" i="4"/>
  <c r="L170" i="4"/>
  <c r="K170" i="4"/>
  <c r="I170" i="4"/>
  <c r="H170" i="4"/>
  <c r="F170" i="4"/>
  <c r="E170" i="4"/>
  <c r="O169" i="4"/>
  <c r="N169" i="4"/>
  <c r="L169" i="4"/>
  <c r="K169" i="4"/>
  <c r="I169" i="4"/>
  <c r="H169" i="4"/>
  <c r="F169" i="4"/>
  <c r="E169" i="4"/>
  <c r="O168" i="4"/>
  <c r="N168" i="4"/>
  <c r="L168" i="4"/>
  <c r="K168" i="4"/>
  <c r="I168" i="4"/>
  <c r="H168" i="4"/>
  <c r="F168" i="4"/>
  <c r="E168" i="4"/>
  <c r="O167" i="4"/>
  <c r="N167" i="4"/>
  <c r="L167" i="4"/>
  <c r="K167" i="4"/>
  <c r="I167" i="4"/>
  <c r="H167" i="4"/>
  <c r="F167" i="4"/>
  <c r="E167" i="4"/>
  <c r="O166" i="4"/>
  <c r="N166" i="4"/>
  <c r="L166" i="4"/>
  <c r="K166" i="4"/>
  <c r="I166" i="4"/>
  <c r="H166" i="4"/>
  <c r="F166" i="4"/>
  <c r="E166" i="4"/>
  <c r="O165" i="4"/>
  <c r="N165" i="4"/>
  <c r="L165" i="4"/>
  <c r="K165" i="4"/>
  <c r="I165" i="4"/>
  <c r="H165" i="4"/>
  <c r="F165" i="4"/>
  <c r="E165" i="4"/>
  <c r="O164" i="4"/>
  <c r="N164" i="4"/>
  <c r="L164" i="4"/>
  <c r="K164" i="4"/>
  <c r="I164" i="4"/>
  <c r="H164" i="4"/>
  <c r="F164" i="4"/>
  <c r="E164" i="4"/>
  <c r="O163" i="4"/>
  <c r="N163" i="4"/>
  <c r="L163" i="4"/>
  <c r="K163" i="4"/>
  <c r="I163" i="4"/>
  <c r="H163" i="4"/>
  <c r="F163" i="4"/>
  <c r="E163" i="4"/>
  <c r="O162" i="4"/>
  <c r="N162" i="4"/>
  <c r="L162" i="4"/>
  <c r="K162" i="4"/>
  <c r="I162" i="4"/>
  <c r="H162" i="4"/>
  <c r="F162" i="4"/>
  <c r="E162" i="4"/>
  <c r="O161" i="4"/>
  <c r="N161" i="4"/>
  <c r="L161" i="4"/>
  <c r="K161" i="4"/>
  <c r="I161" i="4"/>
  <c r="H161" i="4"/>
  <c r="F161" i="4"/>
  <c r="E161" i="4"/>
  <c r="O160" i="4"/>
  <c r="N160" i="4"/>
  <c r="L160" i="4"/>
  <c r="K160" i="4"/>
  <c r="I160" i="4"/>
  <c r="H160" i="4"/>
  <c r="F160" i="4"/>
  <c r="E160" i="4"/>
  <c r="O159" i="4"/>
  <c r="N159" i="4"/>
  <c r="L159" i="4"/>
  <c r="K159" i="4"/>
  <c r="I159" i="4"/>
  <c r="H159" i="4"/>
  <c r="F159" i="4"/>
  <c r="E159" i="4"/>
  <c r="O158" i="4"/>
  <c r="N158" i="4"/>
  <c r="L158" i="4"/>
  <c r="K158" i="4"/>
  <c r="I158" i="4"/>
  <c r="H158" i="4"/>
  <c r="F158" i="4"/>
  <c r="E158" i="4"/>
  <c r="O157" i="4"/>
  <c r="N157" i="4"/>
  <c r="L157" i="4"/>
  <c r="K157" i="4"/>
  <c r="I157" i="4"/>
  <c r="H157" i="4"/>
  <c r="F157" i="4"/>
  <c r="E157" i="4"/>
  <c r="O156" i="4"/>
  <c r="N156" i="4"/>
  <c r="L156" i="4"/>
  <c r="K156" i="4"/>
  <c r="I156" i="4"/>
  <c r="H156" i="4"/>
  <c r="F156" i="4"/>
  <c r="E156" i="4"/>
  <c r="O155" i="4"/>
  <c r="N155" i="4"/>
  <c r="L155" i="4"/>
  <c r="K155" i="4"/>
  <c r="I155" i="4"/>
  <c r="H155" i="4"/>
  <c r="F155" i="4"/>
  <c r="E155" i="4"/>
  <c r="O154" i="4"/>
  <c r="N154" i="4"/>
  <c r="L154" i="4"/>
  <c r="K154" i="4"/>
  <c r="I154" i="4"/>
  <c r="H154" i="4"/>
  <c r="F154" i="4"/>
  <c r="E154" i="4"/>
  <c r="O153" i="4"/>
  <c r="N153" i="4"/>
  <c r="L153" i="4"/>
  <c r="K153" i="4"/>
  <c r="I153" i="4"/>
  <c r="H153" i="4"/>
  <c r="F153" i="4"/>
  <c r="E153" i="4"/>
  <c r="O152" i="4"/>
  <c r="O172" i="4" s="1"/>
  <c r="N152" i="4"/>
  <c r="N172" i="4" s="1"/>
  <c r="L152" i="4"/>
  <c r="L172" i="4" s="1"/>
  <c r="K152" i="4"/>
  <c r="K172" i="4" s="1"/>
  <c r="I152" i="4"/>
  <c r="I172" i="4" s="1"/>
  <c r="H152" i="4"/>
  <c r="H172" i="4" s="1"/>
  <c r="F152" i="4"/>
  <c r="F172" i="4" s="1"/>
  <c r="E152" i="4"/>
  <c r="E172" i="4" s="1"/>
  <c r="M149" i="4"/>
  <c r="G149" i="4"/>
  <c r="O144" i="4"/>
  <c r="N144" i="4"/>
  <c r="L144" i="4"/>
  <c r="K144" i="4"/>
  <c r="I144" i="4"/>
  <c r="H144" i="4"/>
  <c r="F144" i="4"/>
  <c r="E144" i="4"/>
  <c r="O143" i="4"/>
  <c r="N143" i="4"/>
  <c r="L143" i="4"/>
  <c r="K143" i="4"/>
  <c r="I143" i="4"/>
  <c r="H143" i="4"/>
  <c r="F143" i="4"/>
  <c r="E143" i="4"/>
  <c r="O142" i="4"/>
  <c r="N142" i="4"/>
  <c r="L142" i="4"/>
  <c r="K142" i="4"/>
  <c r="I142" i="4"/>
  <c r="H142" i="4"/>
  <c r="F142" i="4"/>
  <c r="E142" i="4"/>
  <c r="O141" i="4"/>
  <c r="N141" i="4"/>
  <c r="L141" i="4"/>
  <c r="K141" i="4"/>
  <c r="I141" i="4"/>
  <c r="H141" i="4"/>
  <c r="F141" i="4"/>
  <c r="E141" i="4"/>
  <c r="O140" i="4"/>
  <c r="N140" i="4"/>
  <c r="L140" i="4"/>
  <c r="K140" i="4"/>
  <c r="I140" i="4"/>
  <c r="H140" i="4"/>
  <c r="F140" i="4"/>
  <c r="E140" i="4"/>
  <c r="O139" i="4"/>
  <c r="N139" i="4"/>
  <c r="L139" i="4"/>
  <c r="K139" i="4"/>
  <c r="I139" i="4"/>
  <c r="H139" i="4"/>
  <c r="F139" i="4"/>
  <c r="E139" i="4"/>
  <c r="O138" i="4"/>
  <c r="N138" i="4"/>
  <c r="L138" i="4"/>
  <c r="K138" i="4"/>
  <c r="I138" i="4"/>
  <c r="H138" i="4"/>
  <c r="F138" i="4"/>
  <c r="E138" i="4"/>
  <c r="O137" i="4"/>
  <c r="N137" i="4"/>
  <c r="L137" i="4"/>
  <c r="K137" i="4"/>
  <c r="I137" i="4"/>
  <c r="H137" i="4"/>
  <c r="F137" i="4"/>
  <c r="E137" i="4"/>
  <c r="O136" i="4"/>
  <c r="N136" i="4"/>
  <c r="L136" i="4"/>
  <c r="K136" i="4"/>
  <c r="I136" i="4"/>
  <c r="H136" i="4"/>
  <c r="F136" i="4"/>
  <c r="E136" i="4"/>
  <c r="O135" i="4"/>
  <c r="N135" i="4"/>
  <c r="L135" i="4"/>
  <c r="K135" i="4"/>
  <c r="I135" i="4"/>
  <c r="H135" i="4"/>
  <c r="F135" i="4"/>
  <c r="E135" i="4"/>
  <c r="O134" i="4"/>
  <c r="N134" i="4"/>
  <c r="L134" i="4"/>
  <c r="K134" i="4"/>
  <c r="I134" i="4"/>
  <c r="H134" i="4"/>
  <c r="F134" i="4"/>
  <c r="E134" i="4"/>
  <c r="O133" i="4"/>
  <c r="N133" i="4"/>
  <c r="L133" i="4"/>
  <c r="K133" i="4"/>
  <c r="I133" i="4"/>
  <c r="H133" i="4"/>
  <c r="F133" i="4"/>
  <c r="E133" i="4"/>
  <c r="O132" i="4"/>
  <c r="N132" i="4"/>
  <c r="L132" i="4"/>
  <c r="K132" i="4"/>
  <c r="I132" i="4"/>
  <c r="H132" i="4"/>
  <c r="F132" i="4"/>
  <c r="E132" i="4"/>
  <c r="O131" i="4"/>
  <c r="N131" i="4"/>
  <c r="L131" i="4"/>
  <c r="K131" i="4"/>
  <c r="I131" i="4"/>
  <c r="H131" i="4"/>
  <c r="F131" i="4"/>
  <c r="E131" i="4"/>
  <c r="O130" i="4"/>
  <c r="N130" i="4"/>
  <c r="L130" i="4"/>
  <c r="K130" i="4"/>
  <c r="I130" i="4"/>
  <c r="H130" i="4"/>
  <c r="F130" i="4"/>
  <c r="E130" i="4"/>
  <c r="O129" i="4"/>
  <c r="N129" i="4"/>
  <c r="L129" i="4"/>
  <c r="K129" i="4"/>
  <c r="I129" i="4"/>
  <c r="H129" i="4"/>
  <c r="F129" i="4"/>
  <c r="E129" i="4"/>
  <c r="O128" i="4"/>
  <c r="N128" i="4"/>
  <c r="L128" i="4"/>
  <c r="K128" i="4"/>
  <c r="I128" i="4"/>
  <c r="H128" i="4"/>
  <c r="F128" i="4"/>
  <c r="E128" i="4"/>
  <c r="O127" i="4"/>
  <c r="N127" i="4"/>
  <c r="L127" i="4"/>
  <c r="K127" i="4"/>
  <c r="I127" i="4"/>
  <c r="H127" i="4"/>
  <c r="F127" i="4"/>
  <c r="E127" i="4"/>
  <c r="O126" i="4"/>
  <c r="N126" i="4"/>
  <c r="L126" i="4"/>
  <c r="K126" i="4"/>
  <c r="I126" i="4"/>
  <c r="H126" i="4"/>
  <c r="F126" i="4"/>
  <c r="E126" i="4"/>
  <c r="O125" i="4"/>
  <c r="O145" i="4" s="1"/>
  <c r="N125" i="4"/>
  <c r="N145" i="4" s="1"/>
  <c r="L125" i="4"/>
  <c r="L145" i="4" s="1"/>
  <c r="K125" i="4"/>
  <c r="K145" i="4" s="1"/>
  <c r="I125" i="4"/>
  <c r="I145" i="4" s="1"/>
  <c r="H125" i="4"/>
  <c r="H145" i="4" s="1"/>
  <c r="F125" i="4"/>
  <c r="F145" i="4" s="1"/>
  <c r="E125" i="4"/>
  <c r="E145" i="4" s="1"/>
  <c r="M122" i="4"/>
  <c r="G122" i="4"/>
  <c r="O117" i="4"/>
  <c r="N117" i="4"/>
  <c r="L117" i="4"/>
  <c r="K117" i="4"/>
  <c r="I117" i="4"/>
  <c r="H117" i="4"/>
  <c r="F117" i="4"/>
  <c r="E117" i="4"/>
  <c r="O116" i="4"/>
  <c r="N116" i="4"/>
  <c r="L116" i="4"/>
  <c r="K116" i="4"/>
  <c r="I116" i="4"/>
  <c r="H116" i="4"/>
  <c r="F116" i="4"/>
  <c r="E116" i="4"/>
  <c r="O115" i="4"/>
  <c r="N115" i="4"/>
  <c r="L115" i="4"/>
  <c r="K115" i="4"/>
  <c r="I115" i="4"/>
  <c r="H115" i="4"/>
  <c r="F115" i="4"/>
  <c r="E115" i="4"/>
  <c r="O114" i="4"/>
  <c r="N114" i="4"/>
  <c r="L114" i="4"/>
  <c r="K114" i="4"/>
  <c r="I114" i="4"/>
  <c r="H114" i="4"/>
  <c r="F114" i="4"/>
  <c r="E114" i="4"/>
  <c r="O113" i="4"/>
  <c r="N113" i="4"/>
  <c r="L113" i="4"/>
  <c r="K113" i="4"/>
  <c r="I113" i="4"/>
  <c r="H113" i="4"/>
  <c r="F113" i="4"/>
  <c r="E113" i="4"/>
  <c r="O112" i="4"/>
  <c r="N112" i="4"/>
  <c r="L112" i="4"/>
  <c r="K112" i="4"/>
  <c r="I112" i="4"/>
  <c r="H112" i="4"/>
  <c r="F112" i="4"/>
  <c r="E112" i="4"/>
  <c r="O111" i="4"/>
  <c r="N111" i="4"/>
  <c r="L111" i="4"/>
  <c r="K111" i="4"/>
  <c r="I111" i="4"/>
  <c r="H111" i="4"/>
  <c r="F111" i="4"/>
  <c r="E111" i="4"/>
  <c r="O110" i="4"/>
  <c r="N110" i="4"/>
  <c r="L110" i="4"/>
  <c r="K110" i="4"/>
  <c r="I110" i="4"/>
  <c r="H110" i="4"/>
  <c r="F110" i="4"/>
  <c r="E110" i="4"/>
  <c r="O109" i="4"/>
  <c r="N109" i="4"/>
  <c r="L109" i="4"/>
  <c r="K109" i="4"/>
  <c r="I109" i="4"/>
  <c r="H109" i="4"/>
  <c r="F109" i="4"/>
  <c r="E109" i="4"/>
  <c r="O108" i="4"/>
  <c r="N108" i="4"/>
  <c r="L108" i="4"/>
  <c r="K108" i="4"/>
  <c r="I108" i="4"/>
  <c r="H108" i="4"/>
  <c r="F108" i="4"/>
  <c r="E108" i="4"/>
  <c r="O107" i="4"/>
  <c r="N107" i="4"/>
  <c r="L107" i="4"/>
  <c r="K107" i="4"/>
  <c r="I107" i="4"/>
  <c r="H107" i="4"/>
  <c r="F107" i="4"/>
  <c r="E107" i="4"/>
  <c r="O106" i="4"/>
  <c r="N106" i="4"/>
  <c r="L106" i="4"/>
  <c r="K106" i="4"/>
  <c r="I106" i="4"/>
  <c r="H106" i="4"/>
  <c r="F106" i="4"/>
  <c r="E106" i="4"/>
  <c r="O105" i="4"/>
  <c r="N105" i="4"/>
  <c r="L105" i="4"/>
  <c r="K105" i="4"/>
  <c r="I105" i="4"/>
  <c r="H105" i="4"/>
  <c r="F105" i="4"/>
  <c r="E105" i="4"/>
  <c r="O104" i="4"/>
  <c r="N104" i="4"/>
  <c r="L104" i="4"/>
  <c r="K104" i="4"/>
  <c r="I104" i="4"/>
  <c r="H104" i="4"/>
  <c r="F104" i="4"/>
  <c r="E104" i="4"/>
  <c r="O103" i="4"/>
  <c r="N103" i="4"/>
  <c r="L103" i="4"/>
  <c r="K103" i="4"/>
  <c r="I103" i="4"/>
  <c r="H103" i="4"/>
  <c r="F103" i="4"/>
  <c r="E103" i="4"/>
  <c r="O102" i="4"/>
  <c r="N102" i="4"/>
  <c r="L102" i="4"/>
  <c r="K102" i="4"/>
  <c r="I102" i="4"/>
  <c r="H102" i="4"/>
  <c r="F102" i="4"/>
  <c r="E102" i="4"/>
  <c r="O101" i="4"/>
  <c r="N101" i="4"/>
  <c r="L101" i="4"/>
  <c r="K101" i="4"/>
  <c r="I101" i="4"/>
  <c r="H101" i="4"/>
  <c r="F101" i="4"/>
  <c r="E101" i="4"/>
  <c r="O100" i="4"/>
  <c r="N100" i="4"/>
  <c r="L100" i="4"/>
  <c r="K100" i="4"/>
  <c r="I100" i="4"/>
  <c r="H100" i="4"/>
  <c r="F100" i="4"/>
  <c r="E100" i="4"/>
  <c r="O99" i="4"/>
  <c r="N99" i="4"/>
  <c r="L99" i="4"/>
  <c r="K99" i="4"/>
  <c r="I99" i="4"/>
  <c r="H99" i="4"/>
  <c r="F99" i="4"/>
  <c r="E99" i="4"/>
  <c r="O98" i="4"/>
  <c r="O118" i="4" s="1"/>
  <c r="N98" i="4"/>
  <c r="N118" i="4" s="1"/>
  <c r="L98" i="4"/>
  <c r="L118" i="4" s="1"/>
  <c r="K98" i="4"/>
  <c r="K118" i="4" s="1"/>
  <c r="I98" i="4"/>
  <c r="I118" i="4" s="1"/>
  <c r="H98" i="4"/>
  <c r="H118" i="4" s="1"/>
  <c r="F98" i="4"/>
  <c r="F118" i="4" s="1"/>
  <c r="E98" i="4"/>
  <c r="E118" i="4" s="1"/>
  <c r="M95" i="4"/>
  <c r="G95" i="4"/>
  <c r="O90" i="4"/>
  <c r="N90" i="4"/>
  <c r="L90" i="4"/>
  <c r="K90" i="4"/>
  <c r="I90" i="4"/>
  <c r="H90" i="4"/>
  <c r="F90" i="4"/>
  <c r="E90" i="4"/>
  <c r="O89" i="4"/>
  <c r="N89" i="4"/>
  <c r="L89" i="4"/>
  <c r="K89" i="4"/>
  <c r="I89" i="4"/>
  <c r="H89" i="4"/>
  <c r="F89" i="4"/>
  <c r="E89" i="4"/>
  <c r="O88" i="4"/>
  <c r="N88" i="4"/>
  <c r="L88" i="4"/>
  <c r="K88" i="4"/>
  <c r="I88" i="4"/>
  <c r="H88" i="4"/>
  <c r="F88" i="4"/>
  <c r="E88" i="4"/>
  <c r="O87" i="4"/>
  <c r="N87" i="4"/>
  <c r="L87" i="4"/>
  <c r="K87" i="4"/>
  <c r="I87" i="4"/>
  <c r="H87" i="4"/>
  <c r="F87" i="4"/>
  <c r="E87" i="4"/>
  <c r="O86" i="4"/>
  <c r="N86" i="4"/>
  <c r="L86" i="4"/>
  <c r="K86" i="4"/>
  <c r="I86" i="4"/>
  <c r="H86" i="4"/>
  <c r="F86" i="4"/>
  <c r="E86" i="4"/>
  <c r="O85" i="4"/>
  <c r="N85" i="4"/>
  <c r="L85" i="4"/>
  <c r="K85" i="4"/>
  <c r="I85" i="4"/>
  <c r="H85" i="4"/>
  <c r="F85" i="4"/>
  <c r="E85" i="4"/>
  <c r="O84" i="4"/>
  <c r="N84" i="4"/>
  <c r="L84" i="4"/>
  <c r="K84" i="4"/>
  <c r="I84" i="4"/>
  <c r="H84" i="4"/>
  <c r="F84" i="4"/>
  <c r="E84" i="4"/>
  <c r="O83" i="4"/>
  <c r="N83" i="4"/>
  <c r="L83" i="4"/>
  <c r="K83" i="4"/>
  <c r="I83" i="4"/>
  <c r="H83" i="4"/>
  <c r="F83" i="4"/>
  <c r="E83" i="4"/>
  <c r="O82" i="4"/>
  <c r="N82" i="4"/>
  <c r="L82" i="4"/>
  <c r="K82" i="4"/>
  <c r="I82" i="4"/>
  <c r="H82" i="4"/>
  <c r="F82" i="4"/>
  <c r="E82" i="4"/>
  <c r="O81" i="4"/>
  <c r="N81" i="4"/>
  <c r="L81" i="4"/>
  <c r="K81" i="4"/>
  <c r="I81" i="4"/>
  <c r="H81" i="4"/>
  <c r="F81" i="4"/>
  <c r="E81" i="4"/>
  <c r="O80" i="4"/>
  <c r="N80" i="4"/>
  <c r="L80" i="4"/>
  <c r="K80" i="4"/>
  <c r="I80" i="4"/>
  <c r="H80" i="4"/>
  <c r="F80" i="4"/>
  <c r="E80" i="4"/>
  <c r="O79" i="4"/>
  <c r="N79" i="4"/>
  <c r="L79" i="4"/>
  <c r="K79" i="4"/>
  <c r="I79" i="4"/>
  <c r="H79" i="4"/>
  <c r="F79" i="4"/>
  <c r="E79" i="4"/>
  <c r="O78" i="4"/>
  <c r="N78" i="4"/>
  <c r="L78" i="4"/>
  <c r="K78" i="4"/>
  <c r="I78" i="4"/>
  <c r="H78" i="4"/>
  <c r="F78" i="4"/>
  <c r="E78" i="4"/>
  <c r="O77" i="4"/>
  <c r="N77" i="4"/>
  <c r="L77" i="4"/>
  <c r="K77" i="4"/>
  <c r="I77" i="4"/>
  <c r="H77" i="4"/>
  <c r="F77" i="4"/>
  <c r="E77" i="4"/>
  <c r="O76" i="4"/>
  <c r="N76" i="4"/>
  <c r="L76" i="4"/>
  <c r="K76" i="4"/>
  <c r="I76" i="4"/>
  <c r="H76" i="4"/>
  <c r="F76" i="4"/>
  <c r="E76" i="4"/>
  <c r="O75" i="4"/>
  <c r="N75" i="4"/>
  <c r="L75" i="4"/>
  <c r="K75" i="4"/>
  <c r="I75" i="4"/>
  <c r="H75" i="4"/>
  <c r="F75" i="4"/>
  <c r="E75" i="4"/>
  <c r="O74" i="4"/>
  <c r="N74" i="4"/>
  <c r="L74" i="4"/>
  <c r="K74" i="4"/>
  <c r="I74" i="4"/>
  <c r="H74" i="4"/>
  <c r="F74" i="4"/>
  <c r="E74" i="4"/>
  <c r="O73" i="4"/>
  <c r="N73" i="4"/>
  <c r="L73" i="4"/>
  <c r="K73" i="4"/>
  <c r="I73" i="4"/>
  <c r="H73" i="4"/>
  <c r="F73" i="4"/>
  <c r="E73" i="4"/>
  <c r="O72" i="4"/>
  <c r="N72" i="4"/>
  <c r="L72" i="4"/>
  <c r="K72" i="4"/>
  <c r="I72" i="4"/>
  <c r="H72" i="4"/>
  <c r="F72" i="4"/>
  <c r="E72" i="4"/>
  <c r="O71" i="4"/>
  <c r="O91" i="4" s="1"/>
  <c r="N71" i="4"/>
  <c r="N91" i="4" s="1"/>
  <c r="L71" i="4"/>
  <c r="L91" i="4" s="1"/>
  <c r="K71" i="4"/>
  <c r="K91" i="4" s="1"/>
  <c r="I71" i="4"/>
  <c r="I91" i="4" s="1"/>
  <c r="H71" i="4"/>
  <c r="H91" i="4" s="1"/>
  <c r="F71" i="4"/>
  <c r="F91" i="4" s="1"/>
  <c r="E71" i="4"/>
  <c r="E91" i="4" s="1"/>
  <c r="M68" i="4"/>
  <c r="G68" i="4"/>
  <c r="O63" i="4"/>
  <c r="N63" i="4"/>
  <c r="L63" i="4"/>
  <c r="K63" i="4"/>
  <c r="I63" i="4"/>
  <c r="H63" i="4"/>
  <c r="F63" i="4"/>
  <c r="E63" i="4"/>
  <c r="O62" i="4"/>
  <c r="N62" i="4"/>
  <c r="L62" i="4"/>
  <c r="K62" i="4"/>
  <c r="I62" i="4"/>
  <c r="H62" i="4"/>
  <c r="F62" i="4"/>
  <c r="E62" i="4"/>
  <c r="O61" i="4"/>
  <c r="N61" i="4"/>
  <c r="L61" i="4"/>
  <c r="K61" i="4"/>
  <c r="I61" i="4"/>
  <c r="H61" i="4"/>
  <c r="F61" i="4"/>
  <c r="E61" i="4"/>
  <c r="O60" i="4"/>
  <c r="N60" i="4"/>
  <c r="L60" i="4"/>
  <c r="K60" i="4"/>
  <c r="I60" i="4"/>
  <c r="H60" i="4"/>
  <c r="F60" i="4"/>
  <c r="E60" i="4"/>
  <c r="O59" i="4"/>
  <c r="N59" i="4"/>
  <c r="L59" i="4"/>
  <c r="K59" i="4"/>
  <c r="I59" i="4"/>
  <c r="H59" i="4"/>
  <c r="F59" i="4"/>
  <c r="E59" i="4"/>
  <c r="O58" i="4"/>
  <c r="N58" i="4"/>
  <c r="L58" i="4"/>
  <c r="K58" i="4"/>
  <c r="I58" i="4"/>
  <c r="H58" i="4"/>
  <c r="F58" i="4"/>
  <c r="E58" i="4"/>
  <c r="O57" i="4"/>
  <c r="N57" i="4"/>
  <c r="L57" i="4"/>
  <c r="K57" i="4"/>
  <c r="I57" i="4"/>
  <c r="H57" i="4"/>
  <c r="F57" i="4"/>
  <c r="E57" i="4"/>
  <c r="O56" i="4"/>
  <c r="N56" i="4"/>
  <c r="L56" i="4"/>
  <c r="K56" i="4"/>
  <c r="I56" i="4"/>
  <c r="H56" i="4"/>
  <c r="F56" i="4"/>
  <c r="E56" i="4"/>
  <c r="O55" i="4"/>
  <c r="N55" i="4"/>
  <c r="L55" i="4"/>
  <c r="K55" i="4"/>
  <c r="I55" i="4"/>
  <c r="H55" i="4"/>
  <c r="F55" i="4"/>
  <c r="E55" i="4"/>
  <c r="O54" i="4"/>
  <c r="N54" i="4"/>
  <c r="L54" i="4"/>
  <c r="K54" i="4"/>
  <c r="I54" i="4"/>
  <c r="H54" i="4"/>
  <c r="F54" i="4"/>
  <c r="E54" i="4"/>
  <c r="O53" i="4"/>
  <c r="N53" i="4"/>
  <c r="L53" i="4"/>
  <c r="K53" i="4"/>
  <c r="I53" i="4"/>
  <c r="H53" i="4"/>
  <c r="F53" i="4"/>
  <c r="E53" i="4"/>
  <c r="O52" i="4"/>
  <c r="N52" i="4"/>
  <c r="L52" i="4"/>
  <c r="K52" i="4"/>
  <c r="I52" i="4"/>
  <c r="H52" i="4"/>
  <c r="F52" i="4"/>
  <c r="E52" i="4"/>
  <c r="O51" i="4"/>
  <c r="N51" i="4"/>
  <c r="L51" i="4"/>
  <c r="K51" i="4"/>
  <c r="I51" i="4"/>
  <c r="H51" i="4"/>
  <c r="F51" i="4"/>
  <c r="E51" i="4"/>
  <c r="O50" i="4"/>
  <c r="N50" i="4"/>
  <c r="L50" i="4"/>
  <c r="K50" i="4"/>
  <c r="I50" i="4"/>
  <c r="H50" i="4"/>
  <c r="F50" i="4"/>
  <c r="E50" i="4"/>
  <c r="O49" i="4"/>
  <c r="N49" i="4"/>
  <c r="L49" i="4"/>
  <c r="K49" i="4"/>
  <c r="I49" i="4"/>
  <c r="H49" i="4"/>
  <c r="F49" i="4"/>
  <c r="E49" i="4"/>
  <c r="O48" i="4"/>
  <c r="N48" i="4"/>
  <c r="L48" i="4"/>
  <c r="K48" i="4"/>
  <c r="I48" i="4"/>
  <c r="H48" i="4"/>
  <c r="F48" i="4"/>
  <c r="E48" i="4"/>
  <c r="O47" i="4"/>
  <c r="N47" i="4"/>
  <c r="L47" i="4"/>
  <c r="K47" i="4"/>
  <c r="I47" i="4"/>
  <c r="H47" i="4"/>
  <c r="F47" i="4"/>
  <c r="E47" i="4"/>
  <c r="O46" i="4"/>
  <c r="N46" i="4"/>
  <c r="L46" i="4"/>
  <c r="K46" i="4"/>
  <c r="I46" i="4"/>
  <c r="H46" i="4"/>
  <c r="F46" i="4"/>
  <c r="E46" i="4"/>
  <c r="O45" i="4"/>
  <c r="N45" i="4"/>
  <c r="L45" i="4"/>
  <c r="K45" i="4"/>
  <c r="I45" i="4"/>
  <c r="H45" i="4"/>
  <c r="F45" i="4"/>
  <c r="E45" i="4"/>
  <c r="O44" i="4"/>
  <c r="O64" i="4" s="1"/>
  <c r="N44" i="4"/>
  <c r="N64" i="4" s="1"/>
  <c r="L44" i="4"/>
  <c r="L64" i="4" s="1"/>
  <c r="K44" i="4"/>
  <c r="K64" i="4" s="1"/>
  <c r="I44" i="4"/>
  <c r="I64" i="4" s="1"/>
  <c r="H44" i="4"/>
  <c r="H64" i="4" s="1"/>
  <c r="F44" i="4"/>
  <c r="F64" i="4" s="1"/>
  <c r="E44" i="4"/>
  <c r="E64" i="4" s="1"/>
  <c r="M41" i="4"/>
  <c r="G41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M14" i="4"/>
  <c r="G14" i="4"/>
  <c r="O25" i="3"/>
  <c r="P25" i="3" s="1"/>
  <c r="O24" i="3"/>
  <c r="O23" i="3"/>
  <c r="Q23" i="3" s="1"/>
  <c r="O22" i="3"/>
  <c r="P22" i="3" s="1"/>
  <c r="O21" i="3"/>
  <c r="P21" i="3" s="1"/>
  <c r="O20" i="3"/>
  <c r="O19" i="3"/>
  <c r="P19" i="3" s="1"/>
  <c r="O18" i="3"/>
  <c r="P18" i="3" s="1"/>
  <c r="O17" i="3"/>
  <c r="O16" i="3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G9" i="2"/>
  <c r="G7" i="2"/>
  <c r="O198" i="2"/>
  <c r="N198" i="2"/>
  <c r="L198" i="2"/>
  <c r="K198" i="2"/>
  <c r="I198" i="2"/>
  <c r="H198" i="2"/>
  <c r="F198" i="2"/>
  <c r="E198" i="2"/>
  <c r="O197" i="2"/>
  <c r="N197" i="2"/>
  <c r="L197" i="2"/>
  <c r="K197" i="2"/>
  <c r="I197" i="2"/>
  <c r="H197" i="2"/>
  <c r="F197" i="2"/>
  <c r="E197" i="2"/>
  <c r="O196" i="2"/>
  <c r="N196" i="2"/>
  <c r="L196" i="2"/>
  <c r="K196" i="2"/>
  <c r="I196" i="2"/>
  <c r="H196" i="2"/>
  <c r="F196" i="2"/>
  <c r="E196" i="2"/>
  <c r="O195" i="2"/>
  <c r="N195" i="2"/>
  <c r="L195" i="2"/>
  <c r="K195" i="2"/>
  <c r="I195" i="2"/>
  <c r="H195" i="2"/>
  <c r="F195" i="2"/>
  <c r="E195" i="2"/>
  <c r="O194" i="2"/>
  <c r="N194" i="2"/>
  <c r="L194" i="2"/>
  <c r="K194" i="2"/>
  <c r="I194" i="2"/>
  <c r="H194" i="2"/>
  <c r="F194" i="2"/>
  <c r="E194" i="2"/>
  <c r="O193" i="2"/>
  <c r="N193" i="2"/>
  <c r="L193" i="2"/>
  <c r="K193" i="2"/>
  <c r="I193" i="2"/>
  <c r="H193" i="2"/>
  <c r="F193" i="2"/>
  <c r="E193" i="2"/>
  <c r="O192" i="2"/>
  <c r="N192" i="2"/>
  <c r="L192" i="2"/>
  <c r="K192" i="2"/>
  <c r="I192" i="2"/>
  <c r="H192" i="2"/>
  <c r="F192" i="2"/>
  <c r="E192" i="2"/>
  <c r="O191" i="2"/>
  <c r="N191" i="2"/>
  <c r="L191" i="2"/>
  <c r="K191" i="2"/>
  <c r="I191" i="2"/>
  <c r="H191" i="2"/>
  <c r="F191" i="2"/>
  <c r="E191" i="2"/>
  <c r="O190" i="2"/>
  <c r="N190" i="2"/>
  <c r="L190" i="2"/>
  <c r="K190" i="2"/>
  <c r="I190" i="2"/>
  <c r="H190" i="2"/>
  <c r="F190" i="2"/>
  <c r="E190" i="2"/>
  <c r="O189" i="2"/>
  <c r="N189" i="2"/>
  <c r="L189" i="2"/>
  <c r="K189" i="2"/>
  <c r="I189" i="2"/>
  <c r="H189" i="2"/>
  <c r="F189" i="2"/>
  <c r="E189" i="2"/>
  <c r="O188" i="2"/>
  <c r="N188" i="2"/>
  <c r="L188" i="2"/>
  <c r="K188" i="2"/>
  <c r="I188" i="2"/>
  <c r="H188" i="2"/>
  <c r="F188" i="2"/>
  <c r="E188" i="2"/>
  <c r="O187" i="2"/>
  <c r="N187" i="2"/>
  <c r="L187" i="2"/>
  <c r="K187" i="2"/>
  <c r="I187" i="2"/>
  <c r="H187" i="2"/>
  <c r="F187" i="2"/>
  <c r="E187" i="2"/>
  <c r="O186" i="2"/>
  <c r="N186" i="2"/>
  <c r="L186" i="2"/>
  <c r="K186" i="2"/>
  <c r="I186" i="2"/>
  <c r="H186" i="2"/>
  <c r="F186" i="2"/>
  <c r="E186" i="2"/>
  <c r="O185" i="2"/>
  <c r="N185" i="2"/>
  <c r="L185" i="2"/>
  <c r="K185" i="2"/>
  <c r="I185" i="2"/>
  <c r="H185" i="2"/>
  <c r="F185" i="2"/>
  <c r="E185" i="2"/>
  <c r="O184" i="2"/>
  <c r="N184" i="2"/>
  <c r="L184" i="2"/>
  <c r="K184" i="2"/>
  <c r="I184" i="2"/>
  <c r="H184" i="2"/>
  <c r="F184" i="2"/>
  <c r="E184" i="2"/>
  <c r="O183" i="2"/>
  <c r="N183" i="2"/>
  <c r="L183" i="2"/>
  <c r="K183" i="2"/>
  <c r="I183" i="2"/>
  <c r="H183" i="2"/>
  <c r="F183" i="2"/>
  <c r="E183" i="2"/>
  <c r="O182" i="2"/>
  <c r="N182" i="2"/>
  <c r="L182" i="2"/>
  <c r="K182" i="2"/>
  <c r="I182" i="2"/>
  <c r="H182" i="2"/>
  <c r="F182" i="2"/>
  <c r="E182" i="2"/>
  <c r="O181" i="2"/>
  <c r="N181" i="2"/>
  <c r="L181" i="2"/>
  <c r="K181" i="2"/>
  <c r="I181" i="2"/>
  <c r="H181" i="2"/>
  <c r="F181" i="2"/>
  <c r="E181" i="2"/>
  <c r="O180" i="2"/>
  <c r="N180" i="2"/>
  <c r="L180" i="2"/>
  <c r="K180" i="2"/>
  <c r="I180" i="2"/>
  <c r="H180" i="2"/>
  <c r="F180" i="2"/>
  <c r="E180" i="2"/>
  <c r="O179" i="2"/>
  <c r="O199" i="2" s="1"/>
  <c r="N179" i="2"/>
  <c r="N199" i="2" s="1"/>
  <c r="L179" i="2"/>
  <c r="L199" i="2" s="1"/>
  <c r="K179" i="2"/>
  <c r="K199" i="2" s="1"/>
  <c r="I179" i="2"/>
  <c r="I199" i="2" s="1"/>
  <c r="H179" i="2"/>
  <c r="H199" i="2" s="1"/>
  <c r="F179" i="2"/>
  <c r="F199" i="2" s="1"/>
  <c r="E179" i="2"/>
  <c r="E199" i="2" s="1"/>
  <c r="M176" i="2"/>
  <c r="G176" i="2"/>
  <c r="O171" i="2"/>
  <c r="N171" i="2"/>
  <c r="L171" i="2"/>
  <c r="K171" i="2"/>
  <c r="I171" i="2"/>
  <c r="H171" i="2"/>
  <c r="F171" i="2"/>
  <c r="E171" i="2"/>
  <c r="O170" i="2"/>
  <c r="N170" i="2"/>
  <c r="L170" i="2"/>
  <c r="K170" i="2"/>
  <c r="I170" i="2"/>
  <c r="H170" i="2"/>
  <c r="F170" i="2"/>
  <c r="E170" i="2"/>
  <c r="O169" i="2"/>
  <c r="N169" i="2"/>
  <c r="L169" i="2"/>
  <c r="K169" i="2"/>
  <c r="I169" i="2"/>
  <c r="H169" i="2"/>
  <c r="F169" i="2"/>
  <c r="E169" i="2"/>
  <c r="O168" i="2"/>
  <c r="N168" i="2"/>
  <c r="L168" i="2"/>
  <c r="K168" i="2"/>
  <c r="I168" i="2"/>
  <c r="H168" i="2"/>
  <c r="F168" i="2"/>
  <c r="E168" i="2"/>
  <c r="O167" i="2"/>
  <c r="N167" i="2"/>
  <c r="L167" i="2"/>
  <c r="K167" i="2"/>
  <c r="I167" i="2"/>
  <c r="H167" i="2"/>
  <c r="F167" i="2"/>
  <c r="E167" i="2"/>
  <c r="O166" i="2"/>
  <c r="N166" i="2"/>
  <c r="L166" i="2"/>
  <c r="K166" i="2"/>
  <c r="I166" i="2"/>
  <c r="H166" i="2"/>
  <c r="F166" i="2"/>
  <c r="E166" i="2"/>
  <c r="O165" i="2"/>
  <c r="N165" i="2"/>
  <c r="L165" i="2"/>
  <c r="K165" i="2"/>
  <c r="I165" i="2"/>
  <c r="H165" i="2"/>
  <c r="F165" i="2"/>
  <c r="E165" i="2"/>
  <c r="O164" i="2"/>
  <c r="N164" i="2"/>
  <c r="L164" i="2"/>
  <c r="K164" i="2"/>
  <c r="I164" i="2"/>
  <c r="H164" i="2"/>
  <c r="F164" i="2"/>
  <c r="E164" i="2"/>
  <c r="O163" i="2"/>
  <c r="N163" i="2"/>
  <c r="L163" i="2"/>
  <c r="K163" i="2"/>
  <c r="I163" i="2"/>
  <c r="H163" i="2"/>
  <c r="F163" i="2"/>
  <c r="E163" i="2"/>
  <c r="O162" i="2"/>
  <c r="N162" i="2"/>
  <c r="L162" i="2"/>
  <c r="K162" i="2"/>
  <c r="I162" i="2"/>
  <c r="H162" i="2"/>
  <c r="F162" i="2"/>
  <c r="E162" i="2"/>
  <c r="O161" i="2"/>
  <c r="N161" i="2"/>
  <c r="L161" i="2"/>
  <c r="K161" i="2"/>
  <c r="I161" i="2"/>
  <c r="H161" i="2"/>
  <c r="F161" i="2"/>
  <c r="E161" i="2"/>
  <c r="O160" i="2"/>
  <c r="N160" i="2"/>
  <c r="L160" i="2"/>
  <c r="K160" i="2"/>
  <c r="I160" i="2"/>
  <c r="H160" i="2"/>
  <c r="F160" i="2"/>
  <c r="E160" i="2"/>
  <c r="O159" i="2"/>
  <c r="N159" i="2"/>
  <c r="L159" i="2"/>
  <c r="K159" i="2"/>
  <c r="I159" i="2"/>
  <c r="H159" i="2"/>
  <c r="F159" i="2"/>
  <c r="E159" i="2"/>
  <c r="O158" i="2"/>
  <c r="N158" i="2"/>
  <c r="L158" i="2"/>
  <c r="K158" i="2"/>
  <c r="I158" i="2"/>
  <c r="H158" i="2"/>
  <c r="F158" i="2"/>
  <c r="E158" i="2"/>
  <c r="O157" i="2"/>
  <c r="N157" i="2"/>
  <c r="L157" i="2"/>
  <c r="K157" i="2"/>
  <c r="I157" i="2"/>
  <c r="H157" i="2"/>
  <c r="F157" i="2"/>
  <c r="E157" i="2"/>
  <c r="O156" i="2"/>
  <c r="N156" i="2"/>
  <c r="L156" i="2"/>
  <c r="K156" i="2"/>
  <c r="I156" i="2"/>
  <c r="H156" i="2"/>
  <c r="F156" i="2"/>
  <c r="E156" i="2"/>
  <c r="O155" i="2"/>
  <c r="N155" i="2"/>
  <c r="L155" i="2"/>
  <c r="K155" i="2"/>
  <c r="I155" i="2"/>
  <c r="H155" i="2"/>
  <c r="F155" i="2"/>
  <c r="E155" i="2"/>
  <c r="O154" i="2"/>
  <c r="N154" i="2"/>
  <c r="L154" i="2"/>
  <c r="K154" i="2"/>
  <c r="I154" i="2"/>
  <c r="H154" i="2"/>
  <c r="F154" i="2"/>
  <c r="E154" i="2"/>
  <c r="O153" i="2"/>
  <c r="N153" i="2"/>
  <c r="L153" i="2"/>
  <c r="K153" i="2"/>
  <c r="I153" i="2"/>
  <c r="H153" i="2"/>
  <c r="F153" i="2"/>
  <c r="E153" i="2"/>
  <c r="O152" i="2"/>
  <c r="O172" i="2" s="1"/>
  <c r="N152" i="2"/>
  <c r="N172" i="2" s="1"/>
  <c r="L152" i="2"/>
  <c r="L172" i="2" s="1"/>
  <c r="K152" i="2"/>
  <c r="K172" i="2" s="1"/>
  <c r="I152" i="2"/>
  <c r="I172" i="2" s="1"/>
  <c r="H152" i="2"/>
  <c r="H172" i="2" s="1"/>
  <c r="F152" i="2"/>
  <c r="F172" i="2" s="1"/>
  <c r="E152" i="2"/>
  <c r="E172" i="2" s="1"/>
  <c r="M149" i="2"/>
  <c r="G149" i="2"/>
  <c r="O144" i="2"/>
  <c r="N144" i="2"/>
  <c r="L144" i="2"/>
  <c r="K144" i="2"/>
  <c r="I144" i="2"/>
  <c r="H144" i="2"/>
  <c r="F144" i="2"/>
  <c r="E144" i="2"/>
  <c r="O143" i="2"/>
  <c r="N143" i="2"/>
  <c r="L143" i="2"/>
  <c r="K143" i="2"/>
  <c r="I143" i="2"/>
  <c r="H143" i="2"/>
  <c r="F143" i="2"/>
  <c r="E143" i="2"/>
  <c r="O142" i="2"/>
  <c r="N142" i="2"/>
  <c r="L142" i="2"/>
  <c r="K142" i="2"/>
  <c r="I142" i="2"/>
  <c r="H142" i="2"/>
  <c r="F142" i="2"/>
  <c r="E142" i="2"/>
  <c r="O141" i="2"/>
  <c r="N141" i="2"/>
  <c r="L141" i="2"/>
  <c r="K141" i="2"/>
  <c r="I141" i="2"/>
  <c r="H141" i="2"/>
  <c r="F141" i="2"/>
  <c r="E141" i="2"/>
  <c r="O140" i="2"/>
  <c r="N140" i="2"/>
  <c r="L140" i="2"/>
  <c r="K140" i="2"/>
  <c r="I140" i="2"/>
  <c r="H140" i="2"/>
  <c r="F140" i="2"/>
  <c r="E140" i="2"/>
  <c r="O139" i="2"/>
  <c r="N139" i="2"/>
  <c r="L139" i="2"/>
  <c r="K139" i="2"/>
  <c r="I139" i="2"/>
  <c r="H139" i="2"/>
  <c r="F139" i="2"/>
  <c r="E139" i="2"/>
  <c r="O138" i="2"/>
  <c r="N138" i="2"/>
  <c r="L138" i="2"/>
  <c r="K138" i="2"/>
  <c r="I138" i="2"/>
  <c r="H138" i="2"/>
  <c r="F138" i="2"/>
  <c r="E138" i="2"/>
  <c r="O137" i="2"/>
  <c r="N137" i="2"/>
  <c r="L137" i="2"/>
  <c r="K137" i="2"/>
  <c r="I137" i="2"/>
  <c r="H137" i="2"/>
  <c r="F137" i="2"/>
  <c r="E137" i="2"/>
  <c r="O136" i="2"/>
  <c r="N136" i="2"/>
  <c r="L136" i="2"/>
  <c r="K136" i="2"/>
  <c r="I136" i="2"/>
  <c r="H136" i="2"/>
  <c r="F136" i="2"/>
  <c r="E136" i="2"/>
  <c r="O135" i="2"/>
  <c r="N135" i="2"/>
  <c r="L135" i="2"/>
  <c r="K135" i="2"/>
  <c r="I135" i="2"/>
  <c r="H135" i="2"/>
  <c r="F135" i="2"/>
  <c r="E135" i="2"/>
  <c r="O134" i="2"/>
  <c r="N134" i="2"/>
  <c r="L134" i="2"/>
  <c r="K134" i="2"/>
  <c r="I134" i="2"/>
  <c r="H134" i="2"/>
  <c r="F134" i="2"/>
  <c r="E134" i="2"/>
  <c r="O133" i="2"/>
  <c r="N133" i="2"/>
  <c r="L133" i="2"/>
  <c r="K133" i="2"/>
  <c r="I133" i="2"/>
  <c r="H133" i="2"/>
  <c r="F133" i="2"/>
  <c r="E133" i="2"/>
  <c r="O132" i="2"/>
  <c r="N132" i="2"/>
  <c r="L132" i="2"/>
  <c r="K132" i="2"/>
  <c r="I132" i="2"/>
  <c r="H132" i="2"/>
  <c r="F132" i="2"/>
  <c r="E132" i="2"/>
  <c r="O131" i="2"/>
  <c r="N131" i="2"/>
  <c r="L131" i="2"/>
  <c r="K131" i="2"/>
  <c r="I131" i="2"/>
  <c r="H131" i="2"/>
  <c r="F131" i="2"/>
  <c r="E131" i="2"/>
  <c r="O130" i="2"/>
  <c r="N130" i="2"/>
  <c r="L130" i="2"/>
  <c r="K130" i="2"/>
  <c r="I130" i="2"/>
  <c r="H130" i="2"/>
  <c r="F130" i="2"/>
  <c r="E130" i="2"/>
  <c r="O129" i="2"/>
  <c r="N129" i="2"/>
  <c r="L129" i="2"/>
  <c r="K129" i="2"/>
  <c r="I129" i="2"/>
  <c r="H129" i="2"/>
  <c r="F129" i="2"/>
  <c r="E129" i="2"/>
  <c r="O128" i="2"/>
  <c r="N128" i="2"/>
  <c r="L128" i="2"/>
  <c r="K128" i="2"/>
  <c r="I128" i="2"/>
  <c r="H128" i="2"/>
  <c r="F128" i="2"/>
  <c r="E128" i="2"/>
  <c r="O127" i="2"/>
  <c r="N127" i="2"/>
  <c r="L127" i="2"/>
  <c r="K127" i="2"/>
  <c r="I127" i="2"/>
  <c r="H127" i="2"/>
  <c r="F127" i="2"/>
  <c r="E127" i="2"/>
  <c r="O126" i="2"/>
  <c r="N126" i="2"/>
  <c r="L126" i="2"/>
  <c r="K126" i="2"/>
  <c r="I126" i="2"/>
  <c r="H126" i="2"/>
  <c r="F126" i="2"/>
  <c r="E126" i="2"/>
  <c r="O125" i="2"/>
  <c r="O145" i="2" s="1"/>
  <c r="N125" i="2"/>
  <c r="N145" i="2" s="1"/>
  <c r="L125" i="2"/>
  <c r="L145" i="2" s="1"/>
  <c r="K125" i="2"/>
  <c r="K145" i="2" s="1"/>
  <c r="I125" i="2"/>
  <c r="I145" i="2" s="1"/>
  <c r="H125" i="2"/>
  <c r="H145" i="2" s="1"/>
  <c r="F125" i="2"/>
  <c r="F145" i="2" s="1"/>
  <c r="E125" i="2"/>
  <c r="E145" i="2" s="1"/>
  <c r="M122" i="2"/>
  <c r="G122" i="2"/>
  <c r="P16" i="3"/>
  <c r="Q16" i="3"/>
  <c r="P17" i="3"/>
  <c r="Q17" i="3"/>
  <c r="P20" i="3"/>
  <c r="Q20" i="3"/>
  <c r="P24" i="3"/>
  <c r="Q24" i="3"/>
  <c r="Q25" i="3"/>
  <c r="H24" i="3"/>
  <c r="G24" i="3"/>
  <c r="H17" i="3"/>
  <c r="G17" i="3"/>
  <c r="P8" i="3"/>
  <c r="H10" i="3"/>
  <c r="G10" i="3"/>
  <c r="O117" i="2"/>
  <c r="N117" i="2"/>
  <c r="L117" i="2"/>
  <c r="K117" i="2"/>
  <c r="I117" i="2"/>
  <c r="H117" i="2"/>
  <c r="F117" i="2"/>
  <c r="E117" i="2"/>
  <c r="O116" i="2"/>
  <c r="N116" i="2"/>
  <c r="L116" i="2"/>
  <c r="K116" i="2"/>
  <c r="I116" i="2"/>
  <c r="H116" i="2"/>
  <c r="F116" i="2"/>
  <c r="E116" i="2"/>
  <c r="O115" i="2"/>
  <c r="N115" i="2"/>
  <c r="L115" i="2"/>
  <c r="K115" i="2"/>
  <c r="I115" i="2"/>
  <c r="H115" i="2"/>
  <c r="F115" i="2"/>
  <c r="E115" i="2"/>
  <c r="O114" i="2"/>
  <c r="N114" i="2"/>
  <c r="L114" i="2"/>
  <c r="K114" i="2"/>
  <c r="I114" i="2"/>
  <c r="H114" i="2"/>
  <c r="F114" i="2"/>
  <c r="E114" i="2"/>
  <c r="O113" i="2"/>
  <c r="N113" i="2"/>
  <c r="L113" i="2"/>
  <c r="K113" i="2"/>
  <c r="I113" i="2"/>
  <c r="H113" i="2"/>
  <c r="F113" i="2"/>
  <c r="E113" i="2"/>
  <c r="O112" i="2"/>
  <c r="N112" i="2"/>
  <c r="L112" i="2"/>
  <c r="K112" i="2"/>
  <c r="I112" i="2"/>
  <c r="H112" i="2"/>
  <c r="F112" i="2"/>
  <c r="E112" i="2"/>
  <c r="O111" i="2"/>
  <c r="N111" i="2"/>
  <c r="L111" i="2"/>
  <c r="K111" i="2"/>
  <c r="I111" i="2"/>
  <c r="H111" i="2"/>
  <c r="F111" i="2"/>
  <c r="E111" i="2"/>
  <c r="O110" i="2"/>
  <c r="N110" i="2"/>
  <c r="L110" i="2"/>
  <c r="K110" i="2"/>
  <c r="I110" i="2"/>
  <c r="H110" i="2"/>
  <c r="F110" i="2"/>
  <c r="E110" i="2"/>
  <c r="O109" i="2"/>
  <c r="N109" i="2"/>
  <c r="L109" i="2"/>
  <c r="K109" i="2"/>
  <c r="I109" i="2"/>
  <c r="H109" i="2"/>
  <c r="F109" i="2"/>
  <c r="E109" i="2"/>
  <c r="O108" i="2"/>
  <c r="N108" i="2"/>
  <c r="L108" i="2"/>
  <c r="K108" i="2"/>
  <c r="I108" i="2"/>
  <c r="H108" i="2"/>
  <c r="F108" i="2"/>
  <c r="E108" i="2"/>
  <c r="O107" i="2"/>
  <c r="N107" i="2"/>
  <c r="L107" i="2"/>
  <c r="K107" i="2"/>
  <c r="I107" i="2"/>
  <c r="H107" i="2"/>
  <c r="F107" i="2"/>
  <c r="E107" i="2"/>
  <c r="O106" i="2"/>
  <c r="N106" i="2"/>
  <c r="L106" i="2"/>
  <c r="K106" i="2"/>
  <c r="I106" i="2"/>
  <c r="H106" i="2"/>
  <c r="F106" i="2"/>
  <c r="E106" i="2"/>
  <c r="O105" i="2"/>
  <c r="N105" i="2"/>
  <c r="L105" i="2"/>
  <c r="K105" i="2"/>
  <c r="I105" i="2"/>
  <c r="H105" i="2"/>
  <c r="F105" i="2"/>
  <c r="E105" i="2"/>
  <c r="O104" i="2"/>
  <c r="N104" i="2"/>
  <c r="L104" i="2"/>
  <c r="K104" i="2"/>
  <c r="I104" i="2"/>
  <c r="H104" i="2"/>
  <c r="F104" i="2"/>
  <c r="E104" i="2"/>
  <c r="O103" i="2"/>
  <c r="N103" i="2"/>
  <c r="L103" i="2"/>
  <c r="K103" i="2"/>
  <c r="I103" i="2"/>
  <c r="H103" i="2"/>
  <c r="F103" i="2"/>
  <c r="E103" i="2"/>
  <c r="O102" i="2"/>
  <c r="N102" i="2"/>
  <c r="L102" i="2"/>
  <c r="K102" i="2"/>
  <c r="I102" i="2"/>
  <c r="H102" i="2"/>
  <c r="F102" i="2"/>
  <c r="E102" i="2"/>
  <c r="O101" i="2"/>
  <c r="N101" i="2"/>
  <c r="L101" i="2"/>
  <c r="K101" i="2"/>
  <c r="I101" i="2"/>
  <c r="H101" i="2"/>
  <c r="F101" i="2"/>
  <c r="E101" i="2"/>
  <c r="O100" i="2"/>
  <c r="N100" i="2"/>
  <c r="L100" i="2"/>
  <c r="K100" i="2"/>
  <c r="I100" i="2"/>
  <c r="H100" i="2"/>
  <c r="F100" i="2"/>
  <c r="E100" i="2"/>
  <c r="O99" i="2"/>
  <c r="N99" i="2"/>
  <c r="L99" i="2"/>
  <c r="K99" i="2"/>
  <c r="I99" i="2"/>
  <c r="H99" i="2"/>
  <c r="F99" i="2"/>
  <c r="E99" i="2"/>
  <c r="O98" i="2"/>
  <c r="O118" i="2" s="1"/>
  <c r="G3" i="2" s="1"/>
  <c r="N98" i="2"/>
  <c r="N118" i="2" s="1"/>
  <c r="L98" i="2"/>
  <c r="L118" i="2" s="1"/>
  <c r="K98" i="2"/>
  <c r="K118" i="2" s="1"/>
  <c r="I98" i="2"/>
  <c r="I118" i="2" s="1"/>
  <c r="H98" i="2"/>
  <c r="H118" i="2" s="1"/>
  <c r="F98" i="2"/>
  <c r="F118" i="2" s="1"/>
  <c r="E98" i="2"/>
  <c r="E118" i="2" s="1"/>
  <c r="M95" i="2"/>
  <c r="G95" i="2"/>
  <c r="O90" i="2"/>
  <c r="N90" i="2"/>
  <c r="L90" i="2"/>
  <c r="K90" i="2"/>
  <c r="I90" i="2"/>
  <c r="H90" i="2"/>
  <c r="F90" i="2"/>
  <c r="E90" i="2"/>
  <c r="O89" i="2"/>
  <c r="N89" i="2"/>
  <c r="L89" i="2"/>
  <c r="K89" i="2"/>
  <c r="I89" i="2"/>
  <c r="H89" i="2"/>
  <c r="F89" i="2"/>
  <c r="E89" i="2"/>
  <c r="O88" i="2"/>
  <c r="N88" i="2"/>
  <c r="L88" i="2"/>
  <c r="K88" i="2"/>
  <c r="I88" i="2"/>
  <c r="H88" i="2"/>
  <c r="F88" i="2"/>
  <c r="E88" i="2"/>
  <c r="O87" i="2"/>
  <c r="N87" i="2"/>
  <c r="L87" i="2"/>
  <c r="K87" i="2"/>
  <c r="I87" i="2"/>
  <c r="H87" i="2"/>
  <c r="F87" i="2"/>
  <c r="E87" i="2"/>
  <c r="O86" i="2"/>
  <c r="N86" i="2"/>
  <c r="L86" i="2"/>
  <c r="K86" i="2"/>
  <c r="I86" i="2"/>
  <c r="H86" i="2"/>
  <c r="F86" i="2"/>
  <c r="E86" i="2"/>
  <c r="O85" i="2"/>
  <c r="N85" i="2"/>
  <c r="L85" i="2"/>
  <c r="K85" i="2"/>
  <c r="I85" i="2"/>
  <c r="H85" i="2"/>
  <c r="F85" i="2"/>
  <c r="E85" i="2"/>
  <c r="O84" i="2"/>
  <c r="N84" i="2"/>
  <c r="L84" i="2"/>
  <c r="K84" i="2"/>
  <c r="I84" i="2"/>
  <c r="H84" i="2"/>
  <c r="F84" i="2"/>
  <c r="E84" i="2"/>
  <c r="O83" i="2"/>
  <c r="N83" i="2"/>
  <c r="L83" i="2"/>
  <c r="K83" i="2"/>
  <c r="I83" i="2"/>
  <c r="H83" i="2"/>
  <c r="F83" i="2"/>
  <c r="E83" i="2"/>
  <c r="O82" i="2"/>
  <c r="N82" i="2"/>
  <c r="L82" i="2"/>
  <c r="K82" i="2"/>
  <c r="I82" i="2"/>
  <c r="H82" i="2"/>
  <c r="F82" i="2"/>
  <c r="E82" i="2"/>
  <c r="O81" i="2"/>
  <c r="N81" i="2"/>
  <c r="L81" i="2"/>
  <c r="K81" i="2"/>
  <c r="I81" i="2"/>
  <c r="H81" i="2"/>
  <c r="F81" i="2"/>
  <c r="E81" i="2"/>
  <c r="O80" i="2"/>
  <c r="N80" i="2"/>
  <c r="L80" i="2"/>
  <c r="K80" i="2"/>
  <c r="I80" i="2"/>
  <c r="H80" i="2"/>
  <c r="F80" i="2"/>
  <c r="E80" i="2"/>
  <c r="O79" i="2"/>
  <c r="N79" i="2"/>
  <c r="L79" i="2"/>
  <c r="K79" i="2"/>
  <c r="I79" i="2"/>
  <c r="H79" i="2"/>
  <c r="F79" i="2"/>
  <c r="E79" i="2"/>
  <c r="O78" i="2"/>
  <c r="N78" i="2"/>
  <c r="L78" i="2"/>
  <c r="K78" i="2"/>
  <c r="I78" i="2"/>
  <c r="H78" i="2"/>
  <c r="F78" i="2"/>
  <c r="E78" i="2"/>
  <c r="O77" i="2"/>
  <c r="N77" i="2"/>
  <c r="L77" i="2"/>
  <c r="K77" i="2"/>
  <c r="I77" i="2"/>
  <c r="H77" i="2"/>
  <c r="F77" i="2"/>
  <c r="E77" i="2"/>
  <c r="O76" i="2"/>
  <c r="N76" i="2"/>
  <c r="L76" i="2"/>
  <c r="K76" i="2"/>
  <c r="I76" i="2"/>
  <c r="H76" i="2"/>
  <c r="F76" i="2"/>
  <c r="E76" i="2"/>
  <c r="O75" i="2"/>
  <c r="N75" i="2"/>
  <c r="L75" i="2"/>
  <c r="K75" i="2"/>
  <c r="I75" i="2"/>
  <c r="H75" i="2"/>
  <c r="F75" i="2"/>
  <c r="E75" i="2"/>
  <c r="O74" i="2"/>
  <c r="N74" i="2"/>
  <c r="L74" i="2"/>
  <c r="K74" i="2"/>
  <c r="I74" i="2"/>
  <c r="H74" i="2"/>
  <c r="F74" i="2"/>
  <c r="E74" i="2"/>
  <c r="O73" i="2"/>
  <c r="N73" i="2"/>
  <c r="L73" i="2"/>
  <c r="K73" i="2"/>
  <c r="I73" i="2"/>
  <c r="H73" i="2"/>
  <c r="F73" i="2"/>
  <c r="E73" i="2"/>
  <c r="O72" i="2"/>
  <c r="N72" i="2"/>
  <c r="L72" i="2"/>
  <c r="K72" i="2"/>
  <c r="I72" i="2"/>
  <c r="H72" i="2"/>
  <c r="F72" i="2"/>
  <c r="E72" i="2"/>
  <c r="O71" i="2"/>
  <c r="O91" i="2" s="1"/>
  <c r="N71" i="2"/>
  <c r="N91" i="2" s="1"/>
  <c r="L71" i="2"/>
  <c r="L91" i="2" s="1"/>
  <c r="K71" i="2"/>
  <c r="K91" i="2" s="1"/>
  <c r="I71" i="2"/>
  <c r="I91" i="2" s="1"/>
  <c r="H71" i="2"/>
  <c r="H91" i="2" s="1"/>
  <c r="F71" i="2"/>
  <c r="F91" i="2" s="1"/>
  <c r="E71" i="2"/>
  <c r="E91" i="2" s="1"/>
  <c r="M68" i="2"/>
  <c r="G68" i="2"/>
  <c r="M41" i="2"/>
  <c r="G41" i="2"/>
  <c r="M14" i="2"/>
  <c r="G14" i="2"/>
  <c r="K74" i="5"/>
  <c r="O73" i="5"/>
  <c r="K70" i="5"/>
  <c r="O69" i="5"/>
  <c r="K66" i="5"/>
  <c r="O65" i="5"/>
  <c r="K64" i="5"/>
  <c r="O61" i="5"/>
  <c r="K60" i="5"/>
  <c r="O57" i="5"/>
  <c r="K56" i="5"/>
  <c r="O48" i="5"/>
  <c r="O44" i="5"/>
  <c r="O40" i="5"/>
  <c r="O36" i="5"/>
  <c r="O32" i="5"/>
  <c r="K75" i="5"/>
  <c r="O74" i="5"/>
  <c r="K71" i="5"/>
  <c r="O70" i="5"/>
  <c r="K67" i="5"/>
  <c r="O66" i="5"/>
  <c r="O64" i="5"/>
  <c r="K63" i="5"/>
  <c r="O60" i="5"/>
  <c r="K59" i="5"/>
  <c r="O56" i="5"/>
  <c r="O47" i="5"/>
  <c r="O43" i="5"/>
  <c r="O39" i="5"/>
  <c r="O35" i="5"/>
  <c r="O31" i="5"/>
  <c r="K25" i="5"/>
  <c r="K22" i="5"/>
  <c r="K20" i="5"/>
  <c r="O75" i="5"/>
  <c r="K72" i="5"/>
  <c r="O71" i="5"/>
  <c r="K68" i="5"/>
  <c r="O67" i="5"/>
  <c r="O63" i="5"/>
  <c r="K62" i="5"/>
  <c r="O59" i="5"/>
  <c r="K58" i="5"/>
  <c r="O50" i="5"/>
  <c r="O46" i="5"/>
  <c r="O42" i="5"/>
  <c r="O38" i="5"/>
  <c r="O34" i="5"/>
  <c r="K73" i="5"/>
  <c r="O68" i="5"/>
  <c r="O62" i="5"/>
  <c r="K57" i="5"/>
  <c r="O41" i="5"/>
  <c r="K19" i="5"/>
  <c r="O72" i="5"/>
  <c r="O58" i="5"/>
  <c r="O37" i="5"/>
  <c r="K18" i="5"/>
  <c r="K15" i="5"/>
  <c r="K13" i="5"/>
  <c r="K11" i="5"/>
  <c r="K8" i="5"/>
  <c r="K6" i="5"/>
  <c r="K65" i="5"/>
  <c r="O49" i="5"/>
  <c r="O33" i="5"/>
  <c r="K23" i="5"/>
  <c r="K69" i="5"/>
  <c r="K61" i="5"/>
  <c r="O45" i="5"/>
  <c r="K24" i="5"/>
  <c r="K21" i="5"/>
  <c r="K17" i="5"/>
  <c r="K16" i="5"/>
  <c r="K14" i="5"/>
  <c r="K12" i="5"/>
  <c r="K10" i="5"/>
  <c r="K9" i="5"/>
  <c r="K7" i="5"/>
  <c r="G61" i="3"/>
  <c r="G63" i="3"/>
  <c r="G72" i="3"/>
  <c r="G70" i="3"/>
  <c r="G75" i="3"/>
  <c r="O60" i="3"/>
  <c r="O62" i="3"/>
  <c r="O75" i="3"/>
  <c r="O69" i="3"/>
  <c r="O74" i="3"/>
  <c r="K61" i="3"/>
  <c r="K58" i="3"/>
  <c r="K74" i="3"/>
  <c r="K71" i="3"/>
  <c r="K64" i="3"/>
  <c r="G37" i="3"/>
  <c r="G34" i="3"/>
  <c r="G50" i="3"/>
  <c r="G43" i="3"/>
  <c r="G40" i="3"/>
  <c r="O35" i="3"/>
  <c r="O44" i="3"/>
  <c r="O42" i="3"/>
  <c r="O40" i="3"/>
  <c r="O49" i="3"/>
  <c r="K35" i="3"/>
  <c r="K37" i="3"/>
  <c r="K50" i="3"/>
  <c r="K44" i="3"/>
  <c r="K49" i="3"/>
  <c r="K24" i="3"/>
  <c r="K20" i="3"/>
  <c r="K16" i="3"/>
  <c r="K12" i="3"/>
  <c r="K8" i="3"/>
  <c r="G65" i="3"/>
  <c r="G71" i="3"/>
  <c r="G58" i="3"/>
  <c r="G74" i="3"/>
  <c r="G60" i="3"/>
  <c r="O64" i="3"/>
  <c r="O70" i="3"/>
  <c r="O57" i="3"/>
  <c r="O73" i="3"/>
  <c r="O63" i="3"/>
  <c r="K65" i="3"/>
  <c r="K62" i="3"/>
  <c r="K59" i="3"/>
  <c r="K75" i="3"/>
  <c r="K68" i="3"/>
  <c r="G41" i="3"/>
  <c r="G38" i="3"/>
  <c r="G31" i="3"/>
  <c r="G47" i="3"/>
  <c r="G44" i="3"/>
  <c r="O39" i="3"/>
  <c r="O33" i="3"/>
  <c r="O50" i="3"/>
  <c r="O48" i="3"/>
  <c r="O38" i="3"/>
  <c r="K39" i="3"/>
  <c r="K45" i="3"/>
  <c r="K32" i="3"/>
  <c r="K48" i="3"/>
  <c r="K38" i="3"/>
  <c r="K23" i="3"/>
  <c r="K19" i="3"/>
  <c r="K15" i="3"/>
  <c r="K11" i="3"/>
  <c r="K7" i="3"/>
  <c r="G57" i="3"/>
  <c r="G67" i="3"/>
  <c r="O67" i="3"/>
  <c r="O66" i="3"/>
  <c r="K73" i="3"/>
  <c r="K60" i="3"/>
  <c r="G49" i="3"/>
  <c r="G39" i="3"/>
  <c r="G69" i="3"/>
  <c r="G56" i="3"/>
  <c r="G62" i="3"/>
  <c r="G59" i="3"/>
  <c r="G68" i="3"/>
  <c r="O68" i="3"/>
  <c r="O59" i="3"/>
  <c r="O61" i="3"/>
  <c r="O58" i="3"/>
  <c r="O71" i="3"/>
  <c r="K69" i="3"/>
  <c r="K66" i="3"/>
  <c r="K63" i="3"/>
  <c r="K56" i="3"/>
  <c r="K72" i="3"/>
  <c r="G45" i="3"/>
  <c r="G42" i="3"/>
  <c r="G35" i="3"/>
  <c r="G32" i="3"/>
  <c r="G48" i="3"/>
  <c r="O43" i="3"/>
  <c r="O41" i="3"/>
  <c r="O32" i="3"/>
  <c r="O37" i="3"/>
  <c r="O46" i="3"/>
  <c r="K43" i="3"/>
  <c r="K34" i="3"/>
  <c r="K36" i="3"/>
  <c r="K33" i="3"/>
  <c r="K46" i="3"/>
  <c r="K22" i="3"/>
  <c r="K18" i="3"/>
  <c r="K14" i="3"/>
  <c r="K10" i="3"/>
  <c r="K6" i="3"/>
  <c r="G73" i="3"/>
  <c r="G64" i="3"/>
  <c r="G66" i="3"/>
  <c r="O56" i="3"/>
  <c r="O72" i="3"/>
  <c r="O65" i="3"/>
  <c r="K57" i="3"/>
  <c r="K67" i="3"/>
  <c r="G33" i="3"/>
  <c r="G46" i="3"/>
  <c r="K70" i="3"/>
  <c r="O34" i="3"/>
  <c r="K47" i="3"/>
  <c r="K25" i="3"/>
  <c r="K9" i="3"/>
  <c r="K41" i="3"/>
  <c r="G36" i="3"/>
  <c r="O36" i="3"/>
  <c r="K42" i="3"/>
  <c r="K21" i="3"/>
  <c r="K31" i="3"/>
  <c r="K13" i="3"/>
  <c r="O31" i="3"/>
  <c r="O45" i="3"/>
  <c r="K40" i="3"/>
  <c r="K17" i="3"/>
  <c r="O47" i="3"/>
  <c r="H69" i="5" l="1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L7" i="5"/>
  <c r="M7" i="5"/>
  <c r="M9" i="5"/>
  <c r="L9" i="5"/>
  <c r="M10" i="5"/>
  <c r="L10" i="5"/>
  <c r="L12" i="5"/>
  <c r="M12" i="5"/>
  <c r="M14" i="5"/>
  <c r="L14" i="5"/>
  <c r="M16" i="5"/>
  <c r="L16" i="5"/>
  <c r="M17" i="5"/>
  <c r="L17" i="5"/>
  <c r="M21" i="5"/>
  <c r="L21" i="5"/>
  <c r="M24" i="5"/>
  <c r="L24" i="5"/>
  <c r="I35" i="5"/>
  <c r="H35" i="5"/>
  <c r="M40" i="5"/>
  <c r="L40" i="5"/>
  <c r="Q45" i="5"/>
  <c r="P45" i="5"/>
  <c r="I56" i="5"/>
  <c r="H56" i="5"/>
  <c r="M61" i="5"/>
  <c r="L61" i="5"/>
  <c r="M69" i="5"/>
  <c r="L69" i="5"/>
  <c r="M23" i="5"/>
  <c r="L23" i="5"/>
  <c r="Q33" i="5"/>
  <c r="P33" i="5"/>
  <c r="I39" i="5"/>
  <c r="H39" i="5"/>
  <c r="M44" i="5"/>
  <c r="L44" i="5"/>
  <c r="Q49" i="5"/>
  <c r="P49" i="5"/>
  <c r="I60" i="5"/>
  <c r="H60" i="5"/>
  <c r="M65" i="5"/>
  <c r="L65" i="5"/>
  <c r="L6" i="5"/>
  <c r="M6" i="5"/>
  <c r="L8" i="5"/>
  <c r="M8" i="5"/>
  <c r="L11" i="5"/>
  <c r="M11" i="5"/>
  <c r="L13" i="5"/>
  <c r="M13" i="5"/>
  <c r="L15" i="5"/>
  <c r="M15" i="5"/>
  <c r="L18" i="5"/>
  <c r="M18" i="5"/>
  <c r="M32" i="5"/>
  <c r="L32" i="5"/>
  <c r="Q37" i="5"/>
  <c r="P37" i="5"/>
  <c r="I43" i="5"/>
  <c r="H43" i="5"/>
  <c r="M48" i="5"/>
  <c r="L48" i="5"/>
  <c r="Q58" i="5"/>
  <c r="P58" i="5"/>
  <c r="I64" i="5"/>
  <c r="H64" i="5"/>
  <c r="Q72" i="5"/>
  <c r="P72" i="5"/>
  <c r="M19" i="5"/>
  <c r="L19" i="5"/>
  <c r="I31" i="5"/>
  <c r="H31" i="5"/>
  <c r="M36" i="5"/>
  <c r="L36" i="5"/>
  <c r="Q41" i="5"/>
  <c r="P41" i="5"/>
  <c r="I47" i="5"/>
  <c r="H47" i="5"/>
  <c r="M57" i="5"/>
  <c r="L57" i="5"/>
  <c r="Q62" i="5"/>
  <c r="P62" i="5"/>
  <c r="Q68" i="5"/>
  <c r="P68" i="5"/>
  <c r="M73" i="5"/>
  <c r="L73" i="5"/>
  <c r="I32" i="5"/>
  <c r="H32" i="5"/>
  <c r="M33" i="5"/>
  <c r="L33" i="5"/>
  <c r="Q34" i="5"/>
  <c r="P34" i="5"/>
  <c r="I36" i="5"/>
  <c r="H36" i="5"/>
  <c r="M37" i="5"/>
  <c r="L37" i="5"/>
  <c r="Q38" i="5"/>
  <c r="P38" i="5"/>
  <c r="I40" i="5"/>
  <c r="H40" i="5"/>
  <c r="M41" i="5"/>
  <c r="L41" i="5"/>
  <c r="Q42" i="5"/>
  <c r="P42" i="5"/>
  <c r="I44" i="5"/>
  <c r="H44" i="5"/>
  <c r="M45" i="5"/>
  <c r="L45" i="5"/>
  <c r="Q46" i="5"/>
  <c r="P46" i="5"/>
  <c r="I48" i="5"/>
  <c r="H48" i="5"/>
  <c r="M49" i="5"/>
  <c r="L49" i="5"/>
  <c r="Q50" i="5"/>
  <c r="P50" i="5"/>
  <c r="I57" i="5"/>
  <c r="H57" i="5"/>
  <c r="M58" i="5"/>
  <c r="L58" i="5"/>
  <c r="Q59" i="5"/>
  <c r="P59" i="5"/>
  <c r="I61" i="5"/>
  <c r="H61" i="5"/>
  <c r="M62" i="5"/>
  <c r="L62" i="5"/>
  <c r="Q63" i="5"/>
  <c r="P63" i="5"/>
  <c r="I65" i="5"/>
  <c r="H65" i="5"/>
  <c r="Q67" i="5"/>
  <c r="P67" i="5"/>
  <c r="M68" i="5"/>
  <c r="L68" i="5"/>
  <c r="Q71" i="5"/>
  <c r="P71" i="5"/>
  <c r="M72" i="5"/>
  <c r="L72" i="5"/>
  <c r="Q75" i="5"/>
  <c r="P75" i="5"/>
  <c r="M20" i="5"/>
  <c r="L20" i="5"/>
  <c r="M22" i="5"/>
  <c r="L22" i="5"/>
  <c r="L25" i="5"/>
  <c r="M25" i="5"/>
  <c r="P31" i="5"/>
  <c r="Q31" i="5"/>
  <c r="H33" i="5"/>
  <c r="I33" i="5"/>
  <c r="L34" i="5"/>
  <c r="M34" i="5"/>
  <c r="P35" i="5"/>
  <c r="Q35" i="5"/>
  <c r="H37" i="5"/>
  <c r="I37" i="5"/>
  <c r="L38" i="5"/>
  <c r="M38" i="5"/>
  <c r="P39" i="5"/>
  <c r="Q39" i="5"/>
  <c r="H41" i="5"/>
  <c r="I41" i="5"/>
  <c r="L42" i="5"/>
  <c r="M42" i="5"/>
  <c r="P43" i="5"/>
  <c r="Q43" i="5"/>
  <c r="H45" i="5"/>
  <c r="I45" i="5"/>
  <c r="L46" i="5"/>
  <c r="M46" i="5"/>
  <c r="P47" i="5"/>
  <c r="Q47" i="5"/>
  <c r="H49" i="5"/>
  <c r="I49" i="5"/>
  <c r="L50" i="5"/>
  <c r="M50" i="5"/>
  <c r="P56" i="5"/>
  <c r="Q56" i="5"/>
  <c r="H58" i="5"/>
  <c r="I58" i="5"/>
  <c r="L59" i="5"/>
  <c r="M59" i="5"/>
  <c r="P60" i="5"/>
  <c r="Q60" i="5"/>
  <c r="H62" i="5"/>
  <c r="I62" i="5"/>
  <c r="L63" i="5"/>
  <c r="M63" i="5"/>
  <c r="P64" i="5"/>
  <c r="Q64" i="5"/>
  <c r="P66" i="5"/>
  <c r="Q66" i="5"/>
  <c r="L67" i="5"/>
  <c r="M67" i="5"/>
  <c r="P70" i="5"/>
  <c r="Q70" i="5"/>
  <c r="L71" i="5"/>
  <c r="M71" i="5"/>
  <c r="P74" i="5"/>
  <c r="Q74" i="5"/>
  <c r="L75" i="5"/>
  <c r="M75" i="5"/>
  <c r="M31" i="5"/>
  <c r="L31" i="5"/>
  <c r="Q32" i="5"/>
  <c r="P32" i="5"/>
  <c r="I34" i="5"/>
  <c r="H34" i="5"/>
  <c r="M35" i="5"/>
  <c r="L35" i="5"/>
  <c r="Q36" i="5"/>
  <c r="P36" i="5"/>
  <c r="I38" i="5"/>
  <c r="H38" i="5"/>
  <c r="M39" i="5"/>
  <c r="L39" i="5"/>
  <c r="Q40" i="5"/>
  <c r="P40" i="5"/>
  <c r="I42" i="5"/>
  <c r="H42" i="5"/>
  <c r="M43" i="5"/>
  <c r="L43" i="5"/>
  <c r="Q44" i="5"/>
  <c r="P44" i="5"/>
  <c r="I46" i="5"/>
  <c r="H46" i="5"/>
  <c r="M47" i="5"/>
  <c r="L47" i="5"/>
  <c r="Q48" i="5"/>
  <c r="P48" i="5"/>
  <c r="I50" i="5"/>
  <c r="H50" i="5"/>
  <c r="M56" i="5"/>
  <c r="L56" i="5"/>
  <c r="Q57" i="5"/>
  <c r="P57" i="5"/>
  <c r="I59" i="5"/>
  <c r="H59" i="5"/>
  <c r="M60" i="5"/>
  <c r="L60" i="5"/>
  <c r="Q61" i="5"/>
  <c r="P61" i="5"/>
  <c r="I63" i="5"/>
  <c r="H63" i="5"/>
  <c r="M64" i="5"/>
  <c r="L64" i="5"/>
  <c r="Q65" i="5"/>
  <c r="P65" i="5"/>
  <c r="M66" i="5"/>
  <c r="L66" i="5"/>
  <c r="Q69" i="5"/>
  <c r="P69" i="5"/>
  <c r="M70" i="5"/>
  <c r="L70" i="5"/>
  <c r="Q73" i="5"/>
  <c r="P73" i="5"/>
  <c r="M74" i="5"/>
  <c r="L74" i="5"/>
  <c r="P6" i="5"/>
  <c r="P8" i="5"/>
  <c r="P11" i="5"/>
  <c r="P13" i="5"/>
  <c r="P15" i="5"/>
  <c r="Q18" i="5"/>
  <c r="P19" i="5"/>
  <c r="Q20" i="5"/>
  <c r="P25" i="5"/>
  <c r="P47" i="3"/>
  <c r="Q47" i="3"/>
  <c r="M40" i="3"/>
  <c r="L40" i="3"/>
  <c r="P45" i="3"/>
  <c r="Q45" i="3"/>
  <c r="Q31" i="3"/>
  <c r="P31" i="3"/>
  <c r="M31" i="3"/>
  <c r="L31" i="3"/>
  <c r="M42" i="3"/>
  <c r="L42" i="3"/>
  <c r="Q36" i="3"/>
  <c r="P36" i="3"/>
  <c r="I36" i="3"/>
  <c r="H36" i="3"/>
  <c r="L41" i="3"/>
  <c r="M41" i="3"/>
  <c r="L47" i="3"/>
  <c r="M47" i="3"/>
  <c r="Q34" i="3"/>
  <c r="P34" i="3"/>
  <c r="L70" i="3"/>
  <c r="M70" i="3"/>
  <c r="I46" i="3"/>
  <c r="H46" i="3"/>
  <c r="I33" i="3"/>
  <c r="H33" i="3"/>
  <c r="L67" i="3"/>
  <c r="M67" i="3"/>
  <c r="L57" i="3"/>
  <c r="M57" i="3"/>
  <c r="Q65" i="3"/>
  <c r="P65" i="3"/>
  <c r="Q72" i="3"/>
  <c r="P72" i="3"/>
  <c r="Q56" i="3"/>
  <c r="P56" i="3"/>
  <c r="I64" i="3"/>
  <c r="H64" i="3"/>
  <c r="M46" i="3"/>
  <c r="L46" i="3"/>
  <c r="M33" i="3"/>
  <c r="L33" i="3"/>
  <c r="M36" i="3"/>
  <c r="L36" i="3"/>
  <c r="M34" i="3"/>
  <c r="L34" i="3"/>
  <c r="L43" i="3"/>
  <c r="M43" i="3"/>
  <c r="Q46" i="3"/>
  <c r="P46" i="3"/>
  <c r="Q37" i="3"/>
  <c r="P37" i="3"/>
  <c r="Q32" i="3"/>
  <c r="P32" i="3"/>
  <c r="P41" i="3"/>
  <c r="Q41" i="3"/>
  <c r="P43" i="3"/>
  <c r="Q43" i="3"/>
  <c r="I48" i="3"/>
  <c r="H48" i="3"/>
  <c r="I32" i="3"/>
  <c r="H32" i="3"/>
  <c r="I35" i="3"/>
  <c r="H35" i="3"/>
  <c r="I42" i="3"/>
  <c r="H42" i="3"/>
  <c r="H45" i="3"/>
  <c r="I45" i="3"/>
  <c r="L72" i="3"/>
  <c r="M72" i="3"/>
  <c r="L56" i="3"/>
  <c r="M56" i="3"/>
  <c r="L63" i="3"/>
  <c r="M63" i="3"/>
  <c r="L66" i="3"/>
  <c r="M66" i="3"/>
  <c r="L69" i="3"/>
  <c r="M69" i="3"/>
  <c r="Q71" i="3"/>
  <c r="P71" i="3"/>
  <c r="Q58" i="3"/>
  <c r="P58" i="3"/>
  <c r="Q61" i="3"/>
  <c r="P61" i="3"/>
  <c r="Q59" i="3"/>
  <c r="P59" i="3"/>
  <c r="Q68" i="3"/>
  <c r="P68" i="3"/>
  <c r="I59" i="3"/>
  <c r="H59" i="3"/>
  <c r="I62" i="3"/>
  <c r="H62" i="3"/>
  <c r="I56" i="3"/>
  <c r="H56" i="3"/>
  <c r="I39" i="3"/>
  <c r="H39" i="3"/>
  <c r="H49" i="3"/>
  <c r="I49" i="3"/>
  <c r="L60" i="3"/>
  <c r="M60" i="3"/>
  <c r="L73" i="3"/>
  <c r="M73" i="3"/>
  <c r="Q66" i="3"/>
  <c r="P66" i="3"/>
  <c r="Q67" i="3"/>
  <c r="P67" i="3"/>
  <c r="I57" i="3"/>
  <c r="H57" i="3"/>
  <c r="M38" i="3"/>
  <c r="L38" i="3"/>
  <c r="M48" i="3"/>
  <c r="L48" i="3"/>
  <c r="M32" i="3"/>
  <c r="L32" i="3"/>
  <c r="L45" i="3"/>
  <c r="M45" i="3"/>
  <c r="M39" i="3"/>
  <c r="L39" i="3"/>
  <c r="Q38" i="3"/>
  <c r="P38" i="3"/>
  <c r="Q48" i="3"/>
  <c r="P48" i="3"/>
  <c r="Q50" i="3"/>
  <c r="P50" i="3"/>
  <c r="Q33" i="3"/>
  <c r="P33" i="3"/>
  <c r="Q39" i="3"/>
  <c r="P39" i="3"/>
  <c r="I44" i="3"/>
  <c r="H44" i="3"/>
  <c r="H47" i="3"/>
  <c r="I47" i="3"/>
  <c r="I31" i="3"/>
  <c r="H31" i="3"/>
  <c r="I38" i="3"/>
  <c r="H38" i="3"/>
  <c r="H41" i="3"/>
  <c r="I41" i="3"/>
  <c r="L68" i="3"/>
  <c r="M68" i="3"/>
  <c r="L75" i="3"/>
  <c r="M75" i="3"/>
  <c r="L59" i="3"/>
  <c r="M59" i="3"/>
  <c r="L62" i="3"/>
  <c r="M62" i="3"/>
  <c r="L65" i="3"/>
  <c r="M65" i="3"/>
  <c r="Q63" i="3"/>
  <c r="P63" i="3"/>
  <c r="Q73" i="3"/>
  <c r="P73" i="3"/>
  <c r="Q57" i="3"/>
  <c r="P57" i="3"/>
  <c r="Q70" i="3"/>
  <c r="P70" i="3"/>
  <c r="Q64" i="3"/>
  <c r="P64" i="3"/>
  <c r="I60" i="3"/>
  <c r="H60" i="3"/>
  <c r="I58" i="3"/>
  <c r="H58" i="3"/>
  <c r="I65" i="3"/>
  <c r="H65" i="3"/>
  <c r="L49" i="3"/>
  <c r="M49" i="3"/>
  <c r="M44" i="3"/>
  <c r="L44" i="3"/>
  <c r="M50" i="3"/>
  <c r="L50" i="3"/>
  <c r="M37" i="3"/>
  <c r="L37" i="3"/>
  <c r="M35" i="3"/>
  <c r="L35" i="3"/>
  <c r="P49" i="3"/>
  <c r="Q49" i="3"/>
  <c r="Q40" i="3"/>
  <c r="P40" i="3"/>
  <c r="Q42" i="3"/>
  <c r="P42" i="3"/>
  <c r="Q44" i="3"/>
  <c r="P44" i="3"/>
  <c r="Q35" i="3"/>
  <c r="P35" i="3"/>
  <c r="I40" i="3"/>
  <c r="H40" i="3"/>
  <c r="H43" i="3"/>
  <c r="I43" i="3"/>
  <c r="I50" i="3"/>
  <c r="H50" i="3"/>
  <c r="I34" i="3"/>
  <c r="H34" i="3"/>
  <c r="I37" i="3"/>
  <c r="H37" i="3"/>
  <c r="L64" i="3"/>
  <c r="M64" i="3"/>
  <c r="L71" i="3"/>
  <c r="M71" i="3"/>
  <c r="L74" i="3"/>
  <c r="M74" i="3"/>
  <c r="L58" i="3"/>
  <c r="M58" i="3"/>
  <c r="L61" i="3"/>
  <c r="M61" i="3"/>
  <c r="Q74" i="3"/>
  <c r="P74" i="3"/>
  <c r="Q69" i="3"/>
  <c r="P69" i="3"/>
  <c r="Q75" i="3"/>
  <c r="P75" i="3"/>
  <c r="Q62" i="3"/>
  <c r="P62" i="3"/>
  <c r="Q60" i="3"/>
  <c r="P60" i="3"/>
  <c r="I63" i="3"/>
  <c r="H63" i="3"/>
  <c r="I61" i="3"/>
  <c r="H61" i="3"/>
  <c r="K37" i="4"/>
  <c r="O37" i="4"/>
  <c r="H37" i="4"/>
  <c r="E37" i="4"/>
  <c r="I37" i="4"/>
  <c r="F37" i="4"/>
  <c r="N37" i="4"/>
  <c r="L37" i="4"/>
  <c r="G3" i="4"/>
  <c r="G5" i="4"/>
  <c r="G7" i="4"/>
  <c r="G9" i="4"/>
  <c r="L18" i="3"/>
  <c r="M18" i="3"/>
  <c r="M10" i="3"/>
  <c r="L10" i="3"/>
  <c r="L21" i="3"/>
  <c r="M21" i="3"/>
  <c r="M9" i="3"/>
  <c r="L9" i="3"/>
  <c r="L24" i="3"/>
  <c r="M24" i="3"/>
  <c r="L20" i="3"/>
  <c r="M20" i="3"/>
  <c r="L16" i="3"/>
  <c r="M16" i="3"/>
  <c r="M12" i="3"/>
  <c r="L12" i="3"/>
  <c r="L8" i="3"/>
  <c r="M8" i="3"/>
  <c r="L22" i="3"/>
  <c r="M22" i="3"/>
  <c r="M14" i="3"/>
  <c r="L14" i="3"/>
  <c r="L25" i="3"/>
  <c r="M25" i="3"/>
  <c r="L17" i="3"/>
  <c r="M17" i="3"/>
  <c r="M13" i="3"/>
  <c r="L13" i="3"/>
  <c r="L23" i="3"/>
  <c r="M23" i="3"/>
  <c r="L19" i="3"/>
  <c r="M19" i="3"/>
  <c r="M15" i="3"/>
  <c r="L15" i="3"/>
  <c r="M11" i="3"/>
  <c r="L11" i="3"/>
  <c r="Q19" i="3"/>
  <c r="Q18" i="3"/>
  <c r="Q22" i="3"/>
  <c r="P14" i="3"/>
  <c r="P15" i="3"/>
  <c r="M7" i="3"/>
  <c r="L7" i="3"/>
  <c r="L6" i="3"/>
  <c r="M6" i="3"/>
  <c r="P23" i="3"/>
  <c r="Q21" i="3"/>
  <c r="P13" i="3"/>
  <c r="Q12" i="3"/>
  <c r="P11" i="3"/>
  <c r="P10" i="3"/>
  <c r="P9" i="3"/>
  <c r="P7" i="3"/>
  <c r="Q6" i="3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F63" i="2"/>
  <c r="F62" i="2"/>
  <c r="F61" i="2"/>
  <c r="F60" i="2"/>
  <c r="F59" i="2"/>
  <c r="F58" i="2"/>
  <c r="F57" i="2"/>
  <c r="F56" i="2"/>
  <c r="F54" i="2"/>
  <c r="F55" i="2"/>
  <c r="F53" i="2"/>
  <c r="F52" i="2"/>
  <c r="F51" i="2"/>
  <c r="F50" i="2"/>
  <c r="F49" i="2"/>
  <c r="N63" i="2"/>
  <c r="K63" i="2"/>
  <c r="H63" i="2"/>
  <c r="E63" i="2"/>
  <c r="N62" i="2"/>
  <c r="K62" i="2"/>
  <c r="H62" i="2"/>
  <c r="E62" i="2"/>
  <c r="N61" i="2"/>
  <c r="K61" i="2"/>
  <c r="H61" i="2"/>
  <c r="E61" i="2"/>
  <c r="N60" i="2"/>
  <c r="K60" i="2"/>
  <c r="H60" i="2"/>
  <c r="E60" i="2"/>
  <c r="N59" i="2"/>
  <c r="K59" i="2"/>
  <c r="H59" i="2"/>
  <c r="E59" i="2"/>
  <c r="N58" i="2"/>
  <c r="K58" i="2"/>
  <c r="H58" i="2"/>
  <c r="E58" i="2"/>
  <c r="N57" i="2"/>
  <c r="K57" i="2"/>
  <c r="H57" i="2"/>
  <c r="E57" i="2"/>
  <c r="N56" i="2"/>
  <c r="K56" i="2"/>
  <c r="H56" i="2"/>
  <c r="E56" i="2"/>
  <c r="N55" i="2"/>
  <c r="K55" i="2"/>
  <c r="H55" i="2"/>
  <c r="E55" i="2"/>
  <c r="N54" i="2"/>
  <c r="K54" i="2"/>
  <c r="H54" i="2"/>
  <c r="E54" i="2"/>
  <c r="N53" i="2"/>
  <c r="K53" i="2"/>
  <c r="H53" i="2"/>
  <c r="E53" i="2"/>
  <c r="N52" i="2"/>
  <c r="K52" i="2"/>
  <c r="H52" i="2"/>
  <c r="E52" i="2"/>
  <c r="N51" i="2"/>
  <c r="K51" i="2"/>
  <c r="H51" i="2"/>
  <c r="E51" i="2"/>
  <c r="N50" i="2"/>
  <c r="K50" i="2"/>
  <c r="H50" i="2"/>
  <c r="E50" i="2"/>
  <c r="N49" i="2"/>
  <c r="K49" i="2"/>
  <c r="H49" i="2"/>
  <c r="E49" i="2"/>
  <c r="O48" i="2"/>
  <c r="N48" i="2"/>
  <c r="L48" i="2"/>
  <c r="K48" i="2"/>
  <c r="I48" i="2"/>
  <c r="H48" i="2"/>
  <c r="F48" i="2"/>
  <c r="E48" i="2"/>
  <c r="O47" i="2"/>
  <c r="N47" i="2"/>
  <c r="L47" i="2"/>
  <c r="K47" i="2"/>
  <c r="I47" i="2"/>
  <c r="H47" i="2"/>
  <c r="F47" i="2"/>
  <c r="E47" i="2"/>
  <c r="O46" i="2"/>
  <c r="N46" i="2"/>
  <c r="L46" i="2"/>
  <c r="K46" i="2"/>
  <c r="I46" i="2"/>
  <c r="H46" i="2"/>
  <c r="F46" i="2"/>
  <c r="E46" i="2"/>
  <c r="O45" i="2"/>
  <c r="N45" i="2"/>
  <c r="L45" i="2"/>
  <c r="K45" i="2"/>
  <c r="I45" i="2"/>
  <c r="H45" i="2"/>
  <c r="F45" i="2"/>
  <c r="E45" i="2"/>
  <c r="N44" i="2"/>
  <c r="L44" i="2"/>
  <c r="K44" i="2"/>
  <c r="I44" i="2"/>
  <c r="H44" i="2"/>
  <c r="F44" i="2"/>
  <c r="E44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G11" i="4" l="1"/>
  <c r="I64" i="2"/>
  <c r="O64" i="2"/>
  <c r="G5" i="2" s="1"/>
  <c r="H64" i="2"/>
  <c r="N64" i="2"/>
  <c r="F64" i="2"/>
  <c r="L64" i="2"/>
  <c r="E64" i="2"/>
  <c r="K64" i="2"/>
  <c r="K37" i="2"/>
  <c r="O37" i="2"/>
  <c r="E37" i="2"/>
  <c r="I37" i="2"/>
  <c r="F37" i="2"/>
  <c r="H37" i="2"/>
  <c r="L37" i="2"/>
  <c r="N37" i="2"/>
  <c r="G11" i="2" l="1"/>
</calcChain>
</file>

<file path=xl/sharedStrings.xml><?xml version="1.0" encoding="utf-8"?>
<sst xmlns="http://schemas.openxmlformats.org/spreadsheetml/2006/main" count="1132" uniqueCount="303">
  <si>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</si>
  <si>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</si>
  <si>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</si>
  <si>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</si>
  <si>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</si>
  <si>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</si>
  <si>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</si>
  <si>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</si>
  <si>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</si>
  <si>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</si>
  <si>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</si>
  <si>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</si>
  <si>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</si>
  <si>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</si>
  <si>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</si>
  <si>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</si>
  <si>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</si>
  <si>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</si>
  <si>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</si>
  <si>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</si>
  <si>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</si>
  <si>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</si>
  <si>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</si>
  <si>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</si>
  <si>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</si>
  <si>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</si>
  <si>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</si>
  <si>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</si>
  <si>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</si>
  <si>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</si>
  <si>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</si>
  <si>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</si>
  <si>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</si>
  <si>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</si>
  <si>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</si>
  <si>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</si>
  <si>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</si>
  <si>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</si>
  <si>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</si>
  <si>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</si>
  <si>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오전 00:00</t>
    <phoneticPr fontId="1" type="noConversion"/>
  </si>
  <si>
    <t>오후 14:00</t>
    <phoneticPr fontId="1" type="noConversion"/>
  </si>
  <si>
    <t>오후 19:00</t>
    <phoneticPr fontId="1" type="noConversion"/>
  </si>
  <si>
    <t>오후 21:00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</si>
  <si>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</si>
  <si>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</si>
  <si>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</si>
  <si>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</si>
  <si>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</si>
  <si>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</si>
  <si>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</si>
  <si>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</si>
  <si>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</si>
  <si>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</si>
  <si>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</si>
  <si>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</si>
  <si>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</si>
  <si>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</si>
  <si>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</si>
  <si>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</si>
  <si>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오전 00:01</t>
    <phoneticPr fontId="1" type="noConversion"/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</si>
  <si>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</si>
  <si>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</si>
  <si>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</si>
  <si>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</si>
  <si>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</si>
  <si>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</si>
  <si>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</si>
  <si>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</si>
  <si>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</si>
  <si>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</si>
  <si>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</si>
  <si>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</si>
  <si>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</si>
  <si>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</si>
  <si>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</si>
  <si>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</si>
  <si>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</si>
  <si>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</si>
  <si>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</si>
  <si>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</si>
  <si>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</si>
  <si>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</si>
  <si>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</si>
  <si>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</si>
  <si>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</si>
  <si>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</si>
  <si>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</si>
  <si>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</si>
  <si>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</si>
  <si>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</si>
  <si>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</si>
  <si>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</si>
  <si>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</si>
  <si>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</si>
  <si>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</si>
  <si>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</si>
  <si>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</si>
  <si>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</si>
  <si>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</si>
  <si>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</si>
  <si>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</si>
  <si>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</si>
  <si>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</si>
  <si>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</si>
  <si>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</si>
  <si>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</si>
  <si>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</si>
  <si>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</si>
  <si>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</si>
  <si>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</si>
  <si>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</si>
  <si>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</si>
  <si>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</si>
  <si>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</si>
  <si>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</si>
  <si>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</si>
  <si>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</si>
  <si>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</si>
  <si>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</si>
  <si>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</si>
  <si>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</si>
  <si>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</si>
  <si>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</si>
  <si>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</si>
  <si>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</si>
  <si>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</si>
  <si>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</si>
  <si>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</si>
  <si>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</si>
  <si>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</si>
  <si>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</si>
  <si>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</si>
  <si>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</si>
  <si>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</si>
  <si>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</si>
  <si>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</si>
  <si>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</si>
  <si>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</si>
  <si>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</si>
  <si>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</si>
  <si>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</si>
  <si>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</si>
  <si>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</si>
  <si>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</si>
  <si>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</si>
  <si>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</si>
  <si>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</si>
  <si>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</si>
  <si>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</si>
  <si>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</si>
  <si>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</si>
  <si>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</si>
  <si>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</si>
  <si>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</si>
  <si>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</si>
  <si>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</si>
  <si>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</si>
  <si>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</si>
  <si>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</si>
  <si>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</si>
  <si>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</si>
  <si>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</si>
  <si>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</si>
  <si>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</si>
  <si>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</si>
  <si>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</si>
  <si>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</si>
  <si>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</si>
  <si>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</si>
  <si>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</si>
  <si>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</si>
  <si>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</si>
  <si>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</si>
  <si>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</si>
  <si>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</si>
  <si>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</si>
  <si>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</si>
  <si>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</si>
  <si>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</si>
  <si>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</si>
  <si>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</si>
  <si>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</si>
  <si>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</si>
  <si>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</si>
  <si>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</si>
  <si>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</si>
  <si>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</si>
  <si>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</si>
  <si>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</si>
  <si>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</si>
  <si>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</si>
  <si>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</si>
  <si>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</si>
  <si>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</si>
  <si>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</si>
  <si>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</si>
  <si>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</si>
  <si>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</si>
  <si>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</si>
  <si>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</si>
  <si>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</si>
  <si>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</si>
  <si>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</si>
  <si>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</si>
  <si>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</si>
  <si>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</si>
  <si>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</si>
  <si>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</si>
  <si>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</si>
  <si>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</si>
  <si>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</si>
  <si>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</si>
  <si>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</si>
  <si>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</si>
  <si>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</si>
  <si>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</si>
  <si>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</si>
  <si>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</si>
  <si>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</si>
  <si>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</si>
  <si>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</si>
  <si>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</si>
  <si>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</si>
  <si>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</si>
  <si>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</si>
  <si>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</si>
  <si>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</si>
  <si>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</si>
  <si>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</si>
  <si>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</si>
  <si>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</si>
  <si>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</si>
  <si>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</si>
  <si>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</si>
  <si>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</si>
  <si>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</si>
  <si>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</si>
  <si>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</si>
  <si>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</si>
  <si>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</si>
  <si>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</si>
  <si>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</si>
  <si>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</si>
  <si>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</si>
  <si>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</si>
  <si>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</si>
  <si>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</si>
  <si>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</si>
  <si>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</si>
  <si>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</si>
  <si>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</si>
  <si>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</si>
  <si>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</si>
  <si>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</si>
  <si>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</si>
  <si>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</si>
  <si>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</si>
  <si>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</si>
  <si>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</si>
  <si>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</si>
  <si>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</si>
  <si>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</si>
  <si>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</si>
  <si>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</si>
  <si>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</si>
  <si>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</si>
  <si>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</si>
  <si>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</si>
  <si>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</si>
  <si>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</si>
  <si>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</si>
  <si>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</si>
  <si>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</si>
  <si>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</si>
  <si>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</si>
  <si>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</si>
  <si>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</si>
  <si>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</si>
  <si>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</si>
  <si>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</si>
  <si>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</si>
  <si>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</si>
  <si>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</si>
  <si>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</si>
  <si>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</si>
  <si>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</si>
  <si>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</si>
  <si>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</si>
  <si>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</si>
  <si>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</si>
  <si>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기준가 붙여넣기</t>
    <phoneticPr fontId="1" type="noConversion"/>
  </si>
  <si>
    <t>1차 현재가
붙여넣기</t>
    <phoneticPr fontId="1" type="noConversion"/>
  </si>
  <si>
    <t>2차 현재가
붙여넣기</t>
    <phoneticPr fontId="1" type="noConversion"/>
  </si>
  <si>
    <t>3차 현재가
붙여넣기</t>
    <phoneticPr fontId="1" type="noConversion"/>
  </si>
  <si>
    <t>4차 현재가
붙여넣기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</si>
  <si>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</si>
  <si>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</si>
  <si>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</si>
  <si>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</si>
  <si>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2021.04.14</t>
    <phoneticPr fontId="1" type="noConversion"/>
  </si>
  <si>
    <t>검색일자</t>
    <phoneticPr fontId="1" type="noConversion"/>
  </si>
  <si>
    <t>[새 종목 선정] 실시간 현재가 Top20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</si>
</sst>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6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80" fontId="0" fillId="0" borderId="9" xfId="0" applyNumberFormat="1" applyBorder="1" applyAlignment="1">
      <alignment horizontal="right" vertical="center"/>
    </xf>
    <xf numFmtId="179" fontId="0" fillId="0" borderId="11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8" xfId="0" applyNumberFormat="1" applyBorder="1" applyAlignment="1">
      <alignment horizontal="right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5" xfId="0" applyBorder="1">
      <alignment vertical="center"/>
    </xf>
    <xf numFmtId="179" fontId="0" fillId="0" borderId="9" xfId="0" applyNumberFormat="1" applyBorder="1" applyAlignment="1">
      <alignment horizontal="right" vertical="center"/>
    </xf>
    <xf numFmtId="0" fontId="0" fillId="0" borderId="24" xfId="0" applyBorder="1">
      <alignment vertical="center"/>
    </xf>
    <xf numFmtId="179" fontId="0" fillId="0" borderId="0" xfId="0" applyNumberFormat="1" applyAlignment="1">
      <alignment horizontal="right" vertical="center"/>
    </xf>
    <xf numFmtId="0" fontId="0" fillId="0" borderId="26" xfId="0" applyBorder="1">
      <alignment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0" fontId="3" fillId="0" borderId="19" xfId="0" applyNumberFormat="1" applyFont="1" applyBorder="1" applyAlignment="1">
      <alignment horizontal="center" vertical="center"/>
    </xf>
    <xf numFmtId="179" fontId="3" fillId="0" borderId="9" xfId="0" applyNumberFormat="1" applyFont="1" applyBorder="1" applyAlignment="1">
      <alignment horizontal="right" vertical="center"/>
    </xf>
    <xf numFmtId="10" fontId="3" fillId="0" borderId="10" xfId="0" applyNumberFormat="1" applyFont="1" applyBorder="1" applyAlignment="1">
      <alignment horizontal="center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0" fontId="3" fillId="0" borderId="29" xfId="0" applyNumberFormat="1" applyFont="1" applyBorder="1" applyAlignment="1">
      <alignment horizontal="center" vertical="center"/>
    </xf>
    <xf numFmtId="179" fontId="3" fillId="0" borderId="33" xfId="0" applyNumberFormat="1" applyFont="1" applyBorder="1" applyAlignment="1">
      <alignment horizontal="right" vertical="center"/>
    </xf>
    <xf numFmtId="10" fontId="3" fillId="0" borderId="32" xfId="0" applyNumberFormat="1" applyFont="1" applyBorder="1" applyAlignment="1">
      <alignment horizontal="center" vertical="center"/>
    </xf>
    <xf numFmtId="0" fontId="0" fillId="0" borderId="33" xfId="0" applyBorder="1">
      <alignment vertical="center"/>
    </xf>
    <xf numFmtId="0" fontId="0" fillId="0" borderId="32" xfId="0" applyBorder="1">
      <alignment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10" fontId="0" fillId="0" borderId="12" xfId="0" applyNumberFormat="1" applyBorder="1">
      <alignment vertical="center"/>
    </xf>
    <xf numFmtId="10" fontId="0" fillId="0" borderId="19" xfId="0" applyNumberForma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6" fillId="0" borderId="30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25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2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12</xdr:row>
          <xdr:rowOff>0</xdr:rowOff>
        </xdr:from>
        <xdr:to>
          <xdr:col>18</xdr:col>
          <xdr:colOff>923925</xdr:colOff>
          <xdr:row>15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21</xdr:row>
          <xdr:rowOff>0</xdr:rowOff>
        </xdr:from>
        <xdr:to>
          <xdr:col>18</xdr:col>
          <xdr:colOff>923925</xdr:colOff>
          <xdr:row>24</xdr:row>
          <xdr:rowOff>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19</xdr:col>
          <xdr:colOff>0</xdr:colOff>
          <xdr:row>78</xdr:row>
          <xdr:rowOff>19050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19</xdr:col>
          <xdr:colOff>0</xdr:colOff>
          <xdr:row>105</xdr:row>
          <xdr:rowOff>19050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19</xdr:col>
          <xdr:colOff>0</xdr:colOff>
          <xdr:row>186</xdr:row>
          <xdr:rowOff>19050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19</xdr:col>
          <xdr:colOff>0</xdr:colOff>
          <xdr:row>132</xdr:row>
          <xdr:rowOff>19050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19</xdr:col>
          <xdr:colOff>0</xdr:colOff>
          <xdr:row>159</xdr:row>
          <xdr:rowOff>19050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12</xdr:row>
          <xdr:rowOff>0</xdr:rowOff>
        </xdr:from>
        <xdr:to>
          <xdr:col>18</xdr:col>
          <xdr:colOff>923925</xdr:colOff>
          <xdr:row>15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21</xdr:row>
          <xdr:rowOff>0</xdr:rowOff>
        </xdr:from>
        <xdr:to>
          <xdr:col>18</xdr:col>
          <xdr:colOff>923925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2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2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2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2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2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2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2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19</xdr:col>
          <xdr:colOff>0</xdr:colOff>
          <xdr:row>78</xdr:row>
          <xdr:rowOff>19050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2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2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2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2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19</xdr:col>
          <xdr:colOff>0</xdr:colOff>
          <xdr:row>105</xdr:row>
          <xdr:rowOff>19050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2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2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2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2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19</xdr:col>
          <xdr:colOff>0</xdr:colOff>
          <xdr:row>186</xdr:row>
          <xdr:rowOff>19050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2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2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19</xdr:col>
          <xdr:colOff>0</xdr:colOff>
          <xdr:row>132</xdr:row>
          <xdr:rowOff>19050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2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2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2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19</xdr:col>
          <xdr:colOff>0</xdr:colOff>
          <xdr:row>159</xdr:row>
          <xdr:rowOff>19050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2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6.xml"/><Relationship Id="rId18" Type="http://schemas.openxmlformats.org/officeDocument/2006/relationships/ctrlProp" Target="../ctrlProps/ctrlProp71.xml"/><Relationship Id="rId26" Type="http://schemas.openxmlformats.org/officeDocument/2006/relationships/ctrlProp" Target="../ctrlProps/ctrlProp79.xml"/><Relationship Id="rId39" Type="http://schemas.openxmlformats.org/officeDocument/2006/relationships/ctrlProp" Target="../ctrlProps/ctrlProp92.xml"/><Relationship Id="rId21" Type="http://schemas.openxmlformats.org/officeDocument/2006/relationships/ctrlProp" Target="../ctrlProps/ctrlProp74.xml"/><Relationship Id="rId34" Type="http://schemas.openxmlformats.org/officeDocument/2006/relationships/ctrlProp" Target="../ctrlProps/ctrlProp87.xml"/><Relationship Id="rId42" Type="http://schemas.openxmlformats.org/officeDocument/2006/relationships/ctrlProp" Target="../ctrlProps/ctrlProp95.xml"/><Relationship Id="rId47" Type="http://schemas.openxmlformats.org/officeDocument/2006/relationships/ctrlProp" Target="../ctrlProps/ctrlProp100.xml"/><Relationship Id="rId50" Type="http://schemas.openxmlformats.org/officeDocument/2006/relationships/ctrlProp" Target="../ctrlProps/ctrlProp103.xml"/><Relationship Id="rId55" Type="http://schemas.openxmlformats.org/officeDocument/2006/relationships/ctrlProp" Target="../ctrlProps/ctrlProp108.xml"/><Relationship Id="rId7" Type="http://schemas.openxmlformats.org/officeDocument/2006/relationships/ctrlProp" Target="../ctrlProps/ctrlProp6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69.xml"/><Relationship Id="rId29" Type="http://schemas.openxmlformats.org/officeDocument/2006/relationships/ctrlProp" Target="../ctrlProps/ctrlProp82.xml"/><Relationship Id="rId11" Type="http://schemas.openxmlformats.org/officeDocument/2006/relationships/ctrlProp" Target="../ctrlProps/ctrlProp64.xml"/><Relationship Id="rId24" Type="http://schemas.openxmlformats.org/officeDocument/2006/relationships/ctrlProp" Target="../ctrlProps/ctrlProp77.xml"/><Relationship Id="rId32" Type="http://schemas.openxmlformats.org/officeDocument/2006/relationships/ctrlProp" Target="../ctrlProps/ctrlProp85.xml"/><Relationship Id="rId37" Type="http://schemas.openxmlformats.org/officeDocument/2006/relationships/ctrlProp" Target="../ctrlProps/ctrlProp90.xml"/><Relationship Id="rId40" Type="http://schemas.openxmlformats.org/officeDocument/2006/relationships/ctrlProp" Target="../ctrlProps/ctrlProp93.xml"/><Relationship Id="rId45" Type="http://schemas.openxmlformats.org/officeDocument/2006/relationships/ctrlProp" Target="../ctrlProps/ctrlProp98.xml"/><Relationship Id="rId53" Type="http://schemas.openxmlformats.org/officeDocument/2006/relationships/ctrlProp" Target="../ctrlProps/ctrlProp106.xml"/><Relationship Id="rId58" Type="http://schemas.openxmlformats.org/officeDocument/2006/relationships/ctrlProp" Target="../ctrlProps/ctrlProp111.xml"/><Relationship Id="rId5" Type="http://schemas.openxmlformats.org/officeDocument/2006/relationships/ctrlProp" Target="../ctrlProps/ctrlProp58.xml"/><Relationship Id="rId19" Type="http://schemas.openxmlformats.org/officeDocument/2006/relationships/ctrlProp" Target="../ctrlProps/ctrlProp72.xml"/><Relationship Id="rId4" Type="http://schemas.openxmlformats.org/officeDocument/2006/relationships/ctrlProp" Target="../ctrlProps/ctrlProp57.xml"/><Relationship Id="rId9" Type="http://schemas.openxmlformats.org/officeDocument/2006/relationships/ctrlProp" Target="../ctrlProps/ctrlProp62.xml"/><Relationship Id="rId14" Type="http://schemas.openxmlformats.org/officeDocument/2006/relationships/ctrlProp" Target="../ctrlProps/ctrlProp67.xml"/><Relationship Id="rId22" Type="http://schemas.openxmlformats.org/officeDocument/2006/relationships/ctrlProp" Target="../ctrlProps/ctrlProp75.xml"/><Relationship Id="rId27" Type="http://schemas.openxmlformats.org/officeDocument/2006/relationships/ctrlProp" Target="../ctrlProps/ctrlProp80.xml"/><Relationship Id="rId30" Type="http://schemas.openxmlformats.org/officeDocument/2006/relationships/ctrlProp" Target="../ctrlProps/ctrlProp83.xml"/><Relationship Id="rId35" Type="http://schemas.openxmlformats.org/officeDocument/2006/relationships/ctrlProp" Target="../ctrlProps/ctrlProp88.xml"/><Relationship Id="rId43" Type="http://schemas.openxmlformats.org/officeDocument/2006/relationships/ctrlProp" Target="../ctrlProps/ctrlProp96.xml"/><Relationship Id="rId48" Type="http://schemas.openxmlformats.org/officeDocument/2006/relationships/ctrlProp" Target="../ctrlProps/ctrlProp101.xml"/><Relationship Id="rId56" Type="http://schemas.openxmlformats.org/officeDocument/2006/relationships/ctrlProp" Target="../ctrlProps/ctrlProp109.xml"/><Relationship Id="rId8" Type="http://schemas.openxmlformats.org/officeDocument/2006/relationships/ctrlProp" Target="../ctrlProps/ctrlProp61.xml"/><Relationship Id="rId51" Type="http://schemas.openxmlformats.org/officeDocument/2006/relationships/ctrlProp" Target="../ctrlProps/ctrlProp104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65.xml"/><Relationship Id="rId17" Type="http://schemas.openxmlformats.org/officeDocument/2006/relationships/ctrlProp" Target="../ctrlProps/ctrlProp70.xml"/><Relationship Id="rId25" Type="http://schemas.openxmlformats.org/officeDocument/2006/relationships/ctrlProp" Target="../ctrlProps/ctrlProp78.xml"/><Relationship Id="rId33" Type="http://schemas.openxmlformats.org/officeDocument/2006/relationships/ctrlProp" Target="../ctrlProps/ctrlProp86.xml"/><Relationship Id="rId38" Type="http://schemas.openxmlformats.org/officeDocument/2006/relationships/ctrlProp" Target="../ctrlProps/ctrlProp91.xml"/><Relationship Id="rId46" Type="http://schemas.openxmlformats.org/officeDocument/2006/relationships/ctrlProp" Target="../ctrlProps/ctrlProp99.xml"/><Relationship Id="rId59" Type="http://schemas.openxmlformats.org/officeDocument/2006/relationships/ctrlProp" Target="../ctrlProps/ctrlProp112.xml"/><Relationship Id="rId20" Type="http://schemas.openxmlformats.org/officeDocument/2006/relationships/ctrlProp" Target="../ctrlProps/ctrlProp73.xml"/><Relationship Id="rId41" Type="http://schemas.openxmlformats.org/officeDocument/2006/relationships/ctrlProp" Target="../ctrlProps/ctrlProp94.xml"/><Relationship Id="rId54" Type="http://schemas.openxmlformats.org/officeDocument/2006/relationships/ctrlProp" Target="../ctrlProps/ctrlProp10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9.xml"/><Relationship Id="rId15" Type="http://schemas.openxmlformats.org/officeDocument/2006/relationships/ctrlProp" Target="../ctrlProps/ctrlProp68.xml"/><Relationship Id="rId23" Type="http://schemas.openxmlformats.org/officeDocument/2006/relationships/ctrlProp" Target="../ctrlProps/ctrlProp76.xml"/><Relationship Id="rId28" Type="http://schemas.openxmlformats.org/officeDocument/2006/relationships/ctrlProp" Target="../ctrlProps/ctrlProp81.xml"/><Relationship Id="rId36" Type="http://schemas.openxmlformats.org/officeDocument/2006/relationships/ctrlProp" Target="../ctrlProps/ctrlProp89.xml"/><Relationship Id="rId49" Type="http://schemas.openxmlformats.org/officeDocument/2006/relationships/ctrlProp" Target="../ctrlProps/ctrlProp102.xml"/><Relationship Id="rId57" Type="http://schemas.openxmlformats.org/officeDocument/2006/relationships/ctrlProp" Target="../ctrlProps/ctrlProp110.xml"/><Relationship Id="rId10" Type="http://schemas.openxmlformats.org/officeDocument/2006/relationships/ctrlProp" Target="../ctrlProps/ctrlProp63.xml"/><Relationship Id="rId31" Type="http://schemas.openxmlformats.org/officeDocument/2006/relationships/ctrlProp" Target="../ctrlProps/ctrlProp84.xml"/><Relationship Id="rId44" Type="http://schemas.openxmlformats.org/officeDocument/2006/relationships/ctrlProp" Target="../ctrlProps/ctrlProp97.xml"/><Relationship Id="rId52" Type="http://schemas.openxmlformats.org/officeDocument/2006/relationships/ctrlProp" Target="../ctrlProps/ctrlProp10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59A6-BC2F-425E-9A58-CCB761931783}">
  <sheetPr codeName="Sheet3"/>
  <dimension ref="A1:S199"/>
  <sheetViews>
    <sheetView zoomScaleNormal="100" workbookViewId="0">
      <selection sqref="A1:O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22" t="s">
        <v>0</v>
      </c>
      <c r="B1" s="123"/>
      <c r="C1" s="123"/>
      <c r="D1" s="123"/>
      <c r="E1" s="123"/>
      <c r="F1" s="124"/>
      <c r="G1" s="138">
        <v>44287</v>
      </c>
      <c r="H1" s="139"/>
      <c r="I1" s="140"/>
      <c r="J1" s="122" t="s">
        <v>1</v>
      </c>
      <c r="K1" s="123"/>
      <c r="L1" s="123"/>
      <c r="M1" s="123"/>
      <c r="N1" s="123"/>
      <c r="O1" s="124"/>
      <c r="Q1" s="122" t="s">
        <v>2</v>
      </c>
      <c r="R1" s="124"/>
    </row>
    <row r="2" spans="1:19" ht="17.25" customHeight="1">
      <c r="A2" s="1" t="s">
        <v>3</v>
      </c>
      <c r="B2" s="141" t="s">
        <v>4</v>
      </c>
      <c r="C2" s="142"/>
      <c r="D2" s="142"/>
      <c r="E2" s="142"/>
      <c r="F2" s="143"/>
      <c r="G2" s="144" t="s">
        <v>50</v>
      </c>
      <c r="H2" s="145"/>
      <c r="I2" s="146"/>
      <c r="J2" s="1" t="s">
        <v>3</v>
      </c>
      <c r="K2" s="141" t="s">
        <v>5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4" t="s">
        <v>7</v>
      </c>
      <c r="B3" s="147" t="s">
        <v>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51"/>
      <c r="I3" s="152"/>
      <c r="J3" s="4" t="s">
        <v>7</v>
      </c>
      <c r="K3" s="147" t="s">
        <v>9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47" t="s">
        <v>12</v>
      </c>
      <c r="C4" s="148"/>
      <c r="D4" s="148"/>
      <c r="E4" s="148"/>
      <c r="F4" s="149"/>
      <c r="G4" s="144" t="s">
        <v>48</v>
      </c>
      <c r="H4" s="145"/>
      <c r="I4" s="146"/>
      <c r="J4" s="4" t="s">
        <v>11</v>
      </c>
      <c r="K4" s="147" t="s">
        <v>13</v>
      </c>
      <c r="L4" s="148"/>
      <c r="M4" s="148"/>
      <c r="N4" s="148"/>
      <c r="O4" s="149"/>
      <c r="Q4" s="5" t="s">
        <v>14</v>
      </c>
      <c r="R4" s="6">
        <v>0.95833333333333337</v>
      </c>
    </row>
    <row r="5" spans="1:19" ht="17.25" customHeight="1" thickBot="1">
      <c r="A5" s="4" t="s">
        <v>15</v>
      </c>
      <c r="B5" s="147" t="s">
        <v>16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51"/>
      <c r="I5" s="152"/>
      <c r="J5" s="4" t="s">
        <v>15</v>
      </c>
      <c r="K5" s="147" t="s">
        <v>17</v>
      </c>
      <c r="L5" s="148"/>
      <c r="M5" s="148"/>
      <c r="N5" s="148"/>
      <c r="O5" s="149"/>
    </row>
    <row r="6" spans="1:19">
      <c r="A6" s="4" t="s">
        <v>18</v>
      </c>
      <c r="B6" s="147" t="s">
        <v>19</v>
      </c>
      <c r="C6" s="148"/>
      <c r="D6" s="148"/>
      <c r="E6" s="148"/>
      <c r="F6" s="149"/>
      <c r="G6" s="144" t="s">
        <v>49</v>
      </c>
      <c r="H6" s="145"/>
      <c r="I6" s="146"/>
      <c r="J6" s="4" t="s">
        <v>18</v>
      </c>
      <c r="K6" s="147" t="s">
        <v>20</v>
      </c>
      <c r="L6" s="148"/>
      <c r="M6" s="148"/>
      <c r="N6" s="148"/>
      <c r="O6" s="149"/>
    </row>
    <row r="7" spans="1:19" ht="17.25" thickBot="1">
      <c r="A7" s="4" t="s">
        <v>21</v>
      </c>
      <c r="B7" s="147" t="s">
        <v>22</v>
      </c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51"/>
      <c r="I7" s="152"/>
      <c r="J7" s="4" t="s">
        <v>21</v>
      </c>
      <c r="K7" s="147" t="s">
        <v>23</v>
      </c>
      <c r="L7" s="148"/>
      <c r="M7" s="148"/>
      <c r="N7" s="148"/>
      <c r="O7" s="149"/>
    </row>
    <row r="8" spans="1:19" ht="17.25" thickBot="1">
      <c r="A8" s="4" t="s">
        <v>24</v>
      </c>
      <c r="B8" s="147" t="s">
        <v>25</v>
      </c>
      <c r="C8" s="148"/>
      <c r="D8" s="148"/>
      <c r="E8" s="148"/>
      <c r="F8" s="149"/>
      <c r="G8" s="144" t="s">
        <v>290</v>
      </c>
      <c r="H8" s="145"/>
      <c r="I8" s="146"/>
      <c r="J8" s="4" t="s">
        <v>24</v>
      </c>
      <c r="K8" s="147" t="s">
        <v>26</v>
      </c>
      <c r="L8" s="148"/>
      <c r="M8" s="148"/>
      <c r="N8" s="148"/>
      <c r="O8" s="149"/>
      <c r="Q8" s="122" t="s">
        <v>27</v>
      </c>
      <c r="R8" s="124"/>
    </row>
    <row r="9" spans="1:19" ht="17.25" thickBot="1">
      <c r="A9" s="4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7">
        <v>10</v>
      </c>
    </row>
    <row r="10" spans="1:19">
      <c r="A10" s="4" t="s">
        <v>30</v>
      </c>
      <c r="B10" s="147"/>
      <c r="C10" s="148"/>
      <c r="D10" s="148"/>
      <c r="E10" s="148"/>
      <c r="F10" s="149"/>
      <c r="G10" s="144" t="s">
        <v>51</v>
      </c>
      <c r="H10" s="145"/>
      <c r="I10" s="146"/>
      <c r="J10" s="4" t="s">
        <v>30</v>
      </c>
      <c r="K10" s="147"/>
      <c r="L10" s="148"/>
      <c r="M10" s="148"/>
      <c r="N10" s="148"/>
      <c r="O10" s="149"/>
      <c r="Q10" s="2" t="s">
        <v>31</v>
      </c>
      <c r="R10" s="7">
        <v>100</v>
      </c>
    </row>
    <row r="11" spans="1:19" ht="17.25" thickBot="1">
      <c r="A11" s="8" t="s">
        <v>32</v>
      </c>
      <c r="B11" s="153"/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8" t="s">
        <v>32</v>
      </c>
      <c r="K11" s="153"/>
      <c r="L11" s="154"/>
      <c r="M11" s="154"/>
      <c r="N11" s="154"/>
      <c r="O11" s="155"/>
      <c r="Q11" s="5" t="s">
        <v>33</v>
      </c>
      <c r="R11" s="9">
        <v>1000</v>
      </c>
    </row>
    <row r="12" spans="1:19" ht="17.25" thickBot="1"/>
    <row r="13" spans="1:19" ht="17.25" customHeight="1" thickBot="1">
      <c r="A13" s="122" t="s">
        <v>34</v>
      </c>
      <c r="B13" s="123"/>
      <c r="C13" s="123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4"/>
      <c r="Q13" s="111"/>
      <c r="R13" s="112"/>
      <c r="S13" s="113"/>
    </row>
    <row r="14" spans="1:19" ht="17.25" customHeight="1" thickBot="1">
      <c r="A14" s="10" t="s">
        <v>35</v>
      </c>
      <c r="B14" s="122" t="s">
        <v>36</v>
      </c>
      <c r="C14" s="124"/>
      <c r="D14" s="122" t="s">
        <v>37</v>
      </c>
      <c r="E14" s="123"/>
      <c r="F14" s="124"/>
      <c r="G14" s="125">
        <f>_xlfn.IFNA(VLOOKUP(B14, 현재가테이블!$B$2:$D$200, 2, FALSE), "-")</f>
        <v>78003000</v>
      </c>
      <c r="H14" s="126"/>
      <c r="I14" s="127"/>
      <c r="J14" s="122" t="s">
        <v>38</v>
      </c>
      <c r="K14" s="123"/>
      <c r="L14" s="124"/>
      <c r="M14" s="128">
        <f>_xlfn.IFNA(VLOOKUP(B14, 현재가테이블!$B$2:$D$200, 3, FALSE), "-")</f>
        <v>-6.7108111999999998E-3</v>
      </c>
      <c r="N14" s="129"/>
      <c r="O14" s="130"/>
      <c r="Q14" s="114"/>
      <c r="R14" s="115"/>
      <c r="S14" s="116"/>
    </row>
    <row r="15" spans="1:19" ht="17.25" customHeight="1" thickBot="1">
      <c r="A15" s="131" t="s">
        <v>39</v>
      </c>
      <c r="B15" s="132" t="s">
        <v>40</v>
      </c>
      <c r="C15" s="133"/>
      <c r="D15" s="156" t="s">
        <v>41</v>
      </c>
      <c r="E15" s="137"/>
      <c r="F15" s="157"/>
      <c r="G15" s="156" t="s">
        <v>42</v>
      </c>
      <c r="H15" s="137"/>
      <c r="I15" s="157"/>
      <c r="J15" s="137" t="s">
        <v>43</v>
      </c>
      <c r="K15" s="137"/>
      <c r="L15" s="137"/>
      <c r="M15" s="156" t="s">
        <v>40</v>
      </c>
      <c r="N15" s="137"/>
      <c r="O15" s="157"/>
      <c r="Q15" s="117"/>
      <c r="R15" s="118"/>
      <c r="S15" s="119"/>
    </row>
    <row r="16" spans="1:19" ht="17.25" customHeight="1" thickBot="1">
      <c r="A16" s="131"/>
      <c r="B16" s="2" t="s">
        <v>37</v>
      </c>
      <c r="C16" s="12" t="s">
        <v>38</v>
      </c>
      <c r="D16" s="2" t="s">
        <v>37</v>
      </c>
      <c r="E16" s="12" t="s">
        <v>44</v>
      </c>
      <c r="F16" s="13" t="s">
        <v>45</v>
      </c>
      <c r="G16" s="14" t="s">
        <v>37</v>
      </c>
      <c r="H16" s="15" t="s">
        <v>44</v>
      </c>
      <c r="I16" s="16" t="s">
        <v>45</v>
      </c>
      <c r="J16" s="12" t="s">
        <v>37</v>
      </c>
      <c r="K16" s="12" t="s">
        <v>44</v>
      </c>
      <c r="L16" s="17" t="s">
        <v>45</v>
      </c>
      <c r="M16" s="2" t="s">
        <v>37</v>
      </c>
      <c r="N16" s="12" t="s">
        <v>44</v>
      </c>
      <c r="O16" s="18" t="s">
        <v>45</v>
      </c>
      <c r="Q16" s="98"/>
      <c r="R16" s="98"/>
      <c r="S16" s="98"/>
    </row>
    <row r="17" spans="1:19" ht="17.25" customHeight="1" thickBot="1">
      <c r="A17" s="19"/>
      <c r="B17" s="20" t="str">
        <f t="shared" ref="B17:B36" si="0">IF(NOT(_xlfn.IFNA(VLOOKUP($A17, $A$40:$O$66, 2, FALSE), "")=0), _xlfn.IFNA(VLOOKUP($A17, $A$40:$O$66, 2, FALSE), ""), "")</f>
        <v/>
      </c>
      <c r="C17" s="21" t="str">
        <f t="shared" ref="C17:C36" si="1">IF(NOT(_xlfn.IFNA(VLOOKUP($A17, $A$40:$O$66, 3, FALSE), "")=0), _xlfn.IFNA(VLOOKUP($A17, $A$40:$O$66, 3, FALSE), ""), "")</f>
        <v/>
      </c>
      <c r="D17" s="20" t="str">
        <f t="shared" ref="D17:D36" si="2">IF(NOT(_xlfn.IFNA(VLOOKUP($A17, $A$40:$O$66, 4, FALSE), "")=0), _xlfn.IFNA(VLOOKUP($A17, $A$40:$O$66, 4, FALSE), ""), "")</f>
        <v/>
      </c>
      <c r="E17" s="21" t="str">
        <f t="shared" ref="E17:E36" si="3">IF(NOT(_xlfn.IFNA(VLOOKUP($A17, $A$40:$O$66, 5, FALSE), "")=0), _xlfn.IFNA(VLOOKUP($A17, $A$40:$O$66, 5, FALSE), ""), "")</f>
        <v/>
      </c>
      <c r="F17" s="22" t="str">
        <f t="shared" ref="F17:F36" si="4">IF(NOT(_xlfn.IFNA(VLOOKUP($A17, $A$40:$O$66, 6, FALSE), "")=0), _xlfn.IFNA(VLOOKUP($A17, $A$40:$O$66, 6, FALSE), ""), "")</f>
        <v/>
      </c>
      <c r="G17" s="23" t="str">
        <f t="shared" ref="G17:G36" si="5">IF(NOT(_xlfn.IFNA(VLOOKUP($A17, $A$40:$O$66, 7, FALSE), "")=0), _xlfn.IFNA(VLOOKUP($A17, $A$40:$O$66, 7, FALSE), ""), "")</f>
        <v/>
      </c>
      <c r="H17" s="24" t="str">
        <f t="shared" ref="H17:H36" si="6">IF(NOT(_xlfn.IFNA(VLOOKUP($A17, $A$40:$O$66, 8, FALSE), "")=0), _xlfn.IFNA(VLOOKUP($A17, $A$40:$O$66, 8, FALSE), ""), "")</f>
        <v/>
      </c>
      <c r="I17" s="25" t="str">
        <f t="shared" ref="I17:I36" si="7">IF(NOT(_xlfn.IFNA(VLOOKUP($A17, $A$40:$O$66, 9, FALSE), "")=0), _xlfn.IFNA(VLOOKUP($A17, $A$40:$O$66, 9, FALSE), ""), "")</f>
        <v/>
      </c>
      <c r="J17" s="20" t="str">
        <f t="shared" ref="J17:J36" si="8">IF(NOT(_xlfn.IFNA(VLOOKUP($A17, $A$40:$O$66, 10, FALSE), "")=0), _xlfn.IFNA(VLOOKUP($A17, $A$40:$O$66, 10, FALSE), ""), "")</f>
        <v/>
      </c>
      <c r="K17" s="21" t="str">
        <f t="shared" ref="K17:K36" si="9">IF(NOT(_xlfn.IFNA(VLOOKUP($A17, $A$40:$O$66, 11, FALSE), "")=0), _xlfn.IFNA(VLOOKUP($A17, $A$40:$O$66, 11, FALSE), ""), "")</f>
        <v/>
      </c>
      <c r="L17" s="22" t="str">
        <f t="shared" ref="L17:L36" si="10">IF(NOT(_xlfn.IFNA(VLOOKUP($A17, $A$40:$O$66, 12, FALSE), "")=0), _xlfn.IFNA(VLOOKUP($A17, $A$40:$O$66, 12, FALSE), ""), "")</f>
        <v/>
      </c>
      <c r="M17" s="20" t="str">
        <f t="shared" ref="M17:M36" si="11">IF(NOT(_xlfn.IFNA(VLOOKUP($A17, $A$40:$O$66, 13, FALSE), "")=0), _xlfn.IFNA(VLOOKUP($A17, $A$40:$O$66, 13, FALSE), ""), "")</f>
        <v/>
      </c>
      <c r="N17" s="21" t="str">
        <f t="shared" ref="N17:N36" si="12">IF(NOT(_xlfn.IFNA(VLOOKUP($A17, $A$40:$O$66, 14, FALSE), "")=0), _xlfn.IFNA(VLOOKUP($A17, $A$40:$O$66, 14, FALSE), ""), "")</f>
        <v/>
      </c>
      <c r="O17" s="26" t="str">
        <f t="shared" ref="O17:O36" si="13">IF(NOT(_xlfn.IFNA(VLOOKUP($A17, $A$40:$O$66, 15, FALSE), "")=0), _xlfn.IFNA(VLOOKUP($A17, $A$40:$O$66, 15, FALSE), ""), "")</f>
        <v/>
      </c>
      <c r="Q17" s="99"/>
      <c r="R17" s="99"/>
      <c r="S17" s="99"/>
    </row>
    <row r="18" spans="1:19" ht="17.25" customHeight="1" thickBot="1">
      <c r="A18" s="27"/>
      <c r="B18" s="23" t="str">
        <f t="shared" si="0"/>
        <v/>
      </c>
      <c r="C18" s="24" t="str">
        <f t="shared" si="1"/>
        <v/>
      </c>
      <c r="D18" s="23" t="str">
        <f t="shared" si="2"/>
        <v/>
      </c>
      <c r="E18" s="24" t="str">
        <f t="shared" si="3"/>
        <v/>
      </c>
      <c r="F18" s="25" t="str">
        <f t="shared" si="4"/>
        <v/>
      </c>
      <c r="G18" s="23" t="str">
        <f t="shared" si="5"/>
        <v/>
      </c>
      <c r="H18" s="24" t="str">
        <f t="shared" si="6"/>
        <v/>
      </c>
      <c r="I18" s="25" t="str">
        <f t="shared" si="7"/>
        <v/>
      </c>
      <c r="J18" s="23" t="str">
        <f t="shared" si="8"/>
        <v/>
      </c>
      <c r="K18" s="24" t="str">
        <f t="shared" si="9"/>
        <v/>
      </c>
      <c r="L18" s="25" t="str">
        <f t="shared" si="10"/>
        <v/>
      </c>
      <c r="M18" s="23" t="str">
        <f t="shared" si="11"/>
        <v/>
      </c>
      <c r="N18" s="24" t="str">
        <f t="shared" si="12"/>
        <v/>
      </c>
      <c r="O18" s="28" t="str">
        <f t="shared" si="13"/>
        <v/>
      </c>
      <c r="Q18" s="99"/>
      <c r="R18" s="99"/>
      <c r="S18" s="99"/>
    </row>
    <row r="19" spans="1:19" ht="17.25" customHeight="1" thickBot="1">
      <c r="A19" s="27"/>
      <c r="B19" s="23" t="str">
        <f t="shared" si="0"/>
        <v/>
      </c>
      <c r="C19" s="24" t="str">
        <f t="shared" si="1"/>
        <v/>
      </c>
      <c r="D19" s="23" t="str">
        <f t="shared" si="2"/>
        <v/>
      </c>
      <c r="E19" s="24" t="str">
        <f t="shared" si="3"/>
        <v/>
      </c>
      <c r="F19" s="25" t="str">
        <f t="shared" si="4"/>
        <v/>
      </c>
      <c r="G19" s="23" t="str">
        <f t="shared" si="5"/>
        <v/>
      </c>
      <c r="H19" s="24" t="str">
        <f t="shared" si="6"/>
        <v/>
      </c>
      <c r="I19" s="25" t="str">
        <f t="shared" si="7"/>
        <v/>
      </c>
      <c r="J19" s="23" t="str">
        <f t="shared" si="8"/>
        <v/>
      </c>
      <c r="K19" s="24" t="str">
        <f t="shared" si="9"/>
        <v/>
      </c>
      <c r="L19" s="25" t="str">
        <f t="shared" si="10"/>
        <v/>
      </c>
      <c r="M19" s="23" t="str">
        <f t="shared" si="11"/>
        <v/>
      </c>
      <c r="N19" s="24" t="str">
        <f t="shared" si="12"/>
        <v/>
      </c>
      <c r="O19" s="28" t="str">
        <f t="shared" si="13"/>
        <v/>
      </c>
      <c r="Q19" s="100"/>
      <c r="R19" s="100"/>
      <c r="S19" s="100"/>
    </row>
    <row r="20" spans="1:19" ht="17.25" customHeight="1" thickBot="1">
      <c r="A20" s="27"/>
      <c r="B20" s="23" t="str">
        <f t="shared" si="0"/>
        <v/>
      </c>
      <c r="C20" s="24" t="str">
        <f t="shared" si="1"/>
        <v/>
      </c>
      <c r="D20" s="23" t="str">
        <f t="shared" si="2"/>
        <v/>
      </c>
      <c r="E20" s="24" t="str">
        <f t="shared" si="3"/>
        <v/>
      </c>
      <c r="F20" s="25" t="str">
        <f t="shared" si="4"/>
        <v/>
      </c>
      <c r="G20" s="23" t="str">
        <f t="shared" si="5"/>
        <v/>
      </c>
      <c r="H20" s="24" t="str">
        <f t="shared" si="6"/>
        <v/>
      </c>
      <c r="I20" s="25" t="str">
        <f t="shared" si="7"/>
        <v/>
      </c>
      <c r="J20" s="23" t="str">
        <f t="shared" si="8"/>
        <v/>
      </c>
      <c r="K20" s="24" t="str">
        <f t="shared" si="9"/>
        <v/>
      </c>
      <c r="L20" s="25" t="str">
        <f t="shared" si="10"/>
        <v/>
      </c>
      <c r="M20" s="23" t="str">
        <f t="shared" si="11"/>
        <v/>
      </c>
      <c r="N20" s="24" t="str">
        <f t="shared" si="12"/>
        <v/>
      </c>
      <c r="O20" s="28" t="str">
        <f t="shared" si="13"/>
        <v/>
      </c>
      <c r="Q20" s="100"/>
      <c r="R20" s="100"/>
      <c r="S20" s="100"/>
    </row>
    <row r="21" spans="1:19" ht="17.25" customHeight="1" thickBot="1">
      <c r="A21" s="29"/>
      <c r="B21" s="30" t="str">
        <f t="shared" si="0"/>
        <v/>
      </c>
      <c r="C21" s="31" t="str">
        <f t="shared" si="1"/>
        <v/>
      </c>
      <c r="D21" s="30" t="str">
        <f t="shared" si="2"/>
        <v/>
      </c>
      <c r="E21" s="31" t="str">
        <f t="shared" si="3"/>
        <v/>
      </c>
      <c r="F21" s="32" t="str">
        <f t="shared" si="4"/>
        <v/>
      </c>
      <c r="G21" s="30" t="str">
        <f t="shared" si="5"/>
        <v/>
      </c>
      <c r="H21" s="31" t="str">
        <f t="shared" si="6"/>
        <v/>
      </c>
      <c r="I21" s="32" t="str">
        <f t="shared" si="7"/>
        <v/>
      </c>
      <c r="J21" s="30" t="str">
        <f t="shared" si="8"/>
        <v/>
      </c>
      <c r="K21" s="31" t="str">
        <f t="shared" si="9"/>
        <v/>
      </c>
      <c r="L21" s="32" t="str">
        <f t="shared" si="10"/>
        <v/>
      </c>
      <c r="M21" s="30" t="str">
        <f t="shared" si="11"/>
        <v/>
      </c>
      <c r="N21" s="31" t="str">
        <f t="shared" si="12"/>
        <v/>
      </c>
      <c r="O21" s="33" t="str">
        <f t="shared" si="13"/>
        <v/>
      </c>
      <c r="Q21" s="101"/>
      <c r="R21" s="101"/>
      <c r="S21" s="101"/>
    </row>
    <row r="22" spans="1:19" ht="17.25" customHeight="1">
      <c r="A22" s="27"/>
      <c r="B22" s="23" t="str">
        <f t="shared" si="0"/>
        <v/>
      </c>
      <c r="C22" s="24" t="str">
        <f t="shared" si="1"/>
        <v/>
      </c>
      <c r="D22" s="23" t="str">
        <f t="shared" si="2"/>
        <v/>
      </c>
      <c r="E22" s="24" t="str">
        <f t="shared" si="3"/>
        <v/>
      </c>
      <c r="F22" s="25" t="str">
        <f t="shared" si="4"/>
        <v/>
      </c>
      <c r="G22" s="23" t="str">
        <f t="shared" si="5"/>
        <v/>
      </c>
      <c r="H22" s="24" t="str">
        <f t="shared" si="6"/>
        <v/>
      </c>
      <c r="I22" s="25" t="str">
        <f t="shared" si="7"/>
        <v/>
      </c>
      <c r="J22" s="23" t="str">
        <f t="shared" si="8"/>
        <v/>
      </c>
      <c r="K22" s="24" t="str">
        <f t="shared" si="9"/>
        <v/>
      </c>
      <c r="L22" s="25" t="str">
        <f t="shared" si="10"/>
        <v/>
      </c>
      <c r="M22" s="23" t="str">
        <f t="shared" si="11"/>
        <v/>
      </c>
      <c r="N22" s="24" t="str">
        <f t="shared" si="12"/>
        <v/>
      </c>
      <c r="O22" s="28" t="str">
        <f t="shared" si="13"/>
        <v/>
      </c>
      <c r="Q22" s="102"/>
      <c r="R22" s="103"/>
      <c r="S22" s="104"/>
    </row>
    <row r="23" spans="1:19" ht="17.25" customHeight="1">
      <c r="A23" s="27"/>
      <c r="B23" s="23" t="str">
        <f t="shared" si="0"/>
        <v/>
      </c>
      <c r="C23" s="24" t="str">
        <f t="shared" si="1"/>
        <v/>
      </c>
      <c r="D23" s="23" t="str">
        <f t="shared" si="2"/>
        <v/>
      </c>
      <c r="E23" s="24" t="str">
        <f t="shared" si="3"/>
        <v/>
      </c>
      <c r="F23" s="25" t="str">
        <f t="shared" si="4"/>
        <v/>
      </c>
      <c r="G23" s="23" t="str">
        <f t="shared" si="5"/>
        <v/>
      </c>
      <c r="H23" s="24" t="str">
        <f t="shared" si="6"/>
        <v/>
      </c>
      <c r="I23" s="25" t="str">
        <f t="shared" si="7"/>
        <v/>
      </c>
      <c r="J23" s="23" t="str">
        <f t="shared" si="8"/>
        <v/>
      </c>
      <c r="K23" s="24" t="str">
        <f t="shared" si="9"/>
        <v/>
      </c>
      <c r="L23" s="25" t="str">
        <f t="shared" si="10"/>
        <v/>
      </c>
      <c r="M23" s="23" t="str">
        <f t="shared" si="11"/>
        <v/>
      </c>
      <c r="N23" s="24" t="str">
        <f t="shared" si="12"/>
        <v/>
      </c>
      <c r="O23" s="28" t="str">
        <f t="shared" si="13"/>
        <v/>
      </c>
      <c r="Q23" s="105"/>
      <c r="R23" s="106"/>
      <c r="S23" s="107"/>
    </row>
    <row r="24" spans="1:19" ht="17.25" customHeight="1" thickBot="1">
      <c r="A24" s="27"/>
      <c r="B24" s="23" t="str">
        <f t="shared" si="0"/>
        <v/>
      </c>
      <c r="C24" s="24" t="str">
        <f t="shared" si="1"/>
        <v/>
      </c>
      <c r="D24" s="23" t="str">
        <f t="shared" si="2"/>
        <v/>
      </c>
      <c r="E24" s="24" t="str">
        <f t="shared" si="3"/>
        <v/>
      </c>
      <c r="F24" s="25" t="str">
        <f t="shared" si="4"/>
        <v/>
      </c>
      <c r="G24" s="23" t="str">
        <f t="shared" si="5"/>
        <v/>
      </c>
      <c r="H24" s="24" t="str">
        <f t="shared" si="6"/>
        <v/>
      </c>
      <c r="I24" s="25" t="str">
        <f t="shared" si="7"/>
        <v/>
      </c>
      <c r="J24" s="23" t="str">
        <f t="shared" si="8"/>
        <v/>
      </c>
      <c r="K24" s="24" t="str">
        <f t="shared" si="9"/>
        <v/>
      </c>
      <c r="L24" s="25" t="str">
        <f t="shared" si="10"/>
        <v/>
      </c>
      <c r="M24" s="23" t="str">
        <f t="shared" si="11"/>
        <v/>
      </c>
      <c r="N24" s="24" t="str">
        <f t="shared" si="12"/>
        <v/>
      </c>
      <c r="O24" s="28" t="str">
        <f t="shared" si="13"/>
        <v/>
      </c>
      <c r="Q24" s="108"/>
      <c r="R24" s="109"/>
      <c r="S24" s="110"/>
    </row>
    <row r="25" spans="1:19" ht="17.25" customHeight="1" thickBot="1">
      <c r="A25" s="27"/>
      <c r="B25" s="23" t="str">
        <f t="shared" si="0"/>
        <v/>
      </c>
      <c r="C25" s="24" t="str">
        <f t="shared" si="1"/>
        <v/>
      </c>
      <c r="D25" s="23" t="str">
        <f t="shared" si="2"/>
        <v/>
      </c>
      <c r="E25" s="24" t="str">
        <f t="shared" si="3"/>
        <v/>
      </c>
      <c r="F25" s="25" t="str">
        <f t="shared" si="4"/>
        <v/>
      </c>
      <c r="G25" s="23" t="str">
        <f t="shared" si="5"/>
        <v/>
      </c>
      <c r="H25" s="24" t="str">
        <f t="shared" si="6"/>
        <v/>
      </c>
      <c r="I25" s="25" t="str">
        <f t="shared" si="7"/>
        <v/>
      </c>
      <c r="J25" s="23" t="str">
        <f t="shared" si="8"/>
        <v/>
      </c>
      <c r="K25" s="24" t="str">
        <f t="shared" si="9"/>
        <v/>
      </c>
      <c r="L25" s="25" t="str">
        <f t="shared" si="10"/>
        <v/>
      </c>
      <c r="M25" s="23" t="str">
        <f t="shared" si="11"/>
        <v/>
      </c>
      <c r="N25" s="24" t="str">
        <f t="shared" si="12"/>
        <v/>
      </c>
      <c r="O25" s="28" t="str">
        <f t="shared" si="13"/>
        <v/>
      </c>
      <c r="Q25" s="55"/>
      <c r="R25" s="55"/>
    </row>
    <row r="26" spans="1:19" ht="17.25" customHeight="1" thickBot="1">
      <c r="A26" s="34"/>
      <c r="B26" s="35" t="str">
        <f t="shared" si="0"/>
        <v/>
      </c>
      <c r="C26" s="36" t="str">
        <f t="shared" si="1"/>
        <v/>
      </c>
      <c r="D26" s="35" t="str">
        <f t="shared" si="2"/>
        <v/>
      </c>
      <c r="E26" s="36" t="str">
        <f t="shared" si="3"/>
        <v/>
      </c>
      <c r="F26" s="37" t="str">
        <f t="shared" si="4"/>
        <v/>
      </c>
      <c r="G26" s="35" t="str">
        <f t="shared" si="5"/>
        <v/>
      </c>
      <c r="H26" s="36" t="str">
        <f t="shared" si="6"/>
        <v/>
      </c>
      <c r="I26" s="37" t="str">
        <f t="shared" si="7"/>
        <v/>
      </c>
      <c r="J26" s="35" t="str">
        <f t="shared" si="8"/>
        <v/>
      </c>
      <c r="K26" s="36" t="str">
        <f t="shared" si="9"/>
        <v/>
      </c>
      <c r="L26" s="37" t="str">
        <f t="shared" si="10"/>
        <v/>
      </c>
      <c r="M26" s="35" t="str">
        <f t="shared" si="11"/>
        <v/>
      </c>
      <c r="N26" s="36" t="str">
        <f t="shared" si="12"/>
        <v/>
      </c>
      <c r="O26" s="38" t="str">
        <f t="shared" si="13"/>
        <v/>
      </c>
      <c r="Q26" s="111"/>
      <c r="R26" s="112"/>
      <c r="S26" s="113"/>
    </row>
    <row r="27" spans="1:19" ht="17.25" customHeight="1">
      <c r="A27" s="19"/>
      <c r="B27" s="20" t="str">
        <f t="shared" si="0"/>
        <v/>
      </c>
      <c r="C27" s="21" t="str">
        <f t="shared" si="1"/>
        <v/>
      </c>
      <c r="D27" s="20" t="str">
        <f t="shared" si="2"/>
        <v/>
      </c>
      <c r="E27" s="21" t="str">
        <f t="shared" si="3"/>
        <v/>
      </c>
      <c r="F27" s="22" t="str">
        <f t="shared" si="4"/>
        <v/>
      </c>
      <c r="G27" s="23" t="str">
        <f t="shared" si="5"/>
        <v/>
      </c>
      <c r="H27" s="24" t="str">
        <f t="shared" si="6"/>
        <v/>
      </c>
      <c r="I27" s="25" t="str">
        <f t="shared" si="7"/>
        <v/>
      </c>
      <c r="J27" s="20" t="str">
        <f t="shared" si="8"/>
        <v/>
      </c>
      <c r="K27" s="21" t="str">
        <f t="shared" si="9"/>
        <v/>
      </c>
      <c r="L27" s="22" t="str">
        <f t="shared" si="10"/>
        <v/>
      </c>
      <c r="M27" s="20" t="str">
        <f t="shared" si="11"/>
        <v/>
      </c>
      <c r="N27" s="21" t="str">
        <f t="shared" si="12"/>
        <v/>
      </c>
      <c r="O27" s="26" t="str">
        <f t="shared" si="13"/>
        <v/>
      </c>
      <c r="Q27" s="114"/>
      <c r="R27" s="115"/>
      <c r="S27" s="116"/>
    </row>
    <row r="28" spans="1:19" ht="17.25" customHeight="1" thickBot="1">
      <c r="A28" s="27"/>
      <c r="B28" s="23" t="str">
        <f t="shared" si="0"/>
        <v/>
      </c>
      <c r="C28" s="24" t="str">
        <f t="shared" si="1"/>
        <v/>
      </c>
      <c r="D28" s="23" t="str">
        <f t="shared" si="2"/>
        <v/>
      </c>
      <c r="E28" s="24" t="str">
        <f t="shared" si="3"/>
        <v/>
      </c>
      <c r="F28" s="25" t="str">
        <f t="shared" si="4"/>
        <v/>
      </c>
      <c r="G28" s="23" t="str">
        <f t="shared" si="5"/>
        <v/>
      </c>
      <c r="H28" s="24" t="str">
        <f t="shared" si="6"/>
        <v/>
      </c>
      <c r="I28" s="25" t="str">
        <f t="shared" si="7"/>
        <v/>
      </c>
      <c r="J28" s="23" t="str">
        <f t="shared" si="8"/>
        <v/>
      </c>
      <c r="K28" s="24" t="str">
        <f t="shared" si="9"/>
        <v/>
      </c>
      <c r="L28" s="25" t="str">
        <f t="shared" si="10"/>
        <v/>
      </c>
      <c r="M28" s="23" t="str">
        <f t="shared" si="11"/>
        <v/>
      </c>
      <c r="N28" s="24" t="str">
        <f t="shared" si="12"/>
        <v/>
      </c>
      <c r="O28" s="28" t="str">
        <f t="shared" si="13"/>
        <v/>
      </c>
      <c r="Q28" s="117"/>
      <c r="R28" s="118"/>
      <c r="S28" s="119"/>
    </row>
    <row r="29" spans="1:19" ht="17.25" customHeight="1" thickBot="1">
      <c r="A29" s="27"/>
      <c r="B29" s="23" t="str">
        <f t="shared" si="0"/>
        <v/>
      </c>
      <c r="C29" s="24" t="str">
        <f t="shared" si="1"/>
        <v/>
      </c>
      <c r="D29" s="23" t="str">
        <f t="shared" si="2"/>
        <v/>
      </c>
      <c r="E29" s="24" t="str">
        <f t="shared" si="3"/>
        <v/>
      </c>
      <c r="F29" s="25" t="str">
        <f t="shared" si="4"/>
        <v/>
      </c>
      <c r="G29" s="23" t="str">
        <f t="shared" si="5"/>
        <v/>
      </c>
      <c r="H29" s="24" t="str">
        <f t="shared" si="6"/>
        <v/>
      </c>
      <c r="I29" s="25" t="str">
        <f t="shared" si="7"/>
        <v/>
      </c>
      <c r="J29" s="23" t="str">
        <f t="shared" si="8"/>
        <v/>
      </c>
      <c r="K29" s="24" t="str">
        <f t="shared" si="9"/>
        <v/>
      </c>
      <c r="L29" s="25" t="str">
        <f t="shared" si="10"/>
        <v/>
      </c>
      <c r="M29" s="23" t="str">
        <f t="shared" si="11"/>
        <v/>
      </c>
      <c r="N29" s="24" t="str">
        <f t="shared" si="12"/>
        <v/>
      </c>
      <c r="O29" s="28" t="str">
        <f t="shared" si="13"/>
        <v/>
      </c>
      <c r="Q29" s="98"/>
      <c r="R29" s="98"/>
      <c r="S29" s="98"/>
    </row>
    <row r="30" spans="1:19" ht="17.25" customHeight="1" thickBot="1">
      <c r="A30" s="27"/>
      <c r="B30" s="23" t="str">
        <f t="shared" si="0"/>
        <v/>
      </c>
      <c r="C30" s="24" t="str">
        <f t="shared" si="1"/>
        <v/>
      </c>
      <c r="D30" s="23" t="str">
        <f t="shared" si="2"/>
        <v/>
      </c>
      <c r="E30" s="24" t="str">
        <f t="shared" si="3"/>
        <v/>
      </c>
      <c r="F30" s="25" t="str">
        <f t="shared" si="4"/>
        <v/>
      </c>
      <c r="G30" s="23" t="str">
        <f t="shared" si="5"/>
        <v/>
      </c>
      <c r="H30" s="24" t="str">
        <f t="shared" si="6"/>
        <v/>
      </c>
      <c r="I30" s="25" t="str">
        <f t="shared" si="7"/>
        <v/>
      </c>
      <c r="J30" s="23" t="str">
        <f t="shared" si="8"/>
        <v/>
      </c>
      <c r="K30" s="24" t="str">
        <f t="shared" si="9"/>
        <v/>
      </c>
      <c r="L30" s="25" t="str">
        <f t="shared" si="10"/>
        <v/>
      </c>
      <c r="M30" s="23" t="str">
        <f t="shared" si="11"/>
        <v/>
      </c>
      <c r="N30" s="24" t="str">
        <f t="shared" si="12"/>
        <v/>
      </c>
      <c r="O30" s="28" t="str">
        <f t="shared" si="13"/>
        <v/>
      </c>
      <c r="Q30" s="99"/>
      <c r="R30" s="99"/>
      <c r="S30" s="99"/>
    </row>
    <row r="31" spans="1:19" ht="17.25" customHeight="1" thickBot="1">
      <c r="A31" s="29"/>
      <c r="B31" s="30" t="str">
        <f t="shared" si="0"/>
        <v/>
      </c>
      <c r="C31" s="31" t="str">
        <f t="shared" si="1"/>
        <v/>
      </c>
      <c r="D31" s="30" t="str">
        <f t="shared" si="2"/>
        <v/>
      </c>
      <c r="E31" s="31" t="str">
        <f t="shared" si="3"/>
        <v/>
      </c>
      <c r="F31" s="32" t="str">
        <f t="shared" si="4"/>
        <v/>
      </c>
      <c r="G31" s="30" t="str">
        <f t="shared" si="5"/>
        <v/>
      </c>
      <c r="H31" s="31" t="str">
        <f t="shared" si="6"/>
        <v/>
      </c>
      <c r="I31" s="32" t="str">
        <f t="shared" si="7"/>
        <v/>
      </c>
      <c r="J31" s="30" t="str">
        <f t="shared" si="8"/>
        <v/>
      </c>
      <c r="K31" s="31" t="str">
        <f t="shared" si="9"/>
        <v/>
      </c>
      <c r="L31" s="32" t="str">
        <f t="shared" si="10"/>
        <v/>
      </c>
      <c r="M31" s="30" t="str">
        <f t="shared" si="11"/>
        <v/>
      </c>
      <c r="N31" s="31" t="str">
        <f t="shared" si="12"/>
        <v/>
      </c>
      <c r="O31" s="33" t="str">
        <f t="shared" si="13"/>
        <v/>
      </c>
      <c r="Q31" s="99"/>
      <c r="R31" s="99"/>
      <c r="S31" s="99"/>
    </row>
    <row r="32" spans="1:19" ht="17.25" customHeight="1" thickBot="1">
      <c r="A32" s="27"/>
      <c r="B32" s="23" t="str">
        <f t="shared" si="0"/>
        <v/>
      </c>
      <c r="C32" s="24" t="str">
        <f t="shared" si="1"/>
        <v/>
      </c>
      <c r="D32" s="23" t="str">
        <f t="shared" si="2"/>
        <v/>
      </c>
      <c r="E32" s="24" t="str">
        <f t="shared" si="3"/>
        <v/>
      </c>
      <c r="F32" s="25" t="str">
        <f t="shared" si="4"/>
        <v/>
      </c>
      <c r="G32" s="23" t="str">
        <f t="shared" si="5"/>
        <v/>
      </c>
      <c r="H32" s="24" t="str">
        <f t="shared" si="6"/>
        <v/>
      </c>
      <c r="I32" s="25" t="str">
        <f t="shared" si="7"/>
        <v/>
      </c>
      <c r="J32" s="23" t="str">
        <f t="shared" si="8"/>
        <v/>
      </c>
      <c r="K32" s="24" t="str">
        <f t="shared" si="9"/>
        <v/>
      </c>
      <c r="L32" s="25" t="str">
        <f t="shared" si="10"/>
        <v/>
      </c>
      <c r="M32" s="23" t="str">
        <f t="shared" si="11"/>
        <v/>
      </c>
      <c r="N32" s="24" t="str">
        <f t="shared" si="12"/>
        <v/>
      </c>
      <c r="O32" s="28" t="str">
        <f t="shared" si="13"/>
        <v/>
      </c>
      <c r="Q32" s="100"/>
      <c r="R32" s="100"/>
      <c r="S32" s="100"/>
    </row>
    <row r="33" spans="1:19" ht="17.25" customHeight="1" thickBot="1">
      <c r="A33" s="27"/>
      <c r="B33" s="23" t="str">
        <f t="shared" si="0"/>
        <v/>
      </c>
      <c r="C33" s="24" t="str">
        <f t="shared" si="1"/>
        <v/>
      </c>
      <c r="D33" s="23" t="str">
        <f t="shared" si="2"/>
        <v/>
      </c>
      <c r="E33" s="24" t="str">
        <f t="shared" si="3"/>
        <v/>
      </c>
      <c r="F33" s="25" t="str">
        <f t="shared" si="4"/>
        <v/>
      </c>
      <c r="G33" s="23" t="str">
        <f t="shared" si="5"/>
        <v/>
      </c>
      <c r="H33" s="24" t="str">
        <f t="shared" si="6"/>
        <v/>
      </c>
      <c r="I33" s="25" t="str">
        <f t="shared" si="7"/>
        <v/>
      </c>
      <c r="J33" s="23" t="str">
        <f t="shared" si="8"/>
        <v/>
      </c>
      <c r="K33" s="24" t="str">
        <f t="shared" si="9"/>
        <v/>
      </c>
      <c r="L33" s="25" t="str">
        <f t="shared" si="10"/>
        <v/>
      </c>
      <c r="M33" s="23" t="str">
        <f t="shared" si="11"/>
        <v/>
      </c>
      <c r="N33" s="24" t="str">
        <f t="shared" si="12"/>
        <v/>
      </c>
      <c r="O33" s="28" t="str">
        <f t="shared" si="13"/>
        <v/>
      </c>
      <c r="Q33" s="100"/>
      <c r="R33" s="100"/>
      <c r="S33" s="100"/>
    </row>
    <row r="34" spans="1:19" ht="17.25" customHeight="1" thickBot="1">
      <c r="A34" s="27"/>
      <c r="B34" s="23" t="str">
        <f t="shared" si="0"/>
        <v/>
      </c>
      <c r="C34" s="24" t="str">
        <f t="shared" si="1"/>
        <v/>
      </c>
      <c r="D34" s="23" t="str">
        <f t="shared" si="2"/>
        <v/>
      </c>
      <c r="E34" s="24" t="str">
        <f t="shared" si="3"/>
        <v/>
      </c>
      <c r="F34" s="25" t="str">
        <f t="shared" si="4"/>
        <v/>
      </c>
      <c r="G34" s="23" t="str">
        <f t="shared" si="5"/>
        <v/>
      </c>
      <c r="H34" s="24" t="str">
        <f t="shared" si="6"/>
        <v/>
      </c>
      <c r="I34" s="25" t="str">
        <f t="shared" si="7"/>
        <v/>
      </c>
      <c r="J34" s="23" t="str">
        <f t="shared" si="8"/>
        <v/>
      </c>
      <c r="K34" s="24" t="str">
        <f t="shared" si="9"/>
        <v/>
      </c>
      <c r="L34" s="25" t="str">
        <f t="shared" si="10"/>
        <v/>
      </c>
      <c r="M34" s="23" t="str">
        <f t="shared" si="11"/>
        <v/>
      </c>
      <c r="N34" s="24" t="str">
        <f t="shared" si="12"/>
        <v/>
      </c>
      <c r="O34" s="28" t="str">
        <f t="shared" si="13"/>
        <v/>
      </c>
      <c r="Q34" s="101"/>
      <c r="R34" s="101"/>
      <c r="S34" s="101"/>
    </row>
    <row r="35" spans="1:19" ht="17.25" customHeight="1">
      <c r="A35" s="27"/>
      <c r="B35" s="23" t="str">
        <f t="shared" si="0"/>
        <v/>
      </c>
      <c r="C35" s="24" t="str">
        <f t="shared" si="1"/>
        <v/>
      </c>
      <c r="D35" s="23" t="str">
        <f t="shared" si="2"/>
        <v/>
      </c>
      <c r="E35" s="24" t="str">
        <f t="shared" si="3"/>
        <v/>
      </c>
      <c r="F35" s="25" t="str">
        <f t="shared" si="4"/>
        <v/>
      </c>
      <c r="G35" s="23" t="str">
        <f t="shared" si="5"/>
        <v/>
      </c>
      <c r="H35" s="24" t="str">
        <f t="shared" si="6"/>
        <v/>
      </c>
      <c r="I35" s="25" t="str">
        <f t="shared" si="7"/>
        <v/>
      </c>
      <c r="J35" s="23" t="str">
        <f t="shared" si="8"/>
        <v/>
      </c>
      <c r="K35" s="24" t="str">
        <f t="shared" si="9"/>
        <v/>
      </c>
      <c r="L35" s="25" t="str">
        <f t="shared" si="10"/>
        <v/>
      </c>
      <c r="M35" s="23" t="str">
        <f t="shared" si="11"/>
        <v/>
      </c>
      <c r="N35" s="24" t="str">
        <f t="shared" si="12"/>
        <v/>
      </c>
      <c r="O35" s="28" t="str">
        <f t="shared" si="13"/>
        <v/>
      </c>
      <c r="Q35" s="102"/>
      <c r="R35" s="103"/>
      <c r="S35" s="104"/>
    </row>
    <row r="36" spans="1:19" ht="17.25" customHeight="1" thickBot="1">
      <c r="A36" s="34"/>
      <c r="B36" s="35" t="str">
        <f t="shared" si="0"/>
        <v/>
      </c>
      <c r="C36" s="36" t="str">
        <f t="shared" si="1"/>
        <v/>
      </c>
      <c r="D36" s="35" t="str">
        <f t="shared" si="2"/>
        <v/>
      </c>
      <c r="E36" s="36" t="str">
        <f t="shared" si="3"/>
        <v/>
      </c>
      <c r="F36" s="37" t="str">
        <f t="shared" si="4"/>
        <v/>
      </c>
      <c r="G36" s="35" t="str">
        <f t="shared" si="5"/>
        <v/>
      </c>
      <c r="H36" s="36" t="str">
        <f t="shared" si="6"/>
        <v/>
      </c>
      <c r="I36" s="37" t="str">
        <f t="shared" si="7"/>
        <v/>
      </c>
      <c r="J36" s="35" t="str">
        <f t="shared" si="8"/>
        <v/>
      </c>
      <c r="K36" s="36" t="str">
        <f t="shared" si="9"/>
        <v/>
      </c>
      <c r="L36" s="37" t="str">
        <f t="shared" si="10"/>
        <v/>
      </c>
      <c r="M36" s="35" t="str">
        <f t="shared" si="11"/>
        <v/>
      </c>
      <c r="N36" s="36" t="str">
        <f t="shared" si="12"/>
        <v/>
      </c>
      <c r="O36" s="38" t="str">
        <f t="shared" si="13"/>
        <v/>
      </c>
      <c r="Q36" s="105"/>
      <c r="R36" s="106"/>
      <c r="S36" s="107"/>
    </row>
    <row r="37" spans="1:19" ht="17.25" customHeight="1" thickBot="1">
      <c r="A37" s="39" t="s">
        <v>46</v>
      </c>
      <c r="B37" s="120">
        <v>100000</v>
      </c>
      <c r="C37" s="121"/>
      <c r="D37" s="39" t="s">
        <v>47</v>
      </c>
      <c r="E37" s="40">
        <f>IF(COUNT(E17:E26), SUM(E17:E26) / COUNT(E17:E26), 0)</f>
        <v>0</v>
      </c>
      <c r="F37" s="41">
        <f>SUM(F17:F26)</f>
        <v>0</v>
      </c>
      <c r="G37" s="39" t="s">
        <v>47</v>
      </c>
      <c r="H37" s="40">
        <f>IF(COUNT(H17:H26), SUM(H17:H26) / COUNT(H17:H26), 0)</f>
        <v>0</v>
      </c>
      <c r="I37" s="41">
        <f>SUM(I17:I26)</f>
        <v>0</v>
      </c>
      <c r="J37" s="39" t="s">
        <v>47</v>
      </c>
      <c r="K37" s="40">
        <f>IF(COUNT(K17:K26), SUM(K17:K26) / COUNT(K17:K26), 0)</f>
        <v>0</v>
      </c>
      <c r="L37" s="41">
        <f>SUM(L17:L26)</f>
        <v>0</v>
      </c>
      <c r="M37" s="39" t="s">
        <v>47</v>
      </c>
      <c r="N37" s="40">
        <f>IF(COUNT(N17:N26), SUM(N17:N26) / COUNT(N17:N26), 0)</f>
        <v>0</v>
      </c>
      <c r="O37" s="41">
        <f>SUM(O17:O26)</f>
        <v>0</v>
      </c>
      <c r="Q37" s="108"/>
      <c r="R37" s="109"/>
      <c r="S37" s="110"/>
    </row>
    <row r="38" spans="1:19" ht="17.25" customHeight="1"/>
    <row r="39" spans="1:19" ht="17.25" customHeight="1" thickBot="1"/>
    <row r="40" spans="1:19" ht="17.25" customHeight="1" thickBot="1">
      <c r="A40" s="122" t="s">
        <v>48</v>
      </c>
      <c r="B40" s="123"/>
      <c r="C40" s="123"/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4"/>
      <c r="Q40" s="111"/>
      <c r="R40" s="112"/>
      <c r="S40" s="113"/>
    </row>
    <row r="41" spans="1:19" ht="17.25" customHeight="1" thickBot="1">
      <c r="A41" s="10" t="s">
        <v>35</v>
      </c>
      <c r="B41" s="122" t="s">
        <v>36</v>
      </c>
      <c r="C41" s="124"/>
      <c r="D41" s="122" t="s">
        <v>37</v>
      </c>
      <c r="E41" s="123"/>
      <c r="F41" s="124"/>
      <c r="G41" s="125">
        <f>_xlfn.IFNA(VLOOKUP(B41, 현재가테이블!$B$2:$D$200, 2, FALSE), "-")</f>
        <v>78003000</v>
      </c>
      <c r="H41" s="126"/>
      <c r="I41" s="127"/>
      <c r="J41" s="122" t="s">
        <v>38</v>
      </c>
      <c r="K41" s="123"/>
      <c r="L41" s="124"/>
      <c r="M41" s="128">
        <f>_xlfn.IFNA(VLOOKUP(B41, 현재가테이블!$B$2:$D$200, 3, FALSE), "-")</f>
        <v>-6.7108111999999998E-3</v>
      </c>
      <c r="N41" s="129"/>
      <c r="O41" s="130"/>
      <c r="Q41" s="114"/>
      <c r="R41" s="115"/>
      <c r="S41" s="116"/>
    </row>
    <row r="42" spans="1:19" ht="17.25" customHeight="1" thickBot="1">
      <c r="A42" s="131" t="s">
        <v>39</v>
      </c>
      <c r="B42" s="132" t="s">
        <v>40</v>
      </c>
      <c r="C42" s="133"/>
      <c r="D42" s="134" t="s">
        <v>41</v>
      </c>
      <c r="E42" s="135"/>
      <c r="F42" s="136"/>
      <c r="G42" s="134" t="s">
        <v>42</v>
      </c>
      <c r="H42" s="135"/>
      <c r="I42" s="136"/>
      <c r="J42" s="137" t="s">
        <v>43</v>
      </c>
      <c r="K42" s="137"/>
      <c r="L42" s="137"/>
      <c r="M42" s="134" t="s">
        <v>40</v>
      </c>
      <c r="N42" s="135"/>
      <c r="O42" s="136"/>
      <c r="Q42" s="117"/>
      <c r="R42" s="118"/>
      <c r="S42" s="119"/>
    </row>
    <row r="43" spans="1:19" ht="17.25" customHeight="1" thickBot="1">
      <c r="A43" s="131"/>
      <c r="B43" s="2" t="s">
        <v>37</v>
      </c>
      <c r="C43" s="12" t="s">
        <v>38</v>
      </c>
      <c r="D43" s="2" t="s">
        <v>37</v>
      </c>
      <c r="E43" s="12" t="s">
        <v>44</v>
      </c>
      <c r="F43" s="13" t="s">
        <v>45</v>
      </c>
      <c r="G43" s="2" t="s">
        <v>37</v>
      </c>
      <c r="H43" s="12" t="s">
        <v>44</v>
      </c>
      <c r="I43" s="13" t="s">
        <v>45</v>
      </c>
      <c r="J43" s="12" t="s">
        <v>37</v>
      </c>
      <c r="K43" s="12" t="s">
        <v>44</v>
      </c>
      <c r="L43" s="17" t="s">
        <v>45</v>
      </c>
      <c r="M43" s="2" t="s">
        <v>37</v>
      </c>
      <c r="N43" s="12" t="s">
        <v>44</v>
      </c>
      <c r="O43" s="18" t="s">
        <v>45</v>
      </c>
      <c r="Q43" s="98"/>
      <c r="R43" s="98"/>
      <c r="S43" s="98"/>
    </row>
    <row r="44" spans="1:19" ht="17.25" customHeight="1" thickBot="1">
      <c r="A44" s="45"/>
      <c r="B44" s="46"/>
      <c r="C44" s="21"/>
      <c r="D44" s="20"/>
      <c r="E44" s="21" t="str">
        <f>IF(ISNUMBER(D44), (D44 - $B44) / $B44, "")</f>
        <v/>
      </c>
      <c r="F44" s="26" t="str">
        <f>IF(ISNUMBER(D44), $B64 * E44, "")</f>
        <v/>
      </c>
      <c r="G44" s="20"/>
      <c r="H44" s="21" t="str">
        <f>IF(ISNUMBER(G44), (G44 - $B44) / $B44, "")</f>
        <v/>
      </c>
      <c r="I44" s="26" t="str">
        <f>IF(ISNUMBER(G44), $B64 * H44, "")</f>
        <v/>
      </c>
      <c r="J44" s="20"/>
      <c r="K44" s="21" t="str">
        <f>IF(ISNUMBER(J44), (J44 - $B44) / $B44, "")</f>
        <v/>
      </c>
      <c r="L44" s="26" t="str">
        <f>IF(ISNUMBER(J44), $B64 * K44, "")</f>
        <v/>
      </c>
      <c r="M44" s="20"/>
      <c r="N44" s="21" t="str">
        <f>IF(ISNUMBER(M44), (M44 - $B44) / $B44, "")</f>
        <v/>
      </c>
      <c r="O44" s="26" t="str">
        <f>IF(ISNUMBER(M44), $B64 * N44, "")</f>
        <v/>
      </c>
      <c r="Q44" s="99"/>
      <c r="R44" s="99"/>
      <c r="S44" s="99"/>
    </row>
    <row r="45" spans="1:19" ht="17.25" customHeight="1" thickBot="1">
      <c r="A45" s="47"/>
      <c r="B45" s="48"/>
      <c r="C45" s="24"/>
      <c r="D45" s="23"/>
      <c r="E45" s="24" t="str">
        <f t="shared" ref="E45:E48" si="14">IF(ISNUMBER(D45), (D45 - $B45) / $B45, "")</f>
        <v/>
      </c>
      <c r="F45" s="28" t="str">
        <f>IF(ISNUMBER(D45), $B64 * E45, "")</f>
        <v/>
      </c>
      <c r="G45" s="23"/>
      <c r="H45" s="24" t="str">
        <f t="shared" ref="H45:H48" si="15">IF(ISNUMBER(G45), (G45 - $B45) / $B45, "")</f>
        <v/>
      </c>
      <c r="I45" s="28" t="str">
        <f>IF(ISNUMBER(G45), $B64 * H45, "")</f>
        <v/>
      </c>
      <c r="J45" s="23"/>
      <c r="K45" s="24" t="str">
        <f t="shared" ref="K45:K48" si="16">IF(ISNUMBER(J45), (J45 - $B45) / $B45, "")</f>
        <v/>
      </c>
      <c r="L45" s="28" t="str">
        <f>IF(ISNUMBER(J45), $B64 * K45, "")</f>
        <v/>
      </c>
      <c r="M45" s="23"/>
      <c r="N45" s="24" t="str">
        <f t="shared" ref="N45:N48" si="17">IF(ISNUMBER(M45), (M45 - $B45) / $B45, "")</f>
        <v/>
      </c>
      <c r="O45" s="28" t="str">
        <f>IF(ISNUMBER(M45), $B64 * N45, "")</f>
        <v/>
      </c>
      <c r="Q45" s="99"/>
      <c r="R45" s="99"/>
      <c r="S45" s="99"/>
    </row>
    <row r="46" spans="1:19" ht="17.25" customHeight="1" thickBot="1">
      <c r="A46" s="47"/>
      <c r="B46" s="48"/>
      <c r="C46" s="24"/>
      <c r="D46" s="23"/>
      <c r="E46" s="24" t="str">
        <f t="shared" si="14"/>
        <v/>
      </c>
      <c r="F46" s="28" t="str">
        <f>IF(ISNUMBER(D46), $B64 * E46, "")</f>
        <v/>
      </c>
      <c r="G46" s="23"/>
      <c r="H46" s="24" t="str">
        <f t="shared" si="15"/>
        <v/>
      </c>
      <c r="I46" s="28" t="str">
        <f>IF(ISNUMBER(G46), $B64 * H46, "")</f>
        <v/>
      </c>
      <c r="J46" s="23"/>
      <c r="K46" s="24" t="str">
        <f t="shared" si="16"/>
        <v/>
      </c>
      <c r="L46" s="28" t="str">
        <f>IF(ISNUMBER(J46), $B64 * K46, "")</f>
        <v/>
      </c>
      <c r="M46" s="23"/>
      <c r="N46" s="24" t="str">
        <f t="shared" si="17"/>
        <v/>
      </c>
      <c r="O46" s="28" t="str">
        <f>IF(ISNUMBER(M46), $B64 * N46, "")</f>
        <v/>
      </c>
      <c r="Q46" s="100"/>
      <c r="R46" s="100"/>
      <c r="S46" s="100"/>
    </row>
    <row r="47" spans="1:19" ht="17.25" customHeight="1" thickBot="1">
      <c r="A47" s="47"/>
      <c r="B47" s="48"/>
      <c r="C47" s="24"/>
      <c r="D47" s="23"/>
      <c r="E47" s="24" t="str">
        <f t="shared" si="14"/>
        <v/>
      </c>
      <c r="F47" s="28" t="str">
        <f>IF(ISNUMBER(D47), $B64 * E47, "")</f>
        <v/>
      </c>
      <c r="G47" s="23"/>
      <c r="H47" s="24" t="str">
        <f t="shared" si="15"/>
        <v/>
      </c>
      <c r="I47" s="28" t="str">
        <f>IF(ISNUMBER(G47), $B64 * H47, "")</f>
        <v/>
      </c>
      <c r="J47" s="23"/>
      <c r="K47" s="24" t="str">
        <f t="shared" si="16"/>
        <v/>
      </c>
      <c r="L47" s="28" t="str">
        <f>IF(ISNUMBER(J47), $B64 * K47, "")</f>
        <v/>
      </c>
      <c r="M47" s="23"/>
      <c r="N47" s="24" t="str">
        <f t="shared" si="17"/>
        <v/>
      </c>
      <c r="O47" s="28" t="str">
        <f>IF(ISNUMBER(M47), $B64 * N47, "")</f>
        <v/>
      </c>
      <c r="Q47" s="100"/>
      <c r="R47" s="100"/>
      <c r="S47" s="100"/>
    </row>
    <row r="48" spans="1:19" ht="17.25" customHeight="1" thickBot="1">
      <c r="A48" s="49"/>
      <c r="B48" s="50"/>
      <c r="C48" s="31"/>
      <c r="D48" s="30"/>
      <c r="E48" s="31" t="str">
        <f t="shared" si="14"/>
        <v/>
      </c>
      <c r="F48" s="33" t="str">
        <f>IF(ISNUMBER(D48), $B64 * E48, "")</f>
        <v/>
      </c>
      <c r="G48" s="30"/>
      <c r="H48" s="31" t="str">
        <f t="shared" si="15"/>
        <v/>
      </c>
      <c r="I48" s="33" t="str">
        <f>IF(ISNUMBER(G48), $B64 * H48, "")</f>
        <v/>
      </c>
      <c r="J48" s="30"/>
      <c r="K48" s="31" t="str">
        <f t="shared" si="16"/>
        <v/>
      </c>
      <c r="L48" s="33" t="str">
        <f>IF(ISNUMBER(J48), $B64 * K48, "")</f>
        <v/>
      </c>
      <c r="M48" s="30"/>
      <c r="N48" s="31" t="str">
        <f t="shared" si="17"/>
        <v/>
      </c>
      <c r="O48" s="33" t="str">
        <f>IF(ISNUMBER(M48), $B64 * N48, "")</f>
        <v/>
      </c>
      <c r="Q48" s="101"/>
      <c r="R48" s="101"/>
      <c r="S48" s="101"/>
    </row>
    <row r="49" spans="1:19" ht="17.25" customHeight="1">
      <c r="A49" s="47"/>
      <c r="B49" s="51"/>
      <c r="C49" s="52"/>
      <c r="D49" s="23"/>
      <c r="E49" s="52" t="str">
        <f>IF(ISNUMBER(D49), (D49 - $B49) / $B49, "")</f>
        <v/>
      </c>
      <c r="F49" s="28" t="str">
        <f>IF(ISNUMBER(D49), $B64 * E49, "")</f>
        <v/>
      </c>
      <c r="G49" s="23"/>
      <c r="H49" s="52" t="str">
        <f>IF(ISNUMBER(G49), (G49 - $B49) / $B49, "")</f>
        <v/>
      </c>
      <c r="I49" s="28" t="str">
        <f>IF(ISNUMBER(G49), $B64 * H49, "")</f>
        <v/>
      </c>
      <c r="J49" s="23"/>
      <c r="K49" s="52" t="str">
        <f>IF(ISNUMBER(J49), (J49 - $B49) / $B49, "")</f>
        <v/>
      </c>
      <c r="L49" s="28" t="str">
        <f>IF(ISNUMBER(J49), $B64 * K49, "")</f>
        <v/>
      </c>
      <c r="M49" s="23"/>
      <c r="N49" s="52" t="str">
        <f>IF(ISNUMBER(M49), (M49 - $B49) / $B49, "")</f>
        <v/>
      </c>
      <c r="O49" s="28" t="str">
        <f>IF(ISNUMBER(M49), $B64 * N49, "")</f>
        <v/>
      </c>
      <c r="Q49" s="102"/>
      <c r="R49" s="103"/>
      <c r="S49" s="104"/>
    </row>
    <row r="50" spans="1:19" ht="17.25" customHeight="1">
      <c r="A50" s="47"/>
      <c r="B50" s="48"/>
      <c r="C50" s="24"/>
      <c r="D50" s="23"/>
      <c r="E50" s="24" t="str">
        <f t="shared" ref="E50:E53" si="18">IF(ISNUMBER(D50), (D50 - $B50) / $B50, "")</f>
        <v/>
      </c>
      <c r="F50" s="28" t="str">
        <f>IF(ISNUMBER(D50), $B64 * E50, "")</f>
        <v/>
      </c>
      <c r="G50" s="23"/>
      <c r="H50" s="24" t="str">
        <f t="shared" ref="H50:H53" si="19">IF(ISNUMBER(G50), (G50 - $B50) / $B50, "")</f>
        <v/>
      </c>
      <c r="I50" s="28" t="str">
        <f>IF(ISNUMBER(G50), $B64 * H50, "")</f>
        <v/>
      </c>
      <c r="J50" s="23"/>
      <c r="K50" s="24" t="str">
        <f t="shared" ref="K50:K53" si="20">IF(ISNUMBER(J50), (J50 - $B50) / $B50, "")</f>
        <v/>
      </c>
      <c r="L50" s="28" t="str">
        <f>IF(ISNUMBER(J50), $B64 * K50, "")</f>
        <v/>
      </c>
      <c r="M50" s="23"/>
      <c r="N50" s="24" t="str">
        <f t="shared" ref="N50:N53" si="21">IF(ISNUMBER(M50), (M50 - $B50) / $B50, "")</f>
        <v/>
      </c>
      <c r="O50" s="28" t="str">
        <f>IF(ISNUMBER(M50), $B64 * N50, "")</f>
        <v/>
      </c>
      <c r="Q50" s="105"/>
      <c r="R50" s="106"/>
      <c r="S50" s="107"/>
    </row>
    <row r="51" spans="1:19" ht="17.25" customHeight="1" thickBot="1">
      <c r="A51" s="47"/>
      <c r="B51" s="48"/>
      <c r="C51" s="24"/>
      <c r="D51" s="23"/>
      <c r="E51" s="24" t="str">
        <f t="shared" si="18"/>
        <v/>
      </c>
      <c r="F51" s="28" t="str">
        <f>IF(ISNUMBER(D51), $B64 * E51, "")</f>
        <v/>
      </c>
      <c r="G51" s="23"/>
      <c r="H51" s="24" t="str">
        <f t="shared" si="19"/>
        <v/>
      </c>
      <c r="I51" s="28" t="str">
        <f>IF(ISNUMBER(G51), $B64 * H51, "")</f>
        <v/>
      </c>
      <c r="J51" s="23"/>
      <c r="K51" s="24" t="str">
        <f t="shared" si="20"/>
        <v/>
      </c>
      <c r="L51" s="28" t="str">
        <f>IF(ISNUMBER(J51), $B64 * K51, "")</f>
        <v/>
      </c>
      <c r="M51" s="23"/>
      <c r="N51" s="24" t="str">
        <f t="shared" si="21"/>
        <v/>
      </c>
      <c r="O51" s="28" t="str">
        <f>IF(ISNUMBER(M51), $B64 * N51, "")</f>
        <v/>
      </c>
      <c r="Q51" s="108"/>
      <c r="R51" s="109"/>
      <c r="S51" s="110"/>
    </row>
    <row r="52" spans="1:19" ht="17.25" customHeight="1" thickBot="1">
      <c r="A52" s="47"/>
      <c r="B52" s="48"/>
      <c r="C52" s="24"/>
      <c r="D52" s="23"/>
      <c r="E52" s="24" t="str">
        <f t="shared" si="18"/>
        <v/>
      </c>
      <c r="F52" s="28" t="str">
        <f>IF(ISNUMBER(D52), $B64 * E52, "")</f>
        <v/>
      </c>
      <c r="G52" s="23"/>
      <c r="H52" s="24" t="str">
        <f t="shared" si="19"/>
        <v/>
      </c>
      <c r="I52" s="28" t="str">
        <f>IF(ISNUMBER(G52), $B64 * H52, "")</f>
        <v/>
      </c>
      <c r="J52" s="23"/>
      <c r="K52" s="24" t="str">
        <f t="shared" si="20"/>
        <v/>
      </c>
      <c r="L52" s="28" t="str">
        <f>IF(ISNUMBER(J52), $B64 * K52, "")</f>
        <v/>
      </c>
      <c r="M52" s="23"/>
      <c r="N52" s="24" t="str">
        <f t="shared" si="21"/>
        <v/>
      </c>
      <c r="O52" s="28" t="str">
        <f>IF(ISNUMBER(M52), $B64 * N52, "")</f>
        <v/>
      </c>
      <c r="Q52" s="55"/>
      <c r="R52" s="55"/>
    </row>
    <row r="53" spans="1:19" ht="17.25" customHeight="1" thickBot="1">
      <c r="A53" s="49"/>
      <c r="B53" s="50"/>
      <c r="C53" s="31"/>
      <c r="D53" s="30"/>
      <c r="E53" s="31" t="str">
        <f t="shared" si="18"/>
        <v/>
      </c>
      <c r="F53" s="28" t="str">
        <f>IF(ISNUMBER(D53), $B64 * E53, "")</f>
        <v/>
      </c>
      <c r="G53" s="30"/>
      <c r="H53" s="31" t="str">
        <f t="shared" si="19"/>
        <v/>
      </c>
      <c r="I53" s="28" t="str">
        <f>IF(ISNUMBER(G53), $B64 * H53, "")</f>
        <v/>
      </c>
      <c r="J53" s="30"/>
      <c r="K53" s="31" t="str">
        <f t="shared" si="20"/>
        <v/>
      </c>
      <c r="L53" s="28" t="str">
        <f>IF(ISNUMBER(J53), $B64 * K53, "")</f>
        <v/>
      </c>
      <c r="M53" s="30"/>
      <c r="N53" s="31" t="str">
        <f t="shared" si="21"/>
        <v/>
      </c>
      <c r="O53" s="28" t="str">
        <f>IF(ISNUMBER(M53), $B64 * N53, "")</f>
        <v/>
      </c>
      <c r="Q53" s="99" t="s">
        <v>291</v>
      </c>
      <c r="R53" s="99"/>
    </row>
    <row r="54" spans="1:19" ht="17.25" customHeight="1" thickBot="1">
      <c r="A54" s="45"/>
      <c r="B54" s="46"/>
      <c r="C54" s="21"/>
      <c r="D54" s="20"/>
      <c r="E54" s="21" t="str">
        <f>IF(ISNUMBER(D54), (D54 - $B54) / $B54, "")</f>
        <v/>
      </c>
      <c r="F54" s="26" t="str">
        <f>IF(ISNUMBER(D54), $B64 * E54, "")</f>
        <v/>
      </c>
      <c r="G54" s="20"/>
      <c r="H54" s="21" t="str">
        <f>IF(ISNUMBER(G54), (G54 - $B54) / $B54, "")</f>
        <v/>
      </c>
      <c r="I54" s="26" t="str">
        <f>IF(ISNUMBER(G54), $B64 * H54, "")</f>
        <v/>
      </c>
      <c r="J54" s="20"/>
      <c r="K54" s="21" t="str">
        <f>IF(ISNUMBER(J54), (J54 - $B54) / $B54, "")</f>
        <v/>
      </c>
      <c r="L54" s="26" t="str">
        <f>IF(ISNUMBER(J54), $B64 * K54, "")</f>
        <v/>
      </c>
      <c r="M54" s="20"/>
      <c r="N54" s="21" t="str">
        <f>IF(ISNUMBER(M54), (M54 - $B54) / $B54, "")</f>
        <v/>
      </c>
      <c r="O54" s="26" t="str">
        <f>IF(ISNUMBER(M54), $B64 * N54, "")</f>
        <v/>
      </c>
      <c r="Q54" s="99"/>
      <c r="R54" s="99"/>
    </row>
    <row r="55" spans="1:19" ht="17.25" customHeight="1" thickBot="1">
      <c r="A55" s="47"/>
      <c r="B55" s="48"/>
      <c r="C55" s="24"/>
      <c r="D55" s="23"/>
      <c r="E55" s="24" t="str">
        <f t="shared" ref="E55:E58" si="22">IF(ISNUMBER(D55), (D55 - $B55) / $B55, "")</f>
        <v/>
      </c>
      <c r="F55" s="28" t="str">
        <f>IF(ISNUMBER(D55), $B64 * E55, "")</f>
        <v/>
      </c>
      <c r="G55" s="23"/>
      <c r="H55" s="24" t="str">
        <f t="shared" ref="H55:H58" si="23">IF(ISNUMBER(G55), (G55 - $B55) / $B55, "")</f>
        <v/>
      </c>
      <c r="I55" s="28" t="str">
        <f>IF(ISNUMBER(G55), $B64 * H55, "")</f>
        <v/>
      </c>
      <c r="J55" s="23"/>
      <c r="K55" s="24" t="str">
        <f t="shared" ref="K55:K58" si="24">IF(ISNUMBER(J55), (J55 - $B55) / $B55, "")</f>
        <v/>
      </c>
      <c r="L55" s="28" t="str">
        <f>IF(ISNUMBER(J55), $B64 * K55, "")</f>
        <v/>
      </c>
      <c r="M55" s="23"/>
      <c r="N55" s="24" t="str">
        <f t="shared" ref="N55:N58" si="25">IF(ISNUMBER(M55), (M55 - $B55) / $B55, "")</f>
        <v/>
      </c>
      <c r="O55" s="28" t="str">
        <f>IF(ISNUMBER(M55), $B64 * N55, "")</f>
        <v/>
      </c>
      <c r="Q55" s="99"/>
      <c r="R55" s="99"/>
    </row>
    <row r="56" spans="1:19" ht="17.25" customHeight="1" thickBot="1">
      <c r="A56" s="47"/>
      <c r="B56" s="48"/>
      <c r="C56" s="24"/>
      <c r="D56" s="23"/>
      <c r="E56" s="24" t="str">
        <f t="shared" si="22"/>
        <v/>
      </c>
      <c r="F56" s="28" t="str">
        <f>IF(ISNUMBER(D56), $B64 * E56, "")</f>
        <v/>
      </c>
      <c r="G56" s="23"/>
      <c r="H56" s="24" t="str">
        <f t="shared" si="23"/>
        <v/>
      </c>
      <c r="I56" s="28" t="str">
        <f>IF(ISNUMBER(G56), $B64 * H56, "")</f>
        <v/>
      </c>
      <c r="J56" s="23"/>
      <c r="K56" s="24" t="str">
        <f t="shared" si="24"/>
        <v/>
      </c>
      <c r="L56" s="28" t="str">
        <f>IF(ISNUMBER(J56), $B64 * K56, "")</f>
        <v/>
      </c>
      <c r="M56" s="23"/>
      <c r="N56" s="24" t="str">
        <f t="shared" si="25"/>
        <v/>
      </c>
      <c r="O56" s="28" t="str">
        <f>IF(ISNUMBER(M56), $B64 * N56, "")</f>
        <v/>
      </c>
      <c r="Q56" s="100" t="s">
        <v>292</v>
      </c>
      <c r="R56" s="100" t="s">
        <v>293</v>
      </c>
    </row>
    <row r="57" spans="1:19" ht="17.25" customHeight="1" thickBot="1">
      <c r="A57" s="47"/>
      <c r="B57" s="48"/>
      <c r="C57" s="24"/>
      <c r="D57" s="23"/>
      <c r="E57" s="24" t="str">
        <f t="shared" si="22"/>
        <v/>
      </c>
      <c r="F57" s="28" t="str">
        <f>IF(ISNUMBER(D57), $B64 * E57, "")</f>
        <v/>
      </c>
      <c r="G57" s="23"/>
      <c r="H57" s="24" t="str">
        <f t="shared" si="23"/>
        <v/>
      </c>
      <c r="I57" s="28" t="str">
        <f>IF(ISNUMBER(G57), $B64 * H57, "")</f>
        <v/>
      </c>
      <c r="J57" s="23"/>
      <c r="K57" s="24" t="str">
        <f t="shared" si="24"/>
        <v/>
      </c>
      <c r="L57" s="28" t="str">
        <f>IF(ISNUMBER(J57), $B64 * K57, "")</f>
        <v/>
      </c>
      <c r="M57" s="23"/>
      <c r="N57" s="24" t="str">
        <f t="shared" si="25"/>
        <v/>
      </c>
      <c r="O57" s="28" t="str">
        <f>IF(ISNUMBER(M57), $B64 * N57, "")</f>
        <v/>
      </c>
      <c r="Q57" s="99"/>
      <c r="R57" s="99"/>
    </row>
    <row r="58" spans="1:19" ht="17.25" customHeight="1" thickBot="1">
      <c r="A58" s="49"/>
      <c r="B58" s="50"/>
      <c r="C58" s="31"/>
      <c r="D58" s="30"/>
      <c r="E58" s="31" t="str">
        <f t="shared" si="22"/>
        <v/>
      </c>
      <c r="F58" s="33" t="str">
        <f>IF(ISNUMBER(D58), $B64 * E58, "")</f>
        <v/>
      </c>
      <c r="G58" s="30"/>
      <c r="H58" s="31" t="str">
        <f t="shared" si="23"/>
        <v/>
      </c>
      <c r="I58" s="33" t="str">
        <f>IF(ISNUMBER(G58), $B64 * H58, "")</f>
        <v/>
      </c>
      <c r="J58" s="30"/>
      <c r="K58" s="31" t="str">
        <f t="shared" si="24"/>
        <v/>
      </c>
      <c r="L58" s="33" t="str">
        <f>IF(ISNUMBER(J58), $B64 * K58, "")</f>
        <v/>
      </c>
      <c r="M58" s="30"/>
      <c r="N58" s="31" t="str">
        <f t="shared" si="25"/>
        <v/>
      </c>
      <c r="O58" s="33" t="str">
        <f>IF(ISNUMBER(M58), $B64 * N58, "")</f>
        <v/>
      </c>
      <c r="Q58" s="99"/>
      <c r="R58" s="99"/>
    </row>
    <row r="59" spans="1:19" ht="17.25" customHeight="1" thickBot="1">
      <c r="A59" s="47"/>
      <c r="B59" s="51"/>
      <c r="C59" s="52"/>
      <c r="D59" s="23"/>
      <c r="E59" s="52" t="str">
        <f>IF(ISNUMBER(D59), (D59 - $B59) / $B59, "")</f>
        <v/>
      </c>
      <c r="F59" s="28" t="str">
        <f>IF(ISNUMBER(D59), $B64 * E59, "")</f>
        <v/>
      </c>
      <c r="G59" s="23"/>
      <c r="H59" s="52" t="str">
        <f>IF(ISNUMBER(G59), (G59 - $B59) / $B59, "")</f>
        <v/>
      </c>
      <c r="I59" s="28" t="str">
        <f>IF(ISNUMBER(G59), $B64 * H59, "")</f>
        <v/>
      </c>
      <c r="J59" s="23"/>
      <c r="K59" s="52" t="str">
        <f>IF(ISNUMBER(J59), (J59 - $B59) / $B59, "")</f>
        <v/>
      </c>
      <c r="L59" s="28" t="str">
        <f>IF(ISNUMBER(J59), $B64 * K59, "")</f>
        <v/>
      </c>
      <c r="M59" s="23"/>
      <c r="N59" s="52" t="str">
        <f>IF(ISNUMBER(M59), (M59 - $B59) / $B59, "")</f>
        <v/>
      </c>
      <c r="O59" s="28" t="str">
        <f>IF(ISNUMBER(M59), $B64 * N59, "")</f>
        <v/>
      </c>
      <c r="Q59" s="100" t="s">
        <v>294</v>
      </c>
      <c r="R59" s="100" t="s">
        <v>295</v>
      </c>
    </row>
    <row r="60" spans="1:19" ht="17.25" customHeight="1" thickBot="1">
      <c r="A60" s="47"/>
      <c r="B60" s="48"/>
      <c r="C60" s="24"/>
      <c r="D60" s="23"/>
      <c r="E60" s="24" t="str">
        <f t="shared" ref="E60:E63" si="26">IF(ISNUMBER(D60), (D60 - $B60) / $B60, "")</f>
        <v/>
      </c>
      <c r="F60" s="28" t="str">
        <f>IF(ISNUMBER(D60), $B64 * E60, "")</f>
        <v/>
      </c>
      <c r="G60" s="23"/>
      <c r="H60" s="24" t="str">
        <f t="shared" ref="H60:H63" si="27">IF(ISNUMBER(G60), (G60 - $B60) / $B60, "")</f>
        <v/>
      </c>
      <c r="I60" s="28" t="str">
        <f>IF(ISNUMBER(G60), $B64 * H60, "")</f>
        <v/>
      </c>
      <c r="J60" s="23"/>
      <c r="K60" s="24" t="str">
        <f t="shared" ref="K60:K63" si="28">IF(ISNUMBER(J60), (J60 - $B60) / $B60, "")</f>
        <v/>
      </c>
      <c r="L60" s="28" t="str">
        <f>IF(ISNUMBER(J60), $B64 * K60, "")</f>
        <v/>
      </c>
      <c r="M60" s="23"/>
      <c r="N60" s="24" t="str">
        <f t="shared" ref="N60:N63" si="29">IF(ISNUMBER(M60), (M60 - $B60) / $B60, "")</f>
        <v/>
      </c>
      <c r="O60" s="28" t="str">
        <f>IF(ISNUMBER(M60), $B64 * N60, "")</f>
        <v/>
      </c>
      <c r="Q60" s="100"/>
      <c r="R60" s="100"/>
    </row>
    <row r="61" spans="1:19" ht="17.25" customHeight="1" thickBot="1">
      <c r="A61" s="47"/>
      <c r="B61" s="48"/>
      <c r="C61" s="24"/>
      <c r="D61" s="23"/>
      <c r="E61" s="24" t="str">
        <f t="shared" si="26"/>
        <v/>
      </c>
      <c r="F61" s="28" t="str">
        <f>IF(ISNUMBER(D61), $B64 * E61, "")</f>
        <v/>
      </c>
      <c r="G61" s="23"/>
      <c r="H61" s="24" t="str">
        <f t="shared" si="27"/>
        <v/>
      </c>
      <c r="I61" s="28" t="str">
        <f>IF(ISNUMBER(G61), $B64 * H61, "")</f>
        <v/>
      </c>
      <c r="J61" s="23"/>
      <c r="K61" s="24" t="str">
        <f t="shared" si="28"/>
        <v/>
      </c>
      <c r="L61" s="28" t="str">
        <f>IF(ISNUMBER(J61), $B64 * K61, "")</f>
        <v/>
      </c>
      <c r="M61" s="23"/>
      <c r="N61" s="24" t="str">
        <f t="shared" si="29"/>
        <v/>
      </c>
      <c r="O61" s="28" t="str">
        <f>IF(ISNUMBER(M61), $B64 * N61, "")</f>
        <v/>
      </c>
      <c r="Q61" s="100"/>
      <c r="R61" s="100"/>
    </row>
    <row r="62" spans="1:19" ht="17.25" customHeight="1" thickBot="1">
      <c r="A62" s="47"/>
      <c r="B62" s="48"/>
      <c r="C62" s="24"/>
      <c r="D62" s="23"/>
      <c r="E62" s="24" t="str">
        <f t="shared" si="26"/>
        <v/>
      </c>
      <c r="F62" s="28" t="str">
        <f>IF(ISNUMBER(D62), $B64 * E62, "")</f>
        <v/>
      </c>
      <c r="G62" s="23"/>
      <c r="H62" s="24" t="str">
        <f t="shared" si="27"/>
        <v/>
      </c>
      <c r="I62" s="28" t="str">
        <f>IF(ISNUMBER(G62), $B64 * H62, "")</f>
        <v/>
      </c>
      <c r="J62" s="23"/>
      <c r="K62" s="24" t="str">
        <f t="shared" si="28"/>
        <v/>
      </c>
      <c r="L62" s="28" t="str">
        <f>IF(ISNUMBER(J62), $B64 * K62, "")</f>
        <v/>
      </c>
      <c r="M62" s="23"/>
      <c r="N62" s="24" t="str">
        <f t="shared" si="29"/>
        <v/>
      </c>
      <c r="O62" s="28" t="str">
        <f>IF(ISNUMBER(M62), $B64 * N62, "")</f>
        <v/>
      </c>
      <c r="Q62" s="100"/>
      <c r="R62" s="100"/>
    </row>
    <row r="63" spans="1:19" ht="17.25" customHeight="1" thickBot="1">
      <c r="A63" s="49"/>
      <c r="B63" s="50"/>
      <c r="C63" s="31"/>
      <c r="D63" s="30"/>
      <c r="E63" s="31" t="str">
        <f t="shared" si="26"/>
        <v/>
      </c>
      <c r="F63" s="28" t="str">
        <f>IF(ISNUMBER(D63), $B64 * E63, "")</f>
        <v/>
      </c>
      <c r="G63" s="30"/>
      <c r="H63" s="31" t="str">
        <f t="shared" si="27"/>
        <v/>
      </c>
      <c r="I63" s="28" t="str">
        <f>IF(ISNUMBER(G63), $B64 * H63, "")</f>
        <v/>
      </c>
      <c r="J63" s="30"/>
      <c r="K63" s="31" t="str">
        <f t="shared" si="28"/>
        <v/>
      </c>
      <c r="L63" s="28" t="str">
        <f>IF(ISNUMBER(J63), $B64 * K63, "")</f>
        <v/>
      </c>
      <c r="M63" s="30"/>
      <c r="N63" s="31" t="str">
        <f t="shared" si="29"/>
        <v/>
      </c>
      <c r="O63" s="28" t="str">
        <f>IF(ISNUMBER(M63), $B64 * N63, "")</f>
        <v/>
      </c>
      <c r="Q63" s="100"/>
      <c r="R63" s="100"/>
    </row>
    <row r="64" spans="1:19" ht="17.25" customHeight="1" thickBot="1">
      <c r="A64" s="39" t="s">
        <v>46</v>
      </c>
      <c r="B64" s="120">
        <v>100000</v>
      </c>
      <c r="C64" s="121"/>
      <c r="D64" s="39" t="s">
        <v>47</v>
      </c>
      <c r="E64" s="40">
        <f>IF(COUNT(E44:E63), SUM(E44:E63) / COUNT(E44:E63), 0)</f>
        <v>0</v>
      </c>
      <c r="F64" s="41">
        <f>SUM(F44:F63)</f>
        <v>0</v>
      </c>
      <c r="G64" s="39" t="s">
        <v>47</v>
      </c>
      <c r="H64" s="40">
        <f>IF(COUNT(H44:H63), SUM(H44:H63) / COUNT(H44:H63), 0)</f>
        <v>0</v>
      </c>
      <c r="I64" s="41">
        <f>SUM(I44:I63)</f>
        <v>0</v>
      </c>
      <c r="J64" s="39" t="s">
        <v>47</v>
      </c>
      <c r="K64" s="40">
        <f>IF(COUNT(K44:K63), SUM(K44:K63) / COUNT(K44:K63), 0)</f>
        <v>0</v>
      </c>
      <c r="L64" s="41">
        <f>SUM(L44:L63)</f>
        <v>0</v>
      </c>
      <c r="M64" s="39" t="s">
        <v>47</v>
      </c>
      <c r="N64" s="40">
        <f>IF(COUNT(N44:N63), SUM(N44:N63) / COUNT(N44:N63), 0)</f>
        <v>0</v>
      </c>
      <c r="O64" s="41">
        <f>SUM(O44:O63)</f>
        <v>0</v>
      </c>
      <c r="Q64" s="100"/>
      <c r="R64" s="100"/>
    </row>
    <row r="65" spans="1:19" ht="17.25" customHeight="1"/>
    <row r="66" spans="1:19" ht="17.25" customHeight="1" thickBot="1"/>
    <row r="67" spans="1:19" ht="17.25" thickBot="1">
      <c r="A67" s="122" t="s">
        <v>49</v>
      </c>
      <c r="B67" s="123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4"/>
      <c r="Q67" s="111"/>
      <c r="R67" s="112"/>
      <c r="S67" s="113"/>
    </row>
    <row r="68" spans="1:19" ht="17.25" thickBot="1">
      <c r="A68" s="10" t="s">
        <v>35</v>
      </c>
      <c r="B68" s="122" t="s">
        <v>36</v>
      </c>
      <c r="C68" s="124"/>
      <c r="D68" s="122" t="s">
        <v>37</v>
      </c>
      <c r="E68" s="123"/>
      <c r="F68" s="124"/>
      <c r="G68" s="125">
        <f>_xlfn.IFNA(VLOOKUP(B68, 현재가테이블!$B$2:$D$200, 2, FALSE), "-")</f>
        <v>78003000</v>
      </c>
      <c r="H68" s="126"/>
      <c r="I68" s="127"/>
      <c r="J68" s="122" t="s">
        <v>38</v>
      </c>
      <c r="K68" s="123"/>
      <c r="L68" s="124"/>
      <c r="M68" s="128">
        <f>_xlfn.IFNA(VLOOKUP(B68, 현재가테이블!$B$2:$D$200, 3, FALSE), "-")</f>
        <v>-6.7108111999999998E-3</v>
      </c>
      <c r="N68" s="129"/>
      <c r="O68" s="130"/>
      <c r="Q68" s="114"/>
      <c r="R68" s="115"/>
      <c r="S68" s="116"/>
    </row>
    <row r="69" spans="1:19" ht="17.25" thickBot="1">
      <c r="A69" s="131" t="s">
        <v>39</v>
      </c>
      <c r="B69" s="132" t="s">
        <v>40</v>
      </c>
      <c r="C69" s="133"/>
      <c r="D69" s="134" t="s">
        <v>41</v>
      </c>
      <c r="E69" s="135"/>
      <c r="F69" s="136"/>
      <c r="G69" s="134" t="s">
        <v>42</v>
      </c>
      <c r="H69" s="135"/>
      <c r="I69" s="136"/>
      <c r="J69" s="137" t="s">
        <v>43</v>
      </c>
      <c r="K69" s="137"/>
      <c r="L69" s="137"/>
      <c r="M69" s="134" t="s">
        <v>40</v>
      </c>
      <c r="N69" s="135"/>
      <c r="O69" s="136"/>
      <c r="Q69" s="117"/>
      <c r="R69" s="118"/>
      <c r="S69" s="119"/>
    </row>
    <row r="70" spans="1:19" ht="17.25" thickBot="1">
      <c r="A70" s="131"/>
      <c r="B70" s="2" t="s">
        <v>37</v>
      </c>
      <c r="C70" s="12" t="s">
        <v>38</v>
      </c>
      <c r="D70" s="2" t="s">
        <v>37</v>
      </c>
      <c r="E70" s="12" t="s">
        <v>44</v>
      </c>
      <c r="F70" s="13" t="s">
        <v>45</v>
      </c>
      <c r="G70" s="2" t="s">
        <v>37</v>
      </c>
      <c r="H70" s="12" t="s">
        <v>44</v>
      </c>
      <c r="I70" s="13" t="s">
        <v>45</v>
      </c>
      <c r="J70" s="12" t="s">
        <v>37</v>
      </c>
      <c r="K70" s="12" t="s">
        <v>44</v>
      </c>
      <c r="L70" s="17" t="s">
        <v>45</v>
      </c>
      <c r="M70" s="2" t="s">
        <v>37</v>
      </c>
      <c r="N70" s="12" t="s">
        <v>44</v>
      </c>
      <c r="O70" s="18" t="s">
        <v>45</v>
      </c>
      <c r="Q70" s="98"/>
      <c r="R70" s="98"/>
      <c r="S70" s="98"/>
    </row>
    <row r="71" spans="1:19" ht="17.25" thickBot="1">
      <c r="A71" s="45"/>
      <c r="B71" s="46"/>
      <c r="C71" s="21"/>
      <c r="D71" s="20"/>
      <c r="E71" s="21" t="str">
        <f>IF(ISNUMBER(D71), (D71 - $B71) / $B71, "")</f>
        <v/>
      </c>
      <c r="F71" s="26" t="str">
        <f>IF(ISNUMBER(D71), $B91 * E71, "")</f>
        <v/>
      </c>
      <c r="G71" s="20"/>
      <c r="H71" s="21" t="str">
        <f>IF(ISNUMBER(G71), (G71 - $B71) / $B71, "")</f>
        <v/>
      </c>
      <c r="I71" s="26" t="str">
        <f>IF(ISNUMBER(G71), $B91 * H71, "")</f>
        <v/>
      </c>
      <c r="J71" s="20"/>
      <c r="K71" s="21" t="str">
        <f>IF(ISNUMBER(J71), (J71 - $B71) / $B71, "")</f>
        <v/>
      </c>
      <c r="L71" s="26" t="str">
        <f>IF(ISNUMBER(J71), $B91 * K71, "")</f>
        <v/>
      </c>
      <c r="M71" s="20"/>
      <c r="N71" s="21" t="str">
        <f>IF(ISNUMBER(M71), (M71 - $B71) / $B71, "")</f>
        <v/>
      </c>
      <c r="O71" s="26" t="str">
        <f>IF(ISNUMBER(M71), $B91 * N71, "")</f>
        <v/>
      </c>
      <c r="Q71" s="99"/>
      <c r="R71" s="99"/>
      <c r="S71" s="99"/>
    </row>
    <row r="72" spans="1:19" ht="17.25" thickBot="1">
      <c r="A72" s="47"/>
      <c r="B72" s="48"/>
      <c r="C72" s="24"/>
      <c r="D72" s="23"/>
      <c r="E72" s="24" t="str">
        <f t="shared" ref="E72:E75" si="30">IF(ISNUMBER(D72), (D72 - $B72) / $B72, "")</f>
        <v/>
      </c>
      <c r="F72" s="28" t="str">
        <f>IF(ISNUMBER(D72), $B91 * E72, "")</f>
        <v/>
      </c>
      <c r="G72" s="23"/>
      <c r="H72" s="24" t="str">
        <f t="shared" ref="H72:H75" si="31">IF(ISNUMBER(G72), (G72 - $B72) / $B72, "")</f>
        <v/>
      </c>
      <c r="I72" s="28" t="str">
        <f>IF(ISNUMBER(G72), $B91 * H72, "")</f>
        <v/>
      </c>
      <c r="J72" s="23"/>
      <c r="K72" s="24" t="str">
        <f t="shared" ref="K72:K75" si="32">IF(ISNUMBER(J72), (J72 - $B72) / $B72, "")</f>
        <v/>
      </c>
      <c r="L72" s="28" t="str">
        <f>IF(ISNUMBER(J72), $B91 * K72, "")</f>
        <v/>
      </c>
      <c r="M72" s="23"/>
      <c r="N72" s="24" t="str">
        <f t="shared" ref="N72:N75" si="33">IF(ISNUMBER(M72), (M72 - $B72) / $B72, "")</f>
        <v/>
      </c>
      <c r="O72" s="28" t="str">
        <f>IF(ISNUMBER(M72), $B91 * N72, "")</f>
        <v/>
      </c>
      <c r="Q72" s="99"/>
      <c r="R72" s="99"/>
      <c r="S72" s="99"/>
    </row>
    <row r="73" spans="1:19" ht="17.25" thickBot="1">
      <c r="A73" s="47"/>
      <c r="B73" s="48"/>
      <c r="C73" s="24"/>
      <c r="D73" s="23"/>
      <c r="E73" s="24" t="str">
        <f t="shared" si="30"/>
        <v/>
      </c>
      <c r="F73" s="28" t="str">
        <f>IF(ISNUMBER(D73), $B91 * E73, "")</f>
        <v/>
      </c>
      <c r="G73" s="23"/>
      <c r="H73" s="24" t="str">
        <f t="shared" si="31"/>
        <v/>
      </c>
      <c r="I73" s="28" t="str">
        <f>IF(ISNUMBER(G73), $B91 * H73, "")</f>
        <v/>
      </c>
      <c r="J73" s="23"/>
      <c r="K73" s="24" t="str">
        <f t="shared" si="32"/>
        <v/>
      </c>
      <c r="L73" s="28" t="str">
        <f>IF(ISNUMBER(J73), $B91 * K73, "")</f>
        <v/>
      </c>
      <c r="M73" s="23"/>
      <c r="N73" s="24" t="str">
        <f t="shared" si="33"/>
        <v/>
      </c>
      <c r="O73" s="28" t="str">
        <f>IF(ISNUMBER(M73), $B91 * N73, "")</f>
        <v/>
      </c>
      <c r="Q73" s="100"/>
      <c r="R73" s="100"/>
      <c r="S73" s="100"/>
    </row>
    <row r="74" spans="1:19" ht="17.25" thickBot="1">
      <c r="A74" s="47"/>
      <c r="B74" s="48"/>
      <c r="C74" s="24"/>
      <c r="D74" s="23"/>
      <c r="E74" s="24" t="str">
        <f t="shared" si="30"/>
        <v/>
      </c>
      <c r="F74" s="28" t="str">
        <f>IF(ISNUMBER(D74), $B91 * E74, "")</f>
        <v/>
      </c>
      <c r="G74" s="23"/>
      <c r="H74" s="24" t="str">
        <f t="shared" si="31"/>
        <v/>
      </c>
      <c r="I74" s="28" t="str">
        <f>IF(ISNUMBER(G74), $B91 * H74, "")</f>
        <v/>
      </c>
      <c r="J74" s="23"/>
      <c r="K74" s="24" t="str">
        <f t="shared" si="32"/>
        <v/>
      </c>
      <c r="L74" s="28" t="str">
        <f>IF(ISNUMBER(J74), $B91 * K74, "")</f>
        <v/>
      </c>
      <c r="M74" s="23"/>
      <c r="N74" s="24" t="str">
        <f t="shared" si="33"/>
        <v/>
      </c>
      <c r="O74" s="28" t="str">
        <f>IF(ISNUMBER(M74), $B91 * N74, "")</f>
        <v/>
      </c>
      <c r="Q74" s="100"/>
      <c r="R74" s="100"/>
      <c r="S74" s="100"/>
    </row>
    <row r="75" spans="1:19" ht="17.25" thickBot="1">
      <c r="A75" s="49"/>
      <c r="B75" s="50"/>
      <c r="C75" s="31"/>
      <c r="D75" s="30"/>
      <c r="E75" s="31" t="str">
        <f t="shared" si="30"/>
        <v/>
      </c>
      <c r="F75" s="33" t="str">
        <f>IF(ISNUMBER(D75), $B91 * E75, "")</f>
        <v/>
      </c>
      <c r="G75" s="30"/>
      <c r="H75" s="31" t="str">
        <f t="shared" si="31"/>
        <v/>
      </c>
      <c r="I75" s="33" t="str">
        <f>IF(ISNUMBER(G75), $B91 * H75, "")</f>
        <v/>
      </c>
      <c r="J75" s="30"/>
      <c r="K75" s="31" t="str">
        <f t="shared" si="32"/>
        <v/>
      </c>
      <c r="L75" s="33" t="str">
        <f>IF(ISNUMBER(J75), $B91 * K75, "")</f>
        <v/>
      </c>
      <c r="M75" s="30"/>
      <c r="N75" s="31" t="str">
        <f t="shared" si="33"/>
        <v/>
      </c>
      <c r="O75" s="33" t="str">
        <f>IF(ISNUMBER(M75), $B91 * N75, "")</f>
        <v/>
      </c>
      <c r="Q75" s="101"/>
      <c r="R75" s="101"/>
      <c r="S75" s="101"/>
    </row>
    <row r="76" spans="1:19">
      <c r="A76" s="47"/>
      <c r="B76" s="51"/>
      <c r="C76" s="52"/>
      <c r="D76" s="23"/>
      <c r="E76" s="52" t="str">
        <f>IF(ISNUMBER(D76), (D76 - $B76) / $B76, "")</f>
        <v/>
      </c>
      <c r="F76" s="28" t="str">
        <f>IF(ISNUMBER(D76), $B91 * E76, "")</f>
        <v/>
      </c>
      <c r="G76" s="23"/>
      <c r="H76" s="52" t="str">
        <f>IF(ISNUMBER(G76), (G76 - $B76) / $B76, "")</f>
        <v/>
      </c>
      <c r="I76" s="28" t="str">
        <f>IF(ISNUMBER(G76), $B91 * H76, "")</f>
        <v/>
      </c>
      <c r="J76" s="23"/>
      <c r="K76" s="52" t="str">
        <f>IF(ISNUMBER(J76), (J76 - $B76) / $B76, "")</f>
        <v/>
      </c>
      <c r="L76" s="28" t="str">
        <f>IF(ISNUMBER(J76), $B91 * K76, "")</f>
        <v/>
      </c>
      <c r="M76" s="23"/>
      <c r="N76" s="52" t="str">
        <f>IF(ISNUMBER(M76), (M76 - $B76) / $B76, "")</f>
        <v/>
      </c>
      <c r="O76" s="28" t="str">
        <f>IF(ISNUMBER(M76), $B91 * N76, "")</f>
        <v/>
      </c>
      <c r="Q76" s="102"/>
      <c r="R76" s="103"/>
      <c r="S76" s="104"/>
    </row>
    <row r="77" spans="1:19">
      <c r="A77" s="47"/>
      <c r="B77" s="48"/>
      <c r="C77" s="24"/>
      <c r="D77" s="23"/>
      <c r="E77" s="24" t="str">
        <f t="shared" ref="E77:E80" si="34">IF(ISNUMBER(D77), (D77 - $B77) / $B77, "")</f>
        <v/>
      </c>
      <c r="F77" s="28" t="str">
        <f>IF(ISNUMBER(D77), $B91 * E77, "")</f>
        <v/>
      </c>
      <c r="G77" s="23"/>
      <c r="H77" s="24" t="str">
        <f t="shared" ref="H77:H80" si="35">IF(ISNUMBER(G77), (G77 - $B77) / $B77, "")</f>
        <v/>
      </c>
      <c r="I77" s="28" t="str">
        <f>IF(ISNUMBER(G77), $B91 * H77, "")</f>
        <v/>
      </c>
      <c r="J77" s="23"/>
      <c r="K77" s="24" t="str">
        <f t="shared" ref="K77:K80" si="36">IF(ISNUMBER(J77), (J77 - $B77) / $B77, "")</f>
        <v/>
      </c>
      <c r="L77" s="28" t="str">
        <f>IF(ISNUMBER(J77), $B91 * K77, "")</f>
        <v/>
      </c>
      <c r="M77" s="23"/>
      <c r="N77" s="24" t="str">
        <f t="shared" ref="N77:N80" si="37">IF(ISNUMBER(M77), (M77 - $B77) / $B77, "")</f>
        <v/>
      </c>
      <c r="O77" s="28" t="str">
        <f>IF(ISNUMBER(M77), $B91 * N77, "")</f>
        <v/>
      </c>
      <c r="Q77" s="105"/>
      <c r="R77" s="106"/>
      <c r="S77" s="107"/>
    </row>
    <row r="78" spans="1:19" ht="17.25" thickBot="1">
      <c r="A78" s="47"/>
      <c r="B78" s="48"/>
      <c r="C78" s="24"/>
      <c r="D78" s="23"/>
      <c r="E78" s="24" t="str">
        <f t="shared" si="34"/>
        <v/>
      </c>
      <c r="F78" s="28" t="str">
        <f>IF(ISNUMBER(D78), $B91 * E78, "")</f>
        <v/>
      </c>
      <c r="G78" s="23"/>
      <c r="H78" s="24" t="str">
        <f t="shared" si="35"/>
        <v/>
      </c>
      <c r="I78" s="28" t="str">
        <f>IF(ISNUMBER(G78), $B91 * H78, "")</f>
        <v/>
      </c>
      <c r="J78" s="23"/>
      <c r="K78" s="24" t="str">
        <f t="shared" si="36"/>
        <v/>
      </c>
      <c r="L78" s="28" t="str">
        <f>IF(ISNUMBER(J78), $B91 * K78, "")</f>
        <v/>
      </c>
      <c r="M78" s="23"/>
      <c r="N78" s="24" t="str">
        <f t="shared" si="37"/>
        <v/>
      </c>
      <c r="O78" s="28" t="str">
        <f>IF(ISNUMBER(M78), $B91 * N78, "")</f>
        <v/>
      </c>
      <c r="Q78" s="108"/>
      <c r="R78" s="109"/>
      <c r="S78" s="110"/>
    </row>
    <row r="79" spans="1:19" ht="17.25" thickBot="1">
      <c r="A79" s="47"/>
      <c r="B79" s="48"/>
      <c r="C79" s="24"/>
      <c r="D79" s="23"/>
      <c r="E79" s="24" t="str">
        <f t="shared" si="34"/>
        <v/>
      </c>
      <c r="F79" s="28" t="str">
        <f>IF(ISNUMBER(D79), $B91 * E79, "")</f>
        <v/>
      </c>
      <c r="G79" s="23"/>
      <c r="H79" s="24" t="str">
        <f t="shared" si="35"/>
        <v/>
      </c>
      <c r="I79" s="28" t="str">
        <f>IF(ISNUMBER(G79), $B91 * H79, "")</f>
        <v/>
      </c>
      <c r="J79" s="23"/>
      <c r="K79" s="24" t="str">
        <f t="shared" si="36"/>
        <v/>
      </c>
      <c r="L79" s="28" t="str">
        <f>IF(ISNUMBER(J79), $B91 * K79, "")</f>
        <v/>
      </c>
      <c r="M79" s="23"/>
      <c r="N79" s="24" t="str">
        <f t="shared" si="37"/>
        <v/>
      </c>
      <c r="O79" s="28" t="str">
        <f>IF(ISNUMBER(M79), $B91 * N79, "")</f>
        <v/>
      </c>
      <c r="Q79" s="55"/>
      <c r="R79" s="55"/>
    </row>
    <row r="80" spans="1:19" ht="17.25" thickBot="1">
      <c r="A80" s="49"/>
      <c r="B80" s="50"/>
      <c r="C80" s="31"/>
      <c r="D80" s="30"/>
      <c r="E80" s="31" t="str">
        <f t="shared" si="34"/>
        <v/>
      </c>
      <c r="F80" s="28" t="str">
        <f>IF(ISNUMBER(D80), $B91 * E80, "")</f>
        <v/>
      </c>
      <c r="G80" s="30"/>
      <c r="H80" s="31" t="str">
        <f t="shared" si="35"/>
        <v/>
      </c>
      <c r="I80" s="28" t="str">
        <f>IF(ISNUMBER(G80), $B91 * H80, "")</f>
        <v/>
      </c>
      <c r="J80" s="30"/>
      <c r="K80" s="31" t="str">
        <f t="shared" si="36"/>
        <v/>
      </c>
      <c r="L80" s="28" t="str">
        <f>IF(ISNUMBER(J80), $B91 * K80, "")</f>
        <v/>
      </c>
      <c r="M80" s="30"/>
      <c r="N80" s="31" t="str">
        <f t="shared" si="37"/>
        <v/>
      </c>
      <c r="O80" s="28" t="str">
        <f>IF(ISNUMBER(M80), $B91 * N80, "")</f>
        <v/>
      </c>
      <c r="Q80" s="111"/>
      <c r="R80" s="112"/>
      <c r="S80" s="113"/>
    </row>
    <row r="81" spans="1:19">
      <c r="A81" s="45"/>
      <c r="B81" s="46"/>
      <c r="C81" s="21"/>
      <c r="D81" s="20"/>
      <c r="E81" s="21" t="str">
        <f>IF(ISNUMBER(D81), (D81 - $B81) / $B81, "")</f>
        <v/>
      </c>
      <c r="F81" s="26" t="str">
        <f>IF(ISNUMBER(D81), $B91 * E81, "")</f>
        <v/>
      </c>
      <c r="G81" s="20"/>
      <c r="H81" s="21" t="str">
        <f>IF(ISNUMBER(G81), (G81 - $B81) / $B81, "")</f>
        <v/>
      </c>
      <c r="I81" s="26" t="str">
        <f>IF(ISNUMBER(G81), $B91 * H81, "")</f>
        <v/>
      </c>
      <c r="J81" s="20"/>
      <c r="K81" s="21" t="str">
        <f>IF(ISNUMBER(J81), (J81 - $B81) / $B81, "")</f>
        <v/>
      </c>
      <c r="L81" s="26" t="str">
        <f>IF(ISNUMBER(J81), $B91 * K81, "")</f>
        <v/>
      </c>
      <c r="M81" s="20"/>
      <c r="N81" s="21" t="str">
        <f>IF(ISNUMBER(M81), (M81 - $B81) / $B81, "")</f>
        <v/>
      </c>
      <c r="O81" s="26" t="str">
        <f>IF(ISNUMBER(M81), $B91 * N81, "")</f>
        <v/>
      </c>
      <c r="Q81" s="114"/>
      <c r="R81" s="115"/>
      <c r="S81" s="116"/>
    </row>
    <row r="82" spans="1:19" ht="17.25" thickBot="1">
      <c r="A82" s="47"/>
      <c r="B82" s="48"/>
      <c r="C82" s="24"/>
      <c r="D82" s="23"/>
      <c r="E82" s="24" t="str">
        <f t="shared" ref="E82:E85" si="38">IF(ISNUMBER(D82), (D82 - $B82) / $B82, "")</f>
        <v/>
      </c>
      <c r="F82" s="28" t="str">
        <f>IF(ISNUMBER(D82), $B91 * E82, "")</f>
        <v/>
      </c>
      <c r="G82" s="23"/>
      <c r="H82" s="24" t="str">
        <f t="shared" ref="H82:H85" si="39">IF(ISNUMBER(G82), (G82 - $B82) / $B82, "")</f>
        <v/>
      </c>
      <c r="I82" s="28" t="str">
        <f>IF(ISNUMBER(G82), $B91 * H82, "")</f>
        <v/>
      </c>
      <c r="J82" s="23"/>
      <c r="K82" s="24" t="str">
        <f t="shared" ref="K82:K85" si="40">IF(ISNUMBER(J82), (J82 - $B82) / $B82, "")</f>
        <v/>
      </c>
      <c r="L82" s="28" t="str">
        <f>IF(ISNUMBER(J82), $B91 * K82, "")</f>
        <v/>
      </c>
      <c r="M82" s="23"/>
      <c r="N82" s="24" t="str">
        <f t="shared" ref="N82:N85" si="41">IF(ISNUMBER(M82), (M82 - $B82) / $B82, "")</f>
        <v/>
      </c>
      <c r="O82" s="28" t="str">
        <f>IF(ISNUMBER(M82), $B91 * N82, "")</f>
        <v/>
      </c>
      <c r="Q82" s="117"/>
      <c r="R82" s="118"/>
      <c r="S82" s="119"/>
    </row>
    <row r="83" spans="1:19" ht="17.25" thickBot="1">
      <c r="A83" s="47"/>
      <c r="B83" s="48"/>
      <c r="C83" s="24"/>
      <c r="D83" s="23"/>
      <c r="E83" s="24" t="str">
        <f t="shared" si="38"/>
        <v/>
      </c>
      <c r="F83" s="28" t="str">
        <f>IF(ISNUMBER(D83), $B91 * E83, "")</f>
        <v/>
      </c>
      <c r="G83" s="23"/>
      <c r="H83" s="24" t="str">
        <f t="shared" si="39"/>
        <v/>
      </c>
      <c r="I83" s="28" t="str">
        <f>IF(ISNUMBER(G83), $B91 * H83, "")</f>
        <v/>
      </c>
      <c r="J83" s="23"/>
      <c r="K83" s="24" t="str">
        <f t="shared" si="40"/>
        <v/>
      </c>
      <c r="L83" s="28" t="str">
        <f>IF(ISNUMBER(J83), $B91 * K83, "")</f>
        <v/>
      </c>
      <c r="M83" s="23"/>
      <c r="N83" s="24" t="str">
        <f t="shared" si="41"/>
        <v/>
      </c>
      <c r="O83" s="28" t="str">
        <f>IF(ISNUMBER(M83), $B91 * N83, "")</f>
        <v/>
      </c>
      <c r="Q83" s="98"/>
      <c r="R83" s="98"/>
      <c r="S83" s="98"/>
    </row>
    <row r="84" spans="1:19" ht="17.25" thickBot="1">
      <c r="A84" s="47"/>
      <c r="B84" s="48"/>
      <c r="C84" s="24"/>
      <c r="D84" s="23"/>
      <c r="E84" s="24" t="str">
        <f t="shared" si="38"/>
        <v/>
      </c>
      <c r="F84" s="28" t="str">
        <f>IF(ISNUMBER(D84), $B91 * E84, "")</f>
        <v/>
      </c>
      <c r="G84" s="23"/>
      <c r="H84" s="24" t="str">
        <f t="shared" si="39"/>
        <v/>
      </c>
      <c r="I84" s="28" t="str">
        <f>IF(ISNUMBER(G84), $B91 * H84, "")</f>
        <v/>
      </c>
      <c r="J84" s="23"/>
      <c r="K84" s="24" t="str">
        <f t="shared" si="40"/>
        <v/>
      </c>
      <c r="L84" s="28" t="str">
        <f>IF(ISNUMBER(J84), $B91 * K84, "")</f>
        <v/>
      </c>
      <c r="M84" s="23"/>
      <c r="N84" s="24" t="str">
        <f t="shared" si="41"/>
        <v/>
      </c>
      <c r="O84" s="28" t="str">
        <f>IF(ISNUMBER(M84), $B91 * N84, "")</f>
        <v/>
      </c>
      <c r="Q84" s="99"/>
      <c r="R84" s="99"/>
      <c r="S84" s="99"/>
    </row>
    <row r="85" spans="1:19" ht="17.25" thickBot="1">
      <c r="A85" s="49"/>
      <c r="B85" s="50"/>
      <c r="C85" s="31"/>
      <c r="D85" s="30"/>
      <c r="E85" s="31" t="str">
        <f t="shared" si="38"/>
        <v/>
      </c>
      <c r="F85" s="33" t="str">
        <f>IF(ISNUMBER(D85), $B91 * E85, "")</f>
        <v/>
      </c>
      <c r="G85" s="30"/>
      <c r="H85" s="31" t="str">
        <f t="shared" si="39"/>
        <v/>
      </c>
      <c r="I85" s="33" t="str">
        <f>IF(ISNUMBER(G85), $B91 * H85, "")</f>
        <v/>
      </c>
      <c r="J85" s="30"/>
      <c r="K85" s="31" t="str">
        <f t="shared" si="40"/>
        <v/>
      </c>
      <c r="L85" s="33" t="str">
        <f>IF(ISNUMBER(J85), $B91 * K85, "")</f>
        <v/>
      </c>
      <c r="M85" s="30"/>
      <c r="N85" s="31" t="str">
        <f t="shared" si="41"/>
        <v/>
      </c>
      <c r="O85" s="33" t="str">
        <f>IF(ISNUMBER(M85), $B91 * N85, "")</f>
        <v/>
      </c>
      <c r="Q85" s="99"/>
      <c r="R85" s="99"/>
      <c r="S85" s="99"/>
    </row>
    <row r="86" spans="1:19" ht="17.25" thickBot="1">
      <c r="A86" s="47"/>
      <c r="B86" s="51"/>
      <c r="C86" s="52"/>
      <c r="D86" s="23"/>
      <c r="E86" s="52" t="str">
        <f>IF(ISNUMBER(D86), (D86 - $B86) / $B86, "")</f>
        <v/>
      </c>
      <c r="F86" s="28" t="str">
        <f>IF(ISNUMBER(D86), $B91 * E86, "")</f>
        <v/>
      </c>
      <c r="G86" s="23"/>
      <c r="H86" s="52" t="str">
        <f>IF(ISNUMBER(G86), (G86 - $B86) / $B86, "")</f>
        <v/>
      </c>
      <c r="I86" s="28" t="str">
        <f>IF(ISNUMBER(G86), $B91 * H86, "")</f>
        <v/>
      </c>
      <c r="J86" s="23"/>
      <c r="K86" s="52" t="str">
        <f>IF(ISNUMBER(J86), (J86 - $B86) / $B86, "")</f>
        <v/>
      </c>
      <c r="L86" s="28" t="str">
        <f>IF(ISNUMBER(J86), $B91 * K86, "")</f>
        <v/>
      </c>
      <c r="M86" s="23"/>
      <c r="N86" s="52" t="str">
        <f>IF(ISNUMBER(M86), (M86 - $B86) / $B86, "")</f>
        <v/>
      </c>
      <c r="O86" s="28" t="str">
        <f>IF(ISNUMBER(M86), $B91 * N86, "")</f>
        <v/>
      </c>
      <c r="Q86" s="100"/>
      <c r="R86" s="100"/>
      <c r="S86" s="100"/>
    </row>
    <row r="87" spans="1:19" ht="17.25" thickBot="1">
      <c r="A87" s="47"/>
      <c r="B87" s="48"/>
      <c r="C87" s="24"/>
      <c r="D87" s="23"/>
      <c r="E87" s="24" t="str">
        <f t="shared" ref="E87:E90" si="42">IF(ISNUMBER(D87), (D87 - $B87) / $B87, "")</f>
        <v/>
      </c>
      <c r="F87" s="28" t="str">
        <f>IF(ISNUMBER(D87), $B91 * E87, "")</f>
        <v/>
      </c>
      <c r="G87" s="23"/>
      <c r="H87" s="24" t="str">
        <f t="shared" ref="H87:H90" si="43">IF(ISNUMBER(G87), (G87 - $B87) / $B87, "")</f>
        <v/>
      </c>
      <c r="I87" s="28" t="str">
        <f>IF(ISNUMBER(G87), $B91 * H87, "")</f>
        <v/>
      </c>
      <c r="J87" s="23"/>
      <c r="K87" s="24" t="str">
        <f t="shared" ref="K87:K90" si="44">IF(ISNUMBER(J87), (J87 - $B87) / $B87, "")</f>
        <v/>
      </c>
      <c r="L87" s="28" t="str">
        <f>IF(ISNUMBER(J87), $B91 * K87, "")</f>
        <v/>
      </c>
      <c r="M87" s="23"/>
      <c r="N87" s="24" t="str">
        <f t="shared" ref="N87:N90" si="45">IF(ISNUMBER(M87), (M87 - $B87) / $B87, "")</f>
        <v/>
      </c>
      <c r="O87" s="28" t="str">
        <f>IF(ISNUMBER(M87), $B91 * N87, "")</f>
        <v/>
      </c>
      <c r="Q87" s="100"/>
      <c r="R87" s="100"/>
      <c r="S87" s="100"/>
    </row>
    <row r="88" spans="1:19" ht="17.25" thickBot="1">
      <c r="A88" s="47"/>
      <c r="B88" s="48"/>
      <c r="C88" s="24"/>
      <c r="D88" s="23"/>
      <c r="E88" s="24" t="str">
        <f t="shared" si="42"/>
        <v/>
      </c>
      <c r="F88" s="28" t="str">
        <f>IF(ISNUMBER(D88), $B91 * E88, "")</f>
        <v/>
      </c>
      <c r="G88" s="23"/>
      <c r="H88" s="24" t="str">
        <f t="shared" si="43"/>
        <v/>
      </c>
      <c r="I88" s="28" t="str">
        <f>IF(ISNUMBER(G88), $B91 * H88, "")</f>
        <v/>
      </c>
      <c r="J88" s="23"/>
      <c r="K88" s="24" t="str">
        <f t="shared" si="44"/>
        <v/>
      </c>
      <c r="L88" s="28" t="str">
        <f>IF(ISNUMBER(J88), $B91 * K88, "")</f>
        <v/>
      </c>
      <c r="M88" s="23"/>
      <c r="N88" s="24" t="str">
        <f t="shared" si="45"/>
        <v/>
      </c>
      <c r="O88" s="28" t="str">
        <f>IF(ISNUMBER(M88), $B91 * N88, "")</f>
        <v/>
      </c>
      <c r="Q88" s="101"/>
      <c r="R88" s="101"/>
      <c r="S88" s="101"/>
    </row>
    <row r="89" spans="1:19">
      <c r="A89" s="47"/>
      <c r="B89" s="48"/>
      <c r="C89" s="24"/>
      <c r="D89" s="23"/>
      <c r="E89" s="24" t="str">
        <f t="shared" si="42"/>
        <v/>
      </c>
      <c r="F89" s="28" t="str">
        <f>IF(ISNUMBER(D89), $B91 * E89, "")</f>
        <v/>
      </c>
      <c r="G89" s="23"/>
      <c r="H89" s="24" t="str">
        <f t="shared" si="43"/>
        <v/>
      </c>
      <c r="I89" s="28" t="str">
        <f>IF(ISNUMBER(G89), $B91 * H89, "")</f>
        <v/>
      </c>
      <c r="J89" s="23"/>
      <c r="K89" s="24" t="str">
        <f t="shared" si="44"/>
        <v/>
      </c>
      <c r="L89" s="28" t="str">
        <f>IF(ISNUMBER(J89), $B91 * K89, "")</f>
        <v/>
      </c>
      <c r="M89" s="23"/>
      <c r="N89" s="24" t="str">
        <f t="shared" si="45"/>
        <v/>
      </c>
      <c r="O89" s="28" t="str">
        <f>IF(ISNUMBER(M89), $B91 * N89, "")</f>
        <v/>
      </c>
      <c r="Q89" s="102"/>
      <c r="R89" s="103"/>
      <c r="S89" s="104"/>
    </row>
    <row r="90" spans="1:19" ht="17.25" thickBot="1">
      <c r="A90" s="49"/>
      <c r="B90" s="50"/>
      <c r="C90" s="31"/>
      <c r="D90" s="30"/>
      <c r="E90" s="31" t="str">
        <f t="shared" si="42"/>
        <v/>
      </c>
      <c r="F90" s="28" t="str">
        <f>IF(ISNUMBER(D90), $B91 * E90, "")</f>
        <v/>
      </c>
      <c r="G90" s="30"/>
      <c r="H90" s="31" t="str">
        <f t="shared" si="43"/>
        <v/>
      </c>
      <c r="I90" s="28" t="str">
        <f>IF(ISNUMBER(G90), $B91 * H90, "")</f>
        <v/>
      </c>
      <c r="J90" s="30"/>
      <c r="K90" s="31" t="str">
        <f t="shared" si="44"/>
        <v/>
      </c>
      <c r="L90" s="28" t="str">
        <f>IF(ISNUMBER(J90), $B91 * K90, "")</f>
        <v/>
      </c>
      <c r="M90" s="30"/>
      <c r="N90" s="31" t="str">
        <f t="shared" si="45"/>
        <v/>
      </c>
      <c r="O90" s="28" t="str">
        <f>IF(ISNUMBER(M90), $B91 * N90, "")</f>
        <v/>
      </c>
      <c r="Q90" s="105"/>
      <c r="R90" s="106"/>
      <c r="S90" s="107"/>
    </row>
    <row r="91" spans="1:19" ht="17.25" thickBot="1">
      <c r="A91" s="39" t="s">
        <v>46</v>
      </c>
      <c r="B91" s="120">
        <v>100000</v>
      </c>
      <c r="C91" s="121"/>
      <c r="D91" s="39" t="s">
        <v>47</v>
      </c>
      <c r="E91" s="40">
        <f>IF(COUNT(E71:E90), SUM(E71:E90) / COUNT(E71:E90), 0)</f>
        <v>0</v>
      </c>
      <c r="F91" s="41">
        <f>SUM(F71:F90)</f>
        <v>0</v>
      </c>
      <c r="G91" s="39" t="s">
        <v>47</v>
      </c>
      <c r="H91" s="40">
        <f>IF(COUNT(H71:H90), SUM(H71:H90) / COUNT(H71:H90), 0)</f>
        <v>0</v>
      </c>
      <c r="I91" s="41">
        <f>SUM(I71:I90)</f>
        <v>0</v>
      </c>
      <c r="J91" s="39" t="s">
        <v>47</v>
      </c>
      <c r="K91" s="40">
        <f>IF(COUNT(K71:K90), SUM(K71:K90) / COUNT(K71:K90), 0)</f>
        <v>0</v>
      </c>
      <c r="L91" s="41">
        <f>SUM(L71:L90)</f>
        <v>0</v>
      </c>
      <c r="M91" s="39" t="s">
        <v>47</v>
      </c>
      <c r="N91" s="40">
        <f>IF(COUNT(N71:N90), SUM(N71:N90) / COUNT(N71:N90), 0)</f>
        <v>0</v>
      </c>
      <c r="O91" s="41">
        <f>SUM(O71:O90)</f>
        <v>0</v>
      </c>
      <c r="Q91" s="108"/>
      <c r="R91" s="109"/>
      <c r="S91" s="110"/>
    </row>
    <row r="93" spans="1:19" ht="17.25" thickBot="1"/>
    <row r="94" spans="1:19" ht="17.25" thickBot="1">
      <c r="A94" s="122" t="s">
        <v>50</v>
      </c>
      <c r="B94" s="123"/>
      <c r="C94" s="123"/>
      <c r="D94" s="123"/>
      <c r="E94" s="123"/>
      <c r="F94" s="123"/>
      <c r="G94" s="123"/>
      <c r="H94" s="123"/>
      <c r="I94" s="123"/>
      <c r="J94" s="123"/>
      <c r="K94" s="123"/>
      <c r="L94" s="123"/>
      <c r="M94" s="123"/>
      <c r="N94" s="123"/>
      <c r="O94" s="124"/>
      <c r="Q94" s="111"/>
      <c r="R94" s="112"/>
      <c r="S94" s="113"/>
    </row>
    <row r="95" spans="1:19" ht="17.25" thickBot="1">
      <c r="A95" s="10" t="s">
        <v>35</v>
      </c>
      <c r="B95" s="122" t="s">
        <v>36</v>
      </c>
      <c r="C95" s="124"/>
      <c r="D95" s="122" t="s">
        <v>37</v>
      </c>
      <c r="E95" s="123"/>
      <c r="F95" s="124"/>
      <c r="G95" s="125">
        <f>_xlfn.IFNA(VLOOKUP(B95, 현재가테이블!$B$2:$D$200, 2, FALSE), "-")</f>
        <v>78003000</v>
      </c>
      <c r="H95" s="126"/>
      <c r="I95" s="127"/>
      <c r="J95" s="122" t="s">
        <v>38</v>
      </c>
      <c r="K95" s="123"/>
      <c r="L95" s="124"/>
      <c r="M95" s="128">
        <f>_xlfn.IFNA(VLOOKUP(B95, 현재가테이블!$B$2:$D$200, 3, FALSE), "-")</f>
        <v>-6.7108111999999998E-3</v>
      </c>
      <c r="N95" s="129"/>
      <c r="O95" s="130"/>
      <c r="Q95" s="114"/>
      <c r="R95" s="115"/>
      <c r="S95" s="116"/>
    </row>
    <row r="96" spans="1:19" ht="17.25" thickBot="1">
      <c r="A96" s="131" t="s">
        <v>39</v>
      </c>
      <c r="B96" s="132" t="s">
        <v>40</v>
      </c>
      <c r="C96" s="133"/>
      <c r="D96" s="134" t="s">
        <v>41</v>
      </c>
      <c r="E96" s="135"/>
      <c r="F96" s="136"/>
      <c r="G96" s="134" t="s">
        <v>42</v>
      </c>
      <c r="H96" s="135"/>
      <c r="I96" s="136"/>
      <c r="J96" s="137" t="s">
        <v>43</v>
      </c>
      <c r="K96" s="137"/>
      <c r="L96" s="137"/>
      <c r="M96" s="134" t="s">
        <v>40</v>
      </c>
      <c r="N96" s="135"/>
      <c r="O96" s="136"/>
      <c r="Q96" s="117"/>
      <c r="R96" s="118"/>
      <c r="S96" s="119"/>
    </row>
    <row r="97" spans="1:19" ht="17.25" thickBot="1">
      <c r="A97" s="131"/>
      <c r="B97" s="2" t="s">
        <v>37</v>
      </c>
      <c r="C97" s="12" t="s">
        <v>38</v>
      </c>
      <c r="D97" s="2" t="s">
        <v>37</v>
      </c>
      <c r="E97" s="12" t="s">
        <v>44</v>
      </c>
      <c r="F97" s="13" t="s">
        <v>45</v>
      </c>
      <c r="G97" s="2" t="s">
        <v>37</v>
      </c>
      <c r="H97" s="12" t="s">
        <v>44</v>
      </c>
      <c r="I97" s="13" t="s">
        <v>45</v>
      </c>
      <c r="J97" s="12" t="s">
        <v>37</v>
      </c>
      <c r="K97" s="12" t="s">
        <v>44</v>
      </c>
      <c r="L97" s="17" t="s">
        <v>45</v>
      </c>
      <c r="M97" s="2" t="s">
        <v>37</v>
      </c>
      <c r="N97" s="12" t="s">
        <v>44</v>
      </c>
      <c r="O97" s="18" t="s">
        <v>45</v>
      </c>
      <c r="Q97" s="98"/>
      <c r="R97" s="98"/>
      <c r="S97" s="98"/>
    </row>
    <row r="98" spans="1:19" ht="17.25" thickBot="1">
      <c r="A98" s="45"/>
      <c r="B98" s="46"/>
      <c r="C98" s="21"/>
      <c r="D98" s="20"/>
      <c r="E98" s="21" t="str">
        <f>IF(ISNUMBER(D98), (D98 - $B98) / $B98, "")</f>
        <v/>
      </c>
      <c r="F98" s="26" t="str">
        <f>IF(ISNUMBER(D98), $B118 * E98, "")</f>
        <v/>
      </c>
      <c r="G98" s="20"/>
      <c r="H98" s="21" t="str">
        <f>IF(ISNUMBER(G98), (G98 - $B98) / $B98, "")</f>
        <v/>
      </c>
      <c r="I98" s="26" t="str">
        <f>IF(ISNUMBER(G98), $B118 * H98, "")</f>
        <v/>
      </c>
      <c r="J98" s="20"/>
      <c r="K98" s="21" t="str">
        <f>IF(ISNUMBER(J98), (J98 - $B98) / $B98, "")</f>
        <v/>
      </c>
      <c r="L98" s="26" t="str">
        <f>IF(ISNUMBER(J98), $B118 * K98, "")</f>
        <v/>
      </c>
      <c r="M98" s="20"/>
      <c r="N98" s="21" t="str">
        <f>IF(ISNUMBER(M98), (M98 - $B98) / $B98, "")</f>
        <v/>
      </c>
      <c r="O98" s="26" t="str">
        <f>IF(ISNUMBER(M98), $B118 * N98, "")</f>
        <v/>
      </c>
      <c r="Q98" s="99"/>
      <c r="R98" s="99"/>
      <c r="S98" s="99"/>
    </row>
    <row r="99" spans="1:19" ht="17.25" thickBot="1">
      <c r="A99" s="47"/>
      <c r="B99" s="48"/>
      <c r="C99" s="24"/>
      <c r="D99" s="23"/>
      <c r="E99" s="24" t="str">
        <f t="shared" ref="E99:E102" si="46">IF(ISNUMBER(D99), (D99 - $B99) / $B99, "")</f>
        <v/>
      </c>
      <c r="F99" s="28" t="str">
        <f>IF(ISNUMBER(D99), $B118 * E99, "")</f>
        <v/>
      </c>
      <c r="G99" s="23"/>
      <c r="H99" s="24" t="str">
        <f t="shared" ref="H99:H102" si="47">IF(ISNUMBER(G99), (G99 - $B99) / $B99, "")</f>
        <v/>
      </c>
      <c r="I99" s="28" t="str">
        <f>IF(ISNUMBER(G99), $B118 * H99, "")</f>
        <v/>
      </c>
      <c r="J99" s="23"/>
      <c r="K99" s="24" t="str">
        <f t="shared" ref="K99:K102" si="48">IF(ISNUMBER(J99), (J99 - $B99) / $B99, "")</f>
        <v/>
      </c>
      <c r="L99" s="28" t="str">
        <f>IF(ISNUMBER(J99), $B118 * K99, "")</f>
        <v/>
      </c>
      <c r="M99" s="23"/>
      <c r="N99" s="24" t="str">
        <f t="shared" ref="N99:N102" si="49">IF(ISNUMBER(M99), (M99 - $B99) / $B99, "")</f>
        <v/>
      </c>
      <c r="O99" s="28" t="str">
        <f>IF(ISNUMBER(M99), $B118 * N99, "")</f>
        <v/>
      </c>
      <c r="Q99" s="99"/>
      <c r="R99" s="99"/>
      <c r="S99" s="99"/>
    </row>
    <row r="100" spans="1:19" ht="17.25" thickBot="1">
      <c r="A100" s="47"/>
      <c r="B100" s="48"/>
      <c r="C100" s="24"/>
      <c r="D100" s="23"/>
      <c r="E100" s="24" t="str">
        <f t="shared" si="46"/>
        <v/>
      </c>
      <c r="F100" s="28" t="str">
        <f>IF(ISNUMBER(D100), $B118 * E100, "")</f>
        <v/>
      </c>
      <c r="G100" s="23"/>
      <c r="H100" s="24" t="str">
        <f t="shared" si="47"/>
        <v/>
      </c>
      <c r="I100" s="28" t="str">
        <f>IF(ISNUMBER(G100), $B118 * H100, "")</f>
        <v/>
      </c>
      <c r="J100" s="23"/>
      <c r="K100" s="24" t="str">
        <f t="shared" si="48"/>
        <v/>
      </c>
      <c r="L100" s="28" t="str">
        <f>IF(ISNUMBER(J100), $B118 * K100, "")</f>
        <v/>
      </c>
      <c r="M100" s="23"/>
      <c r="N100" s="24" t="str">
        <f t="shared" si="49"/>
        <v/>
      </c>
      <c r="O100" s="28" t="str">
        <f>IF(ISNUMBER(M100), $B118 * N100, "")</f>
        <v/>
      </c>
      <c r="Q100" s="100"/>
      <c r="R100" s="100"/>
      <c r="S100" s="100"/>
    </row>
    <row r="101" spans="1:19" ht="17.25" thickBot="1">
      <c r="A101" s="47"/>
      <c r="B101" s="48"/>
      <c r="C101" s="24"/>
      <c r="D101" s="23"/>
      <c r="E101" s="24" t="str">
        <f t="shared" si="46"/>
        <v/>
      </c>
      <c r="F101" s="28" t="str">
        <f>IF(ISNUMBER(D101), $B118 * E101, "")</f>
        <v/>
      </c>
      <c r="G101" s="23"/>
      <c r="H101" s="24" t="str">
        <f t="shared" si="47"/>
        <v/>
      </c>
      <c r="I101" s="28" t="str">
        <f>IF(ISNUMBER(G101), $B118 * H101, "")</f>
        <v/>
      </c>
      <c r="J101" s="23"/>
      <c r="K101" s="24" t="str">
        <f t="shared" si="48"/>
        <v/>
      </c>
      <c r="L101" s="28" t="str">
        <f>IF(ISNUMBER(J101), $B118 * K101, "")</f>
        <v/>
      </c>
      <c r="M101" s="23"/>
      <c r="N101" s="24" t="str">
        <f t="shared" si="49"/>
        <v/>
      </c>
      <c r="O101" s="28" t="str">
        <f>IF(ISNUMBER(M101), $B118 * N101, "")</f>
        <v/>
      </c>
      <c r="Q101" s="100"/>
      <c r="R101" s="100"/>
      <c r="S101" s="100"/>
    </row>
    <row r="102" spans="1:19" ht="17.25" thickBot="1">
      <c r="A102" s="49"/>
      <c r="B102" s="50"/>
      <c r="C102" s="31"/>
      <c r="D102" s="30"/>
      <c r="E102" s="31" t="str">
        <f t="shared" si="46"/>
        <v/>
      </c>
      <c r="F102" s="33" t="str">
        <f>IF(ISNUMBER(D102), $B118 * E102, "")</f>
        <v/>
      </c>
      <c r="G102" s="30"/>
      <c r="H102" s="31" t="str">
        <f t="shared" si="47"/>
        <v/>
      </c>
      <c r="I102" s="33" t="str">
        <f>IF(ISNUMBER(G102), $B118 * H102, "")</f>
        <v/>
      </c>
      <c r="J102" s="30"/>
      <c r="K102" s="31" t="str">
        <f t="shared" si="48"/>
        <v/>
      </c>
      <c r="L102" s="33" t="str">
        <f>IF(ISNUMBER(J102), $B118 * K102, "")</f>
        <v/>
      </c>
      <c r="M102" s="30"/>
      <c r="N102" s="31" t="str">
        <f t="shared" si="49"/>
        <v/>
      </c>
      <c r="O102" s="33" t="str">
        <f>IF(ISNUMBER(M102), $B118 * N102, "")</f>
        <v/>
      </c>
      <c r="Q102" s="101"/>
      <c r="R102" s="101"/>
      <c r="S102" s="101"/>
    </row>
    <row r="103" spans="1:19">
      <c r="A103" s="47"/>
      <c r="B103" s="51"/>
      <c r="C103" s="52"/>
      <c r="D103" s="23"/>
      <c r="E103" s="52" t="str">
        <f>IF(ISNUMBER(D103), (D103 - $B103) / $B103, "")</f>
        <v/>
      </c>
      <c r="F103" s="28" t="str">
        <f>IF(ISNUMBER(D103), $B118 * E103, "")</f>
        <v/>
      </c>
      <c r="G103" s="23"/>
      <c r="H103" s="52" t="str">
        <f>IF(ISNUMBER(G103), (G103 - $B103) / $B103, "")</f>
        <v/>
      </c>
      <c r="I103" s="28" t="str">
        <f>IF(ISNUMBER(G103), $B118 * H103, "")</f>
        <v/>
      </c>
      <c r="J103" s="23"/>
      <c r="K103" s="52" t="str">
        <f>IF(ISNUMBER(J103), (J103 - $B103) / $B103, "")</f>
        <v/>
      </c>
      <c r="L103" s="28" t="str">
        <f>IF(ISNUMBER(J103), $B118 * K103, "")</f>
        <v/>
      </c>
      <c r="M103" s="23"/>
      <c r="N103" s="52" t="str">
        <f>IF(ISNUMBER(M103), (M103 - $B103) / $B103, "")</f>
        <v/>
      </c>
      <c r="O103" s="28" t="str">
        <f>IF(ISNUMBER(M103), $B118 * N103, "")</f>
        <v/>
      </c>
      <c r="Q103" s="102"/>
      <c r="R103" s="103"/>
      <c r="S103" s="104"/>
    </row>
    <row r="104" spans="1:19">
      <c r="A104" s="47"/>
      <c r="B104" s="48"/>
      <c r="C104" s="24"/>
      <c r="D104" s="23"/>
      <c r="E104" s="24" t="str">
        <f t="shared" ref="E104:E107" si="50">IF(ISNUMBER(D104), (D104 - $B104) / $B104, "")</f>
        <v/>
      </c>
      <c r="F104" s="28" t="str">
        <f>IF(ISNUMBER(D104), $B118 * E104, "")</f>
        <v/>
      </c>
      <c r="G104" s="23"/>
      <c r="H104" s="24" t="str">
        <f t="shared" ref="H104:H107" si="51">IF(ISNUMBER(G104), (G104 - $B104) / $B104, "")</f>
        <v/>
      </c>
      <c r="I104" s="28" t="str">
        <f>IF(ISNUMBER(G104), $B118 * H104, "")</f>
        <v/>
      </c>
      <c r="J104" s="23"/>
      <c r="K104" s="24" t="str">
        <f t="shared" ref="K104:K107" si="52">IF(ISNUMBER(J104), (J104 - $B104) / $B104, "")</f>
        <v/>
      </c>
      <c r="L104" s="28" t="str">
        <f>IF(ISNUMBER(J104), $B118 * K104, "")</f>
        <v/>
      </c>
      <c r="M104" s="23"/>
      <c r="N104" s="24" t="str">
        <f t="shared" ref="N104:N107" si="53">IF(ISNUMBER(M104), (M104 - $B104) / $B104, "")</f>
        <v/>
      </c>
      <c r="O104" s="28" t="str">
        <f>IF(ISNUMBER(M104), $B118 * N104, "")</f>
        <v/>
      </c>
      <c r="Q104" s="105"/>
      <c r="R104" s="106"/>
      <c r="S104" s="107"/>
    </row>
    <row r="105" spans="1:19" ht="17.25" thickBot="1">
      <c r="A105" s="47"/>
      <c r="B105" s="48"/>
      <c r="C105" s="24"/>
      <c r="D105" s="23"/>
      <c r="E105" s="24" t="str">
        <f t="shared" si="50"/>
        <v/>
      </c>
      <c r="F105" s="28" t="str">
        <f>IF(ISNUMBER(D105), $B118 * E105, "")</f>
        <v/>
      </c>
      <c r="G105" s="23"/>
      <c r="H105" s="24" t="str">
        <f t="shared" si="51"/>
        <v/>
      </c>
      <c r="I105" s="28" t="str">
        <f>IF(ISNUMBER(G105), $B118 * H105, "")</f>
        <v/>
      </c>
      <c r="J105" s="23"/>
      <c r="K105" s="24" t="str">
        <f t="shared" si="52"/>
        <v/>
      </c>
      <c r="L105" s="28" t="str">
        <f>IF(ISNUMBER(J105), $B118 * K105, "")</f>
        <v/>
      </c>
      <c r="M105" s="23"/>
      <c r="N105" s="24" t="str">
        <f t="shared" si="53"/>
        <v/>
      </c>
      <c r="O105" s="28" t="str">
        <f>IF(ISNUMBER(M105), $B118 * N105, "")</f>
        <v/>
      </c>
      <c r="Q105" s="108"/>
      <c r="R105" s="109"/>
      <c r="S105" s="110"/>
    </row>
    <row r="106" spans="1:19" ht="17.25" thickBot="1">
      <c r="A106" s="47"/>
      <c r="B106" s="48"/>
      <c r="C106" s="24"/>
      <c r="D106" s="23"/>
      <c r="E106" s="24" t="str">
        <f t="shared" si="50"/>
        <v/>
      </c>
      <c r="F106" s="28" t="str">
        <f>IF(ISNUMBER(D106), $B118 * E106, "")</f>
        <v/>
      </c>
      <c r="G106" s="23"/>
      <c r="H106" s="24" t="str">
        <f t="shared" si="51"/>
        <v/>
      </c>
      <c r="I106" s="28" t="str">
        <f>IF(ISNUMBER(G106), $B118 * H106, "")</f>
        <v/>
      </c>
      <c r="J106" s="23"/>
      <c r="K106" s="24" t="str">
        <f t="shared" si="52"/>
        <v/>
      </c>
      <c r="L106" s="28" t="str">
        <f>IF(ISNUMBER(J106), $B118 * K106, "")</f>
        <v/>
      </c>
      <c r="M106" s="23"/>
      <c r="N106" s="24" t="str">
        <f t="shared" si="53"/>
        <v/>
      </c>
      <c r="O106" s="28" t="str">
        <f>IF(ISNUMBER(M106), $B118 * N106, "")</f>
        <v/>
      </c>
      <c r="Q106" s="55"/>
      <c r="R106" s="55"/>
    </row>
    <row r="107" spans="1:19" ht="17.25" thickBot="1">
      <c r="A107" s="49"/>
      <c r="B107" s="50"/>
      <c r="C107" s="31"/>
      <c r="D107" s="30"/>
      <c r="E107" s="31" t="str">
        <f t="shared" si="50"/>
        <v/>
      </c>
      <c r="F107" s="28" t="str">
        <f>IF(ISNUMBER(D107), $B118 * E107, "")</f>
        <v/>
      </c>
      <c r="G107" s="30"/>
      <c r="H107" s="31" t="str">
        <f t="shared" si="51"/>
        <v/>
      </c>
      <c r="I107" s="28" t="str">
        <f>IF(ISNUMBER(G107), $B118 * H107, "")</f>
        <v/>
      </c>
      <c r="J107" s="30"/>
      <c r="K107" s="31" t="str">
        <f t="shared" si="52"/>
        <v/>
      </c>
      <c r="L107" s="28" t="str">
        <f>IF(ISNUMBER(J107), $B118 * K107, "")</f>
        <v/>
      </c>
      <c r="M107" s="30"/>
      <c r="N107" s="31" t="str">
        <f t="shared" si="53"/>
        <v/>
      </c>
      <c r="O107" s="28" t="str">
        <f>IF(ISNUMBER(M107), $B118 * N107, "")</f>
        <v/>
      </c>
      <c r="Q107" s="111"/>
      <c r="R107" s="112"/>
      <c r="S107" s="113"/>
    </row>
    <row r="108" spans="1:19">
      <c r="A108" s="45"/>
      <c r="B108" s="46"/>
      <c r="C108" s="21"/>
      <c r="D108" s="20"/>
      <c r="E108" s="21" t="str">
        <f>IF(ISNUMBER(D108), (D108 - $B108) / $B108, "")</f>
        <v/>
      </c>
      <c r="F108" s="26" t="str">
        <f>IF(ISNUMBER(D108), $B118 * E108, "")</f>
        <v/>
      </c>
      <c r="G108" s="20"/>
      <c r="H108" s="21" t="str">
        <f>IF(ISNUMBER(G108), (G108 - $B108) / $B108, "")</f>
        <v/>
      </c>
      <c r="I108" s="26" t="str">
        <f>IF(ISNUMBER(G108), $B118 * H108, "")</f>
        <v/>
      </c>
      <c r="J108" s="20"/>
      <c r="K108" s="21" t="str">
        <f>IF(ISNUMBER(J108), (J108 - $B108) / $B108, "")</f>
        <v/>
      </c>
      <c r="L108" s="26" t="str">
        <f>IF(ISNUMBER(J108), $B118 * K108, "")</f>
        <v/>
      </c>
      <c r="M108" s="20"/>
      <c r="N108" s="21" t="str">
        <f>IF(ISNUMBER(M108), (M108 - $B108) / $B108, "")</f>
        <v/>
      </c>
      <c r="O108" s="26" t="str">
        <f>IF(ISNUMBER(M108), $B118 * N108, "")</f>
        <v/>
      </c>
      <c r="Q108" s="114"/>
      <c r="R108" s="115"/>
      <c r="S108" s="116"/>
    </row>
    <row r="109" spans="1:19" ht="17.25" thickBot="1">
      <c r="A109" s="47"/>
      <c r="B109" s="48"/>
      <c r="C109" s="24"/>
      <c r="D109" s="23"/>
      <c r="E109" s="24" t="str">
        <f t="shared" ref="E109:E112" si="54">IF(ISNUMBER(D109), (D109 - $B109) / $B109, "")</f>
        <v/>
      </c>
      <c r="F109" s="28" t="str">
        <f>IF(ISNUMBER(D109), $B118 * E109, "")</f>
        <v/>
      </c>
      <c r="G109" s="23"/>
      <c r="H109" s="24" t="str">
        <f t="shared" ref="H109:H112" si="55">IF(ISNUMBER(G109), (G109 - $B109) / $B109, "")</f>
        <v/>
      </c>
      <c r="I109" s="28" t="str">
        <f>IF(ISNUMBER(G109), $B118 * H109, "")</f>
        <v/>
      </c>
      <c r="J109" s="23"/>
      <c r="K109" s="24" t="str">
        <f t="shared" ref="K109:K112" si="56">IF(ISNUMBER(J109), (J109 - $B109) / $B109, "")</f>
        <v/>
      </c>
      <c r="L109" s="28" t="str">
        <f>IF(ISNUMBER(J109), $B118 * K109, "")</f>
        <v/>
      </c>
      <c r="M109" s="23"/>
      <c r="N109" s="24" t="str">
        <f t="shared" ref="N109:N112" si="57">IF(ISNUMBER(M109), (M109 - $B109) / $B109, "")</f>
        <v/>
      </c>
      <c r="O109" s="28" t="str">
        <f>IF(ISNUMBER(M109), $B118 * N109, "")</f>
        <v/>
      </c>
      <c r="Q109" s="117"/>
      <c r="R109" s="118"/>
      <c r="S109" s="119"/>
    </row>
    <row r="110" spans="1:19" ht="17.25" thickBot="1">
      <c r="A110" s="47"/>
      <c r="B110" s="48"/>
      <c r="C110" s="24"/>
      <c r="D110" s="23"/>
      <c r="E110" s="24" t="str">
        <f t="shared" si="54"/>
        <v/>
      </c>
      <c r="F110" s="28" t="str">
        <f>IF(ISNUMBER(D110), $B118 * E110, "")</f>
        <v/>
      </c>
      <c r="G110" s="23"/>
      <c r="H110" s="24" t="str">
        <f t="shared" si="55"/>
        <v/>
      </c>
      <c r="I110" s="28" t="str">
        <f>IF(ISNUMBER(G110), $B118 * H110, "")</f>
        <v/>
      </c>
      <c r="J110" s="23"/>
      <c r="K110" s="24" t="str">
        <f t="shared" si="56"/>
        <v/>
      </c>
      <c r="L110" s="28" t="str">
        <f>IF(ISNUMBER(J110), $B118 * K110, "")</f>
        <v/>
      </c>
      <c r="M110" s="23"/>
      <c r="N110" s="24" t="str">
        <f t="shared" si="57"/>
        <v/>
      </c>
      <c r="O110" s="28" t="str">
        <f>IF(ISNUMBER(M110), $B118 * N110, "")</f>
        <v/>
      </c>
      <c r="Q110" s="98"/>
      <c r="R110" s="98"/>
      <c r="S110" s="98"/>
    </row>
    <row r="111" spans="1:19" ht="17.25" thickBot="1">
      <c r="A111" s="47"/>
      <c r="B111" s="48"/>
      <c r="C111" s="24"/>
      <c r="D111" s="23"/>
      <c r="E111" s="24" t="str">
        <f t="shared" si="54"/>
        <v/>
      </c>
      <c r="F111" s="28" t="str">
        <f>IF(ISNUMBER(D111), $B118 * E111, "")</f>
        <v/>
      </c>
      <c r="G111" s="23"/>
      <c r="H111" s="24" t="str">
        <f t="shared" si="55"/>
        <v/>
      </c>
      <c r="I111" s="28" t="str">
        <f>IF(ISNUMBER(G111), $B118 * H111, "")</f>
        <v/>
      </c>
      <c r="J111" s="23"/>
      <c r="K111" s="24" t="str">
        <f t="shared" si="56"/>
        <v/>
      </c>
      <c r="L111" s="28" t="str">
        <f>IF(ISNUMBER(J111), $B118 * K111, "")</f>
        <v/>
      </c>
      <c r="M111" s="23"/>
      <c r="N111" s="24" t="str">
        <f t="shared" si="57"/>
        <v/>
      </c>
      <c r="O111" s="28" t="str">
        <f>IF(ISNUMBER(M111), $B118 * N111, "")</f>
        <v/>
      </c>
      <c r="Q111" s="99"/>
      <c r="R111" s="99"/>
      <c r="S111" s="99"/>
    </row>
    <row r="112" spans="1:19" ht="17.25" thickBot="1">
      <c r="A112" s="49"/>
      <c r="B112" s="50"/>
      <c r="C112" s="31"/>
      <c r="D112" s="30"/>
      <c r="E112" s="31" t="str">
        <f t="shared" si="54"/>
        <v/>
      </c>
      <c r="F112" s="33" t="str">
        <f>IF(ISNUMBER(D112), $B118 * E112, "")</f>
        <v/>
      </c>
      <c r="G112" s="30"/>
      <c r="H112" s="31" t="str">
        <f t="shared" si="55"/>
        <v/>
      </c>
      <c r="I112" s="33" t="str">
        <f>IF(ISNUMBER(G112), $B118 * H112, "")</f>
        <v/>
      </c>
      <c r="J112" s="30"/>
      <c r="K112" s="31" t="str">
        <f t="shared" si="56"/>
        <v/>
      </c>
      <c r="L112" s="33" t="str">
        <f>IF(ISNUMBER(J112), $B118 * K112, "")</f>
        <v/>
      </c>
      <c r="M112" s="30"/>
      <c r="N112" s="31" t="str">
        <f t="shared" si="57"/>
        <v/>
      </c>
      <c r="O112" s="33" t="str">
        <f>IF(ISNUMBER(M112), $B118 * N112, "")</f>
        <v/>
      </c>
      <c r="Q112" s="99"/>
      <c r="R112" s="99"/>
      <c r="S112" s="99"/>
    </row>
    <row r="113" spans="1:19" ht="17.25" thickBot="1">
      <c r="A113" s="47"/>
      <c r="B113" s="51"/>
      <c r="C113" s="52"/>
      <c r="D113" s="23"/>
      <c r="E113" s="52" t="str">
        <f>IF(ISNUMBER(D113), (D113 - $B113) / $B113, "")</f>
        <v/>
      </c>
      <c r="F113" s="28" t="str">
        <f>IF(ISNUMBER(D113), $B118 * E113, "")</f>
        <v/>
      </c>
      <c r="G113" s="23"/>
      <c r="H113" s="52" t="str">
        <f>IF(ISNUMBER(G113), (G113 - $B113) / $B113, "")</f>
        <v/>
      </c>
      <c r="I113" s="28" t="str">
        <f>IF(ISNUMBER(G113), $B118 * H113, "")</f>
        <v/>
      </c>
      <c r="J113" s="23"/>
      <c r="K113" s="52" t="str">
        <f>IF(ISNUMBER(J113), (J113 - $B113) / $B113, "")</f>
        <v/>
      </c>
      <c r="L113" s="28" t="str">
        <f>IF(ISNUMBER(J113), $B118 * K113, "")</f>
        <v/>
      </c>
      <c r="M113" s="23"/>
      <c r="N113" s="52" t="str">
        <f>IF(ISNUMBER(M113), (M113 - $B113) / $B113, "")</f>
        <v/>
      </c>
      <c r="O113" s="28" t="str">
        <f>IF(ISNUMBER(M113), $B118 * N113, "")</f>
        <v/>
      </c>
      <c r="Q113" s="100"/>
      <c r="R113" s="100"/>
      <c r="S113" s="100"/>
    </row>
    <row r="114" spans="1:19" ht="17.25" thickBot="1">
      <c r="A114" s="47"/>
      <c r="B114" s="48"/>
      <c r="C114" s="24"/>
      <c r="D114" s="23"/>
      <c r="E114" s="24" t="str">
        <f t="shared" ref="E114:E117" si="58">IF(ISNUMBER(D114), (D114 - $B114) / $B114, "")</f>
        <v/>
      </c>
      <c r="F114" s="28" t="str">
        <f>IF(ISNUMBER(D114), $B118 * E114, "")</f>
        <v/>
      </c>
      <c r="G114" s="23"/>
      <c r="H114" s="24" t="str">
        <f t="shared" ref="H114:H117" si="59">IF(ISNUMBER(G114), (G114 - $B114) / $B114, "")</f>
        <v/>
      </c>
      <c r="I114" s="28" t="str">
        <f>IF(ISNUMBER(G114), $B118 * H114, "")</f>
        <v/>
      </c>
      <c r="J114" s="23"/>
      <c r="K114" s="24" t="str">
        <f t="shared" ref="K114:K117" si="60">IF(ISNUMBER(J114), (J114 - $B114) / $B114, "")</f>
        <v/>
      </c>
      <c r="L114" s="28" t="str">
        <f>IF(ISNUMBER(J114), $B118 * K114, "")</f>
        <v/>
      </c>
      <c r="M114" s="23"/>
      <c r="N114" s="24" t="str">
        <f t="shared" ref="N114:N117" si="61">IF(ISNUMBER(M114), (M114 - $B114) / $B114, "")</f>
        <v/>
      </c>
      <c r="O114" s="28" t="str">
        <f>IF(ISNUMBER(M114), $B118 * N114, "")</f>
        <v/>
      </c>
      <c r="Q114" s="100"/>
      <c r="R114" s="100"/>
      <c r="S114" s="100"/>
    </row>
    <row r="115" spans="1:19" ht="17.25" thickBot="1">
      <c r="A115" s="47"/>
      <c r="B115" s="48"/>
      <c r="C115" s="24"/>
      <c r="D115" s="23"/>
      <c r="E115" s="24" t="str">
        <f t="shared" si="58"/>
        <v/>
      </c>
      <c r="F115" s="28" t="str">
        <f>IF(ISNUMBER(D115), $B118 * E115, "")</f>
        <v/>
      </c>
      <c r="G115" s="23"/>
      <c r="H115" s="24" t="str">
        <f t="shared" si="59"/>
        <v/>
      </c>
      <c r="I115" s="28" t="str">
        <f>IF(ISNUMBER(G115), $B118 * H115, "")</f>
        <v/>
      </c>
      <c r="J115" s="23"/>
      <c r="K115" s="24" t="str">
        <f t="shared" si="60"/>
        <v/>
      </c>
      <c r="L115" s="28" t="str">
        <f>IF(ISNUMBER(J115), $B118 * K115, "")</f>
        <v/>
      </c>
      <c r="M115" s="23"/>
      <c r="N115" s="24" t="str">
        <f t="shared" si="61"/>
        <v/>
      </c>
      <c r="O115" s="28" t="str">
        <f>IF(ISNUMBER(M115), $B118 * N115, "")</f>
        <v/>
      </c>
      <c r="Q115" s="101"/>
      <c r="R115" s="101"/>
      <c r="S115" s="101"/>
    </row>
    <row r="116" spans="1:19">
      <c r="A116" s="47"/>
      <c r="B116" s="48"/>
      <c r="C116" s="24"/>
      <c r="D116" s="23"/>
      <c r="E116" s="24" t="str">
        <f t="shared" si="58"/>
        <v/>
      </c>
      <c r="F116" s="28" t="str">
        <f>IF(ISNUMBER(D116), $B118 * E116, "")</f>
        <v/>
      </c>
      <c r="G116" s="23"/>
      <c r="H116" s="24" t="str">
        <f t="shared" si="59"/>
        <v/>
      </c>
      <c r="I116" s="28" t="str">
        <f>IF(ISNUMBER(G116), $B118 * H116, "")</f>
        <v/>
      </c>
      <c r="J116" s="23"/>
      <c r="K116" s="24" t="str">
        <f t="shared" si="60"/>
        <v/>
      </c>
      <c r="L116" s="28" t="str">
        <f>IF(ISNUMBER(J116), $B118 * K116, "")</f>
        <v/>
      </c>
      <c r="M116" s="23"/>
      <c r="N116" s="24" t="str">
        <f t="shared" si="61"/>
        <v/>
      </c>
      <c r="O116" s="28" t="str">
        <f>IF(ISNUMBER(M116), $B118 * N116, "")</f>
        <v/>
      </c>
      <c r="Q116" s="102"/>
      <c r="R116" s="103"/>
      <c r="S116" s="104"/>
    </row>
    <row r="117" spans="1:19" ht="17.25" thickBot="1">
      <c r="A117" s="49"/>
      <c r="B117" s="50"/>
      <c r="C117" s="31"/>
      <c r="D117" s="30"/>
      <c r="E117" s="31" t="str">
        <f t="shared" si="58"/>
        <v/>
      </c>
      <c r="F117" s="28" t="str">
        <f>IF(ISNUMBER(D117), $B118 * E117, "")</f>
        <v/>
      </c>
      <c r="G117" s="30"/>
      <c r="H117" s="31" t="str">
        <f t="shared" si="59"/>
        <v/>
      </c>
      <c r="I117" s="28" t="str">
        <f>IF(ISNUMBER(G117), $B118 * H117, "")</f>
        <v/>
      </c>
      <c r="J117" s="30"/>
      <c r="K117" s="31" t="str">
        <f t="shared" si="60"/>
        <v/>
      </c>
      <c r="L117" s="28" t="str">
        <f>IF(ISNUMBER(J117), $B118 * K117, "")</f>
        <v/>
      </c>
      <c r="M117" s="30"/>
      <c r="N117" s="31" t="str">
        <f t="shared" si="61"/>
        <v/>
      </c>
      <c r="O117" s="28" t="str">
        <f>IF(ISNUMBER(M117), $B118 * N117, "")</f>
        <v/>
      </c>
      <c r="Q117" s="105"/>
      <c r="R117" s="106"/>
      <c r="S117" s="107"/>
    </row>
    <row r="118" spans="1:19" ht="17.25" thickBot="1">
      <c r="A118" s="39" t="s">
        <v>46</v>
      </c>
      <c r="B118" s="120">
        <v>100000</v>
      </c>
      <c r="C118" s="121"/>
      <c r="D118" s="39" t="s">
        <v>47</v>
      </c>
      <c r="E118" s="40">
        <f>IF(COUNT(E98:E117), SUM(E98:E117) / COUNT(E98:E117), 0)</f>
        <v>0</v>
      </c>
      <c r="F118" s="41">
        <f>SUM(F98:F117)</f>
        <v>0</v>
      </c>
      <c r="G118" s="39" t="s">
        <v>47</v>
      </c>
      <c r="H118" s="40">
        <f>IF(COUNT(H98:H117), SUM(H98:H117) / COUNT(H98:H117), 0)</f>
        <v>0</v>
      </c>
      <c r="I118" s="41">
        <f>SUM(I98:I117)</f>
        <v>0</v>
      </c>
      <c r="J118" s="39" t="s">
        <v>47</v>
      </c>
      <c r="K118" s="40">
        <f>IF(COUNT(K98:K117), SUM(K98:K117) / COUNT(K98:K117), 0)</f>
        <v>0</v>
      </c>
      <c r="L118" s="41">
        <f>SUM(L98:L117)</f>
        <v>0</v>
      </c>
      <c r="M118" s="39" t="s">
        <v>47</v>
      </c>
      <c r="N118" s="40">
        <f>IF(COUNT(N98:N117), SUM(N98:N117) / COUNT(N98:N117), 0)</f>
        <v>0</v>
      </c>
      <c r="O118" s="41">
        <f>SUM(O98:O117)</f>
        <v>0</v>
      </c>
      <c r="Q118" s="108"/>
      <c r="R118" s="109"/>
      <c r="S118" s="110"/>
    </row>
    <row r="120" spans="1:19" ht="17.25" thickBot="1"/>
    <row r="121" spans="1:19" ht="17.25" thickBot="1">
      <c r="A121" s="122" t="s">
        <v>298</v>
      </c>
      <c r="B121" s="123"/>
      <c r="C121" s="123"/>
      <c r="D121" s="123"/>
      <c r="E121" s="123"/>
      <c r="F121" s="123"/>
      <c r="G121" s="123"/>
      <c r="H121" s="123"/>
      <c r="I121" s="123"/>
      <c r="J121" s="123"/>
      <c r="K121" s="123"/>
      <c r="L121" s="123"/>
      <c r="M121" s="123"/>
      <c r="N121" s="123"/>
      <c r="O121" s="124"/>
      <c r="Q121" s="111"/>
      <c r="R121" s="112"/>
      <c r="S121" s="113"/>
    </row>
    <row r="122" spans="1:19" ht="17.25" thickBot="1">
      <c r="A122" s="10" t="s">
        <v>35</v>
      </c>
      <c r="B122" s="122" t="s">
        <v>36</v>
      </c>
      <c r="C122" s="124"/>
      <c r="D122" s="122" t="s">
        <v>37</v>
      </c>
      <c r="E122" s="123"/>
      <c r="F122" s="124"/>
      <c r="G122" s="125">
        <f>_xlfn.IFNA(VLOOKUP(B122, 현재가테이블!$B$2:$D$200, 2, FALSE), "-")</f>
        <v>78003000</v>
      </c>
      <c r="H122" s="126"/>
      <c r="I122" s="127"/>
      <c r="J122" s="122" t="s">
        <v>38</v>
      </c>
      <c r="K122" s="123"/>
      <c r="L122" s="124"/>
      <c r="M122" s="128">
        <f>_xlfn.IFNA(VLOOKUP(B122, 현재가테이블!$B$2:$D$200, 3, FALSE), "-")</f>
        <v>-6.7108111999999998E-3</v>
      </c>
      <c r="N122" s="129"/>
      <c r="O122" s="130"/>
      <c r="Q122" s="114"/>
      <c r="R122" s="115"/>
      <c r="S122" s="116"/>
    </row>
    <row r="123" spans="1:19" ht="17.25" thickBot="1">
      <c r="A123" s="131" t="s">
        <v>39</v>
      </c>
      <c r="B123" s="132" t="s">
        <v>40</v>
      </c>
      <c r="C123" s="133"/>
      <c r="D123" s="134" t="s">
        <v>41</v>
      </c>
      <c r="E123" s="135"/>
      <c r="F123" s="136"/>
      <c r="G123" s="134" t="s">
        <v>42</v>
      </c>
      <c r="H123" s="135"/>
      <c r="I123" s="136"/>
      <c r="J123" s="137" t="s">
        <v>43</v>
      </c>
      <c r="K123" s="137"/>
      <c r="L123" s="137"/>
      <c r="M123" s="134" t="s">
        <v>40</v>
      </c>
      <c r="N123" s="135"/>
      <c r="O123" s="136"/>
      <c r="Q123" s="117"/>
      <c r="R123" s="118"/>
      <c r="S123" s="119"/>
    </row>
    <row r="124" spans="1:19" ht="17.25" thickBot="1">
      <c r="A124" s="131"/>
      <c r="B124" s="2" t="s">
        <v>37</v>
      </c>
      <c r="C124" s="12" t="s">
        <v>38</v>
      </c>
      <c r="D124" s="2" t="s">
        <v>37</v>
      </c>
      <c r="E124" s="12" t="s">
        <v>44</v>
      </c>
      <c r="F124" s="13" t="s">
        <v>45</v>
      </c>
      <c r="G124" s="2" t="s">
        <v>37</v>
      </c>
      <c r="H124" s="12" t="s">
        <v>44</v>
      </c>
      <c r="I124" s="13" t="s">
        <v>45</v>
      </c>
      <c r="J124" s="12" t="s">
        <v>37</v>
      </c>
      <c r="K124" s="12" t="s">
        <v>44</v>
      </c>
      <c r="L124" s="17" t="s">
        <v>45</v>
      </c>
      <c r="M124" s="2" t="s">
        <v>37</v>
      </c>
      <c r="N124" s="12" t="s">
        <v>44</v>
      </c>
      <c r="O124" s="18" t="s">
        <v>45</v>
      </c>
      <c r="Q124" s="98"/>
      <c r="R124" s="98"/>
      <c r="S124" s="98"/>
    </row>
    <row r="125" spans="1:19" ht="17.25" thickBot="1">
      <c r="A125" s="45"/>
      <c r="B125" s="46"/>
      <c r="C125" s="21"/>
      <c r="D125" s="20"/>
      <c r="E125" s="21" t="str">
        <f>IF(ISNUMBER(D125), (D125 - $B125) / $B125, "")</f>
        <v/>
      </c>
      <c r="F125" s="26" t="str">
        <f>IF(ISNUMBER(D125), $B145 * E125, "")</f>
        <v/>
      </c>
      <c r="G125" s="20"/>
      <c r="H125" s="21" t="str">
        <f>IF(ISNUMBER(G125), (G125 - $B125) / $B125, "")</f>
        <v/>
      </c>
      <c r="I125" s="26" t="str">
        <f>IF(ISNUMBER(G125), $B145 * H125, "")</f>
        <v/>
      </c>
      <c r="J125" s="20"/>
      <c r="K125" s="21" t="str">
        <f>IF(ISNUMBER(J125), (J125 - $B125) / $B125, "")</f>
        <v/>
      </c>
      <c r="L125" s="26" t="str">
        <f>IF(ISNUMBER(J125), $B145 * K125, "")</f>
        <v/>
      </c>
      <c r="M125" s="20"/>
      <c r="N125" s="21" t="str">
        <f>IF(ISNUMBER(M125), (M125 - $B125) / $B125, "")</f>
        <v/>
      </c>
      <c r="O125" s="26" t="str">
        <f>IF(ISNUMBER(M125), $B145 * N125, "")</f>
        <v/>
      </c>
      <c r="Q125" s="99"/>
      <c r="R125" s="99"/>
      <c r="S125" s="99"/>
    </row>
    <row r="126" spans="1:19" ht="17.25" thickBot="1">
      <c r="A126" s="47"/>
      <c r="B126" s="48"/>
      <c r="C126" s="24"/>
      <c r="D126" s="23"/>
      <c r="E126" s="24" t="str">
        <f t="shared" ref="E126:E129" si="62">IF(ISNUMBER(D126), (D126 - $B126) / $B126, "")</f>
        <v/>
      </c>
      <c r="F126" s="28" t="str">
        <f>IF(ISNUMBER(D126), $B145 * E126, "")</f>
        <v/>
      </c>
      <c r="G126" s="23"/>
      <c r="H126" s="24" t="str">
        <f t="shared" ref="H126:H129" si="63">IF(ISNUMBER(G126), (G126 - $B126) / $B126, "")</f>
        <v/>
      </c>
      <c r="I126" s="28" t="str">
        <f>IF(ISNUMBER(G126), $B145 * H126, "")</f>
        <v/>
      </c>
      <c r="J126" s="23"/>
      <c r="K126" s="24" t="str">
        <f t="shared" ref="K126:K129" si="64">IF(ISNUMBER(J126), (J126 - $B126) / $B126, "")</f>
        <v/>
      </c>
      <c r="L126" s="28" t="str">
        <f>IF(ISNUMBER(J126), $B145 * K126, "")</f>
        <v/>
      </c>
      <c r="M126" s="23"/>
      <c r="N126" s="24" t="str">
        <f t="shared" ref="N126:N129" si="65">IF(ISNUMBER(M126), (M126 - $B126) / $B126, "")</f>
        <v/>
      </c>
      <c r="O126" s="28" t="str">
        <f>IF(ISNUMBER(M126), $B145 * N126, "")</f>
        <v/>
      </c>
      <c r="Q126" s="99"/>
      <c r="R126" s="99"/>
      <c r="S126" s="99"/>
    </row>
    <row r="127" spans="1:19" ht="17.25" thickBot="1">
      <c r="A127" s="47"/>
      <c r="B127" s="48"/>
      <c r="C127" s="24"/>
      <c r="D127" s="23"/>
      <c r="E127" s="24" t="str">
        <f t="shared" si="62"/>
        <v/>
      </c>
      <c r="F127" s="28" t="str">
        <f>IF(ISNUMBER(D127), $B145 * E127, "")</f>
        <v/>
      </c>
      <c r="G127" s="23"/>
      <c r="H127" s="24" t="str">
        <f t="shared" si="63"/>
        <v/>
      </c>
      <c r="I127" s="28" t="str">
        <f>IF(ISNUMBER(G127), $B145 * H127, "")</f>
        <v/>
      </c>
      <c r="J127" s="23"/>
      <c r="K127" s="24" t="str">
        <f t="shared" si="64"/>
        <v/>
      </c>
      <c r="L127" s="28" t="str">
        <f>IF(ISNUMBER(J127), $B145 * K127, "")</f>
        <v/>
      </c>
      <c r="M127" s="23"/>
      <c r="N127" s="24" t="str">
        <f t="shared" si="65"/>
        <v/>
      </c>
      <c r="O127" s="28" t="str">
        <f>IF(ISNUMBER(M127), $B145 * N127, "")</f>
        <v/>
      </c>
      <c r="Q127" s="100"/>
      <c r="R127" s="100"/>
      <c r="S127" s="100"/>
    </row>
    <row r="128" spans="1:19" ht="17.25" thickBot="1">
      <c r="A128" s="47"/>
      <c r="B128" s="48"/>
      <c r="C128" s="24"/>
      <c r="D128" s="23"/>
      <c r="E128" s="24" t="str">
        <f t="shared" si="62"/>
        <v/>
      </c>
      <c r="F128" s="28" t="str">
        <f>IF(ISNUMBER(D128), $B145 * E128, "")</f>
        <v/>
      </c>
      <c r="G128" s="23"/>
      <c r="H128" s="24" t="str">
        <f t="shared" si="63"/>
        <v/>
      </c>
      <c r="I128" s="28" t="str">
        <f>IF(ISNUMBER(G128), $B145 * H128, "")</f>
        <v/>
      </c>
      <c r="J128" s="23"/>
      <c r="K128" s="24" t="str">
        <f t="shared" si="64"/>
        <v/>
      </c>
      <c r="L128" s="28" t="str">
        <f>IF(ISNUMBER(J128), $B145 * K128, "")</f>
        <v/>
      </c>
      <c r="M128" s="23"/>
      <c r="N128" s="24" t="str">
        <f t="shared" si="65"/>
        <v/>
      </c>
      <c r="O128" s="28" t="str">
        <f>IF(ISNUMBER(M128), $B145 * N128, "")</f>
        <v/>
      </c>
      <c r="Q128" s="100"/>
      <c r="R128" s="100"/>
      <c r="S128" s="100"/>
    </row>
    <row r="129" spans="1:19" ht="17.25" thickBot="1">
      <c r="A129" s="49"/>
      <c r="B129" s="50"/>
      <c r="C129" s="31"/>
      <c r="D129" s="30"/>
      <c r="E129" s="31" t="str">
        <f t="shared" si="62"/>
        <v/>
      </c>
      <c r="F129" s="33" t="str">
        <f>IF(ISNUMBER(D129), $B145 * E129, "")</f>
        <v/>
      </c>
      <c r="G129" s="30"/>
      <c r="H129" s="31" t="str">
        <f t="shared" si="63"/>
        <v/>
      </c>
      <c r="I129" s="33" t="str">
        <f>IF(ISNUMBER(G129), $B145 * H129, "")</f>
        <v/>
      </c>
      <c r="J129" s="30"/>
      <c r="K129" s="31" t="str">
        <f t="shared" si="64"/>
        <v/>
      </c>
      <c r="L129" s="33" t="str">
        <f>IF(ISNUMBER(J129), $B145 * K129, "")</f>
        <v/>
      </c>
      <c r="M129" s="30"/>
      <c r="N129" s="31" t="str">
        <f t="shared" si="65"/>
        <v/>
      </c>
      <c r="O129" s="33" t="str">
        <f>IF(ISNUMBER(M129), $B145 * N129, "")</f>
        <v/>
      </c>
      <c r="Q129" s="101"/>
      <c r="R129" s="101"/>
      <c r="S129" s="101"/>
    </row>
    <row r="130" spans="1:19">
      <c r="A130" s="47"/>
      <c r="B130" s="51"/>
      <c r="C130" s="52"/>
      <c r="D130" s="23"/>
      <c r="E130" s="52" t="str">
        <f>IF(ISNUMBER(D130), (D130 - $B130) / $B130, "")</f>
        <v/>
      </c>
      <c r="F130" s="28" t="str">
        <f>IF(ISNUMBER(D130), $B145 * E130, "")</f>
        <v/>
      </c>
      <c r="G130" s="23"/>
      <c r="H130" s="52" t="str">
        <f>IF(ISNUMBER(G130), (G130 - $B130) / $B130, "")</f>
        <v/>
      </c>
      <c r="I130" s="28" t="str">
        <f>IF(ISNUMBER(G130), $B145 * H130, "")</f>
        <v/>
      </c>
      <c r="J130" s="23"/>
      <c r="K130" s="52" t="str">
        <f>IF(ISNUMBER(J130), (J130 - $B130) / $B130, "")</f>
        <v/>
      </c>
      <c r="L130" s="28" t="str">
        <f>IF(ISNUMBER(J130), $B145 * K130, "")</f>
        <v/>
      </c>
      <c r="M130" s="23"/>
      <c r="N130" s="52" t="str">
        <f>IF(ISNUMBER(M130), (M130 - $B130) / $B130, "")</f>
        <v/>
      </c>
      <c r="O130" s="28" t="str">
        <f>IF(ISNUMBER(M130), $B145 * N130, "")</f>
        <v/>
      </c>
      <c r="Q130" s="102"/>
      <c r="R130" s="103"/>
      <c r="S130" s="104"/>
    </row>
    <row r="131" spans="1:19">
      <c r="A131" s="47"/>
      <c r="B131" s="48"/>
      <c r="C131" s="24"/>
      <c r="D131" s="23"/>
      <c r="E131" s="24" t="str">
        <f t="shared" ref="E131:E134" si="66">IF(ISNUMBER(D131), (D131 - $B131) / $B131, "")</f>
        <v/>
      </c>
      <c r="F131" s="28" t="str">
        <f>IF(ISNUMBER(D131), $B145 * E131, "")</f>
        <v/>
      </c>
      <c r="G131" s="23"/>
      <c r="H131" s="24" t="str">
        <f t="shared" ref="H131:H134" si="67">IF(ISNUMBER(G131), (G131 - $B131) / $B131, "")</f>
        <v/>
      </c>
      <c r="I131" s="28" t="str">
        <f>IF(ISNUMBER(G131), $B145 * H131, "")</f>
        <v/>
      </c>
      <c r="J131" s="23"/>
      <c r="K131" s="24" t="str">
        <f t="shared" ref="K131:K134" si="68">IF(ISNUMBER(J131), (J131 - $B131) / $B131, "")</f>
        <v/>
      </c>
      <c r="L131" s="28" t="str">
        <f>IF(ISNUMBER(J131), $B145 * K131, "")</f>
        <v/>
      </c>
      <c r="M131" s="23"/>
      <c r="N131" s="24" t="str">
        <f t="shared" ref="N131:N134" si="69">IF(ISNUMBER(M131), (M131 - $B131) / $B131, "")</f>
        <v/>
      </c>
      <c r="O131" s="28" t="str">
        <f>IF(ISNUMBER(M131), $B145 * N131, "")</f>
        <v/>
      </c>
      <c r="Q131" s="105"/>
      <c r="R131" s="106"/>
      <c r="S131" s="107"/>
    </row>
    <row r="132" spans="1:19" ht="17.25" thickBot="1">
      <c r="A132" s="47"/>
      <c r="B132" s="48"/>
      <c r="C132" s="24"/>
      <c r="D132" s="23"/>
      <c r="E132" s="24" t="str">
        <f t="shared" si="66"/>
        <v/>
      </c>
      <c r="F132" s="28" t="str">
        <f>IF(ISNUMBER(D132), $B145 * E132, "")</f>
        <v/>
      </c>
      <c r="G132" s="23"/>
      <c r="H132" s="24" t="str">
        <f t="shared" si="67"/>
        <v/>
      </c>
      <c r="I132" s="28" t="str">
        <f>IF(ISNUMBER(G132), $B145 * H132, "")</f>
        <v/>
      </c>
      <c r="J132" s="23"/>
      <c r="K132" s="24" t="str">
        <f t="shared" si="68"/>
        <v/>
      </c>
      <c r="L132" s="28" t="str">
        <f>IF(ISNUMBER(J132), $B145 * K132, "")</f>
        <v/>
      </c>
      <c r="M132" s="23"/>
      <c r="N132" s="24" t="str">
        <f t="shared" si="69"/>
        <v/>
      </c>
      <c r="O132" s="28" t="str">
        <f>IF(ISNUMBER(M132), $B145 * N132, "")</f>
        <v/>
      </c>
      <c r="Q132" s="108"/>
      <c r="R132" s="109"/>
      <c r="S132" s="110"/>
    </row>
    <row r="133" spans="1:19" ht="17.25" thickBot="1">
      <c r="A133" s="47"/>
      <c r="B133" s="48"/>
      <c r="C133" s="24"/>
      <c r="D133" s="23"/>
      <c r="E133" s="24" t="str">
        <f t="shared" si="66"/>
        <v/>
      </c>
      <c r="F133" s="28" t="str">
        <f>IF(ISNUMBER(D133), $B145 * E133, "")</f>
        <v/>
      </c>
      <c r="G133" s="23"/>
      <c r="H133" s="24" t="str">
        <f t="shared" si="67"/>
        <v/>
      </c>
      <c r="I133" s="28" t="str">
        <f>IF(ISNUMBER(G133), $B145 * H133, "")</f>
        <v/>
      </c>
      <c r="J133" s="23"/>
      <c r="K133" s="24" t="str">
        <f t="shared" si="68"/>
        <v/>
      </c>
      <c r="L133" s="28" t="str">
        <f>IF(ISNUMBER(J133), $B145 * K133, "")</f>
        <v/>
      </c>
      <c r="M133" s="23"/>
      <c r="N133" s="24" t="str">
        <f t="shared" si="69"/>
        <v/>
      </c>
      <c r="O133" s="28" t="str">
        <f>IF(ISNUMBER(M133), $B145 * N133, "")</f>
        <v/>
      </c>
    </row>
    <row r="134" spans="1:19" ht="17.25" thickBot="1">
      <c r="A134" s="49"/>
      <c r="B134" s="50"/>
      <c r="C134" s="31"/>
      <c r="D134" s="30"/>
      <c r="E134" s="31" t="str">
        <f t="shared" si="66"/>
        <v/>
      </c>
      <c r="F134" s="28" t="str">
        <f>IF(ISNUMBER(D134), $B145 * E134, "")</f>
        <v/>
      </c>
      <c r="G134" s="30"/>
      <c r="H134" s="31" t="str">
        <f t="shared" si="67"/>
        <v/>
      </c>
      <c r="I134" s="28" t="str">
        <f>IF(ISNUMBER(G134), $B145 * H134, "")</f>
        <v/>
      </c>
      <c r="J134" s="30"/>
      <c r="K134" s="31" t="str">
        <f t="shared" si="68"/>
        <v/>
      </c>
      <c r="L134" s="28" t="str">
        <f>IF(ISNUMBER(J134), $B145 * K134, "")</f>
        <v/>
      </c>
      <c r="M134" s="30"/>
      <c r="N134" s="31" t="str">
        <f t="shared" si="69"/>
        <v/>
      </c>
      <c r="O134" s="28" t="str">
        <f>IF(ISNUMBER(M134), $B145 * N134, "")</f>
        <v/>
      </c>
      <c r="Q134" s="111"/>
      <c r="R134" s="112"/>
      <c r="S134" s="113"/>
    </row>
    <row r="135" spans="1:19">
      <c r="A135" s="45"/>
      <c r="B135" s="46"/>
      <c r="C135" s="21"/>
      <c r="D135" s="20"/>
      <c r="E135" s="21" t="str">
        <f>IF(ISNUMBER(D135), (D135 - $B135) / $B135, "")</f>
        <v/>
      </c>
      <c r="F135" s="26" t="str">
        <f>IF(ISNUMBER(D135), $B145 * E135, "")</f>
        <v/>
      </c>
      <c r="G135" s="20"/>
      <c r="H135" s="21" t="str">
        <f>IF(ISNUMBER(G135), (G135 - $B135) / $B135, "")</f>
        <v/>
      </c>
      <c r="I135" s="26" t="str">
        <f>IF(ISNUMBER(G135), $B145 * H135, "")</f>
        <v/>
      </c>
      <c r="J135" s="20"/>
      <c r="K135" s="21" t="str">
        <f>IF(ISNUMBER(J135), (J135 - $B135) / $B135, "")</f>
        <v/>
      </c>
      <c r="L135" s="26" t="str">
        <f>IF(ISNUMBER(J135), $B145 * K135, "")</f>
        <v/>
      </c>
      <c r="M135" s="20"/>
      <c r="N135" s="21" t="str">
        <f>IF(ISNUMBER(M135), (M135 - $B135) / $B135, "")</f>
        <v/>
      </c>
      <c r="O135" s="26" t="str">
        <f>IF(ISNUMBER(M135), $B145 * N135, "")</f>
        <v/>
      </c>
      <c r="Q135" s="114"/>
      <c r="R135" s="115"/>
      <c r="S135" s="116"/>
    </row>
    <row r="136" spans="1:19" ht="17.25" thickBot="1">
      <c r="A136" s="47"/>
      <c r="B136" s="48"/>
      <c r="C136" s="24"/>
      <c r="D136" s="23"/>
      <c r="E136" s="24" t="str">
        <f t="shared" ref="E136:E139" si="70">IF(ISNUMBER(D136), (D136 - $B136) / $B136, "")</f>
        <v/>
      </c>
      <c r="F136" s="28" t="str">
        <f>IF(ISNUMBER(D136), $B145 * E136, "")</f>
        <v/>
      </c>
      <c r="G136" s="23"/>
      <c r="H136" s="24" t="str">
        <f t="shared" ref="H136:H139" si="71">IF(ISNUMBER(G136), (G136 - $B136) / $B136, "")</f>
        <v/>
      </c>
      <c r="I136" s="28" t="str">
        <f>IF(ISNUMBER(G136), $B145 * H136, "")</f>
        <v/>
      </c>
      <c r="J136" s="23"/>
      <c r="K136" s="24" t="str">
        <f t="shared" ref="K136:K139" si="72">IF(ISNUMBER(J136), (J136 - $B136) / $B136, "")</f>
        <v/>
      </c>
      <c r="L136" s="28" t="str">
        <f>IF(ISNUMBER(J136), $B145 * K136, "")</f>
        <v/>
      </c>
      <c r="M136" s="23"/>
      <c r="N136" s="24" t="str">
        <f t="shared" ref="N136:N139" si="73">IF(ISNUMBER(M136), (M136 - $B136) / $B136, "")</f>
        <v/>
      </c>
      <c r="O136" s="28" t="str">
        <f>IF(ISNUMBER(M136), $B145 * N136, "")</f>
        <v/>
      </c>
      <c r="Q136" s="117"/>
      <c r="R136" s="118"/>
      <c r="S136" s="119"/>
    </row>
    <row r="137" spans="1:19" ht="17.25" thickBot="1">
      <c r="A137" s="47"/>
      <c r="B137" s="48"/>
      <c r="C137" s="24"/>
      <c r="D137" s="23"/>
      <c r="E137" s="24" t="str">
        <f t="shared" si="70"/>
        <v/>
      </c>
      <c r="F137" s="28" t="str">
        <f>IF(ISNUMBER(D137), $B145 * E137, "")</f>
        <v/>
      </c>
      <c r="G137" s="23"/>
      <c r="H137" s="24" t="str">
        <f t="shared" si="71"/>
        <v/>
      </c>
      <c r="I137" s="28" t="str">
        <f>IF(ISNUMBER(G137), $B145 * H137, "")</f>
        <v/>
      </c>
      <c r="J137" s="23"/>
      <c r="K137" s="24" t="str">
        <f t="shared" si="72"/>
        <v/>
      </c>
      <c r="L137" s="28" t="str">
        <f>IF(ISNUMBER(J137), $B145 * K137, "")</f>
        <v/>
      </c>
      <c r="M137" s="23"/>
      <c r="N137" s="24" t="str">
        <f t="shared" si="73"/>
        <v/>
      </c>
      <c r="O137" s="28" t="str">
        <f>IF(ISNUMBER(M137), $B145 * N137, "")</f>
        <v/>
      </c>
      <c r="Q137" s="98"/>
      <c r="R137" s="98"/>
      <c r="S137" s="98"/>
    </row>
    <row r="138" spans="1:19" ht="17.25" thickBot="1">
      <c r="A138" s="47"/>
      <c r="B138" s="48"/>
      <c r="C138" s="24"/>
      <c r="D138" s="23"/>
      <c r="E138" s="24" t="str">
        <f t="shared" si="70"/>
        <v/>
      </c>
      <c r="F138" s="28" t="str">
        <f>IF(ISNUMBER(D138), $B145 * E138, "")</f>
        <v/>
      </c>
      <c r="G138" s="23"/>
      <c r="H138" s="24" t="str">
        <f t="shared" si="71"/>
        <v/>
      </c>
      <c r="I138" s="28" t="str">
        <f>IF(ISNUMBER(G138), $B145 * H138, "")</f>
        <v/>
      </c>
      <c r="J138" s="23"/>
      <c r="K138" s="24" t="str">
        <f t="shared" si="72"/>
        <v/>
      </c>
      <c r="L138" s="28" t="str">
        <f>IF(ISNUMBER(J138), $B145 * K138, "")</f>
        <v/>
      </c>
      <c r="M138" s="23"/>
      <c r="N138" s="24" t="str">
        <f t="shared" si="73"/>
        <v/>
      </c>
      <c r="O138" s="28" t="str">
        <f>IF(ISNUMBER(M138), $B145 * N138, "")</f>
        <v/>
      </c>
      <c r="Q138" s="99"/>
      <c r="R138" s="99"/>
      <c r="S138" s="99"/>
    </row>
    <row r="139" spans="1:19" ht="17.25" thickBot="1">
      <c r="A139" s="49"/>
      <c r="B139" s="50"/>
      <c r="C139" s="31"/>
      <c r="D139" s="30"/>
      <c r="E139" s="31" t="str">
        <f t="shared" si="70"/>
        <v/>
      </c>
      <c r="F139" s="33" t="str">
        <f>IF(ISNUMBER(D139), $B145 * E139, "")</f>
        <v/>
      </c>
      <c r="G139" s="30"/>
      <c r="H139" s="31" t="str">
        <f t="shared" si="71"/>
        <v/>
      </c>
      <c r="I139" s="33" t="str">
        <f>IF(ISNUMBER(G139), $B145 * H139, "")</f>
        <v/>
      </c>
      <c r="J139" s="30"/>
      <c r="K139" s="31" t="str">
        <f t="shared" si="72"/>
        <v/>
      </c>
      <c r="L139" s="33" t="str">
        <f>IF(ISNUMBER(J139), $B145 * K139, "")</f>
        <v/>
      </c>
      <c r="M139" s="30"/>
      <c r="N139" s="31" t="str">
        <f t="shared" si="73"/>
        <v/>
      </c>
      <c r="O139" s="33" t="str">
        <f>IF(ISNUMBER(M139), $B145 * N139, "")</f>
        <v/>
      </c>
      <c r="Q139" s="99"/>
      <c r="R139" s="99"/>
      <c r="S139" s="99"/>
    </row>
    <row r="140" spans="1:19" ht="17.25" thickBot="1">
      <c r="A140" s="47"/>
      <c r="B140" s="51"/>
      <c r="C140" s="52"/>
      <c r="D140" s="23"/>
      <c r="E140" s="52" t="str">
        <f>IF(ISNUMBER(D140), (D140 - $B140) / $B140, "")</f>
        <v/>
      </c>
      <c r="F140" s="28" t="str">
        <f>IF(ISNUMBER(D140), $B145 * E140, "")</f>
        <v/>
      </c>
      <c r="G140" s="23"/>
      <c r="H140" s="52" t="str">
        <f>IF(ISNUMBER(G140), (G140 - $B140) / $B140, "")</f>
        <v/>
      </c>
      <c r="I140" s="28" t="str">
        <f>IF(ISNUMBER(G140), $B145 * H140, "")</f>
        <v/>
      </c>
      <c r="J140" s="23"/>
      <c r="K140" s="52" t="str">
        <f>IF(ISNUMBER(J140), (J140 - $B140) / $B140, "")</f>
        <v/>
      </c>
      <c r="L140" s="28" t="str">
        <f>IF(ISNUMBER(J140), $B145 * K140, "")</f>
        <v/>
      </c>
      <c r="M140" s="23"/>
      <c r="N140" s="52" t="str">
        <f>IF(ISNUMBER(M140), (M140 - $B140) / $B140, "")</f>
        <v/>
      </c>
      <c r="O140" s="28" t="str">
        <f>IF(ISNUMBER(M140), $B145 * N140, "")</f>
        <v/>
      </c>
      <c r="Q140" s="100"/>
      <c r="R140" s="100"/>
      <c r="S140" s="100"/>
    </row>
    <row r="141" spans="1:19" ht="17.25" thickBot="1">
      <c r="A141" s="47"/>
      <c r="B141" s="48"/>
      <c r="C141" s="24"/>
      <c r="D141" s="23"/>
      <c r="E141" s="24" t="str">
        <f t="shared" ref="E141:E144" si="74">IF(ISNUMBER(D141), (D141 - $B141) / $B141, "")</f>
        <v/>
      </c>
      <c r="F141" s="28" t="str">
        <f>IF(ISNUMBER(D141), $B145 * E141, "")</f>
        <v/>
      </c>
      <c r="G141" s="23"/>
      <c r="H141" s="24" t="str">
        <f t="shared" ref="H141:H144" si="75">IF(ISNUMBER(G141), (G141 - $B141) / $B141, "")</f>
        <v/>
      </c>
      <c r="I141" s="28" t="str">
        <f>IF(ISNUMBER(G141), $B145 * H141, "")</f>
        <v/>
      </c>
      <c r="J141" s="23"/>
      <c r="K141" s="24" t="str">
        <f t="shared" ref="K141:K144" si="76">IF(ISNUMBER(J141), (J141 - $B141) / $B141, "")</f>
        <v/>
      </c>
      <c r="L141" s="28" t="str">
        <f>IF(ISNUMBER(J141), $B145 * K141, "")</f>
        <v/>
      </c>
      <c r="M141" s="23"/>
      <c r="N141" s="24" t="str">
        <f t="shared" ref="N141:N144" si="77">IF(ISNUMBER(M141), (M141 - $B141) / $B141, "")</f>
        <v/>
      </c>
      <c r="O141" s="28" t="str">
        <f>IF(ISNUMBER(M141), $B145 * N141, "")</f>
        <v/>
      </c>
      <c r="Q141" s="100"/>
      <c r="R141" s="100"/>
      <c r="S141" s="100"/>
    </row>
    <row r="142" spans="1:19" ht="17.25" thickBot="1">
      <c r="A142" s="47"/>
      <c r="B142" s="48"/>
      <c r="C142" s="24"/>
      <c r="D142" s="23"/>
      <c r="E142" s="24" t="str">
        <f t="shared" si="74"/>
        <v/>
      </c>
      <c r="F142" s="28" t="str">
        <f>IF(ISNUMBER(D142), $B145 * E142, "")</f>
        <v/>
      </c>
      <c r="G142" s="23"/>
      <c r="H142" s="24" t="str">
        <f t="shared" si="75"/>
        <v/>
      </c>
      <c r="I142" s="28" t="str">
        <f>IF(ISNUMBER(G142), $B145 * H142, "")</f>
        <v/>
      </c>
      <c r="J142" s="23"/>
      <c r="K142" s="24" t="str">
        <f t="shared" si="76"/>
        <v/>
      </c>
      <c r="L142" s="28" t="str">
        <f>IF(ISNUMBER(J142), $B145 * K142, "")</f>
        <v/>
      </c>
      <c r="M142" s="23"/>
      <c r="N142" s="24" t="str">
        <f t="shared" si="77"/>
        <v/>
      </c>
      <c r="O142" s="28" t="str">
        <f>IF(ISNUMBER(M142), $B145 * N142, "")</f>
        <v/>
      </c>
      <c r="Q142" s="101"/>
      <c r="R142" s="101"/>
      <c r="S142" s="101"/>
    </row>
    <row r="143" spans="1:19">
      <c r="A143" s="47"/>
      <c r="B143" s="48"/>
      <c r="C143" s="24"/>
      <c r="D143" s="23"/>
      <c r="E143" s="24" t="str">
        <f t="shared" si="74"/>
        <v/>
      </c>
      <c r="F143" s="28" t="str">
        <f>IF(ISNUMBER(D143), $B145 * E143, "")</f>
        <v/>
      </c>
      <c r="G143" s="23"/>
      <c r="H143" s="24" t="str">
        <f t="shared" si="75"/>
        <v/>
      </c>
      <c r="I143" s="28" t="str">
        <f>IF(ISNUMBER(G143), $B145 * H143, "")</f>
        <v/>
      </c>
      <c r="J143" s="23"/>
      <c r="K143" s="24" t="str">
        <f t="shared" si="76"/>
        <v/>
      </c>
      <c r="L143" s="28" t="str">
        <f>IF(ISNUMBER(J143), $B145 * K143, "")</f>
        <v/>
      </c>
      <c r="M143" s="23"/>
      <c r="N143" s="24" t="str">
        <f t="shared" si="77"/>
        <v/>
      </c>
      <c r="O143" s="28" t="str">
        <f>IF(ISNUMBER(M143), $B145 * N143, "")</f>
        <v/>
      </c>
      <c r="Q143" s="102"/>
      <c r="R143" s="103"/>
      <c r="S143" s="104"/>
    </row>
    <row r="144" spans="1:19" ht="17.25" thickBot="1">
      <c r="A144" s="49"/>
      <c r="B144" s="50"/>
      <c r="C144" s="31"/>
      <c r="D144" s="30"/>
      <c r="E144" s="31" t="str">
        <f t="shared" si="74"/>
        <v/>
      </c>
      <c r="F144" s="28" t="str">
        <f>IF(ISNUMBER(D144), $B145 * E144, "")</f>
        <v/>
      </c>
      <c r="G144" s="30"/>
      <c r="H144" s="31" t="str">
        <f t="shared" si="75"/>
        <v/>
      </c>
      <c r="I144" s="28" t="str">
        <f>IF(ISNUMBER(G144), $B145 * H144, "")</f>
        <v/>
      </c>
      <c r="J144" s="30"/>
      <c r="K144" s="31" t="str">
        <f t="shared" si="76"/>
        <v/>
      </c>
      <c r="L144" s="28" t="str">
        <f>IF(ISNUMBER(J144), $B145 * K144, "")</f>
        <v/>
      </c>
      <c r="M144" s="30"/>
      <c r="N144" s="31" t="str">
        <f t="shared" si="77"/>
        <v/>
      </c>
      <c r="O144" s="28" t="str">
        <f>IF(ISNUMBER(M144), $B145 * N144, "")</f>
        <v/>
      </c>
      <c r="Q144" s="105"/>
      <c r="R144" s="106"/>
      <c r="S144" s="107"/>
    </row>
    <row r="145" spans="1:19" ht="17.25" thickBot="1">
      <c r="A145" s="39" t="s">
        <v>46</v>
      </c>
      <c r="B145" s="120">
        <v>100000</v>
      </c>
      <c r="C145" s="121"/>
      <c r="D145" s="39" t="s">
        <v>47</v>
      </c>
      <c r="E145" s="40">
        <f>IF(COUNT(E125:E144), SUM(E125:E144) / COUNT(E125:E144), 0)</f>
        <v>0</v>
      </c>
      <c r="F145" s="41">
        <f>SUM(F125:F144)</f>
        <v>0</v>
      </c>
      <c r="G145" s="39" t="s">
        <v>47</v>
      </c>
      <c r="H145" s="40">
        <f>IF(COUNT(H125:H144), SUM(H125:H144) / COUNT(H125:H144), 0)</f>
        <v>0</v>
      </c>
      <c r="I145" s="41">
        <f>SUM(I125:I144)</f>
        <v>0</v>
      </c>
      <c r="J145" s="39" t="s">
        <v>47</v>
      </c>
      <c r="K145" s="40">
        <f>IF(COUNT(K125:K144), SUM(K125:K144) / COUNT(K125:K144), 0)</f>
        <v>0</v>
      </c>
      <c r="L145" s="41">
        <f>SUM(L125:L144)</f>
        <v>0</v>
      </c>
      <c r="M145" s="39" t="s">
        <v>47</v>
      </c>
      <c r="N145" s="40">
        <f>IF(COUNT(N125:N144), SUM(N125:N144) / COUNT(N125:N144), 0)</f>
        <v>0</v>
      </c>
      <c r="O145" s="41">
        <f>SUM(O125:O144)</f>
        <v>0</v>
      </c>
      <c r="Q145" s="108"/>
      <c r="R145" s="109"/>
      <c r="S145" s="110"/>
    </row>
    <row r="147" spans="1:19" ht="17.25" thickBot="1"/>
    <row r="148" spans="1:19" ht="17.25" thickBot="1">
      <c r="A148" s="122" t="s">
        <v>299</v>
      </c>
      <c r="B148" s="123"/>
      <c r="C148" s="123"/>
      <c r="D148" s="123"/>
      <c r="E148" s="123"/>
      <c r="F148" s="123"/>
      <c r="G148" s="123"/>
      <c r="H148" s="123"/>
      <c r="I148" s="123"/>
      <c r="J148" s="123"/>
      <c r="K148" s="123"/>
      <c r="L148" s="123"/>
      <c r="M148" s="123"/>
      <c r="N148" s="123"/>
      <c r="O148" s="124"/>
      <c r="Q148" s="111"/>
      <c r="R148" s="112"/>
      <c r="S148" s="113"/>
    </row>
    <row r="149" spans="1:19" ht="17.25" thickBot="1">
      <c r="A149" s="10" t="s">
        <v>35</v>
      </c>
      <c r="B149" s="122" t="s">
        <v>36</v>
      </c>
      <c r="C149" s="124"/>
      <c r="D149" s="122" t="s">
        <v>37</v>
      </c>
      <c r="E149" s="123"/>
      <c r="F149" s="124"/>
      <c r="G149" s="125">
        <f>_xlfn.IFNA(VLOOKUP(B149, 현재가테이블!$B$2:$D$200, 2, FALSE), "-")</f>
        <v>78003000</v>
      </c>
      <c r="H149" s="126"/>
      <c r="I149" s="127"/>
      <c r="J149" s="122" t="s">
        <v>38</v>
      </c>
      <c r="K149" s="123"/>
      <c r="L149" s="124"/>
      <c r="M149" s="128">
        <f>_xlfn.IFNA(VLOOKUP(B149, 현재가테이블!$B$2:$D$200, 3, FALSE), "-")</f>
        <v>-6.7108111999999998E-3</v>
      </c>
      <c r="N149" s="129"/>
      <c r="O149" s="130"/>
      <c r="Q149" s="114"/>
      <c r="R149" s="115"/>
      <c r="S149" s="116"/>
    </row>
    <row r="150" spans="1:19" ht="17.25" thickBot="1">
      <c r="A150" s="131" t="s">
        <v>39</v>
      </c>
      <c r="B150" s="132" t="s">
        <v>40</v>
      </c>
      <c r="C150" s="133"/>
      <c r="D150" s="134" t="s">
        <v>41</v>
      </c>
      <c r="E150" s="135"/>
      <c r="F150" s="136"/>
      <c r="G150" s="134" t="s">
        <v>42</v>
      </c>
      <c r="H150" s="135"/>
      <c r="I150" s="136"/>
      <c r="J150" s="137" t="s">
        <v>43</v>
      </c>
      <c r="K150" s="137"/>
      <c r="L150" s="137"/>
      <c r="M150" s="134" t="s">
        <v>40</v>
      </c>
      <c r="N150" s="135"/>
      <c r="O150" s="136"/>
      <c r="Q150" s="117"/>
      <c r="R150" s="118"/>
      <c r="S150" s="119"/>
    </row>
    <row r="151" spans="1:19" ht="17.25" thickBot="1">
      <c r="A151" s="131"/>
      <c r="B151" s="2" t="s">
        <v>37</v>
      </c>
      <c r="C151" s="12" t="s">
        <v>38</v>
      </c>
      <c r="D151" s="2" t="s">
        <v>37</v>
      </c>
      <c r="E151" s="12" t="s">
        <v>44</v>
      </c>
      <c r="F151" s="13" t="s">
        <v>45</v>
      </c>
      <c r="G151" s="2" t="s">
        <v>37</v>
      </c>
      <c r="H151" s="12" t="s">
        <v>44</v>
      </c>
      <c r="I151" s="13" t="s">
        <v>45</v>
      </c>
      <c r="J151" s="12" t="s">
        <v>37</v>
      </c>
      <c r="K151" s="12" t="s">
        <v>44</v>
      </c>
      <c r="L151" s="17" t="s">
        <v>45</v>
      </c>
      <c r="M151" s="2" t="s">
        <v>37</v>
      </c>
      <c r="N151" s="12" t="s">
        <v>44</v>
      </c>
      <c r="O151" s="18" t="s">
        <v>45</v>
      </c>
      <c r="Q151" s="98"/>
      <c r="R151" s="98"/>
      <c r="S151" s="98"/>
    </row>
    <row r="152" spans="1:19" ht="17.25" thickBot="1">
      <c r="A152" s="45"/>
      <c r="B152" s="46"/>
      <c r="C152" s="21"/>
      <c r="D152" s="20"/>
      <c r="E152" s="21" t="str">
        <f>IF(ISNUMBER(D152), (D152 - $B152) / $B152, "")</f>
        <v/>
      </c>
      <c r="F152" s="26" t="str">
        <f>IF(ISNUMBER(D152), $B172 * E152, "")</f>
        <v/>
      </c>
      <c r="G152" s="20"/>
      <c r="H152" s="21" t="str">
        <f>IF(ISNUMBER(G152), (G152 - $B152) / $B152, "")</f>
        <v/>
      </c>
      <c r="I152" s="26" t="str">
        <f>IF(ISNUMBER(G152), $B172 * H152, "")</f>
        <v/>
      </c>
      <c r="J152" s="20"/>
      <c r="K152" s="21" t="str">
        <f>IF(ISNUMBER(J152), (J152 - $B152) / $B152, "")</f>
        <v/>
      </c>
      <c r="L152" s="26" t="str">
        <f>IF(ISNUMBER(J152), $B172 * K152, "")</f>
        <v/>
      </c>
      <c r="M152" s="20"/>
      <c r="N152" s="21" t="str">
        <f>IF(ISNUMBER(M152), (M152 - $B152) / $B152, "")</f>
        <v/>
      </c>
      <c r="O152" s="26" t="str">
        <f>IF(ISNUMBER(M152), $B172 * N152, "")</f>
        <v/>
      </c>
      <c r="Q152" s="99"/>
      <c r="R152" s="99"/>
      <c r="S152" s="99"/>
    </row>
    <row r="153" spans="1:19" ht="17.25" thickBot="1">
      <c r="A153" s="47"/>
      <c r="B153" s="48"/>
      <c r="C153" s="24"/>
      <c r="D153" s="23"/>
      <c r="E153" s="24" t="str">
        <f t="shared" ref="E153:E156" si="78">IF(ISNUMBER(D153), (D153 - $B153) / $B153, "")</f>
        <v/>
      </c>
      <c r="F153" s="28" t="str">
        <f>IF(ISNUMBER(D153), $B172 * E153, "")</f>
        <v/>
      </c>
      <c r="G153" s="23"/>
      <c r="H153" s="24" t="str">
        <f t="shared" ref="H153:H156" si="79">IF(ISNUMBER(G153), (G153 - $B153) / $B153, "")</f>
        <v/>
      </c>
      <c r="I153" s="28" t="str">
        <f>IF(ISNUMBER(G153), $B172 * H153, "")</f>
        <v/>
      </c>
      <c r="J153" s="23"/>
      <c r="K153" s="24" t="str">
        <f t="shared" ref="K153:K156" si="80">IF(ISNUMBER(J153), (J153 - $B153) / $B153, "")</f>
        <v/>
      </c>
      <c r="L153" s="28" t="str">
        <f>IF(ISNUMBER(J153), $B172 * K153, "")</f>
        <v/>
      </c>
      <c r="M153" s="23"/>
      <c r="N153" s="24" t="str">
        <f t="shared" ref="N153:N156" si="81">IF(ISNUMBER(M153), (M153 - $B153) / $B153, "")</f>
        <v/>
      </c>
      <c r="O153" s="28" t="str">
        <f>IF(ISNUMBER(M153), $B172 * N153, "")</f>
        <v/>
      </c>
      <c r="Q153" s="99"/>
      <c r="R153" s="99"/>
      <c r="S153" s="99"/>
    </row>
    <row r="154" spans="1:19" ht="17.25" thickBot="1">
      <c r="A154" s="47"/>
      <c r="B154" s="48"/>
      <c r="C154" s="24"/>
      <c r="D154" s="23"/>
      <c r="E154" s="24" t="str">
        <f t="shared" si="78"/>
        <v/>
      </c>
      <c r="F154" s="28" t="str">
        <f>IF(ISNUMBER(D154), $B172 * E154, "")</f>
        <v/>
      </c>
      <c r="G154" s="23"/>
      <c r="H154" s="24" t="str">
        <f t="shared" si="79"/>
        <v/>
      </c>
      <c r="I154" s="28" t="str">
        <f>IF(ISNUMBER(G154), $B172 * H154, "")</f>
        <v/>
      </c>
      <c r="J154" s="23"/>
      <c r="K154" s="24" t="str">
        <f t="shared" si="80"/>
        <v/>
      </c>
      <c r="L154" s="28" t="str">
        <f>IF(ISNUMBER(J154), $B172 * K154, "")</f>
        <v/>
      </c>
      <c r="M154" s="23"/>
      <c r="N154" s="24" t="str">
        <f t="shared" si="81"/>
        <v/>
      </c>
      <c r="O154" s="28" t="str">
        <f>IF(ISNUMBER(M154), $B172 * N154, "")</f>
        <v/>
      </c>
      <c r="Q154" s="100"/>
      <c r="R154" s="100"/>
      <c r="S154" s="100"/>
    </row>
    <row r="155" spans="1:19" ht="17.25" thickBot="1">
      <c r="A155" s="47"/>
      <c r="B155" s="48"/>
      <c r="C155" s="24"/>
      <c r="D155" s="23"/>
      <c r="E155" s="24" t="str">
        <f t="shared" si="78"/>
        <v/>
      </c>
      <c r="F155" s="28" t="str">
        <f>IF(ISNUMBER(D155), $B172 * E155, "")</f>
        <v/>
      </c>
      <c r="G155" s="23"/>
      <c r="H155" s="24" t="str">
        <f t="shared" si="79"/>
        <v/>
      </c>
      <c r="I155" s="28" t="str">
        <f>IF(ISNUMBER(G155), $B172 * H155, "")</f>
        <v/>
      </c>
      <c r="J155" s="23"/>
      <c r="K155" s="24" t="str">
        <f t="shared" si="80"/>
        <v/>
      </c>
      <c r="L155" s="28" t="str">
        <f>IF(ISNUMBER(J155), $B172 * K155, "")</f>
        <v/>
      </c>
      <c r="M155" s="23"/>
      <c r="N155" s="24" t="str">
        <f t="shared" si="81"/>
        <v/>
      </c>
      <c r="O155" s="28" t="str">
        <f>IF(ISNUMBER(M155), $B172 * N155, "")</f>
        <v/>
      </c>
      <c r="Q155" s="100"/>
      <c r="R155" s="100"/>
      <c r="S155" s="100"/>
    </row>
    <row r="156" spans="1:19" ht="17.25" thickBot="1">
      <c r="A156" s="49"/>
      <c r="B156" s="50"/>
      <c r="C156" s="31"/>
      <c r="D156" s="30"/>
      <c r="E156" s="31" t="str">
        <f t="shared" si="78"/>
        <v/>
      </c>
      <c r="F156" s="33" t="str">
        <f>IF(ISNUMBER(D156), $B172 * E156, "")</f>
        <v/>
      </c>
      <c r="G156" s="30"/>
      <c r="H156" s="31" t="str">
        <f t="shared" si="79"/>
        <v/>
      </c>
      <c r="I156" s="33" t="str">
        <f>IF(ISNUMBER(G156), $B172 * H156, "")</f>
        <v/>
      </c>
      <c r="J156" s="30"/>
      <c r="K156" s="31" t="str">
        <f t="shared" si="80"/>
        <v/>
      </c>
      <c r="L156" s="33" t="str">
        <f>IF(ISNUMBER(J156), $B172 * K156, "")</f>
        <v/>
      </c>
      <c r="M156" s="30"/>
      <c r="N156" s="31" t="str">
        <f t="shared" si="81"/>
        <v/>
      </c>
      <c r="O156" s="33" t="str">
        <f>IF(ISNUMBER(M156), $B172 * N156, "")</f>
        <v/>
      </c>
      <c r="Q156" s="101"/>
      <c r="R156" s="101"/>
      <c r="S156" s="101"/>
    </row>
    <row r="157" spans="1:19">
      <c r="A157" s="47"/>
      <c r="B157" s="51"/>
      <c r="C157" s="52"/>
      <c r="D157" s="23"/>
      <c r="E157" s="52" t="str">
        <f>IF(ISNUMBER(D157), (D157 - $B157) / $B157, "")</f>
        <v/>
      </c>
      <c r="F157" s="28" t="str">
        <f>IF(ISNUMBER(D157), $B172 * E157, "")</f>
        <v/>
      </c>
      <c r="G157" s="23"/>
      <c r="H157" s="52" t="str">
        <f>IF(ISNUMBER(G157), (G157 - $B157) / $B157, "")</f>
        <v/>
      </c>
      <c r="I157" s="28" t="str">
        <f>IF(ISNUMBER(G157), $B172 * H157, "")</f>
        <v/>
      </c>
      <c r="J157" s="23"/>
      <c r="K157" s="52" t="str">
        <f>IF(ISNUMBER(J157), (J157 - $B157) / $B157, "")</f>
        <v/>
      </c>
      <c r="L157" s="28" t="str">
        <f>IF(ISNUMBER(J157), $B172 * K157, "")</f>
        <v/>
      </c>
      <c r="M157" s="23"/>
      <c r="N157" s="52" t="str">
        <f>IF(ISNUMBER(M157), (M157 - $B157) / $B157, "")</f>
        <v/>
      </c>
      <c r="O157" s="28" t="str">
        <f>IF(ISNUMBER(M157), $B172 * N157, "")</f>
        <v/>
      </c>
      <c r="Q157" s="102"/>
      <c r="R157" s="103"/>
      <c r="S157" s="104"/>
    </row>
    <row r="158" spans="1:19">
      <c r="A158" s="47"/>
      <c r="B158" s="48"/>
      <c r="C158" s="24"/>
      <c r="D158" s="23"/>
      <c r="E158" s="24" t="str">
        <f t="shared" ref="E158:E161" si="82">IF(ISNUMBER(D158), (D158 - $B158) / $B158, "")</f>
        <v/>
      </c>
      <c r="F158" s="28" t="str">
        <f>IF(ISNUMBER(D158), $B172 * E158, "")</f>
        <v/>
      </c>
      <c r="G158" s="23"/>
      <c r="H158" s="24" t="str">
        <f t="shared" ref="H158:H161" si="83">IF(ISNUMBER(G158), (G158 - $B158) / $B158, "")</f>
        <v/>
      </c>
      <c r="I158" s="28" t="str">
        <f>IF(ISNUMBER(G158), $B172 * H158, "")</f>
        <v/>
      </c>
      <c r="J158" s="23"/>
      <c r="K158" s="24" t="str">
        <f t="shared" ref="K158:K161" si="84">IF(ISNUMBER(J158), (J158 - $B158) / $B158, "")</f>
        <v/>
      </c>
      <c r="L158" s="28" t="str">
        <f>IF(ISNUMBER(J158), $B172 * K158, "")</f>
        <v/>
      </c>
      <c r="M158" s="23"/>
      <c r="N158" s="24" t="str">
        <f t="shared" ref="N158:N161" si="85">IF(ISNUMBER(M158), (M158 - $B158) / $B158, "")</f>
        <v/>
      </c>
      <c r="O158" s="28" t="str">
        <f>IF(ISNUMBER(M158), $B172 * N158, "")</f>
        <v/>
      </c>
      <c r="Q158" s="105"/>
      <c r="R158" s="106"/>
      <c r="S158" s="107"/>
    </row>
    <row r="159" spans="1:19" ht="17.25" thickBot="1">
      <c r="A159" s="47"/>
      <c r="B159" s="48"/>
      <c r="C159" s="24"/>
      <c r="D159" s="23"/>
      <c r="E159" s="24" t="str">
        <f t="shared" si="82"/>
        <v/>
      </c>
      <c r="F159" s="28" t="str">
        <f>IF(ISNUMBER(D159), $B172 * E159, "")</f>
        <v/>
      </c>
      <c r="G159" s="23"/>
      <c r="H159" s="24" t="str">
        <f t="shared" si="83"/>
        <v/>
      </c>
      <c r="I159" s="28" t="str">
        <f>IF(ISNUMBER(G159), $B172 * H159, "")</f>
        <v/>
      </c>
      <c r="J159" s="23"/>
      <c r="K159" s="24" t="str">
        <f t="shared" si="84"/>
        <v/>
      </c>
      <c r="L159" s="28" t="str">
        <f>IF(ISNUMBER(J159), $B172 * K159, "")</f>
        <v/>
      </c>
      <c r="M159" s="23"/>
      <c r="N159" s="24" t="str">
        <f t="shared" si="85"/>
        <v/>
      </c>
      <c r="O159" s="28" t="str">
        <f>IF(ISNUMBER(M159), $B172 * N159, "")</f>
        <v/>
      </c>
      <c r="Q159" s="108"/>
      <c r="R159" s="109"/>
      <c r="S159" s="110"/>
    </row>
    <row r="160" spans="1:19" ht="17.25" thickBot="1">
      <c r="A160" s="47"/>
      <c r="B160" s="48"/>
      <c r="C160" s="24"/>
      <c r="D160" s="23"/>
      <c r="E160" s="24" t="str">
        <f t="shared" si="82"/>
        <v/>
      </c>
      <c r="F160" s="28" t="str">
        <f>IF(ISNUMBER(D160), $B172 * E160, "")</f>
        <v/>
      </c>
      <c r="G160" s="23"/>
      <c r="H160" s="24" t="str">
        <f t="shared" si="83"/>
        <v/>
      </c>
      <c r="I160" s="28" t="str">
        <f>IF(ISNUMBER(G160), $B172 * H160, "")</f>
        <v/>
      </c>
      <c r="J160" s="23"/>
      <c r="K160" s="24" t="str">
        <f t="shared" si="84"/>
        <v/>
      </c>
      <c r="L160" s="28" t="str">
        <f>IF(ISNUMBER(J160), $B172 * K160, "")</f>
        <v/>
      </c>
      <c r="M160" s="23"/>
      <c r="N160" s="24" t="str">
        <f t="shared" si="85"/>
        <v/>
      </c>
      <c r="O160" s="28" t="str">
        <f>IF(ISNUMBER(M160), $B172 * N160, "")</f>
        <v/>
      </c>
    </row>
    <row r="161" spans="1:19" ht="17.25" thickBot="1">
      <c r="A161" s="49"/>
      <c r="B161" s="50"/>
      <c r="C161" s="31"/>
      <c r="D161" s="30"/>
      <c r="E161" s="31" t="str">
        <f t="shared" si="82"/>
        <v/>
      </c>
      <c r="F161" s="28" t="str">
        <f>IF(ISNUMBER(D161), $B172 * E161, "")</f>
        <v/>
      </c>
      <c r="G161" s="30"/>
      <c r="H161" s="31" t="str">
        <f t="shared" si="83"/>
        <v/>
      </c>
      <c r="I161" s="28" t="str">
        <f>IF(ISNUMBER(G161), $B172 * H161, "")</f>
        <v/>
      </c>
      <c r="J161" s="30"/>
      <c r="K161" s="31" t="str">
        <f t="shared" si="84"/>
        <v/>
      </c>
      <c r="L161" s="28" t="str">
        <f>IF(ISNUMBER(J161), $B172 * K161, "")</f>
        <v/>
      </c>
      <c r="M161" s="30"/>
      <c r="N161" s="31" t="str">
        <f t="shared" si="85"/>
        <v/>
      </c>
      <c r="O161" s="28" t="str">
        <f>IF(ISNUMBER(M161), $B172 * N161, "")</f>
        <v/>
      </c>
      <c r="Q161" s="111"/>
      <c r="R161" s="112"/>
      <c r="S161" s="113"/>
    </row>
    <row r="162" spans="1:19">
      <c r="A162" s="45"/>
      <c r="B162" s="46"/>
      <c r="C162" s="21"/>
      <c r="D162" s="20"/>
      <c r="E162" s="21" t="str">
        <f>IF(ISNUMBER(D162), (D162 - $B162) / $B162, "")</f>
        <v/>
      </c>
      <c r="F162" s="26" t="str">
        <f>IF(ISNUMBER(D162), $B172 * E162, "")</f>
        <v/>
      </c>
      <c r="G162" s="20"/>
      <c r="H162" s="21" t="str">
        <f>IF(ISNUMBER(G162), (G162 - $B162) / $B162, "")</f>
        <v/>
      </c>
      <c r="I162" s="26" t="str">
        <f>IF(ISNUMBER(G162), $B172 * H162, "")</f>
        <v/>
      </c>
      <c r="J162" s="20"/>
      <c r="K162" s="21" t="str">
        <f>IF(ISNUMBER(J162), (J162 - $B162) / $B162, "")</f>
        <v/>
      </c>
      <c r="L162" s="26" t="str">
        <f>IF(ISNUMBER(J162), $B172 * K162, "")</f>
        <v/>
      </c>
      <c r="M162" s="20"/>
      <c r="N162" s="21" t="str">
        <f>IF(ISNUMBER(M162), (M162 - $B162) / $B162, "")</f>
        <v/>
      </c>
      <c r="O162" s="26" t="str">
        <f>IF(ISNUMBER(M162), $B172 * N162, "")</f>
        <v/>
      </c>
      <c r="Q162" s="114"/>
      <c r="R162" s="115"/>
      <c r="S162" s="116"/>
    </row>
    <row r="163" spans="1:19" ht="17.25" thickBot="1">
      <c r="A163" s="47"/>
      <c r="B163" s="48"/>
      <c r="C163" s="24"/>
      <c r="D163" s="23"/>
      <c r="E163" s="24" t="str">
        <f t="shared" ref="E163:E166" si="86">IF(ISNUMBER(D163), (D163 - $B163) / $B163, "")</f>
        <v/>
      </c>
      <c r="F163" s="28" t="str">
        <f>IF(ISNUMBER(D163), $B172 * E163, "")</f>
        <v/>
      </c>
      <c r="G163" s="23"/>
      <c r="H163" s="24" t="str">
        <f t="shared" ref="H163:H166" si="87">IF(ISNUMBER(G163), (G163 - $B163) / $B163, "")</f>
        <v/>
      </c>
      <c r="I163" s="28" t="str">
        <f>IF(ISNUMBER(G163), $B172 * H163, "")</f>
        <v/>
      </c>
      <c r="J163" s="23"/>
      <c r="K163" s="24" t="str">
        <f t="shared" ref="K163:K166" si="88">IF(ISNUMBER(J163), (J163 - $B163) / $B163, "")</f>
        <v/>
      </c>
      <c r="L163" s="28" t="str">
        <f>IF(ISNUMBER(J163), $B172 * K163, "")</f>
        <v/>
      </c>
      <c r="M163" s="23"/>
      <c r="N163" s="24" t="str">
        <f t="shared" ref="N163:N166" si="89">IF(ISNUMBER(M163), (M163 - $B163) / $B163, "")</f>
        <v/>
      </c>
      <c r="O163" s="28" t="str">
        <f>IF(ISNUMBER(M163), $B172 * N163, "")</f>
        <v/>
      </c>
      <c r="Q163" s="117"/>
      <c r="R163" s="118"/>
      <c r="S163" s="119"/>
    </row>
    <row r="164" spans="1:19" ht="17.25" thickBot="1">
      <c r="A164" s="47"/>
      <c r="B164" s="48"/>
      <c r="C164" s="24"/>
      <c r="D164" s="23"/>
      <c r="E164" s="24" t="str">
        <f t="shared" si="86"/>
        <v/>
      </c>
      <c r="F164" s="28" t="str">
        <f>IF(ISNUMBER(D164), $B172 * E164, "")</f>
        <v/>
      </c>
      <c r="G164" s="23"/>
      <c r="H164" s="24" t="str">
        <f t="shared" si="87"/>
        <v/>
      </c>
      <c r="I164" s="28" t="str">
        <f>IF(ISNUMBER(G164), $B172 * H164, "")</f>
        <v/>
      </c>
      <c r="J164" s="23"/>
      <c r="K164" s="24" t="str">
        <f t="shared" si="88"/>
        <v/>
      </c>
      <c r="L164" s="28" t="str">
        <f>IF(ISNUMBER(J164), $B172 * K164, "")</f>
        <v/>
      </c>
      <c r="M164" s="23"/>
      <c r="N164" s="24" t="str">
        <f t="shared" si="89"/>
        <v/>
      </c>
      <c r="O164" s="28" t="str">
        <f>IF(ISNUMBER(M164), $B172 * N164, "")</f>
        <v/>
      </c>
      <c r="Q164" s="98"/>
      <c r="R164" s="98"/>
      <c r="S164" s="98"/>
    </row>
    <row r="165" spans="1:19" ht="17.25" thickBot="1">
      <c r="A165" s="47"/>
      <c r="B165" s="48"/>
      <c r="C165" s="24"/>
      <c r="D165" s="23"/>
      <c r="E165" s="24" t="str">
        <f t="shared" si="86"/>
        <v/>
      </c>
      <c r="F165" s="28" t="str">
        <f>IF(ISNUMBER(D165), $B172 * E165, "")</f>
        <v/>
      </c>
      <c r="G165" s="23"/>
      <c r="H165" s="24" t="str">
        <f t="shared" si="87"/>
        <v/>
      </c>
      <c r="I165" s="28" t="str">
        <f>IF(ISNUMBER(G165), $B172 * H165, "")</f>
        <v/>
      </c>
      <c r="J165" s="23"/>
      <c r="K165" s="24" t="str">
        <f t="shared" si="88"/>
        <v/>
      </c>
      <c r="L165" s="28" t="str">
        <f>IF(ISNUMBER(J165), $B172 * K165, "")</f>
        <v/>
      </c>
      <c r="M165" s="23"/>
      <c r="N165" s="24" t="str">
        <f t="shared" si="89"/>
        <v/>
      </c>
      <c r="O165" s="28" t="str">
        <f>IF(ISNUMBER(M165), $B172 * N165, "")</f>
        <v/>
      </c>
      <c r="Q165" s="99"/>
      <c r="R165" s="99"/>
      <c r="S165" s="99"/>
    </row>
    <row r="166" spans="1:19" ht="17.25" thickBot="1">
      <c r="A166" s="49"/>
      <c r="B166" s="50"/>
      <c r="C166" s="31"/>
      <c r="D166" s="30"/>
      <c r="E166" s="31" t="str">
        <f t="shared" si="86"/>
        <v/>
      </c>
      <c r="F166" s="33" t="str">
        <f>IF(ISNUMBER(D166), $B172 * E166, "")</f>
        <v/>
      </c>
      <c r="G166" s="30"/>
      <c r="H166" s="31" t="str">
        <f t="shared" si="87"/>
        <v/>
      </c>
      <c r="I166" s="33" t="str">
        <f>IF(ISNUMBER(G166), $B172 * H166, "")</f>
        <v/>
      </c>
      <c r="J166" s="30"/>
      <c r="K166" s="31" t="str">
        <f t="shared" si="88"/>
        <v/>
      </c>
      <c r="L166" s="33" t="str">
        <f>IF(ISNUMBER(J166), $B172 * K166, "")</f>
        <v/>
      </c>
      <c r="M166" s="30"/>
      <c r="N166" s="31" t="str">
        <f t="shared" si="89"/>
        <v/>
      </c>
      <c r="O166" s="33" t="str">
        <f>IF(ISNUMBER(M166), $B172 * N166, "")</f>
        <v/>
      </c>
      <c r="Q166" s="99"/>
      <c r="R166" s="99"/>
      <c r="S166" s="99"/>
    </row>
    <row r="167" spans="1:19" ht="17.25" thickBot="1">
      <c r="A167" s="47"/>
      <c r="B167" s="51"/>
      <c r="C167" s="52"/>
      <c r="D167" s="23"/>
      <c r="E167" s="52" t="str">
        <f>IF(ISNUMBER(D167), (D167 - $B167) / $B167, "")</f>
        <v/>
      </c>
      <c r="F167" s="28" t="str">
        <f>IF(ISNUMBER(D167), $B172 * E167, "")</f>
        <v/>
      </c>
      <c r="G167" s="23"/>
      <c r="H167" s="52" t="str">
        <f>IF(ISNUMBER(G167), (G167 - $B167) / $B167, "")</f>
        <v/>
      </c>
      <c r="I167" s="28" t="str">
        <f>IF(ISNUMBER(G167), $B172 * H167, "")</f>
        <v/>
      </c>
      <c r="J167" s="23"/>
      <c r="K167" s="52" t="str">
        <f>IF(ISNUMBER(J167), (J167 - $B167) / $B167, "")</f>
        <v/>
      </c>
      <c r="L167" s="28" t="str">
        <f>IF(ISNUMBER(J167), $B172 * K167, "")</f>
        <v/>
      </c>
      <c r="M167" s="23"/>
      <c r="N167" s="52" t="str">
        <f>IF(ISNUMBER(M167), (M167 - $B167) / $B167, "")</f>
        <v/>
      </c>
      <c r="O167" s="28" t="str">
        <f>IF(ISNUMBER(M167), $B172 * N167, "")</f>
        <v/>
      </c>
      <c r="Q167" s="100"/>
      <c r="R167" s="100"/>
      <c r="S167" s="100"/>
    </row>
    <row r="168" spans="1:19" ht="17.25" thickBot="1">
      <c r="A168" s="47"/>
      <c r="B168" s="48"/>
      <c r="C168" s="24"/>
      <c r="D168" s="23"/>
      <c r="E168" s="24" t="str">
        <f t="shared" ref="E168:E171" si="90">IF(ISNUMBER(D168), (D168 - $B168) / $B168, "")</f>
        <v/>
      </c>
      <c r="F168" s="28" t="str">
        <f>IF(ISNUMBER(D168), $B172 * E168, "")</f>
        <v/>
      </c>
      <c r="G168" s="23"/>
      <c r="H168" s="24" t="str">
        <f t="shared" ref="H168:H171" si="91">IF(ISNUMBER(G168), (G168 - $B168) / $B168, "")</f>
        <v/>
      </c>
      <c r="I168" s="28" t="str">
        <f>IF(ISNUMBER(G168), $B172 * H168, "")</f>
        <v/>
      </c>
      <c r="J168" s="23"/>
      <c r="K168" s="24" t="str">
        <f t="shared" ref="K168:K171" si="92">IF(ISNUMBER(J168), (J168 - $B168) / $B168, "")</f>
        <v/>
      </c>
      <c r="L168" s="28" t="str">
        <f>IF(ISNUMBER(J168), $B172 * K168, "")</f>
        <v/>
      </c>
      <c r="M168" s="23"/>
      <c r="N168" s="24" t="str">
        <f t="shared" ref="N168:N171" si="93">IF(ISNUMBER(M168), (M168 - $B168) / $B168, "")</f>
        <v/>
      </c>
      <c r="O168" s="28" t="str">
        <f>IF(ISNUMBER(M168), $B172 * N168, "")</f>
        <v/>
      </c>
      <c r="Q168" s="100"/>
      <c r="R168" s="100"/>
      <c r="S168" s="100"/>
    </row>
    <row r="169" spans="1:19" ht="17.25" thickBot="1">
      <c r="A169" s="47"/>
      <c r="B169" s="48"/>
      <c r="C169" s="24"/>
      <c r="D169" s="23"/>
      <c r="E169" s="24" t="str">
        <f t="shared" si="90"/>
        <v/>
      </c>
      <c r="F169" s="28" t="str">
        <f>IF(ISNUMBER(D169), $B172 * E169, "")</f>
        <v/>
      </c>
      <c r="G169" s="23"/>
      <c r="H169" s="24" t="str">
        <f t="shared" si="91"/>
        <v/>
      </c>
      <c r="I169" s="28" t="str">
        <f>IF(ISNUMBER(G169), $B172 * H169, "")</f>
        <v/>
      </c>
      <c r="J169" s="23"/>
      <c r="K169" s="24" t="str">
        <f t="shared" si="92"/>
        <v/>
      </c>
      <c r="L169" s="28" t="str">
        <f>IF(ISNUMBER(J169), $B172 * K169, "")</f>
        <v/>
      </c>
      <c r="M169" s="23"/>
      <c r="N169" s="24" t="str">
        <f t="shared" si="93"/>
        <v/>
      </c>
      <c r="O169" s="28" t="str">
        <f>IF(ISNUMBER(M169), $B172 * N169, "")</f>
        <v/>
      </c>
      <c r="Q169" s="101"/>
      <c r="R169" s="101"/>
      <c r="S169" s="101"/>
    </row>
    <row r="170" spans="1:19">
      <c r="A170" s="47"/>
      <c r="B170" s="48"/>
      <c r="C170" s="24"/>
      <c r="D170" s="23"/>
      <c r="E170" s="24" t="str">
        <f t="shared" si="90"/>
        <v/>
      </c>
      <c r="F170" s="28" t="str">
        <f>IF(ISNUMBER(D170), $B172 * E170, "")</f>
        <v/>
      </c>
      <c r="G170" s="23"/>
      <c r="H170" s="24" t="str">
        <f t="shared" si="91"/>
        <v/>
      </c>
      <c r="I170" s="28" t="str">
        <f>IF(ISNUMBER(G170), $B172 * H170, "")</f>
        <v/>
      </c>
      <c r="J170" s="23"/>
      <c r="K170" s="24" t="str">
        <f t="shared" si="92"/>
        <v/>
      </c>
      <c r="L170" s="28" t="str">
        <f>IF(ISNUMBER(J170), $B172 * K170, "")</f>
        <v/>
      </c>
      <c r="M170" s="23"/>
      <c r="N170" s="24" t="str">
        <f t="shared" si="93"/>
        <v/>
      </c>
      <c r="O170" s="28" t="str">
        <f>IF(ISNUMBER(M170), $B172 * N170, "")</f>
        <v/>
      </c>
      <c r="Q170" s="102"/>
      <c r="R170" s="103"/>
      <c r="S170" s="104"/>
    </row>
    <row r="171" spans="1:19" ht="17.25" thickBot="1">
      <c r="A171" s="49"/>
      <c r="B171" s="50"/>
      <c r="C171" s="31"/>
      <c r="D171" s="30"/>
      <c r="E171" s="31" t="str">
        <f t="shared" si="90"/>
        <v/>
      </c>
      <c r="F171" s="28" t="str">
        <f>IF(ISNUMBER(D171), $B172 * E171, "")</f>
        <v/>
      </c>
      <c r="G171" s="30"/>
      <c r="H171" s="31" t="str">
        <f t="shared" si="91"/>
        <v/>
      </c>
      <c r="I171" s="28" t="str">
        <f>IF(ISNUMBER(G171), $B172 * H171, "")</f>
        <v/>
      </c>
      <c r="J171" s="30"/>
      <c r="K171" s="31" t="str">
        <f t="shared" si="92"/>
        <v/>
      </c>
      <c r="L171" s="28" t="str">
        <f>IF(ISNUMBER(J171), $B172 * K171, "")</f>
        <v/>
      </c>
      <c r="M171" s="30"/>
      <c r="N171" s="31" t="str">
        <f t="shared" si="93"/>
        <v/>
      </c>
      <c r="O171" s="28" t="str">
        <f>IF(ISNUMBER(M171), $B172 * N171, "")</f>
        <v/>
      </c>
      <c r="Q171" s="105"/>
      <c r="R171" s="106"/>
      <c r="S171" s="107"/>
    </row>
    <row r="172" spans="1:19" ht="17.25" thickBot="1">
      <c r="A172" s="39" t="s">
        <v>46</v>
      </c>
      <c r="B172" s="120">
        <v>100000</v>
      </c>
      <c r="C172" s="121"/>
      <c r="D172" s="39" t="s">
        <v>47</v>
      </c>
      <c r="E172" s="40">
        <f>IF(COUNT(E152:E171), SUM(E152:E171) / COUNT(E152:E171), 0)</f>
        <v>0</v>
      </c>
      <c r="F172" s="41">
        <f>SUM(F152:F171)</f>
        <v>0</v>
      </c>
      <c r="G172" s="39" t="s">
        <v>47</v>
      </c>
      <c r="H172" s="40">
        <f>IF(COUNT(H152:H171), SUM(H152:H171) / COUNT(H152:H171), 0)</f>
        <v>0</v>
      </c>
      <c r="I172" s="41">
        <f>SUM(I152:I171)</f>
        <v>0</v>
      </c>
      <c r="J172" s="39" t="s">
        <v>47</v>
      </c>
      <c r="K172" s="40">
        <f>IF(COUNT(K152:K171), SUM(K152:K171) / COUNT(K152:K171), 0)</f>
        <v>0</v>
      </c>
      <c r="L172" s="41">
        <f>SUM(L152:L171)</f>
        <v>0</v>
      </c>
      <c r="M172" s="39" t="s">
        <v>47</v>
      </c>
      <c r="N172" s="40">
        <f>IF(COUNT(N152:N171), SUM(N152:N171) / COUNT(N152:N171), 0)</f>
        <v>0</v>
      </c>
      <c r="O172" s="41">
        <f>SUM(O152:O171)</f>
        <v>0</v>
      </c>
      <c r="Q172" s="108"/>
      <c r="R172" s="109"/>
      <c r="S172" s="110"/>
    </row>
    <row r="174" spans="1:19" ht="17.25" thickBot="1"/>
    <row r="175" spans="1:19" ht="17.25" thickBot="1">
      <c r="A175" s="122" t="s">
        <v>290</v>
      </c>
      <c r="B175" s="123"/>
      <c r="C175" s="123"/>
      <c r="D175" s="123"/>
      <c r="E175" s="123"/>
      <c r="F175" s="123"/>
      <c r="G175" s="123"/>
      <c r="H175" s="123"/>
      <c r="I175" s="123"/>
      <c r="J175" s="123"/>
      <c r="K175" s="123"/>
      <c r="L175" s="123"/>
      <c r="M175" s="123"/>
      <c r="N175" s="123"/>
      <c r="O175" s="124"/>
      <c r="Q175" s="111"/>
      <c r="R175" s="112"/>
      <c r="S175" s="113"/>
    </row>
    <row r="176" spans="1:19" ht="17.25" thickBot="1">
      <c r="A176" s="10" t="s">
        <v>35</v>
      </c>
      <c r="B176" s="122" t="s">
        <v>36</v>
      </c>
      <c r="C176" s="124"/>
      <c r="D176" s="122" t="s">
        <v>37</v>
      </c>
      <c r="E176" s="123"/>
      <c r="F176" s="124"/>
      <c r="G176" s="125">
        <f>_xlfn.IFNA(VLOOKUP(B176, 현재가테이블!$B$2:$D$200, 2, FALSE), "-")</f>
        <v>78003000</v>
      </c>
      <c r="H176" s="126"/>
      <c r="I176" s="127"/>
      <c r="J176" s="122" t="s">
        <v>38</v>
      </c>
      <c r="K176" s="123"/>
      <c r="L176" s="124"/>
      <c r="M176" s="128">
        <f>_xlfn.IFNA(VLOOKUP(B176, 현재가테이블!$B$2:$D$200, 3, FALSE), "-")</f>
        <v>-6.7108111999999998E-3</v>
      </c>
      <c r="N176" s="129"/>
      <c r="O176" s="130"/>
      <c r="Q176" s="114"/>
      <c r="R176" s="115"/>
      <c r="S176" s="116"/>
    </row>
    <row r="177" spans="1:19" ht="17.25" thickBot="1">
      <c r="A177" s="131" t="s">
        <v>39</v>
      </c>
      <c r="B177" s="132" t="s">
        <v>40</v>
      </c>
      <c r="C177" s="133"/>
      <c r="D177" s="134" t="s">
        <v>41</v>
      </c>
      <c r="E177" s="135"/>
      <c r="F177" s="136"/>
      <c r="G177" s="134" t="s">
        <v>42</v>
      </c>
      <c r="H177" s="135"/>
      <c r="I177" s="136"/>
      <c r="J177" s="137" t="s">
        <v>43</v>
      </c>
      <c r="K177" s="137"/>
      <c r="L177" s="137"/>
      <c r="M177" s="134" t="s">
        <v>40</v>
      </c>
      <c r="N177" s="135"/>
      <c r="O177" s="136"/>
      <c r="Q177" s="117"/>
      <c r="R177" s="118"/>
      <c r="S177" s="119"/>
    </row>
    <row r="178" spans="1:19" ht="17.25" thickBot="1">
      <c r="A178" s="131"/>
      <c r="B178" s="2" t="s">
        <v>37</v>
      </c>
      <c r="C178" s="12" t="s">
        <v>38</v>
      </c>
      <c r="D178" s="2" t="s">
        <v>37</v>
      </c>
      <c r="E178" s="12" t="s">
        <v>44</v>
      </c>
      <c r="F178" s="13" t="s">
        <v>45</v>
      </c>
      <c r="G178" s="2" t="s">
        <v>37</v>
      </c>
      <c r="H178" s="12" t="s">
        <v>44</v>
      </c>
      <c r="I178" s="13" t="s">
        <v>45</v>
      </c>
      <c r="J178" s="12" t="s">
        <v>37</v>
      </c>
      <c r="K178" s="12" t="s">
        <v>44</v>
      </c>
      <c r="L178" s="17" t="s">
        <v>45</v>
      </c>
      <c r="M178" s="2" t="s">
        <v>37</v>
      </c>
      <c r="N178" s="12" t="s">
        <v>44</v>
      </c>
      <c r="O178" s="18" t="s">
        <v>45</v>
      </c>
      <c r="Q178" s="98"/>
      <c r="R178" s="98"/>
      <c r="S178" s="98"/>
    </row>
    <row r="179" spans="1:19" ht="17.25" thickBot="1">
      <c r="A179" s="45"/>
      <c r="B179" s="46"/>
      <c r="C179" s="21"/>
      <c r="D179" s="20"/>
      <c r="E179" s="21" t="str">
        <f>IF(ISNUMBER(D179), (D179 - $B179) / $B179, "")</f>
        <v/>
      </c>
      <c r="F179" s="26" t="str">
        <f>IF(ISNUMBER(D179), $B199 * E179, "")</f>
        <v/>
      </c>
      <c r="G179" s="20"/>
      <c r="H179" s="21" t="str">
        <f>IF(ISNUMBER(G179), (G179 - $B179) / $B179, "")</f>
        <v/>
      </c>
      <c r="I179" s="26" t="str">
        <f>IF(ISNUMBER(G179), $B199 * H179, "")</f>
        <v/>
      </c>
      <c r="J179" s="20"/>
      <c r="K179" s="21" t="str">
        <f>IF(ISNUMBER(J179), (J179 - $B179) / $B179, "")</f>
        <v/>
      </c>
      <c r="L179" s="26" t="str">
        <f>IF(ISNUMBER(J179), $B199 * K179, "")</f>
        <v/>
      </c>
      <c r="M179" s="20"/>
      <c r="N179" s="21" t="str">
        <f>IF(ISNUMBER(M179), (M179 - $B179) / $B179, "")</f>
        <v/>
      </c>
      <c r="O179" s="26" t="str">
        <f>IF(ISNUMBER(M179), $B199 * N179, "")</f>
        <v/>
      </c>
      <c r="Q179" s="99"/>
      <c r="R179" s="99"/>
      <c r="S179" s="99"/>
    </row>
    <row r="180" spans="1:19" ht="17.25" thickBot="1">
      <c r="A180" s="47"/>
      <c r="B180" s="48"/>
      <c r="C180" s="24"/>
      <c r="D180" s="23"/>
      <c r="E180" s="24" t="str">
        <f t="shared" ref="E180:E183" si="94">IF(ISNUMBER(D180), (D180 - $B180) / $B180, "")</f>
        <v/>
      </c>
      <c r="F180" s="28" t="str">
        <f>IF(ISNUMBER(D180), $B199 * E180, "")</f>
        <v/>
      </c>
      <c r="G180" s="23"/>
      <c r="H180" s="24" t="str">
        <f t="shared" ref="H180:H183" si="95">IF(ISNUMBER(G180), (G180 - $B180) / $B180, "")</f>
        <v/>
      </c>
      <c r="I180" s="28" t="str">
        <f>IF(ISNUMBER(G180), $B199 * H180, "")</f>
        <v/>
      </c>
      <c r="J180" s="23"/>
      <c r="K180" s="24" t="str">
        <f t="shared" ref="K180:K183" si="96">IF(ISNUMBER(J180), (J180 - $B180) / $B180, "")</f>
        <v/>
      </c>
      <c r="L180" s="28" t="str">
        <f>IF(ISNUMBER(J180), $B199 * K180, "")</f>
        <v/>
      </c>
      <c r="M180" s="23"/>
      <c r="N180" s="24" t="str">
        <f t="shared" ref="N180:N183" si="97">IF(ISNUMBER(M180), (M180 - $B180) / $B180, "")</f>
        <v/>
      </c>
      <c r="O180" s="28" t="str">
        <f>IF(ISNUMBER(M180), $B199 * N180, "")</f>
        <v/>
      </c>
      <c r="Q180" s="99"/>
      <c r="R180" s="99"/>
      <c r="S180" s="99"/>
    </row>
    <row r="181" spans="1:19" ht="17.25" thickBot="1">
      <c r="A181" s="47"/>
      <c r="B181" s="48"/>
      <c r="C181" s="24"/>
      <c r="D181" s="23"/>
      <c r="E181" s="24" t="str">
        <f t="shared" si="94"/>
        <v/>
      </c>
      <c r="F181" s="28" t="str">
        <f>IF(ISNUMBER(D181), $B199 * E181, "")</f>
        <v/>
      </c>
      <c r="G181" s="23"/>
      <c r="H181" s="24" t="str">
        <f t="shared" si="95"/>
        <v/>
      </c>
      <c r="I181" s="28" t="str">
        <f>IF(ISNUMBER(G181), $B199 * H181, "")</f>
        <v/>
      </c>
      <c r="J181" s="23"/>
      <c r="K181" s="24" t="str">
        <f t="shared" si="96"/>
        <v/>
      </c>
      <c r="L181" s="28" t="str">
        <f>IF(ISNUMBER(J181), $B199 * K181, "")</f>
        <v/>
      </c>
      <c r="M181" s="23"/>
      <c r="N181" s="24" t="str">
        <f t="shared" si="97"/>
        <v/>
      </c>
      <c r="O181" s="28" t="str">
        <f>IF(ISNUMBER(M181), $B199 * N181, "")</f>
        <v/>
      </c>
      <c r="Q181" s="100"/>
      <c r="R181" s="100"/>
      <c r="S181" s="100"/>
    </row>
    <row r="182" spans="1:19" ht="17.25" thickBot="1">
      <c r="A182" s="47"/>
      <c r="B182" s="48"/>
      <c r="C182" s="24"/>
      <c r="D182" s="23"/>
      <c r="E182" s="24" t="str">
        <f t="shared" si="94"/>
        <v/>
      </c>
      <c r="F182" s="28" t="str">
        <f>IF(ISNUMBER(D182), $B199 * E182, "")</f>
        <v/>
      </c>
      <c r="G182" s="23"/>
      <c r="H182" s="24" t="str">
        <f t="shared" si="95"/>
        <v/>
      </c>
      <c r="I182" s="28" t="str">
        <f>IF(ISNUMBER(G182), $B199 * H182, "")</f>
        <v/>
      </c>
      <c r="J182" s="23"/>
      <c r="K182" s="24" t="str">
        <f t="shared" si="96"/>
        <v/>
      </c>
      <c r="L182" s="28" t="str">
        <f>IF(ISNUMBER(J182), $B199 * K182, "")</f>
        <v/>
      </c>
      <c r="M182" s="23"/>
      <c r="N182" s="24" t="str">
        <f t="shared" si="97"/>
        <v/>
      </c>
      <c r="O182" s="28" t="str">
        <f>IF(ISNUMBER(M182), $B199 * N182, "")</f>
        <v/>
      </c>
      <c r="Q182" s="100"/>
      <c r="R182" s="100"/>
      <c r="S182" s="100"/>
    </row>
    <row r="183" spans="1:19" ht="17.25" thickBot="1">
      <c r="A183" s="49"/>
      <c r="B183" s="50"/>
      <c r="C183" s="31"/>
      <c r="D183" s="30"/>
      <c r="E183" s="31" t="str">
        <f t="shared" si="94"/>
        <v/>
      </c>
      <c r="F183" s="33" t="str">
        <f>IF(ISNUMBER(D183), $B199 * E183, "")</f>
        <v/>
      </c>
      <c r="G183" s="30"/>
      <c r="H183" s="31" t="str">
        <f t="shared" si="95"/>
        <v/>
      </c>
      <c r="I183" s="33" t="str">
        <f>IF(ISNUMBER(G183), $B199 * H183, "")</f>
        <v/>
      </c>
      <c r="J183" s="30"/>
      <c r="K183" s="31" t="str">
        <f t="shared" si="96"/>
        <v/>
      </c>
      <c r="L183" s="33" t="str">
        <f>IF(ISNUMBER(J183), $B199 * K183, "")</f>
        <v/>
      </c>
      <c r="M183" s="30"/>
      <c r="N183" s="31" t="str">
        <f t="shared" si="97"/>
        <v/>
      </c>
      <c r="O183" s="33" t="str">
        <f>IF(ISNUMBER(M183), $B199 * N183, "")</f>
        <v/>
      </c>
      <c r="Q183" s="101"/>
      <c r="R183" s="101"/>
      <c r="S183" s="101"/>
    </row>
    <row r="184" spans="1:19">
      <c r="A184" s="47"/>
      <c r="B184" s="51"/>
      <c r="C184" s="52"/>
      <c r="D184" s="23"/>
      <c r="E184" s="52" t="str">
        <f>IF(ISNUMBER(D184), (D184 - $B184) / $B184, "")</f>
        <v/>
      </c>
      <c r="F184" s="28" t="str">
        <f>IF(ISNUMBER(D184), $B199 * E184, "")</f>
        <v/>
      </c>
      <c r="G184" s="23"/>
      <c r="H184" s="52" t="str">
        <f>IF(ISNUMBER(G184), (G184 - $B184) / $B184, "")</f>
        <v/>
      </c>
      <c r="I184" s="28" t="str">
        <f>IF(ISNUMBER(G184), $B199 * H184, "")</f>
        <v/>
      </c>
      <c r="J184" s="23"/>
      <c r="K184" s="52" t="str">
        <f>IF(ISNUMBER(J184), (J184 - $B184) / $B184, "")</f>
        <v/>
      </c>
      <c r="L184" s="28" t="str">
        <f>IF(ISNUMBER(J184), $B199 * K184, "")</f>
        <v/>
      </c>
      <c r="M184" s="23"/>
      <c r="N184" s="52" t="str">
        <f>IF(ISNUMBER(M184), (M184 - $B184) / $B184, "")</f>
        <v/>
      </c>
      <c r="O184" s="28" t="str">
        <f>IF(ISNUMBER(M184), $B199 * N184, "")</f>
        <v/>
      </c>
      <c r="Q184" s="102"/>
      <c r="R184" s="103"/>
      <c r="S184" s="104"/>
    </row>
    <row r="185" spans="1:19">
      <c r="A185" s="47"/>
      <c r="B185" s="48"/>
      <c r="C185" s="24"/>
      <c r="D185" s="23"/>
      <c r="E185" s="24" t="str">
        <f t="shared" ref="E185:E188" si="98">IF(ISNUMBER(D185), (D185 - $B185) / $B185, "")</f>
        <v/>
      </c>
      <c r="F185" s="28" t="str">
        <f>IF(ISNUMBER(D185), $B199 * E185, "")</f>
        <v/>
      </c>
      <c r="G185" s="23"/>
      <c r="H185" s="24" t="str">
        <f t="shared" ref="H185:H188" si="99">IF(ISNUMBER(G185), (G185 - $B185) / $B185, "")</f>
        <v/>
      </c>
      <c r="I185" s="28" t="str">
        <f>IF(ISNUMBER(G185), $B199 * H185, "")</f>
        <v/>
      </c>
      <c r="J185" s="23"/>
      <c r="K185" s="24" t="str">
        <f t="shared" ref="K185:K188" si="100">IF(ISNUMBER(J185), (J185 - $B185) / $B185, "")</f>
        <v/>
      </c>
      <c r="L185" s="28" t="str">
        <f>IF(ISNUMBER(J185), $B199 * K185, "")</f>
        <v/>
      </c>
      <c r="M185" s="23"/>
      <c r="N185" s="24" t="str">
        <f t="shared" ref="N185:N188" si="101">IF(ISNUMBER(M185), (M185 - $B185) / $B185, "")</f>
        <v/>
      </c>
      <c r="O185" s="28" t="str">
        <f>IF(ISNUMBER(M185), $B199 * N185, "")</f>
        <v/>
      </c>
      <c r="Q185" s="105"/>
      <c r="R185" s="106"/>
      <c r="S185" s="107"/>
    </row>
    <row r="186" spans="1:19" ht="17.25" thickBot="1">
      <c r="A186" s="47"/>
      <c r="B186" s="48"/>
      <c r="C186" s="24"/>
      <c r="D186" s="23"/>
      <c r="E186" s="24" t="str">
        <f t="shared" si="98"/>
        <v/>
      </c>
      <c r="F186" s="28" t="str">
        <f>IF(ISNUMBER(D186), $B199 * E186, "")</f>
        <v/>
      </c>
      <c r="G186" s="23"/>
      <c r="H186" s="24" t="str">
        <f t="shared" si="99"/>
        <v/>
      </c>
      <c r="I186" s="28" t="str">
        <f>IF(ISNUMBER(G186), $B199 * H186, "")</f>
        <v/>
      </c>
      <c r="J186" s="23"/>
      <c r="K186" s="24" t="str">
        <f t="shared" si="100"/>
        <v/>
      </c>
      <c r="L186" s="28" t="str">
        <f>IF(ISNUMBER(J186), $B199 * K186, "")</f>
        <v/>
      </c>
      <c r="M186" s="23"/>
      <c r="N186" s="24" t="str">
        <f t="shared" si="101"/>
        <v/>
      </c>
      <c r="O186" s="28" t="str">
        <f>IF(ISNUMBER(M186), $B199 * N186, "")</f>
        <v/>
      </c>
      <c r="Q186" s="108"/>
      <c r="R186" s="109"/>
      <c r="S186" s="110"/>
    </row>
    <row r="187" spans="1:19" ht="17.25" thickBot="1">
      <c r="A187" s="47"/>
      <c r="B187" s="48"/>
      <c r="C187" s="24"/>
      <c r="D187" s="23"/>
      <c r="E187" s="24" t="str">
        <f t="shared" si="98"/>
        <v/>
      </c>
      <c r="F187" s="28" t="str">
        <f>IF(ISNUMBER(D187), $B199 * E187, "")</f>
        <v/>
      </c>
      <c r="G187" s="23"/>
      <c r="H187" s="24" t="str">
        <f t="shared" si="99"/>
        <v/>
      </c>
      <c r="I187" s="28" t="str">
        <f>IF(ISNUMBER(G187), $B199 * H187, "")</f>
        <v/>
      </c>
      <c r="J187" s="23"/>
      <c r="K187" s="24" t="str">
        <f t="shared" si="100"/>
        <v/>
      </c>
      <c r="L187" s="28" t="str">
        <f>IF(ISNUMBER(J187), $B199 * K187, "")</f>
        <v/>
      </c>
      <c r="M187" s="23"/>
      <c r="N187" s="24" t="str">
        <f t="shared" si="101"/>
        <v/>
      </c>
      <c r="O187" s="28" t="str">
        <f>IF(ISNUMBER(M187), $B199 * N187, "")</f>
        <v/>
      </c>
    </row>
    <row r="188" spans="1:19" ht="17.25" thickBot="1">
      <c r="A188" s="49"/>
      <c r="B188" s="50"/>
      <c r="C188" s="31"/>
      <c r="D188" s="30"/>
      <c r="E188" s="31" t="str">
        <f t="shared" si="98"/>
        <v/>
      </c>
      <c r="F188" s="28" t="str">
        <f>IF(ISNUMBER(D188), $B199 * E188, "")</f>
        <v/>
      </c>
      <c r="G188" s="30"/>
      <c r="H188" s="31" t="str">
        <f t="shared" si="99"/>
        <v/>
      </c>
      <c r="I188" s="28" t="str">
        <f>IF(ISNUMBER(G188), $B199 * H188, "")</f>
        <v/>
      </c>
      <c r="J188" s="30"/>
      <c r="K188" s="31" t="str">
        <f t="shared" si="100"/>
        <v/>
      </c>
      <c r="L188" s="28" t="str">
        <f>IF(ISNUMBER(J188), $B199 * K188, "")</f>
        <v/>
      </c>
      <c r="M188" s="30"/>
      <c r="N188" s="31" t="str">
        <f t="shared" si="101"/>
        <v/>
      </c>
      <c r="O188" s="28" t="str">
        <f>IF(ISNUMBER(M188), $B199 * N188, "")</f>
        <v/>
      </c>
      <c r="Q188" s="111"/>
      <c r="R188" s="112"/>
      <c r="S188" s="113"/>
    </row>
    <row r="189" spans="1:19">
      <c r="A189" s="45"/>
      <c r="B189" s="46"/>
      <c r="C189" s="21"/>
      <c r="D189" s="20"/>
      <c r="E189" s="21" t="str">
        <f>IF(ISNUMBER(D189), (D189 - $B189) / $B189, "")</f>
        <v/>
      </c>
      <c r="F189" s="26" t="str">
        <f>IF(ISNUMBER(D189), $B199 * E189, "")</f>
        <v/>
      </c>
      <c r="G189" s="20"/>
      <c r="H189" s="21" t="str">
        <f>IF(ISNUMBER(G189), (G189 - $B189) / $B189, "")</f>
        <v/>
      </c>
      <c r="I189" s="26" t="str">
        <f>IF(ISNUMBER(G189), $B199 * H189, "")</f>
        <v/>
      </c>
      <c r="J189" s="20"/>
      <c r="K189" s="21" t="str">
        <f>IF(ISNUMBER(J189), (J189 - $B189) / $B189, "")</f>
        <v/>
      </c>
      <c r="L189" s="26" t="str">
        <f>IF(ISNUMBER(J189), $B199 * K189, "")</f>
        <v/>
      </c>
      <c r="M189" s="20"/>
      <c r="N189" s="21" t="str">
        <f>IF(ISNUMBER(M189), (M189 - $B189) / $B189, "")</f>
        <v/>
      </c>
      <c r="O189" s="26" t="str">
        <f>IF(ISNUMBER(M189), $B199 * N189, "")</f>
        <v/>
      </c>
      <c r="Q189" s="114"/>
      <c r="R189" s="115"/>
      <c r="S189" s="116"/>
    </row>
    <row r="190" spans="1:19" ht="17.25" thickBot="1">
      <c r="A190" s="47"/>
      <c r="B190" s="48"/>
      <c r="C190" s="24"/>
      <c r="D190" s="23"/>
      <c r="E190" s="24" t="str">
        <f t="shared" ref="E190:E193" si="102">IF(ISNUMBER(D190), (D190 - $B190) / $B190, "")</f>
        <v/>
      </c>
      <c r="F190" s="28" t="str">
        <f>IF(ISNUMBER(D190), $B199 * E190, "")</f>
        <v/>
      </c>
      <c r="G190" s="23"/>
      <c r="H190" s="24" t="str">
        <f t="shared" ref="H190:H193" si="103">IF(ISNUMBER(G190), (G190 - $B190) / $B190, "")</f>
        <v/>
      </c>
      <c r="I190" s="28" t="str">
        <f>IF(ISNUMBER(G190), $B199 * H190, "")</f>
        <v/>
      </c>
      <c r="J190" s="23"/>
      <c r="K190" s="24" t="str">
        <f t="shared" ref="K190:K193" si="104">IF(ISNUMBER(J190), (J190 - $B190) / $B190, "")</f>
        <v/>
      </c>
      <c r="L190" s="28" t="str">
        <f>IF(ISNUMBER(J190), $B199 * K190, "")</f>
        <v/>
      </c>
      <c r="M190" s="23"/>
      <c r="N190" s="24" t="str">
        <f t="shared" ref="N190:N193" si="105">IF(ISNUMBER(M190), (M190 - $B190) / $B190, "")</f>
        <v/>
      </c>
      <c r="O190" s="28" t="str">
        <f>IF(ISNUMBER(M190), $B199 * N190, "")</f>
        <v/>
      </c>
      <c r="Q190" s="117"/>
      <c r="R190" s="118"/>
      <c r="S190" s="119"/>
    </row>
    <row r="191" spans="1:19" ht="17.25" thickBot="1">
      <c r="A191" s="47"/>
      <c r="B191" s="48"/>
      <c r="C191" s="24"/>
      <c r="D191" s="23"/>
      <c r="E191" s="24" t="str">
        <f t="shared" si="102"/>
        <v/>
      </c>
      <c r="F191" s="28" t="str">
        <f>IF(ISNUMBER(D191), $B199 * E191, "")</f>
        <v/>
      </c>
      <c r="G191" s="23"/>
      <c r="H191" s="24" t="str">
        <f t="shared" si="103"/>
        <v/>
      </c>
      <c r="I191" s="28" t="str">
        <f>IF(ISNUMBER(G191), $B199 * H191, "")</f>
        <v/>
      </c>
      <c r="J191" s="23"/>
      <c r="K191" s="24" t="str">
        <f t="shared" si="104"/>
        <v/>
      </c>
      <c r="L191" s="28" t="str">
        <f>IF(ISNUMBER(J191), $B199 * K191, "")</f>
        <v/>
      </c>
      <c r="M191" s="23"/>
      <c r="N191" s="24" t="str">
        <f t="shared" si="105"/>
        <v/>
      </c>
      <c r="O191" s="28" t="str">
        <f>IF(ISNUMBER(M191), $B199 * N191, "")</f>
        <v/>
      </c>
      <c r="Q191" s="98"/>
      <c r="R191" s="98"/>
      <c r="S191" s="98"/>
    </row>
    <row r="192" spans="1:19" ht="17.25" thickBot="1">
      <c r="A192" s="47"/>
      <c r="B192" s="48"/>
      <c r="C192" s="24"/>
      <c r="D192" s="23"/>
      <c r="E192" s="24" t="str">
        <f t="shared" si="102"/>
        <v/>
      </c>
      <c r="F192" s="28" t="str">
        <f>IF(ISNUMBER(D192), $B199 * E192, "")</f>
        <v/>
      </c>
      <c r="G192" s="23"/>
      <c r="H192" s="24" t="str">
        <f t="shared" si="103"/>
        <v/>
      </c>
      <c r="I192" s="28" t="str">
        <f>IF(ISNUMBER(G192), $B199 * H192, "")</f>
        <v/>
      </c>
      <c r="J192" s="23"/>
      <c r="K192" s="24" t="str">
        <f t="shared" si="104"/>
        <v/>
      </c>
      <c r="L192" s="28" t="str">
        <f>IF(ISNUMBER(J192), $B199 * K192, "")</f>
        <v/>
      </c>
      <c r="M192" s="23"/>
      <c r="N192" s="24" t="str">
        <f t="shared" si="105"/>
        <v/>
      </c>
      <c r="O192" s="28" t="str">
        <f>IF(ISNUMBER(M192), $B199 * N192, "")</f>
        <v/>
      </c>
      <c r="Q192" s="99"/>
      <c r="R192" s="99"/>
      <c r="S192" s="99"/>
    </row>
    <row r="193" spans="1:19" ht="17.25" thickBot="1">
      <c r="A193" s="49"/>
      <c r="B193" s="50"/>
      <c r="C193" s="31"/>
      <c r="D193" s="30"/>
      <c r="E193" s="31" t="str">
        <f t="shared" si="102"/>
        <v/>
      </c>
      <c r="F193" s="33" t="str">
        <f>IF(ISNUMBER(D193), $B199 * E193, "")</f>
        <v/>
      </c>
      <c r="G193" s="30"/>
      <c r="H193" s="31" t="str">
        <f t="shared" si="103"/>
        <v/>
      </c>
      <c r="I193" s="33" t="str">
        <f>IF(ISNUMBER(G193), $B199 * H193, "")</f>
        <v/>
      </c>
      <c r="J193" s="30"/>
      <c r="K193" s="31" t="str">
        <f t="shared" si="104"/>
        <v/>
      </c>
      <c r="L193" s="33" t="str">
        <f>IF(ISNUMBER(J193), $B199 * K193, "")</f>
        <v/>
      </c>
      <c r="M193" s="30"/>
      <c r="N193" s="31" t="str">
        <f t="shared" si="105"/>
        <v/>
      </c>
      <c r="O193" s="33" t="str">
        <f>IF(ISNUMBER(M193), $B199 * N193, "")</f>
        <v/>
      </c>
      <c r="Q193" s="99"/>
      <c r="R193" s="99"/>
      <c r="S193" s="99"/>
    </row>
    <row r="194" spans="1:19" ht="17.25" thickBot="1">
      <c r="A194" s="47"/>
      <c r="B194" s="51"/>
      <c r="C194" s="52"/>
      <c r="D194" s="23"/>
      <c r="E194" s="52" t="str">
        <f>IF(ISNUMBER(D194), (D194 - $B194) / $B194, "")</f>
        <v/>
      </c>
      <c r="F194" s="28" t="str">
        <f>IF(ISNUMBER(D194), $B199 * E194, "")</f>
        <v/>
      </c>
      <c r="G194" s="23"/>
      <c r="H194" s="52" t="str">
        <f>IF(ISNUMBER(G194), (G194 - $B194) / $B194, "")</f>
        <v/>
      </c>
      <c r="I194" s="28" t="str">
        <f>IF(ISNUMBER(G194), $B199 * H194, "")</f>
        <v/>
      </c>
      <c r="J194" s="23"/>
      <c r="K194" s="52" t="str">
        <f>IF(ISNUMBER(J194), (J194 - $B194) / $B194, "")</f>
        <v/>
      </c>
      <c r="L194" s="28" t="str">
        <f>IF(ISNUMBER(J194), $B199 * K194, "")</f>
        <v/>
      </c>
      <c r="M194" s="23"/>
      <c r="N194" s="52" t="str">
        <f>IF(ISNUMBER(M194), (M194 - $B194) / $B194, "")</f>
        <v/>
      </c>
      <c r="O194" s="28" t="str">
        <f>IF(ISNUMBER(M194), $B199 * N194, "")</f>
        <v/>
      </c>
      <c r="Q194" s="100"/>
      <c r="R194" s="100"/>
      <c r="S194" s="100"/>
    </row>
    <row r="195" spans="1:19" ht="17.25" thickBot="1">
      <c r="A195" s="47"/>
      <c r="B195" s="48"/>
      <c r="C195" s="24"/>
      <c r="D195" s="23"/>
      <c r="E195" s="24" t="str">
        <f t="shared" ref="E195:E198" si="106">IF(ISNUMBER(D195), (D195 - $B195) / $B195, "")</f>
        <v/>
      </c>
      <c r="F195" s="28" t="str">
        <f>IF(ISNUMBER(D195), $B199 * E195, "")</f>
        <v/>
      </c>
      <c r="G195" s="23"/>
      <c r="H195" s="24" t="str">
        <f t="shared" ref="H195:H198" si="107">IF(ISNUMBER(G195), (G195 - $B195) / $B195, "")</f>
        <v/>
      </c>
      <c r="I195" s="28" t="str">
        <f>IF(ISNUMBER(G195), $B199 * H195, "")</f>
        <v/>
      </c>
      <c r="J195" s="23"/>
      <c r="K195" s="24" t="str">
        <f t="shared" ref="K195:K198" si="108">IF(ISNUMBER(J195), (J195 - $B195) / $B195, "")</f>
        <v/>
      </c>
      <c r="L195" s="28" t="str">
        <f>IF(ISNUMBER(J195), $B199 * K195, "")</f>
        <v/>
      </c>
      <c r="M195" s="23"/>
      <c r="N195" s="24" t="str">
        <f t="shared" ref="N195:N198" si="109">IF(ISNUMBER(M195), (M195 - $B195) / $B195, "")</f>
        <v/>
      </c>
      <c r="O195" s="28" t="str">
        <f>IF(ISNUMBER(M195), $B199 * N195, "")</f>
        <v/>
      </c>
      <c r="Q195" s="100"/>
      <c r="R195" s="100"/>
      <c r="S195" s="100"/>
    </row>
    <row r="196" spans="1:19" ht="17.25" thickBot="1">
      <c r="A196" s="47"/>
      <c r="B196" s="48"/>
      <c r="C196" s="24"/>
      <c r="D196" s="23"/>
      <c r="E196" s="24" t="str">
        <f t="shared" si="106"/>
        <v/>
      </c>
      <c r="F196" s="28" t="str">
        <f>IF(ISNUMBER(D196), $B199 * E196, "")</f>
        <v/>
      </c>
      <c r="G196" s="23"/>
      <c r="H196" s="24" t="str">
        <f t="shared" si="107"/>
        <v/>
      </c>
      <c r="I196" s="28" t="str">
        <f>IF(ISNUMBER(G196), $B199 * H196, "")</f>
        <v/>
      </c>
      <c r="J196" s="23"/>
      <c r="K196" s="24" t="str">
        <f t="shared" si="108"/>
        <v/>
      </c>
      <c r="L196" s="28" t="str">
        <f>IF(ISNUMBER(J196), $B199 * K196, "")</f>
        <v/>
      </c>
      <c r="M196" s="23"/>
      <c r="N196" s="24" t="str">
        <f t="shared" si="109"/>
        <v/>
      </c>
      <c r="O196" s="28" t="str">
        <f>IF(ISNUMBER(M196), $B199 * N196, "")</f>
        <v/>
      </c>
      <c r="Q196" s="101"/>
      <c r="R196" s="101"/>
      <c r="S196" s="101"/>
    </row>
    <row r="197" spans="1:19">
      <c r="A197" s="47"/>
      <c r="B197" s="48"/>
      <c r="C197" s="24"/>
      <c r="D197" s="23"/>
      <c r="E197" s="24" t="str">
        <f t="shared" si="106"/>
        <v/>
      </c>
      <c r="F197" s="28" t="str">
        <f>IF(ISNUMBER(D197), $B199 * E197, "")</f>
        <v/>
      </c>
      <c r="G197" s="23"/>
      <c r="H197" s="24" t="str">
        <f t="shared" si="107"/>
        <v/>
      </c>
      <c r="I197" s="28" t="str">
        <f>IF(ISNUMBER(G197), $B199 * H197, "")</f>
        <v/>
      </c>
      <c r="J197" s="23"/>
      <c r="K197" s="24" t="str">
        <f t="shared" si="108"/>
        <v/>
      </c>
      <c r="L197" s="28" t="str">
        <f>IF(ISNUMBER(J197), $B199 * K197, "")</f>
        <v/>
      </c>
      <c r="M197" s="23"/>
      <c r="N197" s="24" t="str">
        <f t="shared" si="109"/>
        <v/>
      </c>
      <c r="O197" s="28" t="str">
        <f>IF(ISNUMBER(M197), $B199 * N197, "")</f>
        <v/>
      </c>
      <c r="Q197" s="102"/>
      <c r="R197" s="103"/>
      <c r="S197" s="104"/>
    </row>
    <row r="198" spans="1:19" ht="17.25" thickBot="1">
      <c r="A198" s="49"/>
      <c r="B198" s="50"/>
      <c r="C198" s="31"/>
      <c r="D198" s="30"/>
      <c r="E198" s="31" t="str">
        <f t="shared" si="106"/>
        <v/>
      </c>
      <c r="F198" s="28" t="str">
        <f>IF(ISNUMBER(D198), $B199 * E198, "")</f>
        <v/>
      </c>
      <c r="G198" s="30"/>
      <c r="H198" s="31" t="str">
        <f t="shared" si="107"/>
        <v/>
      </c>
      <c r="I198" s="28" t="str">
        <f>IF(ISNUMBER(G198), $B199 * H198, "")</f>
        <v/>
      </c>
      <c r="J198" s="30"/>
      <c r="K198" s="31" t="str">
        <f t="shared" si="108"/>
        <v/>
      </c>
      <c r="L198" s="28" t="str">
        <f>IF(ISNUMBER(J198), $B199 * K198, "")</f>
        <v/>
      </c>
      <c r="M198" s="30"/>
      <c r="N198" s="31" t="str">
        <f t="shared" si="109"/>
        <v/>
      </c>
      <c r="O198" s="28" t="str">
        <f>IF(ISNUMBER(M198), $B199 * N198, "")</f>
        <v/>
      </c>
      <c r="Q198" s="105"/>
      <c r="R198" s="106"/>
      <c r="S198" s="107"/>
    </row>
    <row r="199" spans="1:19" ht="17.25" thickBot="1">
      <c r="A199" s="39" t="s">
        <v>46</v>
      </c>
      <c r="B199" s="120">
        <v>100000</v>
      </c>
      <c r="C199" s="121"/>
      <c r="D199" s="39" t="s">
        <v>47</v>
      </c>
      <c r="E199" s="40">
        <f>IF(COUNT(E179:E198), SUM(E179:E198) / COUNT(E179:E198), 0)</f>
        <v>0</v>
      </c>
      <c r="F199" s="41">
        <f>SUM(F179:F198)</f>
        <v>0</v>
      </c>
      <c r="G199" s="39" t="s">
        <v>47</v>
      </c>
      <c r="H199" s="40">
        <f>IF(COUNT(H179:H198), SUM(H179:H198) / COUNT(H179:H198), 0)</f>
        <v>0</v>
      </c>
      <c r="I199" s="41">
        <f>SUM(I179:I198)</f>
        <v>0</v>
      </c>
      <c r="J199" s="39" t="s">
        <v>47</v>
      </c>
      <c r="K199" s="40">
        <f>IF(COUNT(K179:K198), SUM(K179:K198) / COUNT(K179:K198), 0)</f>
        <v>0</v>
      </c>
      <c r="L199" s="41">
        <f>SUM(L179:L198)</f>
        <v>0</v>
      </c>
      <c r="M199" s="39" t="s">
        <v>47</v>
      </c>
      <c r="N199" s="40">
        <f>IF(COUNT(N179:N198), SUM(N179:N198) / COUNT(N179:N198), 0)</f>
        <v>0</v>
      </c>
      <c r="O199" s="41">
        <f>SUM(O179:O198)</f>
        <v>0</v>
      </c>
      <c r="Q199" s="108"/>
      <c r="R199" s="109"/>
      <c r="S199" s="110"/>
    </row>
  </sheetData>
  <mergeCells count="236">
    <mergeCell ref="Q97:Q99"/>
    <mergeCell ref="R97:R99"/>
    <mergeCell ref="Q100:Q102"/>
    <mergeCell ref="R100:R102"/>
    <mergeCell ref="Q113:Q115"/>
    <mergeCell ref="R113:R115"/>
    <mergeCell ref="B118:C118"/>
    <mergeCell ref="A121:O121"/>
    <mergeCell ref="B122:C122"/>
    <mergeCell ref="D122:F122"/>
    <mergeCell ref="G122:I122"/>
    <mergeCell ref="J122:L122"/>
    <mergeCell ref="M122:O122"/>
    <mergeCell ref="J95:L95"/>
    <mergeCell ref="M95:O95"/>
    <mergeCell ref="A96:A97"/>
    <mergeCell ref="B96:C96"/>
    <mergeCell ref="D96:F96"/>
    <mergeCell ref="G96:I96"/>
    <mergeCell ref="J96:L96"/>
    <mergeCell ref="M96:O96"/>
    <mergeCell ref="A123:A124"/>
    <mergeCell ref="B123:C123"/>
    <mergeCell ref="D123:F123"/>
    <mergeCell ref="G123:I123"/>
    <mergeCell ref="J123:L123"/>
    <mergeCell ref="M123:O123"/>
    <mergeCell ref="A40:O40"/>
    <mergeCell ref="B41:C41"/>
    <mergeCell ref="D41:F41"/>
    <mergeCell ref="G41:I41"/>
    <mergeCell ref="J41:L41"/>
    <mergeCell ref="M41:O41"/>
    <mergeCell ref="A42:A43"/>
    <mergeCell ref="B42:C42"/>
    <mergeCell ref="D42:F42"/>
    <mergeCell ref="R46:R48"/>
    <mergeCell ref="Q46:Q48"/>
    <mergeCell ref="R43:R45"/>
    <mergeCell ref="Q43:Q45"/>
    <mergeCell ref="J68:L68"/>
    <mergeCell ref="M68:O68"/>
    <mergeCell ref="A69:A70"/>
    <mergeCell ref="B64:C64"/>
    <mergeCell ref="G42:I42"/>
    <mergeCell ref="J42:L42"/>
    <mergeCell ref="M42:O42"/>
    <mergeCell ref="Q53:R55"/>
    <mergeCell ref="Q56:Q58"/>
    <mergeCell ref="R56:R58"/>
    <mergeCell ref="Q59:Q61"/>
    <mergeCell ref="R59:R61"/>
    <mergeCell ref="Q62:R64"/>
    <mergeCell ref="B91:C91"/>
    <mergeCell ref="A67:O67"/>
    <mergeCell ref="B68:C68"/>
    <mergeCell ref="D68:F68"/>
    <mergeCell ref="G68:I68"/>
    <mergeCell ref="Q110:Q112"/>
    <mergeCell ref="R110:R112"/>
    <mergeCell ref="A94:O94"/>
    <mergeCell ref="B95:C95"/>
    <mergeCell ref="B69:C69"/>
    <mergeCell ref="D69:F69"/>
    <mergeCell ref="G69:I69"/>
    <mergeCell ref="J69:L69"/>
    <mergeCell ref="M69:O69"/>
    <mergeCell ref="Q70:Q72"/>
    <mergeCell ref="R70:R72"/>
    <mergeCell ref="Q73:Q75"/>
    <mergeCell ref="R73:R75"/>
    <mergeCell ref="Q83:Q85"/>
    <mergeCell ref="R83:R85"/>
    <mergeCell ref="Q86:Q88"/>
    <mergeCell ref="R86:R88"/>
    <mergeCell ref="D95:F95"/>
    <mergeCell ref="G95:I95"/>
    <mergeCell ref="B37:C37"/>
    <mergeCell ref="Q29:Q31"/>
    <mergeCell ref="R29:R31"/>
    <mergeCell ref="A15:A16"/>
    <mergeCell ref="B15:C15"/>
    <mergeCell ref="D15:F15"/>
    <mergeCell ref="G15:I15"/>
    <mergeCell ref="J15:L15"/>
    <mergeCell ref="M15:O15"/>
    <mergeCell ref="Q35:S37"/>
    <mergeCell ref="Q32:Q34"/>
    <mergeCell ref="R32:R34"/>
    <mergeCell ref="Q16:Q18"/>
    <mergeCell ref="R16:R18"/>
    <mergeCell ref="Q19:Q21"/>
    <mergeCell ref="R19:R21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A1:F1"/>
    <mergeCell ref="G1:I1"/>
    <mergeCell ref="J1:O1"/>
    <mergeCell ref="Q1:R1"/>
    <mergeCell ref="B2:F2"/>
    <mergeCell ref="G2:I2"/>
    <mergeCell ref="K2:O2"/>
    <mergeCell ref="S29:S31"/>
    <mergeCell ref="S32:S34"/>
    <mergeCell ref="Q26:S2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B199:C199"/>
    <mergeCell ref="Q40:S42"/>
    <mergeCell ref="S43:S45"/>
    <mergeCell ref="S46:S48"/>
    <mergeCell ref="Q49:S51"/>
    <mergeCell ref="Q67:S69"/>
    <mergeCell ref="S70:S72"/>
    <mergeCell ref="S73:S75"/>
    <mergeCell ref="Q76:S78"/>
    <mergeCell ref="Q80:S82"/>
    <mergeCell ref="S83:S85"/>
    <mergeCell ref="S86:S88"/>
    <mergeCell ref="Q89:S91"/>
    <mergeCell ref="Q94:S96"/>
    <mergeCell ref="S97:S99"/>
    <mergeCell ref="S100:S102"/>
    <mergeCell ref="Q103:S105"/>
    <mergeCell ref="Q107:S109"/>
    <mergeCell ref="S110:S112"/>
    <mergeCell ref="S113:S115"/>
    <mergeCell ref="Q116:S118"/>
    <mergeCell ref="Q121:S123"/>
    <mergeCell ref="Q124:Q126"/>
    <mergeCell ref="R124:R126"/>
    <mergeCell ref="S124:S126"/>
    <mergeCell ref="Q127:Q129"/>
    <mergeCell ref="R127:R129"/>
    <mergeCell ref="S127:S129"/>
    <mergeCell ref="Q130:S132"/>
    <mergeCell ref="Q134:S136"/>
    <mergeCell ref="Q137:Q139"/>
    <mergeCell ref="R137:R139"/>
    <mergeCell ref="S137:S139"/>
    <mergeCell ref="S164:S166"/>
    <mergeCell ref="Q167:Q169"/>
    <mergeCell ref="R167:R169"/>
    <mergeCell ref="S167:S169"/>
    <mergeCell ref="Q170:S172"/>
    <mergeCell ref="Q140:Q142"/>
    <mergeCell ref="R140:R142"/>
    <mergeCell ref="S140:S142"/>
    <mergeCell ref="Q143:S145"/>
    <mergeCell ref="Q148:S150"/>
    <mergeCell ref="Q151:Q153"/>
    <mergeCell ref="R151:R153"/>
    <mergeCell ref="S151:S153"/>
    <mergeCell ref="Q154:Q156"/>
    <mergeCell ref="R154:R156"/>
    <mergeCell ref="S154:S156"/>
    <mergeCell ref="Q191:Q193"/>
    <mergeCell ref="R191:R193"/>
    <mergeCell ref="S191:S193"/>
    <mergeCell ref="Q194:Q196"/>
    <mergeCell ref="R194:R196"/>
    <mergeCell ref="S194:S196"/>
    <mergeCell ref="Q197:S199"/>
    <mergeCell ref="Q13:S15"/>
    <mergeCell ref="S16:S18"/>
    <mergeCell ref="S19:S21"/>
    <mergeCell ref="Q22:S24"/>
    <mergeCell ref="Q175:S177"/>
    <mergeCell ref="Q178:Q180"/>
    <mergeCell ref="R178:R180"/>
    <mergeCell ref="S178:S180"/>
    <mergeCell ref="Q181:Q183"/>
    <mergeCell ref="R181:R183"/>
    <mergeCell ref="S181:S183"/>
    <mergeCell ref="Q184:S186"/>
    <mergeCell ref="Q188:S190"/>
    <mergeCell ref="Q157:S159"/>
    <mergeCell ref="Q161:S163"/>
    <mergeCell ref="Q164:Q166"/>
    <mergeCell ref="R164:R166"/>
  </mergeCells>
  <phoneticPr fontId="1" type="noConversion"/>
  <conditionalFormatting sqref="D15:F16 E37:F37">
    <cfRule type="expression" dxfId="227" priority="185">
      <formula>$E$37&gt;0</formula>
    </cfRule>
    <cfRule type="expression" dxfId="226" priority="186">
      <formula>$E$37&lt;0</formula>
    </cfRule>
  </conditionalFormatting>
  <conditionalFormatting sqref="G15:I16 H37:I37">
    <cfRule type="expression" dxfId="225" priority="183">
      <formula>$H$37&gt;0</formula>
    </cfRule>
    <cfRule type="expression" dxfId="224" priority="184">
      <formula>$H$37&lt;0</formula>
    </cfRule>
  </conditionalFormatting>
  <conditionalFormatting sqref="J15:L16 K37:L37">
    <cfRule type="expression" dxfId="223" priority="181">
      <formula>$K$37&gt;0</formula>
    </cfRule>
    <cfRule type="expression" dxfId="222" priority="182">
      <formula>$K$37&lt;0</formula>
    </cfRule>
  </conditionalFormatting>
  <conditionalFormatting sqref="M15:O16 N37:O37">
    <cfRule type="expression" dxfId="221" priority="179">
      <formula>$N$37&gt;0</formula>
    </cfRule>
    <cfRule type="expression" dxfId="220" priority="180">
      <formula>$N$37&lt;0</formula>
    </cfRule>
  </conditionalFormatting>
  <conditionalFormatting sqref="A44:O63 A17:O36">
    <cfRule type="expression" dxfId="219" priority="187">
      <formula>AND($N17 &gt; 0, ISNUMBER($N17))</formula>
    </cfRule>
    <cfRule type="expression" dxfId="218" priority="188">
      <formula>AND($N17 &lt; 0, ISNUMBER($N17))</formula>
    </cfRule>
    <cfRule type="expression" dxfId="217" priority="189">
      <formula>AND($K17 &gt; 0, ISNUMBER($K17))</formula>
    </cfRule>
    <cfRule type="expression" dxfId="216" priority="190">
      <formula>AND($K17 &lt; 0, ISNUMBER($K17))</formula>
    </cfRule>
    <cfRule type="expression" dxfId="215" priority="191">
      <formula>AND($H17 &gt; 0, ISNUMBER($H17))</formula>
    </cfRule>
    <cfRule type="expression" dxfId="214" priority="192">
      <formula>AND($H17 &lt; 0, ISNUMBER($H17))</formula>
    </cfRule>
    <cfRule type="expression" dxfId="213" priority="193">
      <formula>AND($E17 &gt; 0, ISNUMBER($E17))</formula>
    </cfRule>
    <cfRule type="expression" dxfId="212" priority="194">
      <formula>AND($E17 &lt; 0, ISNUMBER($E17))</formula>
    </cfRule>
  </conditionalFormatting>
  <conditionalFormatting sqref="D42:F43 E64:F64">
    <cfRule type="expression" dxfId="211" priority="177">
      <formula>$E$64&gt;0</formula>
    </cfRule>
    <cfRule type="expression" dxfId="210" priority="178">
      <formula>$E$64&lt;0</formula>
    </cfRule>
  </conditionalFormatting>
  <conditionalFormatting sqref="G42:I43 H64:I64">
    <cfRule type="expression" dxfId="209" priority="175">
      <formula>$H$64&gt;0</formula>
    </cfRule>
    <cfRule type="expression" dxfId="208" priority="176">
      <formula>$H$64&lt;0</formula>
    </cfRule>
  </conditionalFormatting>
  <conditionalFormatting sqref="J42:L43 K64:L64">
    <cfRule type="expression" dxfId="207" priority="173">
      <formula>$K$64&gt;0</formula>
    </cfRule>
    <cfRule type="expression" dxfId="206" priority="174">
      <formula>$K$64&lt;0</formula>
    </cfRule>
  </conditionalFormatting>
  <conditionalFormatting sqref="M42:O43 N64:O64">
    <cfRule type="expression" dxfId="205" priority="171">
      <formula>$N$64&gt;0</formula>
    </cfRule>
    <cfRule type="expression" dxfId="204" priority="172">
      <formula>$N$64&lt;0</formula>
    </cfRule>
  </conditionalFormatting>
  <conditionalFormatting sqref="G2:I3">
    <cfRule type="expression" dxfId="203" priority="10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" priority="10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201" priority="195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200" priority="196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199" priority="19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98" priority="19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197" priority="19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96" priority="20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195" priority="20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94" priority="20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193" priority="89">
      <formula>AND($N71 &gt; 0, ISNUMBER($N71))</formula>
    </cfRule>
    <cfRule type="expression" dxfId="192" priority="90">
      <formula>AND($N71 &lt; 0, ISNUMBER($N71))</formula>
    </cfRule>
    <cfRule type="expression" dxfId="191" priority="91">
      <formula>AND($K71 &gt; 0, ISNUMBER($K71))</formula>
    </cfRule>
    <cfRule type="expression" dxfId="190" priority="92">
      <formula>AND($K71 &lt; 0, ISNUMBER($K71))</formula>
    </cfRule>
    <cfRule type="expression" dxfId="189" priority="93">
      <formula>AND($H71 &gt; 0, ISNUMBER($H71))</formula>
    </cfRule>
    <cfRule type="expression" dxfId="188" priority="94">
      <formula>AND($H71 &lt; 0, ISNUMBER($H71))</formula>
    </cfRule>
    <cfRule type="expression" dxfId="187" priority="95">
      <formula>AND($E71 &gt; 0, ISNUMBER($E71))</formula>
    </cfRule>
    <cfRule type="expression" dxfId="186" priority="96">
      <formula>AND($E71 &lt; 0, ISNUMBER($E71))</formula>
    </cfRule>
  </conditionalFormatting>
  <conditionalFormatting sqref="D69:F70 E91:F91">
    <cfRule type="expression" dxfId="185" priority="87">
      <formula>$E$64&gt;0</formula>
    </cfRule>
    <cfRule type="expression" dxfId="184" priority="88">
      <formula>$E$64&lt;0</formula>
    </cfRule>
  </conditionalFormatting>
  <conditionalFormatting sqref="G69:I70 H91:I91">
    <cfRule type="expression" dxfId="183" priority="85">
      <formula>$H$64&gt;0</formula>
    </cfRule>
    <cfRule type="expression" dxfId="182" priority="86">
      <formula>$H$64&lt;0</formula>
    </cfRule>
  </conditionalFormatting>
  <conditionalFormatting sqref="J69:L70 K91:L91">
    <cfRule type="expression" dxfId="181" priority="83">
      <formula>$K$64&gt;0</formula>
    </cfRule>
    <cfRule type="expression" dxfId="180" priority="84">
      <formula>$K$64&lt;0</formula>
    </cfRule>
  </conditionalFormatting>
  <conditionalFormatting sqref="M69:O70 N91:O91">
    <cfRule type="expression" dxfId="179" priority="81">
      <formula>$N$64&gt;0</formula>
    </cfRule>
    <cfRule type="expression" dxfId="178" priority="82">
      <formula>$N$64&lt;0</formula>
    </cfRule>
  </conditionalFormatting>
  <conditionalFormatting sqref="A98:O117">
    <cfRule type="expression" dxfId="177" priority="73">
      <formula>AND($N98 &gt; 0, ISNUMBER($N98))</formula>
    </cfRule>
    <cfRule type="expression" dxfId="176" priority="74">
      <formula>AND($N98 &lt; 0, ISNUMBER($N98))</formula>
    </cfRule>
    <cfRule type="expression" dxfId="175" priority="75">
      <formula>AND($K98 &gt; 0, ISNUMBER($K98))</formula>
    </cfRule>
    <cfRule type="expression" dxfId="174" priority="76">
      <formula>AND($K98 &lt; 0, ISNUMBER($K98))</formula>
    </cfRule>
    <cfRule type="expression" dxfId="173" priority="77">
      <formula>AND($H98 &gt; 0, ISNUMBER($H98))</formula>
    </cfRule>
    <cfRule type="expression" dxfId="172" priority="78">
      <formula>AND($H98 &lt; 0, ISNUMBER($H98))</formula>
    </cfRule>
    <cfRule type="expression" dxfId="171" priority="79">
      <formula>AND($E98 &gt; 0, ISNUMBER($E98))</formula>
    </cfRule>
    <cfRule type="expression" dxfId="170" priority="80">
      <formula>AND($E98 &lt; 0, ISNUMBER($E98))</formula>
    </cfRule>
  </conditionalFormatting>
  <conditionalFormatting sqref="D96:F97 E118:F118">
    <cfRule type="expression" dxfId="169" priority="71">
      <formula>$E$64&gt;0</formula>
    </cfRule>
    <cfRule type="expression" dxfId="168" priority="72">
      <formula>$E$64&lt;0</formula>
    </cfRule>
  </conditionalFormatting>
  <conditionalFormatting sqref="G96:I97 H118:I118">
    <cfRule type="expression" dxfId="167" priority="69">
      <formula>$H$64&gt;0</formula>
    </cfRule>
    <cfRule type="expression" dxfId="166" priority="70">
      <formula>$H$64&lt;0</formula>
    </cfRule>
  </conditionalFormatting>
  <conditionalFormatting sqref="J96:L97 K118:L118">
    <cfRule type="expression" dxfId="165" priority="67">
      <formula>$K$64&gt;0</formula>
    </cfRule>
    <cfRule type="expression" dxfId="164" priority="68">
      <formula>$K$64&lt;0</formula>
    </cfRule>
  </conditionalFormatting>
  <conditionalFormatting sqref="M96:O97 N118:O118">
    <cfRule type="expression" dxfId="163" priority="65">
      <formula>$N$64&gt;0</formula>
    </cfRule>
    <cfRule type="expression" dxfId="162" priority="66">
      <formula>$N$64&lt;0</formula>
    </cfRule>
  </conditionalFormatting>
  <conditionalFormatting sqref="A125:O144">
    <cfRule type="expression" dxfId="161" priority="41">
      <formula>AND($N125 &gt; 0, ISNUMBER($N125))</formula>
    </cfRule>
    <cfRule type="expression" dxfId="160" priority="42">
      <formula>AND($N125 &lt; 0, ISNUMBER($N125))</formula>
    </cfRule>
    <cfRule type="expression" dxfId="159" priority="43">
      <formula>AND($K125 &gt; 0, ISNUMBER($K125))</formula>
    </cfRule>
    <cfRule type="expression" dxfId="158" priority="44">
      <formula>AND($K125 &lt; 0, ISNUMBER($K125))</formula>
    </cfRule>
    <cfRule type="expression" dxfId="157" priority="45">
      <formula>AND($H125 &gt; 0, ISNUMBER($H125))</formula>
    </cfRule>
    <cfRule type="expression" dxfId="156" priority="46">
      <formula>AND($H125 &lt; 0, ISNUMBER($H125))</formula>
    </cfRule>
    <cfRule type="expression" dxfId="155" priority="47">
      <formula>AND($E125 &gt; 0, ISNUMBER($E125))</formula>
    </cfRule>
    <cfRule type="expression" dxfId="154" priority="48">
      <formula>AND($E125 &lt; 0, ISNUMBER($E125))</formula>
    </cfRule>
  </conditionalFormatting>
  <conditionalFormatting sqref="D123:F124 E145:F145">
    <cfRule type="expression" dxfId="153" priority="39">
      <formula>$E$64&gt;0</formula>
    </cfRule>
    <cfRule type="expression" dxfId="152" priority="40">
      <formula>$E$64&lt;0</formula>
    </cfRule>
  </conditionalFormatting>
  <conditionalFormatting sqref="G123:I124 H145:I145">
    <cfRule type="expression" dxfId="151" priority="37">
      <formula>$H$64&gt;0</formula>
    </cfRule>
    <cfRule type="expression" dxfId="150" priority="38">
      <formula>$H$64&lt;0</formula>
    </cfRule>
  </conditionalFormatting>
  <conditionalFormatting sqref="J123:L124 K145:L145">
    <cfRule type="expression" dxfId="149" priority="35">
      <formula>$K$64&gt;0</formula>
    </cfRule>
    <cfRule type="expression" dxfId="148" priority="36">
      <formula>$K$64&lt;0</formula>
    </cfRule>
  </conditionalFormatting>
  <conditionalFormatting sqref="M123:O124 N145:O145">
    <cfRule type="expression" dxfId="147" priority="33">
      <formula>$N$64&gt;0</formula>
    </cfRule>
    <cfRule type="expression" dxfId="146" priority="34">
      <formula>$N$64&lt;0</formula>
    </cfRule>
  </conditionalFormatting>
  <conditionalFormatting sqref="A152:O171">
    <cfRule type="expression" dxfId="145" priority="25">
      <formula>AND($N152 &gt; 0, ISNUMBER($N152))</formula>
    </cfRule>
    <cfRule type="expression" dxfId="144" priority="26">
      <formula>AND($N152 &lt; 0, ISNUMBER($N152))</formula>
    </cfRule>
    <cfRule type="expression" dxfId="143" priority="27">
      <formula>AND($K152 &gt; 0, ISNUMBER($K152))</formula>
    </cfRule>
    <cfRule type="expression" dxfId="142" priority="28">
      <formula>AND($K152 &lt; 0, ISNUMBER($K152))</formula>
    </cfRule>
    <cfRule type="expression" dxfId="141" priority="29">
      <formula>AND($H152 &gt; 0, ISNUMBER($H152))</formula>
    </cfRule>
    <cfRule type="expression" dxfId="140" priority="30">
      <formula>AND($H152 &lt; 0, ISNUMBER($H152))</formula>
    </cfRule>
    <cfRule type="expression" dxfId="139" priority="31">
      <formula>AND($E152 &gt; 0, ISNUMBER($E152))</formula>
    </cfRule>
    <cfRule type="expression" dxfId="138" priority="32">
      <formula>AND($E152 &lt; 0, ISNUMBER($E152))</formula>
    </cfRule>
  </conditionalFormatting>
  <conditionalFormatting sqref="D150:F151 E172:F172">
    <cfRule type="expression" dxfId="137" priority="23">
      <formula>$E$64&gt;0</formula>
    </cfRule>
    <cfRule type="expression" dxfId="136" priority="24">
      <formula>$E$64&lt;0</formula>
    </cfRule>
  </conditionalFormatting>
  <conditionalFormatting sqref="G150:I151 H172:I172">
    <cfRule type="expression" dxfId="135" priority="21">
      <formula>$H$64&gt;0</formula>
    </cfRule>
    <cfRule type="expression" dxfId="134" priority="22">
      <formula>$H$64&lt;0</formula>
    </cfRule>
  </conditionalFormatting>
  <conditionalFormatting sqref="J150:L151 K172:L172">
    <cfRule type="expression" dxfId="133" priority="19">
      <formula>$K$64&gt;0</formula>
    </cfRule>
    <cfRule type="expression" dxfId="132" priority="20">
      <formula>$K$64&lt;0</formula>
    </cfRule>
  </conditionalFormatting>
  <conditionalFormatting sqref="M150:O151 N172:O172">
    <cfRule type="expression" dxfId="131" priority="17">
      <formula>$N$64&gt;0</formula>
    </cfRule>
    <cfRule type="expression" dxfId="130" priority="18">
      <formula>$N$64&lt;0</formula>
    </cfRule>
  </conditionalFormatting>
  <conditionalFormatting sqref="A179:O198">
    <cfRule type="expression" dxfId="129" priority="9">
      <formula>AND($N179 &gt; 0, ISNUMBER($N179))</formula>
    </cfRule>
    <cfRule type="expression" dxfId="128" priority="10">
      <formula>AND($N179 &lt; 0, ISNUMBER($N179))</formula>
    </cfRule>
    <cfRule type="expression" dxfId="127" priority="11">
      <formula>AND($K179 &gt; 0, ISNUMBER($K179))</formula>
    </cfRule>
    <cfRule type="expression" dxfId="126" priority="12">
      <formula>AND($K179 &lt; 0, ISNUMBER($K179))</formula>
    </cfRule>
    <cfRule type="expression" dxfId="125" priority="13">
      <formula>AND($H179 &gt; 0, ISNUMBER($H179))</formula>
    </cfRule>
    <cfRule type="expression" dxfId="124" priority="14">
      <formula>AND($H179 &lt; 0, ISNUMBER($H179))</formula>
    </cfRule>
    <cfRule type="expression" dxfId="123" priority="15">
      <formula>AND($E179 &gt; 0, ISNUMBER($E179))</formula>
    </cfRule>
    <cfRule type="expression" dxfId="122" priority="16">
      <formula>AND($E179 &lt; 0, ISNUMBER($E179))</formula>
    </cfRule>
  </conditionalFormatting>
  <conditionalFormatting sqref="D177:F178 E199:F199">
    <cfRule type="expression" dxfId="121" priority="7">
      <formula>$E$64&gt;0</formula>
    </cfRule>
    <cfRule type="expression" dxfId="120" priority="8">
      <formula>$E$64&lt;0</formula>
    </cfRule>
  </conditionalFormatting>
  <conditionalFormatting sqref="G177:I178 H199:I199">
    <cfRule type="expression" dxfId="119" priority="5">
      <formula>$H$64&gt;0</formula>
    </cfRule>
    <cfRule type="expression" dxfId="118" priority="6">
      <formula>$H$64&lt;0</formula>
    </cfRule>
  </conditionalFormatting>
  <conditionalFormatting sqref="J177:L178 K199:L199">
    <cfRule type="expression" dxfId="117" priority="3">
      <formula>$K$64&gt;0</formula>
    </cfRule>
    <cfRule type="expression" dxfId="116" priority="4">
      <formula>$K$64&lt;0</formula>
    </cfRule>
  </conditionalFormatting>
  <conditionalFormatting sqref="M177:O178 N199:O199">
    <cfRule type="expression" dxfId="115" priority="1">
      <formula>$N$64&gt;0</formula>
    </cfRule>
    <cfRule type="expression" dxfId="114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6" name="Button 55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7" name="Button 56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셀이동_실거래종목">
                <anchor moveWithCells="1" sizeWithCells="1">
                  <from>
                    <xdr:col>15</xdr:col>
                    <xdr:colOff>685800</xdr:colOff>
                    <xdr:row>12</xdr:row>
                    <xdr:rowOff>0</xdr:rowOff>
                  </from>
                  <to>
                    <xdr:col>18</xdr:col>
                    <xdr:colOff>923925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9" name="Button 83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10" name="Button 84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셀이동_처음으로">
                <anchor moveWithCells="1" sizeWithCells="1">
                  <from>
                    <xdr:col>15</xdr:col>
                    <xdr:colOff>685800</xdr:colOff>
                    <xdr:row>21</xdr:row>
                    <xdr:rowOff>0</xdr:rowOff>
                  </from>
                  <to>
                    <xdr:col>18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12" name="Button 85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13" name="Button 86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14" name="Button 87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15" name="Button 88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16" name="Button 90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17" name="Button 91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8" name="Button 9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9" name="Button 9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20" name="Button 95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21" name="Button 96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22" name="Button 9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23" name="Button 98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24" name="Button 99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25" name="Button 101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6" name="Button 102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7" name="Button 104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8" name="Button 10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29" name="Button 10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30" name="Button 10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31" name="Button 1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32" name="Button 1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33" name="Button 12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34" name="Button 8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35" name="Button 92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36" name="Button 10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37" name="Button 103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38" name="Button 10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39" name="Button 127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40" name="Button 125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41" name="Button 126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42" name="Button 128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43" name="Button 130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44" name="Button 131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45" name="Button 132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46" name="Button 111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47" name="Button 109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48" name="Button 110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49" name="Button 112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50" name="Button 114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51" name="Button 115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52" name="Button 11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3" name="Button 119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4" name="Button 117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5" name="Button 118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6" name="Button 120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Button 122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58" name="Button 123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59" name="Button 124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24CCB-634D-47FF-9D29-F7EC3045A0B2}">
  <sheetPr codeName="Sheet4"/>
  <dimension ref="A1:S199"/>
  <sheetViews>
    <sheetView topLeftCell="A10" zoomScaleNormal="100" workbookViewId="0">
      <selection activeCell="A17" sqref="A1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22" t="s">
        <v>0</v>
      </c>
      <c r="B1" s="123"/>
      <c r="C1" s="123"/>
      <c r="D1" s="123"/>
      <c r="E1" s="123"/>
      <c r="F1" s="124"/>
      <c r="G1" s="138">
        <v>44287</v>
      </c>
      <c r="H1" s="139"/>
      <c r="I1" s="140"/>
      <c r="J1" s="122" t="s">
        <v>1</v>
      </c>
      <c r="K1" s="123"/>
      <c r="L1" s="123"/>
      <c r="M1" s="123"/>
      <c r="N1" s="123"/>
      <c r="O1" s="124"/>
      <c r="Q1" s="122" t="s">
        <v>2</v>
      </c>
      <c r="R1" s="124"/>
    </row>
    <row r="2" spans="1:19" ht="17.25" customHeight="1">
      <c r="A2" s="1" t="s">
        <v>3</v>
      </c>
      <c r="B2" s="141" t="s">
        <v>4</v>
      </c>
      <c r="C2" s="142"/>
      <c r="D2" s="142"/>
      <c r="E2" s="142"/>
      <c r="F2" s="143"/>
      <c r="G2" s="144" t="s">
        <v>50</v>
      </c>
      <c r="H2" s="145"/>
      <c r="I2" s="146"/>
      <c r="J2" s="1" t="s">
        <v>3</v>
      </c>
      <c r="K2" s="141" t="s">
        <v>5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4" t="s">
        <v>7</v>
      </c>
      <c r="B3" s="147" t="s">
        <v>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51"/>
      <c r="I3" s="152"/>
      <c r="J3" s="4" t="s">
        <v>7</v>
      </c>
      <c r="K3" s="147" t="s">
        <v>9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47" t="s">
        <v>12</v>
      </c>
      <c r="C4" s="148"/>
      <c r="D4" s="148"/>
      <c r="E4" s="148"/>
      <c r="F4" s="149"/>
      <c r="G4" s="144" t="s">
        <v>48</v>
      </c>
      <c r="H4" s="145"/>
      <c r="I4" s="146"/>
      <c r="J4" s="4" t="s">
        <v>11</v>
      </c>
      <c r="K4" s="147" t="s">
        <v>13</v>
      </c>
      <c r="L4" s="148"/>
      <c r="M4" s="148"/>
      <c r="N4" s="148"/>
      <c r="O4" s="149"/>
      <c r="Q4" s="11" t="s">
        <v>14</v>
      </c>
      <c r="R4" s="6">
        <v>0.95833333333333337</v>
      </c>
    </row>
    <row r="5" spans="1:19" ht="17.25" customHeight="1" thickBot="1">
      <c r="A5" s="4" t="s">
        <v>15</v>
      </c>
      <c r="B5" s="147" t="s">
        <v>16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51"/>
      <c r="I5" s="152"/>
      <c r="J5" s="4" t="s">
        <v>15</v>
      </c>
      <c r="K5" s="147" t="s">
        <v>17</v>
      </c>
      <c r="L5" s="148"/>
      <c r="M5" s="148"/>
      <c r="N5" s="148"/>
      <c r="O5" s="149"/>
    </row>
    <row r="6" spans="1:19">
      <c r="A6" s="4" t="s">
        <v>18</v>
      </c>
      <c r="B6" s="147" t="s">
        <v>19</v>
      </c>
      <c r="C6" s="148"/>
      <c r="D6" s="148"/>
      <c r="E6" s="148"/>
      <c r="F6" s="149"/>
      <c r="G6" s="144" t="s">
        <v>49</v>
      </c>
      <c r="H6" s="145"/>
      <c r="I6" s="146"/>
      <c r="J6" s="4" t="s">
        <v>18</v>
      </c>
      <c r="K6" s="147" t="s">
        <v>20</v>
      </c>
      <c r="L6" s="148"/>
      <c r="M6" s="148"/>
      <c r="N6" s="148"/>
      <c r="O6" s="149"/>
    </row>
    <row r="7" spans="1:19" ht="17.25" thickBot="1">
      <c r="A7" s="4" t="s">
        <v>21</v>
      </c>
      <c r="B7" s="147" t="s">
        <v>22</v>
      </c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51"/>
      <c r="I7" s="152"/>
      <c r="J7" s="4" t="s">
        <v>21</v>
      </c>
      <c r="K7" s="147" t="s">
        <v>23</v>
      </c>
      <c r="L7" s="148"/>
      <c r="M7" s="148"/>
      <c r="N7" s="148"/>
      <c r="O7" s="149"/>
    </row>
    <row r="8" spans="1:19" ht="17.25" thickBot="1">
      <c r="A8" s="4" t="s">
        <v>24</v>
      </c>
      <c r="B8" s="147" t="s">
        <v>25</v>
      </c>
      <c r="C8" s="148"/>
      <c r="D8" s="148"/>
      <c r="E8" s="148"/>
      <c r="F8" s="149"/>
      <c r="G8" s="144" t="s">
        <v>290</v>
      </c>
      <c r="H8" s="145"/>
      <c r="I8" s="146"/>
      <c r="J8" s="4" t="s">
        <v>24</v>
      </c>
      <c r="K8" s="147" t="s">
        <v>26</v>
      </c>
      <c r="L8" s="148"/>
      <c r="M8" s="148"/>
      <c r="N8" s="148"/>
      <c r="O8" s="149"/>
      <c r="Q8" s="122" t="s">
        <v>27</v>
      </c>
      <c r="R8" s="124"/>
    </row>
    <row r="9" spans="1:19" ht="17.25" thickBot="1">
      <c r="A9" s="4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7">
        <v>10</v>
      </c>
    </row>
    <row r="10" spans="1:19">
      <c r="A10" s="4" t="s">
        <v>30</v>
      </c>
      <c r="B10" s="147"/>
      <c r="C10" s="148"/>
      <c r="D10" s="148"/>
      <c r="E10" s="148"/>
      <c r="F10" s="149"/>
      <c r="G10" s="144" t="s">
        <v>51</v>
      </c>
      <c r="H10" s="145"/>
      <c r="I10" s="146"/>
      <c r="J10" s="4" t="s">
        <v>30</v>
      </c>
      <c r="K10" s="147"/>
      <c r="L10" s="148"/>
      <c r="M10" s="148"/>
      <c r="N10" s="148"/>
      <c r="O10" s="149"/>
      <c r="Q10" s="2" t="s">
        <v>31</v>
      </c>
      <c r="R10" s="7">
        <v>100</v>
      </c>
    </row>
    <row r="11" spans="1:19" ht="17.25" thickBot="1">
      <c r="A11" s="8" t="s">
        <v>32</v>
      </c>
      <c r="B11" s="153"/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8" t="s">
        <v>32</v>
      </c>
      <c r="K11" s="153"/>
      <c r="L11" s="154"/>
      <c r="M11" s="154"/>
      <c r="N11" s="154"/>
      <c r="O11" s="155"/>
      <c r="Q11" s="11" t="s">
        <v>33</v>
      </c>
      <c r="R11" s="9">
        <v>1000</v>
      </c>
    </row>
    <row r="12" spans="1:19" ht="17.25" thickBot="1"/>
    <row r="13" spans="1:19" ht="17.25" customHeight="1" thickBot="1">
      <c r="A13" s="122" t="s">
        <v>34</v>
      </c>
      <c r="B13" s="123"/>
      <c r="C13" s="123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4"/>
      <c r="Q13" s="111"/>
      <c r="R13" s="112"/>
      <c r="S13" s="113"/>
    </row>
    <row r="14" spans="1:19" ht="17.25" customHeight="1" thickBot="1">
      <c r="A14" s="10" t="s">
        <v>35</v>
      </c>
      <c r="B14" s="122" t="s">
        <v>36</v>
      </c>
      <c r="C14" s="124"/>
      <c r="D14" s="122" t="s">
        <v>37</v>
      </c>
      <c r="E14" s="123"/>
      <c r="F14" s="124"/>
      <c r="G14" s="125">
        <f>_xlfn.IFNA(VLOOKUP(B14, 현재가테이블!$B$2:$D$200, 2, FALSE), "-")</f>
        <v>78003000</v>
      </c>
      <c r="H14" s="126"/>
      <c r="I14" s="127"/>
      <c r="J14" s="122" t="s">
        <v>38</v>
      </c>
      <c r="K14" s="123"/>
      <c r="L14" s="124"/>
      <c r="M14" s="128">
        <f>_xlfn.IFNA(VLOOKUP(B14, 현재가테이블!$B$2:$D$200, 3, FALSE), "-")</f>
        <v>-6.7108111999999998E-3</v>
      </c>
      <c r="N14" s="129"/>
      <c r="O14" s="130"/>
      <c r="Q14" s="114"/>
      <c r="R14" s="115"/>
      <c r="S14" s="116"/>
    </row>
    <row r="15" spans="1:19" ht="17.25" customHeight="1" thickBot="1">
      <c r="A15" s="131" t="s">
        <v>39</v>
      </c>
      <c r="B15" s="132" t="s">
        <v>40</v>
      </c>
      <c r="C15" s="133"/>
      <c r="D15" s="156" t="s">
        <v>41</v>
      </c>
      <c r="E15" s="137"/>
      <c r="F15" s="157"/>
      <c r="G15" s="156" t="s">
        <v>42</v>
      </c>
      <c r="H15" s="137"/>
      <c r="I15" s="157"/>
      <c r="J15" s="137" t="s">
        <v>43</v>
      </c>
      <c r="K15" s="137"/>
      <c r="L15" s="137"/>
      <c r="M15" s="156" t="s">
        <v>40</v>
      </c>
      <c r="N15" s="137"/>
      <c r="O15" s="157"/>
      <c r="Q15" s="117"/>
      <c r="R15" s="118"/>
      <c r="S15" s="119"/>
    </row>
    <row r="16" spans="1:19" ht="17.25" customHeight="1" thickBot="1">
      <c r="A16" s="131"/>
      <c r="B16" s="2" t="s">
        <v>37</v>
      </c>
      <c r="C16" s="12" t="s">
        <v>38</v>
      </c>
      <c r="D16" s="2" t="s">
        <v>37</v>
      </c>
      <c r="E16" s="12" t="s">
        <v>44</v>
      </c>
      <c r="F16" s="13" t="s">
        <v>45</v>
      </c>
      <c r="G16" s="42" t="s">
        <v>37</v>
      </c>
      <c r="H16" s="43" t="s">
        <v>44</v>
      </c>
      <c r="I16" s="44" t="s">
        <v>45</v>
      </c>
      <c r="J16" s="12" t="s">
        <v>37</v>
      </c>
      <c r="K16" s="12" t="s">
        <v>44</v>
      </c>
      <c r="L16" s="17" t="s">
        <v>45</v>
      </c>
      <c r="M16" s="2" t="s">
        <v>37</v>
      </c>
      <c r="N16" s="12" t="s">
        <v>44</v>
      </c>
      <c r="O16" s="18" t="s">
        <v>45</v>
      </c>
      <c r="Q16" s="98"/>
      <c r="R16" s="98"/>
      <c r="S16" s="98"/>
    </row>
    <row r="17" spans="1:19" ht="17.25" customHeight="1" thickBot="1">
      <c r="A17" s="19" t="s">
        <v>55</v>
      </c>
      <c r="B17" s="20" t="str">
        <f t="shared" ref="B17:B36" si="0">IF(NOT(_xlfn.IFNA(VLOOKUP($A17, $A$40:$O$66, 2, FALSE), "")=0), _xlfn.IFNA(VLOOKUP($A17, $A$40:$O$66, 2, FALSE), ""), "")</f>
        <v/>
      </c>
      <c r="C17" s="21" t="str">
        <f t="shared" ref="C17:C36" si="1">IF(NOT(_xlfn.IFNA(VLOOKUP($A17, $A$40:$O$66, 3, FALSE), "")=0), _xlfn.IFNA(VLOOKUP($A17, $A$40:$O$66, 3, FALSE), ""), "")</f>
        <v/>
      </c>
      <c r="D17" s="20" t="str">
        <f t="shared" ref="D17:D36" si="2">IF(NOT(_xlfn.IFNA(VLOOKUP($A17, $A$40:$O$66, 4, FALSE), "")=0), _xlfn.IFNA(VLOOKUP($A17, $A$40:$O$66, 4, FALSE), ""), "")</f>
        <v/>
      </c>
      <c r="E17" s="21" t="str">
        <f t="shared" ref="E17:E36" si="3">IF(NOT(_xlfn.IFNA(VLOOKUP($A17, $A$40:$O$66, 5, FALSE), "")=0), _xlfn.IFNA(VLOOKUP($A17, $A$40:$O$66, 5, FALSE), ""), "")</f>
        <v/>
      </c>
      <c r="F17" s="22" t="str">
        <f t="shared" ref="F17:F36" si="4">IF(NOT(_xlfn.IFNA(VLOOKUP($A17, $A$40:$O$66, 6, FALSE), "")=0), _xlfn.IFNA(VLOOKUP($A17, $A$40:$O$66, 6, FALSE), ""), "")</f>
        <v/>
      </c>
      <c r="G17" s="23" t="str">
        <f t="shared" ref="G17:G36" si="5">IF(NOT(_xlfn.IFNA(VLOOKUP($A17, $A$40:$O$66, 7, FALSE), "")=0), _xlfn.IFNA(VLOOKUP($A17, $A$40:$O$66, 7, FALSE), ""), "")</f>
        <v/>
      </c>
      <c r="H17" s="24" t="str">
        <f t="shared" ref="H17:H36" si="6">IF(NOT(_xlfn.IFNA(VLOOKUP($A17, $A$40:$O$66, 8, FALSE), "")=0), _xlfn.IFNA(VLOOKUP($A17, $A$40:$O$66, 8, FALSE), ""), "")</f>
        <v/>
      </c>
      <c r="I17" s="25" t="str">
        <f t="shared" ref="I17:I36" si="7">IF(NOT(_xlfn.IFNA(VLOOKUP($A17, $A$40:$O$66, 9, FALSE), "")=0), _xlfn.IFNA(VLOOKUP($A17, $A$40:$O$66, 9, FALSE), ""), "")</f>
        <v/>
      </c>
      <c r="J17" s="20" t="str">
        <f t="shared" ref="J17:J36" si="8">IF(NOT(_xlfn.IFNA(VLOOKUP($A17, $A$40:$O$66, 10, FALSE), "")=0), _xlfn.IFNA(VLOOKUP($A17, $A$40:$O$66, 10, FALSE), ""), "")</f>
        <v/>
      </c>
      <c r="K17" s="21" t="str">
        <f t="shared" ref="K17:K36" si="9">IF(NOT(_xlfn.IFNA(VLOOKUP($A17, $A$40:$O$66, 11, FALSE), "")=0), _xlfn.IFNA(VLOOKUP($A17, $A$40:$O$66, 11, FALSE), ""), "")</f>
        <v/>
      </c>
      <c r="L17" s="22" t="str">
        <f t="shared" ref="L17:L36" si="10">IF(NOT(_xlfn.IFNA(VLOOKUP($A17, $A$40:$O$66, 12, FALSE), "")=0), _xlfn.IFNA(VLOOKUP($A17, $A$40:$O$66, 12, FALSE), ""), "")</f>
        <v/>
      </c>
      <c r="M17" s="20" t="str">
        <f t="shared" ref="M17:M36" si="11">IF(NOT(_xlfn.IFNA(VLOOKUP($A17, $A$40:$O$66, 13, FALSE), "")=0), _xlfn.IFNA(VLOOKUP($A17, $A$40:$O$66, 13, FALSE), ""), "")</f>
        <v/>
      </c>
      <c r="N17" s="21" t="str">
        <f t="shared" ref="N17:N36" si="12">IF(NOT(_xlfn.IFNA(VLOOKUP($A17, $A$40:$O$66, 14, FALSE), "")=0), _xlfn.IFNA(VLOOKUP($A17, $A$40:$O$66, 14, FALSE), ""), "")</f>
        <v/>
      </c>
      <c r="O17" s="26" t="str">
        <f t="shared" ref="O17:O36" si="13">IF(NOT(_xlfn.IFNA(VLOOKUP($A17, $A$40:$O$66, 15, FALSE), "")=0), _xlfn.IFNA(VLOOKUP($A17, $A$40:$O$66, 15, FALSE), ""), "")</f>
        <v/>
      </c>
      <c r="Q17" s="99"/>
      <c r="R17" s="99"/>
      <c r="S17" s="99"/>
    </row>
    <row r="18" spans="1:19" ht="17.25" customHeight="1" thickBot="1">
      <c r="A18" s="27" t="s">
        <v>58</v>
      </c>
      <c r="B18" s="23" t="str">
        <f t="shared" si="0"/>
        <v/>
      </c>
      <c r="C18" s="24" t="str">
        <f t="shared" si="1"/>
        <v/>
      </c>
      <c r="D18" s="23" t="str">
        <f t="shared" si="2"/>
        <v/>
      </c>
      <c r="E18" s="24" t="str">
        <f t="shared" si="3"/>
        <v/>
      </c>
      <c r="F18" s="25" t="str">
        <f t="shared" si="4"/>
        <v/>
      </c>
      <c r="G18" s="23" t="str">
        <f t="shared" si="5"/>
        <v/>
      </c>
      <c r="H18" s="24" t="str">
        <f t="shared" si="6"/>
        <v/>
      </c>
      <c r="I18" s="25" t="str">
        <f t="shared" si="7"/>
        <v/>
      </c>
      <c r="J18" s="23" t="str">
        <f t="shared" si="8"/>
        <v/>
      </c>
      <c r="K18" s="24" t="str">
        <f t="shared" si="9"/>
        <v/>
      </c>
      <c r="L18" s="25" t="str">
        <f t="shared" si="10"/>
        <v/>
      </c>
      <c r="M18" s="23" t="str">
        <f t="shared" si="11"/>
        <v/>
      </c>
      <c r="N18" s="24" t="str">
        <f t="shared" si="12"/>
        <v/>
      </c>
      <c r="O18" s="28" t="str">
        <f t="shared" si="13"/>
        <v/>
      </c>
      <c r="Q18" s="99"/>
      <c r="R18" s="99"/>
      <c r="S18" s="99"/>
    </row>
    <row r="19" spans="1:19" ht="17.25" customHeight="1" thickBot="1">
      <c r="A19" s="27" t="s">
        <v>62</v>
      </c>
      <c r="B19" s="23" t="str">
        <f t="shared" si="0"/>
        <v/>
      </c>
      <c r="C19" s="24" t="str">
        <f t="shared" si="1"/>
        <v/>
      </c>
      <c r="D19" s="23" t="str">
        <f t="shared" si="2"/>
        <v/>
      </c>
      <c r="E19" s="24" t="str">
        <f t="shared" si="3"/>
        <v/>
      </c>
      <c r="F19" s="25" t="str">
        <f t="shared" si="4"/>
        <v/>
      </c>
      <c r="G19" s="23" t="str">
        <f t="shared" si="5"/>
        <v/>
      </c>
      <c r="H19" s="24" t="str">
        <f t="shared" si="6"/>
        <v/>
      </c>
      <c r="I19" s="25" t="str">
        <f t="shared" si="7"/>
        <v/>
      </c>
      <c r="J19" s="23" t="str">
        <f t="shared" si="8"/>
        <v/>
      </c>
      <c r="K19" s="24" t="str">
        <f t="shared" si="9"/>
        <v/>
      </c>
      <c r="L19" s="25" t="str">
        <f t="shared" si="10"/>
        <v/>
      </c>
      <c r="M19" s="23" t="str">
        <f t="shared" si="11"/>
        <v/>
      </c>
      <c r="N19" s="24" t="str">
        <f t="shared" si="12"/>
        <v/>
      </c>
      <c r="O19" s="28" t="str">
        <f t="shared" si="13"/>
        <v/>
      </c>
      <c r="Q19" s="100"/>
      <c r="R19" s="100"/>
      <c r="S19" s="100"/>
    </row>
    <row r="20" spans="1:19" ht="17.25" customHeight="1" thickBot="1">
      <c r="A20" s="27" t="s">
        <v>66</v>
      </c>
      <c r="B20" s="23" t="str">
        <f t="shared" si="0"/>
        <v/>
      </c>
      <c r="C20" s="24" t="str">
        <f t="shared" si="1"/>
        <v/>
      </c>
      <c r="D20" s="23" t="str">
        <f t="shared" si="2"/>
        <v/>
      </c>
      <c r="E20" s="24" t="str">
        <f t="shared" si="3"/>
        <v/>
      </c>
      <c r="F20" s="25" t="str">
        <f t="shared" si="4"/>
        <v/>
      </c>
      <c r="G20" s="23" t="str">
        <f t="shared" si="5"/>
        <v/>
      </c>
      <c r="H20" s="24" t="str">
        <f t="shared" si="6"/>
        <v/>
      </c>
      <c r="I20" s="25" t="str">
        <f t="shared" si="7"/>
        <v/>
      </c>
      <c r="J20" s="23" t="str">
        <f t="shared" si="8"/>
        <v/>
      </c>
      <c r="K20" s="24" t="str">
        <f t="shared" si="9"/>
        <v/>
      </c>
      <c r="L20" s="25" t="str">
        <f t="shared" si="10"/>
        <v/>
      </c>
      <c r="M20" s="23" t="str">
        <f t="shared" si="11"/>
        <v/>
      </c>
      <c r="N20" s="24" t="str">
        <f t="shared" si="12"/>
        <v/>
      </c>
      <c r="O20" s="28" t="str">
        <f t="shared" si="13"/>
        <v/>
      </c>
      <c r="Q20" s="100"/>
      <c r="R20" s="100"/>
      <c r="S20" s="100"/>
    </row>
    <row r="21" spans="1:19" ht="17.25" customHeight="1" thickBot="1">
      <c r="A21" s="29" t="s">
        <v>68</v>
      </c>
      <c r="B21" s="30" t="str">
        <f t="shared" si="0"/>
        <v/>
      </c>
      <c r="C21" s="31" t="str">
        <f t="shared" si="1"/>
        <v/>
      </c>
      <c r="D21" s="30" t="str">
        <f t="shared" si="2"/>
        <v/>
      </c>
      <c r="E21" s="31" t="str">
        <f t="shared" si="3"/>
        <v/>
      </c>
      <c r="F21" s="32" t="str">
        <f t="shared" si="4"/>
        <v/>
      </c>
      <c r="G21" s="30" t="str">
        <f t="shared" si="5"/>
        <v/>
      </c>
      <c r="H21" s="31" t="str">
        <f t="shared" si="6"/>
        <v/>
      </c>
      <c r="I21" s="32" t="str">
        <f t="shared" si="7"/>
        <v/>
      </c>
      <c r="J21" s="30" t="str">
        <f t="shared" si="8"/>
        <v/>
      </c>
      <c r="K21" s="31" t="str">
        <f t="shared" si="9"/>
        <v/>
      </c>
      <c r="L21" s="32" t="str">
        <f t="shared" si="10"/>
        <v/>
      </c>
      <c r="M21" s="30" t="str">
        <f t="shared" si="11"/>
        <v/>
      </c>
      <c r="N21" s="31" t="str">
        <f t="shared" si="12"/>
        <v/>
      </c>
      <c r="O21" s="33" t="str">
        <f t="shared" si="13"/>
        <v/>
      </c>
      <c r="Q21" s="101"/>
      <c r="R21" s="101"/>
      <c r="S21" s="101"/>
    </row>
    <row r="22" spans="1:19" ht="17.25" customHeight="1">
      <c r="A22" s="27" t="s">
        <v>70</v>
      </c>
      <c r="B22" s="23" t="str">
        <f t="shared" si="0"/>
        <v/>
      </c>
      <c r="C22" s="24" t="str">
        <f t="shared" si="1"/>
        <v/>
      </c>
      <c r="D22" s="23" t="str">
        <f t="shared" si="2"/>
        <v/>
      </c>
      <c r="E22" s="24" t="str">
        <f t="shared" si="3"/>
        <v/>
      </c>
      <c r="F22" s="25" t="str">
        <f t="shared" si="4"/>
        <v/>
      </c>
      <c r="G22" s="23" t="str">
        <f t="shared" si="5"/>
        <v/>
      </c>
      <c r="H22" s="24" t="str">
        <f t="shared" si="6"/>
        <v/>
      </c>
      <c r="I22" s="25" t="str">
        <f t="shared" si="7"/>
        <v/>
      </c>
      <c r="J22" s="23" t="str">
        <f t="shared" si="8"/>
        <v/>
      </c>
      <c r="K22" s="24" t="str">
        <f t="shared" si="9"/>
        <v/>
      </c>
      <c r="L22" s="25" t="str">
        <f t="shared" si="10"/>
        <v/>
      </c>
      <c r="M22" s="23" t="str">
        <f t="shared" si="11"/>
        <v/>
      </c>
      <c r="N22" s="24" t="str">
        <f t="shared" si="12"/>
        <v/>
      </c>
      <c r="O22" s="28" t="str">
        <f t="shared" si="13"/>
        <v/>
      </c>
      <c r="Q22" s="102"/>
      <c r="R22" s="103"/>
      <c r="S22" s="104"/>
    </row>
    <row r="23" spans="1:19" ht="17.25" customHeight="1">
      <c r="A23" s="27" t="s">
        <v>72</v>
      </c>
      <c r="B23" s="23" t="str">
        <f t="shared" si="0"/>
        <v/>
      </c>
      <c r="C23" s="24" t="str">
        <f t="shared" si="1"/>
        <v/>
      </c>
      <c r="D23" s="23" t="str">
        <f t="shared" si="2"/>
        <v/>
      </c>
      <c r="E23" s="24" t="str">
        <f t="shared" si="3"/>
        <v/>
      </c>
      <c r="F23" s="25" t="str">
        <f t="shared" si="4"/>
        <v/>
      </c>
      <c r="G23" s="23" t="str">
        <f t="shared" si="5"/>
        <v/>
      </c>
      <c r="H23" s="24" t="str">
        <f t="shared" si="6"/>
        <v/>
      </c>
      <c r="I23" s="25" t="str">
        <f t="shared" si="7"/>
        <v/>
      </c>
      <c r="J23" s="23" t="str">
        <f t="shared" si="8"/>
        <v/>
      </c>
      <c r="K23" s="24" t="str">
        <f t="shared" si="9"/>
        <v/>
      </c>
      <c r="L23" s="25" t="str">
        <f t="shared" si="10"/>
        <v/>
      </c>
      <c r="M23" s="23" t="str">
        <f t="shared" si="11"/>
        <v/>
      </c>
      <c r="N23" s="24" t="str">
        <f t="shared" si="12"/>
        <v/>
      </c>
      <c r="O23" s="28" t="str">
        <f t="shared" si="13"/>
        <v/>
      </c>
      <c r="Q23" s="105"/>
      <c r="R23" s="106"/>
      <c r="S23" s="107"/>
    </row>
    <row r="24" spans="1:19" ht="17.25" customHeight="1" thickBot="1">
      <c r="A24" s="27" t="s">
        <v>74</v>
      </c>
      <c r="B24" s="23" t="str">
        <f t="shared" si="0"/>
        <v/>
      </c>
      <c r="C24" s="24" t="str">
        <f t="shared" si="1"/>
        <v/>
      </c>
      <c r="D24" s="23" t="str">
        <f t="shared" si="2"/>
        <v/>
      </c>
      <c r="E24" s="24" t="str">
        <f t="shared" si="3"/>
        <v/>
      </c>
      <c r="F24" s="25" t="str">
        <f t="shared" si="4"/>
        <v/>
      </c>
      <c r="G24" s="23" t="str">
        <f t="shared" si="5"/>
        <v/>
      </c>
      <c r="H24" s="24" t="str">
        <f t="shared" si="6"/>
        <v/>
      </c>
      <c r="I24" s="25" t="str">
        <f t="shared" si="7"/>
        <v/>
      </c>
      <c r="J24" s="23" t="str">
        <f t="shared" si="8"/>
        <v/>
      </c>
      <c r="K24" s="24" t="str">
        <f t="shared" si="9"/>
        <v/>
      </c>
      <c r="L24" s="25" t="str">
        <f t="shared" si="10"/>
        <v/>
      </c>
      <c r="M24" s="23" t="str">
        <f t="shared" si="11"/>
        <v/>
      </c>
      <c r="N24" s="24" t="str">
        <f t="shared" si="12"/>
        <v/>
      </c>
      <c r="O24" s="28" t="str">
        <f t="shared" si="13"/>
        <v/>
      </c>
      <c r="Q24" s="108"/>
      <c r="R24" s="109"/>
      <c r="S24" s="110"/>
    </row>
    <row r="25" spans="1:19" ht="17.25" customHeight="1" thickBot="1">
      <c r="A25" s="27" t="s">
        <v>77</v>
      </c>
      <c r="B25" s="23" t="str">
        <f t="shared" si="0"/>
        <v/>
      </c>
      <c r="C25" s="24" t="str">
        <f t="shared" si="1"/>
        <v/>
      </c>
      <c r="D25" s="23" t="str">
        <f t="shared" si="2"/>
        <v/>
      </c>
      <c r="E25" s="24" t="str">
        <f t="shared" si="3"/>
        <v/>
      </c>
      <c r="F25" s="25" t="str">
        <f t="shared" si="4"/>
        <v/>
      </c>
      <c r="G25" s="23" t="str">
        <f t="shared" si="5"/>
        <v/>
      </c>
      <c r="H25" s="24" t="str">
        <f t="shared" si="6"/>
        <v/>
      </c>
      <c r="I25" s="25" t="str">
        <f t="shared" si="7"/>
        <v/>
      </c>
      <c r="J25" s="23" t="str">
        <f t="shared" si="8"/>
        <v/>
      </c>
      <c r="K25" s="24" t="str">
        <f t="shared" si="9"/>
        <v/>
      </c>
      <c r="L25" s="25" t="str">
        <f t="shared" si="10"/>
        <v/>
      </c>
      <c r="M25" s="23" t="str">
        <f t="shared" si="11"/>
        <v/>
      </c>
      <c r="N25" s="24" t="str">
        <f t="shared" si="12"/>
        <v/>
      </c>
      <c r="O25" s="28" t="str">
        <f t="shared" si="13"/>
        <v/>
      </c>
      <c r="Q25" s="55"/>
      <c r="R25" s="55"/>
    </row>
    <row r="26" spans="1:19" ht="17.25" customHeight="1" thickBot="1">
      <c r="A26" s="34" t="s">
        <v>79</v>
      </c>
      <c r="B26" s="35" t="str">
        <f t="shared" si="0"/>
        <v/>
      </c>
      <c r="C26" s="36" t="str">
        <f t="shared" si="1"/>
        <v/>
      </c>
      <c r="D26" s="35" t="str">
        <f t="shared" si="2"/>
        <v/>
      </c>
      <c r="E26" s="36" t="str">
        <f t="shared" si="3"/>
        <v/>
      </c>
      <c r="F26" s="37" t="str">
        <f t="shared" si="4"/>
        <v/>
      </c>
      <c r="G26" s="35" t="str">
        <f t="shared" si="5"/>
        <v/>
      </c>
      <c r="H26" s="36" t="str">
        <f t="shared" si="6"/>
        <v/>
      </c>
      <c r="I26" s="37" t="str">
        <f t="shared" si="7"/>
        <v/>
      </c>
      <c r="J26" s="35" t="str">
        <f t="shared" si="8"/>
        <v/>
      </c>
      <c r="K26" s="36" t="str">
        <f t="shared" si="9"/>
        <v/>
      </c>
      <c r="L26" s="37" t="str">
        <f t="shared" si="10"/>
        <v/>
      </c>
      <c r="M26" s="35" t="str">
        <f t="shared" si="11"/>
        <v/>
      </c>
      <c r="N26" s="36" t="str">
        <f t="shared" si="12"/>
        <v/>
      </c>
      <c r="O26" s="38" t="str">
        <f t="shared" si="13"/>
        <v/>
      </c>
      <c r="Q26" s="111"/>
      <c r="R26" s="112"/>
      <c r="S26" s="113"/>
    </row>
    <row r="27" spans="1:19" ht="17.25" customHeight="1">
      <c r="A27" s="19" t="s">
        <v>81</v>
      </c>
      <c r="B27" s="20" t="str">
        <f t="shared" si="0"/>
        <v/>
      </c>
      <c r="C27" s="21" t="str">
        <f t="shared" si="1"/>
        <v/>
      </c>
      <c r="D27" s="20" t="str">
        <f t="shared" si="2"/>
        <v/>
      </c>
      <c r="E27" s="21" t="str">
        <f t="shared" si="3"/>
        <v/>
      </c>
      <c r="F27" s="22" t="str">
        <f t="shared" si="4"/>
        <v/>
      </c>
      <c r="G27" s="23" t="str">
        <f t="shared" si="5"/>
        <v/>
      </c>
      <c r="H27" s="24" t="str">
        <f t="shared" si="6"/>
        <v/>
      </c>
      <c r="I27" s="25" t="str">
        <f t="shared" si="7"/>
        <v/>
      </c>
      <c r="J27" s="20" t="str">
        <f t="shared" si="8"/>
        <v/>
      </c>
      <c r="K27" s="21" t="str">
        <f t="shared" si="9"/>
        <v/>
      </c>
      <c r="L27" s="22" t="str">
        <f t="shared" si="10"/>
        <v/>
      </c>
      <c r="M27" s="20" t="str">
        <f t="shared" si="11"/>
        <v/>
      </c>
      <c r="N27" s="21" t="str">
        <f t="shared" si="12"/>
        <v/>
      </c>
      <c r="O27" s="26" t="str">
        <f t="shared" si="13"/>
        <v/>
      </c>
      <c r="Q27" s="114"/>
      <c r="R27" s="115"/>
      <c r="S27" s="116"/>
    </row>
    <row r="28" spans="1:19" ht="17.25" customHeight="1" thickBot="1">
      <c r="A28" s="27" t="s">
        <v>83</v>
      </c>
      <c r="B28" s="23" t="str">
        <f t="shared" si="0"/>
        <v/>
      </c>
      <c r="C28" s="24" t="str">
        <f t="shared" si="1"/>
        <v/>
      </c>
      <c r="D28" s="23" t="str">
        <f t="shared" si="2"/>
        <v/>
      </c>
      <c r="E28" s="24" t="str">
        <f t="shared" si="3"/>
        <v/>
      </c>
      <c r="F28" s="25" t="str">
        <f t="shared" si="4"/>
        <v/>
      </c>
      <c r="G28" s="23" t="str">
        <f t="shared" si="5"/>
        <v/>
      </c>
      <c r="H28" s="24" t="str">
        <f t="shared" si="6"/>
        <v/>
      </c>
      <c r="I28" s="25" t="str">
        <f t="shared" si="7"/>
        <v/>
      </c>
      <c r="J28" s="23" t="str">
        <f t="shared" si="8"/>
        <v/>
      </c>
      <c r="K28" s="24" t="str">
        <f t="shared" si="9"/>
        <v/>
      </c>
      <c r="L28" s="25" t="str">
        <f t="shared" si="10"/>
        <v/>
      </c>
      <c r="M28" s="23" t="str">
        <f t="shared" si="11"/>
        <v/>
      </c>
      <c r="N28" s="24" t="str">
        <f t="shared" si="12"/>
        <v/>
      </c>
      <c r="O28" s="28" t="str">
        <f t="shared" si="13"/>
        <v/>
      </c>
      <c r="Q28" s="117"/>
      <c r="R28" s="118"/>
      <c r="S28" s="119"/>
    </row>
    <row r="29" spans="1:19" ht="17.25" customHeight="1" thickBot="1">
      <c r="A29" s="27"/>
      <c r="B29" s="23" t="str">
        <f t="shared" si="0"/>
        <v/>
      </c>
      <c r="C29" s="24" t="str">
        <f t="shared" si="1"/>
        <v/>
      </c>
      <c r="D29" s="23" t="str">
        <f t="shared" si="2"/>
        <v/>
      </c>
      <c r="E29" s="24" t="str">
        <f t="shared" si="3"/>
        <v/>
      </c>
      <c r="F29" s="25" t="str">
        <f t="shared" si="4"/>
        <v/>
      </c>
      <c r="G29" s="23" t="str">
        <f t="shared" si="5"/>
        <v/>
      </c>
      <c r="H29" s="24" t="str">
        <f t="shared" si="6"/>
        <v/>
      </c>
      <c r="I29" s="25" t="str">
        <f t="shared" si="7"/>
        <v/>
      </c>
      <c r="J29" s="23" t="str">
        <f t="shared" si="8"/>
        <v/>
      </c>
      <c r="K29" s="24" t="str">
        <f t="shared" si="9"/>
        <v/>
      </c>
      <c r="L29" s="25" t="str">
        <f t="shared" si="10"/>
        <v/>
      </c>
      <c r="M29" s="23" t="str">
        <f t="shared" si="11"/>
        <v/>
      </c>
      <c r="N29" s="24" t="str">
        <f t="shared" si="12"/>
        <v/>
      </c>
      <c r="O29" s="28" t="str">
        <f t="shared" si="13"/>
        <v/>
      </c>
      <c r="Q29" s="98"/>
      <c r="R29" s="98"/>
      <c r="S29" s="98"/>
    </row>
    <row r="30" spans="1:19" ht="17.25" customHeight="1" thickBot="1">
      <c r="A30" s="27"/>
      <c r="B30" s="23" t="str">
        <f t="shared" si="0"/>
        <v/>
      </c>
      <c r="C30" s="24" t="str">
        <f t="shared" si="1"/>
        <v/>
      </c>
      <c r="D30" s="23" t="str">
        <f t="shared" si="2"/>
        <v/>
      </c>
      <c r="E30" s="24" t="str">
        <f t="shared" si="3"/>
        <v/>
      </c>
      <c r="F30" s="25" t="str">
        <f t="shared" si="4"/>
        <v/>
      </c>
      <c r="G30" s="23" t="str">
        <f t="shared" si="5"/>
        <v/>
      </c>
      <c r="H30" s="24" t="str">
        <f t="shared" si="6"/>
        <v/>
      </c>
      <c r="I30" s="25" t="str">
        <f t="shared" si="7"/>
        <v/>
      </c>
      <c r="J30" s="23" t="str">
        <f t="shared" si="8"/>
        <v/>
      </c>
      <c r="K30" s="24" t="str">
        <f t="shared" si="9"/>
        <v/>
      </c>
      <c r="L30" s="25" t="str">
        <f t="shared" si="10"/>
        <v/>
      </c>
      <c r="M30" s="23" t="str">
        <f t="shared" si="11"/>
        <v/>
      </c>
      <c r="N30" s="24" t="str">
        <f t="shared" si="12"/>
        <v/>
      </c>
      <c r="O30" s="28" t="str">
        <f t="shared" si="13"/>
        <v/>
      </c>
      <c r="Q30" s="99"/>
      <c r="R30" s="99"/>
      <c r="S30" s="99"/>
    </row>
    <row r="31" spans="1:19" ht="17.25" customHeight="1" thickBot="1">
      <c r="A31" s="29"/>
      <c r="B31" s="30" t="str">
        <f t="shared" si="0"/>
        <v/>
      </c>
      <c r="C31" s="31" t="str">
        <f t="shared" si="1"/>
        <v/>
      </c>
      <c r="D31" s="30" t="str">
        <f t="shared" si="2"/>
        <v/>
      </c>
      <c r="E31" s="31" t="str">
        <f t="shared" si="3"/>
        <v/>
      </c>
      <c r="F31" s="32" t="str">
        <f t="shared" si="4"/>
        <v/>
      </c>
      <c r="G31" s="30" t="str">
        <f t="shared" si="5"/>
        <v/>
      </c>
      <c r="H31" s="31" t="str">
        <f t="shared" si="6"/>
        <v/>
      </c>
      <c r="I31" s="32" t="str">
        <f t="shared" si="7"/>
        <v/>
      </c>
      <c r="J31" s="30" t="str">
        <f t="shared" si="8"/>
        <v/>
      </c>
      <c r="K31" s="31" t="str">
        <f t="shared" si="9"/>
        <v/>
      </c>
      <c r="L31" s="32" t="str">
        <f t="shared" si="10"/>
        <v/>
      </c>
      <c r="M31" s="30" t="str">
        <f t="shared" si="11"/>
        <v/>
      </c>
      <c r="N31" s="31" t="str">
        <f t="shared" si="12"/>
        <v/>
      </c>
      <c r="O31" s="33" t="str">
        <f t="shared" si="13"/>
        <v/>
      </c>
      <c r="Q31" s="99"/>
      <c r="R31" s="99"/>
      <c r="S31" s="99"/>
    </row>
    <row r="32" spans="1:19" ht="17.25" customHeight="1" thickBot="1">
      <c r="A32" s="27"/>
      <c r="B32" s="23" t="str">
        <f t="shared" si="0"/>
        <v/>
      </c>
      <c r="C32" s="24" t="str">
        <f t="shared" si="1"/>
        <v/>
      </c>
      <c r="D32" s="23" t="str">
        <f t="shared" si="2"/>
        <v/>
      </c>
      <c r="E32" s="24" t="str">
        <f t="shared" si="3"/>
        <v/>
      </c>
      <c r="F32" s="25" t="str">
        <f t="shared" si="4"/>
        <v/>
      </c>
      <c r="G32" s="23" t="str">
        <f t="shared" si="5"/>
        <v/>
      </c>
      <c r="H32" s="24" t="str">
        <f t="shared" si="6"/>
        <v/>
      </c>
      <c r="I32" s="25" t="str">
        <f t="shared" si="7"/>
        <v/>
      </c>
      <c r="J32" s="23" t="str">
        <f t="shared" si="8"/>
        <v/>
      </c>
      <c r="K32" s="24" t="str">
        <f t="shared" si="9"/>
        <v/>
      </c>
      <c r="L32" s="25" t="str">
        <f t="shared" si="10"/>
        <v/>
      </c>
      <c r="M32" s="23" t="str">
        <f t="shared" si="11"/>
        <v/>
      </c>
      <c r="N32" s="24" t="str">
        <f t="shared" si="12"/>
        <v/>
      </c>
      <c r="O32" s="28" t="str">
        <f t="shared" si="13"/>
        <v/>
      </c>
      <c r="Q32" s="100"/>
      <c r="R32" s="100"/>
      <c r="S32" s="100"/>
    </row>
    <row r="33" spans="1:19" ht="17.25" customHeight="1" thickBot="1">
      <c r="A33" s="27"/>
      <c r="B33" s="23" t="str">
        <f t="shared" si="0"/>
        <v/>
      </c>
      <c r="C33" s="24" t="str">
        <f t="shared" si="1"/>
        <v/>
      </c>
      <c r="D33" s="23" t="str">
        <f t="shared" si="2"/>
        <v/>
      </c>
      <c r="E33" s="24" t="str">
        <f t="shared" si="3"/>
        <v/>
      </c>
      <c r="F33" s="25" t="str">
        <f t="shared" si="4"/>
        <v/>
      </c>
      <c r="G33" s="23" t="str">
        <f t="shared" si="5"/>
        <v/>
      </c>
      <c r="H33" s="24" t="str">
        <f t="shared" si="6"/>
        <v/>
      </c>
      <c r="I33" s="25" t="str">
        <f t="shared" si="7"/>
        <v/>
      </c>
      <c r="J33" s="23" t="str">
        <f t="shared" si="8"/>
        <v/>
      </c>
      <c r="K33" s="24" t="str">
        <f t="shared" si="9"/>
        <v/>
      </c>
      <c r="L33" s="25" t="str">
        <f t="shared" si="10"/>
        <v/>
      </c>
      <c r="M33" s="23" t="str">
        <f t="shared" si="11"/>
        <v/>
      </c>
      <c r="N33" s="24" t="str">
        <f t="shared" si="12"/>
        <v/>
      </c>
      <c r="O33" s="28" t="str">
        <f t="shared" si="13"/>
        <v/>
      </c>
      <c r="Q33" s="100"/>
      <c r="R33" s="100"/>
      <c r="S33" s="100"/>
    </row>
    <row r="34" spans="1:19" ht="17.25" customHeight="1" thickBot="1">
      <c r="A34" s="27"/>
      <c r="B34" s="23" t="str">
        <f t="shared" si="0"/>
        <v/>
      </c>
      <c r="C34" s="24" t="str">
        <f t="shared" si="1"/>
        <v/>
      </c>
      <c r="D34" s="23" t="str">
        <f t="shared" si="2"/>
        <v/>
      </c>
      <c r="E34" s="24" t="str">
        <f t="shared" si="3"/>
        <v/>
      </c>
      <c r="F34" s="25" t="str">
        <f t="shared" si="4"/>
        <v/>
      </c>
      <c r="G34" s="23" t="str">
        <f t="shared" si="5"/>
        <v/>
      </c>
      <c r="H34" s="24" t="str">
        <f t="shared" si="6"/>
        <v/>
      </c>
      <c r="I34" s="25" t="str">
        <f t="shared" si="7"/>
        <v/>
      </c>
      <c r="J34" s="23" t="str">
        <f t="shared" si="8"/>
        <v/>
      </c>
      <c r="K34" s="24" t="str">
        <f t="shared" si="9"/>
        <v/>
      </c>
      <c r="L34" s="25" t="str">
        <f t="shared" si="10"/>
        <v/>
      </c>
      <c r="M34" s="23" t="str">
        <f t="shared" si="11"/>
        <v/>
      </c>
      <c r="N34" s="24" t="str">
        <f t="shared" si="12"/>
        <v/>
      </c>
      <c r="O34" s="28" t="str">
        <f t="shared" si="13"/>
        <v/>
      </c>
      <c r="Q34" s="101"/>
      <c r="R34" s="101"/>
      <c r="S34" s="101"/>
    </row>
    <row r="35" spans="1:19" ht="17.25" customHeight="1">
      <c r="A35" s="27"/>
      <c r="B35" s="23" t="str">
        <f t="shared" si="0"/>
        <v/>
      </c>
      <c r="C35" s="24" t="str">
        <f t="shared" si="1"/>
        <v/>
      </c>
      <c r="D35" s="23" t="str">
        <f t="shared" si="2"/>
        <v/>
      </c>
      <c r="E35" s="24" t="str">
        <f t="shared" si="3"/>
        <v/>
      </c>
      <c r="F35" s="25" t="str">
        <f t="shared" si="4"/>
        <v/>
      </c>
      <c r="G35" s="23" t="str">
        <f t="shared" si="5"/>
        <v/>
      </c>
      <c r="H35" s="24" t="str">
        <f t="shared" si="6"/>
        <v/>
      </c>
      <c r="I35" s="25" t="str">
        <f t="shared" si="7"/>
        <v/>
      </c>
      <c r="J35" s="23" t="str">
        <f t="shared" si="8"/>
        <v/>
      </c>
      <c r="K35" s="24" t="str">
        <f t="shared" si="9"/>
        <v/>
      </c>
      <c r="L35" s="25" t="str">
        <f t="shared" si="10"/>
        <v/>
      </c>
      <c r="M35" s="23" t="str">
        <f t="shared" si="11"/>
        <v/>
      </c>
      <c r="N35" s="24" t="str">
        <f t="shared" si="12"/>
        <v/>
      </c>
      <c r="O35" s="28" t="str">
        <f t="shared" si="13"/>
        <v/>
      </c>
      <c r="Q35" s="102"/>
      <c r="R35" s="103"/>
      <c r="S35" s="104"/>
    </row>
    <row r="36" spans="1:19" ht="17.25" customHeight="1" thickBot="1">
      <c r="A36" s="34"/>
      <c r="B36" s="35" t="str">
        <f t="shared" si="0"/>
        <v/>
      </c>
      <c r="C36" s="36" t="str">
        <f t="shared" si="1"/>
        <v/>
      </c>
      <c r="D36" s="35" t="str">
        <f t="shared" si="2"/>
        <v/>
      </c>
      <c r="E36" s="36" t="str">
        <f t="shared" si="3"/>
        <v/>
      </c>
      <c r="F36" s="37" t="str">
        <f t="shared" si="4"/>
        <v/>
      </c>
      <c r="G36" s="35" t="str">
        <f t="shared" si="5"/>
        <v/>
      </c>
      <c r="H36" s="36" t="str">
        <f t="shared" si="6"/>
        <v/>
      </c>
      <c r="I36" s="37" t="str">
        <f t="shared" si="7"/>
        <v/>
      </c>
      <c r="J36" s="35" t="str">
        <f t="shared" si="8"/>
        <v/>
      </c>
      <c r="K36" s="36" t="str">
        <f t="shared" si="9"/>
        <v/>
      </c>
      <c r="L36" s="37" t="str">
        <f t="shared" si="10"/>
        <v/>
      </c>
      <c r="M36" s="35" t="str">
        <f t="shared" si="11"/>
        <v/>
      </c>
      <c r="N36" s="36" t="str">
        <f t="shared" si="12"/>
        <v/>
      </c>
      <c r="O36" s="38" t="str">
        <f t="shared" si="13"/>
        <v/>
      </c>
      <c r="Q36" s="105"/>
      <c r="R36" s="106"/>
      <c r="S36" s="107"/>
    </row>
    <row r="37" spans="1:19" ht="17.25" customHeight="1" thickBot="1">
      <c r="A37" s="39" t="s">
        <v>46</v>
      </c>
      <c r="B37" s="120">
        <v>100000</v>
      </c>
      <c r="C37" s="121"/>
      <c r="D37" s="39" t="s">
        <v>47</v>
      </c>
      <c r="E37" s="40">
        <f>IF(COUNT(E17:E26), SUM(E17:E26) / COUNT(E17:E26), 0)</f>
        <v>0</v>
      </c>
      <c r="F37" s="41">
        <f>SUM(F17:F26)</f>
        <v>0</v>
      </c>
      <c r="G37" s="39" t="s">
        <v>47</v>
      </c>
      <c r="H37" s="40">
        <f>IF(COUNT(H17:H26), SUM(H17:H26) / COUNT(H17:H26), 0)</f>
        <v>0</v>
      </c>
      <c r="I37" s="41">
        <f>SUM(I17:I26)</f>
        <v>0</v>
      </c>
      <c r="J37" s="39" t="s">
        <v>47</v>
      </c>
      <c r="K37" s="40">
        <f>IF(COUNT(K17:K26), SUM(K17:K26) / COUNT(K17:K26), 0)</f>
        <v>0</v>
      </c>
      <c r="L37" s="41">
        <f>SUM(L17:L26)</f>
        <v>0</v>
      </c>
      <c r="M37" s="39" t="s">
        <v>47</v>
      </c>
      <c r="N37" s="40">
        <f>IF(COUNT(N17:N26), SUM(N17:N26) / COUNT(N17:N26), 0)</f>
        <v>0</v>
      </c>
      <c r="O37" s="41">
        <f>SUM(O17:O26)</f>
        <v>0</v>
      </c>
      <c r="Q37" s="108"/>
      <c r="R37" s="109"/>
      <c r="S37" s="110"/>
    </row>
    <row r="38" spans="1:19" ht="17.25" customHeight="1"/>
    <row r="39" spans="1:19" ht="17.25" customHeight="1" thickBot="1"/>
    <row r="40" spans="1:19" ht="17.25" customHeight="1" thickBot="1">
      <c r="A40" s="122" t="s">
        <v>48</v>
      </c>
      <c r="B40" s="123"/>
      <c r="C40" s="123"/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4"/>
      <c r="Q40" s="111"/>
      <c r="R40" s="112"/>
      <c r="S40" s="113"/>
    </row>
    <row r="41" spans="1:19" ht="17.25" customHeight="1" thickBot="1">
      <c r="A41" s="10" t="s">
        <v>35</v>
      </c>
      <c r="B41" s="122" t="s">
        <v>36</v>
      </c>
      <c r="C41" s="124"/>
      <c r="D41" s="122" t="s">
        <v>37</v>
      </c>
      <c r="E41" s="123"/>
      <c r="F41" s="124"/>
      <c r="G41" s="125">
        <f>_xlfn.IFNA(VLOOKUP(B41, 현재가테이블!$B$2:$D$200, 2, FALSE), "-")</f>
        <v>78003000</v>
      </c>
      <c r="H41" s="126"/>
      <c r="I41" s="127"/>
      <c r="J41" s="122" t="s">
        <v>38</v>
      </c>
      <c r="K41" s="123"/>
      <c r="L41" s="124"/>
      <c r="M41" s="128">
        <f>_xlfn.IFNA(VLOOKUP(B41, 현재가테이블!$B$2:$D$200, 3, FALSE), "-")</f>
        <v>-6.7108111999999998E-3</v>
      </c>
      <c r="N41" s="129"/>
      <c r="O41" s="130"/>
      <c r="Q41" s="114"/>
      <c r="R41" s="115"/>
      <c r="S41" s="116"/>
    </row>
    <row r="42" spans="1:19" ht="17.25" customHeight="1" thickBot="1">
      <c r="A42" s="131" t="s">
        <v>39</v>
      </c>
      <c r="B42" s="132" t="s">
        <v>40</v>
      </c>
      <c r="C42" s="133"/>
      <c r="D42" s="134" t="s">
        <v>41</v>
      </c>
      <c r="E42" s="135"/>
      <c r="F42" s="136"/>
      <c r="G42" s="134" t="s">
        <v>42</v>
      </c>
      <c r="H42" s="135"/>
      <c r="I42" s="136"/>
      <c r="J42" s="137" t="s">
        <v>43</v>
      </c>
      <c r="K42" s="137"/>
      <c r="L42" s="137"/>
      <c r="M42" s="134" t="s">
        <v>40</v>
      </c>
      <c r="N42" s="135"/>
      <c r="O42" s="136"/>
      <c r="Q42" s="117"/>
      <c r="R42" s="118"/>
      <c r="S42" s="119"/>
    </row>
    <row r="43" spans="1:19" ht="17.25" customHeight="1" thickBot="1">
      <c r="A43" s="131"/>
      <c r="B43" s="2" t="s">
        <v>37</v>
      </c>
      <c r="C43" s="12" t="s">
        <v>38</v>
      </c>
      <c r="D43" s="2" t="s">
        <v>37</v>
      </c>
      <c r="E43" s="12" t="s">
        <v>44</v>
      </c>
      <c r="F43" s="13" t="s">
        <v>45</v>
      </c>
      <c r="G43" s="2" t="s">
        <v>37</v>
      </c>
      <c r="H43" s="12" t="s">
        <v>44</v>
      </c>
      <c r="I43" s="13" t="s">
        <v>45</v>
      </c>
      <c r="J43" s="12" t="s">
        <v>37</v>
      </c>
      <c r="K43" s="12" t="s">
        <v>44</v>
      </c>
      <c r="L43" s="17" t="s">
        <v>45</v>
      </c>
      <c r="M43" s="2" t="s">
        <v>37</v>
      </c>
      <c r="N43" s="12" t="s">
        <v>44</v>
      </c>
      <c r="O43" s="18" t="s">
        <v>45</v>
      </c>
      <c r="Q43" s="98"/>
      <c r="R43" s="98"/>
      <c r="S43" s="98"/>
    </row>
    <row r="44" spans="1:19" ht="17.25" customHeight="1" thickBot="1">
      <c r="A44" s="45" t="s">
        <v>55</v>
      </c>
      <c r="B44" s="46"/>
      <c r="C44" s="21"/>
      <c r="D44" s="20"/>
      <c r="E44" s="21" t="str">
        <f>IF(ISNUMBER(D44), (D44 - $B44) / $B44, "")</f>
        <v/>
      </c>
      <c r="F44" s="26" t="str">
        <f>IF(ISNUMBER(D44), $B64 * E44, "")</f>
        <v/>
      </c>
      <c r="G44" s="20"/>
      <c r="H44" s="21" t="str">
        <f>IF(ISNUMBER(G44), (G44 - $B44) / $B44, "")</f>
        <v/>
      </c>
      <c r="I44" s="26" t="str">
        <f>IF(ISNUMBER(G44), $B64 * H44, "")</f>
        <v/>
      </c>
      <c r="J44" s="20"/>
      <c r="K44" s="21" t="str">
        <f>IF(ISNUMBER(J44), (J44 - $B44) / $B44, "")</f>
        <v/>
      </c>
      <c r="L44" s="26" t="str">
        <f>IF(ISNUMBER(J44), $B64 * K44, "")</f>
        <v/>
      </c>
      <c r="M44" s="20"/>
      <c r="N44" s="21" t="str">
        <f>IF(ISNUMBER(M44), (M44 - $B44) / $B44, "")</f>
        <v/>
      </c>
      <c r="O44" s="26" t="str">
        <f>IF(ISNUMBER(M44), $B64 * N44, "")</f>
        <v/>
      </c>
      <c r="Q44" s="99"/>
      <c r="R44" s="99"/>
      <c r="S44" s="99"/>
    </row>
    <row r="45" spans="1:19" ht="17.25" customHeight="1" thickBot="1">
      <c r="A45" s="47" t="s">
        <v>58</v>
      </c>
      <c r="B45" s="48"/>
      <c r="C45" s="24"/>
      <c r="D45" s="23"/>
      <c r="E45" s="24" t="str">
        <f t="shared" ref="E45:E48" si="14">IF(ISNUMBER(D45), (D45 - $B45) / $B45, "")</f>
        <v/>
      </c>
      <c r="F45" s="28" t="str">
        <f>IF(ISNUMBER(D45), $B64 * E45, "")</f>
        <v/>
      </c>
      <c r="G45" s="23"/>
      <c r="H45" s="24" t="str">
        <f t="shared" ref="H45:H48" si="15">IF(ISNUMBER(G45), (G45 - $B45) / $B45, "")</f>
        <v/>
      </c>
      <c r="I45" s="28" t="str">
        <f>IF(ISNUMBER(G45), $B64 * H45, "")</f>
        <v/>
      </c>
      <c r="J45" s="23"/>
      <c r="K45" s="24" t="str">
        <f t="shared" ref="K45:K48" si="16">IF(ISNUMBER(J45), (J45 - $B45) / $B45, "")</f>
        <v/>
      </c>
      <c r="L45" s="28" t="str">
        <f>IF(ISNUMBER(J45), $B64 * K45, "")</f>
        <v/>
      </c>
      <c r="M45" s="23"/>
      <c r="N45" s="24" t="str">
        <f t="shared" ref="N45:N48" si="17">IF(ISNUMBER(M45), (M45 - $B45) / $B45, "")</f>
        <v/>
      </c>
      <c r="O45" s="28" t="str">
        <f>IF(ISNUMBER(M45), $B64 * N45, "")</f>
        <v/>
      </c>
      <c r="Q45" s="99"/>
      <c r="R45" s="99"/>
      <c r="S45" s="99"/>
    </row>
    <row r="46" spans="1:19" ht="17.25" customHeight="1" thickBot="1">
      <c r="A46" s="47" t="s">
        <v>62</v>
      </c>
      <c r="B46" s="48"/>
      <c r="C46" s="24"/>
      <c r="D46" s="23"/>
      <c r="E46" s="24" t="str">
        <f t="shared" si="14"/>
        <v/>
      </c>
      <c r="F46" s="28" t="str">
        <f>IF(ISNUMBER(D46), $B64 * E46, "")</f>
        <v/>
      </c>
      <c r="G46" s="23"/>
      <c r="H46" s="24" t="str">
        <f t="shared" si="15"/>
        <v/>
      </c>
      <c r="I46" s="28" t="str">
        <f>IF(ISNUMBER(G46), $B64 * H46, "")</f>
        <v/>
      </c>
      <c r="J46" s="23"/>
      <c r="K46" s="24" t="str">
        <f t="shared" si="16"/>
        <v/>
      </c>
      <c r="L46" s="28" t="str">
        <f>IF(ISNUMBER(J46), $B64 * K46, "")</f>
        <v/>
      </c>
      <c r="M46" s="23"/>
      <c r="N46" s="24" t="str">
        <f t="shared" si="17"/>
        <v/>
      </c>
      <c r="O46" s="28" t="str">
        <f>IF(ISNUMBER(M46), $B64 * N46, "")</f>
        <v/>
      </c>
      <c r="Q46" s="100"/>
      <c r="R46" s="100"/>
      <c r="S46" s="100"/>
    </row>
    <row r="47" spans="1:19" ht="17.25" customHeight="1" thickBot="1">
      <c r="A47" s="47" t="s">
        <v>66</v>
      </c>
      <c r="B47" s="48"/>
      <c r="C47" s="24"/>
      <c r="D47" s="23"/>
      <c r="E47" s="24" t="str">
        <f t="shared" si="14"/>
        <v/>
      </c>
      <c r="F47" s="28" t="str">
        <f>IF(ISNUMBER(D47), $B64 * E47, "")</f>
        <v/>
      </c>
      <c r="G47" s="23"/>
      <c r="H47" s="24" t="str">
        <f t="shared" si="15"/>
        <v/>
      </c>
      <c r="I47" s="28" t="str">
        <f>IF(ISNUMBER(G47), $B64 * H47, "")</f>
        <v/>
      </c>
      <c r="J47" s="23"/>
      <c r="K47" s="24" t="str">
        <f t="shared" si="16"/>
        <v/>
      </c>
      <c r="L47" s="28" t="str">
        <f>IF(ISNUMBER(J47), $B64 * K47, "")</f>
        <v/>
      </c>
      <c r="M47" s="23"/>
      <c r="N47" s="24" t="str">
        <f t="shared" si="17"/>
        <v/>
      </c>
      <c r="O47" s="28" t="str">
        <f>IF(ISNUMBER(M47), $B64 * N47, "")</f>
        <v/>
      </c>
      <c r="Q47" s="100"/>
      <c r="R47" s="100"/>
      <c r="S47" s="100"/>
    </row>
    <row r="48" spans="1:19" ht="17.25" customHeight="1" thickBot="1">
      <c r="A48" s="49" t="s">
        <v>68</v>
      </c>
      <c r="B48" s="50"/>
      <c r="C48" s="31"/>
      <c r="D48" s="30"/>
      <c r="E48" s="31" t="str">
        <f t="shared" si="14"/>
        <v/>
      </c>
      <c r="F48" s="33" t="str">
        <f>IF(ISNUMBER(D48), $B64 * E48, "")</f>
        <v/>
      </c>
      <c r="G48" s="30"/>
      <c r="H48" s="31" t="str">
        <f t="shared" si="15"/>
        <v/>
      </c>
      <c r="I48" s="33" t="str">
        <f>IF(ISNUMBER(G48), $B64 * H48, "")</f>
        <v/>
      </c>
      <c r="J48" s="30"/>
      <c r="K48" s="31" t="str">
        <f t="shared" si="16"/>
        <v/>
      </c>
      <c r="L48" s="33" t="str">
        <f>IF(ISNUMBER(J48), $B64 * K48, "")</f>
        <v/>
      </c>
      <c r="M48" s="30"/>
      <c r="N48" s="31" t="str">
        <f t="shared" si="17"/>
        <v/>
      </c>
      <c r="O48" s="33" t="str">
        <f>IF(ISNUMBER(M48), $B64 * N48, "")</f>
        <v/>
      </c>
      <c r="Q48" s="101"/>
      <c r="R48" s="101"/>
      <c r="S48" s="101"/>
    </row>
    <row r="49" spans="1:19" ht="17.25" customHeight="1">
      <c r="A49" s="47" t="s">
        <v>70</v>
      </c>
      <c r="B49" s="51"/>
      <c r="C49" s="52"/>
      <c r="D49" s="23"/>
      <c r="E49" s="52" t="str">
        <f>IF(ISNUMBER(D49), (D49 - $B49) / $B49, "")</f>
        <v/>
      </c>
      <c r="F49" s="28" t="str">
        <f>IF(ISNUMBER(D49), $B64 * E49, "")</f>
        <v/>
      </c>
      <c r="G49" s="23"/>
      <c r="H49" s="52" t="str">
        <f>IF(ISNUMBER(G49), (G49 - $B49) / $B49, "")</f>
        <v/>
      </c>
      <c r="I49" s="28" t="str">
        <f>IF(ISNUMBER(G49), $B64 * H49, "")</f>
        <v/>
      </c>
      <c r="J49" s="23"/>
      <c r="K49" s="52" t="str">
        <f>IF(ISNUMBER(J49), (J49 - $B49) / $B49, "")</f>
        <v/>
      </c>
      <c r="L49" s="28" t="str">
        <f>IF(ISNUMBER(J49), $B64 * K49, "")</f>
        <v/>
      </c>
      <c r="M49" s="23"/>
      <c r="N49" s="52" t="str">
        <f>IF(ISNUMBER(M49), (M49 - $B49) / $B49, "")</f>
        <v/>
      </c>
      <c r="O49" s="28" t="str">
        <f>IF(ISNUMBER(M49), $B64 * N49, "")</f>
        <v/>
      </c>
      <c r="Q49" s="102"/>
      <c r="R49" s="103"/>
      <c r="S49" s="104"/>
    </row>
    <row r="50" spans="1:19" ht="17.25" customHeight="1">
      <c r="A50" s="47" t="s">
        <v>72</v>
      </c>
      <c r="B50" s="48"/>
      <c r="C50" s="24"/>
      <c r="D50" s="23"/>
      <c r="E50" s="24" t="str">
        <f t="shared" ref="E50:E53" si="18">IF(ISNUMBER(D50), (D50 - $B50) / $B50, "")</f>
        <v/>
      </c>
      <c r="F50" s="28" t="str">
        <f>IF(ISNUMBER(D50), $B64 * E50, "")</f>
        <v/>
      </c>
      <c r="G50" s="23"/>
      <c r="H50" s="24" t="str">
        <f t="shared" ref="H50:H53" si="19">IF(ISNUMBER(G50), (G50 - $B50) / $B50, "")</f>
        <v/>
      </c>
      <c r="I50" s="28" t="str">
        <f>IF(ISNUMBER(G50), $B64 * H50, "")</f>
        <v/>
      </c>
      <c r="J50" s="23"/>
      <c r="K50" s="24" t="str">
        <f t="shared" ref="K50:K53" si="20">IF(ISNUMBER(J50), (J50 - $B50) / $B50, "")</f>
        <v/>
      </c>
      <c r="L50" s="28" t="str">
        <f>IF(ISNUMBER(J50), $B64 * K50, "")</f>
        <v/>
      </c>
      <c r="M50" s="23"/>
      <c r="N50" s="24" t="str">
        <f t="shared" ref="N50:N53" si="21">IF(ISNUMBER(M50), (M50 - $B50) / $B50, "")</f>
        <v/>
      </c>
      <c r="O50" s="28" t="str">
        <f>IF(ISNUMBER(M50), $B64 * N50, "")</f>
        <v/>
      </c>
      <c r="Q50" s="105"/>
      <c r="R50" s="106"/>
      <c r="S50" s="107"/>
    </row>
    <row r="51" spans="1:19" ht="17.25" customHeight="1" thickBot="1">
      <c r="A51" s="47" t="s">
        <v>74</v>
      </c>
      <c r="B51" s="48"/>
      <c r="C51" s="24"/>
      <c r="D51" s="23"/>
      <c r="E51" s="24" t="str">
        <f t="shared" si="18"/>
        <v/>
      </c>
      <c r="F51" s="28" t="str">
        <f>IF(ISNUMBER(D51), $B64 * E51, "")</f>
        <v/>
      </c>
      <c r="G51" s="23"/>
      <c r="H51" s="24" t="str">
        <f t="shared" si="19"/>
        <v/>
      </c>
      <c r="I51" s="28" t="str">
        <f>IF(ISNUMBER(G51), $B64 * H51, "")</f>
        <v/>
      </c>
      <c r="J51" s="23"/>
      <c r="K51" s="24" t="str">
        <f t="shared" si="20"/>
        <v/>
      </c>
      <c r="L51" s="28" t="str">
        <f>IF(ISNUMBER(J51), $B64 * K51, "")</f>
        <v/>
      </c>
      <c r="M51" s="23"/>
      <c r="N51" s="24" t="str">
        <f t="shared" si="21"/>
        <v/>
      </c>
      <c r="O51" s="28" t="str">
        <f>IF(ISNUMBER(M51), $B64 * N51, "")</f>
        <v/>
      </c>
      <c r="Q51" s="108"/>
      <c r="R51" s="109"/>
      <c r="S51" s="110"/>
    </row>
    <row r="52" spans="1:19" ht="17.25" customHeight="1" thickBot="1">
      <c r="A52" s="47" t="s">
        <v>77</v>
      </c>
      <c r="B52" s="48"/>
      <c r="C52" s="24"/>
      <c r="D52" s="23"/>
      <c r="E52" s="24" t="str">
        <f t="shared" si="18"/>
        <v/>
      </c>
      <c r="F52" s="28" t="str">
        <f>IF(ISNUMBER(D52), $B64 * E52, "")</f>
        <v/>
      </c>
      <c r="G52" s="23"/>
      <c r="H52" s="24" t="str">
        <f t="shared" si="19"/>
        <v/>
      </c>
      <c r="I52" s="28" t="str">
        <f>IF(ISNUMBER(G52), $B64 * H52, "")</f>
        <v/>
      </c>
      <c r="J52" s="23"/>
      <c r="K52" s="24" t="str">
        <f t="shared" si="20"/>
        <v/>
      </c>
      <c r="L52" s="28" t="str">
        <f>IF(ISNUMBER(J52), $B64 * K52, "")</f>
        <v/>
      </c>
      <c r="M52" s="23"/>
      <c r="N52" s="24" t="str">
        <f t="shared" si="21"/>
        <v/>
      </c>
      <c r="O52" s="28" t="str">
        <f>IF(ISNUMBER(M52), $B64 * N52, "")</f>
        <v/>
      </c>
      <c r="Q52" s="55"/>
      <c r="R52" s="55"/>
    </row>
    <row r="53" spans="1:19" ht="17.25" customHeight="1" thickBot="1">
      <c r="A53" s="49" t="s">
        <v>79</v>
      </c>
      <c r="B53" s="50"/>
      <c r="C53" s="31"/>
      <c r="D53" s="30"/>
      <c r="E53" s="31" t="str">
        <f t="shared" si="18"/>
        <v/>
      </c>
      <c r="F53" s="28" t="str">
        <f>IF(ISNUMBER(D53), $B64 * E53, "")</f>
        <v/>
      </c>
      <c r="G53" s="30"/>
      <c r="H53" s="31" t="str">
        <f t="shared" si="19"/>
        <v/>
      </c>
      <c r="I53" s="28" t="str">
        <f>IF(ISNUMBER(G53), $B64 * H53, "")</f>
        <v/>
      </c>
      <c r="J53" s="30"/>
      <c r="K53" s="31" t="str">
        <f t="shared" si="20"/>
        <v/>
      </c>
      <c r="L53" s="28" t="str">
        <f>IF(ISNUMBER(J53), $B64 * K53, "")</f>
        <v/>
      </c>
      <c r="M53" s="30"/>
      <c r="N53" s="31" t="str">
        <f t="shared" si="21"/>
        <v/>
      </c>
      <c r="O53" s="28" t="str">
        <f>IF(ISNUMBER(M53), $B64 * N53, "")</f>
        <v/>
      </c>
      <c r="Q53" s="99" t="s">
        <v>291</v>
      </c>
      <c r="R53" s="99"/>
    </row>
    <row r="54" spans="1:19" ht="17.25" customHeight="1" thickBot="1">
      <c r="A54" s="45" t="s">
        <v>81</v>
      </c>
      <c r="B54" s="46"/>
      <c r="C54" s="21"/>
      <c r="D54" s="20"/>
      <c r="E54" s="21" t="str">
        <f>IF(ISNUMBER(D54), (D54 - $B54) / $B54, "")</f>
        <v/>
      </c>
      <c r="F54" s="26" t="str">
        <f>IF(ISNUMBER(D54), $B64 * E54, "")</f>
        <v/>
      </c>
      <c r="G54" s="20"/>
      <c r="H54" s="21" t="str">
        <f>IF(ISNUMBER(G54), (G54 - $B54) / $B54, "")</f>
        <v/>
      </c>
      <c r="I54" s="26" t="str">
        <f>IF(ISNUMBER(G54), $B64 * H54, "")</f>
        <v/>
      </c>
      <c r="J54" s="20"/>
      <c r="K54" s="21" t="str">
        <f>IF(ISNUMBER(J54), (J54 - $B54) / $B54, "")</f>
        <v/>
      </c>
      <c r="L54" s="26" t="str">
        <f>IF(ISNUMBER(J54), $B64 * K54, "")</f>
        <v/>
      </c>
      <c r="M54" s="20"/>
      <c r="N54" s="21" t="str">
        <f>IF(ISNUMBER(M54), (M54 - $B54) / $B54, "")</f>
        <v/>
      </c>
      <c r="O54" s="26" t="str">
        <f>IF(ISNUMBER(M54), $B64 * N54, "")</f>
        <v/>
      </c>
      <c r="Q54" s="99"/>
      <c r="R54" s="99"/>
    </row>
    <row r="55" spans="1:19" ht="17.25" customHeight="1" thickBot="1">
      <c r="A55" s="47" t="s">
        <v>83</v>
      </c>
      <c r="B55" s="48"/>
      <c r="C55" s="24"/>
      <c r="D55" s="23"/>
      <c r="E55" s="24" t="str">
        <f t="shared" ref="E55:E58" si="22">IF(ISNUMBER(D55), (D55 - $B55) / $B55, "")</f>
        <v/>
      </c>
      <c r="F55" s="28" t="str">
        <f>IF(ISNUMBER(D55), $B64 * E55, "")</f>
        <v/>
      </c>
      <c r="G55" s="23"/>
      <c r="H55" s="24" t="str">
        <f t="shared" ref="H55:H58" si="23">IF(ISNUMBER(G55), (G55 - $B55) / $B55, "")</f>
        <v/>
      </c>
      <c r="I55" s="28" t="str">
        <f>IF(ISNUMBER(G55), $B64 * H55, "")</f>
        <v/>
      </c>
      <c r="J55" s="23"/>
      <c r="K55" s="24" t="str">
        <f t="shared" ref="K55:K58" si="24">IF(ISNUMBER(J55), (J55 - $B55) / $B55, "")</f>
        <v/>
      </c>
      <c r="L55" s="28" t="str">
        <f>IF(ISNUMBER(J55), $B64 * K55, "")</f>
        <v/>
      </c>
      <c r="M55" s="23"/>
      <c r="N55" s="24" t="str">
        <f t="shared" ref="N55:N58" si="25">IF(ISNUMBER(M55), (M55 - $B55) / $B55, "")</f>
        <v/>
      </c>
      <c r="O55" s="28" t="str">
        <f>IF(ISNUMBER(M55), $B64 * N55, "")</f>
        <v/>
      </c>
      <c r="Q55" s="99"/>
      <c r="R55" s="99"/>
    </row>
    <row r="56" spans="1:19" ht="17.25" customHeight="1" thickBot="1">
      <c r="A56" s="47"/>
      <c r="B56" s="48"/>
      <c r="C56" s="24"/>
      <c r="D56" s="23"/>
      <c r="E56" s="24" t="str">
        <f t="shared" si="22"/>
        <v/>
      </c>
      <c r="F56" s="28" t="str">
        <f>IF(ISNUMBER(D56), $B64 * E56, "")</f>
        <v/>
      </c>
      <c r="G56" s="23"/>
      <c r="H56" s="24" t="str">
        <f t="shared" si="23"/>
        <v/>
      </c>
      <c r="I56" s="28" t="str">
        <f>IF(ISNUMBER(G56), $B64 * H56, "")</f>
        <v/>
      </c>
      <c r="J56" s="23"/>
      <c r="K56" s="24" t="str">
        <f t="shared" si="24"/>
        <v/>
      </c>
      <c r="L56" s="28" t="str">
        <f>IF(ISNUMBER(J56), $B64 * K56, "")</f>
        <v/>
      </c>
      <c r="M56" s="23"/>
      <c r="N56" s="24" t="str">
        <f t="shared" si="25"/>
        <v/>
      </c>
      <c r="O56" s="28" t="str">
        <f>IF(ISNUMBER(M56), $B64 * N56, "")</f>
        <v/>
      </c>
      <c r="Q56" s="100" t="s">
        <v>292</v>
      </c>
      <c r="R56" s="100" t="s">
        <v>293</v>
      </c>
    </row>
    <row r="57" spans="1:19" ht="17.25" customHeight="1" thickBot="1">
      <c r="A57" s="47"/>
      <c r="B57" s="48"/>
      <c r="C57" s="24"/>
      <c r="D57" s="23"/>
      <c r="E57" s="24" t="str">
        <f t="shared" si="22"/>
        <v/>
      </c>
      <c r="F57" s="28" t="str">
        <f>IF(ISNUMBER(D57), $B64 * E57, "")</f>
        <v/>
      </c>
      <c r="G57" s="23"/>
      <c r="H57" s="24" t="str">
        <f t="shared" si="23"/>
        <v/>
      </c>
      <c r="I57" s="28" t="str">
        <f>IF(ISNUMBER(G57), $B64 * H57, "")</f>
        <v/>
      </c>
      <c r="J57" s="23"/>
      <c r="K57" s="24" t="str">
        <f t="shared" si="24"/>
        <v/>
      </c>
      <c r="L57" s="28" t="str">
        <f>IF(ISNUMBER(J57), $B64 * K57, "")</f>
        <v/>
      </c>
      <c r="M57" s="23"/>
      <c r="N57" s="24" t="str">
        <f t="shared" si="25"/>
        <v/>
      </c>
      <c r="O57" s="28" t="str">
        <f>IF(ISNUMBER(M57), $B64 * N57, "")</f>
        <v/>
      </c>
      <c r="Q57" s="99"/>
      <c r="R57" s="99"/>
    </row>
    <row r="58" spans="1:19" ht="17.25" customHeight="1" thickBot="1">
      <c r="A58" s="49"/>
      <c r="B58" s="50"/>
      <c r="C58" s="31"/>
      <c r="D58" s="30"/>
      <c r="E58" s="31" t="str">
        <f t="shared" si="22"/>
        <v/>
      </c>
      <c r="F58" s="33" t="str">
        <f>IF(ISNUMBER(D58), $B64 * E58, "")</f>
        <v/>
      </c>
      <c r="G58" s="30"/>
      <c r="H58" s="31" t="str">
        <f t="shared" si="23"/>
        <v/>
      </c>
      <c r="I58" s="33" t="str">
        <f>IF(ISNUMBER(G58), $B64 * H58, "")</f>
        <v/>
      </c>
      <c r="J58" s="30"/>
      <c r="K58" s="31" t="str">
        <f t="shared" si="24"/>
        <v/>
      </c>
      <c r="L58" s="33" t="str">
        <f>IF(ISNUMBER(J58), $B64 * K58, "")</f>
        <v/>
      </c>
      <c r="M58" s="30"/>
      <c r="N58" s="31" t="str">
        <f t="shared" si="25"/>
        <v/>
      </c>
      <c r="O58" s="33" t="str">
        <f>IF(ISNUMBER(M58), $B64 * N58, "")</f>
        <v/>
      </c>
      <c r="Q58" s="99"/>
      <c r="R58" s="99"/>
    </row>
    <row r="59" spans="1:19" ht="17.25" customHeight="1" thickBot="1">
      <c r="A59" s="47"/>
      <c r="B59" s="51"/>
      <c r="C59" s="52"/>
      <c r="D59" s="23"/>
      <c r="E59" s="52" t="str">
        <f>IF(ISNUMBER(D59), (D59 - $B59) / $B59, "")</f>
        <v/>
      </c>
      <c r="F59" s="28" t="str">
        <f>IF(ISNUMBER(D59), $B64 * E59, "")</f>
        <v/>
      </c>
      <c r="G59" s="23"/>
      <c r="H59" s="52" t="str">
        <f>IF(ISNUMBER(G59), (G59 - $B59) / $B59, "")</f>
        <v/>
      </c>
      <c r="I59" s="28" t="str">
        <f>IF(ISNUMBER(G59), $B64 * H59, "")</f>
        <v/>
      </c>
      <c r="J59" s="23"/>
      <c r="K59" s="52" t="str">
        <f>IF(ISNUMBER(J59), (J59 - $B59) / $B59, "")</f>
        <v/>
      </c>
      <c r="L59" s="28" t="str">
        <f>IF(ISNUMBER(J59), $B64 * K59, "")</f>
        <v/>
      </c>
      <c r="M59" s="23"/>
      <c r="N59" s="52" t="str">
        <f>IF(ISNUMBER(M59), (M59 - $B59) / $B59, "")</f>
        <v/>
      </c>
      <c r="O59" s="28" t="str">
        <f>IF(ISNUMBER(M59), $B64 * N59, "")</f>
        <v/>
      </c>
      <c r="Q59" s="100" t="s">
        <v>294</v>
      </c>
      <c r="R59" s="100" t="s">
        <v>295</v>
      </c>
    </row>
    <row r="60" spans="1:19" ht="17.25" customHeight="1" thickBot="1">
      <c r="A60" s="47"/>
      <c r="B60" s="48"/>
      <c r="C60" s="24"/>
      <c r="D60" s="23"/>
      <c r="E60" s="24" t="str">
        <f t="shared" ref="E60:E63" si="26">IF(ISNUMBER(D60), (D60 - $B60) / $B60, "")</f>
        <v/>
      </c>
      <c r="F60" s="28" t="str">
        <f>IF(ISNUMBER(D60), $B64 * E60, "")</f>
        <v/>
      </c>
      <c r="G60" s="23"/>
      <c r="H60" s="24" t="str">
        <f t="shared" ref="H60:H63" si="27">IF(ISNUMBER(G60), (G60 - $B60) / $B60, "")</f>
        <v/>
      </c>
      <c r="I60" s="28" t="str">
        <f>IF(ISNUMBER(G60), $B64 * H60, "")</f>
        <v/>
      </c>
      <c r="J60" s="23"/>
      <c r="K60" s="24" t="str">
        <f t="shared" ref="K60:K63" si="28">IF(ISNUMBER(J60), (J60 - $B60) / $B60, "")</f>
        <v/>
      </c>
      <c r="L60" s="28" t="str">
        <f>IF(ISNUMBER(J60), $B64 * K60, "")</f>
        <v/>
      </c>
      <c r="M60" s="23"/>
      <c r="N60" s="24" t="str">
        <f t="shared" ref="N60:N63" si="29">IF(ISNUMBER(M60), (M60 - $B60) / $B60, "")</f>
        <v/>
      </c>
      <c r="O60" s="28" t="str">
        <f>IF(ISNUMBER(M60), $B64 * N60, "")</f>
        <v/>
      </c>
      <c r="Q60" s="100"/>
      <c r="R60" s="100"/>
    </row>
    <row r="61" spans="1:19" ht="17.25" customHeight="1" thickBot="1">
      <c r="A61" s="47"/>
      <c r="B61" s="48"/>
      <c r="C61" s="24"/>
      <c r="D61" s="23"/>
      <c r="E61" s="24" t="str">
        <f t="shared" si="26"/>
        <v/>
      </c>
      <c r="F61" s="28" t="str">
        <f>IF(ISNUMBER(D61), $B64 * E61, "")</f>
        <v/>
      </c>
      <c r="G61" s="23"/>
      <c r="H61" s="24" t="str">
        <f t="shared" si="27"/>
        <v/>
      </c>
      <c r="I61" s="28" t="str">
        <f>IF(ISNUMBER(G61), $B64 * H61, "")</f>
        <v/>
      </c>
      <c r="J61" s="23"/>
      <c r="K61" s="24" t="str">
        <f t="shared" si="28"/>
        <v/>
      </c>
      <c r="L61" s="28" t="str">
        <f>IF(ISNUMBER(J61), $B64 * K61, "")</f>
        <v/>
      </c>
      <c r="M61" s="23"/>
      <c r="N61" s="24" t="str">
        <f t="shared" si="29"/>
        <v/>
      </c>
      <c r="O61" s="28" t="str">
        <f>IF(ISNUMBER(M61), $B64 * N61, "")</f>
        <v/>
      </c>
      <c r="Q61" s="100"/>
      <c r="R61" s="100"/>
    </row>
    <row r="62" spans="1:19" ht="17.25" customHeight="1" thickBot="1">
      <c r="A62" s="47"/>
      <c r="B62" s="48"/>
      <c r="C62" s="24"/>
      <c r="D62" s="23"/>
      <c r="E62" s="24" t="str">
        <f t="shared" si="26"/>
        <v/>
      </c>
      <c r="F62" s="28" t="str">
        <f>IF(ISNUMBER(D62), $B64 * E62, "")</f>
        <v/>
      </c>
      <c r="G62" s="23"/>
      <c r="H62" s="24" t="str">
        <f t="shared" si="27"/>
        <v/>
      </c>
      <c r="I62" s="28" t="str">
        <f>IF(ISNUMBER(G62), $B64 * H62, "")</f>
        <v/>
      </c>
      <c r="J62" s="23"/>
      <c r="K62" s="24" t="str">
        <f t="shared" si="28"/>
        <v/>
      </c>
      <c r="L62" s="28" t="str">
        <f>IF(ISNUMBER(J62), $B64 * K62, "")</f>
        <v/>
      </c>
      <c r="M62" s="23"/>
      <c r="N62" s="24" t="str">
        <f t="shared" si="29"/>
        <v/>
      </c>
      <c r="O62" s="28" t="str">
        <f>IF(ISNUMBER(M62), $B64 * N62, "")</f>
        <v/>
      </c>
      <c r="Q62" s="100"/>
      <c r="R62" s="100"/>
    </row>
    <row r="63" spans="1:19" ht="17.25" customHeight="1" thickBot="1">
      <c r="A63" s="49"/>
      <c r="B63" s="50"/>
      <c r="C63" s="31"/>
      <c r="D63" s="30"/>
      <c r="E63" s="31" t="str">
        <f t="shared" si="26"/>
        <v/>
      </c>
      <c r="F63" s="28" t="str">
        <f>IF(ISNUMBER(D63), $B64 * E63, "")</f>
        <v/>
      </c>
      <c r="G63" s="30"/>
      <c r="H63" s="31" t="str">
        <f t="shared" si="27"/>
        <v/>
      </c>
      <c r="I63" s="28" t="str">
        <f>IF(ISNUMBER(G63), $B64 * H63, "")</f>
        <v/>
      </c>
      <c r="J63" s="30"/>
      <c r="K63" s="31" t="str">
        <f t="shared" si="28"/>
        <v/>
      </c>
      <c r="L63" s="28" t="str">
        <f>IF(ISNUMBER(J63), $B64 * K63, "")</f>
        <v/>
      </c>
      <c r="M63" s="30"/>
      <c r="N63" s="31" t="str">
        <f t="shared" si="29"/>
        <v/>
      </c>
      <c r="O63" s="28" t="str">
        <f>IF(ISNUMBER(M63), $B64 * N63, "")</f>
        <v/>
      </c>
      <c r="Q63" s="100"/>
      <c r="R63" s="100"/>
    </row>
    <row r="64" spans="1:19" ht="17.25" customHeight="1" thickBot="1">
      <c r="A64" s="39" t="s">
        <v>46</v>
      </c>
      <c r="B64" s="120">
        <v>100000</v>
      </c>
      <c r="C64" s="121"/>
      <c r="D64" s="39" t="s">
        <v>47</v>
      </c>
      <c r="E64" s="40">
        <f>IF(COUNT(E44:E63), SUM(E44:E63) / COUNT(E44:E63), 0)</f>
        <v>0</v>
      </c>
      <c r="F64" s="41">
        <f>SUM(F44:F63)</f>
        <v>0</v>
      </c>
      <c r="G64" s="39" t="s">
        <v>47</v>
      </c>
      <c r="H64" s="40">
        <f>IF(COUNT(H44:H63), SUM(H44:H63) / COUNT(H44:H63), 0)</f>
        <v>0</v>
      </c>
      <c r="I64" s="41">
        <f>SUM(I44:I63)</f>
        <v>0</v>
      </c>
      <c r="J64" s="39" t="s">
        <v>47</v>
      </c>
      <c r="K64" s="40">
        <f>IF(COUNT(K44:K63), SUM(K44:K63) / COUNT(K44:K63), 0)</f>
        <v>0</v>
      </c>
      <c r="L64" s="41">
        <f>SUM(L44:L63)</f>
        <v>0</v>
      </c>
      <c r="M64" s="39" t="s">
        <v>47</v>
      </c>
      <c r="N64" s="40">
        <f>IF(COUNT(N44:N63), SUM(N44:N63) / COUNT(N44:N63), 0)</f>
        <v>0</v>
      </c>
      <c r="O64" s="41">
        <f>SUM(O44:O63)</f>
        <v>0</v>
      </c>
      <c r="Q64" s="100"/>
      <c r="R64" s="100"/>
    </row>
    <row r="65" spans="1:19" ht="17.25" customHeight="1"/>
    <row r="66" spans="1:19" ht="17.25" customHeight="1" thickBot="1"/>
    <row r="67" spans="1:19" ht="17.25" thickBot="1">
      <c r="A67" s="122" t="s">
        <v>49</v>
      </c>
      <c r="B67" s="123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4"/>
      <c r="Q67" s="111"/>
      <c r="R67" s="112"/>
      <c r="S67" s="113"/>
    </row>
    <row r="68" spans="1:19" ht="17.25" thickBot="1">
      <c r="A68" s="10" t="s">
        <v>35</v>
      </c>
      <c r="B68" s="122" t="s">
        <v>36</v>
      </c>
      <c r="C68" s="124"/>
      <c r="D68" s="122" t="s">
        <v>37</v>
      </c>
      <c r="E68" s="123"/>
      <c r="F68" s="124"/>
      <c r="G68" s="125">
        <f>_xlfn.IFNA(VLOOKUP(B68, 현재가테이블!$B$2:$D$200, 2, FALSE), "-")</f>
        <v>78003000</v>
      </c>
      <c r="H68" s="126"/>
      <c r="I68" s="127"/>
      <c r="J68" s="122" t="s">
        <v>38</v>
      </c>
      <c r="K68" s="123"/>
      <c r="L68" s="124"/>
      <c r="M68" s="128">
        <f>_xlfn.IFNA(VLOOKUP(B68, 현재가테이블!$B$2:$D$200, 3, FALSE), "-")</f>
        <v>-6.7108111999999998E-3</v>
      </c>
      <c r="N68" s="129"/>
      <c r="O68" s="130"/>
      <c r="Q68" s="114"/>
      <c r="R68" s="115"/>
      <c r="S68" s="116"/>
    </row>
    <row r="69" spans="1:19" ht="17.25" thickBot="1">
      <c r="A69" s="131" t="s">
        <v>39</v>
      </c>
      <c r="B69" s="132" t="s">
        <v>40</v>
      </c>
      <c r="C69" s="133"/>
      <c r="D69" s="134" t="s">
        <v>41</v>
      </c>
      <c r="E69" s="135"/>
      <c r="F69" s="136"/>
      <c r="G69" s="134" t="s">
        <v>42</v>
      </c>
      <c r="H69" s="135"/>
      <c r="I69" s="136"/>
      <c r="J69" s="137" t="s">
        <v>43</v>
      </c>
      <c r="K69" s="137"/>
      <c r="L69" s="137"/>
      <c r="M69" s="134" t="s">
        <v>40</v>
      </c>
      <c r="N69" s="135"/>
      <c r="O69" s="136"/>
      <c r="Q69" s="117"/>
      <c r="R69" s="118"/>
      <c r="S69" s="119"/>
    </row>
    <row r="70" spans="1:19" ht="17.25" thickBot="1">
      <c r="A70" s="131"/>
      <c r="B70" s="2" t="s">
        <v>37</v>
      </c>
      <c r="C70" s="12" t="s">
        <v>38</v>
      </c>
      <c r="D70" s="2" t="s">
        <v>37</v>
      </c>
      <c r="E70" s="12" t="s">
        <v>44</v>
      </c>
      <c r="F70" s="13" t="s">
        <v>45</v>
      </c>
      <c r="G70" s="2" t="s">
        <v>37</v>
      </c>
      <c r="H70" s="12" t="s">
        <v>44</v>
      </c>
      <c r="I70" s="13" t="s">
        <v>45</v>
      </c>
      <c r="J70" s="12" t="s">
        <v>37</v>
      </c>
      <c r="K70" s="12" t="s">
        <v>44</v>
      </c>
      <c r="L70" s="17" t="s">
        <v>45</v>
      </c>
      <c r="M70" s="2" t="s">
        <v>37</v>
      </c>
      <c r="N70" s="12" t="s">
        <v>44</v>
      </c>
      <c r="O70" s="18" t="s">
        <v>45</v>
      </c>
      <c r="Q70" s="98"/>
      <c r="R70" s="98"/>
      <c r="S70" s="98"/>
    </row>
    <row r="71" spans="1:19" ht="17.25" thickBot="1">
      <c r="A71" s="45"/>
      <c r="B71" s="46"/>
      <c r="C71" s="21"/>
      <c r="D71" s="20"/>
      <c r="E71" s="21" t="str">
        <f>IF(ISNUMBER(D71), (D71 - $B71) / $B71, "")</f>
        <v/>
      </c>
      <c r="F71" s="26" t="str">
        <f>IF(ISNUMBER(D71), $B91 * E71, "")</f>
        <v/>
      </c>
      <c r="G71" s="20"/>
      <c r="H71" s="21" t="str">
        <f>IF(ISNUMBER(G71), (G71 - $B71) / $B71, "")</f>
        <v/>
      </c>
      <c r="I71" s="26" t="str">
        <f>IF(ISNUMBER(G71), $B91 * H71, "")</f>
        <v/>
      </c>
      <c r="J71" s="20"/>
      <c r="K71" s="21" t="str">
        <f>IF(ISNUMBER(J71), (J71 - $B71) / $B71, "")</f>
        <v/>
      </c>
      <c r="L71" s="26" t="str">
        <f>IF(ISNUMBER(J71), $B91 * K71, "")</f>
        <v/>
      </c>
      <c r="M71" s="20"/>
      <c r="N71" s="21" t="str">
        <f>IF(ISNUMBER(M71), (M71 - $B71) / $B71, "")</f>
        <v/>
      </c>
      <c r="O71" s="26" t="str">
        <f>IF(ISNUMBER(M71), $B91 * N71, "")</f>
        <v/>
      </c>
      <c r="Q71" s="99"/>
      <c r="R71" s="99"/>
      <c r="S71" s="99"/>
    </row>
    <row r="72" spans="1:19" ht="17.25" thickBot="1">
      <c r="A72" s="47"/>
      <c r="B72" s="48"/>
      <c r="C72" s="24"/>
      <c r="D72" s="23"/>
      <c r="E72" s="24" t="str">
        <f t="shared" ref="E72:E75" si="30">IF(ISNUMBER(D72), (D72 - $B72) / $B72, "")</f>
        <v/>
      </c>
      <c r="F72" s="28" t="str">
        <f>IF(ISNUMBER(D72), $B91 * E72, "")</f>
        <v/>
      </c>
      <c r="G72" s="23"/>
      <c r="H72" s="24" t="str">
        <f t="shared" ref="H72:H75" si="31">IF(ISNUMBER(G72), (G72 - $B72) / $B72, "")</f>
        <v/>
      </c>
      <c r="I72" s="28" t="str">
        <f>IF(ISNUMBER(G72), $B91 * H72, "")</f>
        <v/>
      </c>
      <c r="J72" s="23"/>
      <c r="K72" s="24" t="str">
        <f t="shared" ref="K72:K75" si="32">IF(ISNUMBER(J72), (J72 - $B72) / $B72, "")</f>
        <v/>
      </c>
      <c r="L72" s="28" t="str">
        <f>IF(ISNUMBER(J72), $B91 * K72, "")</f>
        <v/>
      </c>
      <c r="M72" s="23"/>
      <c r="N72" s="24" t="str">
        <f t="shared" ref="N72:N75" si="33">IF(ISNUMBER(M72), (M72 - $B72) / $B72, "")</f>
        <v/>
      </c>
      <c r="O72" s="28" t="str">
        <f>IF(ISNUMBER(M72), $B91 * N72, "")</f>
        <v/>
      </c>
      <c r="Q72" s="99"/>
      <c r="R72" s="99"/>
      <c r="S72" s="99"/>
    </row>
    <row r="73" spans="1:19" ht="17.25" thickBot="1">
      <c r="A73" s="47"/>
      <c r="B73" s="48"/>
      <c r="C73" s="24"/>
      <c r="D73" s="23"/>
      <c r="E73" s="24" t="str">
        <f t="shared" si="30"/>
        <v/>
      </c>
      <c r="F73" s="28" t="str">
        <f>IF(ISNUMBER(D73), $B91 * E73, "")</f>
        <v/>
      </c>
      <c r="G73" s="23"/>
      <c r="H73" s="24" t="str">
        <f t="shared" si="31"/>
        <v/>
      </c>
      <c r="I73" s="28" t="str">
        <f>IF(ISNUMBER(G73), $B91 * H73, "")</f>
        <v/>
      </c>
      <c r="J73" s="23"/>
      <c r="K73" s="24" t="str">
        <f t="shared" si="32"/>
        <v/>
      </c>
      <c r="L73" s="28" t="str">
        <f>IF(ISNUMBER(J73), $B91 * K73, "")</f>
        <v/>
      </c>
      <c r="M73" s="23"/>
      <c r="N73" s="24" t="str">
        <f t="shared" si="33"/>
        <v/>
      </c>
      <c r="O73" s="28" t="str">
        <f>IF(ISNUMBER(M73), $B91 * N73, "")</f>
        <v/>
      </c>
      <c r="Q73" s="100"/>
      <c r="R73" s="100"/>
      <c r="S73" s="100"/>
    </row>
    <row r="74" spans="1:19" ht="17.25" thickBot="1">
      <c r="A74" s="47"/>
      <c r="B74" s="48"/>
      <c r="C74" s="24"/>
      <c r="D74" s="23"/>
      <c r="E74" s="24" t="str">
        <f t="shared" si="30"/>
        <v/>
      </c>
      <c r="F74" s="28" t="str">
        <f>IF(ISNUMBER(D74), $B91 * E74, "")</f>
        <v/>
      </c>
      <c r="G74" s="23"/>
      <c r="H74" s="24" t="str">
        <f t="shared" si="31"/>
        <v/>
      </c>
      <c r="I74" s="28" t="str">
        <f>IF(ISNUMBER(G74), $B91 * H74, "")</f>
        <v/>
      </c>
      <c r="J74" s="23"/>
      <c r="K74" s="24" t="str">
        <f t="shared" si="32"/>
        <v/>
      </c>
      <c r="L74" s="28" t="str">
        <f>IF(ISNUMBER(J74), $B91 * K74, "")</f>
        <v/>
      </c>
      <c r="M74" s="23"/>
      <c r="N74" s="24" t="str">
        <f t="shared" si="33"/>
        <v/>
      </c>
      <c r="O74" s="28" t="str">
        <f>IF(ISNUMBER(M74), $B91 * N74, "")</f>
        <v/>
      </c>
      <c r="Q74" s="100"/>
      <c r="R74" s="100"/>
      <c r="S74" s="100"/>
    </row>
    <row r="75" spans="1:19" ht="17.25" thickBot="1">
      <c r="A75" s="49"/>
      <c r="B75" s="50"/>
      <c r="C75" s="31"/>
      <c r="D75" s="30"/>
      <c r="E75" s="31" t="str">
        <f t="shared" si="30"/>
        <v/>
      </c>
      <c r="F75" s="33" t="str">
        <f>IF(ISNUMBER(D75), $B91 * E75, "")</f>
        <v/>
      </c>
      <c r="G75" s="30"/>
      <c r="H75" s="31" t="str">
        <f t="shared" si="31"/>
        <v/>
      </c>
      <c r="I75" s="33" t="str">
        <f>IF(ISNUMBER(G75), $B91 * H75, "")</f>
        <v/>
      </c>
      <c r="J75" s="30"/>
      <c r="K75" s="31" t="str">
        <f t="shared" si="32"/>
        <v/>
      </c>
      <c r="L75" s="33" t="str">
        <f>IF(ISNUMBER(J75), $B91 * K75, "")</f>
        <v/>
      </c>
      <c r="M75" s="30"/>
      <c r="N75" s="31" t="str">
        <f t="shared" si="33"/>
        <v/>
      </c>
      <c r="O75" s="33" t="str">
        <f>IF(ISNUMBER(M75), $B91 * N75, "")</f>
        <v/>
      </c>
      <c r="Q75" s="101"/>
      <c r="R75" s="101"/>
      <c r="S75" s="101"/>
    </row>
    <row r="76" spans="1:19">
      <c r="A76" s="47"/>
      <c r="B76" s="51"/>
      <c r="C76" s="52"/>
      <c r="D76" s="23"/>
      <c r="E76" s="52" t="str">
        <f>IF(ISNUMBER(D76), (D76 - $B76) / $B76, "")</f>
        <v/>
      </c>
      <c r="F76" s="28" t="str">
        <f>IF(ISNUMBER(D76), $B91 * E76, "")</f>
        <v/>
      </c>
      <c r="G76" s="23"/>
      <c r="H76" s="52" t="str">
        <f>IF(ISNUMBER(G76), (G76 - $B76) / $B76, "")</f>
        <v/>
      </c>
      <c r="I76" s="28" t="str">
        <f>IF(ISNUMBER(G76), $B91 * H76, "")</f>
        <v/>
      </c>
      <c r="J76" s="23"/>
      <c r="K76" s="52" t="str">
        <f>IF(ISNUMBER(J76), (J76 - $B76) / $B76, "")</f>
        <v/>
      </c>
      <c r="L76" s="28" t="str">
        <f>IF(ISNUMBER(J76), $B91 * K76, "")</f>
        <v/>
      </c>
      <c r="M76" s="23"/>
      <c r="N76" s="52" t="str">
        <f>IF(ISNUMBER(M76), (M76 - $B76) / $B76, "")</f>
        <v/>
      </c>
      <c r="O76" s="28" t="str">
        <f>IF(ISNUMBER(M76), $B91 * N76, "")</f>
        <v/>
      </c>
      <c r="Q76" s="102"/>
      <c r="R76" s="103"/>
      <c r="S76" s="104"/>
    </row>
    <row r="77" spans="1:19">
      <c r="A77" s="47"/>
      <c r="B77" s="48"/>
      <c r="C77" s="24"/>
      <c r="D77" s="23"/>
      <c r="E77" s="24" t="str">
        <f t="shared" ref="E77:E80" si="34">IF(ISNUMBER(D77), (D77 - $B77) / $B77, "")</f>
        <v/>
      </c>
      <c r="F77" s="28" t="str">
        <f>IF(ISNUMBER(D77), $B91 * E77, "")</f>
        <v/>
      </c>
      <c r="G77" s="23"/>
      <c r="H77" s="24" t="str">
        <f t="shared" ref="H77:H80" si="35">IF(ISNUMBER(G77), (G77 - $B77) / $B77, "")</f>
        <v/>
      </c>
      <c r="I77" s="28" t="str">
        <f>IF(ISNUMBER(G77), $B91 * H77, "")</f>
        <v/>
      </c>
      <c r="J77" s="23"/>
      <c r="K77" s="24" t="str">
        <f t="shared" ref="K77:K80" si="36">IF(ISNUMBER(J77), (J77 - $B77) / $B77, "")</f>
        <v/>
      </c>
      <c r="L77" s="28" t="str">
        <f>IF(ISNUMBER(J77), $B91 * K77, "")</f>
        <v/>
      </c>
      <c r="M77" s="23"/>
      <c r="N77" s="24" t="str">
        <f t="shared" ref="N77:N80" si="37">IF(ISNUMBER(M77), (M77 - $B77) / $B77, "")</f>
        <v/>
      </c>
      <c r="O77" s="28" t="str">
        <f>IF(ISNUMBER(M77), $B91 * N77, "")</f>
        <v/>
      </c>
      <c r="Q77" s="105"/>
      <c r="R77" s="106"/>
      <c r="S77" s="107"/>
    </row>
    <row r="78" spans="1:19" ht="17.25" thickBot="1">
      <c r="A78" s="47"/>
      <c r="B78" s="48"/>
      <c r="C78" s="24"/>
      <c r="D78" s="23"/>
      <c r="E78" s="24" t="str">
        <f t="shared" si="34"/>
        <v/>
      </c>
      <c r="F78" s="28" t="str">
        <f>IF(ISNUMBER(D78), $B91 * E78, "")</f>
        <v/>
      </c>
      <c r="G78" s="23"/>
      <c r="H78" s="24" t="str">
        <f t="shared" si="35"/>
        <v/>
      </c>
      <c r="I78" s="28" t="str">
        <f>IF(ISNUMBER(G78), $B91 * H78, "")</f>
        <v/>
      </c>
      <c r="J78" s="23"/>
      <c r="K78" s="24" t="str">
        <f t="shared" si="36"/>
        <v/>
      </c>
      <c r="L78" s="28" t="str">
        <f>IF(ISNUMBER(J78), $B91 * K78, "")</f>
        <v/>
      </c>
      <c r="M78" s="23"/>
      <c r="N78" s="24" t="str">
        <f t="shared" si="37"/>
        <v/>
      </c>
      <c r="O78" s="28" t="str">
        <f>IF(ISNUMBER(M78), $B91 * N78, "")</f>
        <v/>
      </c>
      <c r="Q78" s="108"/>
      <c r="R78" s="109"/>
      <c r="S78" s="110"/>
    </row>
    <row r="79" spans="1:19" ht="17.25" thickBot="1">
      <c r="A79" s="47"/>
      <c r="B79" s="48"/>
      <c r="C79" s="24"/>
      <c r="D79" s="23"/>
      <c r="E79" s="24" t="str">
        <f t="shared" si="34"/>
        <v/>
      </c>
      <c r="F79" s="28" t="str">
        <f>IF(ISNUMBER(D79), $B91 * E79, "")</f>
        <v/>
      </c>
      <c r="G79" s="23"/>
      <c r="H79" s="24" t="str">
        <f t="shared" si="35"/>
        <v/>
      </c>
      <c r="I79" s="28" t="str">
        <f>IF(ISNUMBER(G79), $B91 * H79, "")</f>
        <v/>
      </c>
      <c r="J79" s="23"/>
      <c r="K79" s="24" t="str">
        <f t="shared" si="36"/>
        <v/>
      </c>
      <c r="L79" s="28" t="str">
        <f>IF(ISNUMBER(J79), $B91 * K79, "")</f>
        <v/>
      </c>
      <c r="M79" s="23"/>
      <c r="N79" s="24" t="str">
        <f t="shared" si="37"/>
        <v/>
      </c>
      <c r="O79" s="28" t="str">
        <f>IF(ISNUMBER(M79), $B91 * N79, "")</f>
        <v/>
      </c>
      <c r="Q79" s="55"/>
      <c r="R79" s="55"/>
    </row>
    <row r="80" spans="1:19" ht="17.25" thickBot="1">
      <c r="A80" s="49"/>
      <c r="B80" s="50"/>
      <c r="C80" s="31"/>
      <c r="D80" s="30"/>
      <c r="E80" s="31" t="str">
        <f t="shared" si="34"/>
        <v/>
      </c>
      <c r="F80" s="28" t="str">
        <f>IF(ISNUMBER(D80), $B91 * E80, "")</f>
        <v/>
      </c>
      <c r="G80" s="30"/>
      <c r="H80" s="31" t="str">
        <f t="shared" si="35"/>
        <v/>
      </c>
      <c r="I80" s="28" t="str">
        <f>IF(ISNUMBER(G80), $B91 * H80, "")</f>
        <v/>
      </c>
      <c r="J80" s="30"/>
      <c r="K80" s="31" t="str">
        <f t="shared" si="36"/>
        <v/>
      </c>
      <c r="L80" s="28" t="str">
        <f>IF(ISNUMBER(J80), $B91 * K80, "")</f>
        <v/>
      </c>
      <c r="M80" s="30"/>
      <c r="N80" s="31" t="str">
        <f t="shared" si="37"/>
        <v/>
      </c>
      <c r="O80" s="28" t="str">
        <f>IF(ISNUMBER(M80), $B91 * N80, "")</f>
        <v/>
      </c>
      <c r="Q80" s="111"/>
      <c r="R80" s="112"/>
      <c r="S80" s="113"/>
    </row>
    <row r="81" spans="1:19">
      <c r="A81" s="45"/>
      <c r="B81" s="46"/>
      <c r="C81" s="21"/>
      <c r="D81" s="20"/>
      <c r="E81" s="21" t="str">
        <f>IF(ISNUMBER(D81), (D81 - $B81) / $B81, "")</f>
        <v/>
      </c>
      <c r="F81" s="26" t="str">
        <f>IF(ISNUMBER(D81), $B91 * E81, "")</f>
        <v/>
      </c>
      <c r="G81" s="20"/>
      <c r="H81" s="21" t="str">
        <f>IF(ISNUMBER(G81), (G81 - $B81) / $B81, "")</f>
        <v/>
      </c>
      <c r="I81" s="26" t="str">
        <f>IF(ISNUMBER(G81), $B91 * H81, "")</f>
        <v/>
      </c>
      <c r="J81" s="20"/>
      <c r="K81" s="21" t="str">
        <f>IF(ISNUMBER(J81), (J81 - $B81) / $B81, "")</f>
        <v/>
      </c>
      <c r="L81" s="26" t="str">
        <f>IF(ISNUMBER(J81), $B91 * K81, "")</f>
        <v/>
      </c>
      <c r="M81" s="20"/>
      <c r="N81" s="21" t="str">
        <f>IF(ISNUMBER(M81), (M81 - $B81) / $B81, "")</f>
        <v/>
      </c>
      <c r="O81" s="26" t="str">
        <f>IF(ISNUMBER(M81), $B91 * N81, "")</f>
        <v/>
      </c>
      <c r="Q81" s="114"/>
      <c r="R81" s="115"/>
      <c r="S81" s="116"/>
    </row>
    <row r="82" spans="1:19" ht="17.25" thickBot="1">
      <c r="A82" s="47"/>
      <c r="B82" s="48"/>
      <c r="C82" s="24"/>
      <c r="D82" s="23"/>
      <c r="E82" s="24" t="str">
        <f t="shared" ref="E82:E85" si="38">IF(ISNUMBER(D82), (D82 - $B82) / $B82, "")</f>
        <v/>
      </c>
      <c r="F82" s="28" t="str">
        <f>IF(ISNUMBER(D82), $B91 * E82, "")</f>
        <v/>
      </c>
      <c r="G82" s="23"/>
      <c r="H82" s="24" t="str">
        <f t="shared" ref="H82:H85" si="39">IF(ISNUMBER(G82), (G82 - $B82) / $B82, "")</f>
        <v/>
      </c>
      <c r="I82" s="28" t="str">
        <f>IF(ISNUMBER(G82), $B91 * H82, "")</f>
        <v/>
      </c>
      <c r="J82" s="23"/>
      <c r="K82" s="24" t="str">
        <f t="shared" ref="K82:K85" si="40">IF(ISNUMBER(J82), (J82 - $B82) / $B82, "")</f>
        <v/>
      </c>
      <c r="L82" s="28" t="str">
        <f>IF(ISNUMBER(J82), $B91 * K82, "")</f>
        <v/>
      </c>
      <c r="M82" s="23"/>
      <c r="N82" s="24" t="str">
        <f t="shared" ref="N82:N85" si="41">IF(ISNUMBER(M82), (M82 - $B82) / $B82, "")</f>
        <v/>
      </c>
      <c r="O82" s="28" t="str">
        <f>IF(ISNUMBER(M82), $B91 * N82, "")</f>
        <v/>
      </c>
      <c r="Q82" s="117"/>
      <c r="R82" s="118"/>
      <c r="S82" s="119"/>
    </row>
    <row r="83" spans="1:19" ht="17.25" thickBot="1">
      <c r="A83" s="47"/>
      <c r="B83" s="48"/>
      <c r="C83" s="24"/>
      <c r="D83" s="23"/>
      <c r="E83" s="24" t="str">
        <f t="shared" si="38"/>
        <v/>
      </c>
      <c r="F83" s="28" t="str">
        <f>IF(ISNUMBER(D83), $B91 * E83, "")</f>
        <v/>
      </c>
      <c r="G83" s="23"/>
      <c r="H83" s="24" t="str">
        <f t="shared" si="39"/>
        <v/>
      </c>
      <c r="I83" s="28" t="str">
        <f>IF(ISNUMBER(G83), $B91 * H83, "")</f>
        <v/>
      </c>
      <c r="J83" s="23"/>
      <c r="K83" s="24" t="str">
        <f t="shared" si="40"/>
        <v/>
      </c>
      <c r="L83" s="28" t="str">
        <f>IF(ISNUMBER(J83), $B91 * K83, "")</f>
        <v/>
      </c>
      <c r="M83" s="23"/>
      <c r="N83" s="24" t="str">
        <f t="shared" si="41"/>
        <v/>
      </c>
      <c r="O83" s="28" t="str">
        <f>IF(ISNUMBER(M83), $B91 * N83, "")</f>
        <v/>
      </c>
      <c r="Q83" s="98"/>
      <c r="R83" s="98"/>
      <c r="S83" s="98"/>
    </row>
    <row r="84" spans="1:19" ht="17.25" thickBot="1">
      <c r="A84" s="47"/>
      <c r="B84" s="48"/>
      <c r="C84" s="24"/>
      <c r="D84" s="23"/>
      <c r="E84" s="24" t="str">
        <f t="shared" si="38"/>
        <v/>
      </c>
      <c r="F84" s="28" t="str">
        <f>IF(ISNUMBER(D84), $B91 * E84, "")</f>
        <v/>
      </c>
      <c r="G84" s="23"/>
      <c r="H84" s="24" t="str">
        <f t="shared" si="39"/>
        <v/>
      </c>
      <c r="I84" s="28" t="str">
        <f>IF(ISNUMBER(G84), $B91 * H84, "")</f>
        <v/>
      </c>
      <c r="J84" s="23"/>
      <c r="K84" s="24" t="str">
        <f t="shared" si="40"/>
        <v/>
      </c>
      <c r="L84" s="28" t="str">
        <f>IF(ISNUMBER(J84), $B91 * K84, "")</f>
        <v/>
      </c>
      <c r="M84" s="23"/>
      <c r="N84" s="24" t="str">
        <f t="shared" si="41"/>
        <v/>
      </c>
      <c r="O84" s="28" t="str">
        <f>IF(ISNUMBER(M84), $B91 * N84, "")</f>
        <v/>
      </c>
      <c r="Q84" s="99"/>
      <c r="R84" s="99"/>
      <c r="S84" s="99"/>
    </row>
    <row r="85" spans="1:19" ht="17.25" thickBot="1">
      <c r="A85" s="49"/>
      <c r="B85" s="50"/>
      <c r="C85" s="31"/>
      <c r="D85" s="30"/>
      <c r="E85" s="31" t="str">
        <f t="shared" si="38"/>
        <v/>
      </c>
      <c r="F85" s="33" t="str">
        <f>IF(ISNUMBER(D85), $B91 * E85, "")</f>
        <v/>
      </c>
      <c r="G85" s="30"/>
      <c r="H85" s="31" t="str">
        <f t="shared" si="39"/>
        <v/>
      </c>
      <c r="I85" s="33" t="str">
        <f>IF(ISNUMBER(G85), $B91 * H85, "")</f>
        <v/>
      </c>
      <c r="J85" s="30"/>
      <c r="K85" s="31" t="str">
        <f t="shared" si="40"/>
        <v/>
      </c>
      <c r="L85" s="33" t="str">
        <f>IF(ISNUMBER(J85), $B91 * K85, "")</f>
        <v/>
      </c>
      <c r="M85" s="30"/>
      <c r="N85" s="31" t="str">
        <f t="shared" si="41"/>
        <v/>
      </c>
      <c r="O85" s="33" t="str">
        <f>IF(ISNUMBER(M85), $B91 * N85, "")</f>
        <v/>
      </c>
      <c r="Q85" s="99"/>
      <c r="R85" s="99"/>
      <c r="S85" s="99"/>
    </row>
    <row r="86" spans="1:19" ht="17.25" thickBot="1">
      <c r="A86" s="47"/>
      <c r="B86" s="51"/>
      <c r="C86" s="52"/>
      <c r="D86" s="23"/>
      <c r="E86" s="52" t="str">
        <f>IF(ISNUMBER(D86), (D86 - $B86) / $B86, "")</f>
        <v/>
      </c>
      <c r="F86" s="28" t="str">
        <f>IF(ISNUMBER(D86), $B91 * E86, "")</f>
        <v/>
      </c>
      <c r="G86" s="23"/>
      <c r="H86" s="52" t="str">
        <f>IF(ISNUMBER(G86), (G86 - $B86) / $B86, "")</f>
        <v/>
      </c>
      <c r="I86" s="28" t="str">
        <f>IF(ISNUMBER(G86), $B91 * H86, "")</f>
        <v/>
      </c>
      <c r="J86" s="23"/>
      <c r="K86" s="52" t="str">
        <f>IF(ISNUMBER(J86), (J86 - $B86) / $B86, "")</f>
        <v/>
      </c>
      <c r="L86" s="28" t="str">
        <f>IF(ISNUMBER(J86), $B91 * K86, "")</f>
        <v/>
      </c>
      <c r="M86" s="23"/>
      <c r="N86" s="52" t="str">
        <f>IF(ISNUMBER(M86), (M86 - $B86) / $B86, "")</f>
        <v/>
      </c>
      <c r="O86" s="28" t="str">
        <f>IF(ISNUMBER(M86), $B91 * N86, "")</f>
        <v/>
      </c>
      <c r="Q86" s="100"/>
      <c r="R86" s="100"/>
      <c r="S86" s="100"/>
    </row>
    <row r="87" spans="1:19" ht="17.25" thickBot="1">
      <c r="A87" s="47"/>
      <c r="B87" s="48"/>
      <c r="C87" s="24"/>
      <c r="D87" s="23"/>
      <c r="E87" s="24" t="str">
        <f t="shared" ref="E87:E90" si="42">IF(ISNUMBER(D87), (D87 - $B87) / $B87, "")</f>
        <v/>
      </c>
      <c r="F87" s="28" t="str">
        <f>IF(ISNUMBER(D87), $B91 * E87, "")</f>
        <v/>
      </c>
      <c r="G87" s="23"/>
      <c r="H87" s="24" t="str">
        <f t="shared" ref="H87:H90" si="43">IF(ISNUMBER(G87), (G87 - $B87) / $B87, "")</f>
        <v/>
      </c>
      <c r="I87" s="28" t="str">
        <f>IF(ISNUMBER(G87), $B91 * H87, "")</f>
        <v/>
      </c>
      <c r="J87" s="23"/>
      <c r="K87" s="24" t="str">
        <f t="shared" ref="K87:K90" si="44">IF(ISNUMBER(J87), (J87 - $B87) / $B87, "")</f>
        <v/>
      </c>
      <c r="L87" s="28" t="str">
        <f>IF(ISNUMBER(J87), $B91 * K87, "")</f>
        <v/>
      </c>
      <c r="M87" s="23"/>
      <c r="N87" s="24" t="str">
        <f t="shared" ref="N87:N90" si="45">IF(ISNUMBER(M87), (M87 - $B87) / $B87, "")</f>
        <v/>
      </c>
      <c r="O87" s="28" t="str">
        <f>IF(ISNUMBER(M87), $B91 * N87, "")</f>
        <v/>
      </c>
      <c r="Q87" s="100"/>
      <c r="R87" s="100"/>
      <c r="S87" s="100"/>
    </row>
    <row r="88" spans="1:19" ht="17.25" thickBot="1">
      <c r="A88" s="47"/>
      <c r="B88" s="48"/>
      <c r="C88" s="24"/>
      <c r="D88" s="23"/>
      <c r="E88" s="24" t="str">
        <f t="shared" si="42"/>
        <v/>
      </c>
      <c r="F88" s="28" t="str">
        <f>IF(ISNUMBER(D88), $B91 * E88, "")</f>
        <v/>
      </c>
      <c r="G88" s="23"/>
      <c r="H88" s="24" t="str">
        <f t="shared" si="43"/>
        <v/>
      </c>
      <c r="I88" s="28" t="str">
        <f>IF(ISNUMBER(G88), $B91 * H88, "")</f>
        <v/>
      </c>
      <c r="J88" s="23"/>
      <c r="K88" s="24" t="str">
        <f t="shared" si="44"/>
        <v/>
      </c>
      <c r="L88" s="28" t="str">
        <f>IF(ISNUMBER(J88), $B91 * K88, "")</f>
        <v/>
      </c>
      <c r="M88" s="23"/>
      <c r="N88" s="24" t="str">
        <f t="shared" si="45"/>
        <v/>
      </c>
      <c r="O88" s="28" t="str">
        <f>IF(ISNUMBER(M88), $B91 * N88, "")</f>
        <v/>
      </c>
      <c r="Q88" s="101"/>
      <c r="R88" s="101"/>
      <c r="S88" s="101"/>
    </row>
    <row r="89" spans="1:19">
      <c r="A89" s="47"/>
      <c r="B89" s="48"/>
      <c r="C89" s="24"/>
      <c r="D89" s="23"/>
      <c r="E89" s="24" t="str">
        <f t="shared" si="42"/>
        <v/>
      </c>
      <c r="F89" s="28" t="str">
        <f>IF(ISNUMBER(D89), $B91 * E89, "")</f>
        <v/>
      </c>
      <c r="G89" s="23"/>
      <c r="H89" s="24" t="str">
        <f t="shared" si="43"/>
        <v/>
      </c>
      <c r="I89" s="28" t="str">
        <f>IF(ISNUMBER(G89), $B91 * H89, "")</f>
        <v/>
      </c>
      <c r="J89" s="23"/>
      <c r="K89" s="24" t="str">
        <f t="shared" si="44"/>
        <v/>
      </c>
      <c r="L89" s="28" t="str">
        <f>IF(ISNUMBER(J89), $B91 * K89, "")</f>
        <v/>
      </c>
      <c r="M89" s="23"/>
      <c r="N89" s="24" t="str">
        <f t="shared" si="45"/>
        <v/>
      </c>
      <c r="O89" s="28" t="str">
        <f>IF(ISNUMBER(M89), $B91 * N89, "")</f>
        <v/>
      </c>
      <c r="Q89" s="102"/>
      <c r="R89" s="103"/>
      <c r="S89" s="104"/>
    </row>
    <row r="90" spans="1:19" ht="17.25" thickBot="1">
      <c r="A90" s="49"/>
      <c r="B90" s="50"/>
      <c r="C90" s="31"/>
      <c r="D90" s="30"/>
      <c r="E90" s="31" t="str">
        <f t="shared" si="42"/>
        <v/>
      </c>
      <c r="F90" s="28" t="str">
        <f>IF(ISNUMBER(D90), $B91 * E90, "")</f>
        <v/>
      </c>
      <c r="G90" s="30"/>
      <c r="H90" s="31" t="str">
        <f t="shared" si="43"/>
        <v/>
      </c>
      <c r="I90" s="28" t="str">
        <f>IF(ISNUMBER(G90), $B91 * H90, "")</f>
        <v/>
      </c>
      <c r="J90" s="30"/>
      <c r="K90" s="31" t="str">
        <f t="shared" si="44"/>
        <v/>
      </c>
      <c r="L90" s="28" t="str">
        <f>IF(ISNUMBER(J90), $B91 * K90, "")</f>
        <v/>
      </c>
      <c r="M90" s="30"/>
      <c r="N90" s="31" t="str">
        <f t="shared" si="45"/>
        <v/>
      </c>
      <c r="O90" s="28" t="str">
        <f>IF(ISNUMBER(M90), $B91 * N90, "")</f>
        <v/>
      </c>
      <c r="Q90" s="105"/>
      <c r="R90" s="106"/>
      <c r="S90" s="107"/>
    </row>
    <row r="91" spans="1:19" ht="17.25" thickBot="1">
      <c r="A91" s="39" t="s">
        <v>46</v>
      </c>
      <c r="B91" s="120">
        <v>100000</v>
      </c>
      <c r="C91" s="121"/>
      <c r="D91" s="39" t="s">
        <v>47</v>
      </c>
      <c r="E91" s="40">
        <f>IF(COUNT(E71:E90), SUM(E71:E90) / COUNT(E71:E90), 0)</f>
        <v>0</v>
      </c>
      <c r="F91" s="41">
        <f>SUM(F71:F90)</f>
        <v>0</v>
      </c>
      <c r="G91" s="39" t="s">
        <v>47</v>
      </c>
      <c r="H91" s="40">
        <f>IF(COUNT(H71:H90), SUM(H71:H90) / COUNT(H71:H90), 0)</f>
        <v>0</v>
      </c>
      <c r="I91" s="41">
        <f>SUM(I71:I90)</f>
        <v>0</v>
      </c>
      <c r="J91" s="39" t="s">
        <v>47</v>
      </c>
      <c r="K91" s="40">
        <f>IF(COUNT(K71:K90), SUM(K71:K90) / COUNT(K71:K90), 0)</f>
        <v>0</v>
      </c>
      <c r="L91" s="41">
        <f>SUM(L71:L90)</f>
        <v>0</v>
      </c>
      <c r="M91" s="39" t="s">
        <v>47</v>
      </c>
      <c r="N91" s="40">
        <f>IF(COUNT(N71:N90), SUM(N71:N90) / COUNT(N71:N90), 0)</f>
        <v>0</v>
      </c>
      <c r="O91" s="41">
        <f>SUM(O71:O90)</f>
        <v>0</v>
      </c>
      <c r="Q91" s="108"/>
      <c r="R91" s="109"/>
      <c r="S91" s="110"/>
    </row>
    <row r="93" spans="1:19" ht="17.25" thickBot="1"/>
    <row r="94" spans="1:19" ht="17.25" thickBot="1">
      <c r="A94" s="122" t="s">
        <v>50</v>
      </c>
      <c r="B94" s="123"/>
      <c r="C94" s="123"/>
      <c r="D94" s="123"/>
      <c r="E94" s="123"/>
      <c r="F94" s="123"/>
      <c r="G94" s="123"/>
      <c r="H94" s="123"/>
      <c r="I94" s="123"/>
      <c r="J94" s="123"/>
      <c r="K94" s="123"/>
      <c r="L94" s="123"/>
      <c r="M94" s="123"/>
      <c r="N94" s="123"/>
      <c r="O94" s="124"/>
      <c r="Q94" s="111"/>
      <c r="R94" s="112"/>
      <c r="S94" s="113"/>
    </row>
    <row r="95" spans="1:19" ht="17.25" thickBot="1">
      <c r="A95" s="10" t="s">
        <v>35</v>
      </c>
      <c r="B95" s="122" t="s">
        <v>36</v>
      </c>
      <c r="C95" s="124"/>
      <c r="D95" s="122" t="s">
        <v>37</v>
      </c>
      <c r="E95" s="123"/>
      <c r="F95" s="124"/>
      <c r="G95" s="125">
        <f>_xlfn.IFNA(VLOOKUP(B95, 현재가테이블!$B$2:$D$200, 2, FALSE), "-")</f>
        <v>78003000</v>
      </c>
      <c r="H95" s="126"/>
      <c r="I95" s="127"/>
      <c r="J95" s="122" t="s">
        <v>38</v>
      </c>
      <c r="K95" s="123"/>
      <c r="L95" s="124"/>
      <c r="M95" s="128">
        <f>_xlfn.IFNA(VLOOKUP(B95, 현재가테이블!$B$2:$D$200, 3, FALSE), "-")</f>
        <v>-6.7108111999999998E-3</v>
      </c>
      <c r="N95" s="129"/>
      <c r="O95" s="130"/>
      <c r="Q95" s="114"/>
      <c r="R95" s="115"/>
      <c r="S95" s="116"/>
    </row>
    <row r="96" spans="1:19" ht="17.25" thickBot="1">
      <c r="A96" s="131" t="s">
        <v>39</v>
      </c>
      <c r="B96" s="132" t="s">
        <v>40</v>
      </c>
      <c r="C96" s="133"/>
      <c r="D96" s="134" t="s">
        <v>41</v>
      </c>
      <c r="E96" s="135"/>
      <c r="F96" s="136"/>
      <c r="G96" s="134" t="s">
        <v>42</v>
      </c>
      <c r="H96" s="135"/>
      <c r="I96" s="136"/>
      <c r="J96" s="137" t="s">
        <v>43</v>
      </c>
      <c r="K96" s="137"/>
      <c r="L96" s="137"/>
      <c r="M96" s="134" t="s">
        <v>40</v>
      </c>
      <c r="N96" s="135"/>
      <c r="O96" s="136"/>
      <c r="Q96" s="117"/>
      <c r="R96" s="118"/>
      <c r="S96" s="119"/>
    </row>
    <row r="97" spans="1:19" ht="17.25" thickBot="1">
      <c r="A97" s="131"/>
      <c r="B97" s="2" t="s">
        <v>37</v>
      </c>
      <c r="C97" s="12" t="s">
        <v>38</v>
      </c>
      <c r="D97" s="2" t="s">
        <v>37</v>
      </c>
      <c r="E97" s="12" t="s">
        <v>44</v>
      </c>
      <c r="F97" s="13" t="s">
        <v>45</v>
      </c>
      <c r="G97" s="2" t="s">
        <v>37</v>
      </c>
      <c r="H97" s="12" t="s">
        <v>44</v>
      </c>
      <c r="I97" s="13" t="s">
        <v>45</v>
      </c>
      <c r="J97" s="12" t="s">
        <v>37</v>
      </c>
      <c r="K97" s="12" t="s">
        <v>44</v>
      </c>
      <c r="L97" s="17" t="s">
        <v>45</v>
      </c>
      <c r="M97" s="2" t="s">
        <v>37</v>
      </c>
      <c r="N97" s="12" t="s">
        <v>44</v>
      </c>
      <c r="O97" s="18" t="s">
        <v>45</v>
      </c>
      <c r="Q97" s="98"/>
      <c r="R97" s="98"/>
      <c r="S97" s="98"/>
    </row>
    <row r="98" spans="1:19" ht="17.25" thickBot="1">
      <c r="A98" s="45"/>
      <c r="B98" s="46"/>
      <c r="C98" s="21"/>
      <c r="D98" s="20"/>
      <c r="E98" s="21" t="str">
        <f>IF(ISNUMBER(D98), (D98 - $B98) / $B98, "")</f>
        <v/>
      </c>
      <c r="F98" s="26" t="str">
        <f>IF(ISNUMBER(D98), $B118 * E98, "")</f>
        <v/>
      </c>
      <c r="G98" s="20"/>
      <c r="H98" s="21" t="str">
        <f>IF(ISNUMBER(G98), (G98 - $B98) / $B98, "")</f>
        <v/>
      </c>
      <c r="I98" s="26" t="str">
        <f>IF(ISNUMBER(G98), $B118 * H98, "")</f>
        <v/>
      </c>
      <c r="J98" s="20"/>
      <c r="K98" s="21" t="str">
        <f>IF(ISNUMBER(J98), (J98 - $B98) / $B98, "")</f>
        <v/>
      </c>
      <c r="L98" s="26" t="str">
        <f>IF(ISNUMBER(J98), $B118 * K98, "")</f>
        <v/>
      </c>
      <c r="M98" s="20"/>
      <c r="N98" s="21" t="str">
        <f>IF(ISNUMBER(M98), (M98 - $B98) / $B98, "")</f>
        <v/>
      </c>
      <c r="O98" s="26" t="str">
        <f>IF(ISNUMBER(M98), $B118 * N98, "")</f>
        <v/>
      </c>
      <c r="Q98" s="99"/>
      <c r="R98" s="99"/>
      <c r="S98" s="99"/>
    </row>
    <row r="99" spans="1:19" ht="17.25" thickBot="1">
      <c r="A99" s="47"/>
      <c r="B99" s="48"/>
      <c r="C99" s="24"/>
      <c r="D99" s="23"/>
      <c r="E99" s="24" t="str">
        <f t="shared" ref="E99:E102" si="46">IF(ISNUMBER(D99), (D99 - $B99) / $B99, "")</f>
        <v/>
      </c>
      <c r="F99" s="28" t="str">
        <f>IF(ISNUMBER(D99), $B118 * E99, "")</f>
        <v/>
      </c>
      <c r="G99" s="23"/>
      <c r="H99" s="24" t="str">
        <f t="shared" ref="H99:H102" si="47">IF(ISNUMBER(G99), (G99 - $B99) / $B99, "")</f>
        <v/>
      </c>
      <c r="I99" s="28" t="str">
        <f>IF(ISNUMBER(G99), $B118 * H99, "")</f>
        <v/>
      </c>
      <c r="J99" s="23"/>
      <c r="K99" s="24" t="str">
        <f t="shared" ref="K99:K102" si="48">IF(ISNUMBER(J99), (J99 - $B99) / $B99, "")</f>
        <v/>
      </c>
      <c r="L99" s="28" t="str">
        <f>IF(ISNUMBER(J99), $B118 * K99, "")</f>
        <v/>
      </c>
      <c r="M99" s="23"/>
      <c r="N99" s="24" t="str">
        <f t="shared" ref="N99:N102" si="49">IF(ISNUMBER(M99), (M99 - $B99) / $B99, "")</f>
        <v/>
      </c>
      <c r="O99" s="28" t="str">
        <f>IF(ISNUMBER(M99), $B118 * N99, "")</f>
        <v/>
      </c>
      <c r="Q99" s="99"/>
      <c r="R99" s="99"/>
      <c r="S99" s="99"/>
    </row>
    <row r="100" spans="1:19" ht="17.25" thickBot="1">
      <c r="A100" s="47"/>
      <c r="B100" s="48"/>
      <c r="C100" s="24"/>
      <c r="D100" s="23"/>
      <c r="E100" s="24" t="str">
        <f t="shared" si="46"/>
        <v/>
      </c>
      <c r="F100" s="28" t="str">
        <f>IF(ISNUMBER(D100), $B118 * E100, "")</f>
        <v/>
      </c>
      <c r="G100" s="23"/>
      <c r="H100" s="24" t="str">
        <f t="shared" si="47"/>
        <v/>
      </c>
      <c r="I100" s="28" t="str">
        <f>IF(ISNUMBER(G100), $B118 * H100, "")</f>
        <v/>
      </c>
      <c r="J100" s="23"/>
      <c r="K100" s="24" t="str">
        <f t="shared" si="48"/>
        <v/>
      </c>
      <c r="L100" s="28" t="str">
        <f>IF(ISNUMBER(J100), $B118 * K100, "")</f>
        <v/>
      </c>
      <c r="M100" s="23"/>
      <c r="N100" s="24" t="str">
        <f t="shared" si="49"/>
        <v/>
      </c>
      <c r="O100" s="28" t="str">
        <f>IF(ISNUMBER(M100), $B118 * N100, "")</f>
        <v/>
      </c>
      <c r="Q100" s="100"/>
      <c r="R100" s="100"/>
      <c r="S100" s="100"/>
    </row>
    <row r="101" spans="1:19" ht="17.25" thickBot="1">
      <c r="A101" s="47"/>
      <c r="B101" s="48"/>
      <c r="C101" s="24"/>
      <c r="D101" s="23"/>
      <c r="E101" s="24" t="str">
        <f t="shared" si="46"/>
        <v/>
      </c>
      <c r="F101" s="28" t="str">
        <f>IF(ISNUMBER(D101), $B118 * E101, "")</f>
        <v/>
      </c>
      <c r="G101" s="23"/>
      <c r="H101" s="24" t="str">
        <f t="shared" si="47"/>
        <v/>
      </c>
      <c r="I101" s="28" t="str">
        <f>IF(ISNUMBER(G101), $B118 * H101, "")</f>
        <v/>
      </c>
      <c r="J101" s="23"/>
      <c r="K101" s="24" t="str">
        <f t="shared" si="48"/>
        <v/>
      </c>
      <c r="L101" s="28" t="str">
        <f>IF(ISNUMBER(J101), $B118 * K101, "")</f>
        <v/>
      </c>
      <c r="M101" s="23"/>
      <c r="N101" s="24" t="str">
        <f t="shared" si="49"/>
        <v/>
      </c>
      <c r="O101" s="28" t="str">
        <f>IF(ISNUMBER(M101), $B118 * N101, "")</f>
        <v/>
      </c>
      <c r="Q101" s="100"/>
      <c r="R101" s="100"/>
      <c r="S101" s="100"/>
    </row>
    <row r="102" spans="1:19" ht="17.25" thickBot="1">
      <c r="A102" s="49"/>
      <c r="B102" s="50"/>
      <c r="C102" s="31"/>
      <c r="D102" s="30"/>
      <c r="E102" s="31" t="str">
        <f t="shared" si="46"/>
        <v/>
      </c>
      <c r="F102" s="33" t="str">
        <f>IF(ISNUMBER(D102), $B118 * E102, "")</f>
        <v/>
      </c>
      <c r="G102" s="30"/>
      <c r="H102" s="31" t="str">
        <f t="shared" si="47"/>
        <v/>
      </c>
      <c r="I102" s="33" t="str">
        <f>IF(ISNUMBER(G102), $B118 * H102, "")</f>
        <v/>
      </c>
      <c r="J102" s="30"/>
      <c r="K102" s="31" t="str">
        <f t="shared" si="48"/>
        <v/>
      </c>
      <c r="L102" s="33" t="str">
        <f>IF(ISNUMBER(J102), $B118 * K102, "")</f>
        <v/>
      </c>
      <c r="M102" s="30"/>
      <c r="N102" s="31" t="str">
        <f t="shared" si="49"/>
        <v/>
      </c>
      <c r="O102" s="33" t="str">
        <f>IF(ISNUMBER(M102), $B118 * N102, "")</f>
        <v/>
      </c>
      <c r="Q102" s="101"/>
      <c r="R102" s="101"/>
      <c r="S102" s="101"/>
    </row>
    <row r="103" spans="1:19">
      <c r="A103" s="47"/>
      <c r="B103" s="51"/>
      <c r="C103" s="52"/>
      <c r="D103" s="23"/>
      <c r="E103" s="52" t="str">
        <f>IF(ISNUMBER(D103), (D103 - $B103) / $B103, "")</f>
        <v/>
      </c>
      <c r="F103" s="28" t="str">
        <f>IF(ISNUMBER(D103), $B118 * E103, "")</f>
        <v/>
      </c>
      <c r="G103" s="23"/>
      <c r="H103" s="52" t="str">
        <f>IF(ISNUMBER(G103), (G103 - $B103) / $B103, "")</f>
        <v/>
      </c>
      <c r="I103" s="28" t="str">
        <f>IF(ISNUMBER(G103), $B118 * H103, "")</f>
        <v/>
      </c>
      <c r="J103" s="23"/>
      <c r="K103" s="52" t="str">
        <f>IF(ISNUMBER(J103), (J103 - $B103) / $B103, "")</f>
        <v/>
      </c>
      <c r="L103" s="28" t="str">
        <f>IF(ISNUMBER(J103), $B118 * K103, "")</f>
        <v/>
      </c>
      <c r="M103" s="23"/>
      <c r="N103" s="52" t="str">
        <f>IF(ISNUMBER(M103), (M103 - $B103) / $B103, "")</f>
        <v/>
      </c>
      <c r="O103" s="28" t="str">
        <f>IF(ISNUMBER(M103), $B118 * N103, "")</f>
        <v/>
      </c>
      <c r="Q103" s="102"/>
      <c r="R103" s="103"/>
      <c r="S103" s="104"/>
    </row>
    <row r="104" spans="1:19">
      <c r="A104" s="47"/>
      <c r="B104" s="48"/>
      <c r="C104" s="24"/>
      <c r="D104" s="23"/>
      <c r="E104" s="24" t="str">
        <f t="shared" ref="E104:E107" si="50">IF(ISNUMBER(D104), (D104 - $B104) / $B104, "")</f>
        <v/>
      </c>
      <c r="F104" s="28" t="str">
        <f>IF(ISNUMBER(D104), $B118 * E104, "")</f>
        <v/>
      </c>
      <c r="G104" s="23"/>
      <c r="H104" s="24" t="str">
        <f t="shared" ref="H104:H107" si="51">IF(ISNUMBER(G104), (G104 - $B104) / $B104, "")</f>
        <v/>
      </c>
      <c r="I104" s="28" t="str">
        <f>IF(ISNUMBER(G104), $B118 * H104, "")</f>
        <v/>
      </c>
      <c r="J104" s="23"/>
      <c r="K104" s="24" t="str">
        <f t="shared" ref="K104:K107" si="52">IF(ISNUMBER(J104), (J104 - $B104) / $B104, "")</f>
        <v/>
      </c>
      <c r="L104" s="28" t="str">
        <f>IF(ISNUMBER(J104), $B118 * K104, "")</f>
        <v/>
      </c>
      <c r="M104" s="23"/>
      <c r="N104" s="24" t="str">
        <f t="shared" ref="N104:N107" si="53">IF(ISNUMBER(M104), (M104 - $B104) / $B104, "")</f>
        <v/>
      </c>
      <c r="O104" s="28" t="str">
        <f>IF(ISNUMBER(M104), $B118 * N104, "")</f>
        <v/>
      </c>
      <c r="Q104" s="105"/>
      <c r="R104" s="106"/>
      <c r="S104" s="107"/>
    </row>
    <row r="105" spans="1:19" ht="17.25" thickBot="1">
      <c r="A105" s="47"/>
      <c r="B105" s="48"/>
      <c r="C105" s="24"/>
      <c r="D105" s="23"/>
      <c r="E105" s="24" t="str">
        <f t="shared" si="50"/>
        <v/>
      </c>
      <c r="F105" s="28" t="str">
        <f>IF(ISNUMBER(D105), $B118 * E105, "")</f>
        <v/>
      </c>
      <c r="G105" s="23"/>
      <c r="H105" s="24" t="str">
        <f t="shared" si="51"/>
        <v/>
      </c>
      <c r="I105" s="28" t="str">
        <f>IF(ISNUMBER(G105), $B118 * H105, "")</f>
        <v/>
      </c>
      <c r="J105" s="23"/>
      <c r="K105" s="24" t="str">
        <f t="shared" si="52"/>
        <v/>
      </c>
      <c r="L105" s="28" t="str">
        <f>IF(ISNUMBER(J105), $B118 * K105, "")</f>
        <v/>
      </c>
      <c r="M105" s="23"/>
      <c r="N105" s="24" t="str">
        <f t="shared" si="53"/>
        <v/>
      </c>
      <c r="O105" s="28" t="str">
        <f>IF(ISNUMBER(M105), $B118 * N105, "")</f>
        <v/>
      </c>
      <c r="Q105" s="108"/>
      <c r="R105" s="109"/>
      <c r="S105" s="110"/>
    </row>
    <row r="106" spans="1:19" ht="17.25" thickBot="1">
      <c r="A106" s="47"/>
      <c r="B106" s="48"/>
      <c r="C106" s="24"/>
      <c r="D106" s="23"/>
      <c r="E106" s="24" t="str">
        <f t="shared" si="50"/>
        <v/>
      </c>
      <c r="F106" s="28" t="str">
        <f>IF(ISNUMBER(D106), $B118 * E106, "")</f>
        <v/>
      </c>
      <c r="G106" s="23"/>
      <c r="H106" s="24" t="str">
        <f t="shared" si="51"/>
        <v/>
      </c>
      <c r="I106" s="28" t="str">
        <f>IF(ISNUMBER(G106), $B118 * H106, "")</f>
        <v/>
      </c>
      <c r="J106" s="23"/>
      <c r="K106" s="24" t="str">
        <f t="shared" si="52"/>
        <v/>
      </c>
      <c r="L106" s="28" t="str">
        <f>IF(ISNUMBER(J106), $B118 * K106, "")</f>
        <v/>
      </c>
      <c r="M106" s="23"/>
      <c r="N106" s="24" t="str">
        <f t="shared" si="53"/>
        <v/>
      </c>
      <c r="O106" s="28" t="str">
        <f>IF(ISNUMBER(M106), $B118 * N106, "")</f>
        <v/>
      </c>
      <c r="Q106" s="55"/>
      <c r="R106" s="55"/>
    </row>
    <row r="107" spans="1:19" ht="17.25" thickBot="1">
      <c r="A107" s="49"/>
      <c r="B107" s="50"/>
      <c r="C107" s="31"/>
      <c r="D107" s="30"/>
      <c r="E107" s="31" t="str">
        <f t="shared" si="50"/>
        <v/>
      </c>
      <c r="F107" s="28" t="str">
        <f>IF(ISNUMBER(D107), $B118 * E107, "")</f>
        <v/>
      </c>
      <c r="G107" s="30"/>
      <c r="H107" s="31" t="str">
        <f t="shared" si="51"/>
        <v/>
      </c>
      <c r="I107" s="28" t="str">
        <f>IF(ISNUMBER(G107), $B118 * H107, "")</f>
        <v/>
      </c>
      <c r="J107" s="30"/>
      <c r="K107" s="31" t="str">
        <f t="shared" si="52"/>
        <v/>
      </c>
      <c r="L107" s="28" t="str">
        <f>IF(ISNUMBER(J107), $B118 * K107, "")</f>
        <v/>
      </c>
      <c r="M107" s="30"/>
      <c r="N107" s="31" t="str">
        <f t="shared" si="53"/>
        <v/>
      </c>
      <c r="O107" s="28" t="str">
        <f>IF(ISNUMBER(M107), $B118 * N107, "")</f>
        <v/>
      </c>
      <c r="Q107" s="111"/>
      <c r="R107" s="112"/>
      <c r="S107" s="113"/>
    </row>
    <row r="108" spans="1:19">
      <c r="A108" s="45"/>
      <c r="B108" s="46"/>
      <c r="C108" s="21"/>
      <c r="D108" s="20"/>
      <c r="E108" s="21" t="str">
        <f>IF(ISNUMBER(D108), (D108 - $B108) / $B108, "")</f>
        <v/>
      </c>
      <c r="F108" s="26" t="str">
        <f>IF(ISNUMBER(D108), $B118 * E108, "")</f>
        <v/>
      </c>
      <c r="G108" s="20"/>
      <c r="H108" s="21" t="str">
        <f>IF(ISNUMBER(G108), (G108 - $B108) / $B108, "")</f>
        <v/>
      </c>
      <c r="I108" s="26" t="str">
        <f>IF(ISNUMBER(G108), $B118 * H108, "")</f>
        <v/>
      </c>
      <c r="J108" s="20"/>
      <c r="K108" s="21" t="str">
        <f>IF(ISNUMBER(J108), (J108 - $B108) / $B108, "")</f>
        <v/>
      </c>
      <c r="L108" s="26" t="str">
        <f>IF(ISNUMBER(J108), $B118 * K108, "")</f>
        <v/>
      </c>
      <c r="M108" s="20"/>
      <c r="N108" s="21" t="str">
        <f>IF(ISNUMBER(M108), (M108 - $B108) / $B108, "")</f>
        <v/>
      </c>
      <c r="O108" s="26" t="str">
        <f>IF(ISNUMBER(M108), $B118 * N108, "")</f>
        <v/>
      </c>
      <c r="Q108" s="114"/>
      <c r="R108" s="115"/>
      <c r="S108" s="116"/>
    </row>
    <row r="109" spans="1:19" ht="17.25" thickBot="1">
      <c r="A109" s="47"/>
      <c r="B109" s="48"/>
      <c r="C109" s="24"/>
      <c r="D109" s="23"/>
      <c r="E109" s="24" t="str">
        <f t="shared" ref="E109:E112" si="54">IF(ISNUMBER(D109), (D109 - $B109) / $B109, "")</f>
        <v/>
      </c>
      <c r="F109" s="28" t="str">
        <f>IF(ISNUMBER(D109), $B118 * E109, "")</f>
        <v/>
      </c>
      <c r="G109" s="23"/>
      <c r="H109" s="24" t="str">
        <f t="shared" ref="H109:H112" si="55">IF(ISNUMBER(G109), (G109 - $B109) / $B109, "")</f>
        <v/>
      </c>
      <c r="I109" s="28" t="str">
        <f>IF(ISNUMBER(G109), $B118 * H109, "")</f>
        <v/>
      </c>
      <c r="J109" s="23"/>
      <c r="K109" s="24" t="str">
        <f t="shared" ref="K109:K112" si="56">IF(ISNUMBER(J109), (J109 - $B109) / $B109, "")</f>
        <v/>
      </c>
      <c r="L109" s="28" t="str">
        <f>IF(ISNUMBER(J109), $B118 * K109, "")</f>
        <v/>
      </c>
      <c r="M109" s="23"/>
      <c r="N109" s="24" t="str">
        <f t="shared" ref="N109:N112" si="57">IF(ISNUMBER(M109), (M109 - $B109) / $B109, "")</f>
        <v/>
      </c>
      <c r="O109" s="28" t="str">
        <f>IF(ISNUMBER(M109), $B118 * N109, "")</f>
        <v/>
      </c>
      <c r="Q109" s="117"/>
      <c r="R109" s="118"/>
      <c r="S109" s="119"/>
    </row>
    <row r="110" spans="1:19" ht="17.25" thickBot="1">
      <c r="A110" s="47"/>
      <c r="B110" s="48"/>
      <c r="C110" s="24"/>
      <c r="D110" s="23"/>
      <c r="E110" s="24" t="str">
        <f t="shared" si="54"/>
        <v/>
      </c>
      <c r="F110" s="28" t="str">
        <f>IF(ISNUMBER(D110), $B118 * E110, "")</f>
        <v/>
      </c>
      <c r="G110" s="23"/>
      <c r="H110" s="24" t="str">
        <f t="shared" si="55"/>
        <v/>
      </c>
      <c r="I110" s="28" t="str">
        <f>IF(ISNUMBER(G110), $B118 * H110, "")</f>
        <v/>
      </c>
      <c r="J110" s="23"/>
      <c r="K110" s="24" t="str">
        <f t="shared" si="56"/>
        <v/>
      </c>
      <c r="L110" s="28" t="str">
        <f>IF(ISNUMBER(J110), $B118 * K110, "")</f>
        <v/>
      </c>
      <c r="M110" s="23"/>
      <c r="N110" s="24" t="str">
        <f t="shared" si="57"/>
        <v/>
      </c>
      <c r="O110" s="28" t="str">
        <f>IF(ISNUMBER(M110), $B118 * N110, "")</f>
        <v/>
      </c>
      <c r="Q110" s="98"/>
      <c r="R110" s="98"/>
      <c r="S110" s="98"/>
    </row>
    <row r="111" spans="1:19" ht="17.25" thickBot="1">
      <c r="A111" s="47"/>
      <c r="B111" s="48"/>
      <c r="C111" s="24"/>
      <c r="D111" s="23"/>
      <c r="E111" s="24" t="str">
        <f t="shared" si="54"/>
        <v/>
      </c>
      <c r="F111" s="28" t="str">
        <f>IF(ISNUMBER(D111), $B118 * E111, "")</f>
        <v/>
      </c>
      <c r="G111" s="23"/>
      <c r="H111" s="24" t="str">
        <f t="shared" si="55"/>
        <v/>
      </c>
      <c r="I111" s="28" t="str">
        <f>IF(ISNUMBER(G111), $B118 * H111, "")</f>
        <v/>
      </c>
      <c r="J111" s="23"/>
      <c r="K111" s="24" t="str">
        <f t="shared" si="56"/>
        <v/>
      </c>
      <c r="L111" s="28" t="str">
        <f>IF(ISNUMBER(J111), $B118 * K111, "")</f>
        <v/>
      </c>
      <c r="M111" s="23"/>
      <c r="N111" s="24" t="str">
        <f t="shared" si="57"/>
        <v/>
      </c>
      <c r="O111" s="28" t="str">
        <f>IF(ISNUMBER(M111), $B118 * N111, "")</f>
        <v/>
      </c>
      <c r="Q111" s="99"/>
      <c r="R111" s="99"/>
      <c r="S111" s="99"/>
    </row>
    <row r="112" spans="1:19" ht="17.25" thickBot="1">
      <c r="A112" s="49"/>
      <c r="B112" s="50"/>
      <c r="C112" s="31"/>
      <c r="D112" s="30"/>
      <c r="E112" s="31" t="str">
        <f t="shared" si="54"/>
        <v/>
      </c>
      <c r="F112" s="33" t="str">
        <f>IF(ISNUMBER(D112), $B118 * E112, "")</f>
        <v/>
      </c>
      <c r="G112" s="30"/>
      <c r="H112" s="31" t="str">
        <f t="shared" si="55"/>
        <v/>
      </c>
      <c r="I112" s="33" t="str">
        <f>IF(ISNUMBER(G112), $B118 * H112, "")</f>
        <v/>
      </c>
      <c r="J112" s="30"/>
      <c r="K112" s="31" t="str">
        <f t="shared" si="56"/>
        <v/>
      </c>
      <c r="L112" s="33" t="str">
        <f>IF(ISNUMBER(J112), $B118 * K112, "")</f>
        <v/>
      </c>
      <c r="M112" s="30"/>
      <c r="N112" s="31" t="str">
        <f t="shared" si="57"/>
        <v/>
      </c>
      <c r="O112" s="33" t="str">
        <f>IF(ISNUMBER(M112), $B118 * N112, "")</f>
        <v/>
      </c>
      <c r="Q112" s="99"/>
      <c r="R112" s="99"/>
      <c r="S112" s="99"/>
    </row>
    <row r="113" spans="1:19" ht="17.25" thickBot="1">
      <c r="A113" s="47"/>
      <c r="B113" s="51"/>
      <c r="C113" s="52"/>
      <c r="D113" s="23"/>
      <c r="E113" s="52" t="str">
        <f>IF(ISNUMBER(D113), (D113 - $B113) / $B113, "")</f>
        <v/>
      </c>
      <c r="F113" s="28" t="str">
        <f>IF(ISNUMBER(D113), $B118 * E113, "")</f>
        <v/>
      </c>
      <c r="G113" s="23"/>
      <c r="H113" s="52" t="str">
        <f>IF(ISNUMBER(G113), (G113 - $B113) / $B113, "")</f>
        <v/>
      </c>
      <c r="I113" s="28" t="str">
        <f>IF(ISNUMBER(G113), $B118 * H113, "")</f>
        <v/>
      </c>
      <c r="J113" s="23"/>
      <c r="K113" s="52" t="str">
        <f>IF(ISNUMBER(J113), (J113 - $B113) / $B113, "")</f>
        <v/>
      </c>
      <c r="L113" s="28" t="str">
        <f>IF(ISNUMBER(J113), $B118 * K113, "")</f>
        <v/>
      </c>
      <c r="M113" s="23"/>
      <c r="N113" s="52" t="str">
        <f>IF(ISNUMBER(M113), (M113 - $B113) / $B113, "")</f>
        <v/>
      </c>
      <c r="O113" s="28" t="str">
        <f>IF(ISNUMBER(M113), $B118 * N113, "")</f>
        <v/>
      </c>
      <c r="Q113" s="100"/>
      <c r="R113" s="100"/>
      <c r="S113" s="100"/>
    </row>
    <row r="114" spans="1:19" ht="17.25" thickBot="1">
      <c r="A114" s="47"/>
      <c r="B114" s="48"/>
      <c r="C114" s="24"/>
      <c r="D114" s="23"/>
      <c r="E114" s="24" t="str">
        <f t="shared" ref="E114:E117" si="58">IF(ISNUMBER(D114), (D114 - $B114) / $B114, "")</f>
        <v/>
      </c>
      <c r="F114" s="28" t="str">
        <f>IF(ISNUMBER(D114), $B118 * E114, "")</f>
        <v/>
      </c>
      <c r="G114" s="23"/>
      <c r="H114" s="24" t="str">
        <f t="shared" ref="H114:H117" si="59">IF(ISNUMBER(G114), (G114 - $B114) / $B114, "")</f>
        <v/>
      </c>
      <c r="I114" s="28" t="str">
        <f>IF(ISNUMBER(G114), $B118 * H114, "")</f>
        <v/>
      </c>
      <c r="J114" s="23"/>
      <c r="K114" s="24" t="str">
        <f t="shared" ref="K114:K117" si="60">IF(ISNUMBER(J114), (J114 - $B114) / $B114, "")</f>
        <v/>
      </c>
      <c r="L114" s="28" t="str">
        <f>IF(ISNUMBER(J114), $B118 * K114, "")</f>
        <v/>
      </c>
      <c r="M114" s="23"/>
      <c r="N114" s="24" t="str">
        <f t="shared" ref="N114:N117" si="61">IF(ISNUMBER(M114), (M114 - $B114) / $B114, "")</f>
        <v/>
      </c>
      <c r="O114" s="28" t="str">
        <f>IF(ISNUMBER(M114), $B118 * N114, "")</f>
        <v/>
      </c>
      <c r="Q114" s="100"/>
      <c r="R114" s="100"/>
      <c r="S114" s="100"/>
    </row>
    <row r="115" spans="1:19" ht="17.25" thickBot="1">
      <c r="A115" s="47"/>
      <c r="B115" s="48"/>
      <c r="C115" s="24"/>
      <c r="D115" s="23"/>
      <c r="E115" s="24" t="str">
        <f t="shared" si="58"/>
        <v/>
      </c>
      <c r="F115" s="28" t="str">
        <f>IF(ISNUMBER(D115), $B118 * E115, "")</f>
        <v/>
      </c>
      <c r="G115" s="23"/>
      <c r="H115" s="24" t="str">
        <f t="shared" si="59"/>
        <v/>
      </c>
      <c r="I115" s="28" t="str">
        <f>IF(ISNUMBER(G115), $B118 * H115, "")</f>
        <v/>
      </c>
      <c r="J115" s="23"/>
      <c r="K115" s="24" t="str">
        <f t="shared" si="60"/>
        <v/>
      </c>
      <c r="L115" s="28" t="str">
        <f>IF(ISNUMBER(J115), $B118 * K115, "")</f>
        <v/>
      </c>
      <c r="M115" s="23"/>
      <c r="N115" s="24" t="str">
        <f t="shared" si="61"/>
        <v/>
      </c>
      <c r="O115" s="28" t="str">
        <f>IF(ISNUMBER(M115), $B118 * N115, "")</f>
        <v/>
      </c>
      <c r="Q115" s="101"/>
      <c r="R115" s="101"/>
      <c r="S115" s="101"/>
    </row>
    <row r="116" spans="1:19">
      <c r="A116" s="47"/>
      <c r="B116" s="48"/>
      <c r="C116" s="24"/>
      <c r="D116" s="23"/>
      <c r="E116" s="24" t="str">
        <f t="shared" si="58"/>
        <v/>
      </c>
      <c r="F116" s="28" t="str">
        <f>IF(ISNUMBER(D116), $B118 * E116, "")</f>
        <v/>
      </c>
      <c r="G116" s="23"/>
      <c r="H116" s="24" t="str">
        <f t="shared" si="59"/>
        <v/>
      </c>
      <c r="I116" s="28" t="str">
        <f>IF(ISNUMBER(G116), $B118 * H116, "")</f>
        <v/>
      </c>
      <c r="J116" s="23"/>
      <c r="K116" s="24" t="str">
        <f t="shared" si="60"/>
        <v/>
      </c>
      <c r="L116" s="28" t="str">
        <f>IF(ISNUMBER(J116), $B118 * K116, "")</f>
        <v/>
      </c>
      <c r="M116" s="23"/>
      <c r="N116" s="24" t="str">
        <f t="shared" si="61"/>
        <v/>
      </c>
      <c r="O116" s="28" t="str">
        <f>IF(ISNUMBER(M116), $B118 * N116, "")</f>
        <v/>
      </c>
      <c r="Q116" s="102"/>
      <c r="R116" s="103"/>
      <c r="S116" s="104"/>
    </row>
    <row r="117" spans="1:19" ht="17.25" thickBot="1">
      <c r="A117" s="49"/>
      <c r="B117" s="50"/>
      <c r="C117" s="31"/>
      <c r="D117" s="30"/>
      <c r="E117" s="31" t="str">
        <f t="shared" si="58"/>
        <v/>
      </c>
      <c r="F117" s="28" t="str">
        <f>IF(ISNUMBER(D117), $B118 * E117, "")</f>
        <v/>
      </c>
      <c r="G117" s="30"/>
      <c r="H117" s="31" t="str">
        <f t="shared" si="59"/>
        <v/>
      </c>
      <c r="I117" s="28" t="str">
        <f>IF(ISNUMBER(G117), $B118 * H117, "")</f>
        <v/>
      </c>
      <c r="J117" s="30"/>
      <c r="K117" s="31" t="str">
        <f t="shared" si="60"/>
        <v/>
      </c>
      <c r="L117" s="28" t="str">
        <f>IF(ISNUMBER(J117), $B118 * K117, "")</f>
        <v/>
      </c>
      <c r="M117" s="30"/>
      <c r="N117" s="31" t="str">
        <f t="shared" si="61"/>
        <v/>
      </c>
      <c r="O117" s="28" t="str">
        <f>IF(ISNUMBER(M117), $B118 * N117, "")</f>
        <v/>
      </c>
      <c r="Q117" s="105"/>
      <c r="R117" s="106"/>
      <c r="S117" s="107"/>
    </row>
    <row r="118" spans="1:19" ht="17.25" thickBot="1">
      <c r="A118" s="39" t="s">
        <v>46</v>
      </c>
      <c r="B118" s="120">
        <v>100000</v>
      </c>
      <c r="C118" s="121"/>
      <c r="D118" s="39" t="s">
        <v>47</v>
      </c>
      <c r="E118" s="40">
        <f>IF(COUNT(E98:E117), SUM(E98:E117) / COUNT(E98:E117), 0)</f>
        <v>0</v>
      </c>
      <c r="F118" s="41">
        <f>SUM(F98:F117)</f>
        <v>0</v>
      </c>
      <c r="G118" s="39" t="s">
        <v>47</v>
      </c>
      <c r="H118" s="40">
        <f>IF(COUNT(H98:H117), SUM(H98:H117) / COUNT(H98:H117), 0)</f>
        <v>0</v>
      </c>
      <c r="I118" s="41">
        <f>SUM(I98:I117)</f>
        <v>0</v>
      </c>
      <c r="J118" s="39" t="s">
        <v>47</v>
      </c>
      <c r="K118" s="40">
        <f>IF(COUNT(K98:K117), SUM(K98:K117) / COUNT(K98:K117), 0)</f>
        <v>0</v>
      </c>
      <c r="L118" s="41">
        <f>SUM(L98:L117)</f>
        <v>0</v>
      </c>
      <c r="M118" s="39" t="s">
        <v>47</v>
      </c>
      <c r="N118" s="40">
        <f>IF(COUNT(N98:N117), SUM(N98:N117) / COUNT(N98:N117), 0)</f>
        <v>0</v>
      </c>
      <c r="O118" s="41">
        <f>SUM(O98:O117)</f>
        <v>0</v>
      </c>
      <c r="Q118" s="108"/>
      <c r="R118" s="109"/>
      <c r="S118" s="110"/>
    </row>
    <row r="120" spans="1:19" ht="17.25" thickBot="1"/>
    <row r="121" spans="1:19" ht="17.25" thickBot="1">
      <c r="A121" s="122" t="s">
        <v>298</v>
      </c>
      <c r="B121" s="123"/>
      <c r="C121" s="123"/>
      <c r="D121" s="123"/>
      <c r="E121" s="123"/>
      <c r="F121" s="123"/>
      <c r="G121" s="123"/>
      <c r="H121" s="123"/>
      <c r="I121" s="123"/>
      <c r="J121" s="123"/>
      <c r="K121" s="123"/>
      <c r="L121" s="123"/>
      <c r="M121" s="123"/>
      <c r="N121" s="123"/>
      <c r="O121" s="124"/>
      <c r="Q121" s="111"/>
      <c r="R121" s="112"/>
      <c r="S121" s="113"/>
    </row>
    <row r="122" spans="1:19" ht="17.25" thickBot="1">
      <c r="A122" s="10" t="s">
        <v>35</v>
      </c>
      <c r="B122" s="122" t="s">
        <v>36</v>
      </c>
      <c r="C122" s="124"/>
      <c r="D122" s="122" t="s">
        <v>37</v>
      </c>
      <c r="E122" s="123"/>
      <c r="F122" s="124"/>
      <c r="G122" s="125">
        <f>_xlfn.IFNA(VLOOKUP(B122, 현재가테이블!$B$2:$D$200, 2, FALSE), "-")</f>
        <v>78003000</v>
      </c>
      <c r="H122" s="126"/>
      <c r="I122" s="127"/>
      <c r="J122" s="122" t="s">
        <v>38</v>
      </c>
      <c r="K122" s="123"/>
      <c r="L122" s="124"/>
      <c r="M122" s="128">
        <f>_xlfn.IFNA(VLOOKUP(B122, 현재가테이블!$B$2:$D$200, 3, FALSE), "-")</f>
        <v>-6.7108111999999998E-3</v>
      </c>
      <c r="N122" s="129"/>
      <c r="O122" s="130"/>
      <c r="Q122" s="114"/>
      <c r="R122" s="115"/>
      <c r="S122" s="116"/>
    </row>
    <row r="123" spans="1:19" ht="17.25" thickBot="1">
      <c r="A123" s="131" t="s">
        <v>39</v>
      </c>
      <c r="B123" s="132" t="s">
        <v>40</v>
      </c>
      <c r="C123" s="133"/>
      <c r="D123" s="134" t="s">
        <v>41</v>
      </c>
      <c r="E123" s="135"/>
      <c r="F123" s="136"/>
      <c r="G123" s="134" t="s">
        <v>42</v>
      </c>
      <c r="H123" s="135"/>
      <c r="I123" s="136"/>
      <c r="J123" s="137" t="s">
        <v>43</v>
      </c>
      <c r="K123" s="137"/>
      <c r="L123" s="137"/>
      <c r="M123" s="134" t="s">
        <v>40</v>
      </c>
      <c r="N123" s="135"/>
      <c r="O123" s="136"/>
      <c r="Q123" s="117"/>
      <c r="R123" s="118"/>
      <c r="S123" s="119"/>
    </row>
    <row r="124" spans="1:19" ht="17.25" thickBot="1">
      <c r="A124" s="131"/>
      <c r="B124" s="2" t="s">
        <v>37</v>
      </c>
      <c r="C124" s="12" t="s">
        <v>38</v>
      </c>
      <c r="D124" s="2" t="s">
        <v>37</v>
      </c>
      <c r="E124" s="12" t="s">
        <v>44</v>
      </c>
      <c r="F124" s="13" t="s">
        <v>45</v>
      </c>
      <c r="G124" s="2" t="s">
        <v>37</v>
      </c>
      <c r="H124" s="12" t="s">
        <v>44</v>
      </c>
      <c r="I124" s="13" t="s">
        <v>45</v>
      </c>
      <c r="J124" s="12" t="s">
        <v>37</v>
      </c>
      <c r="K124" s="12" t="s">
        <v>44</v>
      </c>
      <c r="L124" s="17" t="s">
        <v>45</v>
      </c>
      <c r="M124" s="2" t="s">
        <v>37</v>
      </c>
      <c r="N124" s="12" t="s">
        <v>44</v>
      </c>
      <c r="O124" s="18" t="s">
        <v>45</v>
      </c>
      <c r="Q124" s="98"/>
      <c r="R124" s="98"/>
      <c r="S124" s="98"/>
    </row>
    <row r="125" spans="1:19" ht="17.25" thickBot="1">
      <c r="A125" s="45"/>
      <c r="B125" s="46"/>
      <c r="C125" s="21"/>
      <c r="D125" s="20"/>
      <c r="E125" s="21" t="str">
        <f>IF(ISNUMBER(D125), (D125 - $B125) / $B125, "")</f>
        <v/>
      </c>
      <c r="F125" s="26" t="str">
        <f>IF(ISNUMBER(D125), $B145 * E125, "")</f>
        <v/>
      </c>
      <c r="G125" s="20"/>
      <c r="H125" s="21" t="str">
        <f>IF(ISNUMBER(G125), (G125 - $B125) / $B125, "")</f>
        <v/>
      </c>
      <c r="I125" s="26" t="str">
        <f>IF(ISNUMBER(G125), $B145 * H125, "")</f>
        <v/>
      </c>
      <c r="J125" s="20"/>
      <c r="K125" s="21" t="str">
        <f>IF(ISNUMBER(J125), (J125 - $B125) / $B125, "")</f>
        <v/>
      </c>
      <c r="L125" s="26" t="str">
        <f>IF(ISNUMBER(J125), $B145 * K125, "")</f>
        <v/>
      </c>
      <c r="M125" s="20"/>
      <c r="N125" s="21" t="str">
        <f>IF(ISNUMBER(M125), (M125 - $B125) / $B125, "")</f>
        <v/>
      </c>
      <c r="O125" s="26" t="str">
        <f>IF(ISNUMBER(M125), $B145 * N125, "")</f>
        <v/>
      </c>
      <c r="Q125" s="99"/>
      <c r="R125" s="99"/>
      <c r="S125" s="99"/>
    </row>
    <row r="126" spans="1:19" ht="17.25" thickBot="1">
      <c r="A126" s="47"/>
      <c r="B126" s="48"/>
      <c r="C126" s="24"/>
      <c r="D126" s="23"/>
      <c r="E126" s="24" t="str">
        <f t="shared" ref="E126:E129" si="62">IF(ISNUMBER(D126), (D126 - $B126) / $B126, "")</f>
        <v/>
      </c>
      <c r="F126" s="28" t="str">
        <f>IF(ISNUMBER(D126), $B145 * E126, "")</f>
        <v/>
      </c>
      <c r="G126" s="23"/>
      <c r="H126" s="24" t="str">
        <f t="shared" ref="H126:H129" si="63">IF(ISNUMBER(G126), (G126 - $B126) / $B126, "")</f>
        <v/>
      </c>
      <c r="I126" s="28" t="str">
        <f>IF(ISNUMBER(G126), $B145 * H126, "")</f>
        <v/>
      </c>
      <c r="J126" s="23"/>
      <c r="K126" s="24" t="str">
        <f t="shared" ref="K126:K129" si="64">IF(ISNUMBER(J126), (J126 - $B126) / $B126, "")</f>
        <v/>
      </c>
      <c r="L126" s="28" t="str">
        <f>IF(ISNUMBER(J126), $B145 * K126, "")</f>
        <v/>
      </c>
      <c r="M126" s="23"/>
      <c r="N126" s="24" t="str">
        <f t="shared" ref="N126:N129" si="65">IF(ISNUMBER(M126), (M126 - $B126) / $B126, "")</f>
        <v/>
      </c>
      <c r="O126" s="28" t="str">
        <f>IF(ISNUMBER(M126), $B145 * N126, "")</f>
        <v/>
      </c>
      <c r="Q126" s="99"/>
      <c r="R126" s="99"/>
      <c r="S126" s="99"/>
    </row>
    <row r="127" spans="1:19" ht="17.25" thickBot="1">
      <c r="A127" s="47"/>
      <c r="B127" s="48"/>
      <c r="C127" s="24"/>
      <c r="D127" s="23"/>
      <c r="E127" s="24" t="str">
        <f t="shared" si="62"/>
        <v/>
      </c>
      <c r="F127" s="28" t="str">
        <f>IF(ISNUMBER(D127), $B145 * E127, "")</f>
        <v/>
      </c>
      <c r="G127" s="23"/>
      <c r="H127" s="24" t="str">
        <f t="shared" si="63"/>
        <v/>
      </c>
      <c r="I127" s="28" t="str">
        <f>IF(ISNUMBER(G127), $B145 * H127, "")</f>
        <v/>
      </c>
      <c r="J127" s="23"/>
      <c r="K127" s="24" t="str">
        <f t="shared" si="64"/>
        <v/>
      </c>
      <c r="L127" s="28" t="str">
        <f>IF(ISNUMBER(J127), $B145 * K127, "")</f>
        <v/>
      </c>
      <c r="M127" s="23"/>
      <c r="N127" s="24" t="str">
        <f t="shared" si="65"/>
        <v/>
      </c>
      <c r="O127" s="28" t="str">
        <f>IF(ISNUMBER(M127), $B145 * N127, "")</f>
        <v/>
      </c>
      <c r="Q127" s="100"/>
      <c r="R127" s="100"/>
      <c r="S127" s="100"/>
    </row>
    <row r="128" spans="1:19" ht="17.25" thickBot="1">
      <c r="A128" s="47"/>
      <c r="B128" s="48"/>
      <c r="C128" s="24"/>
      <c r="D128" s="23"/>
      <c r="E128" s="24" t="str">
        <f t="shared" si="62"/>
        <v/>
      </c>
      <c r="F128" s="28" t="str">
        <f>IF(ISNUMBER(D128), $B145 * E128, "")</f>
        <v/>
      </c>
      <c r="G128" s="23"/>
      <c r="H128" s="24" t="str">
        <f t="shared" si="63"/>
        <v/>
      </c>
      <c r="I128" s="28" t="str">
        <f>IF(ISNUMBER(G128), $B145 * H128, "")</f>
        <v/>
      </c>
      <c r="J128" s="23"/>
      <c r="K128" s="24" t="str">
        <f t="shared" si="64"/>
        <v/>
      </c>
      <c r="L128" s="28" t="str">
        <f>IF(ISNUMBER(J128), $B145 * K128, "")</f>
        <v/>
      </c>
      <c r="M128" s="23"/>
      <c r="N128" s="24" t="str">
        <f t="shared" si="65"/>
        <v/>
      </c>
      <c r="O128" s="28" t="str">
        <f>IF(ISNUMBER(M128), $B145 * N128, "")</f>
        <v/>
      </c>
      <c r="Q128" s="100"/>
      <c r="R128" s="100"/>
      <c r="S128" s="100"/>
    </row>
    <row r="129" spans="1:19" ht="17.25" thickBot="1">
      <c r="A129" s="49"/>
      <c r="B129" s="50"/>
      <c r="C129" s="31"/>
      <c r="D129" s="30"/>
      <c r="E129" s="31" t="str">
        <f t="shared" si="62"/>
        <v/>
      </c>
      <c r="F129" s="33" t="str">
        <f>IF(ISNUMBER(D129), $B145 * E129, "")</f>
        <v/>
      </c>
      <c r="G129" s="30"/>
      <c r="H129" s="31" t="str">
        <f t="shared" si="63"/>
        <v/>
      </c>
      <c r="I129" s="33" t="str">
        <f>IF(ISNUMBER(G129), $B145 * H129, "")</f>
        <v/>
      </c>
      <c r="J129" s="30"/>
      <c r="K129" s="31" t="str">
        <f t="shared" si="64"/>
        <v/>
      </c>
      <c r="L129" s="33" t="str">
        <f>IF(ISNUMBER(J129), $B145 * K129, "")</f>
        <v/>
      </c>
      <c r="M129" s="30"/>
      <c r="N129" s="31" t="str">
        <f t="shared" si="65"/>
        <v/>
      </c>
      <c r="O129" s="33" t="str">
        <f>IF(ISNUMBER(M129), $B145 * N129, "")</f>
        <v/>
      </c>
      <c r="Q129" s="101"/>
      <c r="R129" s="101"/>
      <c r="S129" s="101"/>
    </row>
    <row r="130" spans="1:19">
      <c r="A130" s="47"/>
      <c r="B130" s="51"/>
      <c r="C130" s="52"/>
      <c r="D130" s="23"/>
      <c r="E130" s="52" t="str">
        <f>IF(ISNUMBER(D130), (D130 - $B130) / $B130, "")</f>
        <v/>
      </c>
      <c r="F130" s="28" t="str">
        <f>IF(ISNUMBER(D130), $B145 * E130, "")</f>
        <v/>
      </c>
      <c r="G130" s="23"/>
      <c r="H130" s="52" t="str">
        <f>IF(ISNUMBER(G130), (G130 - $B130) / $B130, "")</f>
        <v/>
      </c>
      <c r="I130" s="28" t="str">
        <f>IF(ISNUMBER(G130), $B145 * H130, "")</f>
        <v/>
      </c>
      <c r="J130" s="23"/>
      <c r="K130" s="52" t="str">
        <f>IF(ISNUMBER(J130), (J130 - $B130) / $B130, "")</f>
        <v/>
      </c>
      <c r="L130" s="28" t="str">
        <f>IF(ISNUMBER(J130), $B145 * K130, "")</f>
        <v/>
      </c>
      <c r="M130" s="23"/>
      <c r="N130" s="52" t="str">
        <f>IF(ISNUMBER(M130), (M130 - $B130) / $B130, "")</f>
        <v/>
      </c>
      <c r="O130" s="28" t="str">
        <f>IF(ISNUMBER(M130), $B145 * N130, "")</f>
        <v/>
      </c>
      <c r="Q130" s="102"/>
      <c r="R130" s="103"/>
      <c r="S130" s="104"/>
    </row>
    <row r="131" spans="1:19">
      <c r="A131" s="47"/>
      <c r="B131" s="48"/>
      <c r="C131" s="24"/>
      <c r="D131" s="23"/>
      <c r="E131" s="24" t="str">
        <f t="shared" ref="E131:E134" si="66">IF(ISNUMBER(D131), (D131 - $B131) / $B131, "")</f>
        <v/>
      </c>
      <c r="F131" s="28" t="str">
        <f>IF(ISNUMBER(D131), $B145 * E131, "")</f>
        <v/>
      </c>
      <c r="G131" s="23"/>
      <c r="H131" s="24" t="str">
        <f t="shared" ref="H131:H134" si="67">IF(ISNUMBER(G131), (G131 - $B131) / $B131, "")</f>
        <v/>
      </c>
      <c r="I131" s="28" t="str">
        <f>IF(ISNUMBER(G131), $B145 * H131, "")</f>
        <v/>
      </c>
      <c r="J131" s="23"/>
      <c r="K131" s="24" t="str">
        <f t="shared" ref="K131:K134" si="68">IF(ISNUMBER(J131), (J131 - $B131) / $B131, "")</f>
        <v/>
      </c>
      <c r="L131" s="28" t="str">
        <f>IF(ISNUMBER(J131), $B145 * K131, "")</f>
        <v/>
      </c>
      <c r="M131" s="23"/>
      <c r="N131" s="24" t="str">
        <f t="shared" ref="N131:N134" si="69">IF(ISNUMBER(M131), (M131 - $B131) / $B131, "")</f>
        <v/>
      </c>
      <c r="O131" s="28" t="str">
        <f>IF(ISNUMBER(M131), $B145 * N131, "")</f>
        <v/>
      </c>
      <c r="Q131" s="105"/>
      <c r="R131" s="106"/>
      <c r="S131" s="107"/>
    </row>
    <row r="132" spans="1:19" ht="17.25" thickBot="1">
      <c r="A132" s="47"/>
      <c r="B132" s="48"/>
      <c r="C132" s="24"/>
      <c r="D132" s="23"/>
      <c r="E132" s="24" t="str">
        <f t="shared" si="66"/>
        <v/>
      </c>
      <c r="F132" s="28" t="str">
        <f>IF(ISNUMBER(D132), $B145 * E132, "")</f>
        <v/>
      </c>
      <c r="G132" s="23"/>
      <c r="H132" s="24" t="str">
        <f t="shared" si="67"/>
        <v/>
      </c>
      <c r="I132" s="28" t="str">
        <f>IF(ISNUMBER(G132), $B145 * H132, "")</f>
        <v/>
      </c>
      <c r="J132" s="23"/>
      <c r="K132" s="24" t="str">
        <f t="shared" si="68"/>
        <v/>
      </c>
      <c r="L132" s="28" t="str">
        <f>IF(ISNUMBER(J132), $B145 * K132, "")</f>
        <v/>
      </c>
      <c r="M132" s="23"/>
      <c r="N132" s="24" t="str">
        <f t="shared" si="69"/>
        <v/>
      </c>
      <c r="O132" s="28" t="str">
        <f>IF(ISNUMBER(M132), $B145 * N132, "")</f>
        <v/>
      </c>
      <c r="Q132" s="108"/>
      <c r="R132" s="109"/>
      <c r="S132" s="110"/>
    </row>
    <row r="133" spans="1:19" ht="17.25" thickBot="1">
      <c r="A133" s="47"/>
      <c r="B133" s="48"/>
      <c r="C133" s="24"/>
      <c r="D133" s="23"/>
      <c r="E133" s="24" t="str">
        <f t="shared" si="66"/>
        <v/>
      </c>
      <c r="F133" s="28" t="str">
        <f>IF(ISNUMBER(D133), $B145 * E133, "")</f>
        <v/>
      </c>
      <c r="G133" s="23"/>
      <c r="H133" s="24" t="str">
        <f t="shared" si="67"/>
        <v/>
      </c>
      <c r="I133" s="28" t="str">
        <f>IF(ISNUMBER(G133), $B145 * H133, "")</f>
        <v/>
      </c>
      <c r="J133" s="23"/>
      <c r="K133" s="24" t="str">
        <f t="shared" si="68"/>
        <v/>
      </c>
      <c r="L133" s="28" t="str">
        <f>IF(ISNUMBER(J133), $B145 * K133, "")</f>
        <v/>
      </c>
      <c r="M133" s="23"/>
      <c r="N133" s="24" t="str">
        <f t="shared" si="69"/>
        <v/>
      </c>
      <c r="O133" s="28" t="str">
        <f>IF(ISNUMBER(M133), $B145 * N133, "")</f>
        <v/>
      </c>
    </row>
    <row r="134" spans="1:19" ht="17.25" thickBot="1">
      <c r="A134" s="49"/>
      <c r="B134" s="50"/>
      <c r="C134" s="31"/>
      <c r="D134" s="30"/>
      <c r="E134" s="31" t="str">
        <f t="shared" si="66"/>
        <v/>
      </c>
      <c r="F134" s="28" t="str">
        <f>IF(ISNUMBER(D134), $B145 * E134, "")</f>
        <v/>
      </c>
      <c r="G134" s="30"/>
      <c r="H134" s="31" t="str">
        <f t="shared" si="67"/>
        <v/>
      </c>
      <c r="I134" s="28" t="str">
        <f>IF(ISNUMBER(G134), $B145 * H134, "")</f>
        <v/>
      </c>
      <c r="J134" s="30"/>
      <c r="K134" s="31" t="str">
        <f t="shared" si="68"/>
        <v/>
      </c>
      <c r="L134" s="28" t="str">
        <f>IF(ISNUMBER(J134), $B145 * K134, "")</f>
        <v/>
      </c>
      <c r="M134" s="30"/>
      <c r="N134" s="31" t="str">
        <f t="shared" si="69"/>
        <v/>
      </c>
      <c r="O134" s="28" t="str">
        <f>IF(ISNUMBER(M134), $B145 * N134, "")</f>
        <v/>
      </c>
      <c r="Q134" s="111"/>
      <c r="R134" s="112"/>
      <c r="S134" s="113"/>
    </row>
    <row r="135" spans="1:19">
      <c r="A135" s="45"/>
      <c r="B135" s="46"/>
      <c r="C135" s="21"/>
      <c r="D135" s="20"/>
      <c r="E135" s="21" t="str">
        <f>IF(ISNUMBER(D135), (D135 - $B135) / $B135, "")</f>
        <v/>
      </c>
      <c r="F135" s="26" t="str">
        <f>IF(ISNUMBER(D135), $B145 * E135, "")</f>
        <v/>
      </c>
      <c r="G135" s="20"/>
      <c r="H135" s="21" t="str">
        <f>IF(ISNUMBER(G135), (G135 - $B135) / $B135, "")</f>
        <v/>
      </c>
      <c r="I135" s="26" t="str">
        <f>IF(ISNUMBER(G135), $B145 * H135, "")</f>
        <v/>
      </c>
      <c r="J135" s="20"/>
      <c r="K135" s="21" t="str">
        <f>IF(ISNUMBER(J135), (J135 - $B135) / $B135, "")</f>
        <v/>
      </c>
      <c r="L135" s="26" t="str">
        <f>IF(ISNUMBER(J135), $B145 * K135, "")</f>
        <v/>
      </c>
      <c r="M135" s="20"/>
      <c r="N135" s="21" t="str">
        <f>IF(ISNUMBER(M135), (M135 - $B135) / $B135, "")</f>
        <v/>
      </c>
      <c r="O135" s="26" t="str">
        <f>IF(ISNUMBER(M135), $B145 * N135, "")</f>
        <v/>
      </c>
      <c r="Q135" s="114"/>
      <c r="R135" s="115"/>
      <c r="S135" s="116"/>
    </row>
    <row r="136" spans="1:19" ht="17.25" thickBot="1">
      <c r="A136" s="47"/>
      <c r="B136" s="48"/>
      <c r="C136" s="24"/>
      <c r="D136" s="23"/>
      <c r="E136" s="24" t="str">
        <f t="shared" ref="E136:E139" si="70">IF(ISNUMBER(D136), (D136 - $B136) / $B136, "")</f>
        <v/>
      </c>
      <c r="F136" s="28" t="str">
        <f>IF(ISNUMBER(D136), $B145 * E136, "")</f>
        <v/>
      </c>
      <c r="G136" s="23"/>
      <c r="H136" s="24" t="str">
        <f t="shared" ref="H136:H139" si="71">IF(ISNUMBER(G136), (G136 - $B136) / $B136, "")</f>
        <v/>
      </c>
      <c r="I136" s="28" t="str">
        <f>IF(ISNUMBER(G136), $B145 * H136, "")</f>
        <v/>
      </c>
      <c r="J136" s="23"/>
      <c r="K136" s="24" t="str">
        <f t="shared" ref="K136:K139" si="72">IF(ISNUMBER(J136), (J136 - $B136) / $B136, "")</f>
        <v/>
      </c>
      <c r="L136" s="28" t="str">
        <f>IF(ISNUMBER(J136), $B145 * K136, "")</f>
        <v/>
      </c>
      <c r="M136" s="23"/>
      <c r="N136" s="24" t="str">
        <f t="shared" ref="N136:N139" si="73">IF(ISNUMBER(M136), (M136 - $B136) / $B136, "")</f>
        <v/>
      </c>
      <c r="O136" s="28" t="str">
        <f>IF(ISNUMBER(M136), $B145 * N136, "")</f>
        <v/>
      </c>
      <c r="Q136" s="117"/>
      <c r="R136" s="118"/>
      <c r="S136" s="119"/>
    </row>
    <row r="137" spans="1:19" ht="17.25" thickBot="1">
      <c r="A137" s="47"/>
      <c r="B137" s="48"/>
      <c r="C137" s="24"/>
      <c r="D137" s="23"/>
      <c r="E137" s="24" t="str">
        <f t="shared" si="70"/>
        <v/>
      </c>
      <c r="F137" s="28" t="str">
        <f>IF(ISNUMBER(D137), $B145 * E137, "")</f>
        <v/>
      </c>
      <c r="G137" s="23"/>
      <c r="H137" s="24" t="str">
        <f t="shared" si="71"/>
        <v/>
      </c>
      <c r="I137" s="28" t="str">
        <f>IF(ISNUMBER(G137), $B145 * H137, "")</f>
        <v/>
      </c>
      <c r="J137" s="23"/>
      <c r="K137" s="24" t="str">
        <f t="shared" si="72"/>
        <v/>
      </c>
      <c r="L137" s="28" t="str">
        <f>IF(ISNUMBER(J137), $B145 * K137, "")</f>
        <v/>
      </c>
      <c r="M137" s="23"/>
      <c r="N137" s="24" t="str">
        <f t="shared" si="73"/>
        <v/>
      </c>
      <c r="O137" s="28" t="str">
        <f>IF(ISNUMBER(M137), $B145 * N137, "")</f>
        <v/>
      </c>
      <c r="Q137" s="98"/>
      <c r="R137" s="98"/>
      <c r="S137" s="98"/>
    </row>
    <row r="138" spans="1:19" ht="17.25" thickBot="1">
      <c r="A138" s="47"/>
      <c r="B138" s="48"/>
      <c r="C138" s="24"/>
      <c r="D138" s="23"/>
      <c r="E138" s="24" t="str">
        <f t="shared" si="70"/>
        <v/>
      </c>
      <c r="F138" s="28" t="str">
        <f>IF(ISNUMBER(D138), $B145 * E138, "")</f>
        <v/>
      </c>
      <c r="G138" s="23"/>
      <c r="H138" s="24" t="str">
        <f t="shared" si="71"/>
        <v/>
      </c>
      <c r="I138" s="28" t="str">
        <f>IF(ISNUMBER(G138), $B145 * H138, "")</f>
        <v/>
      </c>
      <c r="J138" s="23"/>
      <c r="K138" s="24" t="str">
        <f t="shared" si="72"/>
        <v/>
      </c>
      <c r="L138" s="28" t="str">
        <f>IF(ISNUMBER(J138), $B145 * K138, "")</f>
        <v/>
      </c>
      <c r="M138" s="23"/>
      <c r="N138" s="24" t="str">
        <f t="shared" si="73"/>
        <v/>
      </c>
      <c r="O138" s="28" t="str">
        <f>IF(ISNUMBER(M138), $B145 * N138, "")</f>
        <v/>
      </c>
      <c r="Q138" s="99"/>
      <c r="R138" s="99"/>
      <c r="S138" s="99"/>
    </row>
    <row r="139" spans="1:19" ht="17.25" thickBot="1">
      <c r="A139" s="49"/>
      <c r="B139" s="50"/>
      <c r="C139" s="31"/>
      <c r="D139" s="30"/>
      <c r="E139" s="31" t="str">
        <f t="shared" si="70"/>
        <v/>
      </c>
      <c r="F139" s="33" t="str">
        <f>IF(ISNUMBER(D139), $B145 * E139, "")</f>
        <v/>
      </c>
      <c r="G139" s="30"/>
      <c r="H139" s="31" t="str">
        <f t="shared" si="71"/>
        <v/>
      </c>
      <c r="I139" s="33" t="str">
        <f>IF(ISNUMBER(G139), $B145 * H139, "")</f>
        <v/>
      </c>
      <c r="J139" s="30"/>
      <c r="K139" s="31" t="str">
        <f t="shared" si="72"/>
        <v/>
      </c>
      <c r="L139" s="33" t="str">
        <f>IF(ISNUMBER(J139), $B145 * K139, "")</f>
        <v/>
      </c>
      <c r="M139" s="30"/>
      <c r="N139" s="31" t="str">
        <f t="shared" si="73"/>
        <v/>
      </c>
      <c r="O139" s="33" t="str">
        <f>IF(ISNUMBER(M139), $B145 * N139, "")</f>
        <v/>
      </c>
      <c r="Q139" s="99"/>
      <c r="R139" s="99"/>
      <c r="S139" s="99"/>
    </row>
    <row r="140" spans="1:19" ht="17.25" thickBot="1">
      <c r="A140" s="47"/>
      <c r="B140" s="51"/>
      <c r="C140" s="52"/>
      <c r="D140" s="23"/>
      <c r="E140" s="52" t="str">
        <f>IF(ISNUMBER(D140), (D140 - $B140) / $B140, "")</f>
        <v/>
      </c>
      <c r="F140" s="28" t="str">
        <f>IF(ISNUMBER(D140), $B145 * E140, "")</f>
        <v/>
      </c>
      <c r="G140" s="23"/>
      <c r="H140" s="52" t="str">
        <f>IF(ISNUMBER(G140), (G140 - $B140) / $B140, "")</f>
        <v/>
      </c>
      <c r="I140" s="28" t="str">
        <f>IF(ISNUMBER(G140), $B145 * H140, "")</f>
        <v/>
      </c>
      <c r="J140" s="23"/>
      <c r="K140" s="52" t="str">
        <f>IF(ISNUMBER(J140), (J140 - $B140) / $B140, "")</f>
        <v/>
      </c>
      <c r="L140" s="28" t="str">
        <f>IF(ISNUMBER(J140), $B145 * K140, "")</f>
        <v/>
      </c>
      <c r="M140" s="23"/>
      <c r="N140" s="52" t="str">
        <f>IF(ISNUMBER(M140), (M140 - $B140) / $B140, "")</f>
        <v/>
      </c>
      <c r="O140" s="28" t="str">
        <f>IF(ISNUMBER(M140), $B145 * N140, "")</f>
        <v/>
      </c>
      <c r="Q140" s="100"/>
      <c r="R140" s="100"/>
      <c r="S140" s="100"/>
    </row>
    <row r="141" spans="1:19" ht="17.25" thickBot="1">
      <c r="A141" s="47"/>
      <c r="B141" s="48"/>
      <c r="C141" s="24"/>
      <c r="D141" s="23"/>
      <c r="E141" s="24" t="str">
        <f t="shared" ref="E141:E144" si="74">IF(ISNUMBER(D141), (D141 - $B141) / $B141, "")</f>
        <v/>
      </c>
      <c r="F141" s="28" t="str">
        <f>IF(ISNUMBER(D141), $B145 * E141, "")</f>
        <v/>
      </c>
      <c r="G141" s="23"/>
      <c r="H141" s="24" t="str">
        <f t="shared" ref="H141:H144" si="75">IF(ISNUMBER(G141), (G141 - $B141) / $B141, "")</f>
        <v/>
      </c>
      <c r="I141" s="28" t="str">
        <f>IF(ISNUMBER(G141), $B145 * H141, "")</f>
        <v/>
      </c>
      <c r="J141" s="23"/>
      <c r="K141" s="24" t="str">
        <f t="shared" ref="K141:K144" si="76">IF(ISNUMBER(J141), (J141 - $B141) / $B141, "")</f>
        <v/>
      </c>
      <c r="L141" s="28" t="str">
        <f>IF(ISNUMBER(J141), $B145 * K141, "")</f>
        <v/>
      </c>
      <c r="M141" s="23"/>
      <c r="N141" s="24" t="str">
        <f t="shared" ref="N141:N144" si="77">IF(ISNUMBER(M141), (M141 - $B141) / $B141, "")</f>
        <v/>
      </c>
      <c r="O141" s="28" t="str">
        <f>IF(ISNUMBER(M141), $B145 * N141, "")</f>
        <v/>
      </c>
      <c r="Q141" s="100"/>
      <c r="R141" s="100"/>
      <c r="S141" s="100"/>
    </row>
    <row r="142" spans="1:19" ht="17.25" thickBot="1">
      <c r="A142" s="47"/>
      <c r="B142" s="48"/>
      <c r="C142" s="24"/>
      <c r="D142" s="23"/>
      <c r="E142" s="24" t="str">
        <f t="shared" si="74"/>
        <v/>
      </c>
      <c r="F142" s="28" t="str">
        <f>IF(ISNUMBER(D142), $B145 * E142, "")</f>
        <v/>
      </c>
      <c r="G142" s="23"/>
      <c r="H142" s="24" t="str">
        <f t="shared" si="75"/>
        <v/>
      </c>
      <c r="I142" s="28" t="str">
        <f>IF(ISNUMBER(G142), $B145 * H142, "")</f>
        <v/>
      </c>
      <c r="J142" s="23"/>
      <c r="K142" s="24" t="str">
        <f t="shared" si="76"/>
        <v/>
      </c>
      <c r="L142" s="28" t="str">
        <f>IF(ISNUMBER(J142), $B145 * K142, "")</f>
        <v/>
      </c>
      <c r="M142" s="23"/>
      <c r="N142" s="24" t="str">
        <f t="shared" si="77"/>
        <v/>
      </c>
      <c r="O142" s="28" t="str">
        <f>IF(ISNUMBER(M142), $B145 * N142, "")</f>
        <v/>
      </c>
      <c r="Q142" s="101"/>
      <c r="R142" s="101"/>
      <c r="S142" s="101"/>
    </row>
    <row r="143" spans="1:19">
      <c r="A143" s="47"/>
      <c r="B143" s="48"/>
      <c r="C143" s="24"/>
      <c r="D143" s="23"/>
      <c r="E143" s="24" t="str">
        <f t="shared" si="74"/>
        <v/>
      </c>
      <c r="F143" s="28" t="str">
        <f>IF(ISNUMBER(D143), $B145 * E143, "")</f>
        <v/>
      </c>
      <c r="G143" s="23"/>
      <c r="H143" s="24" t="str">
        <f t="shared" si="75"/>
        <v/>
      </c>
      <c r="I143" s="28" t="str">
        <f>IF(ISNUMBER(G143), $B145 * H143, "")</f>
        <v/>
      </c>
      <c r="J143" s="23"/>
      <c r="K143" s="24" t="str">
        <f t="shared" si="76"/>
        <v/>
      </c>
      <c r="L143" s="28" t="str">
        <f>IF(ISNUMBER(J143), $B145 * K143, "")</f>
        <v/>
      </c>
      <c r="M143" s="23"/>
      <c r="N143" s="24" t="str">
        <f t="shared" si="77"/>
        <v/>
      </c>
      <c r="O143" s="28" t="str">
        <f>IF(ISNUMBER(M143), $B145 * N143, "")</f>
        <v/>
      </c>
      <c r="Q143" s="102"/>
      <c r="R143" s="103"/>
      <c r="S143" s="104"/>
    </row>
    <row r="144" spans="1:19" ht="17.25" thickBot="1">
      <c r="A144" s="49"/>
      <c r="B144" s="50"/>
      <c r="C144" s="31"/>
      <c r="D144" s="30"/>
      <c r="E144" s="31" t="str">
        <f t="shared" si="74"/>
        <v/>
      </c>
      <c r="F144" s="28" t="str">
        <f>IF(ISNUMBER(D144), $B145 * E144, "")</f>
        <v/>
      </c>
      <c r="G144" s="30"/>
      <c r="H144" s="31" t="str">
        <f t="shared" si="75"/>
        <v/>
      </c>
      <c r="I144" s="28" t="str">
        <f>IF(ISNUMBER(G144), $B145 * H144, "")</f>
        <v/>
      </c>
      <c r="J144" s="30"/>
      <c r="K144" s="31" t="str">
        <f t="shared" si="76"/>
        <v/>
      </c>
      <c r="L144" s="28" t="str">
        <f>IF(ISNUMBER(J144), $B145 * K144, "")</f>
        <v/>
      </c>
      <c r="M144" s="30"/>
      <c r="N144" s="31" t="str">
        <f t="shared" si="77"/>
        <v/>
      </c>
      <c r="O144" s="28" t="str">
        <f>IF(ISNUMBER(M144), $B145 * N144, "")</f>
        <v/>
      </c>
      <c r="Q144" s="105"/>
      <c r="R144" s="106"/>
      <c r="S144" s="107"/>
    </row>
    <row r="145" spans="1:19" ht="17.25" thickBot="1">
      <c r="A145" s="39" t="s">
        <v>46</v>
      </c>
      <c r="B145" s="120">
        <v>100000</v>
      </c>
      <c r="C145" s="121"/>
      <c r="D145" s="39" t="s">
        <v>47</v>
      </c>
      <c r="E145" s="40">
        <f>IF(COUNT(E125:E144), SUM(E125:E144) / COUNT(E125:E144), 0)</f>
        <v>0</v>
      </c>
      <c r="F145" s="41">
        <f>SUM(F125:F144)</f>
        <v>0</v>
      </c>
      <c r="G145" s="39" t="s">
        <v>47</v>
      </c>
      <c r="H145" s="40">
        <f>IF(COUNT(H125:H144), SUM(H125:H144) / COUNT(H125:H144), 0)</f>
        <v>0</v>
      </c>
      <c r="I145" s="41">
        <f>SUM(I125:I144)</f>
        <v>0</v>
      </c>
      <c r="J145" s="39" t="s">
        <v>47</v>
      </c>
      <c r="K145" s="40">
        <f>IF(COUNT(K125:K144), SUM(K125:K144) / COUNT(K125:K144), 0)</f>
        <v>0</v>
      </c>
      <c r="L145" s="41">
        <f>SUM(L125:L144)</f>
        <v>0</v>
      </c>
      <c r="M145" s="39" t="s">
        <v>47</v>
      </c>
      <c r="N145" s="40">
        <f>IF(COUNT(N125:N144), SUM(N125:N144) / COUNT(N125:N144), 0)</f>
        <v>0</v>
      </c>
      <c r="O145" s="41">
        <f>SUM(O125:O144)</f>
        <v>0</v>
      </c>
      <c r="Q145" s="108"/>
      <c r="R145" s="109"/>
      <c r="S145" s="110"/>
    </row>
    <row r="147" spans="1:19" ht="17.25" thickBot="1"/>
    <row r="148" spans="1:19" ht="17.25" thickBot="1">
      <c r="A148" s="122" t="s">
        <v>299</v>
      </c>
      <c r="B148" s="123"/>
      <c r="C148" s="123"/>
      <c r="D148" s="123"/>
      <c r="E148" s="123"/>
      <c r="F148" s="123"/>
      <c r="G148" s="123"/>
      <c r="H148" s="123"/>
      <c r="I148" s="123"/>
      <c r="J148" s="123"/>
      <c r="K148" s="123"/>
      <c r="L148" s="123"/>
      <c r="M148" s="123"/>
      <c r="N148" s="123"/>
      <c r="O148" s="124"/>
      <c r="Q148" s="111"/>
      <c r="R148" s="112"/>
      <c r="S148" s="113"/>
    </row>
    <row r="149" spans="1:19" ht="17.25" thickBot="1">
      <c r="A149" s="10" t="s">
        <v>35</v>
      </c>
      <c r="B149" s="122" t="s">
        <v>36</v>
      </c>
      <c r="C149" s="124"/>
      <c r="D149" s="122" t="s">
        <v>37</v>
      </c>
      <c r="E149" s="123"/>
      <c r="F149" s="124"/>
      <c r="G149" s="125">
        <f>_xlfn.IFNA(VLOOKUP(B149, 현재가테이블!$B$2:$D$200, 2, FALSE), "-")</f>
        <v>78003000</v>
      </c>
      <c r="H149" s="126"/>
      <c r="I149" s="127"/>
      <c r="J149" s="122" t="s">
        <v>38</v>
      </c>
      <c r="K149" s="123"/>
      <c r="L149" s="124"/>
      <c r="M149" s="128">
        <f>_xlfn.IFNA(VLOOKUP(B149, 현재가테이블!$B$2:$D$200, 3, FALSE), "-")</f>
        <v>-6.7108111999999998E-3</v>
      </c>
      <c r="N149" s="129"/>
      <c r="O149" s="130"/>
      <c r="Q149" s="114"/>
      <c r="R149" s="115"/>
      <c r="S149" s="116"/>
    </row>
    <row r="150" spans="1:19" ht="17.25" thickBot="1">
      <c r="A150" s="131" t="s">
        <v>39</v>
      </c>
      <c r="B150" s="132" t="s">
        <v>40</v>
      </c>
      <c r="C150" s="133"/>
      <c r="D150" s="134" t="s">
        <v>41</v>
      </c>
      <c r="E150" s="135"/>
      <c r="F150" s="136"/>
      <c r="G150" s="134" t="s">
        <v>42</v>
      </c>
      <c r="H150" s="135"/>
      <c r="I150" s="136"/>
      <c r="J150" s="137" t="s">
        <v>43</v>
      </c>
      <c r="K150" s="137"/>
      <c r="L150" s="137"/>
      <c r="M150" s="134" t="s">
        <v>40</v>
      </c>
      <c r="N150" s="135"/>
      <c r="O150" s="136"/>
      <c r="Q150" s="117"/>
      <c r="R150" s="118"/>
      <c r="S150" s="119"/>
    </row>
    <row r="151" spans="1:19" ht="17.25" thickBot="1">
      <c r="A151" s="131"/>
      <c r="B151" s="2" t="s">
        <v>37</v>
      </c>
      <c r="C151" s="12" t="s">
        <v>38</v>
      </c>
      <c r="D151" s="2" t="s">
        <v>37</v>
      </c>
      <c r="E151" s="12" t="s">
        <v>44</v>
      </c>
      <c r="F151" s="13" t="s">
        <v>45</v>
      </c>
      <c r="G151" s="2" t="s">
        <v>37</v>
      </c>
      <c r="H151" s="12" t="s">
        <v>44</v>
      </c>
      <c r="I151" s="13" t="s">
        <v>45</v>
      </c>
      <c r="J151" s="12" t="s">
        <v>37</v>
      </c>
      <c r="K151" s="12" t="s">
        <v>44</v>
      </c>
      <c r="L151" s="17" t="s">
        <v>45</v>
      </c>
      <c r="M151" s="2" t="s">
        <v>37</v>
      </c>
      <c r="N151" s="12" t="s">
        <v>44</v>
      </c>
      <c r="O151" s="18" t="s">
        <v>45</v>
      </c>
      <c r="Q151" s="98"/>
      <c r="R151" s="98"/>
      <c r="S151" s="98"/>
    </row>
    <row r="152" spans="1:19" ht="17.25" thickBot="1">
      <c r="A152" s="45"/>
      <c r="B152" s="46"/>
      <c r="C152" s="21"/>
      <c r="D152" s="20"/>
      <c r="E152" s="21" t="str">
        <f>IF(ISNUMBER(D152), (D152 - $B152) / $B152, "")</f>
        <v/>
      </c>
      <c r="F152" s="26" t="str">
        <f>IF(ISNUMBER(D152), $B172 * E152, "")</f>
        <v/>
      </c>
      <c r="G152" s="20"/>
      <c r="H152" s="21" t="str">
        <f>IF(ISNUMBER(G152), (G152 - $B152) / $B152, "")</f>
        <v/>
      </c>
      <c r="I152" s="26" t="str">
        <f>IF(ISNUMBER(G152), $B172 * H152, "")</f>
        <v/>
      </c>
      <c r="J152" s="20"/>
      <c r="K152" s="21" t="str">
        <f>IF(ISNUMBER(J152), (J152 - $B152) / $B152, "")</f>
        <v/>
      </c>
      <c r="L152" s="26" t="str">
        <f>IF(ISNUMBER(J152), $B172 * K152, "")</f>
        <v/>
      </c>
      <c r="M152" s="20"/>
      <c r="N152" s="21" t="str">
        <f>IF(ISNUMBER(M152), (M152 - $B152) / $B152, "")</f>
        <v/>
      </c>
      <c r="O152" s="26" t="str">
        <f>IF(ISNUMBER(M152), $B172 * N152, "")</f>
        <v/>
      </c>
      <c r="Q152" s="99"/>
      <c r="R152" s="99"/>
      <c r="S152" s="99"/>
    </row>
    <row r="153" spans="1:19" ht="17.25" thickBot="1">
      <c r="A153" s="47"/>
      <c r="B153" s="48"/>
      <c r="C153" s="24"/>
      <c r="D153" s="23"/>
      <c r="E153" s="24" t="str">
        <f t="shared" ref="E153:E156" si="78">IF(ISNUMBER(D153), (D153 - $B153) / $B153, "")</f>
        <v/>
      </c>
      <c r="F153" s="28" t="str">
        <f>IF(ISNUMBER(D153), $B172 * E153, "")</f>
        <v/>
      </c>
      <c r="G153" s="23"/>
      <c r="H153" s="24" t="str">
        <f t="shared" ref="H153:H156" si="79">IF(ISNUMBER(G153), (G153 - $B153) / $B153, "")</f>
        <v/>
      </c>
      <c r="I153" s="28" t="str">
        <f>IF(ISNUMBER(G153), $B172 * H153, "")</f>
        <v/>
      </c>
      <c r="J153" s="23"/>
      <c r="K153" s="24" t="str">
        <f t="shared" ref="K153:K156" si="80">IF(ISNUMBER(J153), (J153 - $B153) / $B153, "")</f>
        <v/>
      </c>
      <c r="L153" s="28" t="str">
        <f>IF(ISNUMBER(J153), $B172 * K153, "")</f>
        <v/>
      </c>
      <c r="M153" s="23"/>
      <c r="N153" s="24" t="str">
        <f t="shared" ref="N153:N156" si="81">IF(ISNUMBER(M153), (M153 - $B153) / $B153, "")</f>
        <v/>
      </c>
      <c r="O153" s="28" t="str">
        <f>IF(ISNUMBER(M153), $B172 * N153, "")</f>
        <v/>
      </c>
      <c r="Q153" s="99"/>
      <c r="R153" s="99"/>
      <c r="S153" s="99"/>
    </row>
    <row r="154" spans="1:19" ht="17.25" thickBot="1">
      <c r="A154" s="47"/>
      <c r="B154" s="48"/>
      <c r="C154" s="24"/>
      <c r="D154" s="23"/>
      <c r="E154" s="24" t="str">
        <f t="shared" si="78"/>
        <v/>
      </c>
      <c r="F154" s="28" t="str">
        <f>IF(ISNUMBER(D154), $B172 * E154, "")</f>
        <v/>
      </c>
      <c r="G154" s="23"/>
      <c r="H154" s="24" t="str">
        <f t="shared" si="79"/>
        <v/>
      </c>
      <c r="I154" s="28" t="str">
        <f>IF(ISNUMBER(G154), $B172 * H154, "")</f>
        <v/>
      </c>
      <c r="J154" s="23"/>
      <c r="K154" s="24" t="str">
        <f t="shared" si="80"/>
        <v/>
      </c>
      <c r="L154" s="28" t="str">
        <f>IF(ISNUMBER(J154), $B172 * K154, "")</f>
        <v/>
      </c>
      <c r="M154" s="23"/>
      <c r="N154" s="24" t="str">
        <f t="shared" si="81"/>
        <v/>
      </c>
      <c r="O154" s="28" t="str">
        <f>IF(ISNUMBER(M154), $B172 * N154, "")</f>
        <v/>
      </c>
      <c r="Q154" s="100"/>
      <c r="R154" s="100"/>
      <c r="S154" s="100"/>
    </row>
    <row r="155" spans="1:19" ht="17.25" thickBot="1">
      <c r="A155" s="47"/>
      <c r="B155" s="48"/>
      <c r="C155" s="24"/>
      <c r="D155" s="23"/>
      <c r="E155" s="24" t="str">
        <f t="shared" si="78"/>
        <v/>
      </c>
      <c r="F155" s="28" t="str">
        <f>IF(ISNUMBER(D155), $B172 * E155, "")</f>
        <v/>
      </c>
      <c r="G155" s="23"/>
      <c r="H155" s="24" t="str">
        <f t="shared" si="79"/>
        <v/>
      </c>
      <c r="I155" s="28" t="str">
        <f>IF(ISNUMBER(G155), $B172 * H155, "")</f>
        <v/>
      </c>
      <c r="J155" s="23"/>
      <c r="K155" s="24" t="str">
        <f t="shared" si="80"/>
        <v/>
      </c>
      <c r="L155" s="28" t="str">
        <f>IF(ISNUMBER(J155), $B172 * K155, "")</f>
        <v/>
      </c>
      <c r="M155" s="23"/>
      <c r="N155" s="24" t="str">
        <f t="shared" si="81"/>
        <v/>
      </c>
      <c r="O155" s="28" t="str">
        <f>IF(ISNUMBER(M155), $B172 * N155, "")</f>
        <v/>
      </c>
      <c r="Q155" s="100"/>
      <c r="R155" s="100"/>
      <c r="S155" s="100"/>
    </row>
    <row r="156" spans="1:19" ht="17.25" thickBot="1">
      <c r="A156" s="49"/>
      <c r="B156" s="50"/>
      <c r="C156" s="31"/>
      <c r="D156" s="30"/>
      <c r="E156" s="31" t="str">
        <f t="shared" si="78"/>
        <v/>
      </c>
      <c r="F156" s="33" t="str">
        <f>IF(ISNUMBER(D156), $B172 * E156, "")</f>
        <v/>
      </c>
      <c r="G156" s="30"/>
      <c r="H156" s="31" t="str">
        <f t="shared" si="79"/>
        <v/>
      </c>
      <c r="I156" s="33" t="str">
        <f>IF(ISNUMBER(G156), $B172 * H156, "")</f>
        <v/>
      </c>
      <c r="J156" s="30"/>
      <c r="K156" s="31" t="str">
        <f t="shared" si="80"/>
        <v/>
      </c>
      <c r="L156" s="33" t="str">
        <f>IF(ISNUMBER(J156), $B172 * K156, "")</f>
        <v/>
      </c>
      <c r="M156" s="30"/>
      <c r="N156" s="31" t="str">
        <f t="shared" si="81"/>
        <v/>
      </c>
      <c r="O156" s="33" t="str">
        <f>IF(ISNUMBER(M156), $B172 * N156, "")</f>
        <v/>
      </c>
      <c r="Q156" s="101"/>
      <c r="R156" s="101"/>
      <c r="S156" s="101"/>
    </row>
    <row r="157" spans="1:19">
      <c r="A157" s="47"/>
      <c r="B157" s="51"/>
      <c r="C157" s="52"/>
      <c r="D157" s="23"/>
      <c r="E157" s="52" t="str">
        <f>IF(ISNUMBER(D157), (D157 - $B157) / $B157, "")</f>
        <v/>
      </c>
      <c r="F157" s="28" t="str">
        <f>IF(ISNUMBER(D157), $B172 * E157, "")</f>
        <v/>
      </c>
      <c r="G157" s="23"/>
      <c r="H157" s="52" t="str">
        <f>IF(ISNUMBER(G157), (G157 - $B157) / $B157, "")</f>
        <v/>
      </c>
      <c r="I157" s="28" t="str">
        <f>IF(ISNUMBER(G157), $B172 * H157, "")</f>
        <v/>
      </c>
      <c r="J157" s="23"/>
      <c r="K157" s="52" t="str">
        <f>IF(ISNUMBER(J157), (J157 - $B157) / $B157, "")</f>
        <v/>
      </c>
      <c r="L157" s="28" t="str">
        <f>IF(ISNUMBER(J157), $B172 * K157, "")</f>
        <v/>
      </c>
      <c r="M157" s="23"/>
      <c r="N157" s="52" t="str">
        <f>IF(ISNUMBER(M157), (M157 - $B157) / $B157, "")</f>
        <v/>
      </c>
      <c r="O157" s="28" t="str">
        <f>IF(ISNUMBER(M157), $B172 * N157, "")</f>
        <v/>
      </c>
      <c r="Q157" s="102"/>
      <c r="R157" s="103"/>
      <c r="S157" s="104"/>
    </row>
    <row r="158" spans="1:19">
      <c r="A158" s="47"/>
      <c r="B158" s="48"/>
      <c r="C158" s="24"/>
      <c r="D158" s="23"/>
      <c r="E158" s="24" t="str">
        <f t="shared" ref="E158:E161" si="82">IF(ISNUMBER(D158), (D158 - $B158) / $B158, "")</f>
        <v/>
      </c>
      <c r="F158" s="28" t="str">
        <f>IF(ISNUMBER(D158), $B172 * E158, "")</f>
        <v/>
      </c>
      <c r="G158" s="23"/>
      <c r="H158" s="24" t="str">
        <f t="shared" ref="H158:H161" si="83">IF(ISNUMBER(G158), (G158 - $B158) / $B158, "")</f>
        <v/>
      </c>
      <c r="I158" s="28" t="str">
        <f>IF(ISNUMBER(G158), $B172 * H158, "")</f>
        <v/>
      </c>
      <c r="J158" s="23"/>
      <c r="K158" s="24" t="str">
        <f t="shared" ref="K158:K161" si="84">IF(ISNUMBER(J158), (J158 - $B158) / $B158, "")</f>
        <v/>
      </c>
      <c r="L158" s="28" t="str">
        <f>IF(ISNUMBER(J158), $B172 * K158, "")</f>
        <v/>
      </c>
      <c r="M158" s="23"/>
      <c r="N158" s="24" t="str">
        <f t="shared" ref="N158:N161" si="85">IF(ISNUMBER(M158), (M158 - $B158) / $B158, "")</f>
        <v/>
      </c>
      <c r="O158" s="28" t="str">
        <f>IF(ISNUMBER(M158), $B172 * N158, "")</f>
        <v/>
      </c>
      <c r="Q158" s="105"/>
      <c r="R158" s="106"/>
      <c r="S158" s="107"/>
    </row>
    <row r="159" spans="1:19" ht="17.25" thickBot="1">
      <c r="A159" s="47"/>
      <c r="B159" s="48"/>
      <c r="C159" s="24"/>
      <c r="D159" s="23"/>
      <c r="E159" s="24" t="str">
        <f t="shared" si="82"/>
        <v/>
      </c>
      <c r="F159" s="28" t="str">
        <f>IF(ISNUMBER(D159), $B172 * E159, "")</f>
        <v/>
      </c>
      <c r="G159" s="23"/>
      <c r="H159" s="24" t="str">
        <f t="shared" si="83"/>
        <v/>
      </c>
      <c r="I159" s="28" t="str">
        <f>IF(ISNUMBER(G159), $B172 * H159, "")</f>
        <v/>
      </c>
      <c r="J159" s="23"/>
      <c r="K159" s="24" t="str">
        <f t="shared" si="84"/>
        <v/>
      </c>
      <c r="L159" s="28" t="str">
        <f>IF(ISNUMBER(J159), $B172 * K159, "")</f>
        <v/>
      </c>
      <c r="M159" s="23"/>
      <c r="N159" s="24" t="str">
        <f t="shared" si="85"/>
        <v/>
      </c>
      <c r="O159" s="28" t="str">
        <f>IF(ISNUMBER(M159), $B172 * N159, "")</f>
        <v/>
      </c>
      <c r="Q159" s="108"/>
      <c r="R159" s="109"/>
      <c r="S159" s="110"/>
    </row>
    <row r="160" spans="1:19" ht="17.25" thickBot="1">
      <c r="A160" s="47"/>
      <c r="B160" s="48"/>
      <c r="C160" s="24"/>
      <c r="D160" s="23"/>
      <c r="E160" s="24" t="str">
        <f t="shared" si="82"/>
        <v/>
      </c>
      <c r="F160" s="28" t="str">
        <f>IF(ISNUMBER(D160), $B172 * E160, "")</f>
        <v/>
      </c>
      <c r="G160" s="23"/>
      <c r="H160" s="24" t="str">
        <f t="shared" si="83"/>
        <v/>
      </c>
      <c r="I160" s="28" t="str">
        <f>IF(ISNUMBER(G160), $B172 * H160, "")</f>
        <v/>
      </c>
      <c r="J160" s="23"/>
      <c r="K160" s="24" t="str">
        <f t="shared" si="84"/>
        <v/>
      </c>
      <c r="L160" s="28" t="str">
        <f>IF(ISNUMBER(J160), $B172 * K160, "")</f>
        <v/>
      </c>
      <c r="M160" s="23"/>
      <c r="N160" s="24" t="str">
        <f t="shared" si="85"/>
        <v/>
      </c>
      <c r="O160" s="28" t="str">
        <f>IF(ISNUMBER(M160), $B172 * N160, "")</f>
        <v/>
      </c>
    </row>
    <row r="161" spans="1:19" ht="17.25" thickBot="1">
      <c r="A161" s="49"/>
      <c r="B161" s="50"/>
      <c r="C161" s="31"/>
      <c r="D161" s="30"/>
      <c r="E161" s="31" t="str">
        <f t="shared" si="82"/>
        <v/>
      </c>
      <c r="F161" s="28" t="str">
        <f>IF(ISNUMBER(D161), $B172 * E161, "")</f>
        <v/>
      </c>
      <c r="G161" s="30"/>
      <c r="H161" s="31" t="str">
        <f t="shared" si="83"/>
        <v/>
      </c>
      <c r="I161" s="28" t="str">
        <f>IF(ISNUMBER(G161), $B172 * H161, "")</f>
        <v/>
      </c>
      <c r="J161" s="30"/>
      <c r="K161" s="31" t="str">
        <f t="shared" si="84"/>
        <v/>
      </c>
      <c r="L161" s="28" t="str">
        <f>IF(ISNUMBER(J161), $B172 * K161, "")</f>
        <v/>
      </c>
      <c r="M161" s="30"/>
      <c r="N161" s="31" t="str">
        <f t="shared" si="85"/>
        <v/>
      </c>
      <c r="O161" s="28" t="str">
        <f>IF(ISNUMBER(M161), $B172 * N161, "")</f>
        <v/>
      </c>
      <c r="Q161" s="111"/>
      <c r="R161" s="112"/>
      <c r="S161" s="113"/>
    </row>
    <row r="162" spans="1:19">
      <c r="A162" s="45"/>
      <c r="B162" s="46"/>
      <c r="C162" s="21"/>
      <c r="D162" s="20"/>
      <c r="E162" s="21" t="str">
        <f>IF(ISNUMBER(D162), (D162 - $B162) / $B162, "")</f>
        <v/>
      </c>
      <c r="F162" s="26" t="str">
        <f>IF(ISNUMBER(D162), $B172 * E162, "")</f>
        <v/>
      </c>
      <c r="G162" s="20"/>
      <c r="H162" s="21" t="str">
        <f>IF(ISNUMBER(G162), (G162 - $B162) / $B162, "")</f>
        <v/>
      </c>
      <c r="I162" s="26" t="str">
        <f>IF(ISNUMBER(G162), $B172 * H162, "")</f>
        <v/>
      </c>
      <c r="J162" s="20"/>
      <c r="K162" s="21" t="str">
        <f>IF(ISNUMBER(J162), (J162 - $B162) / $B162, "")</f>
        <v/>
      </c>
      <c r="L162" s="26" t="str">
        <f>IF(ISNUMBER(J162), $B172 * K162, "")</f>
        <v/>
      </c>
      <c r="M162" s="20"/>
      <c r="N162" s="21" t="str">
        <f>IF(ISNUMBER(M162), (M162 - $B162) / $B162, "")</f>
        <v/>
      </c>
      <c r="O162" s="26" t="str">
        <f>IF(ISNUMBER(M162), $B172 * N162, "")</f>
        <v/>
      </c>
      <c r="Q162" s="114"/>
      <c r="R162" s="115"/>
      <c r="S162" s="116"/>
    </row>
    <row r="163" spans="1:19" ht="17.25" thickBot="1">
      <c r="A163" s="47"/>
      <c r="B163" s="48"/>
      <c r="C163" s="24"/>
      <c r="D163" s="23"/>
      <c r="E163" s="24" t="str">
        <f t="shared" ref="E163:E166" si="86">IF(ISNUMBER(D163), (D163 - $B163) / $B163, "")</f>
        <v/>
      </c>
      <c r="F163" s="28" t="str">
        <f>IF(ISNUMBER(D163), $B172 * E163, "")</f>
        <v/>
      </c>
      <c r="G163" s="23"/>
      <c r="H163" s="24" t="str">
        <f t="shared" ref="H163:H166" si="87">IF(ISNUMBER(G163), (G163 - $B163) / $B163, "")</f>
        <v/>
      </c>
      <c r="I163" s="28" t="str">
        <f>IF(ISNUMBER(G163), $B172 * H163, "")</f>
        <v/>
      </c>
      <c r="J163" s="23"/>
      <c r="K163" s="24" t="str">
        <f t="shared" ref="K163:K166" si="88">IF(ISNUMBER(J163), (J163 - $B163) / $B163, "")</f>
        <v/>
      </c>
      <c r="L163" s="28" t="str">
        <f>IF(ISNUMBER(J163), $B172 * K163, "")</f>
        <v/>
      </c>
      <c r="M163" s="23"/>
      <c r="N163" s="24" t="str">
        <f t="shared" ref="N163:N166" si="89">IF(ISNUMBER(M163), (M163 - $B163) / $B163, "")</f>
        <v/>
      </c>
      <c r="O163" s="28" t="str">
        <f>IF(ISNUMBER(M163), $B172 * N163, "")</f>
        <v/>
      </c>
      <c r="Q163" s="117"/>
      <c r="R163" s="118"/>
      <c r="S163" s="119"/>
    </row>
    <row r="164" spans="1:19" ht="17.25" thickBot="1">
      <c r="A164" s="47"/>
      <c r="B164" s="48"/>
      <c r="C164" s="24"/>
      <c r="D164" s="23"/>
      <c r="E164" s="24" t="str">
        <f t="shared" si="86"/>
        <v/>
      </c>
      <c r="F164" s="28" t="str">
        <f>IF(ISNUMBER(D164), $B172 * E164, "")</f>
        <v/>
      </c>
      <c r="G164" s="23"/>
      <c r="H164" s="24" t="str">
        <f t="shared" si="87"/>
        <v/>
      </c>
      <c r="I164" s="28" t="str">
        <f>IF(ISNUMBER(G164), $B172 * H164, "")</f>
        <v/>
      </c>
      <c r="J164" s="23"/>
      <c r="K164" s="24" t="str">
        <f t="shared" si="88"/>
        <v/>
      </c>
      <c r="L164" s="28" t="str">
        <f>IF(ISNUMBER(J164), $B172 * K164, "")</f>
        <v/>
      </c>
      <c r="M164" s="23"/>
      <c r="N164" s="24" t="str">
        <f t="shared" si="89"/>
        <v/>
      </c>
      <c r="O164" s="28" t="str">
        <f>IF(ISNUMBER(M164), $B172 * N164, "")</f>
        <v/>
      </c>
      <c r="Q164" s="98"/>
      <c r="R164" s="98"/>
      <c r="S164" s="98"/>
    </row>
    <row r="165" spans="1:19" ht="17.25" thickBot="1">
      <c r="A165" s="47"/>
      <c r="B165" s="48"/>
      <c r="C165" s="24"/>
      <c r="D165" s="23"/>
      <c r="E165" s="24" t="str">
        <f t="shared" si="86"/>
        <v/>
      </c>
      <c r="F165" s="28" t="str">
        <f>IF(ISNUMBER(D165), $B172 * E165, "")</f>
        <v/>
      </c>
      <c r="G165" s="23"/>
      <c r="H165" s="24" t="str">
        <f t="shared" si="87"/>
        <v/>
      </c>
      <c r="I165" s="28" t="str">
        <f>IF(ISNUMBER(G165), $B172 * H165, "")</f>
        <v/>
      </c>
      <c r="J165" s="23"/>
      <c r="K165" s="24" t="str">
        <f t="shared" si="88"/>
        <v/>
      </c>
      <c r="L165" s="28" t="str">
        <f>IF(ISNUMBER(J165), $B172 * K165, "")</f>
        <v/>
      </c>
      <c r="M165" s="23"/>
      <c r="N165" s="24" t="str">
        <f t="shared" si="89"/>
        <v/>
      </c>
      <c r="O165" s="28" t="str">
        <f>IF(ISNUMBER(M165), $B172 * N165, "")</f>
        <v/>
      </c>
      <c r="Q165" s="99"/>
      <c r="R165" s="99"/>
      <c r="S165" s="99"/>
    </row>
    <row r="166" spans="1:19" ht="17.25" thickBot="1">
      <c r="A166" s="49"/>
      <c r="B166" s="50"/>
      <c r="C166" s="31"/>
      <c r="D166" s="30"/>
      <c r="E166" s="31" t="str">
        <f t="shared" si="86"/>
        <v/>
      </c>
      <c r="F166" s="33" t="str">
        <f>IF(ISNUMBER(D166), $B172 * E166, "")</f>
        <v/>
      </c>
      <c r="G166" s="30"/>
      <c r="H166" s="31" t="str">
        <f t="shared" si="87"/>
        <v/>
      </c>
      <c r="I166" s="33" t="str">
        <f>IF(ISNUMBER(G166), $B172 * H166, "")</f>
        <v/>
      </c>
      <c r="J166" s="30"/>
      <c r="K166" s="31" t="str">
        <f t="shared" si="88"/>
        <v/>
      </c>
      <c r="L166" s="33" t="str">
        <f>IF(ISNUMBER(J166), $B172 * K166, "")</f>
        <v/>
      </c>
      <c r="M166" s="30"/>
      <c r="N166" s="31" t="str">
        <f t="shared" si="89"/>
        <v/>
      </c>
      <c r="O166" s="33" t="str">
        <f>IF(ISNUMBER(M166), $B172 * N166, "")</f>
        <v/>
      </c>
      <c r="Q166" s="99"/>
      <c r="R166" s="99"/>
      <c r="S166" s="99"/>
    </row>
    <row r="167" spans="1:19" ht="17.25" thickBot="1">
      <c r="A167" s="47"/>
      <c r="B167" s="51"/>
      <c r="C167" s="52"/>
      <c r="D167" s="23"/>
      <c r="E167" s="52" t="str">
        <f>IF(ISNUMBER(D167), (D167 - $B167) / $B167, "")</f>
        <v/>
      </c>
      <c r="F167" s="28" t="str">
        <f>IF(ISNUMBER(D167), $B172 * E167, "")</f>
        <v/>
      </c>
      <c r="G167" s="23"/>
      <c r="H167" s="52" t="str">
        <f>IF(ISNUMBER(G167), (G167 - $B167) / $B167, "")</f>
        <v/>
      </c>
      <c r="I167" s="28" t="str">
        <f>IF(ISNUMBER(G167), $B172 * H167, "")</f>
        <v/>
      </c>
      <c r="J167" s="23"/>
      <c r="K167" s="52" t="str">
        <f>IF(ISNUMBER(J167), (J167 - $B167) / $B167, "")</f>
        <v/>
      </c>
      <c r="L167" s="28" t="str">
        <f>IF(ISNUMBER(J167), $B172 * K167, "")</f>
        <v/>
      </c>
      <c r="M167" s="23"/>
      <c r="N167" s="52" t="str">
        <f>IF(ISNUMBER(M167), (M167 - $B167) / $B167, "")</f>
        <v/>
      </c>
      <c r="O167" s="28" t="str">
        <f>IF(ISNUMBER(M167), $B172 * N167, "")</f>
        <v/>
      </c>
      <c r="Q167" s="100"/>
      <c r="R167" s="100"/>
      <c r="S167" s="100"/>
    </row>
    <row r="168" spans="1:19" ht="17.25" thickBot="1">
      <c r="A168" s="47"/>
      <c r="B168" s="48"/>
      <c r="C168" s="24"/>
      <c r="D168" s="23"/>
      <c r="E168" s="24" t="str">
        <f t="shared" ref="E168:E171" si="90">IF(ISNUMBER(D168), (D168 - $B168) / $B168, "")</f>
        <v/>
      </c>
      <c r="F168" s="28" t="str">
        <f>IF(ISNUMBER(D168), $B172 * E168, "")</f>
        <v/>
      </c>
      <c r="G168" s="23"/>
      <c r="H168" s="24" t="str">
        <f t="shared" ref="H168:H171" si="91">IF(ISNUMBER(G168), (G168 - $B168) / $B168, "")</f>
        <v/>
      </c>
      <c r="I168" s="28" t="str">
        <f>IF(ISNUMBER(G168), $B172 * H168, "")</f>
        <v/>
      </c>
      <c r="J168" s="23"/>
      <c r="K168" s="24" t="str">
        <f t="shared" ref="K168:K171" si="92">IF(ISNUMBER(J168), (J168 - $B168) / $B168, "")</f>
        <v/>
      </c>
      <c r="L168" s="28" t="str">
        <f>IF(ISNUMBER(J168), $B172 * K168, "")</f>
        <v/>
      </c>
      <c r="M168" s="23"/>
      <c r="N168" s="24" t="str">
        <f t="shared" ref="N168:N171" si="93">IF(ISNUMBER(M168), (M168 - $B168) / $B168, "")</f>
        <v/>
      </c>
      <c r="O168" s="28" t="str">
        <f>IF(ISNUMBER(M168), $B172 * N168, "")</f>
        <v/>
      </c>
      <c r="Q168" s="100"/>
      <c r="R168" s="100"/>
      <c r="S168" s="100"/>
    </row>
    <row r="169" spans="1:19" ht="17.25" thickBot="1">
      <c r="A169" s="47"/>
      <c r="B169" s="48"/>
      <c r="C169" s="24"/>
      <c r="D169" s="23"/>
      <c r="E169" s="24" t="str">
        <f t="shared" si="90"/>
        <v/>
      </c>
      <c r="F169" s="28" t="str">
        <f>IF(ISNUMBER(D169), $B172 * E169, "")</f>
        <v/>
      </c>
      <c r="G169" s="23"/>
      <c r="H169" s="24" t="str">
        <f t="shared" si="91"/>
        <v/>
      </c>
      <c r="I169" s="28" t="str">
        <f>IF(ISNUMBER(G169), $B172 * H169, "")</f>
        <v/>
      </c>
      <c r="J169" s="23"/>
      <c r="K169" s="24" t="str">
        <f t="shared" si="92"/>
        <v/>
      </c>
      <c r="L169" s="28" t="str">
        <f>IF(ISNUMBER(J169), $B172 * K169, "")</f>
        <v/>
      </c>
      <c r="M169" s="23"/>
      <c r="N169" s="24" t="str">
        <f t="shared" si="93"/>
        <v/>
      </c>
      <c r="O169" s="28" t="str">
        <f>IF(ISNUMBER(M169), $B172 * N169, "")</f>
        <v/>
      </c>
      <c r="Q169" s="101"/>
      <c r="R169" s="101"/>
      <c r="S169" s="101"/>
    </row>
    <row r="170" spans="1:19">
      <c r="A170" s="47"/>
      <c r="B170" s="48"/>
      <c r="C170" s="24"/>
      <c r="D170" s="23"/>
      <c r="E170" s="24" t="str">
        <f t="shared" si="90"/>
        <v/>
      </c>
      <c r="F170" s="28" t="str">
        <f>IF(ISNUMBER(D170), $B172 * E170, "")</f>
        <v/>
      </c>
      <c r="G170" s="23"/>
      <c r="H170" s="24" t="str">
        <f t="shared" si="91"/>
        <v/>
      </c>
      <c r="I170" s="28" t="str">
        <f>IF(ISNUMBER(G170), $B172 * H170, "")</f>
        <v/>
      </c>
      <c r="J170" s="23"/>
      <c r="K170" s="24" t="str">
        <f t="shared" si="92"/>
        <v/>
      </c>
      <c r="L170" s="28" t="str">
        <f>IF(ISNUMBER(J170), $B172 * K170, "")</f>
        <v/>
      </c>
      <c r="M170" s="23"/>
      <c r="N170" s="24" t="str">
        <f t="shared" si="93"/>
        <v/>
      </c>
      <c r="O170" s="28" t="str">
        <f>IF(ISNUMBER(M170), $B172 * N170, "")</f>
        <v/>
      </c>
      <c r="Q170" s="102"/>
      <c r="R170" s="103"/>
      <c r="S170" s="104"/>
    </row>
    <row r="171" spans="1:19" ht="17.25" thickBot="1">
      <c r="A171" s="49"/>
      <c r="B171" s="50"/>
      <c r="C171" s="31"/>
      <c r="D171" s="30"/>
      <c r="E171" s="31" t="str">
        <f t="shared" si="90"/>
        <v/>
      </c>
      <c r="F171" s="28" t="str">
        <f>IF(ISNUMBER(D171), $B172 * E171, "")</f>
        <v/>
      </c>
      <c r="G171" s="30"/>
      <c r="H171" s="31" t="str">
        <f t="shared" si="91"/>
        <v/>
      </c>
      <c r="I171" s="28" t="str">
        <f>IF(ISNUMBER(G171), $B172 * H171, "")</f>
        <v/>
      </c>
      <c r="J171" s="30"/>
      <c r="K171" s="31" t="str">
        <f t="shared" si="92"/>
        <v/>
      </c>
      <c r="L171" s="28" t="str">
        <f>IF(ISNUMBER(J171), $B172 * K171, "")</f>
        <v/>
      </c>
      <c r="M171" s="30"/>
      <c r="N171" s="31" t="str">
        <f t="shared" si="93"/>
        <v/>
      </c>
      <c r="O171" s="28" t="str">
        <f>IF(ISNUMBER(M171), $B172 * N171, "")</f>
        <v/>
      </c>
      <c r="Q171" s="105"/>
      <c r="R171" s="106"/>
      <c r="S171" s="107"/>
    </row>
    <row r="172" spans="1:19" ht="17.25" thickBot="1">
      <c r="A172" s="39" t="s">
        <v>46</v>
      </c>
      <c r="B172" s="120">
        <v>100000</v>
      </c>
      <c r="C172" s="121"/>
      <c r="D172" s="39" t="s">
        <v>47</v>
      </c>
      <c r="E172" s="40">
        <f>IF(COUNT(E152:E171), SUM(E152:E171) / COUNT(E152:E171), 0)</f>
        <v>0</v>
      </c>
      <c r="F172" s="41">
        <f>SUM(F152:F171)</f>
        <v>0</v>
      </c>
      <c r="G172" s="39" t="s">
        <v>47</v>
      </c>
      <c r="H172" s="40">
        <f>IF(COUNT(H152:H171), SUM(H152:H171) / COUNT(H152:H171), 0)</f>
        <v>0</v>
      </c>
      <c r="I172" s="41">
        <f>SUM(I152:I171)</f>
        <v>0</v>
      </c>
      <c r="J172" s="39" t="s">
        <v>47</v>
      </c>
      <c r="K172" s="40">
        <f>IF(COUNT(K152:K171), SUM(K152:K171) / COUNT(K152:K171), 0)</f>
        <v>0</v>
      </c>
      <c r="L172" s="41">
        <f>SUM(L152:L171)</f>
        <v>0</v>
      </c>
      <c r="M172" s="39" t="s">
        <v>47</v>
      </c>
      <c r="N172" s="40">
        <f>IF(COUNT(N152:N171), SUM(N152:N171) / COUNT(N152:N171), 0)</f>
        <v>0</v>
      </c>
      <c r="O172" s="41">
        <f>SUM(O152:O171)</f>
        <v>0</v>
      </c>
      <c r="Q172" s="108"/>
      <c r="R172" s="109"/>
      <c r="S172" s="110"/>
    </row>
    <row r="174" spans="1:19" ht="17.25" thickBot="1"/>
    <row r="175" spans="1:19" ht="17.25" thickBot="1">
      <c r="A175" s="122" t="s">
        <v>290</v>
      </c>
      <c r="B175" s="123"/>
      <c r="C175" s="123"/>
      <c r="D175" s="123"/>
      <c r="E175" s="123"/>
      <c r="F175" s="123"/>
      <c r="G175" s="123"/>
      <c r="H175" s="123"/>
      <c r="I175" s="123"/>
      <c r="J175" s="123"/>
      <c r="K175" s="123"/>
      <c r="L175" s="123"/>
      <c r="M175" s="123"/>
      <c r="N175" s="123"/>
      <c r="O175" s="124"/>
      <c r="Q175" s="111"/>
      <c r="R175" s="112"/>
      <c r="S175" s="113"/>
    </row>
    <row r="176" spans="1:19" ht="17.25" thickBot="1">
      <c r="A176" s="10" t="s">
        <v>35</v>
      </c>
      <c r="B176" s="122" t="s">
        <v>36</v>
      </c>
      <c r="C176" s="124"/>
      <c r="D176" s="122" t="s">
        <v>37</v>
      </c>
      <c r="E176" s="123"/>
      <c r="F176" s="124"/>
      <c r="G176" s="125">
        <f>_xlfn.IFNA(VLOOKUP(B176, 현재가테이블!$B$2:$D$200, 2, FALSE), "-")</f>
        <v>78003000</v>
      </c>
      <c r="H176" s="126"/>
      <c r="I176" s="127"/>
      <c r="J176" s="122" t="s">
        <v>38</v>
      </c>
      <c r="K176" s="123"/>
      <c r="L176" s="124"/>
      <c r="M176" s="128">
        <f>_xlfn.IFNA(VLOOKUP(B176, 현재가테이블!$B$2:$D$200, 3, FALSE), "-")</f>
        <v>-6.7108111999999998E-3</v>
      </c>
      <c r="N176" s="129"/>
      <c r="O176" s="130"/>
      <c r="Q176" s="114"/>
      <c r="R176" s="115"/>
      <c r="S176" s="116"/>
    </row>
    <row r="177" spans="1:19" ht="17.25" thickBot="1">
      <c r="A177" s="131" t="s">
        <v>39</v>
      </c>
      <c r="B177" s="132" t="s">
        <v>40</v>
      </c>
      <c r="C177" s="133"/>
      <c r="D177" s="134" t="s">
        <v>41</v>
      </c>
      <c r="E177" s="135"/>
      <c r="F177" s="136"/>
      <c r="G177" s="134" t="s">
        <v>42</v>
      </c>
      <c r="H177" s="135"/>
      <c r="I177" s="136"/>
      <c r="J177" s="137" t="s">
        <v>43</v>
      </c>
      <c r="K177" s="137"/>
      <c r="L177" s="137"/>
      <c r="M177" s="134" t="s">
        <v>40</v>
      </c>
      <c r="N177" s="135"/>
      <c r="O177" s="136"/>
      <c r="Q177" s="117"/>
      <c r="R177" s="118"/>
      <c r="S177" s="119"/>
    </row>
    <row r="178" spans="1:19" ht="17.25" thickBot="1">
      <c r="A178" s="131"/>
      <c r="B178" s="2" t="s">
        <v>37</v>
      </c>
      <c r="C178" s="12" t="s">
        <v>38</v>
      </c>
      <c r="D178" s="2" t="s">
        <v>37</v>
      </c>
      <c r="E178" s="12" t="s">
        <v>44</v>
      </c>
      <c r="F178" s="13" t="s">
        <v>45</v>
      </c>
      <c r="G178" s="2" t="s">
        <v>37</v>
      </c>
      <c r="H178" s="12" t="s">
        <v>44</v>
      </c>
      <c r="I178" s="13" t="s">
        <v>45</v>
      </c>
      <c r="J178" s="12" t="s">
        <v>37</v>
      </c>
      <c r="K178" s="12" t="s">
        <v>44</v>
      </c>
      <c r="L178" s="17" t="s">
        <v>45</v>
      </c>
      <c r="M178" s="2" t="s">
        <v>37</v>
      </c>
      <c r="N178" s="12" t="s">
        <v>44</v>
      </c>
      <c r="O178" s="18" t="s">
        <v>45</v>
      </c>
      <c r="Q178" s="98"/>
      <c r="R178" s="98"/>
      <c r="S178" s="98"/>
    </row>
    <row r="179" spans="1:19" ht="17.25" thickBot="1">
      <c r="A179" s="45"/>
      <c r="B179" s="46"/>
      <c r="C179" s="21"/>
      <c r="D179" s="20"/>
      <c r="E179" s="21" t="str">
        <f>IF(ISNUMBER(D179), (D179 - $B179) / $B179, "")</f>
        <v/>
      </c>
      <c r="F179" s="26" t="str">
        <f>IF(ISNUMBER(D179), $B199 * E179, "")</f>
        <v/>
      </c>
      <c r="G179" s="20"/>
      <c r="H179" s="21" t="str">
        <f>IF(ISNUMBER(G179), (G179 - $B179) / $B179, "")</f>
        <v/>
      </c>
      <c r="I179" s="26" t="str">
        <f>IF(ISNUMBER(G179), $B199 * H179, "")</f>
        <v/>
      </c>
      <c r="J179" s="20"/>
      <c r="K179" s="21" t="str">
        <f>IF(ISNUMBER(J179), (J179 - $B179) / $B179, "")</f>
        <v/>
      </c>
      <c r="L179" s="26" t="str">
        <f>IF(ISNUMBER(J179), $B199 * K179, "")</f>
        <v/>
      </c>
      <c r="M179" s="20"/>
      <c r="N179" s="21" t="str">
        <f>IF(ISNUMBER(M179), (M179 - $B179) / $B179, "")</f>
        <v/>
      </c>
      <c r="O179" s="26" t="str">
        <f>IF(ISNUMBER(M179), $B199 * N179, "")</f>
        <v/>
      </c>
      <c r="Q179" s="99"/>
      <c r="R179" s="99"/>
      <c r="S179" s="99"/>
    </row>
    <row r="180" spans="1:19" ht="17.25" thickBot="1">
      <c r="A180" s="47"/>
      <c r="B180" s="48"/>
      <c r="C180" s="24"/>
      <c r="D180" s="23"/>
      <c r="E180" s="24" t="str">
        <f t="shared" ref="E180:E183" si="94">IF(ISNUMBER(D180), (D180 - $B180) / $B180, "")</f>
        <v/>
      </c>
      <c r="F180" s="28" t="str">
        <f>IF(ISNUMBER(D180), $B199 * E180, "")</f>
        <v/>
      </c>
      <c r="G180" s="23"/>
      <c r="H180" s="24" t="str">
        <f t="shared" ref="H180:H183" si="95">IF(ISNUMBER(G180), (G180 - $B180) / $B180, "")</f>
        <v/>
      </c>
      <c r="I180" s="28" t="str">
        <f>IF(ISNUMBER(G180), $B199 * H180, "")</f>
        <v/>
      </c>
      <c r="J180" s="23"/>
      <c r="K180" s="24" t="str">
        <f t="shared" ref="K180:K183" si="96">IF(ISNUMBER(J180), (J180 - $B180) / $B180, "")</f>
        <v/>
      </c>
      <c r="L180" s="28" t="str">
        <f>IF(ISNUMBER(J180), $B199 * K180, "")</f>
        <v/>
      </c>
      <c r="M180" s="23"/>
      <c r="N180" s="24" t="str">
        <f t="shared" ref="N180:N183" si="97">IF(ISNUMBER(M180), (M180 - $B180) / $B180, "")</f>
        <v/>
      </c>
      <c r="O180" s="28" t="str">
        <f>IF(ISNUMBER(M180), $B199 * N180, "")</f>
        <v/>
      </c>
      <c r="Q180" s="99"/>
      <c r="R180" s="99"/>
      <c r="S180" s="99"/>
    </row>
    <row r="181" spans="1:19" ht="17.25" thickBot="1">
      <c r="A181" s="47"/>
      <c r="B181" s="48"/>
      <c r="C181" s="24"/>
      <c r="D181" s="23"/>
      <c r="E181" s="24" t="str">
        <f t="shared" si="94"/>
        <v/>
      </c>
      <c r="F181" s="28" t="str">
        <f>IF(ISNUMBER(D181), $B199 * E181, "")</f>
        <v/>
      </c>
      <c r="G181" s="23"/>
      <c r="H181" s="24" t="str">
        <f t="shared" si="95"/>
        <v/>
      </c>
      <c r="I181" s="28" t="str">
        <f>IF(ISNUMBER(G181), $B199 * H181, "")</f>
        <v/>
      </c>
      <c r="J181" s="23"/>
      <c r="K181" s="24" t="str">
        <f t="shared" si="96"/>
        <v/>
      </c>
      <c r="L181" s="28" t="str">
        <f>IF(ISNUMBER(J181), $B199 * K181, "")</f>
        <v/>
      </c>
      <c r="M181" s="23"/>
      <c r="N181" s="24" t="str">
        <f t="shared" si="97"/>
        <v/>
      </c>
      <c r="O181" s="28" t="str">
        <f>IF(ISNUMBER(M181), $B199 * N181, "")</f>
        <v/>
      </c>
      <c r="Q181" s="100"/>
      <c r="R181" s="100"/>
      <c r="S181" s="100"/>
    </row>
    <row r="182" spans="1:19" ht="17.25" thickBot="1">
      <c r="A182" s="47"/>
      <c r="B182" s="48"/>
      <c r="C182" s="24"/>
      <c r="D182" s="23"/>
      <c r="E182" s="24" t="str">
        <f t="shared" si="94"/>
        <v/>
      </c>
      <c r="F182" s="28" t="str">
        <f>IF(ISNUMBER(D182), $B199 * E182, "")</f>
        <v/>
      </c>
      <c r="G182" s="23"/>
      <c r="H182" s="24" t="str">
        <f t="shared" si="95"/>
        <v/>
      </c>
      <c r="I182" s="28" t="str">
        <f>IF(ISNUMBER(G182), $B199 * H182, "")</f>
        <v/>
      </c>
      <c r="J182" s="23"/>
      <c r="K182" s="24" t="str">
        <f t="shared" si="96"/>
        <v/>
      </c>
      <c r="L182" s="28" t="str">
        <f>IF(ISNUMBER(J182), $B199 * K182, "")</f>
        <v/>
      </c>
      <c r="M182" s="23"/>
      <c r="N182" s="24" t="str">
        <f t="shared" si="97"/>
        <v/>
      </c>
      <c r="O182" s="28" t="str">
        <f>IF(ISNUMBER(M182), $B199 * N182, "")</f>
        <v/>
      </c>
      <c r="Q182" s="100"/>
      <c r="R182" s="100"/>
      <c r="S182" s="100"/>
    </row>
    <row r="183" spans="1:19" ht="17.25" thickBot="1">
      <c r="A183" s="49"/>
      <c r="B183" s="50"/>
      <c r="C183" s="31"/>
      <c r="D183" s="30"/>
      <c r="E183" s="31" t="str">
        <f t="shared" si="94"/>
        <v/>
      </c>
      <c r="F183" s="33" t="str">
        <f>IF(ISNUMBER(D183), $B199 * E183, "")</f>
        <v/>
      </c>
      <c r="G183" s="30"/>
      <c r="H183" s="31" t="str">
        <f t="shared" si="95"/>
        <v/>
      </c>
      <c r="I183" s="33" t="str">
        <f>IF(ISNUMBER(G183), $B199 * H183, "")</f>
        <v/>
      </c>
      <c r="J183" s="30"/>
      <c r="K183" s="31" t="str">
        <f t="shared" si="96"/>
        <v/>
      </c>
      <c r="L183" s="33" t="str">
        <f>IF(ISNUMBER(J183), $B199 * K183, "")</f>
        <v/>
      </c>
      <c r="M183" s="30"/>
      <c r="N183" s="31" t="str">
        <f t="shared" si="97"/>
        <v/>
      </c>
      <c r="O183" s="33" t="str">
        <f>IF(ISNUMBER(M183), $B199 * N183, "")</f>
        <v/>
      </c>
      <c r="Q183" s="101"/>
      <c r="R183" s="101"/>
      <c r="S183" s="101"/>
    </row>
    <row r="184" spans="1:19">
      <c r="A184" s="47"/>
      <c r="B184" s="51"/>
      <c r="C184" s="52"/>
      <c r="D184" s="23"/>
      <c r="E184" s="52" t="str">
        <f>IF(ISNUMBER(D184), (D184 - $B184) / $B184, "")</f>
        <v/>
      </c>
      <c r="F184" s="28" t="str">
        <f>IF(ISNUMBER(D184), $B199 * E184, "")</f>
        <v/>
      </c>
      <c r="G184" s="23"/>
      <c r="H184" s="52" t="str">
        <f>IF(ISNUMBER(G184), (G184 - $B184) / $B184, "")</f>
        <v/>
      </c>
      <c r="I184" s="28" t="str">
        <f>IF(ISNUMBER(G184), $B199 * H184, "")</f>
        <v/>
      </c>
      <c r="J184" s="23"/>
      <c r="K184" s="52" t="str">
        <f>IF(ISNUMBER(J184), (J184 - $B184) / $B184, "")</f>
        <v/>
      </c>
      <c r="L184" s="28" t="str">
        <f>IF(ISNUMBER(J184), $B199 * K184, "")</f>
        <v/>
      </c>
      <c r="M184" s="23"/>
      <c r="N184" s="52" t="str">
        <f>IF(ISNUMBER(M184), (M184 - $B184) / $B184, "")</f>
        <v/>
      </c>
      <c r="O184" s="28" t="str">
        <f>IF(ISNUMBER(M184), $B199 * N184, "")</f>
        <v/>
      </c>
      <c r="Q184" s="102"/>
      <c r="R184" s="103"/>
      <c r="S184" s="104"/>
    </row>
    <row r="185" spans="1:19">
      <c r="A185" s="47"/>
      <c r="B185" s="48"/>
      <c r="C185" s="24"/>
      <c r="D185" s="23"/>
      <c r="E185" s="24" t="str">
        <f t="shared" ref="E185:E188" si="98">IF(ISNUMBER(D185), (D185 - $B185) / $B185, "")</f>
        <v/>
      </c>
      <c r="F185" s="28" t="str">
        <f>IF(ISNUMBER(D185), $B199 * E185, "")</f>
        <v/>
      </c>
      <c r="G185" s="23"/>
      <c r="H185" s="24" t="str">
        <f t="shared" ref="H185:H188" si="99">IF(ISNUMBER(G185), (G185 - $B185) / $B185, "")</f>
        <v/>
      </c>
      <c r="I185" s="28" t="str">
        <f>IF(ISNUMBER(G185), $B199 * H185, "")</f>
        <v/>
      </c>
      <c r="J185" s="23"/>
      <c r="K185" s="24" t="str">
        <f t="shared" ref="K185:K188" si="100">IF(ISNUMBER(J185), (J185 - $B185) / $B185, "")</f>
        <v/>
      </c>
      <c r="L185" s="28" t="str">
        <f>IF(ISNUMBER(J185), $B199 * K185, "")</f>
        <v/>
      </c>
      <c r="M185" s="23"/>
      <c r="N185" s="24" t="str">
        <f t="shared" ref="N185:N188" si="101">IF(ISNUMBER(M185), (M185 - $B185) / $B185, "")</f>
        <v/>
      </c>
      <c r="O185" s="28" t="str">
        <f>IF(ISNUMBER(M185), $B199 * N185, "")</f>
        <v/>
      </c>
      <c r="Q185" s="105"/>
      <c r="R185" s="106"/>
      <c r="S185" s="107"/>
    </row>
    <row r="186" spans="1:19" ht="17.25" thickBot="1">
      <c r="A186" s="47"/>
      <c r="B186" s="48"/>
      <c r="C186" s="24"/>
      <c r="D186" s="23"/>
      <c r="E186" s="24" t="str">
        <f t="shared" si="98"/>
        <v/>
      </c>
      <c r="F186" s="28" t="str">
        <f>IF(ISNUMBER(D186), $B199 * E186, "")</f>
        <v/>
      </c>
      <c r="G186" s="23"/>
      <c r="H186" s="24" t="str">
        <f t="shared" si="99"/>
        <v/>
      </c>
      <c r="I186" s="28" t="str">
        <f>IF(ISNUMBER(G186), $B199 * H186, "")</f>
        <v/>
      </c>
      <c r="J186" s="23"/>
      <c r="K186" s="24" t="str">
        <f t="shared" si="100"/>
        <v/>
      </c>
      <c r="L186" s="28" t="str">
        <f>IF(ISNUMBER(J186), $B199 * K186, "")</f>
        <v/>
      </c>
      <c r="M186" s="23"/>
      <c r="N186" s="24" t="str">
        <f t="shared" si="101"/>
        <v/>
      </c>
      <c r="O186" s="28" t="str">
        <f>IF(ISNUMBER(M186), $B199 * N186, "")</f>
        <v/>
      </c>
      <c r="Q186" s="108"/>
      <c r="R186" s="109"/>
      <c r="S186" s="110"/>
    </row>
    <row r="187" spans="1:19" ht="17.25" thickBot="1">
      <c r="A187" s="47"/>
      <c r="B187" s="48"/>
      <c r="C187" s="24"/>
      <c r="D187" s="23"/>
      <c r="E187" s="24" t="str">
        <f t="shared" si="98"/>
        <v/>
      </c>
      <c r="F187" s="28" t="str">
        <f>IF(ISNUMBER(D187), $B199 * E187, "")</f>
        <v/>
      </c>
      <c r="G187" s="23"/>
      <c r="H187" s="24" t="str">
        <f t="shared" si="99"/>
        <v/>
      </c>
      <c r="I187" s="28" t="str">
        <f>IF(ISNUMBER(G187), $B199 * H187, "")</f>
        <v/>
      </c>
      <c r="J187" s="23"/>
      <c r="K187" s="24" t="str">
        <f t="shared" si="100"/>
        <v/>
      </c>
      <c r="L187" s="28" t="str">
        <f>IF(ISNUMBER(J187), $B199 * K187, "")</f>
        <v/>
      </c>
      <c r="M187" s="23"/>
      <c r="N187" s="24" t="str">
        <f t="shared" si="101"/>
        <v/>
      </c>
      <c r="O187" s="28" t="str">
        <f>IF(ISNUMBER(M187), $B199 * N187, "")</f>
        <v/>
      </c>
    </row>
    <row r="188" spans="1:19" ht="17.25" thickBot="1">
      <c r="A188" s="49"/>
      <c r="B188" s="50"/>
      <c r="C188" s="31"/>
      <c r="D188" s="30"/>
      <c r="E188" s="31" t="str">
        <f t="shared" si="98"/>
        <v/>
      </c>
      <c r="F188" s="28" t="str">
        <f>IF(ISNUMBER(D188), $B199 * E188, "")</f>
        <v/>
      </c>
      <c r="G188" s="30"/>
      <c r="H188" s="31" t="str">
        <f t="shared" si="99"/>
        <v/>
      </c>
      <c r="I188" s="28" t="str">
        <f>IF(ISNUMBER(G188), $B199 * H188, "")</f>
        <v/>
      </c>
      <c r="J188" s="30"/>
      <c r="K188" s="31" t="str">
        <f t="shared" si="100"/>
        <v/>
      </c>
      <c r="L188" s="28" t="str">
        <f>IF(ISNUMBER(J188), $B199 * K188, "")</f>
        <v/>
      </c>
      <c r="M188" s="30"/>
      <c r="N188" s="31" t="str">
        <f t="shared" si="101"/>
        <v/>
      </c>
      <c r="O188" s="28" t="str">
        <f>IF(ISNUMBER(M188), $B199 * N188, "")</f>
        <v/>
      </c>
      <c r="Q188" s="111"/>
      <c r="R188" s="112"/>
      <c r="S188" s="113"/>
    </row>
    <row r="189" spans="1:19">
      <c r="A189" s="45"/>
      <c r="B189" s="46"/>
      <c r="C189" s="21"/>
      <c r="D189" s="20"/>
      <c r="E189" s="21" t="str">
        <f>IF(ISNUMBER(D189), (D189 - $B189) / $B189, "")</f>
        <v/>
      </c>
      <c r="F189" s="26" t="str">
        <f>IF(ISNUMBER(D189), $B199 * E189, "")</f>
        <v/>
      </c>
      <c r="G189" s="20"/>
      <c r="H189" s="21" t="str">
        <f>IF(ISNUMBER(G189), (G189 - $B189) / $B189, "")</f>
        <v/>
      </c>
      <c r="I189" s="26" t="str">
        <f>IF(ISNUMBER(G189), $B199 * H189, "")</f>
        <v/>
      </c>
      <c r="J189" s="20"/>
      <c r="K189" s="21" t="str">
        <f>IF(ISNUMBER(J189), (J189 - $B189) / $B189, "")</f>
        <v/>
      </c>
      <c r="L189" s="26" t="str">
        <f>IF(ISNUMBER(J189), $B199 * K189, "")</f>
        <v/>
      </c>
      <c r="M189" s="20"/>
      <c r="N189" s="21" t="str">
        <f>IF(ISNUMBER(M189), (M189 - $B189) / $B189, "")</f>
        <v/>
      </c>
      <c r="O189" s="26" t="str">
        <f>IF(ISNUMBER(M189), $B199 * N189, "")</f>
        <v/>
      </c>
      <c r="Q189" s="114"/>
      <c r="R189" s="115"/>
      <c r="S189" s="116"/>
    </row>
    <row r="190" spans="1:19" ht="17.25" thickBot="1">
      <c r="A190" s="47"/>
      <c r="B190" s="48"/>
      <c r="C190" s="24"/>
      <c r="D190" s="23"/>
      <c r="E190" s="24" t="str">
        <f t="shared" ref="E190:E193" si="102">IF(ISNUMBER(D190), (D190 - $B190) / $B190, "")</f>
        <v/>
      </c>
      <c r="F190" s="28" t="str">
        <f>IF(ISNUMBER(D190), $B199 * E190, "")</f>
        <v/>
      </c>
      <c r="G190" s="23"/>
      <c r="H190" s="24" t="str">
        <f t="shared" ref="H190:H193" si="103">IF(ISNUMBER(G190), (G190 - $B190) / $B190, "")</f>
        <v/>
      </c>
      <c r="I190" s="28" t="str">
        <f>IF(ISNUMBER(G190), $B199 * H190, "")</f>
        <v/>
      </c>
      <c r="J190" s="23"/>
      <c r="K190" s="24" t="str">
        <f t="shared" ref="K190:K193" si="104">IF(ISNUMBER(J190), (J190 - $B190) / $B190, "")</f>
        <v/>
      </c>
      <c r="L190" s="28" t="str">
        <f>IF(ISNUMBER(J190), $B199 * K190, "")</f>
        <v/>
      </c>
      <c r="M190" s="23"/>
      <c r="N190" s="24" t="str">
        <f t="shared" ref="N190:N193" si="105">IF(ISNUMBER(M190), (M190 - $B190) / $B190, "")</f>
        <v/>
      </c>
      <c r="O190" s="28" t="str">
        <f>IF(ISNUMBER(M190), $B199 * N190, "")</f>
        <v/>
      </c>
      <c r="Q190" s="117"/>
      <c r="R190" s="118"/>
      <c r="S190" s="119"/>
    </row>
    <row r="191" spans="1:19" ht="17.25" thickBot="1">
      <c r="A191" s="47"/>
      <c r="B191" s="48"/>
      <c r="C191" s="24"/>
      <c r="D191" s="23"/>
      <c r="E191" s="24" t="str">
        <f t="shared" si="102"/>
        <v/>
      </c>
      <c r="F191" s="28" t="str">
        <f>IF(ISNUMBER(D191), $B199 * E191, "")</f>
        <v/>
      </c>
      <c r="G191" s="23"/>
      <c r="H191" s="24" t="str">
        <f t="shared" si="103"/>
        <v/>
      </c>
      <c r="I191" s="28" t="str">
        <f>IF(ISNUMBER(G191), $B199 * H191, "")</f>
        <v/>
      </c>
      <c r="J191" s="23"/>
      <c r="K191" s="24" t="str">
        <f t="shared" si="104"/>
        <v/>
      </c>
      <c r="L191" s="28" t="str">
        <f>IF(ISNUMBER(J191), $B199 * K191, "")</f>
        <v/>
      </c>
      <c r="M191" s="23"/>
      <c r="N191" s="24" t="str">
        <f t="shared" si="105"/>
        <v/>
      </c>
      <c r="O191" s="28" t="str">
        <f>IF(ISNUMBER(M191), $B199 * N191, "")</f>
        <v/>
      </c>
      <c r="Q191" s="98"/>
      <c r="R191" s="98"/>
      <c r="S191" s="98"/>
    </row>
    <row r="192" spans="1:19" ht="17.25" thickBot="1">
      <c r="A192" s="47"/>
      <c r="B192" s="48"/>
      <c r="C192" s="24"/>
      <c r="D192" s="23"/>
      <c r="E192" s="24" t="str">
        <f t="shared" si="102"/>
        <v/>
      </c>
      <c r="F192" s="28" t="str">
        <f>IF(ISNUMBER(D192), $B199 * E192, "")</f>
        <v/>
      </c>
      <c r="G192" s="23"/>
      <c r="H192" s="24" t="str">
        <f t="shared" si="103"/>
        <v/>
      </c>
      <c r="I192" s="28" t="str">
        <f>IF(ISNUMBER(G192), $B199 * H192, "")</f>
        <v/>
      </c>
      <c r="J192" s="23"/>
      <c r="K192" s="24" t="str">
        <f t="shared" si="104"/>
        <v/>
      </c>
      <c r="L192" s="28" t="str">
        <f>IF(ISNUMBER(J192), $B199 * K192, "")</f>
        <v/>
      </c>
      <c r="M192" s="23"/>
      <c r="N192" s="24" t="str">
        <f t="shared" si="105"/>
        <v/>
      </c>
      <c r="O192" s="28" t="str">
        <f>IF(ISNUMBER(M192), $B199 * N192, "")</f>
        <v/>
      </c>
      <c r="Q192" s="99"/>
      <c r="R192" s="99"/>
      <c r="S192" s="99"/>
    </row>
    <row r="193" spans="1:19" ht="17.25" thickBot="1">
      <c r="A193" s="49"/>
      <c r="B193" s="50"/>
      <c r="C193" s="31"/>
      <c r="D193" s="30"/>
      <c r="E193" s="31" t="str">
        <f t="shared" si="102"/>
        <v/>
      </c>
      <c r="F193" s="33" t="str">
        <f>IF(ISNUMBER(D193), $B199 * E193, "")</f>
        <v/>
      </c>
      <c r="G193" s="30"/>
      <c r="H193" s="31" t="str">
        <f t="shared" si="103"/>
        <v/>
      </c>
      <c r="I193" s="33" t="str">
        <f>IF(ISNUMBER(G193), $B199 * H193, "")</f>
        <v/>
      </c>
      <c r="J193" s="30"/>
      <c r="K193" s="31" t="str">
        <f t="shared" si="104"/>
        <v/>
      </c>
      <c r="L193" s="33" t="str">
        <f>IF(ISNUMBER(J193), $B199 * K193, "")</f>
        <v/>
      </c>
      <c r="M193" s="30"/>
      <c r="N193" s="31" t="str">
        <f t="shared" si="105"/>
        <v/>
      </c>
      <c r="O193" s="33" t="str">
        <f>IF(ISNUMBER(M193), $B199 * N193, "")</f>
        <v/>
      </c>
      <c r="Q193" s="99"/>
      <c r="R193" s="99"/>
      <c r="S193" s="99"/>
    </row>
    <row r="194" spans="1:19" ht="17.25" thickBot="1">
      <c r="A194" s="47"/>
      <c r="B194" s="51"/>
      <c r="C194" s="52"/>
      <c r="D194" s="23"/>
      <c r="E194" s="52" t="str">
        <f>IF(ISNUMBER(D194), (D194 - $B194) / $B194, "")</f>
        <v/>
      </c>
      <c r="F194" s="28" t="str">
        <f>IF(ISNUMBER(D194), $B199 * E194, "")</f>
        <v/>
      </c>
      <c r="G194" s="23"/>
      <c r="H194" s="52" t="str">
        <f>IF(ISNUMBER(G194), (G194 - $B194) / $B194, "")</f>
        <v/>
      </c>
      <c r="I194" s="28" t="str">
        <f>IF(ISNUMBER(G194), $B199 * H194, "")</f>
        <v/>
      </c>
      <c r="J194" s="23"/>
      <c r="K194" s="52" t="str">
        <f>IF(ISNUMBER(J194), (J194 - $B194) / $B194, "")</f>
        <v/>
      </c>
      <c r="L194" s="28" t="str">
        <f>IF(ISNUMBER(J194), $B199 * K194, "")</f>
        <v/>
      </c>
      <c r="M194" s="23"/>
      <c r="N194" s="52" t="str">
        <f>IF(ISNUMBER(M194), (M194 - $B194) / $B194, "")</f>
        <v/>
      </c>
      <c r="O194" s="28" t="str">
        <f>IF(ISNUMBER(M194), $B199 * N194, "")</f>
        <v/>
      </c>
      <c r="Q194" s="100"/>
      <c r="R194" s="100"/>
      <c r="S194" s="100"/>
    </row>
    <row r="195" spans="1:19" ht="17.25" thickBot="1">
      <c r="A195" s="47"/>
      <c r="B195" s="48"/>
      <c r="C195" s="24"/>
      <c r="D195" s="23"/>
      <c r="E195" s="24" t="str">
        <f t="shared" ref="E195:E198" si="106">IF(ISNUMBER(D195), (D195 - $B195) / $B195, "")</f>
        <v/>
      </c>
      <c r="F195" s="28" t="str">
        <f>IF(ISNUMBER(D195), $B199 * E195, "")</f>
        <v/>
      </c>
      <c r="G195" s="23"/>
      <c r="H195" s="24" t="str">
        <f t="shared" ref="H195:H198" si="107">IF(ISNUMBER(G195), (G195 - $B195) / $B195, "")</f>
        <v/>
      </c>
      <c r="I195" s="28" t="str">
        <f>IF(ISNUMBER(G195), $B199 * H195, "")</f>
        <v/>
      </c>
      <c r="J195" s="23"/>
      <c r="K195" s="24" t="str">
        <f t="shared" ref="K195:K198" si="108">IF(ISNUMBER(J195), (J195 - $B195) / $B195, "")</f>
        <v/>
      </c>
      <c r="L195" s="28" t="str">
        <f>IF(ISNUMBER(J195), $B199 * K195, "")</f>
        <v/>
      </c>
      <c r="M195" s="23"/>
      <c r="N195" s="24" t="str">
        <f t="shared" ref="N195:N198" si="109">IF(ISNUMBER(M195), (M195 - $B195) / $B195, "")</f>
        <v/>
      </c>
      <c r="O195" s="28" t="str">
        <f>IF(ISNUMBER(M195), $B199 * N195, "")</f>
        <v/>
      </c>
      <c r="Q195" s="100"/>
      <c r="R195" s="100"/>
      <c r="S195" s="100"/>
    </row>
    <row r="196" spans="1:19" ht="17.25" thickBot="1">
      <c r="A196" s="47"/>
      <c r="B196" s="48"/>
      <c r="C196" s="24"/>
      <c r="D196" s="23"/>
      <c r="E196" s="24" t="str">
        <f t="shared" si="106"/>
        <v/>
      </c>
      <c r="F196" s="28" t="str">
        <f>IF(ISNUMBER(D196), $B199 * E196, "")</f>
        <v/>
      </c>
      <c r="G196" s="23"/>
      <c r="H196" s="24" t="str">
        <f t="shared" si="107"/>
        <v/>
      </c>
      <c r="I196" s="28" t="str">
        <f>IF(ISNUMBER(G196), $B199 * H196, "")</f>
        <v/>
      </c>
      <c r="J196" s="23"/>
      <c r="K196" s="24" t="str">
        <f t="shared" si="108"/>
        <v/>
      </c>
      <c r="L196" s="28" t="str">
        <f>IF(ISNUMBER(J196), $B199 * K196, "")</f>
        <v/>
      </c>
      <c r="M196" s="23"/>
      <c r="N196" s="24" t="str">
        <f t="shared" si="109"/>
        <v/>
      </c>
      <c r="O196" s="28" t="str">
        <f>IF(ISNUMBER(M196), $B199 * N196, "")</f>
        <v/>
      </c>
      <c r="Q196" s="101"/>
      <c r="R196" s="101"/>
      <c r="S196" s="101"/>
    </row>
    <row r="197" spans="1:19">
      <c r="A197" s="47"/>
      <c r="B197" s="48"/>
      <c r="C197" s="24"/>
      <c r="D197" s="23"/>
      <c r="E197" s="24" t="str">
        <f t="shared" si="106"/>
        <v/>
      </c>
      <c r="F197" s="28" t="str">
        <f>IF(ISNUMBER(D197), $B199 * E197, "")</f>
        <v/>
      </c>
      <c r="G197" s="23"/>
      <c r="H197" s="24" t="str">
        <f t="shared" si="107"/>
        <v/>
      </c>
      <c r="I197" s="28" t="str">
        <f>IF(ISNUMBER(G197), $B199 * H197, "")</f>
        <v/>
      </c>
      <c r="J197" s="23"/>
      <c r="K197" s="24" t="str">
        <f t="shared" si="108"/>
        <v/>
      </c>
      <c r="L197" s="28" t="str">
        <f>IF(ISNUMBER(J197), $B199 * K197, "")</f>
        <v/>
      </c>
      <c r="M197" s="23"/>
      <c r="N197" s="24" t="str">
        <f t="shared" si="109"/>
        <v/>
      </c>
      <c r="O197" s="28" t="str">
        <f>IF(ISNUMBER(M197), $B199 * N197, "")</f>
        <v/>
      </c>
      <c r="Q197" s="102"/>
      <c r="R197" s="103"/>
      <c r="S197" s="104"/>
    </row>
    <row r="198" spans="1:19" ht="17.25" thickBot="1">
      <c r="A198" s="49"/>
      <c r="B198" s="50"/>
      <c r="C198" s="31"/>
      <c r="D198" s="30"/>
      <c r="E198" s="31" t="str">
        <f t="shared" si="106"/>
        <v/>
      </c>
      <c r="F198" s="28" t="str">
        <f>IF(ISNUMBER(D198), $B199 * E198, "")</f>
        <v/>
      </c>
      <c r="G198" s="30"/>
      <c r="H198" s="31" t="str">
        <f t="shared" si="107"/>
        <v/>
      </c>
      <c r="I198" s="28" t="str">
        <f>IF(ISNUMBER(G198), $B199 * H198, "")</f>
        <v/>
      </c>
      <c r="J198" s="30"/>
      <c r="K198" s="31" t="str">
        <f t="shared" si="108"/>
        <v/>
      </c>
      <c r="L198" s="28" t="str">
        <f>IF(ISNUMBER(J198), $B199 * K198, "")</f>
        <v/>
      </c>
      <c r="M198" s="30"/>
      <c r="N198" s="31" t="str">
        <f t="shared" si="109"/>
        <v/>
      </c>
      <c r="O198" s="28" t="str">
        <f>IF(ISNUMBER(M198), $B199 * N198, "")</f>
        <v/>
      </c>
      <c r="Q198" s="105"/>
      <c r="R198" s="106"/>
      <c r="S198" s="107"/>
    </row>
    <row r="199" spans="1:19" ht="17.25" thickBot="1">
      <c r="A199" s="39" t="s">
        <v>46</v>
      </c>
      <c r="B199" s="120">
        <v>100000</v>
      </c>
      <c r="C199" s="121"/>
      <c r="D199" s="39" t="s">
        <v>47</v>
      </c>
      <c r="E199" s="40">
        <f>IF(COUNT(E179:E198), SUM(E179:E198) / COUNT(E179:E198), 0)</f>
        <v>0</v>
      </c>
      <c r="F199" s="41">
        <f>SUM(F179:F198)</f>
        <v>0</v>
      </c>
      <c r="G199" s="39" t="s">
        <v>47</v>
      </c>
      <c r="H199" s="40">
        <f>IF(COUNT(H179:H198), SUM(H179:H198) / COUNT(H179:H198), 0)</f>
        <v>0</v>
      </c>
      <c r="I199" s="41">
        <f>SUM(I179:I198)</f>
        <v>0</v>
      </c>
      <c r="J199" s="39" t="s">
        <v>47</v>
      </c>
      <c r="K199" s="40">
        <f>IF(COUNT(K179:K198), SUM(K179:K198) / COUNT(K179:K198), 0)</f>
        <v>0</v>
      </c>
      <c r="L199" s="41">
        <f>SUM(L179:L198)</f>
        <v>0</v>
      </c>
      <c r="M199" s="39" t="s">
        <v>47</v>
      </c>
      <c r="N199" s="40">
        <f>IF(COUNT(N179:N198), SUM(N179:N198) / COUNT(N179:N198), 0)</f>
        <v>0</v>
      </c>
      <c r="O199" s="41">
        <f>SUM(O179:O198)</f>
        <v>0</v>
      </c>
      <c r="Q199" s="108"/>
      <c r="R199" s="109"/>
      <c r="S199" s="110"/>
    </row>
  </sheetData>
  <mergeCells count="23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13:S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22:S2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Q40:S42"/>
    <mergeCell ref="B41:C41"/>
    <mergeCell ref="D41:F41"/>
    <mergeCell ref="G41:I41"/>
    <mergeCell ref="J41:L41"/>
    <mergeCell ref="M41:O41"/>
    <mergeCell ref="A42:A43"/>
    <mergeCell ref="Q53:R55"/>
    <mergeCell ref="Q56:Q58"/>
    <mergeCell ref="R56:R58"/>
    <mergeCell ref="Q59:Q61"/>
    <mergeCell ref="R59:R61"/>
    <mergeCell ref="Q62:R64"/>
    <mergeCell ref="R43:R45"/>
    <mergeCell ref="S43:S45"/>
    <mergeCell ref="Q46:Q48"/>
    <mergeCell ref="R46:R48"/>
    <mergeCell ref="S46:S48"/>
    <mergeCell ref="Q49:S51"/>
    <mergeCell ref="D69:F69"/>
    <mergeCell ref="G69:I69"/>
    <mergeCell ref="J69:L69"/>
    <mergeCell ref="M69:O69"/>
    <mergeCell ref="Q70:Q72"/>
    <mergeCell ref="R70:R72"/>
    <mergeCell ref="B64:C64"/>
    <mergeCell ref="A67:O67"/>
    <mergeCell ref="Q67:S69"/>
    <mergeCell ref="B68:C68"/>
    <mergeCell ref="D68:F68"/>
    <mergeCell ref="G68:I68"/>
    <mergeCell ref="J68:L68"/>
    <mergeCell ref="M68:O68"/>
    <mergeCell ref="A69:A70"/>
    <mergeCell ref="B69:C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76:S78"/>
    <mergeCell ref="Q80:S82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Q94:S96"/>
    <mergeCell ref="B95:C95"/>
    <mergeCell ref="D95:F95"/>
    <mergeCell ref="G95:I95"/>
    <mergeCell ref="J95:L95"/>
    <mergeCell ref="M95:O95"/>
    <mergeCell ref="A96:A97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Q121:S123"/>
    <mergeCell ref="B122:C122"/>
    <mergeCell ref="D122:F122"/>
    <mergeCell ref="G122:I122"/>
    <mergeCell ref="J122:L122"/>
    <mergeCell ref="M122:O122"/>
    <mergeCell ref="A123:A124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Q148:S150"/>
    <mergeCell ref="B149:C149"/>
    <mergeCell ref="D149:F149"/>
    <mergeCell ref="G149:I149"/>
    <mergeCell ref="J149:L149"/>
    <mergeCell ref="M149:O149"/>
    <mergeCell ref="A150:A151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S159"/>
    <mergeCell ref="Q170:S172"/>
    <mergeCell ref="B172:C172"/>
    <mergeCell ref="A175:O175"/>
    <mergeCell ref="Q175:S177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Q181:Q183"/>
    <mergeCell ref="R181:R183"/>
    <mergeCell ref="S181:S183"/>
    <mergeCell ref="Q184:S186"/>
    <mergeCell ref="B177:C177"/>
    <mergeCell ref="D177:F177"/>
    <mergeCell ref="G177:I177"/>
    <mergeCell ref="J177:L177"/>
    <mergeCell ref="M177:O177"/>
    <mergeCell ref="Q178:Q180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D15:F16 E37:F37">
    <cfRule type="expression" dxfId="113" priority="97">
      <formula>$E$37&gt;0</formula>
    </cfRule>
    <cfRule type="expression" dxfId="112" priority="98">
      <formula>$E$37&lt;0</formula>
    </cfRule>
  </conditionalFormatting>
  <conditionalFormatting sqref="G15:I16 H37:I37">
    <cfRule type="expression" dxfId="111" priority="95">
      <formula>$H$37&gt;0</formula>
    </cfRule>
    <cfRule type="expression" dxfId="110" priority="96">
      <formula>$H$37&lt;0</formula>
    </cfRule>
  </conditionalFormatting>
  <conditionalFormatting sqref="J15:L16 K37:L37">
    <cfRule type="expression" dxfId="109" priority="93">
      <formula>$K$37&gt;0</formula>
    </cfRule>
    <cfRule type="expression" dxfId="108" priority="94">
      <formula>$K$37&lt;0</formula>
    </cfRule>
  </conditionalFormatting>
  <conditionalFormatting sqref="M15:O16 N37:O37">
    <cfRule type="expression" dxfId="107" priority="91">
      <formula>$N$37&gt;0</formula>
    </cfRule>
    <cfRule type="expression" dxfId="106" priority="92">
      <formula>$N$37&lt;0</formula>
    </cfRule>
  </conditionalFormatting>
  <conditionalFormatting sqref="A44:O63 A17:O36">
    <cfRule type="expression" dxfId="105" priority="99">
      <formula>AND($N17 &gt; 0, ISNUMBER($N17))</formula>
    </cfRule>
    <cfRule type="expression" dxfId="104" priority="100">
      <formula>AND($N17 &lt; 0, ISNUMBER($N17))</formula>
    </cfRule>
    <cfRule type="expression" dxfId="103" priority="101">
      <formula>AND($K17 &gt; 0, ISNUMBER($K17))</formula>
    </cfRule>
    <cfRule type="expression" dxfId="102" priority="102">
      <formula>AND($K17 &lt; 0, ISNUMBER($K17))</formula>
    </cfRule>
    <cfRule type="expression" dxfId="101" priority="103">
      <formula>AND($H17 &gt; 0, ISNUMBER($H17))</formula>
    </cfRule>
    <cfRule type="expression" dxfId="100" priority="104">
      <formula>AND($H17 &lt; 0, ISNUMBER($H17))</formula>
    </cfRule>
    <cfRule type="expression" dxfId="99" priority="105">
      <formula>AND($E17 &gt; 0, ISNUMBER($E17))</formula>
    </cfRule>
    <cfRule type="expression" dxfId="98" priority="106">
      <formula>AND($E17 &lt; 0, ISNUMBER($E17))</formula>
    </cfRule>
  </conditionalFormatting>
  <conditionalFormatting sqref="D42:F43 E64:F64">
    <cfRule type="expression" dxfId="97" priority="89">
      <formula>$E$64&gt;0</formula>
    </cfRule>
    <cfRule type="expression" dxfId="96" priority="90">
      <formula>$E$64&lt;0</formula>
    </cfRule>
  </conditionalFormatting>
  <conditionalFormatting sqref="G42:I43 H64:I64">
    <cfRule type="expression" dxfId="95" priority="87">
      <formula>$H$64&gt;0</formula>
    </cfRule>
    <cfRule type="expression" dxfId="94" priority="88">
      <formula>$H$64&lt;0</formula>
    </cfRule>
  </conditionalFormatting>
  <conditionalFormatting sqref="J42:L43 K64:L64">
    <cfRule type="expression" dxfId="93" priority="85">
      <formula>$K$64&gt;0</formula>
    </cfRule>
    <cfRule type="expression" dxfId="92" priority="86">
      <formula>$K$64&lt;0</formula>
    </cfRule>
  </conditionalFormatting>
  <conditionalFormatting sqref="M42:O43 N64:O64">
    <cfRule type="expression" dxfId="91" priority="83">
      <formula>$N$64&gt;0</formula>
    </cfRule>
    <cfRule type="expression" dxfId="90" priority="84">
      <formula>$N$64&lt;0</formula>
    </cfRule>
  </conditionalFormatting>
  <conditionalFormatting sqref="G2:I3">
    <cfRule type="expression" dxfId="89" priority="8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" priority="8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87" priority="10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6" priority="10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85" priority="10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4" priority="11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83" priority="11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2" priority="11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81" priority="113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0" priority="114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79" priority="73">
      <formula>AND($N71 &gt; 0, ISNUMBER($N71))</formula>
    </cfRule>
    <cfRule type="expression" dxfId="78" priority="74">
      <formula>AND($N71 &lt; 0, ISNUMBER($N71))</formula>
    </cfRule>
    <cfRule type="expression" dxfId="77" priority="75">
      <formula>AND($K71 &gt; 0, ISNUMBER($K71))</formula>
    </cfRule>
    <cfRule type="expression" dxfId="76" priority="76">
      <formula>AND($K71 &lt; 0, ISNUMBER($K71))</formula>
    </cfRule>
    <cfRule type="expression" dxfId="75" priority="77">
      <formula>AND($H71 &gt; 0, ISNUMBER($H71))</formula>
    </cfRule>
    <cfRule type="expression" dxfId="74" priority="78">
      <formula>AND($H71 &lt; 0, ISNUMBER($H71))</formula>
    </cfRule>
    <cfRule type="expression" dxfId="73" priority="79">
      <formula>AND($E71 &gt; 0, ISNUMBER($E71))</formula>
    </cfRule>
    <cfRule type="expression" dxfId="72" priority="80">
      <formula>AND($E71 &lt; 0, ISNUMBER($E71))</formula>
    </cfRule>
  </conditionalFormatting>
  <conditionalFormatting sqref="D69:F70 E91:F91">
    <cfRule type="expression" dxfId="71" priority="71">
      <formula>$E$64&gt;0</formula>
    </cfRule>
    <cfRule type="expression" dxfId="70" priority="72">
      <formula>$E$64&lt;0</formula>
    </cfRule>
  </conditionalFormatting>
  <conditionalFormatting sqref="G69:I70 H91:I91">
    <cfRule type="expression" dxfId="69" priority="69">
      <formula>$H$64&gt;0</formula>
    </cfRule>
    <cfRule type="expression" dxfId="68" priority="70">
      <formula>$H$64&lt;0</formula>
    </cfRule>
  </conditionalFormatting>
  <conditionalFormatting sqref="J69:L70 K91:L91">
    <cfRule type="expression" dxfId="67" priority="67">
      <formula>$K$64&gt;0</formula>
    </cfRule>
    <cfRule type="expression" dxfId="66" priority="68">
      <formula>$K$64&lt;0</formula>
    </cfRule>
  </conditionalFormatting>
  <conditionalFormatting sqref="M69:O70 N91:O91">
    <cfRule type="expression" dxfId="65" priority="65">
      <formula>$N$64&gt;0</formula>
    </cfRule>
    <cfRule type="expression" dxfId="64" priority="66">
      <formula>$N$64&lt;0</formula>
    </cfRule>
  </conditionalFormatting>
  <conditionalFormatting sqref="A98:O117">
    <cfRule type="expression" dxfId="63" priority="57">
      <formula>AND($N98 &gt; 0, ISNUMBER($N98))</formula>
    </cfRule>
    <cfRule type="expression" dxfId="62" priority="58">
      <formula>AND($N98 &lt; 0, ISNUMBER($N98))</formula>
    </cfRule>
    <cfRule type="expression" dxfId="61" priority="59">
      <formula>AND($K98 &gt; 0, ISNUMBER($K98))</formula>
    </cfRule>
    <cfRule type="expression" dxfId="60" priority="60">
      <formula>AND($K98 &lt; 0, ISNUMBER($K98))</formula>
    </cfRule>
    <cfRule type="expression" dxfId="59" priority="61">
      <formula>AND($H98 &gt; 0, ISNUMBER($H98))</formula>
    </cfRule>
    <cfRule type="expression" dxfId="58" priority="62">
      <formula>AND($H98 &lt; 0, ISNUMBER($H98))</formula>
    </cfRule>
    <cfRule type="expression" dxfId="57" priority="63">
      <formula>AND($E98 &gt; 0, ISNUMBER($E98))</formula>
    </cfRule>
    <cfRule type="expression" dxfId="56" priority="64">
      <formula>AND($E98 &lt; 0, ISNUMBER($E98))</formula>
    </cfRule>
  </conditionalFormatting>
  <conditionalFormatting sqref="D96:F97 E118:F118">
    <cfRule type="expression" dxfId="55" priority="55">
      <formula>$E$64&gt;0</formula>
    </cfRule>
    <cfRule type="expression" dxfId="54" priority="56">
      <formula>$E$64&lt;0</formula>
    </cfRule>
  </conditionalFormatting>
  <conditionalFormatting sqref="G96:I97 H118:I118">
    <cfRule type="expression" dxfId="53" priority="53">
      <formula>$H$64&gt;0</formula>
    </cfRule>
    <cfRule type="expression" dxfId="52" priority="54">
      <formula>$H$64&lt;0</formula>
    </cfRule>
  </conditionalFormatting>
  <conditionalFormatting sqref="J96:L97 K118:L118">
    <cfRule type="expression" dxfId="51" priority="51">
      <formula>$K$64&gt;0</formula>
    </cfRule>
    <cfRule type="expression" dxfId="50" priority="52">
      <formula>$K$64&lt;0</formula>
    </cfRule>
  </conditionalFormatting>
  <conditionalFormatting sqref="M96:O97 N118:O118">
    <cfRule type="expression" dxfId="49" priority="49">
      <formula>$N$64&gt;0</formula>
    </cfRule>
    <cfRule type="expression" dxfId="48" priority="50">
      <formula>$N$64&lt;0</formula>
    </cfRule>
  </conditionalFormatting>
  <conditionalFormatting sqref="A125:O144">
    <cfRule type="expression" dxfId="47" priority="41">
      <formula>AND($N125 &gt; 0, ISNUMBER($N125))</formula>
    </cfRule>
    <cfRule type="expression" dxfId="46" priority="42">
      <formula>AND($N125 &lt; 0, ISNUMBER($N125))</formula>
    </cfRule>
    <cfRule type="expression" dxfId="45" priority="43">
      <formula>AND($K125 &gt; 0, ISNUMBER($K125))</formula>
    </cfRule>
    <cfRule type="expression" dxfId="44" priority="44">
      <formula>AND($K125 &lt; 0, ISNUMBER($K125))</formula>
    </cfRule>
    <cfRule type="expression" dxfId="43" priority="45">
      <formula>AND($H125 &gt; 0, ISNUMBER($H125))</formula>
    </cfRule>
    <cfRule type="expression" dxfId="42" priority="46">
      <formula>AND($H125 &lt; 0, ISNUMBER($H125))</formula>
    </cfRule>
    <cfRule type="expression" dxfId="41" priority="47">
      <formula>AND($E125 &gt; 0, ISNUMBER($E125))</formula>
    </cfRule>
    <cfRule type="expression" dxfId="40" priority="48">
      <formula>AND($E125 &lt; 0, ISNUMBER($E125))</formula>
    </cfRule>
  </conditionalFormatting>
  <conditionalFormatting sqref="D123:F124 E145:F145">
    <cfRule type="expression" dxfId="39" priority="39">
      <formula>$E$64&gt;0</formula>
    </cfRule>
    <cfRule type="expression" dxfId="38" priority="40">
      <formula>$E$64&lt;0</formula>
    </cfRule>
  </conditionalFormatting>
  <conditionalFormatting sqref="G123:I124 H145:I145">
    <cfRule type="expression" dxfId="37" priority="37">
      <formula>$H$64&gt;0</formula>
    </cfRule>
    <cfRule type="expression" dxfId="36" priority="38">
      <formula>$H$64&lt;0</formula>
    </cfRule>
  </conditionalFormatting>
  <conditionalFormatting sqref="J123:L124 K145:L145">
    <cfRule type="expression" dxfId="35" priority="35">
      <formula>$K$64&gt;0</formula>
    </cfRule>
    <cfRule type="expression" dxfId="34" priority="36">
      <formula>$K$64&lt;0</formula>
    </cfRule>
  </conditionalFormatting>
  <conditionalFormatting sqref="M123:O124 N145:O145">
    <cfRule type="expression" dxfId="33" priority="33">
      <formula>$N$64&gt;0</formula>
    </cfRule>
    <cfRule type="expression" dxfId="32" priority="34">
      <formula>$N$64&lt;0</formula>
    </cfRule>
  </conditionalFormatting>
  <conditionalFormatting sqref="A152:O171">
    <cfRule type="expression" dxfId="31" priority="25">
      <formula>AND($N152 &gt; 0, ISNUMBER($N152))</formula>
    </cfRule>
    <cfRule type="expression" dxfId="30" priority="26">
      <formula>AND($N152 &lt; 0, ISNUMBER($N152))</formula>
    </cfRule>
    <cfRule type="expression" dxfId="29" priority="27">
      <formula>AND($K152 &gt; 0, ISNUMBER($K152))</formula>
    </cfRule>
    <cfRule type="expression" dxfId="28" priority="28">
      <formula>AND($K152 &lt; 0, ISNUMBER($K152))</formula>
    </cfRule>
    <cfRule type="expression" dxfId="27" priority="29">
      <formula>AND($H152 &gt; 0, ISNUMBER($H152))</formula>
    </cfRule>
    <cfRule type="expression" dxfId="26" priority="30">
      <formula>AND($H152 &lt; 0, ISNUMBER($H152))</formula>
    </cfRule>
    <cfRule type="expression" dxfId="25" priority="31">
      <formula>AND($E152 &gt; 0, ISNUMBER($E152))</formula>
    </cfRule>
    <cfRule type="expression" dxfId="24" priority="32">
      <formula>AND($E152 &lt; 0, ISNUMBER($E152))</formula>
    </cfRule>
  </conditionalFormatting>
  <conditionalFormatting sqref="D150:F151 E172:F172">
    <cfRule type="expression" dxfId="23" priority="23">
      <formula>$E$64&gt;0</formula>
    </cfRule>
    <cfRule type="expression" dxfId="22" priority="24">
      <formula>$E$64&lt;0</formula>
    </cfRule>
  </conditionalFormatting>
  <conditionalFormatting sqref="G150:I151 H172:I172">
    <cfRule type="expression" dxfId="21" priority="21">
      <formula>$H$64&gt;0</formula>
    </cfRule>
    <cfRule type="expression" dxfId="20" priority="22">
      <formula>$H$64&lt;0</formula>
    </cfRule>
  </conditionalFormatting>
  <conditionalFormatting sqref="J150:L151 K172:L172">
    <cfRule type="expression" dxfId="19" priority="19">
      <formula>$K$64&gt;0</formula>
    </cfRule>
    <cfRule type="expression" dxfId="18" priority="20">
      <formula>$K$64&lt;0</formula>
    </cfRule>
  </conditionalFormatting>
  <conditionalFormatting sqref="M150:O151 N172:O172">
    <cfRule type="expression" dxfId="17" priority="17">
      <formula>$N$64&gt;0</formula>
    </cfRule>
    <cfRule type="expression" dxfId="16" priority="18">
      <formula>$N$64&lt;0</formula>
    </cfRule>
  </conditionalFormatting>
  <conditionalFormatting sqref="A179:O198">
    <cfRule type="expression" dxfId="15" priority="9">
      <formula>AND($N179 &gt; 0, ISNUMBER($N179))</formula>
    </cfRule>
    <cfRule type="expression" dxfId="14" priority="10">
      <formula>AND($N179 &lt; 0, ISNUMBER($N179))</formula>
    </cfRule>
    <cfRule type="expression" dxfId="13" priority="11">
      <formula>AND($K179 &gt; 0, ISNUMBER($K179))</formula>
    </cfRule>
    <cfRule type="expression" dxfId="12" priority="12">
      <formula>AND($K179 &lt; 0, ISNUMBER($K179))</formula>
    </cfRule>
    <cfRule type="expression" dxfId="11" priority="13">
      <formula>AND($H179 &gt; 0, ISNUMBER($H179))</formula>
    </cfRule>
    <cfRule type="expression" dxfId="10" priority="14">
      <formula>AND($H179 &lt; 0, ISNUMBER($H179))</formula>
    </cfRule>
    <cfRule type="expression" dxfId="9" priority="15">
      <formula>AND($E179 &gt; 0, ISNUMBER($E179))</formula>
    </cfRule>
    <cfRule type="expression" dxfId="8" priority="16">
      <formula>AND($E179 &lt; 0, ISNUMBER($E179))</formula>
    </cfRule>
  </conditionalFormatting>
  <conditionalFormatting sqref="D177:F178 E199:F199">
    <cfRule type="expression" dxfId="7" priority="7">
      <formula>$E$64&gt;0</formula>
    </cfRule>
    <cfRule type="expression" dxfId="6" priority="8">
      <formula>$E$64&lt;0</formula>
    </cfRule>
  </conditionalFormatting>
  <conditionalFormatting sqref="G177:I178 H199:I199">
    <cfRule type="expression" dxfId="5" priority="5">
      <formula>$H$64&gt;0</formula>
    </cfRule>
    <cfRule type="expression" dxfId="4" priority="6">
      <formula>$H$64&lt;0</formula>
    </cfRule>
  </conditionalFormatting>
  <conditionalFormatting sqref="J177:L178 K199:L199">
    <cfRule type="expression" dxfId="3" priority="3">
      <formula>$K$64&gt;0</formula>
    </cfRule>
    <cfRule type="expression" dxfId="2" priority="4">
      <formula>$K$64&lt;0</formula>
    </cfRule>
  </conditionalFormatting>
  <conditionalFormatting sqref="M177:O178 N199:O199">
    <cfRule type="expression" dxfId="1" priority="1">
      <formula>$N$64&gt;0</formula>
    </cfRule>
    <cfRule type="expression" dxfId="0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셀이동_실거래종목">
                <anchor moveWithCells="1" sizeWithCells="1">
                  <from>
                    <xdr:col>15</xdr:col>
                    <xdr:colOff>685800</xdr:colOff>
                    <xdr:row>12</xdr:row>
                    <xdr:rowOff>0</xdr:rowOff>
                  </from>
                  <to>
                    <xdr:col>18</xdr:col>
                    <xdr:colOff>923925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셀이동_처음으로">
                <anchor moveWithCells="1" sizeWithCells="1">
                  <from>
                    <xdr:col>15</xdr:col>
                    <xdr:colOff>685800</xdr:colOff>
                    <xdr:row>21</xdr:row>
                    <xdr:rowOff>0</xdr:rowOff>
                  </from>
                  <to>
                    <xdr:col>18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Q199"/>
  <sheetViews>
    <sheetView topLeftCell="A10" workbookViewId="0">
      <selection activeCell="O32" sqref="O32"/>
    </sheetView>
  </sheetViews>
  <sheetFormatPr defaultRowHeight="16.5"/>
  <cols>
    <col min="1" max="1" width="13.5" bestFit="1" customWidth="1"/>
    <col min="2" max="2" width="18.5" customWidth="1"/>
    <col min="3" max="3" width="11.375" bestFit="1" customWidth="1"/>
    <col min="4" max="4" width="13.25" style="56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7" ht="17.25" thickBot="1">
      <c r="A1" s="10" t="s">
        <v>297</v>
      </c>
      <c r="B1" s="53" t="s">
        <v>39</v>
      </c>
      <c r="C1" s="53" t="s">
        <v>37</v>
      </c>
      <c r="D1" s="54" t="s">
        <v>38</v>
      </c>
    </row>
    <row r="2" spans="1:17" ht="17.25" thickBot="1">
      <c r="A2" s="66" t="s">
        <v>54</v>
      </c>
      <c r="B2" s="67" t="s">
        <v>55</v>
      </c>
      <c r="C2" s="67">
        <v>798</v>
      </c>
      <c r="D2" s="82">
        <v>8.1300813E-2</v>
      </c>
      <c r="E2" s="57"/>
      <c r="F2" s="57"/>
      <c r="G2" s="91"/>
      <c r="H2" s="57"/>
      <c r="I2" s="57"/>
    </row>
    <row r="3" spans="1:17" ht="17.25" thickBot="1">
      <c r="A3" s="66" t="s">
        <v>57</v>
      </c>
      <c r="B3" s="67" t="s">
        <v>58</v>
      </c>
      <c r="C3" s="67">
        <v>468</v>
      </c>
      <c r="D3" s="82">
        <v>8.0831408800000004E-2</v>
      </c>
      <c r="E3" s="57"/>
      <c r="F3" s="57"/>
      <c r="G3" s="158" t="s">
        <v>301</v>
      </c>
      <c r="H3" s="160" t="s">
        <v>300</v>
      </c>
      <c r="I3" s="160"/>
      <c r="K3" s="122" t="s">
        <v>34</v>
      </c>
      <c r="L3" s="123"/>
      <c r="M3" s="124"/>
      <c r="O3" s="122" t="s">
        <v>302</v>
      </c>
      <c r="P3" s="123"/>
      <c r="Q3" s="124"/>
    </row>
    <row r="4" spans="1:17" ht="17.25" thickBot="1">
      <c r="A4" s="66" t="s">
        <v>61</v>
      </c>
      <c r="B4" s="67" t="s">
        <v>62</v>
      </c>
      <c r="C4" s="67">
        <v>580</v>
      </c>
      <c r="D4" s="82">
        <v>6.2271062299999999E-2</v>
      </c>
      <c r="E4" s="57"/>
      <c r="F4" s="57"/>
      <c r="G4" s="159"/>
      <c r="H4" s="161"/>
      <c r="I4" s="161"/>
      <c r="K4" s="158" t="s">
        <v>59</v>
      </c>
      <c r="L4" s="123" t="s">
        <v>60</v>
      </c>
      <c r="M4" s="124"/>
      <c r="O4" s="158" t="s">
        <v>59</v>
      </c>
      <c r="P4" s="123" t="s">
        <v>60</v>
      </c>
      <c r="Q4" s="124"/>
    </row>
    <row r="5" spans="1:17" ht="17.25" thickBot="1">
      <c r="A5" s="66" t="s">
        <v>65</v>
      </c>
      <c r="B5" s="67" t="s">
        <v>66</v>
      </c>
      <c r="C5" s="67">
        <v>1415</v>
      </c>
      <c r="D5" s="82">
        <v>5.99250936E-2</v>
      </c>
      <c r="E5" s="57"/>
      <c r="F5" s="57"/>
      <c r="K5" s="159"/>
      <c r="L5" s="58" t="s">
        <v>63</v>
      </c>
      <c r="M5" s="59" t="s">
        <v>64</v>
      </c>
      <c r="O5" s="159"/>
      <c r="P5" s="58" t="s">
        <v>63</v>
      </c>
      <c r="Q5" s="59" t="s">
        <v>64</v>
      </c>
    </row>
    <row r="6" spans="1:17" ht="17.25" thickBot="1">
      <c r="A6" s="66" t="s">
        <v>67</v>
      </c>
      <c r="B6" s="67" t="s">
        <v>68</v>
      </c>
      <c r="C6" s="67">
        <v>85700</v>
      </c>
      <c r="D6" s="82">
        <v>5.5028930199999999E-2</v>
      </c>
      <c r="E6" s="57"/>
      <c r="F6" s="57"/>
      <c r="G6" s="122" t="s">
        <v>56</v>
      </c>
      <c r="H6" s="123"/>
      <c r="I6" s="124"/>
      <c r="K6" s="92" t="str">
        <f ca="1">IFERROR(OFFSET(INDIRECT($H$3 &amp; "!A17"), 0, 0), "")</f>
        <v>스텔라루멘</v>
      </c>
      <c r="L6" s="63">
        <f t="shared" ref="L6:L25" ca="1" si="0">_xlfn.IFNA(VLOOKUP(K6, $B$2:$D$200, 2, FALSE), "")</f>
        <v>798</v>
      </c>
      <c r="M6" s="64">
        <f t="shared" ref="M6:M25" ca="1" si="1">_xlfn.IFNA(VLOOKUP(K6, $B$2:$D$200, 3, FALSE), "")</f>
        <v>8.1300813E-2</v>
      </c>
      <c r="O6" s="78" t="str">
        <f>INDEX($A$2:$D$200, MATCH(LARGE($D$2:$D$200, 1), $D$2:$D$200, 0), 2)</f>
        <v>스텔라루멘</v>
      </c>
      <c r="P6" s="63">
        <f t="shared" ref="P6:P25" si="2">_xlfn.IFNA(VLOOKUP(O6, $B$2:$D$200, 2, FALSE), "")</f>
        <v>798</v>
      </c>
      <c r="Q6" s="64">
        <f t="shared" ref="Q6:Q25" si="3">_xlfn.IFNA(VLOOKUP(O6, $B$2:$D$200, 3, FALSE), "")</f>
        <v>8.1300813E-2</v>
      </c>
    </row>
    <row r="7" spans="1:17">
      <c r="A7" s="66" t="s">
        <v>69</v>
      </c>
      <c r="B7" s="67" t="s">
        <v>70</v>
      </c>
      <c r="C7" s="67">
        <v>72.099999999999994</v>
      </c>
      <c r="D7" s="82">
        <v>4.19075145E-2</v>
      </c>
      <c r="E7" s="57"/>
      <c r="F7" s="57"/>
      <c r="G7" s="144" t="s">
        <v>36</v>
      </c>
      <c r="H7" s="145"/>
      <c r="I7" s="146"/>
      <c r="K7" s="93" t="str">
        <f ca="1">IFERROR(OFFSET(INDIRECT($H$3 &amp; "!A17"), 1, 0), "")</f>
        <v>헤데라해시그래프</v>
      </c>
      <c r="L7" s="65">
        <f t="shared" ca="1" si="0"/>
        <v>468</v>
      </c>
      <c r="M7" s="60">
        <f t="shared" ca="1" si="1"/>
        <v>8.0831408800000004E-2</v>
      </c>
      <c r="O7" s="79" t="str">
        <f>INDEX($A$2:$D$200, MATCH(LARGE($D$2:$D$200, 2), $D$2:$D$200, 0), 2)</f>
        <v>헤데라해시그래프</v>
      </c>
      <c r="P7" s="65">
        <f t="shared" si="2"/>
        <v>468</v>
      </c>
      <c r="Q7" s="60">
        <f t="shared" si="3"/>
        <v>8.0831408800000004E-2</v>
      </c>
    </row>
    <row r="8" spans="1:17" ht="17.25" thickBot="1">
      <c r="A8" s="66" t="s">
        <v>71</v>
      </c>
      <c r="B8" s="67" t="s">
        <v>72</v>
      </c>
      <c r="C8" s="67">
        <v>11880</v>
      </c>
      <c r="D8" s="82">
        <v>3.8461538500000003E-2</v>
      </c>
      <c r="E8" s="57"/>
      <c r="F8" s="57"/>
      <c r="G8" s="150"/>
      <c r="H8" s="151"/>
      <c r="I8" s="152"/>
      <c r="K8" s="93" t="str">
        <f ca="1">IFERROR(OFFSET(INDIRECT($H$3 &amp; "!A17"), 2, 0), "")</f>
        <v>넴</v>
      </c>
      <c r="L8" s="65">
        <f t="shared" ca="1" si="0"/>
        <v>580</v>
      </c>
      <c r="M8" s="60">
        <f t="shared" ca="1" si="1"/>
        <v>6.2271062299999999E-2</v>
      </c>
      <c r="O8" s="79" t="str">
        <f>INDEX($A$2:$D$200, MATCH(LARGE($D$2:$D$200, 3), $D$2:$D$200, 0), 2)</f>
        <v>넴</v>
      </c>
      <c r="P8" s="65">
        <f t="shared" si="2"/>
        <v>580</v>
      </c>
      <c r="Q8" s="60">
        <f t="shared" si="3"/>
        <v>6.2271062299999999E-2</v>
      </c>
    </row>
    <row r="9" spans="1:17" ht="17.25" thickBot="1">
      <c r="A9" s="66" t="s">
        <v>73</v>
      </c>
      <c r="B9" s="67" t="s">
        <v>74</v>
      </c>
      <c r="C9" s="67">
        <v>9550</v>
      </c>
      <c r="D9" s="82">
        <v>3.2432432400000002E-2</v>
      </c>
      <c r="E9" s="57"/>
      <c r="F9" s="57"/>
      <c r="G9" s="10" t="s">
        <v>38</v>
      </c>
      <c r="H9" s="123" t="s">
        <v>37</v>
      </c>
      <c r="I9" s="124"/>
      <c r="K9" s="93" t="str">
        <f ca="1">IFERROR(OFFSET(INDIRECT($H$3 &amp; "!A17"), 3, 0), "")</f>
        <v>디센트럴랜드</v>
      </c>
      <c r="L9" s="65">
        <f t="shared" ca="1" si="0"/>
        <v>1415</v>
      </c>
      <c r="M9" s="60">
        <f t="shared" ca="1" si="1"/>
        <v>5.99250936E-2</v>
      </c>
      <c r="O9" s="79" t="str">
        <f>INDEX($A$2:$D$200, MATCH(LARGE($D$2:$D$200, 4), $D$2:$D$200, 0), 2)</f>
        <v>디센트럴랜드</v>
      </c>
      <c r="P9" s="65">
        <f t="shared" si="2"/>
        <v>1415</v>
      </c>
      <c r="Q9" s="60">
        <f t="shared" si="3"/>
        <v>5.99250936E-2</v>
      </c>
    </row>
    <row r="10" spans="1:17">
      <c r="A10" s="66" t="s">
        <v>76</v>
      </c>
      <c r="B10" s="67" t="s">
        <v>77</v>
      </c>
      <c r="C10" s="67">
        <v>53.6</v>
      </c>
      <c r="D10" s="82">
        <v>2.2900763399999999E-2</v>
      </c>
      <c r="E10" s="57"/>
      <c r="F10" s="57"/>
      <c r="G10" s="162">
        <f>_xlfn.IFNA(VLOOKUP(G7, $B$2:$D$200, 3, FALSE), "-")</f>
        <v>-6.7108111999999998E-3</v>
      </c>
      <c r="H10" s="164">
        <f>_xlfn.IFNA(VLOOKUP(G7, $B$2:$D$200, 2, FALSE), "-")</f>
        <v>78003000</v>
      </c>
      <c r="I10" s="165"/>
      <c r="K10" s="95" t="str">
        <f ca="1">IFERROR(OFFSET(INDIRECT($H$3 &amp; "!A17"), 4, 0), "")</f>
        <v>네오</v>
      </c>
      <c r="L10" s="72">
        <f t="shared" ca="1" si="0"/>
        <v>85700</v>
      </c>
      <c r="M10" s="73">
        <f t="shared" ca="1" si="1"/>
        <v>5.5028930199999999E-2</v>
      </c>
      <c r="O10" s="79" t="str">
        <f>INDEX($A$2:$D$200, MATCH(LARGE($D$2:$D$200, 5), $D$2:$D$200, 0), 2)</f>
        <v>네오</v>
      </c>
      <c r="P10" s="65">
        <f t="shared" si="2"/>
        <v>85700</v>
      </c>
      <c r="Q10" s="60">
        <f t="shared" si="3"/>
        <v>5.5028930199999999E-2</v>
      </c>
    </row>
    <row r="11" spans="1:17" ht="17.25" thickBot="1">
      <c r="A11" s="66" t="s">
        <v>78</v>
      </c>
      <c r="B11" s="67" t="s">
        <v>79</v>
      </c>
      <c r="C11" s="67">
        <v>28100</v>
      </c>
      <c r="D11" s="82">
        <v>1.8115941999999999E-2</v>
      </c>
      <c r="E11" s="57"/>
      <c r="F11" s="57"/>
      <c r="G11" s="163"/>
      <c r="H11" s="166"/>
      <c r="I11" s="167"/>
      <c r="K11" s="93" t="str">
        <f ca="1">IFERROR(OFFSET(INDIRECT($H$3 &amp; "!A17"), 5, 0), "")</f>
        <v>아이오에스티</v>
      </c>
      <c r="L11" s="65">
        <f t="shared" ca="1" si="0"/>
        <v>72.099999999999994</v>
      </c>
      <c r="M11" s="60">
        <f t="shared" ca="1" si="1"/>
        <v>4.19075145E-2</v>
      </c>
      <c r="O11" s="81" t="str">
        <f>INDEX($A$2:$D$200, MATCH(LARGE($D$2:$D$200, 6), $D$2:$D$200, 0), 2)</f>
        <v>아이오에스티</v>
      </c>
      <c r="P11" s="74">
        <f t="shared" si="2"/>
        <v>72.099999999999994</v>
      </c>
      <c r="Q11" s="75">
        <f t="shared" si="3"/>
        <v>4.19075145E-2</v>
      </c>
    </row>
    <row r="12" spans="1:17" ht="17.25" thickBot="1">
      <c r="A12" s="66" t="s">
        <v>80</v>
      </c>
      <c r="B12" s="67" t="s">
        <v>81</v>
      </c>
      <c r="C12" s="67">
        <v>42740</v>
      </c>
      <c r="D12" s="82">
        <v>1.6892695700000002E-2</v>
      </c>
      <c r="E12" s="57"/>
      <c r="F12" s="57"/>
      <c r="K12" s="93" t="str">
        <f ca="1">IFERROR(OFFSET(INDIRECT($H$3 &amp; "!A17"), 6, 0), "")</f>
        <v>코박토큰</v>
      </c>
      <c r="L12" s="65">
        <f t="shared" ca="1" si="0"/>
        <v>11880</v>
      </c>
      <c r="M12" s="60">
        <f t="shared" ca="1" si="1"/>
        <v>3.8461538500000003E-2</v>
      </c>
      <c r="O12" s="79" t="str">
        <f>INDEX($A$2:$D$200, MATCH(LARGE($D$2:$D$200, 7), $D$2:$D$200, 0), 2)</f>
        <v>코박토큰</v>
      </c>
      <c r="P12" s="65">
        <f t="shared" si="2"/>
        <v>11880</v>
      </c>
      <c r="Q12" s="60">
        <f t="shared" si="3"/>
        <v>3.8461538500000003E-2</v>
      </c>
    </row>
    <row r="13" spans="1:17" ht="17.25" thickBot="1">
      <c r="A13" s="66" t="s">
        <v>82</v>
      </c>
      <c r="B13" s="67" t="s">
        <v>83</v>
      </c>
      <c r="C13" s="67">
        <v>899600</v>
      </c>
      <c r="D13" s="82">
        <v>1.6726943899999999E-2</v>
      </c>
      <c r="E13" s="57"/>
      <c r="F13" s="57"/>
      <c r="G13" s="122" t="s">
        <v>75</v>
      </c>
      <c r="H13" s="123"/>
      <c r="I13" s="124"/>
      <c r="K13" s="93" t="str">
        <f ca="1">IFERROR(OFFSET(INDIRECT($H$3 &amp; "!A17"), 7, 0), "")</f>
        <v>세럼</v>
      </c>
      <c r="L13" s="65">
        <f t="shared" ca="1" si="0"/>
        <v>9550</v>
      </c>
      <c r="M13" s="60">
        <f t="shared" ca="1" si="1"/>
        <v>3.2432432400000002E-2</v>
      </c>
      <c r="O13" s="79" t="str">
        <f>INDEX($A$2:$D$200, MATCH(LARGE($D$2:$D$200, 8), $D$2:$D$200, 0), 2)</f>
        <v>세럼</v>
      </c>
      <c r="P13" s="65">
        <f t="shared" si="2"/>
        <v>9550</v>
      </c>
      <c r="Q13" s="60">
        <f t="shared" si="3"/>
        <v>3.2432432400000002E-2</v>
      </c>
    </row>
    <row r="14" spans="1:17">
      <c r="A14" s="66" t="s">
        <v>84</v>
      </c>
      <c r="B14" s="67" t="s">
        <v>85</v>
      </c>
      <c r="C14" s="67">
        <v>1955</v>
      </c>
      <c r="D14" s="82">
        <v>1.29533679E-2</v>
      </c>
      <c r="E14" s="57"/>
      <c r="F14" s="57"/>
      <c r="G14" s="144" t="s">
        <v>36</v>
      </c>
      <c r="H14" s="145"/>
      <c r="I14" s="146"/>
      <c r="K14" s="93" t="str">
        <f ca="1">IFERROR(OFFSET(INDIRECT($H$3 &amp; "!A17"), 8, 0), "")</f>
        <v>쿼크체인</v>
      </c>
      <c r="L14" s="65">
        <f t="shared" ca="1" si="0"/>
        <v>53.6</v>
      </c>
      <c r="M14" s="60">
        <f t="shared" ca="1" si="1"/>
        <v>2.2900763399999999E-2</v>
      </c>
      <c r="O14" s="79" t="str">
        <f>INDEX($A$2:$D$200, MATCH(LARGE($D$2:$D$200, 9), $D$2:$D$200, 0), 2)</f>
        <v>쿼크체인</v>
      </c>
      <c r="P14" s="65">
        <f t="shared" si="2"/>
        <v>53.6</v>
      </c>
      <c r="Q14" s="60">
        <f t="shared" si="3"/>
        <v>2.2900763399999999E-2</v>
      </c>
    </row>
    <row r="15" spans="1:17" ht="17.25" thickBot="1">
      <c r="A15" s="66" t="s">
        <v>86</v>
      </c>
      <c r="B15" s="67" t="s">
        <v>87</v>
      </c>
      <c r="C15" s="67">
        <v>2020</v>
      </c>
      <c r="D15" s="82">
        <v>1.25313283E-2</v>
      </c>
      <c r="E15" s="57"/>
      <c r="F15" s="57"/>
      <c r="G15" s="150"/>
      <c r="H15" s="151"/>
      <c r="I15" s="152"/>
      <c r="K15" s="94" t="str">
        <f ca="1">IFERROR(OFFSET(INDIRECT($H$3 &amp; "!A17"), 9, 0), "")</f>
        <v>코스모스</v>
      </c>
      <c r="L15" s="61">
        <f t="shared" ca="1" si="0"/>
        <v>28100</v>
      </c>
      <c r="M15" s="62">
        <f t="shared" ca="1" si="1"/>
        <v>1.8115941999999999E-2</v>
      </c>
      <c r="O15" s="80" t="str">
        <f>INDEX($A$2:$D$200, MATCH(LARGE($D$2:$D$200, 10), $D$2:$D$200, 0), 2)</f>
        <v>코스모스</v>
      </c>
      <c r="P15" s="61">
        <f t="shared" si="2"/>
        <v>28100</v>
      </c>
      <c r="Q15" s="62">
        <f t="shared" si="3"/>
        <v>1.8115941999999999E-2</v>
      </c>
    </row>
    <row r="16" spans="1:17" ht="17.25" thickBot="1">
      <c r="A16" s="66" t="s">
        <v>88</v>
      </c>
      <c r="B16" s="67" t="s">
        <v>89</v>
      </c>
      <c r="C16" s="67">
        <v>1625</v>
      </c>
      <c r="D16" s="82">
        <v>1.2461059199999999E-2</v>
      </c>
      <c r="E16" s="57"/>
      <c r="F16" s="57"/>
      <c r="G16" s="10" t="s">
        <v>38</v>
      </c>
      <c r="H16" s="123" t="s">
        <v>37</v>
      </c>
      <c r="I16" s="124"/>
      <c r="K16" s="92" t="str">
        <f ca="1">IFERROR(OFFSET(INDIRECT($H$3 &amp; "!A17"), 10, 0), "")</f>
        <v>체인링크</v>
      </c>
      <c r="L16" s="63">
        <f t="shared" ca="1" si="0"/>
        <v>42740</v>
      </c>
      <c r="M16" s="64">
        <f t="shared" ca="1" si="1"/>
        <v>1.6892695700000002E-2</v>
      </c>
      <c r="O16" s="78" t="str">
        <f>INDEX($A$2:$D$200, MATCH(LARGE($D$2:$D$200, 11), $D$2:$D$200, 0), 2)</f>
        <v>체인링크</v>
      </c>
      <c r="P16" s="63">
        <f t="shared" si="2"/>
        <v>42740</v>
      </c>
      <c r="Q16" s="64">
        <f t="shared" si="3"/>
        <v>1.6892695700000002E-2</v>
      </c>
    </row>
    <row r="17" spans="1:17">
      <c r="A17" s="66" t="s">
        <v>90</v>
      </c>
      <c r="B17" s="67" t="s">
        <v>91</v>
      </c>
      <c r="C17" s="67">
        <v>8800</v>
      </c>
      <c r="D17" s="82">
        <v>1.20759057E-2</v>
      </c>
      <c r="E17" s="57"/>
      <c r="F17" s="57"/>
      <c r="G17" s="162">
        <f>_xlfn.IFNA(VLOOKUP(G14, $B$2:$D$200, 3, FALSE), "-")</f>
        <v>-6.7108111999999998E-3</v>
      </c>
      <c r="H17" s="164">
        <f>_xlfn.IFNA(VLOOKUP(G14, $B$2:$D$200, 2, FALSE), "-")</f>
        <v>78003000</v>
      </c>
      <c r="I17" s="165"/>
      <c r="K17" s="93" t="str">
        <f ca="1">IFERROR(OFFSET(INDIRECT($H$3 &amp; "!A17"), 11, 0), "")</f>
        <v>비트코인캐시</v>
      </c>
      <c r="L17" s="65">
        <f t="shared" ca="1" si="0"/>
        <v>899600</v>
      </c>
      <c r="M17" s="60">
        <f t="shared" ca="1" si="1"/>
        <v>1.6726943899999999E-2</v>
      </c>
      <c r="O17" s="79" t="str">
        <f>INDEX($A$2:$D$200, MATCH(LARGE($D$2:$D$200, 12), $D$2:$D$200, 0), 2)</f>
        <v>비트코인캐시</v>
      </c>
      <c r="P17" s="65">
        <f t="shared" si="2"/>
        <v>899600</v>
      </c>
      <c r="Q17" s="60">
        <f t="shared" si="3"/>
        <v>1.6726943899999999E-2</v>
      </c>
    </row>
    <row r="18" spans="1:17" ht="17.25" thickBot="1">
      <c r="A18" s="66" t="s">
        <v>92</v>
      </c>
      <c r="B18" s="67" t="s">
        <v>93</v>
      </c>
      <c r="C18" s="67">
        <v>614</v>
      </c>
      <c r="D18" s="82">
        <v>9.8684211000000001E-3</v>
      </c>
      <c r="E18" s="57"/>
      <c r="F18" s="57"/>
      <c r="G18" s="163"/>
      <c r="H18" s="166"/>
      <c r="I18" s="167"/>
      <c r="K18" s="93">
        <f ca="1">IFERROR(OFFSET(INDIRECT($H$3 &amp; "!A17"), 12, 0), "")</f>
        <v>0</v>
      </c>
      <c r="L18" s="65" t="str">
        <f t="shared" ca="1" si="0"/>
        <v/>
      </c>
      <c r="M18" s="60" t="str">
        <f t="shared" ca="1" si="1"/>
        <v/>
      </c>
      <c r="O18" s="79" t="str">
        <f>INDEX($A$2:$D$200, MATCH(LARGE($D$2:$D$200, 13), $D$2:$D$200, 0), 2)</f>
        <v>베이직어텐션토큰</v>
      </c>
      <c r="P18" s="65">
        <f t="shared" si="2"/>
        <v>1955</v>
      </c>
      <c r="Q18" s="60">
        <f t="shared" si="3"/>
        <v>1.29533679E-2</v>
      </c>
    </row>
    <row r="19" spans="1:17" ht="17.25" thickBot="1">
      <c r="A19" s="66" t="s">
        <v>94</v>
      </c>
      <c r="B19" s="67" t="s">
        <v>95</v>
      </c>
      <c r="C19" s="67">
        <v>359000</v>
      </c>
      <c r="D19" s="82">
        <v>3.4940600999999998E-3</v>
      </c>
      <c r="E19" s="57"/>
      <c r="F19" s="57"/>
      <c r="K19" s="93">
        <f ca="1">IFERROR(OFFSET(INDIRECT($H$3 &amp; "!A17"), 13, 0), "")</f>
        <v>0</v>
      </c>
      <c r="L19" s="65" t="str">
        <f t="shared" ca="1" si="0"/>
        <v/>
      </c>
      <c r="M19" s="60" t="str">
        <f t="shared" ca="1" si="1"/>
        <v/>
      </c>
      <c r="O19" s="79" t="str">
        <f>INDEX($A$2:$D$200, MATCH(LARGE($D$2:$D$200, 14), $D$2:$D$200, 0), 2)</f>
        <v>애드엑스</v>
      </c>
      <c r="P19" s="65">
        <f t="shared" si="2"/>
        <v>2020</v>
      </c>
      <c r="Q19" s="60">
        <f t="shared" si="3"/>
        <v>1.25313283E-2</v>
      </c>
    </row>
    <row r="20" spans="1:17" ht="17.25" thickBot="1">
      <c r="A20" s="66" t="s">
        <v>96</v>
      </c>
      <c r="B20" s="67" t="s">
        <v>97</v>
      </c>
      <c r="C20" s="67">
        <v>1810</v>
      </c>
      <c r="D20" s="82">
        <v>2.7700831E-3</v>
      </c>
      <c r="E20" s="57"/>
      <c r="F20" s="57"/>
      <c r="G20" s="122" t="s">
        <v>296</v>
      </c>
      <c r="H20" s="123"/>
      <c r="I20" s="124"/>
      <c r="K20" s="95">
        <f ca="1">IFERROR(OFFSET(INDIRECT($H$3 &amp; "!A17"), 14, 0), "")</f>
        <v>0</v>
      </c>
      <c r="L20" s="72" t="str">
        <f t="shared" ca="1" si="0"/>
        <v/>
      </c>
      <c r="M20" s="73" t="str">
        <f t="shared" ca="1" si="1"/>
        <v/>
      </c>
      <c r="O20" s="79" t="str">
        <f>INDEX($A$2:$D$200, MATCH(LARGE($D$2:$D$200, 15), $D$2:$D$200, 0), 2)</f>
        <v>에이다</v>
      </c>
      <c r="P20" s="65">
        <f t="shared" si="2"/>
        <v>1625</v>
      </c>
      <c r="Q20" s="60">
        <f t="shared" si="3"/>
        <v>1.2461059199999999E-2</v>
      </c>
    </row>
    <row r="21" spans="1:17">
      <c r="A21" s="66" t="s">
        <v>98</v>
      </c>
      <c r="B21" s="67" t="s">
        <v>99</v>
      </c>
      <c r="C21" s="67">
        <v>153200</v>
      </c>
      <c r="D21" s="82">
        <v>1.9620667E-3</v>
      </c>
      <c r="E21" s="57"/>
      <c r="F21" s="57"/>
      <c r="G21" s="144" t="s">
        <v>36</v>
      </c>
      <c r="H21" s="145"/>
      <c r="I21" s="146"/>
      <c r="K21" s="93">
        <f ca="1">IFERROR(OFFSET(INDIRECT($H$3 &amp; "!A17"), 15, 0), "")</f>
        <v>0</v>
      </c>
      <c r="L21" s="65" t="str">
        <f t="shared" ca="1" si="0"/>
        <v/>
      </c>
      <c r="M21" s="60" t="str">
        <f t="shared" ca="1" si="1"/>
        <v/>
      </c>
      <c r="O21" s="81" t="str">
        <f>INDEX($A$2:$D$200, MATCH(LARGE($D$2:$D$200, 16), $D$2:$D$200, 0), 2)</f>
        <v>이오스</v>
      </c>
      <c r="P21" s="74">
        <f t="shared" si="2"/>
        <v>8800</v>
      </c>
      <c r="Q21" s="75">
        <f t="shared" si="3"/>
        <v>1.20759057E-2</v>
      </c>
    </row>
    <row r="22" spans="1:17" ht="17.25" thickBot="1">
      <c r="A22" s="66" t="s">
        <v>100</v>
      </c>
      <c r="B22" s="67" t="s">
        <v>101</v>
      </c>
      <c r="C22" s="67">
        <v>2804000</v>
      </c>
      <c r="D22" s="82">
        <v>3.5676060000000001E-4</v>
      </c>
      <c r="E22" s="57"/>
      <c r="F22" s="57"/>
      <c r="G22" s="150"/>
      <c r="H22" s="151"/>
      <c r="I22" s="152"/>
      <c r="K22" s="93">
        <f ca="1">IFERROR(OFFSET(INDIRECT($H$3 &amp; "!A17"), 16, 0), "")</f>
        <v>0</v>
      </c>
      <c r="L22" s="65" t="str">
        <f t="shared" ca="1" si="0"/>
        <v/>
      </c>
      <c r="M22" s="60" t="str">
        <f t="shared" ca="1" si="1"/>
        <v/>
      </c>
      <c r="O22" s="79" t="str">
        <f>INDEX($A$2:$D$200, MATCH(LARGE($D$2:$D$200, 17), $D$2:$D$200, 0), 2)</f>
        <v>칠리즈</v>
      </c>
      <c r="P22" s="65">
        <f t="shared" si="2"/>
        <v>614</v>
      </c>
      <c r="Q22" s="60">
        <f t="shared" si="3"/>
        <v>9.8684211000000001E-3</v>
      </c>
    </row>
    <row r="23" spans="1:17" ht="17.25" thickBot="1">
      <c r="A23" s="66" t="s">
        <v>102</v>
      </c>
      <c r="B23" s="67" t="s">
        <v>103</v>
      </c>
      <c r="C23" s="67">
        <v>8635</v>
      </c>
      <c r="D23" s="82">
        <v>0</v>
      </c>
      <c r="E23" s="57"/>
      <c r="F23" s="57"/>
      <c r="G23" s="10" t="s">
        <v>38</v>
      </c>
      <c r="H23" s="123" t="s">
        <v>37</v>
      </c>
      <c r="I23" s="124"/>
      <c r="K23" s="93">
        <f ca="1">IFERROR(OFFSET(INDIRECT($H$3 &amp; "!A17"), 17, 0), "")</f>
        <v>0</v>
      </c>
      <c r="L23" s="65" t="str">
        <f t="shared" ca="1" si="0"/>
        <v/>
      </c>
      <c r="M23" s="60" t="str">
        <f t="shared" ca="1" si="1"/>
        <v/>
      </c>
      <c r="O23" s="79" t="str">
        <f>INDEX($A$2:$D$200, MATCH(LARGE($D$2:$D$200, 18), $D$2:$D$200, 0), 2)</f>
        <v>비트코인에스브이</v>
      </c>
      <c r="P23" s="65">
        <f t="shared" si="2"/>
        <v>359000</v>
      </c>
      <c r="Q23" s="60">
        <f t="shared" si="3"/>
        <v>3.4940600999999998E-3</v>
      </c>
    </row>
    <row r="24" spans="1:17">
      <c r="A24" s="66" t="s">
        <v>52</v>
      </c>
      <c r="B24" s="67" t="s">
        <v>53</v>
      </c>
      <c r="C24" s="67">
        <v>78003000</v>
      </c>
      <c r="D24" s="82">
        <v>-6.7108111999999998E-3</v>
      </c>
      <c r="E24" s="57"/>
      <c r="F24" s="57"/>
      <c r="G24" s="162">
        <f>_xlfn.IFNA(VLOOKUP(G21, $B$2:$D$200, 3, FALSE), "-")</f>
        <v>-6.7108111999999998E-3</v>
      </c>
      <c r="H24" s="164">
        <f>_xlfn.IFNA(VLOOKUP(G21, $B$2:$D$200, 2, FALSE), "-")</f>
        <v>78003000</v>
      </c>
      <c r="I24" s="165"/>
      <c r="K24" s="93">
        <f ca="1">IFERROR(OFFSET(INDIRECT($H$3 &amp; "!A17"), 18, 0), "")</f>
        <v>0</v>
      </c>
      <c r="L24" s="65" t="str">
        <f t="shared" ca="1" si="0"/>
        <v/>
      </c>
      <c r="M24" s="60" t="str">
        <f t="shared" ca="1" si="1"/>
        <v/>
      </c>
      <c r="O24" s="79" t="str">
        <f>INDEX($A$2:$D$200, MATCH(LARGE($D$2:$D$200, 19), $D$2:$D$200, 0), 2)</f>
        <v>리플</v>
      </c>
      <c r="P24" s="65">
        <f t="shared" si="2"/>
        <v>1810</v>
      </c>
      <c r="Q24" s="60">
        <f t="shared" si="3"/>
        <v>2.7700831E-3</v>
      </c>
    </row>
    <row r="25" spans="1:17" ht="17.25" thickBot="1">
      <c r="A25" s="66" t="s">
        <v>104</v>
      </c>
      <c r="B25" s="67" t="s">
        <v>105</v>
      </c>
      <c r="C25" s="67">
        <v>11.1</v>
      </c>
      <c r="D25" s="82">
        <v>-8.9285713999999999E-3</v>
      </c>
      <c r="E25" s="57"/>
      <c r="F25" s="57"/>
      <c r="G25" s="163"/>
      <c r="H25" s="166"/>
      <c r="I25" s="167"/>
      <c r="K25" s="94">
        <f ca="1">IFERROR(OFFSET(INDIRECT($H$3 &amp; "!A17"), 19, 0), "")</f>
        <v>0</v>
      </c>
      <c r="L25" s="61" t="str">
        <f t="shared" ca="1" si="0"/>
        <v/>
      </c>
      <c r="M25" s="62" t="str">
        <f t="shared" ca="1" si="1"/>
        <v/>
      </c>
      <c r="O25" s="80" t="str">
        <f>INDEX($A$2:$D$200, MATCH(LARGE($D$2:$D$200, 20), $D$2:$D$200, 0), 2)</f>
        <v>비트코인골드</v>
      </c>
      <c r="P25" s="61">
        <f t="shared" si="2"/>
        <v>153200</v>
      </c>
      <c r="Q25" s="62">
        <f t="shared" si="3"/>
        <v>1.9620667E-3</v>
      </c>
    </row>
    <row r="26" spans="1:17">
      <c r="A26" s="66" t="s">
        <v>106</v>
      </c>
      <c r="B26" s="67" t="s">
        <v>107</v>
      </c>
      <c r="C26" s="67">
        <v>26560</v>
      </c>
      <c r="D26" s="82">
        <v>-9.3248788000000003E-3</v>
      </c>
      <c r="E26" s="57"/>
      <c r="F26" s="57"/>
    </row>
    <row r="27" spans="1:17" ht="17.25" thickBot="1">
      <c r="A27" s="66" t="s">
        <v>108</v>
      </c>
      <c r="B27" s="67" t="s">
        <v>109</v>
      </c>
      <c r="C27" s="67">
        <v>2585</v>
      </c>
      <c r="D27" s="82">
        <v>-1.1472275299999999E-2</v>
      </c>
      <c r="E27" s="57"/>
      <c r="F27" s="57"/>
    </row>
    <row r="28" spans="1:17" ht="17.25" thickBot="1">
      <c r="A28" s="66" t="s">
        <v>110</v>
      </c>
      <c r="B28" s="67" t="s">
        <v>111</v>
      </c>
      <c r="C28" s="67">
        <v>2820</v>
      </c>
      <c r="D28" s="82">
        <v>-1.5706806300000001E-2</v>
      </c>
      <c r="E28" s="57"/>
      <c r="F28" s="57"/>
      <c r="G28" s="122" t="s">
        <v>50</v>
      </c>
      <c r="H28" s="123"/>
      <c r="I28" s="124"/>
      <c r="K28" s="122" t="s">
        <v>48</v>
      </c>
      <c r="L28" s="123"/>
      <c r="M28" s="124"/>
      <c r="O28" s="122" t="s">
        <v>49</v>
      </c>
      <c r="P28" s="123"/>
      <c r="Q28" s="124"/>
    </row>
    <row r="29" spans="1:17" ht="17.25" thickBot="1">
      <c r="A29" s="66" t="s">
        <v>112</v>
      </c>
      <c r="B29" s="67" t="s">
        <v>113</v>
      </c>
      <c r="C29" s="67">
        <v>63770</v>
      </c>
      <c r="D29" s="82">
        <v>-1.60469063E-2</v>
      </c>
      <c r="E29" s="57"/>
      <c r="F29" s="57"/>
      <c r="G29" s="158" t="s">
        <v>59</v>
      </c>
      <c r="H29" s="123" t="s">
        <v>60</v>
      </c>
      <c r="I29" s="124"/>
      <c r="K29" s="158" t="s">
        <v>59</v>
      </c>
      <c r="L29" s="123" t="s">
        <v>60</v>
      </c>
      <c r="M29" s="124"/>
      <c r="O29" s="158" t="s">
        <v>59</v>
      </c>
      <c r="P29" s="123" t="s">
        <v>60</v>
      </c>
      <c r="Q29" s="124"/>
    </row>
    <row r="30" spans="1:17" ht="17.25" thickBot="1">
      <c r="A30" s="66" t="s">
        <v>114</v>
      </c>
      <c r="B30" s="67" t="s">
        <v>115</v>
      </c>
      <c r="C30" s="67">
        <v>3310</v>
      </c>
      <c r="D30" s="82">
        <v>-1.6344725099999999E-2</v>
      </c>
      <c r="E30" s="57"/>
      <c r="F30" s="57"/>
      <c r="G30" s="159"/>
      <c r="H30" s="58" t="s">
        <v>63</v>
      </c>
      <c r="I30" s="59" t="s">
        <v>64</v>
      </c>
      <c r="K30" s="159"/>
      <c r="L30" s="58" t="s">
        <v>63</v>
      </c>
      <c r="M30" s="59" t="s">
        <v>64</v>
      </c>
      <c r="O30" s="159"/>
      <c r="P30" s="58" t="s">
        <v>63</v>
      </c>
      <c r="Q30" s="59" t="s">
        <v>64</v>
      </c>
    </row>
    <row r="31" spans="1:17">
      <c r="A31" s="66" t="s">
        <v>116</v>
      </c>
      <c r="B31" s="67" t="s">
        <v>117</v>
      </c>
      <c r="C31" s="67">
        <v>341</v>
      </c>
      <c r="D31" s="82">
        <v>-1.7291066300000001E-2</v>
      </c>
      <c r="E31" s="57"/>
      <c r="F31" s="57"/>
      <c r="G31" s="92">
        <f ca="1">IFERROR(OFFSET(INDIRECT($H$3 &amp; "!A98"), 0, 0), "")</f>
        <v>0</v>
      </c>
      <c r="H31" s="63" t="str">
        <f t="shared" ref="H31:H50" ca="1" si="4">_xlfn.IFNA(VLOOKUP(G31, $B$2:$D$200, 2, FALSE), "")</f>
        <v/>
      </c>
      <c r="I31" s="64" t="str">
        <f t="shared" ref="I31:I50" ca="1" si="5">_xlfn.IFNA(VLOOKUP(G31, $B$2:$D$200, 3, FALSE), "")</f>
        <v/>
      </c>
      <c r="K31" s="92" t="str">
        <f ca="1">IFERROR(OFFSET(INDIRECT($H$3 &amp; "!A44"), 0, 0), "")</f>
        <v>스텔라루멘</v>
      </c>
      <c r="L31" s="63">
        <f t="shared" ref="L31:L50" ca="1" si="6">_xlfn.IFNA(VLOOKUP(K31, $B$2:$D$200, 2, FALSE), "")</f>
        <v>798</v>
      </c>
      <c r="M31" s="64">
        <f t="shared" ref="M31:M50" ca="1" si="7">_xlfn.IFNA(VLOOKUP(K31, $B$2:$D$200, 3, FALSE), "")</f>
        <v>8.1300813E-2</v>
      </c>
      <c r="O31" s="92">
        <f ca="1">IFERROR(OFFSET(INDIRECT($H$3 &amp; "!A71"), 0, 0), "")</f>
        <v>0</v>
      </c>
      <c r="P31" s="63" t="str">
        <f t="shared" ref="P31:P50" ca="1" si="8">_xlfn.IFNA(VLOOKUP(O31, $B$2:$D$200, 2, FALSE), "")</f>
        <v/>
      </c>
      <c r="Q31" s="64" t="str">
        <f t="shared" ref="Q31:Q50" ca="1" si="9">_xlfn.IFNA(VLOOKUP(O31, $B$2:$D$200, 3, FALSE), "")</f>
        <v/>
      </c>
    </row>
    <row r="32" spans="1:17">
      <c r="A32" s="66" t="s">
        <v>118</v>
      </c>
      <c r="B32" s="67" t="s">
        <v>119</v>
      </c>
      <c r="C32" s="67">
        <v>16010</v>
      </c>
      <c r="D32" s="82">
        <v>-1.7791411E-2</v>
      </c>
      <c r="E32" s="57"/>
      <c r="F32" s="57"/>
      <c r="G32" s="93">
        <f ca="1">IFERROR(OFFSET(INDIRECT($H$3 &amp; "!A98"), 1, 0), "")</f>
        <v>0</v>
      </c>
      <c r="H32" s="65" t="str">
        <f t="shared" ca="1" si="4"/>
        <v/>
      </c>
      <c r="I32" s="60" t="str">
        <f t="shared" ca="1" si="5"/>
        <v/>
      </c>
      <c r="K32" s="93" t="str">
        <f ca="1">IFERROR(OFFSET(INDIRECT($H$3 &amp; "!A44"), 1, 0), "")</f>
        <v>헤데라해시그래프</v>
      </c>
      <c r="L32" s="65">
        <f t="shared" ca="1" si="6"/>
        <v>468</v>
      </c>
      <c r="M32" s="60">
        <f t="shared" ca="1" si="7"/>
        <v>8.0831408800000004E-2</v>
      </c>
      <c r="O32" s="93">
        <f ca="1">IFERROR(OFFSET(INDIRECT($H$3 &amp; "!A71"), 1, 0), "")</f>
        <v>0</v>
      </c>
      <c r="P32" s="65" t="str">
        <f t="shared" ca="1" si="8"/>
        <v/>
      </c>
      <c r="Q32" s="60" t="str">
        <f t="shared" ca="1" si="9"/>
        <v/>
      </c>
    </row>
    <row r="33" spans="1:17">
      <c r="A33" s="66" t="s">
        <v>120</v>
      </c>
      <c r="B33" s="67" t="s">
        <v>121</v>
      </c>
      <c r="C33" s="67">
        <v>858</v>
      </c>
      <c r="D33" s="82">
        <v>-1.9428571400000001E-2</v>
      </c>
      <c r="E33" s="57"/>
      <c r="F33" s="57"/>
      <c r="G33" s="93">
        <f ca="1">IFERROR(OFFSET(INDIRECT($H$3 &amp; "!A98"), 2, 0), "")</f>
        <v>0</v>
      </c>
      <c r="H33" s="65" t="str">
        <f t="shared" ca="1" si="4"/>
        <v/>
      </c>
      <c r="I33" s="60" t="str">
        <f t="shared" ca="1" si="5"/>
        <v/>
      </c>
      <c r="K33" s="93" t="str">
        <f ca="1">IFERROR(OFFSET(INDIRECT($H$3 &amp; "!A44"), 2, 0), "")</f>
        <v>넴</v>
      </c>
      <c r="L33" s="65">
        <f t="shared" ca="1" si="6"/>
        <v>580</v>
      </c>
      <c r="M33" s="60">
        <f t="shared" ca="1" si="7"/>
        <v>6.2271062299999999E-2</v>
      </c>
      <c r="O33" s="93">
        <f ca="1">IFERROR(OFFSET(INDIRECT($H$3 &amp; "!A71"), 2, 0), "")</f>
        <v>0</v>
      </c>
      <c r="P33" s="65" t="str">
        <f t="shared" ca="1" si="8"/>
        <v/>
      </c>
      <c r="Q33" s="60" t="str">
        <f t="shared" ca="1" si="9"/>
        <v/>
      </c>
    </row>
    <row r="34" spans="1:17">
      <c r="A34" s="66" t="s">
        <v>122</v>
      </c>
      <c r="B34" s="67" t="s">
        <v>123</v>
      </c>
      <c r="C34" s="67">
        <v>9140</v>
      </c>
      <c r="D34" s="82">
        <v>-2.0889126899999999E-2</v>
      </c>
      <c r="E34" s="57"/>
      <c r="F34" s="57"/>
      <c r="G34" s="93">
        <f ca="1">IFERROR(OFFSET(INDIRECT($H$3 &amp; "!A98"), 3, 0), "")</f>
        <v>0</v>
      </c>
      <c r="H34" s="65" t="str">
        <f t="shared" ca="1" si="4"/>
        <v/>
      </c>
      <c r="I34" s="60" t="str">
        <f t="shared" ca="1" si="5"/>
        <v/>
      </c>
      <c r="K34" s="93" t="str">
        <f ca="1">IFERROR(OFFSET(INDIRECT($H$3 &amp; "!A44"), 3, 0), "")</f>
        <v>디센트럴랜드</v>
      </c>
      <c r="L34" s="65">
        <f t="shared" ca="1" si="6"/>
        <v>1415</v>
      </c>
      <c r="M34" s="60">
        <f t="shared" ca="1" si="7"/>
        <v>5.99250936E-2</v>
      </c>
      <c r="O34" s="93">
        <f ca="1">IFERROR(OFFSET(INDIRECT($H$3 &amp; "!A71"), 3, 0), "")</f>
        <v>0</v>
      </c>
      <c r="P34" s="65" t="str">
        <f t="shared" ca="1" si="8"/>
        <v/>
      </c>
      <c r="Q34" s="60" t="str">
        <f t="shared" ca="1" si="9"/>
        <v/>
      </c>
    </row>
    <row r="35" spans="1:17">
      <c r="A35" s="66" t="s">
        <v>124</v>
      </c>
      <c r="B35" s="67" t="s">
        <v>125</v>
      </c>
      <c r="C35" s="67">
        <v>277</v>
      </c>
      <c r="D35" s="82">
        <v>-2.1201413400000001E-2</v>
      </c>
      <c r="E35" s="57"/>
      <c r="F35" s="57"/>
      <c r="G35" s="95">
        <f ca="1">IFERROR(OFFSET(INDIRECT($H$3 &amp; "!A98"), 4, 0), "")</f>
        <v>0</v>
      </c>
      <c r="H35" s="72" t="str">
        <f t="shared" ca="1" si="4"/>
        <v/>
      </c>
      <c r="I35" s="73" t="str">
        <f t="shared" ca="1" si="5"/>
        <v/>
      </c>
      <c r="K35" s="95" t="str">
        <f ca="1">IFERROR(OFFSET(INDIRECT($H$3 &amp; "!A44"), 4, 0), "")</f>
        <v>네오</v>
      </c>
      <c r="L35" s="72">
        <f t="shared" ca="1" si="6"/>
        <v>85700</v>
      </c>
      <c r="M35" s="73">
        <f t="shared" ca="1" si="7"/>
        <v>5.5028930199999999E-2</v>
      </c>
      <c r="O35" s="95">
        <f ca="1">IFERROR(OFFSET(INDIRECT($H$3 &amp; "!A71"), 4, 0), "")</f>
        <v>0</v>
      </c>
      <c r="P35" s="72" t="str">
        <f t="shared" ca="1" si="8"/>
        <v/>
      </c>
      <c r="Q35" s="73" t="str">
        <f t="shared" ca="1" si="9"/>
        <v/>
      </c>
    </row>
    <row r="36" spans="1:17">
      <c r="A36" s="66" t="s">
        <v>126</v>
      </c>
      <c r="B36" s="67" t="s">
        <v>127</v>
      </c>
      <c r="C36" s="67">
        <v>165</v>
      </c>
      <c r="D36" s="82">
        <v>-2.36686391E-2</v>
      </c>
      <c r="E36" s="57"/>
      <c r="F36" s="57"/>
      <c r="G36" s="93">
        <f ca="1">IFERROR(OFFSET(INDIRECT($H$3 &amp; "!A98"), 5, 0), "")</f>
        <v>0</v>
      </c>
      <c r="H36" s="65" t="str">
        <f t="shared" ca="1" si="4"/>
        <v/>
      </c>
      <c r="I36" s="60" t="str">
        <f t="shared" ca="1" si="5"/>
        <v/>
      </c>
      <c r="K36" s="93" t="str">
        <f ca="1">IFERROR(OFFSET(INDIRECT($H$3 &amp; "!A44"), 5, 0), "")</f>
        <v>아이오에스티</v>
      </c>
      <c r="L36" s="65">
        <f t="shared" ca="1" si="6"/>
        <v>72.099999999999994</v>
      </c>
      <c r="M36" s="60">
        <f t="shared" ca="1" si="7"/>
        <v>4.19075145E-2</v>
      </c>
      <c r="O36" s="93">
        <f ca="1">IFERROR(OFFSET(INDIRECT($H$3 &amp; "!A71"), 5, 0), "")</f>
        <v>0</v>
      </c>
      <c r="P36" s="65" t="str">
        <f t="shared" ca="1" si="8"/>
        <v/>
      </c>
      <c r="Q36" s="60" t="str">
        <f t="shared" ca="1" si="9"/>
        <v/>
      </c>
    </row>
    <row r="37" spans="1:17">
      <c r="A37" s="66" t="s">
        <v>128</v>
      </c>
      <c r="B37" s="67" t="s">
        <v>129</v>
      </c>
      <c r="C37" s="67">
        <v>10920</v>
      </c>
      <c r="D37" s="82">
        <v>-2.41286863E-2</v>
      </c>
      <c r="E37" s="57"/>
      <c r="F37" s="57"/>
      <c r="G37" s="93">
        <f ca="1">IFERROR(OFFSET(INDIRECT($H$3 &amp; "!A98"), 6, 0), "")</f>
        <v>0</v>
      </c>
      <c r="H37" s="65" t="str">
        <f t="shared" ca="1" si="4"/>
        <v/>
      </c>
      <c r="I37" s="60" t="str">
        <f t="shared" ca="1" si="5"/>
        <v/>
      </c>
      <c r="K37" s="93" t="str">
        <f ca="1">IFERROR(OFFSET(INDIRECT($H$3 &amp; "!A44"), 6, 0), "")</f>
        <v>코박토큰</v>
      </c>
      <c r="L37" s="65">
        <f t="shared" ca="1" si="6"/>
        <v>11880</v>
      </c>
      <c r="M37" s="60">
        <f t="shared" ca="1" si="7"/>
        <v>3.8461538500000003E-2</v>
      </c>
      <c r="O37" s="93">
        <f ca="1">IFERROR(OFFSET(INDIRECT($H$3 &amp; "!A71"), 6, 0), "")</f>
        <v>0</v>
      </c>
      <c r="P37" s="65" t="str">
        <f t="shared" ca="1" si="8"/>
        <v/>
      </c>
      <c r="Q37" s="60" t="str">
        <f t="shared" ca="1" si="9"/>
        <v/>
      </c>
    </row>
    <row r="38" spans="1:17">
      <c r="A38" s="66" t="s">
        <v>130</v>
      </c>
      <c r="B38" s="67" t="s">
        <v>131</v>
      </c>
      <c r="C38" s="67">
        <v>91.1</v>
      </c>
      <c r="D38" s="82">
        <v>-2.4625267700000002E-2</v>
      </c>
      <c r="E38" s="57"/>
      <c r="F38" s="57"/>
      <c r="G38" s="93">
        <f ca="1">IFERROR(OFFSET(INDIRECT($H$3 &amp; "!A98"), 7, 0), "")</f>
        <v>0</v>
      </c>
      <c r="H38" s="65" t="str">
        <f t="shared" ca="1" si="4"/>
        <v/>
      </c>
      <c r="I38" s="60" t="str">
        <f t="shared" ca="1" si="5"/>
        <v/>
      </c>
      <c r="K38" s="93" t="str">
        <f ca="1">IFERROR(OFFSET(INDIRECT($H$3 &amp; "!A44"), 7, 0), "")</f>
        <v>세럼</v>
      </c>
      <c r="L38" s="65">
        <f t="shared" ca="1" si="6"/>
        <v>9550</v>
      </c>
      <c r="M38" s="60">
        <f t="shared" ca="1" si="7"/>
        <v>3.2432432400000002E-2</v>
      </c>
      <c r="O38" s="93">
        <f ca="1">IFERROR(OFFSET(INDIRECT($H$3 &amp; "!A71"), 7, 0), "")</f>
        <v>0</v>
      </c>
      <c r="P38" s="65" t="str">
        <f t="shared" ca="1" si="8"/>
        <v/>
      </c>
      <c r="Q38" s="60" t="str">
        <f t="shared" ca="1" si="9"/>
        <v/>
      </c>
    </row>
    <row r="39" spans="1:17">
      <c r="A39" s="66" t="s">
        <v>132</v>
      </c>
      <c r="B39" s="67" t="s">
        <v>133</v>
      </c>
      <c r="C39" s="67">
        <v>764</v>
      </c>
      <c r="D39" s="82">
        <v>-2.5510204099999999E-2</v>
      </c>
      <c r="E39" s="57"/>
      <c r="F39" s="57"/>
      <c r="G39" s="93">
        <f ca="1">IFERROR(OFFSET(INDIRECT($H$3 &amp; "!A98"), 8, 0), "")</f>
        <v>0</v>
      </c>
      <c r="H39" s="65" t="str">
        <f t="shared" ca="1" si="4"/>
        <v/>
      </c>
      <c r="I39" s="60" t="str">
        <f t="shared" ca="1" si="5"/>
        <v/>
      </c>
      <c r="K39" s="93" t="str">
        <f ca="1">IFERROR(OFFSET(INDIRECT($H$3 &amp; "!A44"), 8, 0), "")</f>
        <v>쿼크체인</v>
      </c>
      <c r="L39" s="65">
        <f t="shared" ca="1" si="6"/>
        <v>53.6</v>
      </c>
      <c r="M39" s="60">
        <f t="shared" ca="1" si="7"/>
        <v>2.2900763399999999E-2</v>
      </c>
      <c r="O39" s="93">
        <f ca="1">IFERROR(OFFSET(INDIRECT($H$3 &amp; "!A71"), 8, 0), "")</f>
        <v>0</v>
      </c>
      <c r="P39" s="65" t="str">
        <f t="shared" ca="1" si="8"/>
        <v/>
      </c>
      <c r="Q39" s="60" t="str">
        <f t="shared" ca="1" si="9"/>
        <v/>
      </c>
    </row>
    <row r="40" spans="1:17" ht="17.25" thickBot="1">
      <c r="A40" s="66" t="s">
        <v>134</v>
      </c>
      <c r="B40" s="67" t="s">
        <v>135</v>
      </c>
      <c r="C40" s="67">
        <v>328950</v>
      </c>
      <c r="D40" s="82">
        <v>-2.6198934300000001E-2</v>
      </c>
      <c r="E40" s="57"/>
      <c r="F40" s="57"/>
      <c r="G40" s="94">
        <f ca="1">IFERROR(OFFSET(INDIRECT($H$3 &amp; "!A98"), 9, 0), "")</f>
        <v>0</v>
      </c>
      <c r="H40" s="61" t="str">
        <f t="shared" ca="1" si="4"/>
        <v/>
      </c>
      <c r="I40" s="62" t="str">
        <f t="shared" ca="1" si="5"/>
        <v/>
      </c>
      <c r="K40" s="94" t="str">
        <f ca="1">IFERROR(OFFSET(INDIRECT($H$3 &amp; "!A44"), 9, 0), "")</f>
        <v>코스모스</v>
      </c>
      <c r="L40" s="61">
        <f t="shared" ca="1" si="6"/>
        <v>28100</v>
      </c>
      <c r="M40" s="62">
        <f t="shared" ca="1" si="7"/>
        <v>1.8115941999999999E-2</v>
      </c>
      <c r="O40" s="94">
        <f ca="1">IFERROR(OFFSET(INDIRECT($H$3 &amp; "!A71"), 9, 0), "")</f>
        <v>0</v>
      </c>
      <c r="P40" s="61" t="str">
        <f t="shared" ca="1" si="8"/>
        <v/>
      </c>
      <c r="Q40" s="62" t="str">
        <f t="shared" ca="1" si="9"/>
        <v/>
      </c>
    </row>
    <row r="41" spans="1:17">
      <c r="A41" s="66" t="s">
        <v>136</v>
      </c>
      <c r="B41" s="67" t="s">
        <v>137</v>
      </c>
      <c r="C41" s="67">
        <v>181</v>
      </c>
      <c r="D41" s="82">
        <v>-2.68817204E-2</v>
      </c>
      <c r="E41" s="57"/>
      <c r="F41" s="57"/>
      <c r="G41" s="96">
        <f ca="1">IFERROR(OFFSET(INDIRECT($H$3 &amp; "!A98"), 10, 0), "")</f>
        <v>0</v>
      </c>
      <c r="H41" s="63" t="str">
        <f t="shared" ca="1" si="4"/>
        <v/>
      </c>
      <c r="I41" s="64" t="str">
        <f t="shared" ca="1" si="5"/>
        <v/>
      </c>
      <c r="K41" s="92" t="str">
        <f ca="1">IFERROR(OFFSET(INDIRECT($H$3 &amp; "!A44"), 10, 0), "")</f>
        <v>체인링크</v>
      </c>
      <c r="L41" s="63">
        <f t="shared" ca="1" si="6"/>
        <v>42740</v>
      </c>
      <c r="M41" s="64">
        <f t="shared" ca="1" si="7"/>
        <v>1.6892695700000002E-2</v>
      </c>
      <c r="O41" s="92">
        <f ca="1">IFERROR(OFFSET(INDIRECT($H$3 &amp; "!A71"), 10, 0), "")</f>
        <v>0</v>
      </c>
      <c r="P41" s="63" t="str">
        <f t="shared" ca="1" si="8"/>
        <v/>
      </c>
      <c r="Q41" s="64" t="str">
        <f t="shared" ca="1" si="9"/>
        <v/>
      </c>
    </row>
    <row r="42" spans="1:17">
      <c r="A42" s="66" t="s">
        <v>138</v>
      </c>
      <c r="B42" s="67" t="s">
        <v>139</v>
      </c>
      <c r="C42" s="67">
        <v>234</v>
      </c>
      <c r="D42" s="82">
        <v>-2.9045643199999999E-2</v>
      </c>
      <c r="E42" s="57"/>
      <c r="F42" s="57"/>
      <c r="G42" s="93">
        <f ca="1">IFERROR(OFFSET(INDIRECT($H$3 &amp; "!A98"), 11, 0), "")</f>
        <v>0</v>
      </c>
      <c r="H42" s="65" t="str">
        <f t="shared" ca="1" si="4"/>
        <v/>
      </c>
      <c r="I42" s="60" t="str">
        <f t="shared" ca="1" si="5"/>
        <v/>
      </c>
      <c r="K42" s="93" t="str">
        <f ca="1">IFERROR(OFFSET(INDIRECT($H$3 &amp; "!A44"), 11, 0), "")</f>
        <v>비트코인캐시</v>
      </c>
      <c r="L42" s="65">
        <f t="shared" ca="1" si="6"/>
        <v>899600</v>
      </c>
      <c r="M42" s="60">
        <f t="shared" ca="1" si="7"/>
        <v>1.6726943899999999E-2</v>
      </c>
      <c r="O42" s="93">
        <f ca="1">IFERROR(OFFSET(INDIRECT($H$3 &amp; "!A71"), 11, 0), "")</f>
        <v>0</v>
      </c>
      <c r="P42" s="65" t="str">
        <f t="shared" ca="1" si="8"/>
        <v/>
      </c>
      <c r="Q42" s="60" t="str">
        <f t="shared" ca="1" si="9"/>
        <v/>
      </c>
    </row>
    <row r="43" spans="1:17">
      <c r="A43" s="66" t="s">
        <v>140</v>
      </c>
      <c r="B43" s="67" t="s">
        <v>141</v>
      </c>
      <c r="C43" s="67">
        <v>266</v>
      </c>
      <c r="D43" s="82">
        <v>-2.9197080300000001E-2</v>
      </c>
      <c r="E43" s="57"/>
      <c r="F43" s="57"/>
      <c r="G43" s="93">
        <f ca="1">IFERROR(OFFSET(INDIRECT($H$3 &amp; "!A98"), 12, 0), "")</f>
        <v>0</v>
      </c>
      <c r="H43" s="65" t="str">
        <f t="shared" ca="1" si="4"/>
        <v/>
      </c>
      <c r="I43" s="60" t="str">
        <f t="shared" ca="1" si="5"/>
        <v/>
      </c>
      <c r="K43" s="93">
        <f ca="1">IFERROR(OFFSET(INDIRECT($H$3 &amp; "!A44"), 12, 0), "")</f>
        <v>0</v>
      </c>
      <c r="L43" s="65" t="str">
        <f t="shared" ca="1" si="6"/>
        <v/>
      </c>
      <c r="M43" s="60" t="str">
        <f t="shared" ca="1" si="7"/>
        <v/>
      </c>
      <c r="O43" s="93">
        <f ca="1">IFERROR(OFFSET(INDIRECT($H$3 &amp; "!A71"), 12, 0), "")</f>
        <v>0</v>
      </c>
      <c r="P43" s="65" t="str">
        <f t="shared" ca="1" si="8"/>
        <v/>
      </c>
      <c r="Q43" s="60" t="str">
        <f t="shared" ca="1" si="9"/>
        <v/>
      </c>
    </row>
    <row r="44" spans="1:17">
      <c r="A44" s="66" t="s">
        <v>142</v>
      </c>
      <c r="B44" s="67" t="s">
        <v>143</v>
      </c>
      <c r="C44" s="67">
        <v>52880</v>
      </c>
      <c r="D44" s="82">
        <v>-3.1501831500000001E-2</v>
      </c>
      <c r="E44" s="57"/>
      <c r="F44" s="57"/>
      <c r="G44" s="93">
        <f ca="1">IFERROR(OFFSET(INDIRECT($H$3 &amp; "!A98"), 13, 0), "")</f>
        <v>0</v>
      </c>
      <c r="H44" s="65" t="str">
        <f t="shared" ca="1" si="4"/>
        <v/>
      </c>
      <c r="I44" s="60" t="str">
        <f t="shared" ca="1" si="5"/>
        <v/>
      </c>
      <c r="K44" s="93">
        <f ca="1">IFERROR(OFFSET(INDIRECT($H$3 &amp; "!A44"), 13, 0), "")</f>
        <v>0</v>
      </c>
      <c r="L44" s="65" t="str">
        <f t="shared" ca="1" si="6"/>
        <v/>
      </c>
      <c r="M44" s="60" t="str">
        <f t="shared" ca="1" si="7"/>
        <v/>
      </c>
      <c r="O44" s="93">
        <f ca="1">IFERROR(OFFSET(INDIRECT($H$3 &amp; "!A71"), 13, 0), "")</f>
        <v>0</v>
      </c>
      <c r="P44" s="65" t="str">
        <f t="shared" ca="1" si="8"/>
        <v/>
      </c>
      <c r="Q44" s="60" t="str">
        <f t="shared" ca="1" si="9"/>
        <v/>
      </c>
    </row>
    <row r="45" spans="1:17">
      <c r="A45" s="66" t="s">
        <v>144</v>
      </c>
      <c r="B45" s="67" t="s">
        <v>145</v>
      </c>
      <c r="C45" s="67">
        <v>4795</v>
      </c>
      <c r="D45" s="82">
        <v>-3.2290615500000001E-2</v>
      </c>
      <c r="E45" s="57"/>
      <c r="F45" s="57"/>
      <c r="G45" s="95">
        <f ca="1">IFERROR(OFFSET(INDIRECT($H$3 &amp; "!A98"), 14, 0), "")</f>
        <v>0</v>
      </c>
      <c r="H45" s="72" t="str">
        <f t="shared" ca="1" si="4"/>
        <v/>
      </c>
      <c r="I45" s="73" t="str">
        <f t="shared" ca="1" si="5"/>
        <v/>
      </c>
      <c r="K45" s="95">
        <f ca="1">IFERROR(OFFSET(INDIRECT($H$3 &amp; "!A44"), 14, 0), "")</f>
        <v>0</v>
      </c>
      <c r="L45" s="72" t="str">
        <f t="shared" ca="1" si="6"/>
        <v/>
      </c>
      <c r="M45" s="73" t="str">
        <f t="shared" ca="1" si="7"/>
        <v/>
      </c>
      <c r="O45" s="95">
        <f ca="1">IFERROR(OFFSET(INDIRECT($H$3 &amp; "!A71"), 14, 0), "")</f>
        <v>0</v>
      </c>
      <c r="P45" s="72" t="str">
        <f t="shared" ca="1" si="8"/>
        <v/>
      </c>
      <c r="Q45" s="73" t="str">
        <f t="shared" ca="1" si="9"/>
        <v/>
      </c>
    </row>
    <row r="46" spans="1:17">
      <c r="A46" s="66" t="s">
        <v>146</v>
      </c>
      <c r="B46" s="67" t="s">
        <v>147</v>
      </c>
      <c r="C46" s="67">
        <v>460</v>
      </c>
      <c r="D46" s="82">
        <v>-3.3613445399999997E-2</v>
      </c>
      <c r="E46" s="57"/>
      <c r="F46" s="57"/>
      <c r="G46" s="93">
        <f ca="1">IFERROR(OFFSET(INDIRECT($H$3 &amp; "!A98"), 15, 0), "")</f>
        <v>0</v>
      </c>
      <c r="H46" s="65" t="str">
        <f t="shared" ca="1" si="4"/>
        <v/>
      </c>
      <c r="I46" s="60" t="str">
        <f t="shared" ca="1" si="5"/>
        <v/>
      </c>
      <c r="K46" s="93">
        <f ca="1">IFERROR(OFFSET(INDIRECT($H$3 &amp; "!A44"), 15, 0), "")</f>
        <v>0</v>
      </c>
      <c r="L46" s="65" t="str">
        <f t="shared" ca="1" si="6"/>
        <v/>
      </c>
      <c r="M46" s="60" t="str">
        <f t="shared" ca="1" si="7"/>
        <v/>
      </c>
      <c r="O46" s="93">
        <f ca="1">IFERROR(OFFSET(INDIRECT($H$3 &amp; "!A71"), 15, 0), "")</f>
        <v>0</v>
      </c>
      <c r="P46" s="65" t="str">
        <f t="shared" ca="1" si="8"/>
        <v/>
      </c>
      <c r="Q46" s="60" t="str">
        <f t="shared" ca="1" si="9"/>
        <v/>
      </c>
    </row>
    <row r="47" spans="1:17">
      <c r="A47" s="66" t="s">
        <v>148</v>
      </c>
      <c r="B47" s="67" t="s">
        <v>149</v>
      </c>
      <c r="C47" s="67">
        <v>12780</v>
      </c>
      <c r="D47" s="82">
        <v>-3.4013605400000001E-2</v>
      </c>
      <c r="E47" s="57"/>
      <c r="F47" s="57"/>
      <c r="G47" s="93">
        <f ca="1">IFERROR(OFFSET(INDIRECT($H$3 &amp; "!A98"), 16, 0), "")</f>
        <v>0</v>
      </c>
      <c r="H47" s="65" t="str">
        <f t="shared" ca="1" si="4"/>
        <v/>
      </c>
      <c r="I47" s="60" t="str">
        <f t="shared" ca="1" si="5"/>
        <v/>
      </c>
      <c r="K47" s="93">
        <f ca="1">IFERROR(OFFSET(INDIRECT($H$3 &amp; "!A44"), 16, 0), "")</f>
        <v>0</v>
      </c>
      <c r="L47" s="65" t="str">
        <f t="shared" ca="1" si="6"/>
        <v/>
      </c>
      <c r="M47" s="60" t="str">
        <f t="shared" ca="1" si="7"/>
        <v/>
      </c>
      <c r="O47" s="93">
        <f ca="1">IFERROR(OFFSET(INDIRECT($H$3 &amp; "!A71"), 16, 0), "")</f>
        <v>0</v>
      </c>
      <c r="P47" s="65" t="str">
        <f t="shared" ca="1" si="8"/>
        <v/>
      </c>
      <c r="Q47" s="60" t="str">
        <f t="shared" ca="1" si="9"/>
        <v/>
      </c>
    </row>
    <row r="48" spans="1:17">
      <c r="A48" s="66" t="s">
        <v>150</v>
      </c>
      <c r="B48" s="67" t="s">
        <v>151</v>
      </c>
      <c r="C48" s="67">
        <v>18320</v>
      </c>
      <c r="D48" s="82">
        <v>-3.4773445700000002E-2</v>
      </c>
      <c r="E48" s="57"/>
      <c r="F48" s="57"/>
      <c r="G48" s="93">
        <f ca="1">IFERROR(OFFSET(INDIRECT($H$3 &amp; "!A98"), 17, 0), "")</f>
        <v>0</v>
      </c>
      <c r="H48" s="65" t="str">
        <f t="shared" ca="1" si="4"/>
        <v/>
      </c>
      <c r="I48" s="60" t="str">
        <f t="shared" ca="1" si="5"/>
        <v/>
      </c>
      <c r="K48" s="93">
        <f ca="1">IFERROR(OFFSET(INDIRECT($H$3 &amp; "!A44"), 17, 0), "")</f>
        <v>0</v>
      </c>
      <c r="L48" s="65" t="str">
        <f t="shared" ca="1" si="6"/>
        <v/>
      </c>
      <c r="M48" s="60" t="str">
        <f t="shared" ca="1" si="7"/>
        <v/>
      </c>
      <c r="O48" s="93">
        <f ca="1">IFERROR(OFFSET(INDIRECT($H$3 &amp; "!A71"), 17, 0), "")</f>
        <v>0</v>
      </c>
      <c r="P48" s="65" t="str">
        <f t="shared" ca="1" si="8"/>
        <v/>
      </c>
      <c r="Q48" s="60" t="str">
        <f t="shared" ca="1" si="9"/>
        <v/>
      </c>
    </row>
    <row r="49" spans="1:17">
      <c r="A49" s="66" t="s">
        <v>152</v>
      </c>
      <c r="B49" s="67" t="s">
        <v>153</v>
      </c>
      <c r="C49" s="67">
        <v>190</v>
      </c>
      <c r="D49" s="82">
        <v>-3.5532994900000003E-2</v>
      </c>
      <c r="E49" s="57"/>
      <c r="F49" s="57"/>
      <c r="G49" s="93">
        <f ca="1">IFERROR(OFFSET(INDIRECT($H$3 &amp; "!A98"), 18, 0), "")</f>
        <v>0</v>
      </c>
      <c r="H49" s="65" t="str">
        <f t="shared" ca="1" si="4"/>
        <v/>
      </c>
      <c r="I49" s="60" t="str">
        <f t="shared" ca="1" si="5"/>
        <v/>
      </c>
      <c r="K49" s="93">
        <f ca="1">IFERROR(OFFSET(INDIRECT($H$3 &amp; "!A44"), 18, 0), "")</f>
        <v>0</v>
      </c>
      <c r="L49" s="65" t="str">
        <f t="shared" ca="1" si="6"/>
        <v/>
      </c>
      <c r="M49" s="60" t="str">
        <f t="shared" ca="1" si="7"/>
        <v/>
      </c>
      <c r="O49" s="93">
        <f ca="1">IFERROR(OFFSET(INDIRECT($H$3 &amp; "!A71"), 18, 0), "")</f>
        <v>0</v>
      </c>
      <c r="P49" s="65" t="str">
        <f t="shared" ca="1" si="8"/>
        <v/>
      </c>
      <c r="Q49" s="60" t="str">
        <f t="shared" ca="1" si="9"/>
        <v/>
      </c>
    </row>
    <row r="50" spans="1:17" ht="17.25" thickBot="1">
      <c r="A50" s="66" t="s">
        <v>154</v>
      </c>
      <c r="B50" s="67" t="s">
        <v>155</v>
      </c>
      <c r="C50" s="67">
        <v>6545</v>
      </c>
      <c r="D50" s="82">
        <v>-3.7499999999999999E-2</v>
      </c>
      <c r="E50" s="57"/>
      <c r="F50" s="57"/>
      <c r="G50" s="94">
        <f ca="1">IFERROR(OFFSET(INDIRECT($H$3 &amp; "!A98"), 19, 0), "")</f>
        <v>0</v>
      </c>
      <c r="H50" s="61" t="str">
        <f t="shared" ca="1" si="4"/>
        <v/>
      </c>
      <c r="I50" s="62" t="str">
        <f t="shared" ca="1" si="5"/>
        <v/>
      </c>
      <c r="K50" s="94">
        <f ca="1">IFERROR(OFFSET(INDIRECT($H$3 &amp; "!A44"), 19, 0), "")</f>
        <v>0</v>
      </c>
      <c r="L50" s="61" t="str">
        <f t="shared" ca="1" si="6"/>
        <v/>
      </c>
      <c r="M50" s="62" t="str">
        <f t="shared" ca="1" si="7"/>
        <v/>
      </c>
      <c r="O50" s="94">
        <f ca="1">IFERROR(OFFSET(INDIRECT($H$3 &amp; "!A71"), 19, 0), "")</f>
        <v>0</v>
      </c>
      <c r="P50" s="61" t="str">
        <f t="shared" ca="1" si="8"/>
        <v/>
      </c>
      <c r="Q50" s="62" t="str">
        <f t="shared" ca="1" si="9"/>
        <v/>
      </c>
    </row>
    <row r="51" spans="1:17">
      <c r="A51" s="66" t="s">
        <v>156</v>
      </c>
      <c r="B51" s="67" t="s">
        <v>157</v>
      </c>
      <c r="C51" s="67">
        <v>35.6</v>
      </c>
      <c r="D51" s="82">
        <v>-3.7837837800000003E-2</v>
      </c>
      <c r="E51" s="57"/>
      <c r="F51" s="57"/>
    </row>
    <row r="52" spans="1:17" ht="17.25" thickBot="1">
      <c r="A52" s="66" t="s">
        <v>158</v>
      </c>
      <c r="B52" s="67" t="s">
        <v>159</v>
      </c>
      <c r="C52" s="67">
        <v>32.799999999999997</v>
      </c>
      <c r="D52" s="82">
        <v>-4.0935672499999999E-2</v>
      </c>
      <c r="E52" s="57"/>
      <c r="F52" s="57"/>
    </row>
    <row r="53" spans="1:17" ht="17.25" thickBot="1">
      <c r="A53" s="66" t="s">
        <v>160</v>
      </c>
      <c r="B53" s="67" t="s">
        <v>161</v>
      </c>
      <c r="C53" s="67">
        <v>159</v>
      </c>
      <c r="D53" s="82">
        <v>-4.2168674699999999E-2</v>
      </c>
      <c r="E53" s="57"/>
      <c r="F53" s="57"/>
      <c r="G53" s="122" t="s">
        <v>290</v>
      </c>
      <c r="H53" s="123"/>
      <c r="I53" s="124"/>
      <c r="K53" s="122" t="s">
        <v>298</v>
      </c>
      <c r="L53" s="123"/>
      <c r="M53" s="124"/>
      <c r="O53" s="122" t="s">
        <v>299</v>
      </c>
      <c r="P53" s="123"/>
      <c r="Q53" s="124"/>
    </row>
    <row r="54" spans="1:17" ht="17.25" thickBot="1">
      <c r="A54" s="66" t="s">
        <v>162</v>
      </c>
      <c r="B54" s="67" t="s">
        <v>163</v>
      </c>
      <c r="C54" s="67">
        <v>9515</v>
      </c>
      <c r="D54" s="82">
        <v>-4.3237807900000001E-2</v>
      </c>
      <c r="E54" s="57"/>
      <c r="F54" s="57"/>
      <c r="G54" s="158" t="s">
        <v>59</v>
      </c>
      <c r="H54" s="123" t="s">
        <v>60</v>
      </c>
      <c r="I54" s="124"/>
      <c r="K54" s="158" t="s">
        <v>59</v>
      </c>
      <c r="L54" s="123" t="s">
        <v>60</v>
      </c>
      <c r="M54" s="124"/>
      <c r="O54" s="158" t="s">
        <v>59</v>
      </c>
      <c r="P54" s="123" t="s">
        <v>60</v>
      </c>
      <c r="Q54" s="124"/>
    </row>
    <row r="55" spans="1:17" ht="17.25" thickBot="1">
      <c r="A55" s="66" t="s">
        <v>164</v>
      </c>
      <c r="B55" s="67" t="s">
        <v>165</v>
      </c>
      <c r="C55" s="67">
        <v>4055</v>
      </c>
      <c r="D55" s="82">
        <v>-4.3632075499999999E-2</v>
      </c>
      <c r="E55" s="57"/>
      <c r="F55" s="57"/>
      <c r="G55" s="159"/>
      <c r="H55" s="58" t="s">
        <v>63</v>
      </c>
      <c r="I55" s="59" t="s">
        <v>64</v>
      </c>
      <c r="K55" s="159"/>
      <c r="L55" s="58" t="s">
        <v>63</v>
      </c>
      <c r="M55" s="59" t="s">
        <v>64</v>
      </c>
      <c r="O55" s="159"/>
      <c r="P55" s="58" t="s">
        <v>63</v>
      </c>
      <c r="Q55" s="59" t="s">
        <v>64</v>
      </c>
    </row>
    <row r="56" spans="1:17">
      <c r="A56" s="66" t="s">
        <v>166</v>
      </c>
      <c r="B56" s="67" t="s">
        <v>167</v>
      </c>
      <c r="C56" s="67">
        <v>2620</v>
      </c>
      <c r="D56" s="82">
        <v>-4.3795620399999999E-2</v>
      </c>
      <c r="E56" s="57"/>
      <c r="F56" s="57"/>
      <c r="G56" s="92">
        <f ca="1">IFERROR(OFFSET(INDIRECT($H$3 &amp; "!A179"), 0, 0), "")</f>
        <v>0</v>
      </c>
      <c r="H56" s="63" t="str">
        <f t="shared" ref="H56:H65" ca="1" si="10">_xlfn.IFNA(VLOOKUP(G56, $B$2:$D$200, 2, FALSE), "")</f>
        <v/>
      </c>
      <c r="I56" s="64" t="str">
        <f t="shared" ref="I56:I65" ca="1" si="11">_xlfn.IFNA(VLOOKUP(G56, $B$2:$D$200, 3, FALSE), "")</f>
        <v/>
      </c>
      <c r="K56" s="92">
        <f ca="1">IFERROR(OFFSET(INDIRECT($H$3 &amp; "!A125"), 0, 0), "")</f>
        <v>0</v>
      </c>
      <c r="L56" s="63" t="str">
        <f t="shared" ref="L56:L75" ca="1" si="12">_xlfn.IFNA(VLOOKUP(K56, $B$2:$D$200, 2, FALSE), "")</f>
        <v/>
      </c>
      <c r="M56" s="64" t="str">
        <f t="shared" ref="M56:M75" ca="1" si="13">_xlfn.IFNA(VLOOKUP(K56, $B$2:$D$200, 3, FALSE), "")</f>
        <v/>
      </c>
      <c r="O56" s="92">
        <f ca="1">IFERROR(OFFSET(INDIRECT($H$3 &amp; "!A152"), 0, 0), "")</f>
        <v>0</v>
      </c>
      <c r="P56" s="63" t="str">
        <f t="shared" ref="P56:P75" ca="1" si="14">_xlfn.IFNA(VLOOKUP(O56, $B$2:$D$200, 2, FALSE), "")</f>
        <v/>
      </c>
      <c r="Q56" s="64" t="str">
        <f t="shared" ref="Q56:Q75" ca="1" si="15">_xlfn.IFNA(VLOOKUP(O56, $B$2:$D$200, 3, FALSE), "")</f>
        <v/>
      </c>
    </row>
    <row r="57" spans="1:17">
      <c r="A57" s="66" t="s">
        <v>168</v>
      </c>
      <c r="B57" s="67" t="s">
        <v>169</v>
      </c>
      <c r="C57" s="67">
        <v>20490</v>
      </c>
      <c r="D57" s="82">
        <v>-4.3863742400000003E-2</v>
      </c>
      <c r="E57" s="57"/>
      <c r="F57" s="57"/>
      <c r="G57" s="93">
        <f ca="1">IFERROR(OFFSET(INDIRECT($H$3 &amp; "!A179"), 1, 0), "")</f>
        <v>0</v>
      </c>
      <c r="H57" s="65" t="str">
        <f t="shared" ca="1" si="10"/>
        <v/>
      </c>
      <c r="I57" s="60" t="str">
        <f t="shared" ca="1" si="11"/>
        <v/>
      </c>
      <c r="K57" s="93">
        <f ca="1">IFERROR(OFFSET(INDIRECT($H$3 &amp; "!A125"), 1, 0), "")</f>
        <v>0</v>
      </c>
      <c r="L57" s="65" t="str">
        <f t="shared" ca="1" si="12"/>
        <v/>
      </c>
      <c r="M57" s="60" t="str">
        <f t="shared" ca="1" si="13"/>
        <v/>
      </c>
      <c r="O57" s="93">
        <f ca="1">IFERROR(OFFSET(INDIRECT($H$3 &amp; "!A152"), 1, 0), "")</f>
        <v>0</v>
      </c>
      <c r="P57" s="65" t="str">
        <f t="shared" ca="1" si="14"/>
        <v/>
      </c>
      <c r="Q57" s="60" t="str">
        <f t="shared" ca="1" si="15"/>
        <v/>
      </c>
    </row>
    <row r="58" spans="1:17">
      <c r="A58" s="66" t="s">
        <v>170</v>
      </c>
      <c r="B58" s="67" t="s">
        <v>171</v>
      </c>
      <c r="C58" s="67">
        <v>3115</v>
      </c>
      <c r="D58" s="82">
        <v>-4.4478527599999998E-2</v>
      </c>
      <c r="E58" s="57"/>
      <c r="F58" s="57"/>
      <c r="G58" s="93">
        <f ca="1">IFERROR(OFFSET(INDIRECT($H$3 &amp; "!A179"), 2, 0), "")</f>
        <v>0</v>
      </c>
      <c r="H58" s="65" t="str">
        <f t="shared" ca="1" si="10"/>
        <v/>
      </c>
      <c r="I58" s="60" t="str">
        <f t="shared" ca="1" si="11"/>
        <v/>
      </c>
      <c r="K58" s="93">
        <f ca="1">IFERROR(OFFSET(INDIRECT($H$3 &amp; "!A125"), 2, 0), "")</f>
        <v>0</v>
      </c>
      <c r="L58" s="65" t="str">
        <f t="shared" ca="1" si="12"/>
        <v/>
      </c>
      <c r="M58" s="60" t="str">
        <f t="shared" ca="1" si="13"/>
        <v/>
      </c>
      <c r="O58" s="93">
        <f ca="1">IFERROR(OFFSET(INDIRECT($H$3 &amp; "!A152"), 2, 0), "")</f>
        <v>0</v>
      </c>
      <c r="P58" s="65" t="str">
        <f t="shared" ca="1" si="14"/>
        <v/>
      </c>
      <c r="Q58" s="60" t="str">
        <f t="shared" ca="1" si="15"/>
        <v/>
      </c>
    </row>
    <row r="59" spans="1:17">
      <c r="A59" s="66" t="s">
        <v>172</v>
      </c>
      <c r="B59" s="67" t="s">
        <v>173</v>
      </c>
      <c r="C59" s="67">
        <v>251</v>
      </c>
      <c r="D59" s="82">
        <v>-4.5627376400000003E-2</v>
      </c>
      <c r="E59" s="57"/>
      <c r="F59" s="57"/>
      <c r="G59" s="93">
        <f ca="1">IFERROR(OFFSET(INDIRECT($H$3 &amp; "!A179"), 3, 0), "")</f>
        <v>0</v>
      </c>
      <c r="H59" s="65" t="str">
        <f t="shared" ca="1" si="10"/>
        <v/>
      </c>
      <c r="I59" s="60" t="str">
        <f t="shared" ca="1" si="11"/>
        <v/>
      </c>
      <c r="K59" s="93">
        <f ca="1">IFERROR(OFFSET(INDIRECT($H$3 &amp; "!A125"), 3, 0), "")</f>
        <v>0</v>
      </c>
      <c r="L59" s="65" t="str">
        <f t="shared" ca="1" si="12"/>
        <v/>
      </c>
      <c r="M59" s="60" t="str">
        <f t="shared" ca="1" si="13"/>
        <v/>
      </c>
      <c r="O59" s="93">
        <f ca="1">IFERROR(OFFSET(INDIRECT($H$3 &amp; "!A152"), 3, 0), "")</f>
        <v>0</v>
      </c>
      <c r="P59" s="65" t="str">
        <f t="shared" ca="1" si="14"/>
        <v/>
      </c>
      <c r="Q59" s="60" t="str">
        <f t="shared" ca="1" si="15"/>
        <v/>
      </c>
    </row>
    <row r="60" spans="1:17">
      <c r="A60" s="66" t="s">
        <v>174</v>
      </c>
      <c r="B60" s="67" t="s">
        <v>175</v>
      </c>
      <c r="C60" s="67">
        <v>667</v>
      </c>
      <c r="D60" s="82">
        <v>-4.5779685299999998E-2</v>
      </c>
      <c r="E60" s="57"/>
      <c r="F60" s="57"/>
      <c r="G60" s="93">
        <f ca="1">IFERROR(OFFSET(INDIRECT($H$3 &amp; "!A179"), 4, 0), "")</f>
        <v>0</v>
      </c>
      <c r="H60" s="65" t="str">
        <f t="shared" ca="1" si="10"/>
        <v/>
      </c>
      <c r="I60" s="60" t="str">
        <f t="shared" ca="1" si="11"/>
        <v/>
      </c>
      <c r="K60" s="95">
        <f ca="1">IFERROR(OFFSET(INDIRECT($H$3 &amp; "!A125"), 4, 0), "")</f>
        <v>0</v>
      </c>
      <c r="L60" s="72" t="str">
        <f t="shared" ca="1" si="12"/>
        <v/>
      </c>
      <c r="M60" s="73" t="str">
        <f t="shared" ca="1" si="13"/>
        <v/>
      </c>
      <c r="O60" s="95">
        <f ca="1">IFERROR(OFFSET(INDIRECT($H$3 &amp; "!A152"), 4, 0), "")</f>
        <v>0</v>
      </c>
      <c r="P60" s="72" t="str">
        <f t="shared" ca="1" si="14"/>
        <v/>
      </c>
      <c r="Q60" s="73" t="str">
        <f t="shared" ca="1" si="15"/>
        <v/>
      </c>
    </row>
    <row r="61" spans="1:17">
      <c r="A61" s="66" t="s">
        <v>176</v>
      </c>
      <c r="B61" s="67" t="s">
        <v>177</v>
      </c>
      <c r="C61" s="67">
        <v>38.700000000000003</v>
      </c>
      <c r="D61" s="82">
        <v>-5.14705882E-2</v>
      </c>
      <c r="E61" s="57"/>
      <c r="F61" s="57"/>
      <c r="G61" s="97">
        <f ca="1">IFERROR(OFFSET(INDIRECT($H$3 &amp; "!A179"), 5, 0), "")</f>
        <v>0</v>
      </c>
      <c r="H61" s="74" t="str">
        <f t="shared" ca="1" si="10"/>
        <v/>
      </c>
      <c r="I61" s="75" t="str">
        <f t="shared" ca="1" si="11"/>
        <v/>
      </c>
      <c r="K61" s="93">
        <f ca="1">IFERROR(OFFSET(INDIRECT($H$3 &amp; "!A125"), 5, 0), "")</f>
        <v>0</v>
      </c>
      <c r="L61" s="65" t="str">
        <f t="shared" ca="1" si="12"/>
        <v/>
      </c>
      <c r="M61" s="60" t="str">
        <f t="shared" ca="1" si="13"/>
        <v/>
      </c>
      <c r="O61" s="93">
        <f ca="1">IFERROR(OFFSET(INDIRECT($H$3 &amp; "!A152"), 5, 0), "")</f>
        <v>0</v>
      </c>
      <c r="P61" s="65" t="str">
        <f t="shared" ca="1" si="14"/>
        <v/>
      </c>
      <c r="Q61" s="60" t="str">
        <f t="shared" ca="1" si="15"/>
        <v/>
      </c>
    </row>
    <row r="62" spans="1:17">
      <c r="A62" s="66" t="s">
        <v>178</v>
      </c>
      <c r="B62" s="67" t="s">
        <v>179</v>
      </c>
      <c r="C62" s="67">
        <v>361</v>
      </c>
      <c r="D62" s="82">
        <v>-5.24934383E-2</v>
      </c>
      <c r="E62" s="57"/>
      <c r="F62" s="57"/>
      <c r="G62" s="93">
        <f ca="1">IFERROR(OFFSET(INDIRECT($H$3 &amp; "!A179"), 6, 0), "")</f>
        <v>0</v>
      </c>
      <c r="H62" s="65" t="str">
        <f t="shared" ca="1" si="10"/>
        <v/>
      </c>
      <c r="I62" s="60" t="str">
        <f t="shared" ca="1" si="11"/>
        <v/>
      </c>
      <c r="K62" s="93">
        <f ca="1">IFERROR(OFFSET(INDIRECT($H$3 &amp; "!A125"), 6, 0), "")</f>
        <v>0</v>
      </c>
      <c r="L62" s="65" t="str">
        <f t="shared" ca="1" si="12"/>
        <v/>
      </c>
      <c r="M62" s="60" t="str">
        <f t="shared" ca="1" si="13"/>
        <v/>
      </c>
      <c r="O62" s="93">
        <f ca="1">IFERROR(OFFSET(INDIRECT($H$3 &amp; "!A152"), 6, 0), "")</f>
        <v>0</v>
      </c>
      <c r="P62" s="65" t="str">
        <f t="shared" ca="1" si="14"/>
        <v/>
      </c>
      <c r="Q62" s="60" t="str">
        <f t="shared" ca="1" si="15"/>
        <v/>
      </c>
    </row>
    <row r="63" spans="1:17">
      <c r="A63" s="66" t="s">
        <v>180</v>
      </c>
      <c r="B63" s="67" t="s">
        <v>181</v>
      </c>
      <c r="C63" s="67">
        <v>2700</v>
      </c>
      <c r="D63" s="82">
        <v>-5.2631578900000003E-2</v>
      </c>
      <c r="E63" s="57"/>
      <c r="F63" s="57"/>
      <c r="G63" s="93">
        <f ca="1">IFERROR(OFFSET(INDIRECT($H$3 &amp; "!A179"), 7, 0), "")</f>
        <v>0</v>
      </c>
      <c r="H63" s="65" t="str">
        <f t="shared" ca="1" si="10"/>
        <v/>
      </c>
      <c r="I63" s="60" t="str">
        <f t="shared" ca="1" si="11"/>
        <v/>
      </c>
      <c r="K63" s="93">
        <f ca="1">IFERROR(OFFSET(INDIRECT($H$3 &amp; "!A125"), 7, 0), "")</f>
        <v>0</v>
      </c>
      <c r="L63" s="65" t="str">
        <f t="shared" ca="1" si="12"/>
        <v/>
      </c>
      <c r="M63" s="60" t="str">
        <f t="shared" ca="1" si="13"/>
        <v/>
      </c>
      <c r="O63" s="93">
        <f ca="1">IFERROR(OFFSET(INDIRECT($H$3 &amp; "!A152"), 7, 0), "")</f>
        <v>0</v>
      </c>
      <c r="P63" s="65" t="str">
        <f t="shared" ca="1" si="14"/>
        <v/>
      </c>
      <c r="Q63" s="60" t="str">
        <f t="shared" ca="1" si="15"/>
        <v/>
      </c>
    </row>
    <row r="64" spans="1:17">
      <c r="A64" s="66" t="s">
        <v>182</v>
      </c>
      <c r="B64" s="67" t="s">
        <v>183</v>
      </c>
      <c r="C64" s="67">
        <v>64780</v>
      </c>
      <c r="D64" s="82">
        <v>-5.2923976599999999E-2</v>
      </c>
      <c r="E64" s="57"/>
      <c r="F64" s="57"/>
      <c r="G64" s="93">
        <f ca="1">IFERROR(OFFSET(INDIRECT($H$3 &amp; "!A179"), 8, 0), "")</f>
        <v>0</v>
      </c>
      <c r="H64" s="65" t="str">
        <f t="shared" ca="1" si="10"/>
        <v/>
      </c>
      <c r="I64" s="60" t="str">
        <f t="shared" ca="1" si="11"/>
        <v/>
      </c>
      <c r="K64" s="93">
        <f ca="1">IFERROR(OFFSET(INDIRECT($H$3 &amp; "!A125"), 8, 0), "")</f>
        <v>0</v>
      </c>
      <c r="L64" s="65" t="str">
        <f t="shared" ca="1" si="12"/>
        <v/>
      </c>
      <c r="M64" s="60" t="str">
        <f t="shared" ca="1" si="13"/>
        <v/>
      </c>
      <c r="O64" s="93">
        <f ca="1">IFERROR(OFFSET(INDIRECT($H$3 &amp; "!A152"), 8, 0), "")</f>
        <v>0</v>
      </c>
      <c r="P64" s="65" t="str">
        <f t="shared" ca="1" si="14"/>
        <v/>
      </c>
      <c r="Q64" s="60" t="str">
        <f t="shared" ca="1" si="15"/>
        <v/>
      </c>
    </row>
    <row r="65" spans="1:17" ht="17.25" thickBot="1">
      <c r="A65" s="66" t="s">
        <v>184</v>
      </c>
      <c r="B65" s="67" t="s">
        <v>185</v>
      </c>
      <c r="C65" s="67">
        <v>6135</v>
      </c>
      <c r="D65" s="82">
        <v>-5.3240740699999997E-2</v>
      </c>
      <c r="E65" s="57"/>
      <c r="F65" s="57"/>
      <c r="G65" s="94">
        <f ca="1">IFERROR(OFFSET(INDIRECT($H$3 &amp; "!A179"), 9, 0), "")</f>
        <v>0</v>
      </c>
      <c r="H65" s="61" t="str">
        <f t="shared" ca="1" si="10"/>
        <v/>
      </c>
      <c r="I65" s="62" t="str">
        <f t="shared" ca="1" si="11"/>
        <v/>
      </c>
      <c r="K65" s="94">
        <f ca="1">IFERROR(OFFSET(INDIRECT($H$3 &amp; "!A125"), 9, 0), "")</f>
        <v>0</v>
      </c>
      <c r="L65" s="61" t="str">
        <f t="shared" ca="1" si="12"/>
        <v/>
      </c>
      <c r="M65" s="62" t="str">
        <f t="shared" ca="1" si="13"/>
        <v/>
      </c>
      <c r="O65" s="94">
        <f ca="1">IFERROR(OFFSET(INDIRECT($H$3 &amp; "!A152"), 9, 0), "")</f>
        <v>0</v>
      </c>
      <c r="P65" s="61" t="str">
        <f t="shared" ca="1" si="14"/>
        <v/>
      </c>
      <c r="Q65" s="62" t="str">
        <f t="shared" ca="1" si="15"/>
        <v/>
      </c>
    </row>
    <row r="66" spans="1:17">
      <c r="A66" s="66" t="s">
        <v>186</v>
      </c>
      <c r="B66" s="67" t="s">
        <v>187</v>
      </c>
      <c r="C66" s="67">
        <v>711</v>
      </c>
      <c r="D66" s="82">
        <v>-5.3262316900000002E-2</v>
      </c>
      <c r="E66" s="57"/>
      <c r="F66" s="57"/>
      <c r="G66" s="93">
        <f ca="1">IFERROR(OFFSET(INDIRECT($H$3 &amp; "!A179"), 10, 0), "")</f>
        <v>0</v>
      </c>
      <c r="H66" s="67"/>
      <c r="I66" s="68"/>
      <c r="K66" s="92">
        <f ca="1">IFERROR(OFFSET(INDIRECT($H$3 &amp; "!A125"), 10, 0), "")</f>
        <v>0</v>
      </c>
      <c r="L66" s="63" t="str">
        <f t="shared" ca="1" si="12"/>
        <v/>
      </c>
      <c r="M66" s="64" t="str">
        <f t="shared" ca="1" si="13"/>
        <v/>
      </c>
      <c r="O66" s="92">
        <f ca="1">IFERROR(OFFSET(INDIRECT($H$3 &amp; "!A152"), 10, 0), "")</f>
        <v>0</v>
      </c>
      <c r="P66" s="63" t="str">
        <f t="shared" ca="1" si="14"/>
        <v/>
      </c>
      <c r="Q66" s="64" t="str">
        <f t="shared" ca="1" si="15"/>
        <v/>
      </c>
    </row>
    <row r="67" spans="1:17">
      <c r="A67" s="66" t="s">
        <v>188</v>
      </c>
      <c r="B67" s="67" t="s">
        <v>189</v>
      </c>
      <c r="C67" s="67">
        <v>2985</v>
      </c>
      <c r="D67" s="82">
        <v>-5.5379746799999997E-2</v>
      </c>
      <c r="E67" s="57"/>
      <c r="F67" s="57"/>
      <c r="G67" s="93">
        <f ca="1">IFERROR(OFFSET(INDIRECT($H$3 &amp; "!A179"), 11, 0), "")</f>
        <v>0</v>
      </c>
      <c r="H67" s="67"/>
      <c r="I67" s="68"/>
      <c r="K67" s="93">
        <f ca="1">IFERROR(OFFSET(INDIRECT($H$3 &amp; "!A125"), 11, 0), "")</f>
        <v>0</v>
      </c>
      <c r="L67" s="65" t="str">
        <f t="shared" ca="1" si="12"/>
        <v/>
      </c>
      <c r="M67" s="60" t="str">
        <f t="shared" ca="1" si="13"/>
        <v/>
      </c>
      <c r="O67" s="93">
        <f ca="1">IFERROR(OFFSET(INDIRECT($H$3 &amp; "!A152"), 11, 0), "")</f>
        <v>0</v>
      </c>
      <c r="P67" s="65" t="str">
        <f t="shared" ca="1" si="14"/>
        <v/>
      </c>
      <c r="Q67" s="60" t="str">
        <f t="shared" ca="1" si="15"/>
        <v/>
      </c>
    </row>
    <row r="68" spans="1:17">
      <c r="A68" s="66" t="s">
        <v>190</v>
      </c>
      <c r="B68" s="67" t="s">
        <v>191</v>
      </c>
      <c r="C68" s="67">
        <v>32.1</v>
      </c>
      <c r="D68" s="82">
        <v>-5.5882352900000001E-2</v>
      </c>
      <c r="E68" s="57"/>
      <c r="F68" s="57"/>
      <c r="G68" s="93">
        <f ca="1">IFERROR(OFFSET(INDIRECT($H$3 &amp; "!A179"), 12, 0), "")</f>
        <v>0</v>
      </c>
      <c r="H68" s="67"/>
      <c r="I68" s="68"/>
      <c r="K68" s="93">
        <f ca="1">IFERROR(OFFSET(INDIRECT($H$3 &amp; "!A125"), 12, 0), "")</f>
        <v>0</v>
      </c>
      <c r="L68" s="65" t="str">
        <f t="shared" ca="1" si="12"/>
        <v/>
      </c>
      <c r="M68" s="60" t="str">
        <f t="shared" ca="1" si="13"/>
        <v/>
      </c>
      <c r="O68" s="93">
        <f ca="1">IFERROR(OFFSET(INDIRECT($H$3 &amp; "!A152"), 12, 0), "")</f>
        <v>0</v>
      </c>
      <c r="P68" s="65" t="str">
        <f t="shared" ca="1" si="14"/>
        <v/>
      </c>
      <c r="Q68" s="60" t="str">
        <f t="shared" ca="1" si="15"/>
        <v/>
      </c>
    </row>
    <row r="69" spans="1:17">
      <c r="A69" s="66" t="s">
        <v>192</v>
      </c>
      <c r="B69" s="67" t="s">
        <v>193</v>
      </c>
      <c r="C69" s="67">
        <v>19710</v>
      </c>
      <c r="D69" s="82">
        <v>-5.78393881E-2</v>
      </c>
      <c r="E69" s="57"/>
      <c r="F69" s="57"/>
      <c r="G69" s="93">
        <f ca="1">IFERROR(OFFSET(INDIRECT($H$3 &amp; "!A179"), 13, 0), "")</f>
        <v>0</v>
      </c>
      <c r="H69" s="67"/>
      <c r="I69" s="68"/>
      <c r="K69" s="93">
        <f ca="1">IFERROR(OFFSET(INDIRECT($H$3 &amp; "!A125"), 13, 0), "")</f>
        <v>0</v>
      </c>
      <c r="L69" s="65" t="str">
        <f t="shared" ca="1" si="12"/>
        <v/>
      </c>
      <c r="M69" s="60" t="str">
        <f t="shared" ca="1" si="13"/>
        <v/>
      </c>
      <c r="O69" s="93">
        <f ca="1">IFERROR(OFFSET(INDIRECT($H$3 &amp; "!A152"), 13, 0), "")</f>
        <v>0</v>
      </c>
      <c r="P69" s="65" t="str">
        <f t="shared" ca="1" si="14"/>
        <v/>
      </c>
      <c r="Q69" s="60" t="str">
        <f t="shared" ca="1" si="15"/>
        <v/>
      </c>
    </row>
    <row r="70" spans="1:17">
      <c r="A70" s="66" t="s">
        <v>194</v>
      </c>
      <c r="B70" s="67" t="s">
        <v>195</v>
      </c>
      <c r="C70" s="67">
        <v>59260</v>
      </c>
      <c r="D70" s="82">
        <v>-5.78696343E-2</v>
      </c>
      <c r="E70" s="57"/>
      <c r="F70" s="57"/>
      <c r="G70" s="93">
        <f ca="1">IFERROR(OFFSET(INDIRECT($H$3 &amp; "!A179"), 14, 0), "")</f>
        <v>0</v>
      </c>
      <c r="H70" s="67"/>
      <c r="I70" s="68"/>
      <c r="K70" s="95">
        <f ca="1">IFERROR(OFFSET(INDIRECT($H$3 &amp; "!A125"), 14, 0), "")</f>
        <v>0</v>
      </c>
      <c r="L70" s="72" t="str">
        <f t="shared" ca="1" si="12"/>
        <v/>
      </c>
      <c r="M70" s="73" t="str">
        <f t="shared" ca="1" si="13"/>
        <v/>
      </c>
      <c r="O70" s="95">
        <f ca="1">IFERROR(OFFSET(INDIRECT($H$3 &amp; "!A152"), 14, 0), "")</f>
        <v>0</v>
      </c>
      <c r="P70" s="72" t="str">
        <f t="shared" ca="1" si="14"/>
        <v/>
      </c>
      <c r="Q70" s="73" t="str">
        <f t="shared" ca="1" si="15"/>
        <v/>
      </c>
    </row>
    <row r="71" spans="1:17">
      <c r="A71" s="66" t="s">
        <v>196</v>
      </c>
      <c r="B71" s="67" t="s">
        <v>197</v>
      </c>
      <c r="C71" s="67">
        <v>1525</v>
      </c>
      <c r="D71" s="82">
        <v>-5.8641975300000003E-2</v>
      </c>
      <c r="E71" s="57"/>
      <c r="F71" s="57"/>
      <c r="G71" s="97">
        <f ca="1">IFERROR(OFFSET(INDIRECT($H$3 &amp; "!A179"), 15, 0), "")</f>
        <v>0</v>
      </c>
      <c r="H71" s="76"/>
      <c r="I71" s="77"/>
      <c r="K71" s="93">
        <f ca="1">IFERROR(OFFSET(INDIRECT($H$3 &amp; "!A125"), 15, 0), "")</f>
        <v>0</v>
      </c>
      <c r="L71" s="65" t="str">
        <f t="shared" ca="1" si="12"/>
        <v/>
      </c>
      <c r="M71" s="60" t="str">
        <f t="shared" ca="1" si="13"/>
        <v/>
      </c>
      <c r="O71" s="93">
        <f ca="1">IFERROR(OFFSET(INDIRECT($H$3 &amp; "!A152"), 15, 0), "")</f>
        <v>0</v>
      </c>
      <c r="P71" s="65" t="str">
        <f t="shared" ca="1" si="14"/>
        <v/>
      </c>
      <c r="Q71" s="60" t="str">
        <f t="shared" ca="1" si="15"/>
        <v/>
      </c>
    </row>
    <row r="72" spans="1:17">
      <c r="A72" s="66" t="s">
        <v>198</v>
      </c>
      <c r="B72" s="67" t="s">
        <v>199</v>
      </c>
      <c r="C72" s="67">
        <v>21000</v>
      </c>
      <c r="D72" s="82">
        <v>-6.1242735800000003E-2</v>
      </c>
      <c r="E72" s="57"/>
      <c r="F72" s="57"/>
      <c r="G72" s="93">
        <f ca="1">IFERROR(OFFSET(INDIRECT($H$3 &amp; "!A179"), 16, 0), "")</f>
        <v>0</v>
      </c>
      <c r="H72" s="67"/>
      <c r="I72" s="68"/>
      <c r="K72" s="93">
        <f ca="1">IFERROR(OFFSET(INDIRECT($H$3 &amp; "!A125"), 16, 0), "")</f>
        <v>0</v>
      </c>
      <c r="L72" s="65" t="str">
        <f t="shared" ca="1" si="12"/>
        <v/>
      </c>
      <c r="M72" s="60" t="str">
        <f t="shared" ca="1" si="13"/>
        <v/>
      </c>
      <c r="O72" s="93">
        <f ca="1">IFERROR(OFFSET(INDIRECT($H$3 &amp; "!A152"), 16, 0), "")</f>
        <v>0</v>
      </c>
      <c r="P72" s="65" t="str">
        <f t="shared" ca="1" si="14"/>
        <v/>
      </c>
      <c r="Q72" s="60" t="str">
        <f t="shared" ca="1" si="15"/>
        <v/>
      </c>
    </row>
    <row r="73" spans="1:17">
      <c r="A73" s="66" t="s">
        <v>200</v>
      </c>
      <c r="B73" s="67" t="s">
        <v>201</v>
      </c>
      <c r="C73" s="67">
        <v>29.6</v>
      </c>
      <c r="D73" s="82">
        <v>-6.3291139199999999E-2</v>
      </c>
      <c r="E73" s="57"/>
      <c r="F73" s="57"/>
      <c r="G73" s="93">
        <f ca="1">IFERROR(OFFSET(INDIRECT($H$3 &amp; "!A179"), 17, 0), "")</f>
        <v>0</v>
      </c>
      <c r="H73" s="67"/>
      <c r="I73" s="68"/>
      <c r="K73" s="93">
        <f ca="1">IFERROR(OFFSET(INDIRECT($H$3 &amp; "!A125"), 17, 0), "")</f>
        <v>0</v>
      </c>
      <c r="L73" s="65" t="str">
        <f t="shared" ca="1" si="12"/>
        <v/>
      </c>
      <c r="M73" s="60" t="str">
        <f t="shared" ca="1" si="13"/>
        <v/>
      </c>
      <c r="O73" s="93">
        <f ca="1">IFERROR(OFFSET(INDIRECT($H$3 &amp; "!A152"), 17, 0), "")</f>
        <v>0</v>
      </c>
      <c r="P73" s="65" t="str">
        <f t="shared" ca="1" si="14"/>
        <v/>
      </c>
      <c r="Q73" s="60" t="str">
        <f t="shared" ca="1" si="15"/>
        <v/>
      </c>
    </row>
    <row r="74" spans="1:17">
      <c r="A74" s="66" t="s">
        <v>202</v>
      </c>
      <c r="B74" s="67" t="s">
        <v>203</v>
      </c>
      <c r="C74" s="67">
        <v>46.7</v>
      </c>
      <c r="D74" s="82">
        <v>-6.4128256499999994E-2</v>
      </c>
      <c r="E74" s="57"/>
      <c r="F74" s="57"/>
      <c r="G74" s="93">
        <f ca="1">IFERROR(OFFSET(INDIRECT($H$3 &amp; "!A179"), 18, 0), "")</f>
        <v>0</v>
      </c>
      <c r="H74" s="67"/>
      <c r="I74" s="68"/>
      <c r="K74" s="93">
        <f ca="1">IFERROR(OFFSET(INDIRECT($H$3 &amp; "!A125"), 18, 0), "")</f>
        <v>0</v>
      </c>
      <c r="L74" s="65" t="str">
        <f t="shared" ca="1" si="12"/>
        <v/>
      </c>
      <c r="M74" s="60" t="str">
        <f t="shared" ca="1" si="13"/>
        <v/>
      </c>
      <c r="O74" s="93">
        <f ca="1">IFERROR(OFFSET(INDIRECT($H$3 &amp; "!A152"), 18, 0), "")</f>
        <v>0</v>
      </c>
      <c r="P74" s="65" t="str">
        <f t="shared" ca="1" si="14"/>
        <v/>
      </c>
      <c r="Q74" s="60" t="str">
        <f t="shared" ca="1" si="15"/>
        <v/>
      </c>
    </row>
    <row r="75" spans="1:17" ht="17.25" thickBot="1">
      <c r="A75" s="66" t="s">
        <v>204</v>
      </c>
      <c r="B75" s="67" t="s">
        <v>205</v>
      </c>
      <c r="C75" s="67">
        <v>525</v>
      </c>
      <c r="D75" s="82">
        <v>-6.4171122999999997E-2</v>
      </c>
      <c r="E75" s="57"/>
      <c r="F75" s="57"/>
      <c r="G75" s="94">
        <f ca="1">IFERROR(OFFSET(INDIRECT($H$3 &amp; "!A179"), 19, 0), "")</f>
        <v>0</v>
      </c>
      <c r="H75" s="70"/>
      <c r="I75" s="71"/>
      <c r="K75" s="94">
        <f ca="1">IFERROR(OFFSET(INDIRECT($H$3 &amp; "!A125"), 19, 0), "")</f>
        <v>0</v>
      </c>
      <c r="L75" s="61" t="str">
        <f t="shared" ca="1" si="12"/>
        <v/>
      </c>
      <c r="M75" s="62" t="str">
        <f t="shared" ca="1" si="13"/>
        <v/>
      </c>
      <c r="O75" s="94">
        <f ca="1">IFERROR(OFFSET(INDIRECT($H$3 &amp; "!A152"), 19, 0), "")</f>
        <v>0</v>
      </c>
      <c r="P75" s="61" t="str">
        <f t="shared" ca="1" si="14"/>
        <v/>
      </c>
      <c r="Q75" s="62" t="str">
        <f t="shared" ca="1" si="15"/>
        <v/>
      </c>
    </row>
    <row r="76" spans="1:17">
      <c r="A76" s="66" t="s">
        <v>206</v>
      </c>
      <c r="B76" s="67" t="s">
        <v>207</v>
      </c>
      <c r="C76" s="67">
        <v>301</v>
      </c>
      <c r="D76" s="82">
        <v>-6.5217391299999997E-2</v>
      </c>
      <c r="E76" s="57"/>
      <c r="F76" s="57"/>
      <c r="G76" s="57"/>
      <c r="H76" s="57"/>
      <c r="I76" s="57"/>
    </row>
    <row r="77" spans="1:17">
      <c r="A77" s="66" t="s">
        <v>208</v>
      </c>
      <c r="B77" s="67" t="s">
        <v>209</v>
      </c>
      <c r="C77" s="67">
        <v>4600</v>
      </c>
      <c r="D77" s="82">
        <v>-6.5989847700000007E-2</v>
      </c>
      <c r="E77" s="57"/>
      <c r="F77" s="57"/>
      <c r="G77" s="57"/>
      <c r="H77" s="57"/>
      <c r="I77" s="57"/>
    </row>
    <row r="78" spans="1:17">
      <c r="A78" s="66" t="s">
        <v>210</v>
      </c>
      <c r="B78" s="67" t="s">
        <v>211</v>
      </c>
      <c r="C78" s="67">
        <v>52020</v>
      </c>
      <c r="D78" s="82">
        <v>-6.7741935500000003E-2</v>
      </c>
      <c r="E78" s="57"/>
      <c r="F78" s="57"/>
      <c r="G78" s="57"/>
      <c r="H78" s="57"/>
      <c r="I78" s="57"/>
    </row>
    <row r="79" spans="1:17">
      <c r="A79" s="66" t="s">
        <v>212</v>
      </c>
      <c r="B79" s="67" t="s">
        <v>213</v>
      </c>
      <c r="C79" s="67">
        <v>669</v>
      </c>
      <c r="D79" s="82">
        <v>-6.8245125300000001E-2</v>
      </c>
      <c r="E79" s="57"/>
      <c r="F79" s="57"/>
      <c r="G79" s="57"/>
      <c r="H79" s="57"/>
      <c r="I79" s="57"/>
    </row>
    <row r="80" spans="1:17">
      <c r="A80" s="66" t="s">
        <v>214</v>
      </c>
      <c r="B80" s="67" t="s">
        <v>215</v>
      </c>
      <c r="C80" s="67">
        <v>298</v>
      </c>
      <c r="D80" s="82">
        <v>-6.8750000000000006E-2</v>
      </c>
      <c r="E80" s="57"/>
      <c r="F80" s="57"/>
      <c r="G80" s="57"/>
      <c r="H80" s="57"/>
      <c r="I80" s="57"/>
    </row>
    <row r="81" spans="1:9">
      <c r="A81" s="66" t="s">
        <v>216</v>
      </c>
      <c r="B81" s="67" t="s">
        <v>217</v>
      </c>
      <c r="C81" s="67">
        <v>214</v>
      </c>
      <c r="D81" s="82">
        <v>-6.9565217400000004E-2</v>
      </c>
      <c r="E81" s="57"/>
      <c r="F81" s="57"/>
      <c r="G81" s="57"/>
      <c r="H81" s="57"/>
      <c r="I81" s="57"/>
    </row>
    <row r="82" spans="1:9">
      <c r="A82" s="66" t="s">
        <v>218</v>
      </c>
      <c r="B82" s="67" t="s">
        <v>219</v>
      </c>
      <c r="C82" s="67">
        <v>33.4</v>
      </c>
      <c r="D82" s="82">
        <v>-6.9637882999999998E-2</v>
      </c>
      <c r="E82" s="57"/>
      <c r="F82" s="57"/>
      <c r="G82" s="57"/>
      <c r="H82" s="57"/>
      <c r="I82" s="57"/>
    </row>
    <row r="83" spans="1:9">
      <c r="A83" s="66" t="s">
        <v>220</v>
      </c>
      <c r="B83" s="67" t="s">
        <v>221</v>
      </c>
      <c r="C83" s="67">
        <v>668</v>
      </c>
      <c r="D83" s="82">
        <v>-7.2222222200000005E-2</v>
      </c>
      <c r="E83" s="57"/>
      <c r="F83" s="57"/>
      <c r="G83" s="57"/>
      <c r="H83" s="57"/>
      <c r="I83" s="57"/>
    </row>
    <row r="84" spans="1:9">
      <c r="A84" s="66" t="s">
        <v>222</v>
      </c>
      <c r="B84" s="67" t="s">
        <v>223</v>
      </c>
      <c r="C84" s="67">
        <v>41</v>
      </c>
      <c r="D84" s="82">
        <v>-7.2398190000000001E-2</v>
      </c>
      <c r="E84" s="57"/>
      <c r="F84" s="57"/>
      <c r="G84" s="57"/>
      <c r="H84" s="57"/>
      <c r="I84" s="57"/>
    </row>
    <row r="85" spans="1:9">
      <c r="A85" s="66" t="s">
        <v>224</v>
      </c>
      <c r="B85" s="67" t="s">
        <v>225</v>
      </c>
      <c r="C85" s="67">
        <v>28.8</v>
      </c>
      <c r="D85" s="82">
        <v>-7.3954983899999993E-2</v>
      </c>
      <c r="E85" s="57"/>
      <c r="F85" s="57"/>
      <c r="G85" s="57"/>
      <c r="H85" s="57"/>
      <c r="I85" s="57"/>
    </row>
    <row r="86" spans="1:9">
      <c r="A86" s="66" t="s">
        <v>226</v>
      </c>
      <c r="B86" s="67" t="s">
        <v>227</v>
      </c>
      <c r="C86" s="67">
        <v>27.3</v>
      </c>
      <c r="D86" s="82">
        <v>-7.4576271200000002E-2</v>
      </c>
      <c r="E86" s="57"/>
      <c r="F86" s="57"/>
      <c r="G86" s="57"/>
      <c r="H86" s="57"/>
      <c r="I86" s="57"/>
    </row>
    <row r="87" spans="1:9">
      <c r="A87" s="66" t="s">
        <v>228</v>
      </c>
      <c r="B87" s="67" t="s">
        <v>229</v>
      </c>
      <c r="C87" s="67">
        <v>3090</v>
      </c>
      <c r="D87" s="82">
        <v>-7.48502994E-2</v>
      </c>
      <c r="E87" s="57"/>
      <c r="F87" s="57"/>
      <c r="G87" s="57"/>
      <c r="H87" s="57"/>
      <c r="I87" s="57"/>
    </row>
    <row r="88" spans="1:9">
      <c r="A88" s="66" t="s">
        <v>230</v>
      </c>
      <c r="B88" s="67" t="s">
        <v>231</v>
      </c>
      <c r="C88" s="67">
        <v>724</v>
      </c>
      <c r="D88" s="82">
        <v>-7.5351213299999997E-2</v>
      </c>
      <c r="E88" s="57"/>
      <c r="F88" s="57"/>
      <c r="G88" s="57"/>
      <c r="H88" s="57"/>
      <c r="I88" s="57"/>
    </row>
    <row r="89" spans="1:9">
      <c r="A89" s="66" t="s">
        <v>232</v>
      </c>
      <c r="B89" s="67" t="s">
        <v>233</v>
      </c>
      <c r="C89" s="67">
        <v>29.1</v>
      </c>
      <c r="D89" s="82">
        <v>-7.6190476199999996E-2</v>
      </c>
      <c r="E89" s="57"/>
      <c r="F89" s="57"/>
      <c r="G89" s="57"/>
      <c r="H89" s="57"/>
      <c r="I89" s="57"/>
    </row>
    <row r="90" spans="1:9">
      <c r="A90" s="66" t="s">
        <v>234</v>
      </c>
      <c r="B90" s="67" t="s">
        <v>235</v>
      </c>
      <c r="C90" s="67">
        <v>265</v>
      </c>
      <c r="D90" s="82">
        <v>-7.6655052299999998E-2</v>
      </c>
      <c r="E90" s="57"/>
      <c r="F90" s="57"/>
      <c r="G90" s="57"/>
      <c r="H90" s="57"/>
      <c r="I90" s="57"/>
    </row>
    <row r="91" spans="1:9">
      <c r="A91" s="66" t="s">
        <v>236</v>
      </c>
      <c r="B91" s="67" t="s">
        <v>237</v>
      </c>
      <c r="C91" s="67">
        <v>272</v>
      </c>
      <c r="D91" s="82">
        <v>-7.7966101699999998E-2</v>
      </c>
      <c r="E91" s="57"/>
      <c r="F91" s="57"/>
      <c r="G91" s="57"/>
      <c r="H91" s="57"/>
      <c r="I91" s="57"/>
    </row>
    <row r="92" spans="1:9">
      <c r="A92" s="66" t="s">
        <v>238</v>
      </c>
      <c r="B92" s="67" t="s">
        <v>239</v>
      </c>
      <c r="C92" s="67">
        <v>1710</v>
      </c>
      <c r="D92" s="82">
        <v>-7.81671159E-2</v>
      </c>
      <c r="E92" s="57"/>
      <c r="F92" s="57"/>
      <c r="G92" s="57"/>
      <c r="H92" s="57"/>
      <c r="I92" s="57"/>
    </row>
    <row r="93" spans="1:9">
      <c r="A93" s="66" t="s">
        <v>240</v>
      </c>
      <c r="B93" s="67" t="s">
        <v>241</v>
      </c>
      <c r="C93" s="67">
        <v>106</v>
      </c>
      <c r="D93" s="82">
        <v>-7.8260869600000005E-2</v>
      </c>
      <c r="E93" s="57"/>
      <c r="F93" s="57"/>
      <c r="G93" s="57"/>
      <c r="H93" s="57"/>
      <c r="I93" s="57"/>
    </row>
    <row r="94" spans="1:9">
      <c r="A94" s="66" t="s">
        <v>242</v>
      </c>
      <c r="B94" s="67" t="s">
        <v>243</v>
      </c>
      <c r="C94" s="67">
        <v>434</v>
      </c>
      <c r="D94" s="82">
        <v>-7.8556263299999998E-2</v>
      </c>
      <c r="E94" s="57"/>
      <c r="F94" s="57"/>
      <c r="G94" s="57"/>
      <c r="H94" s="57"/>
      <c r="I94" s="57"/>
    </row>
    <row r="95" spans="1:9">
      <c r="A95" s="66" t="s">
        <v>244</v>
      </c>
      <c r="B95" s="67" t="s">
        <v>245</v>
      </c>
      <c r="C95" s="67">
        <v>257</v>
      </c>
      <c r="D95" s="82">
        <v>-7.8853046600000004E-2</v>
      </c>
      <c r="E95" s="57"/>
      <c r="F95" s="57"/>
      <c r="G95" s="57"/>
      <c r="H95" s="57"/>
      <c r="I95" s="57"/>
    </row>
    <row r="96" spans="1:9">
      <c r="A96" s="66" t="s">
        <v>246</v>
      </c>
      <c r="B96" s="67" t="s">
        <v>247</v>
      </c>
      <c r="C96" s="67">
        <v>8765</v>
      </c>
      <c r="D96" s="82">
        <v>-7.9306722699999999E-2</v>
      </c>
      <c r="E96" s="57"/>
      <c r="F96" s="57"/>
      <c r="G96" s="57"/>
      <c r="H96" s="57"/>
      <c r="I96" s="57"/>
    </row>
    <row r="97" spans="1:9">
      <c r="A97" s="66" t="s">
        <v>248</v>
      </c>
      <c r="B97" s="67" t="s">
        <v>249</v>
      </c>
      <c r="C97" s="67">
        <v>5785</v>
      </c>
      <c r="D97" s="82">
        <v>-7.95544948E-2</v>
      </c>
      <c r="E97" s="57"/>
      <c r="F97" s="57"/>
      <c r="G97" s="57"/>
      <c r="H97" s="57"/>
      <c r="I97" s="57"/>
    </row>
    <row r="98" spans="1:9">
      <c r="A98" s="66" t="s">
        <v>250</v>
      </c>
      <c r="B98" s="67" t="s">
        <v>251</v>
      </c>
      <c r="C98" s="67">
        <v>575</v>
      </c>
      <c r="D98" s="82">
        <v>-0.08</v>
      </c>
      <c r="E98" s="57"/>
      <c r="F98" s="57"/>
      <c r="G98" s="57"/>
      <c r="H98" s="57"/>
      <c r="I98" s="57"/>
    </row>
    <row r="99" spans="1:9">
      <c r="A99" s="66" t="s">
        <v>252</v>
      </c>
      <c r="B99" s="67" t="s">
        <v>253</v>
      </c>
      <c r="C99" s="67">
        <v>4730</v>
      </c>
      <c r="D99" s="82">
        <v>-8.0660835799999997E-2</v>
      </c>
      <c r="E99" s="57"/>
      <c r="F99" s="57"/>
      <c r="G99" s="57"/>
      <c r="H99" s="57"/>
      <c r="I99" s="57"/>
    </row>
    <row r="100" spans="1:9">
      <c r="A100" s="66" t="s">
        <v>254</v>
      </c>
      <c r="B100" s="67" t="s">
        <v>255</v>
      </c>
      <c r="C100" s="67">
        <v>327</v>
      </c>
      <c r="D100" s="82">
        <v>-8.1460674199999999E-2</v>
      </c>
      <c r="E100" s="57"/>
      <c r="F100" s="57"/>
      <c r="G100" s="57"/>
      <c r="H100" s="57"/>
      <c r="I100" s="57"/>
    </row>
    <row r="101" spans="1:9">
      <c r="A101" s="66" t="s">
        <v>256</v>
      </c>
      <c r="B101" s="67" t="s">
        <v>257</v>
      </c>
      <c r="C101" s="67">
        <v>652</v>
      </c>
      <c r="D101" s="82">
        <v>-8.2981715900000003E-2</v>
      </c>
      <c r="E101" s="57"/>
      <c r="F101" s="57"/>
      <c r="G101" s="57"/>
      <c r="H101" s="57"/>
      <c r="I101" s="57"/>
    </row>
    <row r="102" spans="1:9">
      <c r="A102" s="66" t="s">
        <v>258</v>
      </c>
      <c r="B102" s="67" t="s">
        <v>259</v>
      </c>
      <c r="C102" s="67">
        <v>120</v>
      </c>
      <c r="D102" s="82">
        <v>-8.3969465600000001E-2</v>
      </c>
      <c r="E102" s="57"/>
      <c r="F102" s="57"/>
      <c r="G102" s="57"/>
      <c r="H102" s="57"/>
      <c r="I102" s="57"/>
    </row>
    <row r="103" spans="1:9">
      <c r="A103" s="66" t="s">
        <v>260</v>
      </c>
      <c r="B103" s="67" t="s">
        <v>261</v>
      </c>
      <c r="C103" s="67">
        <v>303</v>
      </c>
      <c r="D103" s="82">
        <v>-8.4592144999999994E-2</v>
      </c>
      <c r="E103" s="57"/>
      <c r="F103" s="57"/>
      <c r="G103" s="57"/>
      <c r="H103" s="57"/>
      <c r="I103" s="57"/>
    </row>
    <row r="104" spans="1:9">
      <c r="A104" s="66" t="s">
        <v>262</v>
      </c>
      <c r="B104" s="67" t="s">
        <v>263</v>
      </c>
      <c r="C104" s="67">
        <v>845</v>
      </c>
      <c r="D104" s="82">
        <v>-8.6486486500000001E-2</v>
      </c>
      <c r="E104" s="57"/>
      <c r="F104" s="57"/>
      <c r="G104" s="57"/>
      <c r="H104" s="57"/>
      <c r="I104" s="57"/>
    </row>
    <row r="105" spans="1:9">
      <c r="A105" s="66" t="s">
        <v>264</v>
      </c>
      <c r="B105" s="67" t="s">
        <v>265</v>
      </c>
      <c r="C105" s="67">
        <v>200</v>
      </c>
      <c r="D105" s="82">
        <v>-8.6757990899999998E-2</v>
      </c>
      <c r="E105" s="57"/>
      <c r="F105" s="57"/>
      <c r="G105" s="57"/>
      <c r="H105" s="57"/>
      <c r="I105" s="57"/>
    </row>
    <row r="106" spans="1:9">
      <c r="A106" s="66" t="s">
        <v>266</v>
      </c>
      <c r="B106" s="67" t="s">
        <v>267</v>
      </c>
      <c r="C106" s="67">
        <v>1705</v>
      </c>
      <c r="D106" s="82">
        <v>-8.82352941E-2</v>
      </c>
      <c r="E106" s="57"/>
      <c r="F106" s="57"/>
      <c r="G106" s="57"/>
      <c r="H106" s="57"/>
      <c r="I106" s="57"/>
    </row>
    <row r="107" spans="1:9">
      <c r="A107" s="66" t="s">
        <v>268</v>
      </c>
      <c r="B107" s="67" t="s">
        <v>269</v>
      </c>
      <c r="C107" s="67">
        <v>255</v>
      </c>
      <c r="D107" s="82">
        <v>-8.9285714299999999E-2</v>
      </c>
      <c r="E107" s="57"/>
      <c r="F107" s="57"/>
      <c r="G107" s="57"/>
      <c r="H107" s="57"/>
      <c r="I107" s="57"/>
    </row>
    <row r="108" spans="1:9">
      <c r="A108" s="66" t="s">
        <v>270</v>
      </c>
      <c r="B108" s="67" t="s">
        <v>271</v>
      </c>
      <c r="C108" s="67">
        <v>111</v>
      </c>
      <c r="D108" s="82">
        <v>-9.0163934400000006E-2</v>
      </c>
      <c r="E108" s="57"/>
      <c r="F108" s="57"/>
      <c r="G108" s="57"/>
      <c r="H108" s="57"/>
      <c r="I108" s="57"/>
    </row>
    <row r="109" spans="1:9">
      <c r="A109" s="66" t="s">
        <v>272</v>
      </c>
      <c r="B109" s="67" t="s">
        <v>273</v>
      </c>
      <c r="C109" s="67">
        <v>135</v>
      </c>
      <c r="D109" s="82">
        <v>-9.3959731500000004E-2</v>
      </c>
    </row>
    <row r="110" spans="1:9">
      <c r="A110" s="66" t="s">
        <v>274</v>
      </c>
      <c r="B110" s="67" t="s">
        <v>275</v>
      </c>
      <c r="C110" s="67">
        <v>728</v>
      </c>
      <c r="D110" s="82">
        <v>-0.1012345679</v>
      </c>
    </row>
    <row r="111" spans="1:9">
      <c r="A111" s="66" t="s">
        <v>276</v>
      </c>
      <c r="B111" s="67" t="s">
        <v>277</v>
      </c>
      <c r="C111" s="67">
        <v>3455</v>
      </c>
      <c r="D111" s="82">
        <v>-0.1025974026</v>
      </c>
    </row>
    <row r="112" spans="1:9">
      <c r="A112" s="66" t="s">
        <v>278</v>
      </c>
      <c r="B112" s="67" t="s">
        <v>279</v>
      </c>
      <c r="C112" s="67">
        <v>11540</v>
      </c>
      <c r="D112" s="82">
        <v>-0.1033411033</v>
      </c>
    </row>
    <row r="113" spans="1:4">
      <c r="A113" s="66" t="s">
        <v>280</v>
      </c>
      <c r="B113" s="67" t="s">
        <v>281</v>
      </c>
      <c r="C113" s="67">
        <v>5430</v>
      </c>
      <c r="D113" s="82">
        <v>-0.1098360656</v>
      </c>
    </row>
    <row r="114" spans="1:4">
      <c r="A114" s="66" t="s">
        <v>282</v>
      </c>
      <c r="B114" s="67" t="s">
        <v>283</v>
      </c>
      <c r="C114" s="67">
        <v>181</v>
      </c>
      <c r="D114" s="82">
        <v>-0.112745098</v>
      </c>
    </row>
    <row r="115" spans="1:4">
      <c r="A115" s="66" t="s">
        <v>284</v>
      </c>
      <c r="B115" s="67" t="s">
        <v>285</v>
      </c>
      <c r="C115" s="67">
        <v>2220</v>
      </c>
      <c r="D115" s="82">
        <v>-0.1137724551</v>
      </c>
    </row>
    <row r="116" spans="1:4">
      <c r="A116" s="66" t="s">
        <v>286</v>
      </c>
      <c r="B116" s="67" t="s">
        <v>287</v>
      </c>
      <c r="C116" s="67">
        <v>260</v>
      </c>
      <c r="D116" s="82">
        <v>-0.1156462585</v>
      </c>
    </row>
    <row r="117" spans="1:4">
      <c r="A117" s="66" t="s">
        <v>288</v>
      </c>
      <c r="B117" s="67" t="s">
        <v>289</v>
      </c>
      <c r="C117" s="67">
        <v>656</v>
      </c>
      <c r="D117" s="82">
        <v>-0.1206434316</v>
      </c>
    </row>
    <row r="118" spans="1:4">
      <c r="A118" s="66"/>
      <c r="B118" s="67"/>
      <c r="C118" s="67"/>
      <c r="D118" s="82"/>
    </row>
    <row r="119" spans="1:4">
      <c r="A119" s="66"/>
      <c r="B119" s="67"/>
      <c r="C119" s="67"/>
      <c r="D119" s="82"/>
    </row>
    <row r="120" spans="1:4">
      <c r="A120" s="66"/>
      <c r="B120" s="67"/>
      <c r="C120" s="67"/>
      <c r="D120" s="82"/>
    </row>
    <row r="121" spans="1:4">
      <c r="A121" s="66"/>
      <c r="B121" s="67"/>
      <c r="C121" s="67"/>
      <c r="D121" s="82"/>
    </row>
    <row r="122" spans="1:4">
      <c r="A122" s="66"/>
      <c r="B122" s="67"/>
      <c r="C122" s="67"/>
      <c r="D122" s="82"/>
    </row>
    <row r="123" spans="1:4">
      <c r="A123" s="66"/>
      <c r="B123" s="67"/>
      <c r="C123" s="67"/>
      <c r="D123" s="82"/>
    </row>
    <row r="124" spans="1:4">
      <c r="A124" s="66"/>
      <c r="B124" s="67"/>
      <c r="C124" s="67"/>
      <c r="D124" s="82"/>
    </row>
    <row r="125" spans="1:4">
      <c r="A125" s="66"/>
      <c r="B125" s="67"/>
      <c r="C125" s="67"/>
      <c r="D125" s="82"/>
    </row>
    <row r="126" spans="1:4">
      <c r="A126" s="66"/>
      <c r="B126" s="67"/>
      <c r="C126" s="67"/>
      <c r="D126" s="82"/>
    </row>
    <row r="127" spans="1:4">
      <c r="A127" s="66"/>
      <c r="B127" s="67"/>
      <c r="C127" s="67"/>
      <c r="D127" s="82"/>
    </row>
    <row r="128" spans="1:4">
      <c r="A128" s="66"/>
      <c r="B128" s="67"/>
      <c r="C128" s="67"/>
      <c r="D128" s="82"/>
    </row>
    <row r="129" spans="1:4">
      <c r="A129" s="66"/>
      <c r="B129" s="67"/>
      <c r="C129" s="67"/>
      <c r="D129" s="82"/>
    </row>
    <row r="130" spans="1:4">
      <c r="A130" s="66"/>
      <c r="B130" s="67"/>
      <c r="C130" s="67"/>
      <c r="D130" s="82"/>
    </row>
    <row r="131" spans="1:4">
      <c r="A131" s="66"/>
      <c r="B131" s="67"/>
      <c r="C131" s="67"/>
      <c r="D131" s="82"/>
    </row>
    <row r="132" spans="1:4">
      <c r="A132" s="66"/>
      <c r="B132" s="67"/>
      <c r="C132" s="67"/>
      <c r="D132" s="82"/>
    </row>
    <row r="133" spans="1:4">
      <c r="A133" s="66"/>
      <c r="B133" s="67"/>
      <c r="C133" s="67"/>
      <c r="D133" s="82"/>
    </row>
    <row r="134" spans="1:4">
      <c r="A134" s="66"/>
      <c r="B134" s="67"/>
      <c r="C134" s="67"/>
      <c r="D134" s="82"/>
    </row>
    <row r="135" spans="1:4">
      <c r="A135" s="66"/>
      <c r="B135" s="67"/>
      <c r="C135" s="67"/>
      <c r="D135" s="82"/>
    </row>
    <row r="136" spans="1:4">
      <c r="A136" s="66"/>
      <c r="B136" s="67"/>
      <c r="C136" s="67"/>
      <c r="D136" s="82"/>
    </row>
    <row r="137" spans="1:4">
      <c r="A137" s="66"/>
      <c r="B137" s="67"/>
      <c r="C137" s="67"/>
      <c r="D137" s="82"/>
    </row>
    <row r="138" spans="1:4">
      <c r="A138" s="66"/>
      <c r="B138" s="67"/>
      <c r="C138" s="67"/>
      <c r="D138" s="82"/>
    </row>
    <row r="139" spans="1:4">
      <c r="A139" s="66"/>
      <c r="B139" s="67"/>
      <c r="C139" s="67"/>
      <c r="D139" s="82"/>
    </row>
    <row r="140" spans="1:4">
      <c r="A140" s="66"/>
      <c r="B140" s="67"/>
      <c r="C140" s="67"/>
      <c r="D140" s="82"/>
    </row>
    <row r="141" spans="1:4">
      <c r="A141" s="66"/>
      <c r="B141" s="67"/>
      <c r="C141" s="67"/>
      <c r="D141" s="82"/>
    </row>
    <row r="142" spans="1:4">
      <c r="A142" s="66"/>
      <c r="B142" s="67"/>
      <c r="C142" s="67"/>
      <c r="D142" s="82"/>
    </row>
    <row r="143" spans="1:4">
      <c r="A143" s="66"/>
      <c r="B143" s="67"/>
      <c r="C143" s="67"/>
      <c r="D143" s="82"/>
    </row>
    <row r="144" spans="1:4">
      <c r="A144" s="66"/>
      <c r="B144" s="67"/>
      <c r="C144" s="67"/>
      <c r="D144" s="82"/>
    </row>
    <row r="145" spans="1:4">
      <c r="A145" s="66"/>
      <c r="B145" s="67"/>
      <c r="C145" s="67"/>
      <c r="D145" s="82"/>
    </row>
    <row r="146" spans="1:4">
      <c r="A146" s="66"/>
      <c r="B146" s="67"/>
      <c r="C146" s="67"/>
      <c r="D146" s="82"/>
    </row>
    <row r="147" spans="1:4">
      <c r="A147" s="66"/>
      <c r="B147" s="67"/>
      <c r="C147" s="67"/>
      <c r="D147" s="82"/>
    </row>
    <row r="148" spans="1:4">
      <c r="A148" s="66"/>
      <c r="B148" s="67"/>
      <c r="C148" s="67"/>
      <c r="D148" s="82"/>
    </row>
    <row r="149" spans="1:4">
      <c r="A149" s="66"/>
      <c r="B149" s="67"/>
      <c r="C149" s="67"/>
      <c r="D149" s="82"/>
    </row>
    <row r="150" spans="1:4">
      <c r="A150" s="66"/>
      <c r="B150" s="67"/>
      <c r="C150" s="67"/>
      <c r="D150" s="82"/>
    </row>
    <row r="151" spans="1:4">
      <c r="A151" s="66"/>
      <c r="B151" s="67"/>
      <c r="C151" s="67"/>
      <c r="D151" s="82"/>
    </row>
    <row r="152" spans="1:4">
      <c r="A152" s="66"/>
      <c r="B152" s="67"/>
      <c r="C152" s="67"/>
      <c r="D152" s="82"/>
    </row>
    <row r="153" spans="1:4">
      <c r="A153" s="66"/>
      <c r="B153" s="67"/>
      <c r="C153" s="67"/>
      <c r="D153" s="82"/>
    </row>
    <row r="154" spans="1:4">
      <c r="A154" s="66"/>
      <c r="B154" s="67"/>
      <c r="C154" s="67"/>
      <c r="D154" s="82"/>
    </row>
    <row r="155" spans="1:4">
      <c r="A155" s="66"/>
      <c r="B155" s="67"/>
      <c r="C155" s="67"/>
      <c r="D155" s="82"/>
    </row>
    <row r="156" spans="1:4">
      <c r="A156" s="66"/>
      <c r="B156" s="67"/>
      <c r="C156" s="67"/>
      <c r="D156" s="82"/>
    </row>
    <row r="157" spans="1:4">
      <c r="A157" s="66"/>
      <c r="B157" s="67"/>
      <c r="C157" s="67"/>
      <c r="D157" s="82"/>
    </row>
    <row r="158" spans="1:4">
      <c r="A158" s="66"/>
      <c r="B158" s="67"/>
      <c r="C158" s="67"/>
      <c r="D158" s="82"/>
    </row>
    <row r="159" spans="1:4">
      <c r="A159" s="66"/>
      <c r="B159" s="67"/>
      <c r="C159" s="67"/>
      <c r="D159" s="82"/>
    </row>
    <row r="160" spans="1:4">
      <c r="A160" s="66"/>
      <c r="B160" s="67"/>
      <c r="C160" s="67"/>
      <c r="D160" s="82"/>
    </row>
    <row r="161" spans="1:4">
      <c r="A161" s="66"/>
      <c r="B161" s="67"/>
      <c r="C161" s="67"/>
      <c r="D161" s="82"/>
    </row>
    <row r="162" spans="1:4">
      <c r="A162" s="66"/>
      <c r="B162" s="67"/>
      <c r="C162" s="67"/>
      <c r="D162" s="82"/>
    </row>
    <row r="163" spans="1:4">
      <c r="A163" s="66"/>
      <c r="B163" s="67"/>
      <c r="C163" s="67"/>
      <c r="D163" s="82"/>
    </row>
    <row r="164" spans="1:4">
      <c r="A164" s="66"/>
      <c r="B164" s="67"/>
      <c r="C164" s="67"/>
      <c r="D164" s="82"/>
    </row>
    <row r="165" spans="1:4">
      <c r="A165" s="66"/>
      <c r="B165" s="67"/>
      <c r="C165" s="67"/>
      <c r="D165" s="82"/>
    </row>
    <row r="166" spans="1:4">
      <c r="A166" s="66"/>
      <c r="B166" s="67"/>
      <c r="C166" s="67"/>
      <c r="D166" s="82"/>
    </row>
    <row r="167" spans="1:4">
      <c r="A167" s="66"/>
      <c r="B167" s="67"/>
      <c r="C167" s="67"/>
      <c r="D167" s="82"/>
    </row>
    <row r="168" spans="1:4">
      <c r="A168" s="66"/>
      <c r="B168" s="67"/>
      <c r="C168" s="67"/>
      <c r="D168" s="82"/>
    </row>
    <row r="169" spans="1:4">
      <c r="A169" s="66"/>
      <c r="B169" s="67"/>
      <c r="C169" s="67"/>
      <c r="D169" s="82"/>
    </row>
    <row r="170" spans="1:4">
      <c r="A170" s="66"/>
      <c r="B170" s="67"/>
      <c r="C170" s="67"/>
      <c r="D170" s="82"/>
    </row>
    <row r="171" spans="1:4">
      <c r="A171" s="66"/>
      <c r="B171" s="67"/>
      <c r="C171" s="67"/>
      <c r="D171" s="82"/>
    </row>
    <row r="172" spans="1:4">
      <c r="A172" s="66"/>
      <c r="B172" s="67"/>
      <c r="C172" s="67"/>
      <c r="D172" s="82"/>
    </row>
    <row r="173" spans="1:4">
      <c r="A173" s="66"/>
      <c r="B173" s="67"/>
      <c r="C173" s="67"/>
      <c r="D173" s="82"/>
    </row>
    <row r="174" spans="1:4">
      <c r="A174" s="66"/>
      <c r="B174" s="67"/>
      <c r="C174" s="67"/>
      <c r="D174" s="82"/>
    </row>
    <row r="175" spans="1:4">
      <c r="A175" s="66"/>
      <c r="B175" s="67"/>
      <c r="C175" s="67"/>
      <c r="D175" s="82"/>
    </row>
    <row r="176" spans="1:4">
      <c r="A176" s="66"/>
      <c r="B176" s="67"/>
      <c r="C176" s="67"/>
      <c r="D176" s="82"/>
    </row>
    <row r="177" spans="1:4">
      <c r="A177" s="66"/>
      <c r="B177" s="67"/>
      <c r="C177" s="67"/>
      <c r="D177" s="82"/>
    </row>
    <row r="178" spans="1:4">
      <c r="A178" s="66"/>
      <c r="B178" s="67"/>
      <c r="C178" s="67"/>
      <c r="D178" s="82"/>
    </row>
    <row r="179" spans="1:4">
      <c r="A179" s="66"/>
      <c r="B179" s="67"/>
      <c r="C179" s="67"/>
      <c r="D179" s="82"/>
    </row>
    <row r="180" spans="1:4">
      <c r="A180" s="66"/>
      <c r="B180" s="67"/>
      <c r="C180" s="67"/>
      <c r="D180" s="82"/>
    </row>
    <row r="181" spans="1:4">
      <c r="A181" s="66"/>
      <c r="B181" s="67"/>
      <c r="C181" s="67"/>
      <c r="D181" s="82"/>
    </row>
    <row r="182" spans="1:4">
      <c r="A182" s="66"/>
      <c r="B182" s="67"/>
      <c r="C182" s="67"/>
      <c r="D182" s="82"/>
    </row>
    <row r="183" spans="1:4">
      <c r="A183" s="66"/>
      <c r="B183" s="67"/>
      <c r="C183" s="67"/>
      <c r="D183" s="82"/>
    </row>
    <row r="184" spans="1:4">
      <c r="A184" s="66"/>
      <c r="B184" s="67"/>
      <c r="C184" s="67"/>
      <c r="D184" s="82"/>
    </row>
    <row r="185" spans="1:4">
      <c r="A185" s="66"/>
      <c r="B185" s="67"/>
      <c r="C185" s="67"/>
      <c r="D185" s="82"/>
    </row>
    <row r="186" spans="1:4">
      <c r="A186" s="66"/>
      <c r="B186" s="67"/>
      <c r="C186" s="67"/>
      <c r="D186" s="82"/>
    </row>
    <row r="187" spans="1:4">
      <c r="A187" s="66"/>
      <c r="B187" s="67"/>
      <c r="C187" s="67"/>
      <c r="D187" s="82"/>
    </row>
    <row r="188" spans="1:4">
      <c r="A188" s="66"/>
      <c r="B188" s="67"/>
      <c r="C188" s="67"/>
      <c r="D188" s="82"/>
    </row>
    <row r="189" spans="1:4">
      <c r="A189" s="66"/>
      <c r="B189" s="67"/>
      <c r="C189" s="67"/>
      <c r="D189" s="82"/>
    </row>
    <row r="190" spans="1:4">
      <c r="A190" s="66"/>
      <c r="B190" s="67"/>
      <c r="C190" s="67"/>
      <c r="D190" s="82"/>
    </row>
    <row r="191" spans="1:4">
      <c r="A191" s="66"/>
      <c r="B191" s="67"/>
      <c r="C191" s="67"/>
      <c r="D191" s="82"/>
    </row>
    <row r="192" spans="1:4">
      <c r="A192" s="66"/>
      <c r="B192" s="67"/>
      <c r="C192" s="67"/>
      <c r="D192" s="82"/>
    </row>
    <row r="193" spans="1:4">
      <c r="A193" s="66"/>
      <c r="B193" s="67"/>
      <c r="C193" s="67"/>
      <c r="D193" s="82"/>
    </row>
    <row r="194" spans="1:4">
      <c r="A194" s="66"/>
      <c r="B194" s="67"/>
      <c r="C194" s="67"/>
      <c r="D194" s="82"/>
    </row>
    <row r="195" spans="1:4">
      <c r="A195" s="66"/>
      <c r="B195" s="67"/>
      <c r="C195" s="67"/>
      <c r="D195" s="82"/>
    </row>
    <row r="196" spans="1:4">
      <c r="A196" s="66"/>
      <c r="B196" s="67"/>
      <c r="C196" s="67"/>
      <c r="D196" s="82"/>
    </row>
    <row r="197" spans="1:4">
      <c r="A197" s="66"/>
      <c r="B197" s="67"/>
      <c r="C197" s="67"/>
      <c r="D197" s="82"/>
    </row>
    <row r="198" spans="1:4">
      <c r="A198" s="66"/>
      <c r="B198" s="67"/>
      <c r="C198" s="67"/>
      <c r="D198" s="82"/>
    </row>
    <row r="199" spans="1:4" ht="17.25" thickBot="1">
      <c r="A199" s="69"/>
      <c r="B199" s="70"/>
      <c r="C199" s="70"/>
      <c r="D199" s="8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K28:M28"/>
    <mergeCell ref="O28:Q28"/>
    <mergeCell ref="G20:I20"/>
    <mergeCell ref="G21:I22"/>
    <mergeCell ref="P29:Q29"/>
    <mergeCell ref="H23:I23"/>
    <mergeCell ref="G24:G25"/>
    <mergeCell ref="H24:I25"/>
    <mergeCell ref="G29:G30"/>
    <mergeCell ref="H29:I29"/>
    <mergeCell ref="K29:K30"/>
    <mergeCell ref="L29:M29"/>
    <mergeCell ref="O29:O30"/>
    <mergeCell ref="K3:M3"/>
    <mergeCell ref="O3:Q3"/>
    <mergeCell ref="G7:I8"/>
    <mergeCell ref="K4:K5"/>
    <mergeCell ref="L4:M4"/>
    <mergeCell ref="O4:O5"/>
    <mergeCell ref="P4:Q4"/>
    <mergeCell ref="K53:M53"/>
    <mergeCell ref="O53:Q53"/>
    <mergeCell ref="K54:K55"/>
    <mergeCell ref="L54:M54"/>
    <mergeCell ref="O54:O55"/>
    <mergeCell ref="P54:Q54"/>
    <mergeCell ref="G3:G4"/>
    <mergeCell ref="H3:I4"/>
    <mergeCell ref="G53:I53"/>
    <mergeCell ref="G54:G55"/>
    <mergeCell ref="H54:I54"/>
    <mergeCell ref="H16:I16"/>
    <mergeCell ref="G6:I6"/>
    <mergeCell ref="H9:I9"/>
    <mergeCell ref="G10:G11"/>
    <mergeCell ref="H10:I11"/>
    <mergeCell ref="G13:I13"/>
    <mergeCell ref="G14:I15"/>
    <mergeCell ref="G17:G18"/>
    <mergeCell ref="H17:I18"/>
    <mergeCell ref="G28:I28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Q199"/>
  <sheetViews>
    <sheetView tabSelected="1" topLeftCell="B22" workbookViewId="0">
      <selection activeCell="O32" sqref="O32"/>
    </sheetView>
  </sheetViews>
  <sheetFormatPr defaultRowHeight="16.5"/>
  <cols>
    <col min="1" max="1" width="13.5" bestFit="1" customWidth="1"/>
    <col min="2" max="2" width="18.5" customWidth="1"/>
    <col min="3" max="3" width="11.375" bestFit="1" customWidth="1"/>
    <col min="4" max="4" width="13.25" style="56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7" ht="17.25" thickBot="1">
      <c r="A1" s="84" t="s">
        <v>297</v>
      </c>
      <c r="B1" s="85" t="s">
        <v>39</v>
      </c>
      <c r="C1" s="85" t="s">
        <v>37</v>
      </c>
      <c r="D1" s="86" t="s">
        <v>38</v>
      </c>
    </row>
    <row r="2" spans="1:17" ht="17.25" thickBot="1">
      <c r="A2" s="66" t="s">
        <v>54</v>
      </c>
      <c r="B2" s="67" t="s">
        <v>55</v>
      </c>
      <c r="C2" s="67">
        <v>798</v>
      </c>
      <c r="D2" s="82">
        <v>8.1300813E-2</v>
      </c>
      <c r="E2" s="57"/>
      <c r="F2" s="57"/>
      <c r="G2" s="91"/>
      <c r="H2" s="57"/>
      <c r="I2" s="57"/>
    </row>
    <row r="3" spans="1:17" ht="17.25" thickBot="1">
      <c r="A3" s="66" t="s">
        <v>57</v>
      </c>
      <c r="B3" s="67" t="s">
        <v>58</v>
      </c>
      <c r="C3" s="67">
        <v>468</v>
      </c>
      <c r="D3" s="82">
        <v>8.0831408800000004E-2</v>
      </c>
      <c r="E3" s="57"/>
      <c r="F3" s="57"/>
      <c r="G3" s="158" t="s">
        <v>301</v>
      </c>
      <c r="H3" s="160" t="s">
        <v>300</v>
      </c>
      <c r="I3" s="160"/>
      <c r="K3" s="122" t="s">
        <v>34</v>
      </c>
      <c r="L3" s="123"/>
      <c r="M3" s="124"/>
      <c r="O3" s="122" t="s">
        <v>302</v>
      </c>
      <c r="P3" s="123"/>
      <c r="Q3" s="124"/>
    </row>
    <row r="4" spans="1:17" ht="17.25" thickBot="1">
      <c r="A4" s="66" t="s">
        <v>61</v>
      </c>
      <c r="B4" s="67" t="s">
        <v>62</v>
      </c>
      <c r="C4" s="67">
        <v>580</v>
      </c>
      <c r="D4" s="82">
        <v>6.2271062299999999E-2</v>
      </c>
      <c r="E4" s="57"/>
      <c r="F4" s="57"/>
      <c r="G4" s="159"/>
      <c r="H4" s="161"/>
      <c r="I4" s="161"/>
      <c r="K4" s="158" t="s">
        <v>59</v>
      </c>
      <c r="L4" s="123" t="s">
        <v>60</v>
      </c>
      <c r="M4" s="124"/>
      <c r="O4" s="158" t="s">
        <v>59</v>
      </c>
      <c r="P4" s="123" t="s">
        <v>60</v>
      </c>
      <c r="Q4" s="124"/>
    </row>
    <row r="5" spans="1:17" ht="17.25" thickBot="1">
      <c r="A5" s="66" t="s">
        <v>65</v>
      </c>
      <c r="B5" s="67" t="s">
        <v>66</v>
      </c>
      <c r="C5" s="67">
        <v>1415</v>
      </c>
      <c r="D5" s="82">
        <v>5.99250936E-2</v>
      </c>
      <c r="E5" s="57"/>
      <c r="F5" s="57"/>
      <c r="K5" s="159"/>
      <c r="L5" s="87" t="s">
        <v>63</v>
      </c>
      <c r="M5" s="88" t="s">
        <v>64</v>
      </c>
      <c r="O5" s="159"/>
      <c r="P5" s="87" t="s">
        <v>63</v>
      </c>
      <c r="Q5" s="88" t="s">
        <v>64</v>
      </c>
    </row>
    <row r="6" spans="1:17" ht="17.25" thickBot="1">
      <c r="A6" s="66" t="s">
        <v>67</v>
      </c>
      <c r="B6" s="67" t="s">
        <v>68</v>
      </c>
      <c r="C6" s="67">
        <v>85700</v>
      </c>
      <c r="D6" s="82">
        <v>5.5028930199999999E-2</v>
      </c>
      <c r="E6" s="57"/>
      <c r="F6" s="57"/>
      <c r="G6" s="122" t="s">
        <v>56</v>
      </c>
      <c r="H6" s="123"/>
      <c r="I6" s="124"/>
      <c r="K6" s="92" t="str">
        <f ca="1">IFERROR(OFFSET(INDIRECT($H$3 &amp; "!A17"), 0, 0), "")</f>
        <v>스텔라루멘</v>
      </c>
      <c r="L6" s="63">
        <f t="shared" ref="L6:L25" ca="1" si="0">_xlfn.IFNA(VLOOKUP(K6, $B$2:$D$200, 2, FALSE), "")</f>
        <v>798</v>
      </c>
      <c r="M6" s="64">
        <f t="shared" ref="M6:M25" ca="1" si="1">_xlfn.IFNA(VLOOKUP(K6, $B$2:$D$200, 3, FALSE), "")</f>
        <v>8.1300813E-2</v>
      </c>
      <c r="O6" s="89" t="str">
        <f>INDEX($A$2:$D$200, MATCH(LARGE($D$2:$D$200, 1), $D$2:$D$200, 0), 2)</f>
        <v>스텔라루멘</v>
      </c>
      <c r="P6" s="63">
        <f t="shared" ref="P6:P25" si="2">_xlfn.IFNA(VLOOKUP(O6, $B$2:$D$200, 2, FALSE), "")</f>
        <v>798</v>
      </c>
      <c r="Q6" s="64">
        <f t="shared" ref="Q6:Q25" si="3">_xlfn.IFNA(VLOOKUP(O6, $B$2:$D$200, 3, FALSE), "")</f>
        <v>8.1300813E-2</v>
      </c>
    </row>
    <row r="7" spans="1:17">
      <c r="A7" s="66" t="s">
        <v>69</v>
      </c>
      <c r="B7" s="67" t="s">
        <v>70</v>
      </c>
      <c r="C7" s="67">
        <v>72.099999999999994</v>
      </c>
      <c r="D7" s="82">
        <v>4.19075145E-2</v>
      </c>
      <c r="E7" s="57"/>
      <c r="F7" s="57"/>
      <c r="G7" s="144" t="s">
        <v>36</v>
      </c>
      <c r="H7" s="145"/>
      <c r="I7" s="146"/>
      <c r="K7" s="93" t="str">
        <f ca="1">IFERROR(OFFSET(INDIRECT($H$3 &amp; "!A17"), 1, 0), "")</f>
        <v>헤데라해시그래프</v>
      </c>
      <c r="L7" s="65">
        <f t="shared" ca="1" si="0"/>
        <v>468</v>
      </c>
      <c r="M7" s="60">
        <f t="shared" ca="1" si="1"/>
        <v>8.0831408800000004E-2</v>
      </c>
      <c r="O7" s="79" t="str">
        <f>INDEX($A$2:$D$200, MATCH(LARGE($D$2:$D$200, 2), $D$2:$D$200, 0), 2)</f>
        <v>헤데라해시그래프</v>
      </c>
      <c r="P7" s="65">
        <f t="shared" si="2"/>
        <v>468</v>
      </c>
      <c r="Q7" s="60">
        <f t="shared" si="3"/>
        <v>8.0831408800000004E-2</v>
      </c>
    </row>
    <row r="8" spans="1:17" ht="17.25" thickBot="1">
      <c r="A8" s="66" t="s">
        <v>71</v>
      </c>
      <c r="B8" s="67" t="s">
        <v>72</v>
      </c>
      <c r="C8" s="67">
        <v>11880</v>
      </c>
      <c r="D8" s="82">
        <v>3.8461538500000003E-2</v>
      </c>
      <c r="E8" s="57"/>
      <c r="F8" s="57"/>
      <c r="G8" s="150"/>
      <c r="H8" s="151"/>
      <c r="I8" s="152"/>
      <c r="K8" s="93" t="str">
        <f ca="1">IFERROR(OFFSET(INDIRECT($H$3 &amp; "!A17"), 2, 0), "")</f>
        <v>넴</v>
      </c>
      <c r="L8" s="65">
        <f t="shared" ca="1" si="0"/>
        <v>580</v>
      </c>
      <c r="M8" s="60">
        <f t="shared" ca="1" si="1"/>
        <v>6.2271062299999999E-2</v>
      </c>
      <c r="O8" s="79" t="str">
        <f>INDEX($A$2:$D$200, MATCH(LARGE($D$2:$D$200, 3), $D$2:$D$200, 0), 2)</f>
        <v>넴</v>
      </c>
      <c r="P8" s="65">
        <f t="shared" si="2"/>
        <v>580</v>
      </c>
      <c r="Q8" s="60">
        <f t="shared" si="3"/>
        <v>6.2271062299999999E-2</v>
      </c>
    </row>
    <row r="9" spans="1:17" ht="17.25" thickBot="1">
      <c r="A9" s="66" t="s">
        <v>73</v>
      </c>
      <c r="B9" s="67" t="s">
        <v>74</v>
      </c>
      <c r="C9" s="67">
        <v>9550</v>
      </c>
      <c r="D9" s="82">
        <v>3.2432432400000002E-2</v>
      </c>
      <c r="E9" s="57"/>
      <c r="F9" s="57"/>
      <c r="G9" s="84" t="s">
        <v>38</v>
      </c>
      <c r="H9" s="123" t="s">
        <v>37</v>
      </c>
      <c r="I9" s="124"/>
      <c r="K9" s="93" t="str">
        <f ca="1">IFERROR(OFFSET(INDIRECT($H$3 &amp; "!A17"), 3, 0), "")</f>
        <v>디센트럴랜드</v>
      </c>
      <c r="L9" s="65">
        <f t="shared" ca="1" si="0"/>
        <v>1415</v>
      </c>
      <c r="M9" s="60">
        <f t="shared" ca="1" si="1"/>
        <v>5.99250936E-2</v>
      </c>
      <c r="O9" s="79" t="str">
        <f>INDEX($A$2:$D$200, MATCH(LARGE($D$2:$D$200, 4), $D$2:$D$200, 0), 2)</f>
        <v>디센트럴랜드</v>
      </c>
      <c r="P9" s="65">
        <f t="shared" si="2"/>
        <v>1415</v>
      </c>
      <c r="Q9" s="60">
        <f t="shared" si="3"/>
        <v>5.99250936E-2</v>
      </c>
    </row>
    <row r="10" spans="1:17">
      <c r="A10" s="66" t="s">
        <v>76</v>
      </c>
      <c r="B10" s="67" t="s">
        <v>77</v>
      </c>
      <c r="C10" s="67">
        <v>53.6</v>
      </c>
      <c r="D10" s="82">
        <v>2.2900763399999999E-2</v>
      </c>
      <c r="E10" s="57"/>
      <c r="F10" s="57"/>
      <c r="G10" s="162">
        <f>_xlfn.IFNA(VLOOKUP(G7, $B$2:$D$200, 3, FALSE), "-")</f>
        <v>-6.7108111999999998E-3</v>
      </c>
      <c r="H10" s="164">
        <f>_xlfn.IFNA(VLOOKUP(G7, $B$2:$D$200, 2, FALSE), "-")</f>
        <v>78003000</v>
      </c>
      <c r="I10" s="165"/>
      <c r="K10" s="95" t="str">
        <f ca="1">IFERROR(OFFSET(INDIRECT($H$3 &amp; "!A17"), 4, 0), "")</f>
        <v>네오</v>
      </c>
      <c r="L10" s="72">
        <f t="shared" ca="1" si="0"/>
        <v>85700</v>
      </c>
      <c r="M10" s="73">
        <f t="shared" ca="1" si="1"/>
        <v>5.5028930199999999E-2</v>
      </c>
      <c r="O10" s="79" t="str">
        <f>INDEX($A$2:$D$200, MATCH(LARGE($D$2:$D$200, 5), $D$2:$D$200, 0), 2)</f>
        <v>네오</v>
      </c>
      <c r="P10" s="65">
        <f t="shared" si="2"/>
        <v>85700</v>
      </c>
      <c r="Q10" s="60">
        <f t="shared" si="3"/>
        <v>5.5028930199999999E-2</v>
      </c>
    </row>
    <row r="11" spans="1:17" ht="17.25" thickBot="1">
      <c r="A11" s="66" t="s">
        <v>78</v>
      </c>
      <c r="B11" s="67" t="s">
        <v>79</v>
      </c>
      <c r="C11" s="67">
        <v>28100</v>
      </c>
      <c r="D11" s="82">
        <v>1.8115941999999999E-2</v>
      </c>
      <c r="E11" s="57"/>
      <c r="F11" s="57"/>
      <c r="G11" s="163"/>
      <c r="H11" s="166"/>
      <c r="I11" s="167"/>
      <c r="K11" s="93" t="str">
        <f ca="1">IFERROR(OFFSET(INDIRECT($H$3 &amp; "!A17"), 5, 0), "")</f>
        <v>아이오에스티</v>
      </c>
      <c r="L11" s="65">
        <f t="shared" ca="1" si="0"/>
        <v>72.099999999999994</v>
      </c>
      <c r="M11" s="60">
        <f t="shared" ca="1" si="1"/>
        <v>4.19075145E-2</v>
      </c>
      <c r="O11" s="81" t="str">
        <f>INDEX($A$2:$D$200, MATCH(LARGE($D$2:$D$200, 6), $D$2:$D$200, 0), 2)</f>
        <v>아이오에스티</v>
      </c>
      <c r="P11" s="74">
        <f t="shared" si="2"/>
        <v>72.099999999999994</v>
      </c>
      <c r="Q11" s="75">
        <f t="shared" si="3"/>
        <v>4.19075145E-2</v>
      </c>
    </row>
    <row r="12" spans="1:17" ht="17.25" thickBot="1">
      <c r="A12" s="66" t="s">
        <v>80</v>
      </c>
      <c r="B12" s="67" t="s">
        <v>81</v>
      </c>
      <c r="C12" s="67">
        <v>42740</v>
      </c>
      <c r="D12" s="82">
        <v>1.6892695700000002E-2</v>
      </c>
      <c r="E12" s="57"/>
      <c r="F12" s="57"/>
      <c r="K12" s="93" t="str">
        <f ca="1">IFERROR(OFFSET(INDIRECT($H$3 &amp; "!A17"), 6, 0), "")</f>
        <v>코박토큰</v>
      </c>
      <c r="L12" s="65">
        <f t="shared" ca="1" si="0"/>
        <v>11880</v>
      </c>
      <c r="M12" s="60">
        <f t="shared" ca="1" si="1"/>
        <v>3.8461538500000003E-2</v>
      </c>
      <c r="O12" s="79" t="str">
        <f>INDEX($A$2:$D$200, MATCH(LARGE($D$2:$D$200, 7), $D$2:$D$200, 0), 2)</f>
        <v>코박토큰</v>
      </c>
      <c r="P12" s="65">
        <f t="shared" si="2"/>
        <v>11880</v>
      </c>
      <c r="Q12" s="60">
        <f t="shared" si="3"/>
        <v>3.8461538500000003E-2</v>
      </c>
    </row>
    <row r="13" spans="1:17" ht="17.25" thickBot="1">
      <c r="A13" s="66" t="s">
        <v>82</v>
      </c>
      <c r="B13" s="67" t="s">
        <v>83</v>
      </c>
      <c r="C13" s="67">
        <v>899600</v>
      </c>
      <c r="D13" s="82">
        <v>1.6726943899999999E-2</v>
      </c>
      <c r="E13" s="57"/>
      <c r="F13" s="57"/>
      <c r="G13" s="122" t="s">
        <v>75</v>
      </c>
      <c r="H13" s="123"/>
      <c r="I13" s="124"/>
      <c r="K13" s="93" t="str">
        <f ca="1">IFERROR(OFFSET(INDIRECT($H$3 &amp; "!A17"), 7, 0), "")</f>
        <v>세럼</v>
      </c>
      <c r="L13" s="65">
        <f t="shared" ca="1" si="0"/>
        <v>9550</v>
      </c>
      <c r="M13" s="60">
        <f t="shared" ca="1" si="1"/>
        <v>3.2432432400000002E-2</v>
      </c>
      <c r="O13" s="79" t="str">
        <f>INDEX($A$2:$D$200, MATCH(LARGE($D$2:$D$200, 8), $D$2:$D$200, 0), 2)</f>
        <v>세럼</v>
      </c>
      <c r="P13" s="65">
        <f t="shared" si="2"/>
        <v>9550</v>
      </c>
      <c r="Q13" s="60">
        <f t="shared" si="3"/>
        <v>3.2432432400000002E-2</v>
      </c>
    </row>
    <row r="14" spans="1:17">
      <c r="A14" s="66" t="s">
        <v>84</v>
      </c>
      <c r="B14" s="67" t="s">
        <v>85</v>
      </c>
      <c r="C14" s="67">
        <v>1955</v>
      </c>
      <c r="D14" s="82">
        <v>1.29533679E-2</v>
      </c>
      <c r="E14" s="57"/>
      <c r="F14" s="57"/>
      <c r="G14" s="144" t="s">
        <v>36</v>
      </c>
      <c r="H14" s="145"/>
      <c r="I14" s="146"/>
      <c r="K14" s="93" t="str">
        <f ca="1">IFERROR(OFFSET(INDIRECT($H$3 &amp; "!A17"), 8, 0), "")</f>
        <v>쿼크체인</v>
      </c>
      <c r="L14" s="65">
        <f t="shared" ca="1" si="0"/>
        <v>53.6</v>
      </c>
      <c r="M14" s="60">
        <f t="shared" ca="1" si="1"/>
        <v>2.2900763399999999E-2</v>
      </c>
      <c r="O14" s="79" t="str">
        <f>INDEX($A$2:$D$200, MATCH(LARGE($D$2:$D$200, 9), $D$2:$D$200, 0), 2)</f>
        <v>쿼크체인</v>
      </c>
      <c r="P14" s="65">
        <f t="shared" si="2"/>
        <v>53.6</v>
      </c>
      <c r="Q14" s="60">
        <f t="shared" si="3"/>
        <v>2.2900763399999999E-2</v>
      </c>
    </row>
    <row r="15" spans="1:17" ht="17.25" thickBot="1">
      <c r="A15" s="66" t="s">
        <v>86</v>
      </c>
      <c r="B15" s="67" t="s">
        <v>87</v>
      </c>
      <c r="C15" s="67">
        <v>2020</v>
      </c>
      <c r="D15" s="82">
        <v>1.25313283E-2</v>
      </c>
      <c r="E15" s="57"/>
      <c r="F15" s="57"/>
      <c r="G15" s="150"/>
      <c r="H15" s="151"/>
      <c r="I15" s="152"/>
      <c r="K15" s="94" t="str">
        <f ca="1">IFERROR(OFFSET(INDIRECT($H$3 &amp; "!A17"), 9, 0), "")</f>
        <v>코스모스</v>
      </c>
      <c r="L15" s="61">
        <f t="shared" ca="1" si="0"/>
        <v>28100</v>
      </c>
      <c r="M15" s="62">
        <f t="shared" ca="1" si="1"/>
        <v>1.8115941999999999E-2</v>
      </c>
      <c r="O15" s="90" t="str">
        <f>INDEX($A$2:$D$200, MATCH(LARGE($D$2:$D$200, 10), $D$2:$D$200, 0), 2)</f>
        <v>코스모스</v>
      </c>
      <c r="P15" s="61">
        <f t="shared" si="2"/>
        <v>28100</v>
      </c>
      <c r="Q15" s="62">
        <f t="shared" si="3"/>
        <v>1.8115941999999999E-2</v>
      </c>
    </row>
    <row r="16" spans="1:17" ht="17.25" thickBot="1">
      <c r="A16" s="66" t="s">
        <v>88</v>
      </c>
      <c r="B16" s="67" t="s">
        <v>89</v>
      </c>
      <c r="C16" s="67">
        <v>1625</v>
      </c>
      <c r="D16" s="82">
        <v>1.2461059199999999E-2</v>
      </c>
      <c r="E16" s="57"/>
      <c r="F16" s="57"/>
      <c r="G16" s="84" t="s">
        <v>38</v>
      </c>
      <c r="H16" s="123" t="s">
        <v>37</v>
      </c>
      <c r="I16" s="124"/>
      <c r="K16" s="92" t="str">
        <f ca="1">IFERROR(OFFSET(INDIRECT($H$3 &amp; "!A17"), 10, 0), "")</f>
        <v>체인링크</v>
      </c>
      <c r="L16" s="63">
        <f t="shared" ca="1" si="0"/>
        <v>42740</v>
      </c>
      <c r="M16" s="64">
        <f t="shared" ca="1" si="1"/>
        <v>1.6892695700000002E-2</v>
      </c>
      <c r="O16" s="89" t="str">
        <f>INDEX($A$2:$D$200, MATCH(LARGE($D$2:$D$200, 11), $D$2:$D$200, 0), 2)</f>
        <v>체인링크</v>
      </c>
      <c r="P16" s="63">
        <f t="shared" si="2"/>
        <v>42740</v>
      </c>
      <c r="Q16" s="64">
        <f t="shared" si="3"/>
        <v>1.6892695700000002E-2</v>
      </c>
    </row>
    <row r="17" spans="1:17">
      <c r="A17" s="66" t="s">
        <v>90</v>
      </c>
      <c r="B17" s="67" t="s">
        <v>91</v>
      </c>
      <c r="C17" s="67">
        <v>8800</v>
      </c>
      <c r="D17" s="82">
        <v>1.20759057E-2</v>
      </c>
      <c r="E17" s="57"/>
      <c r="F17" s="57"/>
      <c r="G17" s="162">
        <f>_xlfn.IFNA(VLOOKUP(G14, $B$2:$D$200, 3, FALSE), "-")</f>
        <v>-6.7108111999999998E-3</v>
      </c>
      <c r="H17" s="164">
        <f>_xlfn.IFNA(VLOOKUP(G14, $B$2:$D$200, 2, FALSE), "-")</f>
        <v>78003000</v>
      </c>
      <c r="I17" s="165"/>
      <c r="K17" s="93" t="str">
        <f ca="1">IFERROR(OFFSET(INDIRECT($H$3 &amp; "!A17"), 11, 0), "")</f>
        <v>비트코인캐시</v>
      </c>
      <c r="L17" s="65">
        <f t="shared" ca="1" si="0"/>
        <v>899600</v>
      </c>
      <c r="M17" s="60">
        <f t="shared" ca="1" si="1"/>
        <v>1.6726943899999999E-2</v>
      </c>
      <c r="O17" s="79" t="str">
        <f>INDEX($A$2:$D$200, MATCH(LARGE($D$2:$D$200, 12), $D$2:$D$200, 0), 2)</f>
        <v>비트코인캐시</v>
      </c>
      <c r="P17" s="65">
        <f t="shared" si="2"/>
        <v>899600</v>
      </c>
      <c r="Q17" s="60">
        <f t="shared" si="3"/>
        <v>1.6726943899999999E-2</v>
      </c>
    </row>
    <row r="18" spans="1:17" ht="17.25" thickBot="1">
      <c r="A18" s="66" t="s">
        <v>92</v>
      </c>
      <c r="B18" s="67" t="s">
        <v>93</v>
      </c>
      <c r="C18" s="67">
        <v>614</v>
      </c>
      <c r="D18" s="82">
        <v>9.8684211000000001E-3</v>
      </c>
      <c r="E18" s="57"/>
      <c r="F18" s="57"/>
      <c r="G18" s="163"/>
      <c r="H18" s="166"/>
      <c r="I18" s="167"/>
      <c r="K18" s="93">
        <f ca="1">IFERROR(OFFSET(INDIRECT($H$3 &amp; "!A17"), 12, 0), "")</f>
        <v>0</v>
      </c>
      <c r="L18" s="65" t="str">
        <f t="shared" ca="1" si="0"/>
        <v/>
      </c>
      <c r="M18" s="60" t="str">
        <f t="shared" ca="1" si="1"/>
        <v/>
      </c>
      <c r="O18" s="79" t="str">
        <f>INDEX($A$2:$D$200, MATCH(LARGE($D$2:$D$200, 13), $D$2:$D$200, 0), 2)</f>
        <v>베이직어텐션토큰</v>
      </c>
      <c r="P18" s="65">
        <f t="shared" si="2"/>
        <v>1955</v>
      </c>
      <c r="Q18" s="60">
        <f t="shared" si="3"/>
        <v>1.29533679E-2</v>
      </c>
    </row>
    <row r="19" spans="1:17" ht="17.25" thickBot="1">
      <c r="A19" s="66" t="s">
        <v>94</v>
      </c>
      <c r="B19" s="67" t="s">
        <v>95</v>
      </c>
      <c r="C19" s="67">
        <v>359000</v>
      </c>
      <c r="D19" s="82">
        <v>3.4940600999999998E-3</v>
      </c>
      <c r="E19" s="57"/>
      <c r="F19" s="57"/>
      <c r="K19" s="93">
        <f ca="1">IFERROR(OFFSET(INDIRECT($H$3 &amp; "!A17"), 13, 0), "")</f>
        <v>0</v>
      </c>
      <c r="L19" s="65" t="str">
        <f t="shared" ca="1" si="0"/>
        <v/>
      </c>
      <c r="M19" s="60" t="str">
        <f t="shared" ca="1" si="1"/>
        <v/>
      </c>
      <c r="O19" s="79" t="str">
        <f>INDEX($A$2:$D$200, MATCH(LARGE($D$2:$D$200, 14), $D$2:$D$200, 0), 2)</f>
        <v>애드엑스</v>
      </c>
      <c r="P19" s="65">
        <f t="shared" si="2"/>
        <v>2020</v>
      </c>
      <c r="Q19" s="60">
        <f t="shared" si="3"/>
        <v>1.25313283E-2</v>
      </c>
    </row>
    <row r="20" spans="1:17" ht="17.25" thickBot="1">
      <c r="A20" s="66" t="s">
        <v>96</v>
      </c>
      <c r="B20" s="67" t="s">
        <v>97</v>
      </c>
      <c r="C20" s="67">
        <v>1810</v>
      </c>
      <c r="D20" s="82">
        <v>2.7700831E-3</v>
      </c>
      <c r="E20" s="57"/>
      <c r="F20" s="57"/>
      <c r="G20" s="122" t="s">
        <v>296</v>
      </c>
      <c r="H20" s="123"/>
      <c r="I20" s="124"/>
      <c r="K20" s="95">
        <f ca="1">IFERROR(OFFSET(INDIRECT($H$3 &amp; "!A17"), 14, 0), "")</f>
        <v>0</v>
      </c>
      <c r="L20" s="72" t="str">
        <f t="shared" ca="1" si="0"/>
        <v/>
      </c>
      <c r="M20" s="73" t="str">
        <f t="shared" ca="1" si="1"/>
        <v/>
      </c>
      <c r="O20" s="79" t="str">
        <f>INDEX($A$2:$D$200, MATCH(LARGE($D$2:$D$200, 15), $D$2:$D$200, 0), 2)</f>
        <v>에이다</v>
      </c>
      <c r="P20" s="65">
        <f t="shared" si="2"/>
        <v>1625</v>
      </c>
      <c r="Q20" s="60">
        <f t="shared" si="3"/>
        <v>1.2461059199999999E-2</v>
      </c>
    </row>
    <row r="21" spans="1:17">
      <c r="A21" s="66" t="s">
        <v>98</v>
      </c>
      <c r="B21" s="67" t="s">
        <v>99</v>
      </c>
      <c r="C21" s="67">
        <v>153200</v>
      </c>
      <c r="D21" s="82">
        <v>1.9620667E-3</v>
      </c>
      <c r="E21" s="57"/>
      <c r="F21" s="57"/>
      <c r="G21" s="144" t="s">
        <v>36</v>
      </c>
      <c r="H21" s="145"/>
      <c r="I21" s="146"/>
      <c r="K21" s="93">
        <f ca="1">IFERROR(OFFSET(INDIRECT($H$3 &amp; "!A17"), 15, 0), "")</f>
        <v>0</v>
      </c>
      <c r="L21" s="65" t="str">
        <f t="shared" ca="1" si="0"/>
        <v/>
      </c>
      <c r="M21" s="60" t="str">
        <f t="shared" ca="1" si="1"/>
        <v/>
      </c>
      <c r="O21" s="81" t="str">
        <f>INDEX($A$2:$D$200, MATCH(LARGE($D$2:$D$200, 16), $D$2:$D$200, 0), 2)</f>
        <v>이오스</v>
      </c>
      <c r="P21" s="74">
        <f t="shared" si="2"/>
        <v>8800</v>
      </c>
      <c r="Q21" s="75">
        <f t="shared" si="3"/>
        <v>1.20759057E-2</v>
      </c>
    </row>
    <row r="22" spans="1:17" ht="17.25" thickBot="1">
      <c r="A22" s="66" t="s">
        <v>100</v>
      </c>
      <c r="B22" s="67" t="s">
        <v>101</v>
      </c>
      <c r="C22" s="67">
        <v>2804000</v>
      </c>
      <c r="D22" s="82">
        <v>3.5676060000000001E-4</v>
      </c>
      <c r="E22" s="57"/>
      <c r="F22" s="57"/>
      <c r="G22" s="150"/>
      <c r="H22" s="151"/>
      <c r="I22" s="152"/>
      <c r="K22" s="93">
        <f ca="1">IFERROR(OFFSET(INDIRECT($H$3 &amp; "!A17"), 16, 0), "")</f>
        <v>0</v>
      </c>
      <c r="L22" s="65" t="str">
        <f t="shared" ca="1" si="0"/>
        <v/>
      </c>
      <c r="M22" s="60" t="str">
        <f t="shared" ca="1" si="1"/>
        <v/>
      </c>
      <c r="O22" s="79" t="str">
        <f>INDEX($A$2:$D$200, MATCH(LARGE($D$2:$D$200, 17), $D$2:$D$200, 0), 2)</f>
        <v>칠리즈</v>
      </c>
      <c r="P22" s="65">
        <f t="shared" si="2"/>
        <v>614</v>
      </c>
      <c r="Q22" s="60">
        <f t="shared" si="3"/>
        <v>9.8684211000000001E-3</v>
      </c>
    </row>
    <row r="23" spans="1:17" ht="17.25" thickBot="1">
      <c r="A23" s="66" t="s">
        <v>102</v>
      </c>
      <c r="B23" s="67" t="s">
        <v>103</v>
      </c>
      <c r="C23" s="67">
        <v>8635</v>
      </c>
      <c r="D23" s="82">
        <v>0</v>
      </c>
      <c r="E23" s="57"/>
      <c r="F23" s="57"/>
      <c r="G23" s="84" t="s">
        <v>38</v>
      </c>
      <c r="H23" s="123" t="s">
        <v>37</v>
      </c>
      <c r="I23" s="124"/>
      <c r="K23" s="93">
        <f ca="1">IFERROR(OFFSET(INDIRECT($H$3 &amp; "!A17"), 17, 0), "")</f>
        <v>0</v>
      </c>
      <c r="L23" s="65" t="str">
        <f t="shared" ca="1" si="0"/>
        <v/>
      </c>
      <c r="M23" s="60" t="str">
        <f t="shared" ca="1" si="1"/>
        <v/>
      </c>
      <c r="O23" s="79" t="str">
        <f>INDEX($A$2:$D$200, MATCH(LARGE($D$2:$D$200, 18), $D$2:$D$200, 0), 2)</f>
        <v>비트코인에스브이</v>
      </c>
      <c r="P23" s="65">
        <f t="shared" si="2"/>
        <v>359000</v>
      </c>
      <c r="Q23" s="60">
        <f t="shared" si="3"/>
        <v>3.4940600999999998E-3</v>
      </c>
    </row>
    <row r="24" spans="1:17">
      <c r="A24" s="66" t="s">
        <v>52</v>
      </c>
      <c r="B24" s="67" t="s">
        <v>53</v>
      </c>
      <c r="C24" s="67">
        <v>78003000</v>
      </c>
      <c r="D24" s="82">
        <v>-6.7108111999999998E-3</v>
      </c>
      <c r="E24" s="57"/>
      <c r="F24" s="57"/>
      <c r="G24" s="162">
        <f>_xlfn.IFNA(VLOOKUP(G21, $B$2:$D$200, 3, FALSE), "-")</f>
        <v>-6.7108111999999998E-3</v>
      </c>
      <c r="H24" s="164">
        <f>_xlfn.IFNA(VLOOKUP(G21, $B$2:$D$200, 2, FALSE), "-")</f>
        <v>78003000</v>
      </c>
      <c r="I24" s="165"/>
      <c r="K24" s="93">
        <f ca="1">IFERROR(OFFSET(INDIRECT($H$3 &amp; "!A17"), 18, 0), "")</f>
        <v>0</v>
      </c>
      <c r="L24" s="65" t="str">
        <f t="shared" ca="1" si="0"/>
        <v/>
      </c>
      <c r="M24" s="60" t="str">
        <f t="shared" ca="1" si="1"/>
        <v/>
      </c>
      <c r="O24" s="79" t="str">
        <f>INDEX($A$2:$D$200, MATCH(LARGE($D$2:$D$200, 19), $D$2:$D$200, 0), 2)</f>
        <v>리플</v>
      </c>
      <c r="P24" s="65">
        <f t="shared" si="2"/>
        <v>1810</v>
      </c>
      <c r="Q24" s="60">
        <f t="shared" si="3"/>
        <v>2.7700831E-3</v>
      </c>
    </row>
    <row r="25" spans="1:17" ht="17.25" thickBot="1">
      <c r="A25" s="66" t="s">
        <v>104</v>
      </c>
      <c r="B25" s="67" t="s">
        <v>105</v>
      </c>
      <c r="C25" s="67">
        <v>11.1</v>
      </c>
      <c r="D25" s="82">
        <v>-8.9285713999999999E-3</v>
      </c>
      <c r="E25" s="57"/>
      <c r="F25" s="57"/>
      <c r="G25" s="163"/>
      <c r="H25" s="166"/>
      <c r="I25" s="167"/>
      <c r="K25" s="94">
        <f ca="1">IFERROR(OFFSET(INDIRECT($H$3 &amp; "!A17"), 19, 0), "")</f>
        <v>0</v>
      </c>
      <c r="L25" s="61" t="str">
        <f t="shared" ca="1" si="0"/>
        <v/>
      </c>
      <c r="M25" s="62" t="str">
        <f t="shared" ca="1" si="1"/>
        <v/>
      </c>
      <c r="O25" s="90" t="str">
        <f>INDEX($A$2:$D$200, MATCH(LARGE($D$2:$D$200, 20), $D$2:$D$200, 0), 2)</f>
        <v>비트코인골드</v>
      </c>
      <c r="P25" s="61">
        <f t="shared" si="2"/>
        <v>153200</v>
      </c>
      <c r="Q25" s="62">
        <f t="shared" si="3"/>
        <v>1.9620667E-3</v>
      </c>
    </row>
    <row r="26" spans="1:17">
      <c r="A26" s="66" t="s">
        <v>106</v>
      </c>
      <c r="B26" s="67" t="s">
        <v>107</v>
      </c>
      <c r="C26" s="67">
        <v>26560</v>
      </c>
      <c r="D26" s="82">
        <v>-9.3248788000000003E-3</v>
      </c>
      <c r="E26" s="57"/>
      <c r="F26" s="57"/>
    </row>
    <row r="27" spans="1:17" ht="17.25" thickBot="1">
      <c r="A27" s="66" t="s">
        <v>108</v>
      </c>
      <c r="B27" s="67" t="s">
        <v>109</v>
      </c>
      <c r="C27" s="67">
        <v>2585</v>
      </c>
      <c r="D27" s="82">
        <v>-1.1472275299999999E-2</v>
      </c>
      <c r="E27" s="57"/>
      <c r="F27" s="57"/>
    </row>
    <row r="28" spans="1:17" ht="17.25" thickBot="1">
      <c r="A28" s="66" t="s">
        <v>110</v>
      </c>
      <c r="B28" s="67" t="s">
        <v>111</v>
      </c>
      <c r="C28" s="67">
        <v>2820</v>
      </c>
      <c r="D28" s="82">
        <v>-1.5706806300000001E-2</v>
      </c>
      <c r="E28" s="57"/>
      <c r="F28" s="57"/>
      <c r="G28" s="122" t="s">
        <v>50</v>
      </c>
      <c r="H28" s="123"/>
      <c r="I28" s="124"/>
      <c r="K28" s="122" t="s">
        <v>48</v>
      </c>
      <c r="L28" s="123"/>
      <c r="M28" s="124"/>
      <c r="O28" s="122" t="s">
        <v>49</v>
      </c>
      <c r="P28" s="123"/>
      <c r="Q28" s="124"/>
    </row>
    <row r="29" spans="1:17" ht="17.25" thickBot="1">
      <c r="A29" s="66" t="s">
        <v>112</v>
      </c>
      <c r="B29" s="67" t="s">
        <v>113</v>
      </c>
      <c r="C29" s="67">
        <v>63770</v>
      </c>
      <c r="D29" s="82">
        <v>-1.60469063E-2</v>
      </c>
      <c r="E29" s="57"/>
      <c r="F29" s="57"/>
      <c r="G29" s="158" t="s">
        <v>59</v>
      </c>
      <c r="H29" s="123" t="s">
        <v>60</v>
      </c>
      <c r="I29" s="124"/>
      <c r="K29" s="158" t="s">
        <v>59</v>
      </c>
      <c r="L29" s="123" t="s">
        <v>60</v>
      </c>
      <c r="M29" s="124"/>
      <c r="O29" s="158" t="s">
        <v>59</v>
      </c>
      <c r="P29" s="123" t="s">
        <v>60</v>
      </c>
      <c r="Q29" s="124"/>
    </row>
    <row r="30" spans="1:17" ht="17.25" thickBot="1">
      <c r="A30" s="66" t="s">
        <v>114</v>
      </c>
      <c r="B30" s="67" t="s">
        <v>115</v>
      </c>
      <c r="C30" s="67">
        <v>3310</v>
      </c>
      <c r="D30" s="82">
        <v>-1.6344725099999999E-2</v>
      </c>
      <c r="E30" s="57"/>
      <c r="F30" s="57"/>
      <c r="G30" s="159"/>
      <c r="H30" s="87" t="s">
        <v>63</v>
      </c>
      <c r="I30" s="88" t="s">
        <v>64</v>
      </c>
      <c r="K30" s="159"/>
      <c r="L30" s="87" t="s">
        <v>63</v>
      </c>
      <c r="M30" s="88" t="s">
        <v>64</v>
      </c>
      <c r="O30" s="159"/>
      <c r="P30" s="87" t="s">
        <v>63</v>
      </c>
      <c r="Q30" s="88" t="s">
        <v>64</v>
      </c>
    </row>
    <row r="31" spans="1:17">
      <c r="A31" s="66" t="s">
        <v>116</v>
      </c>
      <c r="B31" s="67" t="s">
        <v>117</v>
      </c>
      <c r="C31" s="67">
        <v>341</v>
      </c>
      <c r="D31" s="82">
        <v>-1.7291066300000001E-2</v>
      </c>
      <c r="E31" s="57"/>
      <c r="F31" s="57"/>
      <c r="G31" s="89" t="str">
        <f>INDEX($A$2:$D$200, MATCH(LARGE($D$2:$D$200, 1), $D$2:$D$200, 0), 2)</f>
        <v>스텔라루멘</v>
      </c>
      <c r="H31" s="63">
        <f t="shared" ref="H31:H50" si="4">_xlfn.IFNA(VLOOKUP(G31, $B$2:$D$200, 2, FALSE), "")</f>
        <v>798</v>
      </c>
      <c r="I31" s="64">
        <f t="shared" ref="I31:I50" si="5">_xlfn.IFNA(VLOOKUP(G31, $B$2:$D$200, 3, FALSE), "")</f>
        <v>8.1300813E-2</v>
      </c>
      <c r="K31" s="92" t="str">
        <f t="array" ref="K31">INDEX($A$2:$D$200, MATCH(LARGE(IF($C$2:$C$200&lt;100, $D$2:$D$200, -100), 1), $D$2:$D$200, 0), 2)</f>
        <v>아이오에스티</v>
      </c>
      <c r="L31" s="63">
        <f t="shared" ref="L31:L50" si="6">_xlfn.IFNA(VLOOKUP(K31, $B$2:$D$200, 2, FALSE), "")</f>
        <v>72.099999999999994</v>
      </c>
      <c r="M31" s="64">
        <f t="shared" ref="M31:M50" si="7">_xlfn.IFNA(VLOOKUP(K31, $B$2:$D$200, 3, FALSE), "")</f>
        <v>4.19075145E-2</v>
      </c>
      <c r="O31" s="92">
        <f ca="1">IFERROR(OFFSET(INDIRECT($H$3 &amp; "!A71"), 0, 0), "")</f>
        <v>0</v>
      </c>
      <c r="P31" s="63" t="str">
        <f t="shared" ref="P31:P50" ca="1" si="8">_xlfn.IFNA(VLOOKUP(O31, $B$2:$D$200, 2, FALSE), "")</f>
        <v/>
      </c>
      <c r="Q31" s="64" t="str">
        <f t="shared" ref="Q31:Q50" ca="1" si="9">_xlfn.IFNA(VLOOKUP(O31, $B$2:$D$200, 3, FALSE), "")</f>
        <v/>
      </c>
    </row>
    <row r="32" spans="1:17">
      <c r="A32" s="66" t="s">
        <v>118</v>
      </c>
      <c r="B32" s="67" t="s">
        <v>119</v>
      </c>
      <c r="C32" s="67">
        <v>16010</v>
      </c>
      <c r="D32" s="82">
        <v>-1.7791411E-2</v>
      </c>
      <c r="E32" s="57"/>
      <c r="F32" s="57"/>
      <c r="G32" s="79" t="str">
        <f>INDEX($A$2:$D$200, MATCH(LARGE($D$2:$D$200, 2), $D$2:$D$200, 0), 2)</f>
        <v>헤데라해시그래프</v>
      </c>
      <c r="H32" s="65">
        <f t="shared" si="4"/>
        <v>468</v>
      </c>
      <c r="I32" s="60">
        <f t="shared" si="5"/>
        <v>8.0831408800000004E-2</v>
      </c>
      <c r="K32" s="93" t="str">
        <f t="array" ref="K32">INDEX($A$2:$D$200, MATCH(LARGE(IF($C$2:$C$200&lt;100, $D$2:$D$200, -100), 2), $D$2:$D$200, 0), 2)</f>
        <v>쿼크체인</v>
      </c>
      <c r="L32" s="65">
        <f t="shared" si="6"/>
        <v>53.6</v>
      </c>
      <c r="M32" s="60">
        <f t="shared" si="7"/>
        <v>2.2900763399999999E-2</v>
      </c>
      <c r="O32" s="93">
        <f ca="1">IFERROR(OFFSET(INDIRECT($H$3 &amp; "!A71"), 1, 0), "")</f>
        <v>0</v>
      </c>
      <c r="P32" s="65" t="str">
        <f t="shared" ca="1" si="8"/>
        <v/>
      </c>
      <c r="Q32" s="60" t="str">
        <f t="shared" ca="1" si="9"/>
        <v/>
      </c>
    </row>
    <row r="33" spans="1:17">
      <c r="A33" s="66" t="s">
        <v>120</v>
      </c>
      <c r="B33" s="67" t="s">
        <v>121</v>
      </c>
      <c r="C33" s="67">
        <v>858</v>
      </c>
      <c r="D33" s="82">
        <v>-1.9428571400000001E-2</v>
      </c>
      <c r="E33" s="57"/>
      <c r="F33" s="57"/>
      <c r="G33" s="79" t="str">
        <f>INDEX($A$2:$D$200, MATCH(LARGE($D$2:$D$200, 3), $D$2:$D$200, 0), 2)</f>
        <v>넴</v>
      </c>
      <c r="H33" s="65">
        <f t="shared" si="4"/>
        <v>580</v>
      </c>
      <c r="I33" s="60">
        <f t="shared" si="5"/>
        <v>6.2271062299999999E-2</v>
      </c>
      <c r="K33" s="93" t="str">
        <f t="array" ref="K33">INDEX($A$2:$D$200, MATCH(LARGE(IF($C$2:$C$200&lt;100, $D$2:$D$200, -100), 3), $D$2:$D$200, 0), 2)</f>
        <v>테조스</v>
      </c>
      <c r="L33" s="65">
        <f t="shared" si="6"/>
        <v>8635</v>
      </c>
      <c r="M33" s="60">
        <f t="shared" si="7"/>
        <v>0</v>
      </c>
      <c r="O33" s="93">
        <f ca="1">IFERROR(OFFSET(INDIRECT($H$3 &amp; "!A71"), 2, 0), "")</f>
        <v>0</v>
      </c>
      <c r="P33" s="65" t="str">
        <f t="shared" ca="1" si="8"/>
        <v/>
      </c>
      <c r="Q33" s="60" t="str">
        <f t="shared" ca="1" si="9"/>
        <v/>
      </c>
    </row>
    <row r="34" spans="1:17">
      <c r="A34" s="66" t="s">
        <v>122</v>
      </c>
      <c r="B34" s="67" t="s">
        <v>123</v>
      </c>
      <c r="C34" s="67">
        <v>9140</v>
      </c>
      <c r="D34" s="82">
        <v>-2.0889126899999999E-2</v>
      </c>
      <c r="E34" s="57"/>
      <c r="F34" s="57"/>
      <c r="G34" s="79" t="str">
        <f>INDEX($A$2:$D$200, MATCH(LARGE($D$2:$D$200, 4), $D$2:$D$200, 0), 2)</f>
        <v>디센트럴랜드</v>
      </c>
      <c r="H34" s="65">
        <f t="shared" si="4"/>
        <v>1415</v>
      </c>
      <c r="I34" s="60">
        <f t="shared" si="5"/>
        <v>5.99250936E-2</v>
      </c>
      <c r="K34" s="93" t="str">
        <f t="array" ref="K34">INDEX($A$2:$D$200, MATCH(LARGE(IF($C$2:$C$200&lt;100, $D$2:$D$200, -100), 4), $D$2:$D$200, 0), 2)</f>
        <v>테조스</v>
      </c>
      <c r="L34" s="65">
        <f t="shared" si="6"/>
        <v>8635</v>
      </c>
      <c r="M34" s="60">
        <f t="shared" si="7"/>
        <v>0</v>
      </c>
      <c r="O34" s="93">
        <f ca="1">IFERROR(OFFSET(INDIRECT($H$3 &amp; "!A71"), 3, 0), "")</f>
        <v>0</v>
      </c>
      <c r="P34" s="65" t="str">
        <f t="shared" ca="1" si="8"/>
        <v/>
      </c>
      <c r="Q34" s="60" t="str">
        <f t="shared" ca="1" si="9"/>
        <v/>
      </c>
    </row>
    <row r="35" spans="1:17">
      <c r="A35" s="66" t="s">
        <v>124</v>
      </c>
      <c r="B35" s="67" t="s">
        <v>125</v>
      </c>
      <c r="C35" s="67">
        <v>277</v>
      </c>
      <c r="D35" s="82">
        <v>-2.1201413400000001E-2</v>
      </c>
      <c r="E35" s="57"/>
      <c r="F35" s="57"/>
      <c r="G35" s="79" t="str">
        <f>INDEX($A$2:$D$200, MATCH(LARGE($D$2:$D$200, 5), $D$2:$D$200, 0), 2)</f>
        <v>네오</v>
      </c>
      <c r="H35" s="72">
        <f t="shared" si="4"/>
        <v>85700</v>
      </c>
      <c r="I35" s="73">
        <f t="shared" si="5"/>
        <v>5.5028930199999999E-2</v>
      </c>
      <c r="K35" s="95" t="str">
        <f t="array" ref="K35">INDEX($A$2:$D$200, MATCH(LARGE(IF($C$2:$C$200&lt;100, $D$2:$D$200, -100), 5), $D$2:$D$200, 0), 2)</f>
        <v>테조스</v>
      </c>
      <c r="L35" s="72">
        <f t="shared" si="6"/>
        <v>8635</v>
      </c>
      <c r="M35" s="73">
        <f t="shared" si="7"/>
        <v>0</v>
      </c>
      <c r="O35" s="95">
        <f ca="1">IFERROR(OFFSET(INDIRECT($H$3 &amp; "!A71"), 4, 0), "")</f>
        <v>0</v>
      </c>
      <c r="P35" s="72" t="str">
        <f t="shared" ca="1" si="8"/>
        <v/>
      </c>
      <c r="Q35" s="73" t="str">
        <f t="shared" ca="1" si="9"/>
        <v/>
      </c>
    </row>
    <row r="36" spans="1:17">
      <c r="A36" s="66" t="s">
        <v>126</v>
      </c>
      <c r="B36" s="67" t="s">
        <v>127</v>
      </c>
      <c r="C36" s="67">
        <v>165</v>
      </c>
      <c r="D36" s="82">
        <v>-2.36686391E-2</v>
      </c>
      <c r="E36" s="57"/>
      <c r="F36" s="57"/>
      <c r="G36" s="81" t="str">
        <f>INDEX($A$2:$D$200, MATCH(LARGE($D$2:$D$200, 6), $D$2:$D$200, 0), 2)</f>
        <v>아이오에스티</v>
      </c>
      <c r="H36" s="65">
        <f t="shared" si="4"/>
        <v>72.099999999999994</v>
      </c>
      <c r="I36" s="60">
        <f t="shared" si="5"/>
        <v>4.19075145E-2</v>
      </c>
      <c r="K36" s="93" t="str">
        <f t="array" ref="K36">INDEX($A$2:$D$200, MATCH(LARGE(IF($C$2:$C$200&lt;100, $D$2:$D$200, -100), 6), $D$2:$D$200, 0), 2)</f>
        <v>테조스</v>
      </c>
      <c r="L36" s="65">
        <f t="shared" si="6"/>
        <v>8635</v>
      </c>
      <c r="M36" s="60">
        <f t="shared" si="7"/>
        <v>0</v>
      </c>
      <c r="O36" s="93">
        <f ca="1">IFERROR(OFFSET(INDIRECT($H$3 &amp; "!A71"), 5, 0), "")</f>
        <v>0</v>
      </c>
      <c r="P36" s="65" t="str">
        <f t="shared" ca="1" si="8"/>
        <v/>
      </c>
      <c r="Q36" s="60" t="str">
        <f t="shared" ca="1" si="9"/>
        <v/>
      </c>
    </row>
    <row r="37" spans="1:17">
      <c r="A37" s="66" t="s">
        <v>128</v>
      </c>
      <c r="B37" s="67" t="s">
        <v>129</v>
      </c>
      <c r="C37" s="67">
        <v>10920</v>
      </c>
      <c r="D37" s="82">
        <v>-2.41286863E-2</v>
      </c>
      <c r="E37" s="57"/>
      <c r="F37" s="57"/>
      <c r="G37" s="79" t="str">
        <f>INDEX($A$2:$D$200, MATCH(LARGE($D$2:$D$200, 7), $D$2:$D$200, 0), 2)</f>
        <v>코박토큰</v>
      </c>
      <c r="H37" s="65">
        <f t="shared" si="4"/>
        <v>11880</v>
      </c>
      <c r="I37" s="60">
        <f t="shared" si="5"/>
        <v>3.8461538500000003E-2</v>
      </c>
      <c r="K37" s="93" t="str">
        <f t="array" ref="K37">INDEX($A$2:$D$200, MATCH(LARGE(IF($C$2:$C$200&lt;100, $D$2:$D$200, -100), 7), $D$2:$D$200, 0), 2)</f>
        <v>테조스</v>
      </c>
      <c r="L37" s="65">
        <f t="shared" si="6"/>
        <v>8635</v>
      </c>
      <c r="M37" s="60">
        <f t="shared" si="7"/>
        <v>0</v>
      </c>
      <c r="O37" s="93">
        <f ca="1">IFERROR(OFFSET(INDIRECT($H$3 &amp; "!A71"), 6, 0), "")</f>
        <v>0</v>
      </c>
      <c r="P37" s="65" t="str">
        <f t="shared" ca="1" si="8"/>
        <v/>
      </c>
      <c r="Q37" s="60" t="str">
        <f t="shared" ca="1" si="9"/>
        <v/>
      </c>
    </row>
    <row r="38" spans="1:17">
      <c r="A38" s="66" t="s">
        <v>130</v>
      </c>
      <c r="B38" s="67" t="s">
        <v>131</v>
      </c>
      <c r="C38" s="67">
        <v>91.1</v>
      </c>
      <c r="D38" s="82">
        <v>-2.4625267700000002E-2</v>
      </c>
      <c r="E38" s="57"/>
      <c r="F38" s="57"/>
      <c r="G38" s="79" t="str">
        <f>INDEX($A$2:$D$200, MATCH(LARGE($D$2:$D$200, 8), $D$2:$D$200, 0), 2)</f>
        <v>세럼</v>
      </c>
      <c r="H38" s="65">
        <f t="shared" si="4"/>
        <v>9550</v>
      </c>
      <c r="I38" s="60">
        <f t="shared" si="5"/>
        <v>3.2432432400000002E-2</v>
      </c>
      <c r="K38" s="93" t="str">
        <f t="array" ref="K38">INDEX($A$2:$D$200, MATCH(LARGE(IF($C$2:$C$200&lt;100, $D$2:$D$200, -100), 8), $D$2:$D$200, 0), 2)</f>
        <v>테조스</v>
      </c>
      <c r="L38" s="65">
        <f t="shared" si="6"/>
        <v>8635</v>
      </c>
      <c r="M38" s="60">
        <f t="shared" si="7"/>
        <v>0</v>
      </c>
      <c r="O38" s="93">
        <f ca="1">IFERROR(OFFSET(INDIRECT($H$3 &amp; "!A71"), 7, 0), "")</f>
        <v>0</v>
      </c>
      <c r="P38" s="65" t="str">
        <f t="shared" ca="1" si="8"/>
        <v/>
      </c>
      <c r="Q38" s="60" t="str">
        <f t="shared" ca="1" si="9"/>
        <v/>
      </c>
    </row>
    <row r="39" spans="1:17">
      <c r="A39" s="66" t="s">
        <v>132</v>
      </c>
      <c r="B39" s="67" t="s">
        <v>133</v>
      </c>
      <c r="C39" s="67">
        <v>764</v>
      </c>
      <c r="D39" s="82">
        <v>-2.5510204099999999E-2</v>
      </c>
      <c r="E39" s="57"/>
      <c r="F39" s="57"/>
      <c r="G39" s="79" t="str">
        <f>INDEX($A$2:$D$200, MATCH(LARGE($D$2:$D$200, 9), $D$2:$D$200, 0), 2)</f>
        <v>쿼크체인</v>
      </c>
      <c r="H39" s="65">
        <f t="shared" si="4"/>
        <v>53.6</v>
      </c>
      <c r="I39" s="60">
        <f t="shared" si="5"/>
        <v>2.2900763399999999E-2</v>
      </c>
      <c r="K39" s="93" t="str">
        <f t="array" ref="K39">INDEX($A$2:$D$200, MATCH(LARGE(IF($C$2:$C$200&lt;100, $D$2:$D$200, -100), 9), $D$2:$D$200, 0), 2)</f>
        <v>테조스</v>
      </c>
      <c r="L39" s="65">
        <f t="shared" si="6"/>
        <v>8635</v>
      </c>
      <c r="M39" s="60">
        <f t="shared" si="7"/>
        <v>0</v>
      </c>
      <c r="O39" s="93">
        <f ca="1">IFERROR(OFFSET(INDIRECT($H$3 &amp; "!A71"), 8, 0), "")</f>
        <v>0</v>
      </c>
      <c r="P39" s="65" t="str">
        <f t="shared" ca="1" si="8"/>
        <v/>
      </c>
      <c r="Q39" s="60" t="str">
        <f t="shared" ca="1" si="9"/>
        <v/>
      </c>
    </row>
    <row r="40" spans="1:17" ht="17.25" thickBot="1">
      <c r="A40" s="66" t="s">
        <v>134</v>
      </c>
      <c r="B40" s="67" t="s">
        <v>135</v>
      </c>
      <c r="C40" s="67">
        <v>328950</v>
      </c>
      <c r="D40" s="82">
        <v>-2.6198934300000001E-2</v>
      </c>
      <c r="E40" s="57"/>
      <c r="F40" s="57"/>
      <c r="G40" s="90" t="str">
        <f>INDEX($A$2:$D$200, MATCH(LARGE($D$2:$D$200, 10), $D$2:$D$200, 0), 2)</f>
        <v>코스모스</v>
      </c>
      <c r="H40" s="61">
        <f t="shared" si="4"/>
        <v>28100</v>
      </c>
      <c r="I40" s="62">
        <f t="shared" si="5"/>
        <v>1.8115941999999999E-2</v>
      </c>
      <c r="K40" s="94" t="str">
        <f t="array" ref="K40">INDEX($A$2:$D$200, MATCH(LARGE(IF($C$2:$C$200&lt;100, $D$2:$D$200, -100), 10), $D$2:$D$200, 0), 2)</f>
        <v>테조스</v>
      </c>
      <c r="L40" s="61">
        <f t="shared" si="6"/>
        <v>8635</v>
      </c>
      <c r="M40" s="62">
        <f t="shared" si="7"/>
        <v>0</v>
      </c>
      <c r="O40" s="94">
        <f ca="1">IFERROR(OFFSET(INDIRECT($H$3 &amp; "!A71"), 9, 0), "")</f>
        <v>0</v>
      </c>
      <c r="P40" s="61" t="str">
        <f t="shared" ca="1" si="8"/>
        <v/>
      </c>
      <c r="Q40" s="62" t="str">
        <f t="shared" ca="1" si="9"/>
        <v/>
      </c>
    </row>
    <row r="41" spans="1:17">
      <c r="A41" s="66" t="s">
        <v>136</v>
      </c>
      <c r="B41" s="67" t="s">
        <v>137</v>
      </c>
      <c r="C41" s="67">
        <v>181</v>
      </c>
      <c r="D41" s="82">
        <v>-2.68817204E-2</v>
      </c>
      <c r="E41" s="57"/>
      <c r="F41" s="57"/>
      <c r="G41" s="89" t="str">
        <f>INDEX($A$2:$D$200, MATCH(LARGE($D$2:$D$200, 11), $D$2:$D$200, 0), 2)</f>
        <v>체인링크</v>
      </c>
      <c r="H41" s="63">
        <f t="shared" si="4"/>
        <v>42740</v>
      </c>
      <c r="I41" s="64">
        <f t="shared" si="5"/>
        <v>1.6892695700000002E-2</v>
      </c>
      <c r="K41" s="92" t="str">
        <f t="array" ref="K41">INDEX($A$2:$D$200, MATCH(LARGE(IF($C$2:$C$200&lt;100, $D$2:$D$200, -100), 11), $D$2:$D$200, 0), 2)</f>
        <v>테조스</v>
      </c>
      <c r="L41" s="63">
        <f t="shared" si="6"/>
        <v>8635</v>
      </c>
      <c r="M41" s="64">
        <f t="shared" si="7"/>
        <v>0</v>
      </c>
      <c r="O41" s="92">
        <f ca="1">IFERROR(OFFSET(INDIRECT($H$3 &amp; "!A71"), 10, 0), "")</f>
        <v>0</v>
      </c>
      <c r="P41" s="63" t="str">
        <f t="shared" ca="1" si="8"/>
        <v/>
      </c>
      <c r="Q41" s="64" t="str">
        <f t="shared" ca="1" si="9"/>
        <v/>
      </c>
    </row>
    <row r="42" spans="1:17">
      <c r="A42" s="66" t="s">
        <v>138</v>
      </c>
      <c r="B42" s="67" t="s">
        <v>139</v>
      </c>
      <c r="C42" s="67">
        <v>234</v>
      </c>
      <c r="D42" s="82">
        <v>-2.9045643199999999E-2</v>
      </c>
      <c r="E42" s="57"/>
      <c r="F42" s="57"/>
      <c r="G42" s="79" t="str">
        <f>INDEX($A$2:$D$200, MATCH(LARGE($D$2:$D$200, 12), $D$2:$D$200, 0), 2)</f>
        <v>비트코인캐시</v>
      </c>
      <c r="H42" s="65">
        <f t="shared" si="4"/>
        <v>899600</v>
      </c>
      <c r="I42" s="60">
        <f t="shared" si="5"/>
        <v>1.6726943899999999E-2</v>
      </c>
      <c r="K42" s="93" t="str">
        <f t="array" ref="K42">INDEX($A$2:$D$200, MATCH(LARGE(IF($C$2:$C$200&lt;100, $D$2:$D$200, -100), 12), $D$2:$D$200, 0), 2)</f>
        <v>테조스</v>
      </c>
      <c r="L42" s="65">
        <f t="shared" si="6"/>
        <v>8635</v>
      </c>
      <c r="M42" s="60">
        <f t="shared" si="7"/>
        <v>0</v>
      </c>
      <c r="O42" s="93">
        <f ca="1">IFERROR(OFFSET(INDIRECT($H$3 &amp; "!A71"), 11, 0), "")</f>
        <v>0</v>
      </c>
      <c r="P42" s="65" t="str">
        <f t="shared" ca="1" si="8"/>
        <v/>
      </c>
      <c r="Q42" s="60" t="str">
        <f t="shared" ca="1" si="9"/>
        <v/>
      </c>
    </row>
    <row r="43" spans="1:17">
      <c r="A43" s="66" t="s">
        <v>140</v>
      </c>
      <c r="B43" s="67" t="s">
        <v>141</v>
      </c>
      <c r="C43" s="67">
        <v>266</v>
      </c>
      <c r="D43" s="82">
        <v>-2.9197080300000001E-2</v>
      </c>
      <c r="E43" s="57"/>
      <c r="F43" s="57"/>
      <c r="G43" s="79" t="str">
        <f>INDEX($A$2:$D$200, MATCH(LARGE($D$2:$D$200, 13), $D$2:$D$200, 0), 2)</f>
        <v>베이직어텐션토큰</v>
      </c>
      <c r="H43" s="65">
        <f t="shared" si="4"/>
        <v>1955</v>
      </c>
      <c r="I43" s="60">
        <f t="shared" si="5"/>
        <v>1.29533679E-2</v>
      </c>
      <c r="K43" s="93" t="str">
        <f t="array" ref="K43">INDEX($A$2:$D$200, MATCH(LARGE(IF($C$2:$C$200&lt;100, $D$2:$D$200, -100), 13), $D$2:$D$200, 0), 2)</f>
        <v>테조스</v>
      </c>
      <c r="L43" s="65">
        <f t="shared" si="6"/>
        <v>8635</v>
      </c>
      <c r="M43" s="60">
        <f t="shared" si="7"/>
        <v>0</v>
      </c>
      <c r="O43" s="93">
        <f ca="1">IFERROR(OFFSET(INDIRECT($H$3 &amp; "!A71"), 12, 0), "")</f>
        <v>0</v>
      </c>
      <c r="P43" s="65" t="str">
        <f t="shared" ca="1" si="8"/>
        <v/>
      </c>
      <c r="Q43" s="60" t="str">
        <f t="shared" ca="1" si="9"/>
        <v/>
      </c>
    </row>
    <row r="44" spans="1:17">
      <c r="A44" s="66" t="s">
        <v>142</v>
      </c>
      <c r="B44" s="67" t="s">
        <v>143</v>
      </c>
      <c r="C44" s="67">
        <v>52880</v>
      </c>
      <c r="D44" s="82">
        <v>-3.1501831500000001E-2</v>
      </c>
      <c r="E44" s="57"/>
      <c r="F44" s="57"/>
      <c r="G44" s="79" t="str">
        <f>INDEX($A$2:$D$200, MATCH(LARGE($D$2:$D$200, 14), $D$2:$D$200, 0), 2)</f>
        <v>애드엑스</v>
      </c>
      <c r="H44" s="65">
        <f t="shared" si="4"/>
        <v>2020</v>
      </c>
      <c r="I44" s="60">
        <f t="shared" si="5"/>
        <v>1.25313283E-2</v>
      </c>
      <c r="K44" s="93" t="str">
        <f t="array" ref="K44">INDEX($A$2:$D$200, MATCH(LARGE(IF($C$2:$C$200&lt;100, $D$2:$D$200, -100), 14), $D$2:$D$200, 0), 2)</f>
        <v>테조스</v>
      </c>
      <c r="L44" s="65">
        <f t="shared" si="6"/>
        <v>8635</v>
      </c>
      <c r="M44" s="60">
        <f t="shared" si="7"/>
        <v>0</v>
      </c>
      <c r="O44" s="93">
        <f ca="1">IFERROR(OFFSET(INDIRECT($H$3 &amp; "!A71"), 13, 0), "")</f>
        <v>0</v>
      </c>
      <c r="P44" s="65" t="str">
        <f t="shared" ca="1" si="8"/>
        <v/>
      </c>
      <c r="Q44" s="60" t="str">
        <f t="shared" ca="1" si="9"/>
        <v/>
      </c>
    </row>
    <row r="45" spans="1:17">
      <c r="A45" s="66" t="s">
        <v>144</v>
      </c>
      <c r="B45" s="67" t="s">
        <v>145</v>
      </c>
      <c r="C45" s="67">
        <v>4795</v>
      </c>
      <c r="D45" s="82">
        <v>-3.2290615500000001E-2</v>
      </c>
      <c r="E45" s="57"/>
      <c r="F45" s="57"/>
      <c r="G45" s="79" t="str">
        <f>INDEX($A$2:$D$200, MATCH(LARGE($D$2:$D$200, 15), $D$2:$D$200, 0), 2)</f>
        <v>에이다</v>
      </c>
      <c r="H45" s="72">
        <f t="shared" si="4"/>
        <v>1625</v>
      </c>
      <c r="I45" s="73">
        <f t="shared" si="5"/>
        <v>1.2461059199999999E-2</v>
      </c>
      <c r="K45" s="95" t="str">
        <f t="array" ref="K45">INDEX($A$2:$D$200, MATCH(LARGE(IF($C$2:$C$200&lt;100, $D$2:$D$200, -100), 15), $D$2:$D$200, 0), 2)</f>
        <v>테조스</v>
      </c>
      <c r="L45" s="72">
        <f t="shared" si="6"/>
        <v>8635</v>
      </c>
      <c r="M45" s="73">
        <f t="shared" si="7"/>
        <v>0</v>
      </c>
      <c r="O45" s="95">
        <f ca="1">IFERROR(OFFSET(INDIRECT($H$3 &amp; "!A71"), 14, 0), "")</f>
        <v>0</v>
      </c>
      <c r="P45" s="72" t="str">
        <f t="shared" ca="1" si="8"/>
        <v/>
      </c>
      <c r="Q45" s="73" t="str">
        <f t="shared" ca="1" si="9"/>
        <v/>
      </c>
    </row>
    <row r="46" spans="1:17">
      <c r="A46" s="66" t="s">
        <v>146</v>
      </c>
      <c r="B46" s="67" t="s">
        <v>147</v>
      </c>
      <c r="C46" s="67">
        <v>460</v>
      </c>
      <c r="D46" s="82">
        <v>-3.3613445399999997E-2</v>
      </c>
      <c r="E46" s="57"/>
      <c r="F46" s="57"/>
      <c r="G46" s="81" t="str">
        <f>INDEX($A$2:$D$200, MATCH(LARGE($D$2:$D$200, 16), $D$2:$D$200, 0), 2)</f>
        <v>이오스</v>
      </c>
      <c r="H46" s="65">
        <f t="shared" si="4"/>
        <v>8800</v>
      </c>
      <c r="I46" s="60">
        <f t="shared" si="5"/>
        <v>1.20759057E-2</v>
      </c>
      <c r="K46" s="93" t="str">
        <f t="array" ref="K46">INDEX($A$2:$D$200, MATCH(LARGE(IF($C$2:$C$200&lt;100, $D$2:$D$200, -100), 16), $D$2:$D$200, 0), 2)</f>
        <v>테조스</v>
      </c>
      <c r="L46" s="65">
        <f t="shared" si="6"/>
        <v>8635</v>
      </c>
      <c r="M46" s="60">
        <f t="shared" si="7"/>
        <v>0</v>
      </c>
      <c r="O46" s="93">
        <f ca="1">IFERROR(OFFSET(INDIRECT($H$3 &amp; "!A71"), 15, 0), "")</f>
        <v>0</v>
      </c>
      <c r="P46" s="65" t="str">
        <f t="shared" ca="1" si="8"/>
        <v/>
      </c>
      <c r="Q46" s="60" t="str">
        <f t="shared" ca="1" si="9"/>
        <v/>
      </c>
    </row>
    <row r="47" spans="1:17">
      <c r="A47" s="66" t="s">
        <v>148</v>
      </c>
      <c r="B47" s="67" t="s">
        <v>149</v>
      </c>
      <c r="C47" s="67">
        <v>12780</v>
      </c>
      <c r="D47" s="82">
        <v>-3.4013605400000001E-2</v>
      </c>
      <c r="E47" s="57"/>
      <c r="F47" s="57"/>
      <c r="G47" s="79" t="str">
        <f>INDEX($A$2:$D$200, MATCH(LARGE($D$2:$D$200, 17), $D$2:$D$200, 0), 2)</f>
        <v>칠리즈</v>
      </c>
      <c r="H47" s="65">
        <f t="shared" si="4"/>
        <v>614</v>
      </c>
      <c r="I47" s="60">
        <f t="shared" si="5"/>
        <v>9.8684211000000001E-3</v>
      </c>
      <c r="K47" s="93" t="str">
        <f t="array" ref="K47">INDEX($A$2:$D$200, MATCH(LARGE(IF($C$2:$C$200&lt;100, $D$2:$D$200, -100), 17), $D$2:$D$200, 0), 2)</f>
        <v>테조스</v>
      </c>
      <c r="L47" s="65">
        <f t="shared" si="6"/>
        <v>8635</v>
      </c>
      <c r="M47" s="60">
        <f t="shared" si="7"/>
        <v>0</v>
      </c>
      <c r="O47" s="93">
        <f ca="1">IFERROR(OFFSET(INDIRECT($H$3 &amp; "!A71"), 16, 0), "")</f>
        <v>0</v>
      </c>
      <c r="P47" s="65" t="str">
        <f t="shared" ca="1" si="8"/>
        <v/>
      </c>
      <c r="Q47" s="60" t="str">
        <f t="shared" ca="1" si="9"/>
        <v/>
      </c>
    </row>
    <row r="48" spans="1:17">
      <c r="A48" s="66" t="s">
        <v>150</v>
      </c>
      <c r="B48" s="67" t="s">
        <v>151</v>
      </c>
      <c r="C48" s="67">
        <v>18320</v>
      </c>
      <c r="D48" s="82">
        <v>-3.4773445700000002E-2</v>
      </c>
      <c r="E48" s="57"/>
      <c r="F48" s="57"/>
      <c r="G48" s="79" t="str">
        <f>INDEX($A$2:$D$200, MATCH(LARGE($D$2:$D$200, 18), $D$2:$D$200, 0), 2)</f>
        <v>비트코인에스브이</v>
      </c>
      <c r="H48" s="65">
        <f t="shared" si="4"/>
        <v>359000</v>
      </c>
      <c r="I48" s="60">
        <f t="shared" si="5"/>
        <v>3.4940600999999998E-3</v>
      </c>
      <c r="K48" s="93" t="str">
        <f t="array" ref="K48">INDEX($A$2:$D$200, MATCH(LARGE(IF($C$2:$C$200&lt;100, $D$2:$D$200, -100), 18), $D$2:$D$200, 0), 2)</f>
        <v>테조스</v>
      </c>
      <c r="L48" s="65">
        <f t="shared" si="6"/>
        <v>8635</v>
      </c>
      <c r="M48" s="60">
        <f t="shared" si="7"/>
        <v>0</v>
      </c>
      <c r="O48" s="93">
        <f ca="1">IFERROR(OFFSET(INDIRECT($H$3 &amp; "!A71"), 17, 0), "")</f>
        <v>0</v>
      </c>
      <c r="P48" s="65" t="str">
        <f t="shared" ca="1" si="8"/>
        <v/>
      </c>
      <c r="Q48" s="60" t="str">
        <f t="shared" ca="1" si="9"/>
        <v/>
      </c>
    </row>
    <row r="49" spans="1:17">
      <c r="A49" s="66" t="s">
        <v>152</v>
      </c>
      <c r="B49" s="67" t="s">
        <v>153</v>
      </c>
      <c r="C49" s="67">
        <v>190</v>
      </c>
      <c r="D49" s="82">
        <v>-3.5532994900000003E-2</v>
      </c>
      <c r="E49" s="57"/>
      <c r="F49" s="57"/>
      <c r="G49" s="79" t="str">
        <f>INDEX($A$2:$D$200, MATCH(LARGE($D$2:$D$200, 19), $D$2:$D$200, 0), 2)</f>
        <v>리플</v>
      </c>
      <c r="H49" s="65">
        <f t="shared" si="4"/>
        <v>1810</v>
      </c>
      <c r="I49" s="60">
        <f t="shared" si="5"/>
        <v>2.7700831E-3</v>
      </c>
      <c r="K49" s="93" t="str">
        <f t="array" ref="K49">INDEX($A$2:$D$200, MATCH(LARGE(IF($C$2:$C$200&lt;100, $D$2:$D$200, -100), 19), $D$2:$D$200, 0), 2)</f>
        <v>테조스</v>
      </c>
      <c r="L49" s="65">
        <f t="shared" si="6"/>
        <v>8635</v>
      </c>
      <c r="M49" s="60">
        <f t="shared" si="7"/>
        <v>0</v>
      </c>
      <c r="O49" s="93">
        <f ca="1">IFERROR(OFFSET(INDIRECT($H$3 &amp; "!A71"), 18, 0), "")</f>
        <v>0</v>
      </c>
      <c r="P49" s="65" t="str">
        <f t="shared" ca="1" si="8"/>
        <v/>
      </c>
      <c r="Q49" s="60" t="str">
        <f t="shared" ca="1" si="9"/>
        <v/>
      </c>
    </row>
    <row r="50" spans="1:17" ht="17.25" thickBot="1">
      <c r="A50" s="66" t="s">
        <v>154</v>
      </c>
      <c r="B50" s="67" t="s">
        <v>155</v>
      </c>
      <c r="C50" s="67">
        <v>6545</v>
      </c>
      <c r="D50" s="82">
        <v>-3.7499999999999999E-2</v>
      </c>
      <c r="E50" s="57"/>
      <c r="F50" s="57"/>
      <c r="G50" s="90" t="str">
        <f>INDEX($A$2:$D$200, MATCH(LARGE($D$2:$D$200, 20), $D$2:$D$200, 0), 2)</f>
        <v>비트코인골드</v>
      </c>
      <c r="H50" s="61">
        <f t="shared" si="4"/>
        <v>153200</v>
      </c>
      <c r="I50" s="62">
        <f t="shared" si="5"/>
        <v>1.9620667E-3</v>
      </c>
      <c r="K50" s="94" t="str">
        <f t="array" ref="K50">INDEX($A$2:$D$200, MATCH(LARGE(IF($C$2:$C$200&lt;100, $D$2:$D$200, -100), 20), $D$2:$D$200, 0), 2)</f>
        <v>테조스</v>
      </c>
      <c r="L50" s="61">
        <f t="shared" si="6"/>
        <v>8635</v>
      </c>
      <c r="M50" s="62">
        <f t="shared" si="7"/>
        <v>0</v>
      </c>
      <c r="O50" s="94">
        <f ca="1">IFERROR(OFFSET(INDIRECT($H$3 &amp; "!A71"), 19, 0), "")</f>
        <v>0</v>
      </c>
      <c r="P50" s="61" t="str">
        <f t="shared" ca="1" si="8"/>
        <v/>
      </c>
      <c r="Q50" s="62" t="str">
        <f t="shared" ca="1" si="9"/>
        <v/>
      </c>
    </row>
    <row r="51" spans="1:17">
      <c r="A51" s="66" t="s">
        <v>156</v>
      </c>
      <c r="B51" s="67" t="s">
        <v>157</v>
      </c>
      <c r="C51" s="67">
        <v>35.6</v>
      </c>
      <c r="D51" s="82">
        <v>-3.7837837800000003E-2</v>
      </c>
      <c r="E51" s="57"/>
      <c r="F51" s="57"/>
    </row>
    <row r="52" spans="1:17" ht="17.25" thickBot="1">
      <c r="A52" s="66" t="s">
        <v>158</v>
      </c>
      <c r="B52" s="67" t="s">
        <v>159</v>
      </c>
      <c r="C52" s="67">
        <v>32.799999999999997</v>
      </c>
      <c r="D52" s="82">
        <v>-4.0935672499999999E-2</v>
      </c>
      <c r="E52" s="57"/>
      <c r="F52" s="57"/>
    </row>
    <row r="53" spans="1:17" ht="17.25" thickBot="1">
      <c r="A53" s="66" t="s">
        <v>160</v>
      </c>
      <c r="B53" s="67" t="s">
        <v>161</v>
      </c>
      <c r="C53" s="67">
        <v>159</v>
      </c>
      <c r="D53" s="82">
        <v>-4.2168674699999999E-2</v>
      </c>
      <c r="E53" s="57"/>
      <c r="F53" s="57"/>
      <c r="G53" s="122" t="s">
        <v>290</v>
      </c>
      <c r="H53" s="123"/>
      <c r="I53" s="124"/>
      <c r="K53" s="122" t="s">
        <v>298</v>
      </c>
      <c r="L53" s="123"/>
      <c r="M53" s="124"/>
      <c r="O53" s="122" t="s">
        <v>299</v>
      </c>
      <c r="P53" s="123"/>
      <c r="Q53" s="124"/>
    </row>
    <row r="54" spans="1:17" ht="17.25" thickBot="1">
      <c r="A54" s="66" t="s">
        <v>162</v>
      </c>
      <c r="B54" s="67" t="s">
        <v>163</v>
      </c>
      <c r="C54" s="67">
        <v>9515</v>
      </c>
      <c r="D54" s="82">
        <v>-4.3237807900000001E-2</v>
      </c>
      <c r="E54" s="57"/>
      <c r="F54" s="57"/>
      <c r="G54" s="158" t="s">
        <v>59</v>
      </c>
      <c r="H54" s="123" t="s">
        <v>60</v>
      </c>
      <c r="I54" s="124"/>
      <c r="K54" s="158" t="s">
        <v>59</v>
      </c>
      <c r="L54" s="123" t="s">
        <v>60</v>
      </c>
      <c r="M54" s="124"/>
      <c r="O54" s="158" t="s">
        <v>59</v>
      </c>
      <c r="P54" s="123" t="s">
        <v>60</v>
      </c>
      <c r="Q54" s="124"/>
    </row>
    <row r="55" spans="1:17" ht="17.25" thickBot="1">
      <c r="A55" s="66" t="s">
        <v>164</v>
      </c>
      <c r="B55" s="67" t="s">
        <v>165</v>
      </c>
      <c r="C55" s="67">
        <v>4055</v>
      </c>
      <c r="D55" s="82">
        <v>-4.3632075499999999E-2</v>
      </c>
      <c r="E55" s="57"/>
      <c r="F55" s="57"/>
      <c r="G55" s="159"/>
      <c r="H55" s="87" t="s">
        <v>63</v>
      </c>
      <c r="I55" s="88" t="s">
        <v>64</v>
      </c>
      <c r="K55" s="159"/>
      <c r="L55" s="87" t="s">
        <v>63</v>
      </c>
      <c r="M55" s="88" t="s">
        <v>64</v>
      </c>
      <c r="O55" s="159"/>
      <c r="P55" s="87" t="s">
        <v>63</v>
      </c>
      <c r="Q55" s="88" t="s">
        <v>64</v>
      </c>
    </row>
    <row r="56" spans="1:17">
      <c r="A56" s="66" t="s">
        <v>166</v>
      </c>
      <c r="B56" s="67" t="s">
        <v>167</v>
      </c>
      <c r="C56" s="67">
        <v>2620</v>
      </c>
      <c r="D56" s="82">
        <v>-4.3795620399999999E-2</v>
      </c>
      <c r="E56" s="57"/>
      <c r="F56" s="57"/>
      <c r="G56" s="92" t="str">
        <f>INDEX($A$2:$D$200, MATCH(SMALL($D$2:$D$200, 20), $D$2:$D$200, 0), 2)</f>
        <v>헌트</v>
      </c>
      <c r="H56" s="63">
        <f t="shared" ref="H56:H75" si="10">_xlfn.IFNA(VLOOKUP(G56, $B$2:$D$200, 2, FALSE), "")</f>
        <v>575</v>
      </c>
      <c r="I56" s="64">
        <f t="shared" ref="I56:I65" si="11">_xlfn.IFNA(VLOOKUP(G56, $B$2:$D$200, 3, FALSE), "")</f>
        <v>-0.08</v>
      </c>
      <c r="K56" s="92">
        <f ca="1">IFERROR(OFFSET(INDIRECT($H$3 &amp; "!A125"), 0, 0), "")</f>
        <v>0</v>
      </c>
      <c r="L56" s="63" t="str">
        <f t="shared" ref="L56:L75" ca="1" si="12">_xlfn.IFNA(VLOOKUP(K56, $B$2:$D$200, 2, FALSE), "")</f>
        <v/>
      </c>
      <c r="M56" s="64" t="str">
        <f t="shared" ref="M56:M75" ca="1" si="13">_xlfn.IFNA(VLOOKUP(K56, $B$2:$D$200, 3, FALSE), "")</f>
        <v/>
      </c>
      <c r="O56" s="92">
        <f ca="1">IFERROR(OFFSET(INDIRECT($H$3 &amp; "!A152"), 0, 0), "")</f>
        <v>0</v>
      </c>
      <c r="P56" s="63" t="str">
        <f t="shared" ref="P56:P75" ca="1" si="14">_xlfn.IFNA(VLOOKUP(O56, $B$2:$D$200, 2, FALSE), "")</f>
        <v/>
      </c>
      <c r="Q56" s="64" t="str">
        <f t="shared" ref="Q56:Q75" ca="1" si="15">_xlfn.IFNA(VLOOKUP(O56, $B$2:$D$200, 3, FALSE), "")</f>
        <v/>
      </c>
    </row>
    <row r="57" spans="1:17">
      <c r="A57" s="66" t="s">
        <v>168</v>
      </c>
      <c r="B57" s="67" t="s">
        <v>169</v>
      </c>
      <c r="C57" s="67">
        <v>20490</v>
      </c>
      <c r="D57" s="82">
        <v>-4.3863742400000003E-2</v>
      </c>
      <c r="E57" s="57"/>
      <c r="F57" s="57"/>
      <c r="G57" s="93" t="str">
        <f>INDEX($A$2:$D$200, MATCH(SMALL($D$2:$D$200, 19), $D$2:$D$200, 0), 2)</f>
        <v>코모도</v>
      </c>
      <c r="H57" s="65">
        <f t="shared" si="10"/>
        <v>4730</v>
      </c>
      <c r="I57" s="60">
        <f t="shared" si="11"/>
        <v>-8.0660835799999997E-2</v>
      </c>
      <c r="K57" s="93">
        <f ca="1">IFERROR(OFFSET(INDIRECT($H$3 &amp; "!A125"), 1, 0), "")</f>
        <v>0</v>
      </c>
      <c r="L57" s="65" t="str">
        <f t="shared" ca="1" si="12"/>
        <v/>
      </c>
      <c r="M57" s="60" t="str">
        <f t="shared" ca="1" si="13"/>
        <v/>
      </c>
      <c r="O57" s="93">
        <f ca="1">IFERROR(OFFSET(INDIRECT($H$3 &amp; "!A152"), 1, 0), "")</f>
        <v>0</v>
      </c>
      <c r="P57" s="65" t="str">
        <f t="shared" ca="1" si="14"/>
        <v/>
      </c>
      <c r="Q57" s="60" t="str">
        <f t="shared" ca="1" si="15"/>
        <v/>
      </c>
    </row>
    <row r="58" spans="1:17">
      <c r="A58" s="66" t="s">
        <v>170</v>
      </c>
      <c r="B58" s="67" t="s">
        <v>171</v>
      </c>
      <c r="C58" s="67">
        <v>3115</v>
      </c>
      <c r="D58" s="82">
        <v>-4.4478527599999998E-2</v>
      </c>
      <c r="E58" s="57"/>
      <c r="F58" s="57"/>
      <c r="G58" s="93" t="str">
        <f>INDEX($A$2:$D$200, MATCH(SMALL($D$2:$D$200, 18), $D$2:$D$200, 0), 2)</f>
        <v>엘비알와이크레딧</v>
      </c>
      <c r="H58" s="65">
        <f t="shared" si="10"/>
        <v>327</v>
      </c>
      <c r="I58" s="60">
        <f t="shared" si="11"/>
        <v>-8.1460674199999999E-2</v>
      </c>
      <c r="K58" s="93">
        <f ca="1">IFERROR(OFFSET(INDIRECT($H$3 &amp; "!A125"), 2, 0), "")</f>
        <v>0</v>
      </c>
      <c r="L58" s="65" t="str">
        <f t="shared" ca="1" si="12"/>
        <v/>
      </c>
      <c r="M58" s="60" t="str">
        <f t="shared" ca="1" si="13"/>
        <v/>
      </c>
      <c r="O58" s="93">
        <f ca="1">IFERROR(OFFSET(INDIRECT($H$3 &amp; "!A152"), 2, 0), "")</f>
        <v>0</v>
      </c>
      <c r="P58" s="65" t="str">
        <f t="shared" ca="1" si="14"/>
        <v/>
      </c>
      <c r="Q58" s="60" t="str">
        <f t="shared" ca="1" si="15"/>
        <v/>
      </c>
    </row>
    <row r="59" spans="1:17">
      <c r="A59" s="66" t="s">
        <v>172</v>
      </c>
      <c r="B59" s="67" t="s">
        <v>173</v>
      </c>
      <c r="C59" s="67">
        <v>251</v>
      </c>
      <c r="D59" s="82">
        <v>-4.5627376400000003E-2</v>
      </c>
      <c r="E59" s="57"/>
      <c r="F59" s="57"/>
      <c r="G59" s="93" t="str">
        <f>INDEX($A$2:$D$200, MATCH(SMALL($D$2:$D$200, 17), $D$2:$D$200, 0), 2)</f>
        <v>아인스타이늄</v>
      </c>
      <c r="H59" s="65">
        <f t="shared" si="10"/>
        <v>652</v>
      </c>
      <c r="I59" s="60">
        <f t="shared" si="11"/>
        <v>-8.2981715900000003E-2</v>
      </c>
      <c r="K59" s="93">
        <f ca="1">IFERROR(OFFSET(INDIRECT($H$3 &amp; "!A125"), 3, 0), "")</f>
        <v>0</v>
      </c>
      <c r="L59" s="65" t="str">
        <f t="shared" ca="1" si="12"/>
        <v/>
      </c>
      <c r="M59" s="60" t="str">
        <f t="shared" ca="1" si="13"/>
        <v/>
      </c>
      <c r="O59" s="93">
        <f ca="1">IFERROR(OFFSET(INDIRECT($H$3 &amp; "!A152"), 3, 0), "")</f>
        <v>0</v>
      </c>
      <c r="P59" s="65" t="str">
        <f t="shared" ca="1" si="14"/>
        <v/>
      </c>
      <c r="Q59" s="60" t="str">
        <f t="shared" ca="1" si="15"/>
        <v/>
      </c>
    </row>
    <row r="60" spans="1:17">
      <c r="A60" s="66" t="s">
        <v>174</v>
      </c>
      <c r="B60" s="67" t="s">
        <v>175</v>
      </c>
      <c r="C60" s="67">
        <v>667</v>
      </c>
      <c r="D60" s="82">
        <v>-4.5779685299999998E-2</v>
      </c>
      <c r="E60" s="57"/>
      <c r="F60" s="57"/>
      <c r="G60" s="93" t="str">
        <f>INDEX($A$2:$D$200, MATCH(SMALL($D$2:$D$200, 16), $D$2:$D$200, 0), 2)</f>
        <v>퀴즈톡</v>
      </c>
      <c r="H60" s="65">
        <f t="shared" si="10"/>
        <v>120</v>
      </c>
      <c r="I60" s="60">
        <f t="shared" si="11"/>
        <v>-8.3969465600000001E-2</v>
      </c>
      <c r="K60" s="95">
        <f ca="1">IFERROR(OFFSET(INDIRECT($H$3 &amp; "!A125"), 4, 0), "")</f>
        <v>0</v>
      </c>
      <c r="L60" s="72" t="str">
        <f t="shared" ca="1" si="12"/>
        <v/>
      </c>
      <c r="M60" s="73" t="str">
        <f t="shared" ca="1" si="13"/>
        <v/>
      </c>
      <c r="O60" s="95">
        <f ca="1">IFERROR(OFFSET(INDIRECT($H$3 &amp; "!A152"), 4, 0), "")</f>
        <v>0</v>
      </c>
      <c r="P60" s="72" t="str">
        <f t="shared" ca="1" si="14"/>
        <v/>
      </c>
      <c r="Q60" s="73" t="str">
        <f t="shared" ca="1" si="15"/>
        <v/>
      </c>
    </row>
    <row r="61" spans="1:17">
      <c r="A61" s="66" t="s">
        <v>176</v>
      </c>
      <c r="B61" s="67" t="s">
        <v>177</v>
      </c>
      <c r="C61" s="67">
        <v>38.700000000000003</v>
      </c>
      <c r="D61" s="82">
        <v>-5.14705882E-2</v>
      </c>
      <c r="E61" s="57"/>
      <c r="F61" s="57"/>
      <c r="G61" s="97" t="str">
        <f>INDEX($A$2:$D$200, MATCH(SMALL($D$2:$D$200, 15), $D$2:$D$200, 0), 2)</f>
        <v>왁스</v>
      </c>
      <c r="H61" s="74">
        <f t="shared" si="10"/>
        <v>303</v>
      </c>
      <c r="I61" s="75">
        <f t="shared" si="11"/>
        <v>-8.4592144999999994E-2</v>
      </c>
      <c r="K61" s="93">
        <f ca="1">IFERROR(OFFSET(INDIRECT($H$3 &amp; "!A125"), 5, 0), "")</f>
        <v>0</v>
      </c>
      <c r="L61" s="65" t="str">
        <f t="shared" ca="1" si="12"/>
        <v/>
      </c>
      <c r="M61" s="60" t="str">
        <f t="shared" ca="1" si="13"/>
        <v/>
      </c>
      <c r="O61" s="93">
        <f ca="1">IFERROR(OFFSET(INDIRECT($H$3 &amp; "!A152"), 5, 0), "")</f>
        <v>0</v>
      </c>
      <c r="P61" s="65" t="str">
        <f t="shared" ca="1" si="14"/>
        <v/>
      </c>
      <c r="Q61" s="60" t="str">
        <f t="shared" ca="1" si="15"/>
        <v/>
      </c>
    </row>
    <row r="62" spans="1:17">
      <c r="A62" s="66" t="s">
        <v>178</v>
      </c>
      <c r="B62" s="67" t="s">
        <v>179</v>
      </c>
      <c r="C62" s="67">
        <v>361</v>
      </c>
      <c r="D62" s="82">
        <v>-5.24934383E-2</v>
      </c>
      <c r="E62" s="57"/>
      <c r="F62" s="57"/>
      <c r="G62" s="93" t="str">
        <f>INDEX($A$2:$D$200, MATCH(SMALL($D$2:$D$200, 14), $D$2:$D$200, 0), 2)</f>
        <v>하이브</v>
      </c>
      <c r="H62" s="65">
        <f t="shared" si="10"/>
        <v>845</v>
      </c>
      <c r="I62" s="60">
        <f t="shared" si="11"/>
        <v>-8.6486486500000001E-2</v>
      </c>
      <c r="K62" s="93">
        <f ca="1">IFERROR(OFFSET(INDIRECT($H$3 &amp; "!A125"), 6, 0), "")</f>
        <v>0</v>
      </c>
      <c r="L62" s="65" t="str">
        <f t="shared" ca="1" si="12"/>
        <v/>
      </c>
      <c r="M62" s="60" t="str">
        <f t="shared" ca="1" si="13"/>
        <v/>
      </c>
      <c r="O62" s="93">
        <f ca="1">IFERROR(OFFSET(INDIRECT($H$3 &amp; "!A152"), 6, 0), "")</f>
        <v>0</v>
      </c>
      <c r="P62" s="65" t="str">
        <f t="shared" ca="1" si="14"/>
        <v/>
      </c>
      <c r="Q62" s="60" t="str">
        <f t="shared" ca="1" si="15"/>
        <v/>
      </c>
    </row>
    <row r="63" spans="1:17">
      <c r="A63" s="66" t="s">
        <v>180</v>
      </c>
      <c r="B63" s="67" t="s">
        <v>181</v>
      </c>
      <c r="C63" s="67">
        <v>2700</v>
      </c>
      <c r="D63" s="82">
        <v>-5.2631578900000003E-2</v>
      </c>
      <c r="E63" s="57"/>
      <c r="F63" s="57"/>
      <c r="G63" s="93" t="str">
        <f>INDEX($A$2:$D$200, MATCH(SMALL($D$2:$D$200, 13), $D$2:$D$200, 0), 2)</f>
        <v>썸씽</v>
      </c>
      <c r="H63" s="65">
        <f t="shared" si="10"/>
        <v>200</v>
      </c>
      <c r="I63" s="60">
        <f t="shared" si="11"/>
        <v>-8.6757990899999998E-2</v>
      </c>
      <c r="K63" s="93">
        <f ca="1">IFERROR(OFFSET(INDIRECT($H$3 &amp; "!A125"), 7, 0), "")</f>
        <v>0</v>
      </c>
      <c r="L63" s="65" t="str">
        <f t="shared" ca="1" si="12"/>
        <v/>
      </c>
      <c r="M63" s="60" t="str">
        <f t="shared" ca="1" si="13"/>
        <v/>
      </c>
      <c r="O63" s="93">
        <f ca="1">IFERROR(OFFSET(INDIRECT($H$3 &amp; "!A152"), 7, 0), "")</f>
        <v>0</v>
      </c>
      <c r="P63" s="65" t="str">
        <f t="shared" ca="1" si="14"/>
        <v/>
      </c>
      <c r="Q63" s="60" t="str">
        <f t="shared" ca="1" si="15"/>
        <v/>
      </c>
    </row>
    <row r="64" spans="1:17">
      <c r="A64" s="66" t="s">
        <v>182</v>
      </c>
      <c r="B64" s="67" t="s">
        <v>183</v>
      </c>
      <c r="C64" s="67">
        <v>64780</v>
      </c>
      <c r="D64" s="82">
        <v>-5.2923976599999999E-2</v>
      </c>
      <c r="E64" s="57"/>
      <c r="F64" s="57"/>
      <c r="G64" s="93" t="str">
        <f>INDEX($A$2:$D$200, MATCH(SMALL($D$2:$D$200, 12), $D$2:$D$200, 0), 2)</f>
        <v>스팀</v>
      </c>
      <c r="H64" s="65">
        <f t="shared" si="10"/>
        <v>1705</v>
      </c>
      <c r="I64" s="60">
        <f t="shared" si="11"/>
        <v>-8.82352941E-2</v>
      </c>
      <c r="K64" s="93">
        <f ca="1">IFERROR(OFFSET(INDIRECT($H$3 &amp; "!A125"), 8, 0), "")</f>
        <v>0</v>
      </c>
      <c r="L64" s="65" t="str">
        <f t="shared" ca="1" si="12"/>
        <v/>
      </c>
      <c r="M64" s="60" t="str">
        <f t="shared" ca="1" si="13"/>
        <v/>
      </c>
      <c r="O64" s="93">
        <f ca="1">IFERROR(OFFSET(INDIRECT($H$3 &amp; "!A152"), 8, 0), "")</f>
        <v>0</v>
      </c>
      <c r="P64" s="65" t="str">
        <f t="shared" ca="1" si="14"/>
        <v/>
      </c>
      <c r="Q64" s="60" t="str">
        <f t="shared" ca="1" si="15"/>
        <v/>
      </c>
    </row>
    <row r="65" spans="1:17" ht="17.25" thickBot="1">
      <c r="A65" s="66" t="s">
        <v>184</v>
      </c>
      <c r="B65" s="67" t="s">
        <v>185</v>
      </c>
      <c r="C65" s="67">
        <v>6135</v>
      </c>
      <c r="D65" s="82">
        <v>-5.3240740699999997E-2</v>
      </c>
      <c r="E65" s="57"/>
      <c r="F65" s="57"/>
      <c r="G65" s="94" t="str">
        <f>INDEX($A$2:$D$200, MATCH(SMALL($D$2:$D$200, 11), $D$2:$D$200, 0), 2)</f>
        <v>룸네트워크</v>
      </c>
      <c r="H65" s="61">
        <f t="shared" si="10"/>
        <v>255</v>
      </c>
      <c r="I65" s="62">
        <f t="shared" si="11"/>
        <v>-8.9285714299999999E-2</v>
      </c>
      <c r="K65" s="94">
        <f ca="1">IFERROR(OFFSET(INDIRECT($H$3 &amp; "!A125"), 9, 0), "")</f>
        <v>0</v>
      </c>
      <c r="L65" s="61" t="str">
        <f t="shared" ca="1" si="12"/>
        <v/>
      </c>
      <c r="M65" s="62" t="str">
        <f t="shared" ca="1" si="13"/>
        <v/>
      </c>
      <c r="O65" s="94">
        <f ca="1">IFERROR(OFFSET(INDIRECT($H$3 &amp; "!A152"), 9, 0), "")</f>
        <v>0</v>
      </c>
      <c r="P65" s="61" t="str">
        <f t="shared" ca="1" si="14"/>
        <v/>
      </c>
      <c r="Q65" s="62" t="str">
        <f t="shared" ca="1" si="15"/>
        <v/>
      </c>
    </row>
    <row r="66" spans="1:17">
      <c r="A66" s="66" t="s">
        <v>186</v>
      </c>
      <c r="B66" s="67" t="s">
        <v>187</v>
      </c>
      <c r="C66" s="67">
        <v>711</v>
      </c>
      <c r="D66" s="82">
        <v>-5.3262316900000002E-2</v>
      </c>
      <c r="E66" s="57"/>
      <c r="F66" s="57"/>
      <c r="G66" s="93" t="str">
        <f>INDEX($A$2:$D$200, MATCH(SMALL($D$2:$D$200, 10), $D$2:$D$200, 0), 2)</f>
        <v>에스티피</v>
      </c>
      <c r="H66" s="63">
        <f t="shared" si="10"/>
        <v>111</v>
      </c>
      <c r="I66" s="64">
        <f t="shared" ref="I66:I75" si="16">_xlfn.IFNA(VLOOKUP(G66, $B$2:$D$200, 3, FALSE), "")</f>
        <v>-9.0163934400000006E-2</v>
      </c>
      <c r="K66" s="92">
        <f ca="1">IFERROR(OFFSET(INDIRECT($H$3 &amp; "!A125"), 10, 0), "")</f>
        <v>0</v>
      </c>
      <c r="L66" s="63" t="str">
        <f t="shared" ca="1" si="12"/>
        <v/>
      </c>
      <c r="M66" s="64" t="str">
        <f t="shared" ca="1" si="13"/>
        <v/>
      </c>
      <c r="O66" s="92">
        <f ca="1">IFERROR(OFFSET(INDIRECT($H$3 &amp; "!A152"), 10, 0), "")</f>
        <v>0</v>
      </c>
      <c r="P66" s="63" t="str">
        <f t="shared" ca="1" si="14"/>
        <v/>
      </c>
      <c r="Q66" s="64" t="str">
        <f t="shared" ca="1" si="15"/>
        <v/>
      </c>
    </row>
    <row r="67" spans="1:17">
      <c r="A67" s="66" t="s">
        <v>188</v>
      </c>
      <c r="B67" s="67" t="s">
        <v>189</v>
      </c>
      <c r="C67" s="67">
        <v>2985</v>
      </c>
      <c r="D67" s="82">
        <v>-5.5379746799999997E-2</v>
      </c>
      <c r="E67" s="57"/>
      <c r="F67" s="57"/>
      <c r="G67" s="93" t="str">
        <f>INDEX($A$2:$D$200, MATCH(SMALL($D$2:$D$200, 9), $D$2:$D$200, 0), 2)</f>
        <v>람다</v>
      </c>
      <c r="H67" s="65">
        <f t="shared" si="10"/>
        <v>135</v>
      </c>
      <c r="I67" s="60">
        <f t="shared" si="16"/>
        <v>-9.3959731500000004E-2</v>
      </c>
      <c r="K67" s="93">
        <f ca="1">IFERROR(OFFSET(INDIRECT($H$3 &amp; "!A125"), 11, 0), "")</f>
        <v>0</v>
      </c>
      <c r="L67" s="65" t="str">
        <f t="shared" ca="1" si="12"/>
        <v/>
      </c>
      <c r="M67" s="60" t="str">
        <f t="shared" ca="1" si="13"/>
        <v/>
      </c>
      <c r="O67" s="93">
        <f ca="1">IFERROR(OFFSET(INDIRECT($H$3 &amp; "!A152"), 11, 0), "")</f>
        <v>0</v>
      </c>
      <c r="P67" s="65" t="str">
        <f t="shared" ca="1" si="14"/>
        <v/>
      </c>
      <c r="Q67" s="60" t="str">
        <f t="shared" ca="1" si="15"/>
        <v/>
      </c>
    </row>
    <row r="68" spans="1:17">
      <c r="A68" s="66" t="s">
        <v>190</v>
      </c>
      <c r="B68" s="67" t="s">
        <v>191</v>
      </c>
      <c r="C68" s="67">
        <v>32.1</v>
      </c>
      <c r="D68" s="82">
        <v>-5.5882352900000001E-2</v>
      </c>
      <c r="E68" s="57"/>
      <c r="F68" s="57"/>
      <c r="G68" s="93" t="str">
        <f>INDEX($A$2:$D$200, MATCH(SMALL($D$2:$D$200, 8), $D$2:$D$200, 0), 2)</f>
        <v>골렘</v>
      </c>
      <c r="H68" s="65">
        <f t="shared" si="10"/>
        <v>728</v>
      </c>
      <c r="I68" s="60">
        <f t="shared" si="16"/>
        <v>-0.1012345679</v>
      </c>
      <c r="K68" s="93">
        <f ca="1">IFERROR(OFFSET(INDIRECT($H$3 &amp; "!A125"), 12, 0), "")</f>
        <v>0</v>
      </c>
      <c r="L68" s="65" t="str">
        <f t="shared" ca="1" si="12"/>
        <v/>
      </c>
      <c r="M68" s="60" t="str">
        <f t="shared" ca="1" si="13"/>
        <v/>
      </c>
      <c r="O68" s="93">
        <f ca="1">IFERROR(OFFSET(INDIRECT($H$3 &amp; "!A152"), 12, 0), "")</f>
        <v>0</v>
      </c>
      <c r="P68" s="65" t="str">
        <f t="shared" ca="1" si="14"/>
        <v/>
      </c>
      <c r="Q68" s="60" t="str">
        <f t="shared" ca="1" si="15"/>
        <v/>
      </c>
    </row>
    <row r="69" spans="1:17">
      <c r="A69" s="66" t="s">
        <v>192</v>
      </c>
      <c r="B69" s="67" t="s">
        <v>193</v>
      </c>
      <c r="C69" s="67">
        <v>19710</v>
      </c>
      <c r="D69" s="82">
        <v>-5.78393881E-2</v>
      </c>
      <c r="E69" s="57"/>
      <c r="F69" s="57"/>
      <c r="G69" s="93" t="str">
        <f>INDEX($A$2:$D$200, MATCH(SMALL($D$2:$D$200, 7), $D$2:$D$200, 0), 2)</f>
        <v>아크</v>
      </c>
      <c r="H69" s="65">
        <f t="shared" si="10"/>
        <v>3455</v>
      </c>
      <c r="I69" s="60">
        <f t="shared" si="16"/>
        <v>-0.1025974026</v>
      </c>
      <c r="K69" s="93">
        <f ca="1">IFERROR(OFFSET(INDIRECT($H$3 &amp; "!A125"), 13, 0), "")</f>
        <v>0</v>
      </c>
      <c r="L69" s="65" t="str">
        <f t="shared" ca="1" si="12"/>
        <v/>
      </c>
      <c r="M69" s="60" t="str">
        <f t="shared" ca="1" si="13"/>
        <v/>
      </c>
      <c r="O69" s="93">
        <f ca="1">IFERROR(OFFSET(INDIRECT($H$3 &amp; "!A152"), 13, 0), "")</f>
        <v>0</v>
      </c>
      <c r="P69" s="65" t="str">
        <f t="shared" ca="1" si="14"/>
        <v/>
      </c>
      <c r="Q69" s="60" t="str">
        <f t="shared" ca="1" si="15"/>
        <v/>
      </c>
    </row>
    <row r="70" spans="1:17">
      <c r="A70" s="66" t="s">
        <v>194</v>
      </c>
      <c r="B70" s="67" t="s">
        <v>195</v>
      </c>
      <c r="C70" s="67">
        <v>59260</v>
      </c>
      <c r="D70" s="82">
        <v>-5.78696343E-2</v>
      </c>
      <c r="E70" s="57"/>
      <c r="F70" s="57"/>
      <c r="G70" s="93" t="str">
        <f>INDEX($A$2:$D$200, MATCH(SMALL($D$2:$D$200, 6), $D$2:$D$200, 0), 2)</f>
        <v>스팀달러</v>
      </c>
      <c r="H70" s="65">
        <f t="shared" si="10"/>
        <v>11540</v>
      </c>
      <c r="I70" s="60">
        <f t="shared" si="16"/>
        <v>-0.1033411033</v>
      </c>
      <c r="K70" s="95">
        <f ca="1">IFERROR(OFFSET(INDIRECT($H$3 &amp; "!A125"), 14, 0), "")</f>
        <v>0</v>
      </c>
      <c r="L70" s="72" t="str">
        <f t="shared" ca="1" si="12"/>
        <v/>
      </c>
      <c r="M70" s="73" t="str">
        <f t="shared" ca="1" si="13"/>
        <v/>
      </c>
      <c r="O70" s="95">
        <f ca="1">IFERROR(OFFSET(INDIRECT($H$3 &amp; "!A152"), 14, 0), "")</f>
        <v>0</v>
      </c>
      <c r="P70" s="72" t="str">
        <f t="shared" ca="1" si="14"/>
        <v/>
      </c>
      <c r="Q70" s="73" t="str">
        <f t="shared" ca="1" si="15"/>
        <v/>
      </c>
    </row>
    <row r="71" spans="1:17">
      <c r="A71" s="66" t="s">
        <v>196</v>
      </c>
      <c r="B71" s="67" t="s">
        <v>197</v>
      </c>
      <c r="C71" s="67">
        <v>1525</v>
      </c>
      <c r="D71" s="82">
        <v>-5.8641975300000003E-2</v>
      </c>
      <c r="E71" s="57"/>
      <c r="F71" s="57"/>
      <c r="G71" s="97" t="str">
        <f>INDEX($A$2:$D$200, MATCH(SMALL($D$2:$D$200, 5), $D$2:$D$200, 0), 2)</f>
        <v>스트라티스</v>
      </c>
      <c r="H71" s="74">
        <f t="shared" si="10"/>
        <v>5430</v>
      </c>
      <c r="I71" s="75">
        <f t="shared" si="16"/>
        <v>-0.1098360656</v>
      </c>
      <c r="K71" s="93">
        <f ca="1">IFERROR(OFFSET(INDIRECT($H$3 &amp; "!A125"), 15, 0), "")</f>
        <v>0</v>
      </c>
      <c r="L71" s="65" t="str">
        <f t="shared" ca="1" si="12"/>
        <v/>
      </c>
      <c r="M71" s="60" t="str">
        <f t="shared" ca="1" si="13"/>
        <v/>
      </c>
      <c r="O71" s="93">
        <f ca="1">IFERROR(OFFSET(INDIRECT($H$3 &amp; "!A152"), 15, 0), "")</f>
        <v>0</v>
      </c>
      <c r="P71" s="65" t="str">
        <f t="shared" ca="1" si="14"/>
        <v/>
      </c>
      <c r="Q71" s="60" t="str">
        <f t="shared" ca="1" si="15"/>
        <v/>
      </c>
    </row>
    <row r="72" spans="1:17">
      <c r="A72" s="66" t="s">
        <v>198</v>
      </c>
      <c r="B72" s="67" t="s">
        <v>199</v>
      </c>
      <c r="C72" s="67">
        <v>21000</v>
      </c>
      <c r="D72" s="82">
        <v>-6.1242735800000003E-2</v>
      </c>
      <c r="E72" s="57"/>
      <c r="F72" s="57"/>
      <c r="G72" s="93" t="str">
        <f>INDEX($A$2:$D$200, MATCH(SMALL($D$2:$D$200, 4), $D$2:$D$200, 0), 2)</f>
        <v>저스트</v>
      </c>
      <c r="H72" s="65">
        <f t="shared" si="10"/>
        <v>181</v>
      </c>
      <c r="I72" s="60">
        <f t="shared" si="16"/>
        <v>-0.112745098</v>
      </c>
      <c r="K72" s="93">
        <f ca="1">IFERROR(OFFSET(INDIRECT($H$3 &amp; "!A125"), 16, 0), "")</f>
        <v>0</v>
      </c>
      <c r="L72" s="65" t="str">
        <f t="shared" ca="1" si="12"/>
        <v/>
      </c>
      <c r="M72" s="60" t="str">
        <f t="shared" ca="1" si="13"/>
        <v/>
      </c>
      <c r="O72" s="93">
        <f ca="1">IFERROR(OFFSET(INDIRECT($H$3 &amp; "!A152"), 16, 0), "")</f>
        <v>0</v>
      </c>
      <c r="P72" s="65" t="str">
        <f t="shared" ca="1" si="14"/>
        <v/>
      </c>
      <c r="Q72" s="60" t="str">
        <f t="shared" ca="1" si="15"/>
        <v/>
      </c>
    </row>
    <row r="73" spans="1:17">
      <c r="A73" s="66" t="s">
        <v>200</v>
      </c>
      <c r="B73" s="67" t="s">
        <v>201</v>
      </c>
      <c r="C73" s="67">
        <v>29.6</v>
      </c>
      <c r="D73" s="82">
        <v>-6.3291139199999999E-2</v>
      </c>
      <c r="E73" s="57"/>
      <c r="F73" s="57"/>
      <c r="G73" s="93" t="str">
        <f>INDEX($A$2:$D$200, MATCH(SMALL($D$2:$D$200, 3), $D$2:$D$200, 0), 2)</f>
        <v>그로스톨코인</v>
      </c>
      <c r="H73" s="65">
        <f t="shared" si="10"/>
        <v>2220</v>
      </c>
      <c r="I73" s="60">
        <f t="shared" si="16"/>
        <v>-0.1137724551</v>
      </c>
      <c r="K73" s="93">
        <f ca="1">IFERROR(OFFSET(INDIRECT($H$3 &amp; "!A125"), 17, 0), "")</f>
        <v>0</v>
      </c>
      <c r="L73" s="65" t="str">
        <f t="shared" ca="1" si="12"/>
        <v/>
      </c>
      <c r="M73" s="60" t="str">
        <f t="shared" ca="1" si="13"/>
        <v/>
      </c>
      <c r="O73" s="93">
        <f ca="1">IFERROR(OFFSET(INDIRECT($H$3 &amp; "!A152"), 17, 0), "")</f>
        <v>0</v>
      </c>
      <c r="P73" s="65" t="str">
        <f t="shared" ca="1" si="14"/>
        <v/>
      </c>
      <c r="Q73" s="60" t="str">
        <f t="shared" ca="1" si="15"/>
        <v/>
      </c>
    </row>
    <row r="74" spans="1:17">
      <c r="A74" s="66" t="s">
        <v>202</v>
      </c>
      <c r="B74" s="67" t="s">
        <v>203</v>
      </c>
      <c r="C74" s="67">
        <v>46.7</v>
      </c>
      <c r="D74" s="82">
        <v>-6.4128256499999994E-2</v>
      </c>
      <c r="E74" s="57"/>
      <c r="F74" s="57"/>
      <c r="G74" s="93" t="str">
        <f>INDEX($A$2:$D$200, MATCH(SMALL($D$2:$D$200, 2), $D$2:$D$200, 0), 2)</f>
        <v>이그니스</v>
      </c>
      <c r="H74" s="65">
        <f t="shared" si="10"/>
        <v>260</v>
      </c>
      <c r="I74" s="60">
        <f t="shared" si="16"/>
        <v>-0.1156462585</v>
      </c>
      <c r="K74" s="93">
        <f ca="1">IFERROR(OFFSET(INDIRECT($H$3 &amp; "!A125"), 18, 0), "")</f>
        <v>0</v>
      </c>
      <c r="L74" s="65" t="str">
        <f t="shared" ca="1" si="12"/>
        <v/>
      </c>
      <c r="M74" s="60" t="str">
        <f t="shared" ca="1" si="13"/>
        <v/>
      </c>
      <c r="O74" s="93">
        <f ca="1">IFERROR(OFFSET(INDIRECT($H$3 &amp; "!A152"), 18, 0), "")</f>
        <v>0</v>
      </c>
      <c r="P74" s="65" t="str">
        <f t="shared" ca="1" si="14"/>
        <v/>
      </c>
      <c r="Q74" s="60" t="str">
        <f t="shared" ca="1" si="15"/>
        <v/>
      </c>
    </row>
    <row r="75" spans="1:17" ht="17.25" thickBot="1">
      <c r="A75" s="66" t="s">
        <v>204</v>
      </c>
      <c r="B75" s="67" t="s">
        <v>205</v>
      </c>
      <c r="C75" s="67">
        <v>525</v>
      </c>
      <c r="D75" s="82">
        <v>-6.4171122999999997E-2</v>
      </c>
      <c r="E75" s="57"/>
      <c r="F75" s="57"/>
      <c r="G75" s="94" t="str">
        <f>INDEX($A$2:$D$200, MATCH(SMALL($D$2:$D$200, 1), $D$2:$D$200, 0), 2)</f>
        <v>아더</v>
      </c>
      <c r="H75" s="61">
        <f t="shared" si="10"/>
        <v>656</v>
      </c>
      <c r="I75" s="62">
        <f t="shared" si="16"/>
        <v>-0.1206434316</v>
      </c>
      <c r="K75" s="94">
        <f ca="1">IFERROR(OFFSET(INDIRECT($H$3 &amp; "!A125"), 19, 0), "")</f>
        <v>0</v>
      </c>
      <c r="L75" s="61" t="str">
        <f t="shared" ca="1" si="12"/>
        <v/>
      </c>
      <c r="M75" s="62" t="str">
        <f t="shared" ca="1" si="13"/>
        <v/>
      </c>
      <c r="O75" s="94">
        <f ca="1">IFERROR(OFFSET(INDIRECT($H$3 &amp; "!A152"), 19, 0), "")</f>
        <v>0</v>
      </c>
      <c r="P75" s="61" t="str">
        <f t="shared" ca="1" si="14"/>
        <v/>
      </c>
      <c r="Q75" s="62" t="str">
        <f t="shared" ca="1" si="15"/>
        <v/>
      </c>
    </row>
    <row r="76" spans="1:17">
      <c r="A76" s="66" t="s">
        <v>206</v>
      </c>
      <c r="B76" s="67" t="s">
        <v>207</v>
      </c>
      <c r="C76" s="67">
        <v>301</v>
      </c>
      <c r="D76" s="82">
        <v>-6.5217391299999997E-2</v>
      </c>
      <c r="E76" s="57"/>
      <c r="F76" s="57"/>
      <c r="G76" s="57"/>
      <c r="H76" s="57"/>
      <c r="I76" s="57"/>
    </row>
    <row r="77" spans="1:17">
      <c r="A77" s="66" t="s">
        <v>208</v>
      </c>
      <c r="B77" s="67" t="s">
        <v>209</v>
      </c>
      <c r="C77" s="67">
        <v>4600</v>
      </c>
      <c r="D77" s="82">
        <v>-6.5989847700000007E-2</v>
      </c>
      <c r="E77" s="57"/>
      <c r="F77" s="57"/>
      <c r="G77" s="57"/>
      <c r="H77" s="57"/>
      <c r="I77" s="57"/>
    </row>
    <row r="78" spans="1:17">
      <c r="A78" s="66" t="s">
        <v>210</v>
      </c>
      <c r="B78" s="67" t="s">
        <v>211</v>
      </c>
      <c r="C78" s="67">
        <v>52020</v>
      </c>
      <c r="D78" s="82">
        <v>-6.7741935500000003E-2</v>
      </c>
      <c r="E78" s="57"/>
      <c r="F78" s="57"/>
      <c r="G78" s="57"/>
      <c r="H78" s="57"/>
      <c r="I78" s="57"/>
    </row>
    <row r="79" spans="1:17">
      <c r="A79" s="66" t="s">
        <v>212</v>
      </c>
      <c r="B79" s="67" t="s">
        <v>213</v>
      </c>
      <c r="C79" s="67">
        <v>669</v>
      </c>
      <c r="D79" s="82">
        <v>-6.8245125300000001E-2</v>
      </c>
      <c r="E79" s="57"/>
      <c r="F79" s="57"/>
      <c r="G79" s="57"/>
      <c r="H79" s="57"/>
      <c r="I79" s="57"/>
    </row>
    <row r="80" spans="1:17">
      <c r="A80" s="66" t="s">
        <v>214</v>
      </c>
      <c r="B80" s="67" t="s">
        <v>215</v>
      </c>
      <c r="C80" s="67">
        <v>298</v>
      </c>
      <c r="D80" s="82">
        <v>-6.8750000000000006E-2</v>
      </c>
      <c r="E80" s="57"/>
      <c r="F80" s="57"/>
      <c r="G80" s="57"/>
      <c r="H80" s="57"/>
      <c r="I80" s="57"/>
    </row>
    <row r="81" spans="1:9">
      <c r="A81" s="66" t="s">
        <v>216</v>
      </c>
      <c r="B81" s="67" t="s">
        <v>217</v>
      </c>
      <c r="C81" s="67">
        <v>214</v>
      </c>
      <c r="D81" s="82">
        <v>-6.9565217400000004E-2</v>
      </c>
      <c r="E81" s="57"/>
      <c r="F81" s="57"/>
      <c r="G81" s="57"/>
      <c r="H81" s="57"/>
      <c r="I81" s="57"/>
    </row>
    <row r="82" spans="1:9">
      <c r="A82" s="66" t="s">
        <v>218</v>
      </c>
      <c r="B82" s="67" t="s">
        <v>219</v>
      </c>
      <c r="C82" s="67">
        <v>33.4</v>
      </c>
      <c r="D82" s="82">
        <v>-6.9637882999999998E-2</v>
      </c>
      <c r="E82" s="57"/>
      <c r="F82" s="57"/>
      <c r="G82" s="57"/>
      <c r="H82" s="57"/>
      <c r="I82" s="57"/>
    </row>
    <row r="83" spans="1:9">
      <c r="A83" s="66" t="s">
        <v>220</v>
      </c>
      <c r="B83" s="67" t="s">
        <v>221</v>
      </c>
      <c r="C83" s="67">
        <v>668</v>
      </c>
      <c r="D83" s="82">
        <v>-7.2222222200000005E-2</v>
      </c>
      <c r="E83" s="57"/>
      <c r="F83" s="57"/>
      <c r="G83" s="57"/>
      <c r="H83" s="57"/>
      <c r="I83" s="57"/>
    </row>
    <row r="84" spans="1:9">
      <c r="A84" s="66" t="s">
        <v>222</v>
      </c>
      <c r="B84" s="67" t="s">
        <v>223</v>
      </c>
      <c r="C84" s="67">
        <v>41</v>
      </c>
      <c r="D84" s="82">
        <v>-7.2398190000000001E-2</v>
      </c>
      <c r="E84" s="57"/>
      <c r="F84" s="57"/>
      <c r="G84" s="57"/>
      <c r="H84" s="57"/>
      <c r="I84" s="57"/>
    </row>
    <row r="85" spans="1:9">
      <c r="A85" s="66" t="s">
        <v>224</v>
      </c>
      <c r="B85" s="67" t="s">
        <v>225</v>
      </c>
      <c r="C85" s="67">
        <v>28.8</v>
      </c>
      <c r="D85" s="82">
        <v>-7.3954983899999993E-2</v>
      </c>
      <c r="E85" s="57"/>
      <c r="F85" s="57"/>
      <c r="G85" s="57"/>
      <c r="H85" s="57"/>
      <c r="I85" s="57"/>
    </row>
    <row r="86" spans="1:9">
      <c r="A86" s="66" t="s">
        <v>226</v>
      </c>
      <c r="B86" s="67" t="s">
        <v>227</v>
      </c>
      <c r="C86" s="67">
        <v>27.3</v>
      </c>
      <c r="D86" s="82">
        <v>-7.4576271200000002E-2</v>
      </c>
      <c r="E86" s="57"/>
      <c r="F86" s="57"/>
      <c r="G86" s="57"/>
      <c r="H86" s="57"/>
      <c r="I86" s="57"/>
    </row>
    <row r="87" spans="1:9">
      <c r="A87" s="66" t="s">
        <v>228</v>
      </c>
      <c r="B87" s="67" t="s">
        <v>229</v>
      </c>
      <c r="C87" s="67">
        <v>3090</v>
      </c>
      <c r="D87" s="82">
        <v>-7.48502994E-2</v>
      </c>
      <c r="E87" s="57"/>
      <c r="F87" s="57"/>
      <c r="G87" s="57"/>
      <c r="H87" s="57"/>
      <c r="I87" s="57"/>
    </row>
    <row r="88" spans="1:9">
      <c r="A88" s="66" t="s">
        <v>230</v>
      </c>
      <c r="B88" s="67" t="s">
        <v>231</v>
      </c>
      <c r="C88" s="67">
        <v>724</v>
      </c>
      <c r="D88" s="82">
        <v>-7.5351213299999997E-2</v>
      </c>
      <c r="E88" s="57"/>
      <c r="F88" s="57"/>
      <c r="G88" s="57"/>
      <c r="H88" s="57"/>
      <c r="I88" s="57"/>
    </row>
    <row r="89" spans="1:9">
      <c r="A89" s="66" t="s">
        <v>232</v>
      </c>
      <c r="B89" s="67" t="s">
        <v>233</v>
      </c>
      <c r="C89" s="67">
        <v>29.1</v>
      </c>
      <c r="D89" s="82">
        <v>-7.6190476199999996E-2</v>
      </c>
      <c r="E89" s="57"/>
      <c r="F89" s="57"/>
      <c r="G89" s="57"/>
      <c r="H89" s="57"/>
      <c r="I89" s="57"/>
    </row>
    <row r="90" spans="1:9">
      <c r="A90" s="66" t="s">
        <v>234</v>
      </c>
      <c r="B90" s="67" t="s">
        <v>235</v>
      </c>
      <c r="C90" s="67">
        <v>265</v>
      </c>
      <c r="D90" s="82">
        <v>-7.6655052299999998E-2</v>
      </c>
      <c r="E90" s="57"/>
      <c r="F90" s="57"/>
      <c r="G90" s="57"/>
      <c r="H90" s="57"/>
      <c r="I90" s="57"/>
    </row>
    <row r="91" spans="1:9">
      <c r="A91" s="66" t="s">
        <v>236</v>
      </c>
      <c r="B91" s="67" t="s">
        <v>237</v>
      </c>
      <c r="C91" s="67">
        <v>272</v>
      </c>
      <c r="D91" s="82">
        <v>-7.7966101699999998E-2</v>
      </c>
      <c r="E91" s="57"/>
      <c r="F91" s="57"/>
      <c r="G91" s="57"/>
      <c r="H91" s="57"/>
      <c r="I91" s="57"/>
    </row>
    <row r="92" spans="1:9">
      <c r="A92" s="66" t="s">
        <v>238</v>
      </c>
      <c r="B92" s="67" t="s">
        <v>239</v>
      </c>
      <c r="C92" s="67">
        <v>1710</v>
      </c>
      <c r="D92" s="82">
        <v>-7.81671159E-2</v>
      </c>
      <c r="E92" s="57"/>
      <c r="F92" s="57"/>
      <c r="G92" s="57"/>
      <c r="H92" s="57"/>
      <c r="I92" s="57"/>
    </row>
    <row r="93" spans="1:9">
      <c r="A93" s="66" t="s">
        <v>240</v>
      </c>
      <c r="B93" s="67" t="s">
        <v>241</v>
      </c>
      <c r="C93" s="67">
        <v>106</v>
      </c>
      <c r="D93" s="82">
        <v>-7.8260869600000005E-2</v>
      </c>
      <c r="E93" s="57"/>
      <c r="F93" s="57"/>
      <c r="G93" s="57"/>
      <c r="H93" s="57"/>
      <c r="I93" s="57"/>
    </row>
    <row r="94" spans="1:9">
      <c r="A94" s="66" t="s">
        <v>242</v>
      </c>
      <c r="B94" s="67" t="s">
        <v>243</v>
      </c>
      <c r="C94" s="67">
        <v>434</v>
      </c>
      <c r="D94" s="82">
        <v>-7.8556263299999998E-2</v>
      </c>
      <c r="E94" s="57"/>
      <c r="F94" s="57"/>
      <c r="G94" s="57"/>
      <c r="H94" s="57"/>
      <c r="I94" s="57"/>
    </row>
    <row r="95" spans="1:9">
      <c r="A95" s="66" t="s">
        <v>244</v>
      </c>
      <c r="B95" s="67" t="s">
        <v>245</v>
      </c>
      <c r="C95" s="67">
        <v>257</v>
      </c>
      <c r="D95" s="82">
        <v>-7.8853046600000004E-2</v>
      </c>
      <c r="E95" s="57"/>
      <c r="F95" s="57"/>
      <c r="G95" s="57"/>
      <c r="H95" s="57"/>
      <c r="I95" s="57"/>
    </row>
    <row r="96" spans="1:9">
      <c r="A96" s="66" t="s">
        <v>246</v>
      </c>
      <c r="B96" s="67" t="s">
        <v>247</v>
      </c>
      <c r="C96" s="67">
        <v>8765</v>
      </c>
      <c r="D96" s="82">
        <v>-7.9306722699999999E-2</v>
      </c>
      <c r="E96" s="57"/>
      <c r="F96" s="57"/>
      <c r="G96" s="57"/>
      <c r="H96" s="57"/>
      <c r="I96" s="57"/>
    </row>
    <row r="97" spans="1:9">
      <c r="A97" s="66" t="s">
        <v>248</v>
      </c>
      <c r="B97" s="67" t="s">
        <v>249</v>
      </c>
      <c r="C97" s="67">
        <v>5785</v>
      </c>
      <c r="D97" s="82">
        <v>-7.95544948E-2</v>
      </c>
      <c r="E97" s="57"/>
      <c r="F97" s="57"/>
      <c r="G97" s="57"/>
      <c r="H97" s="57"/>
      <c r="I97" s="57"/>
    </row>
    <row r="98" spans="1:9">
      <c r="A98" s="66" t="s">
        <v>250</v>
      </c>
      <c r="B98" s="67" t="s">
        <v>251</v>
      </c>
      <c r="C98" s="67">
        <v>575</v>
      </c>
      <c r="D98" s="82">
        <v>-0.08</v>
      </c>
      <c r="E98" s="57"/>
      <c r="F98" s="57"/>
      <c r="G98" s="57"/>
      <c r="H98" s="57"/>
      <c r="I98" s="57"/>
    </row>
    <row r="99" spans="1:9">
      <c r="A99" s="66" t="s">
        <v>252</v>
      </c>
      <c r="B99" s="67" t="s">
        <v>253</v>
      </c>
      <c r="C99" s="67">
        <v>4730</v>
      </c>
      <c r="D99" s="82">
        <v>-8.0660835799999997E-2</v>
      </c>
      <c r="E99" s="57"/>
      <c r="F99" s="57"/>
      <c r="G99" s="57"/>
      <c r="H99" s="57"/>
      <c r="I99" s="57"/>
    </row>
    <row r="100" spans="1:9">
      <c r="A100" s="66" t="s">
        <v>254</v>
      </c>
      <c r="B100" s="67" t="s">
        <v>255</v>
      </c>
      <c r="C100" s="67">
        <v>327</v>
      </c>
      <c r="D100" s="82">
        <v>-8.1460674199999999E-2</v>
      </c>
      <c r="E100" s="57"/>
      <c r="F100" s="57"/>
      <c r="G100" s="57"/>
      <c r="H100" s="57"/>
      <c r="I100" s="57"/>
    </row>
    <row r="101" spans="1:9">
      <c r="A101" s="66" t="s">
        <v>256</v>
      </c>
      <c r="B101" s="67" t="s">
        <v>257</v>
      </c>
      <c r="C101" s="67">
        <v>652</v>
      </c>
      <c r="D101" s="82">
        <v>-8.2981715900000003E-2</v>
      </c>
      <c r="E101" s="57"/>
      <c r="F101" s="57"/>
      <c r="G101" s="57"/>
      <c r="H101" s="57"/>
      <c r="I101" s="57"/>
    </row>
    <row r="102" spans="1:9">
      <c r="A102" s="66" t="s">
        <v>258</v>
      </c>
      <c r="B102" s="67" t="s">
        <v>259</v>
      </c>
      <c r="C102" s="67">
        <v>120</v>
      </c>
      <c r="D102" s="82">
        <v>-8.3969465600000001E-2</v>
      </c>
      <c r="E102" s="57"/>
      <c r="F102" s="57"/>
      <c r="G102" s="57"/>
      <c r="H102" s="57"/>
      <c r="I102" s="57"/>
    </row>
    <row r="103" spans="1:9">
      <c r="A103" s="66" t="s">
        <v>260</v>
      </c>
      <c r="B103" s="67" t="s">
        <v>261</v>
      </c>
      <c r="C103" s="67">
        <v>303</v>
      </c>
      <c r="D103" s="82">
        <v>-8.4592144999999994E-2</v>
      </c>
      <c r="E103" s="57"/>
      <c r="F103" s="57"/>
      <c r="G103" s="57"/>
      <c r="H103" s="57"/>
      <c r="I103" s="57"/>
    </row>
    <row r="104" spans="1:9">
      <c r="A104" s="66" t="s">
        <v>262</v>
      </c>
      <c r="B104" s="67" t="s">
        <v>263</v>
      </c>
      <c r="C104" s="67">
        <v>845</v>
      </c>
      <c r="D104" s="82">
        <v>-8.6486486500000001E-2</v>
      </c>
      <c r="E104" s="57"/>
      <c r="F104" s="57"/>
      <c r="G104" s="57"/>
      <c r="H104" s="57"/>
      <c r="I104" s="57"/>
    </row>
    <row r="105" spans="1:9">
      <c r="A105" s="66" t="s">
        <v>264</v>
      </c>
      <c r="B105" s="67" t="s">
        <v>265</v>
      </c>
      <c r="C105" s="67">
        <v>200</v>
      </c>
      <c r="D105" s="82">
        <v>-8.6757990899999998E-2</v>
      </c>
      <c r="E105" s="57"/>
      <c r="F105" s="57"/>
      <c r="G105" s="57"/>
      <c r="H105" s="57"/>
      <c r="I105" s="57"/>
    </row>
    <row r="106" spans="1:9">
      <c r="A106" s="66" t="s">
        <v>266</v>
      </c>
      <c r="B106" s="67" t="s">
        <v>267</v>
      </c>
      <c r="C106" s="67">
        <v>1705</v>
      </c>
      <c r="D106" s="82">
        <v>-8.82352941E-2</v>
      </c>
      <c r="E106" s="57"/>
      <c r="F106" s="57"/>
      <c r="G106" s="57"/>
      <c r="H106" s="57"/>
      <c r="I106" s="57"/>
    </row>
    <row r="107" spans="1:9">
      <c r="A107" s="66" t="s">
        <v>268</v>
      </c>
      <c r="B107" s="67" t="s">
        <v>269</v>
      </c>
      <c r="C107" s="67">
        <v>255</v>
      </c>
      <c r="D107" s="82">
        <v>-8.9285714299999999E-2</v>
      </c>
      <c r="E107" s="57"/>
      <c r="F107" s="57"/>
      <c r="G107" s="57"/>
      <c r="H107" s="57"/>
      <c r="I107" s="57"/>
    </row>
    <row r="108" spans="1:9">
      <c r="A108" s="66" t="s">
        <v>270</v>
      </c>
      <c r="B108" s="67" t="s">
        <v>271</v>
      </c>
      <c r="C108" s="67">
        <v>111</v>
      </c>
      <c r="D108" s="82">
        <v>-9.0163934400000006E-2</v>
      </c>
      <c r="E108" s="57"/>
      <c r="F108" s="57"/>
      <c r="G108" s="57"/>
      <c r="H108" s="57"/>
      <c r="I108" s="57"/>
    </row>
    <row r="109" spans="1:9">
      <c r="A109" s="66" t="s">
        <v>272</v>
      </c>
      <c r="B109" s="67" t="s">
        <v>273</v>
      </c>
      <c r="C109" s="67">
        <v>135</v>
      </c>
      <c r="D109" s="82">
        <v>-9.3959731500000004E-2</v>
      </c>
    </row>
    <row r="110" spans="1:9">
      <c r="A110" s="66" t="s">
        <v>274</v>
      </c>
      <c r="B110" s="67" t="s">
        <v>275</v>
      </c>
      <c r="C110" s="67">
        <v>728</v>
      </c>
      <c r="D110" s="82">
        <v>-0.1012345679</v>
      </c>
    </row>
    <row r="111" spans="1:9">
      <c r="A111" s="66" t="s">
        <v>276</v>
      </c>
      <c r="B111" s="67" t="s">
        <v>277</v>
      </c>
      <c r="C111" s="67">
        <v>3455</v>
      </c>
      <c r="D111" s="82">
        <v>-0.1025974026</v>
      </c>
    </row>
    <row r="112" spans="1:9">
      <c r="A112" s="66" t="s">
        <v>278</v>
      </c>
      <c r="B112" s="67" t="s">
        <v>279</v>
      </c>
      <c r="C112" s="67">
        <v>11540</v>
      </c>
      <c r="D112" s="82">
        <v>-0.1033411033</v>
      </c>
    </row>
    <row r="113" spans="1:4">
      <c r="A113" s="66" t="s">
        <v>280</v>
      </c>
      <c r="B113" s="67" t="s">
        <v>281</v>
      </c>
      <c r="C113" s="67">
        <v>5430</v>
      </c>
      <c r="D113" s="82">
        <v>-0.1098360656</v>
      </c>
    </row>
    <row r="114" spans="1:4">
      <c r="A114" s="66" t="s">
        <v>282</v>
      </c>
      <c r="B114" s="67" t="s">
        <v>283</v>
      </c>
      <c r="C114" s="67">
        <v>181</v>
      </c>
      <c r="D114" s="82">
        <v>-0.112745098</v>
      </c>
    </row>
    <row r="115" spans="1:4">
      <c r="A115" s="66" t="s">
        <v>284</v>
      </c>
      <c r="B115" s="67" t="s">
        <v>285</v>
      </c>
      <c r="C115" s="67">
        <v>2220</v>
      </c>
      <c r="D115" s="82">
        <v>-0.1137724551</v>
      </c>
    </row>
    <row r="116" spans="1:4">
      <c r="A116" s="66" t="s">
        <v>286</v>
      </c>
      <c r="B116" s="67" t="s">
        <v>287</v>
      </c>
      <c r="C116" s="67">
        <v>260</v>
      </c>
      <c r="D116" s="82">
        <v>-0.1156462585</v>
      </c>
    </row>
    <row r="117" spans="1:4">
      <c r="A117" s="66" t="s">
        <v>288</v>
      </c>
      <c r="B117" s="67" t="s">
        <v>289</v>
      </c>
      <c r="C117" s="67">
        <v>656</v>
      </c>
      <c r="D117" s="82">
        <v>-0.1206434316</v>
      </c>
    </row>
    <row r="118" spans="1:4">
      <c r="A118" s="66"/>
      <c r="B118" s="67"/>
      <c r="C118" s="67"/>
      <c r="D118" s="82"/>
    </row>
    <row r="119" spans="1:4">
      <c r="A119" s="66"/>
      <c r="B119" s="67"/>
      <c r="C119" s="67"/>
      <c r="D119" s="82"/>
    </row>
    <row r="120" spans="1:4">
      <c r="A120" s="66"/>
      <c r="B120" s="67"/>
      <c r="C120" s="67"/>
      <c r="D120" s="82"/>
    </row>
    <row r="121" spans="1:4">
      <c r="A121" s="66"/>
      <c r="B121" s="67"/>
      <c r="C121" s="67"/>
      <c r="D121" s="82"/>
    </row>
    <row r="122" spans="1:4">
      <c r="A122" s="66"/>
      <c r="B122" s="67"/>
      <c r="C122" s="67"/>
      <c r="D122" s="82"/>
    </row>
    <row r="123" spans="1:4">
      <c r="A123" s="66"/>
      <c r="B123" s="67"/>
      <c r="C123" s="67"/>
      <c r="D123" s="82"/>
    </row>
    <row r="124" spans="1:4">
      <c r="A124" s="66"/>
      <c r="B124" s="67"/>
      <c r="C124" s="67"/>
      <c r="D124" s="82"/>
    </row>
    <row r="125" spans="1:4">
      <c r="A125" s="66"/>
      <c r="B125" s="67"/>
      <c r="C125" s="67"/>
      <c r="D125" s="82"/>
    </row>
    <row r="126" spans="1:4">
      <c r="A126" s="66"/>
      <c r="B126" s="67"/>
      <c r="C126" s="67"/>
      <c r="D126" s="82"/>
    </row>
    <row r="127" spans="1:4">
      <c r="A127" s="66"/>
      <c r="B127" s="67"/>
      <c r="C127" s="67"/>
      <c r="D127" s="82"/>
    </row>
    <row r="128" spans="1:4">
      <c r="A128" s="66"/>
      <c r="B128" s="67"/>
      <c r="C128" s="67"/>
      <c r="D128" s="82"/>
    </row>
    <row r="129" spans="1:4">
      <c r="A129" s="66"/>
      <c r="B129" s="67"/>
      <c r="C129" s="67"/>
      <c r="D129" s="82"/>
    </row>
    <row r="130" spans="1:4">
      <c r="A130" s="66"/>
      <c r="B130" s="67"/>
      <c r="C130" s="67"/>
      <c r="D130" s="82"/>
    </row>
    <row r="131" spans="1:4">
      <c r="A131" s="66"/>
      <c r="B131" s="67"/>
      <c r="C131" s="67"/>
      <c r="D131" s="82"/>
    </row>
    <row r="132" spans="1:4">
      <c r="A132" s="66"/>
      <c r="B132" s="67"/>
      <c r="C132" s="67"/>
      <c r="D132" s="82"/>
    </row>
    <row r="133" spans="1:4">
      <c r="A133" s="66"/>
      <c r="B133" s="67"/>
      <c r="C133" s="67"/>
      <c r="D133" s="82"/>
    </row>
    <row r="134" spans="1:4">
      <c r="A134" s="66"/>
      <c r="B134" s="67"/>
      <c r="C134" s="67"/>
      <c r="D134" s="82"/>
    </row>
    <row r="135" spans="1:4">
      <c r="A135" s="66"/>
      <c r="B135" s="67"/>
      <c r="C135" s="67"/>
      <c r="D135" s="82"/>
    </row>
    <row r="136" spans="1:4">
      <c r="A136" s="66"/>
      <c r="B136" s="67"/>
      <c r="C136" s="67"/>
      <c r="D136" s="82"/>
    </row>
    <row r="137" spans="1:4">
      <c r="A137" s="66"/>
      <c r="B137" s="67"/>
      <c r="C137" s="67"/>
      <c r="D137" s="82"/>
    </row>
    <row r="138" spans="1:4">
      <c r="A138" s="66"/>
      <c r="B138" s="67"/>
      <c r="C138" s="67"/>
      <c r="D138" s="82"/>
    </row>
    <row r="139" spans="1:4">
      <c r="A139" s="66"/>
      <c r="B139" s="67"/>
      <c r="C139" s="67"/>
      <c r="D139" s="82"/>
    </row>
    <row r="140" spans="1:4">
      <c r="A140" s="66"/>
      <c r="B140" s="67"/>
      <c r="C140" s="67"/>
      <c r="D140" s="82"/>
    </row>
    <row r="141" spans="1:4">
      <c r="A141" s="66"/>
      <c r="B141" s="67"/>
      <c r="C141" s="67"/>
      <c r="D141" s="82"/>
    </row>
    <row r="142" spans="1:4">
      <c r="A142" s="66"/>
      <c r="B142" s="67"/>
      <c r="C142" s="67"/>
      <c r="D142" s="82"/>
    </row>
    <row r="143" spans="1:4">
      <c r="A143" s="66"/>
      <c r="B143" s="67"/>
      <c r="C143" s="67"/>
      <c r="D143" s="82"/>
    </row>
    <row r="144" spans="1:4">
      <c r="A144" s="66"/>
      <c r="B144" s="67"/>
      <c r="C144" s="67"/>
      <c r="D144" s="82"/>
    </row>
    <row r="145" spans="1:4">
      <c r="A145" s="66"/>
      <c r="B145" s="67"/>
      <c r="C145" s="67"/>
      <c r="D145" s="82"/>
    </row>
    <row r="146" spans="1:4">
      <c r="A146" s="66"/>
      <c r="B146" s="67"/>
      <c r="C146" s="67"/>
      <c r="D146" s="82"/>
    </row>
    <row r="147" spans="1:4">
      <c r="A147" s="66"/>
      <c r="B147" s="67"/>
      <c r="C147" s="67"/>
      <c r="D147" s="82"/>
    </row>
    <row r="148" spans="1:4">
      <c r="A148" s="66"/>
      <c r="B148" s="67"/>
      <c r="C148" s="67"/>
      <c r="D148" s="82"/>
    </row>
    <row r="149" spans="1:4">
      <c r="A149" s="66"/>
      <c r="B149" s="67"/>
      <c r="C149" s="67"/>
      <c r="D149" s="82"/>
    </row>
    <row r="150" spans="1:4">
      <c r="A150" s="66"/>
      <c r="B150" s="67"/>
      <c r="C150" s="67"/>
      <c r="D150" s="82"/>
    </row>
    <row r="151" spans="1:4">
      <c r="A151" s="66"/>
      <c r="B151" s="67"/>
      <c r="C151" s="67"/>
      <c r="D151" s="82"/>
    </row>
    <row r="152" spans="1:4">
      <c r="A152" s="66"/>
      <c r="B152" s="67"/>
      <c r="C152" s="67"/>
      <c r="D152" s="82"/>
    </row>
    <row r="153" spans="1:4">
      <c r="A153" s="66"/>
      <c r="B153" s="67"/>
      <c r="C153" s="67"/>
      <c r="D153" s="82"/>
    </row>
    <row r="154" spans="1:4">
      <c r="A154" s="66"/>
      <c r="B154" s="67"/>
      <c r="C154" s="67"/>
      <c r="D154" s="82"/>
    </row>
    <row r="155" spans="1:4">
      <c r="A155" s="66"/>
      <c r="B155" s="67"/>
      <c r="C155" s="67"/>
      <c r="D155" s="82"/>
    </row>
    <row r="156" spans="1:4">
      <c r="A156" s="66"/>
      <c r="B156" s="67"/>
      <c r="C156" s="67"/>
      <c r="D156" s="82"/>
    </row>
    <row r="157" spans="1:4">
      <c r="A157" s="66"/>
      <c r="B157" s="67"/>
      <c r="C157" s="67"/>
      <c r="D157" s="82"/>
    </row>
    <row r="158" spans="1:4">
      <c r="A158" s="66"/>
      <c r="B158" s="67"/>
      <c r="C158" s="67"/>
      <c r="D158" s="82"/>
    </row>
    <row r="159" spans="1:4">
      <c r="A159" s="66"/>
      <c r="B159" s="67"/>
      <c r="C159" s="67"/>
      <c r="D159" s="82"/>
    </row>
    <row r="160" spans="1:4">
      <c r="A160" s="66"/>
      <c r="B160" s="67"/>
      <c r="C160" s="67"/>
      <c r="D160" s="82"/>
    </row>
    <row r="161" spans="1:4">
      <c r="A161" s="66"/>
      <c r="B161" s="67"/>
      <c r="C161" s="67"/>
      <c r="D161" s="82"/>
    </row>
    <row r="162" spans="1:4">
      <c r="A162" s="66"/>
      <c r="B162" s="67"/>
      <c r="C162" s="67"/>
      <c r="D162" s="82"/>
    </row>
    <row r="163" spans="1:4">
      <c r="A163" s="66"/>
      <c r="B163" s="67"/>
      <c r="C163" s="67"/>
      <c r="D163" s="82"/>
    </row>
    <row r="164" spans="1:4">
      <c r="A164" s="66"/>
      <c r="B164" s="67"/>
      <c r="C164" s="67"/>
      <c r="D164" s="82"/>
    </row>
    <row r="165" spans="1:4">
      <c r="A165" s="66"/>
      <c r="B165" s="67"/>
      <c r="C165" s="67"/>
      <c r="D165" s="82"/>
    </row>
    <row r="166" spans="1:4">
      <c r="A166" s="66"/>
      <c r="B166" s="67"/>
      <c r="C166" s="67"/>
      <c r="D166" s="82"/>
    </row>
    <row r="167" spans="1:4">
      <c r="A167" s="66"/>
      <c r="B167" s="67"/>
      <c r="C167" s="67"/>
      <c r="D167" s="82"/>
    </row>
    <row r="168" spans="1:4">
      <c r="A168" s="66"/>
      <c r="B168" s="67"/>
      <c r="C168" s="67"/>
      <c r="D168" s="82"/>
    </row>
    <row r="169" spans="1:4">
      <c r="A169" s="66"/>
      <c r="B169" s="67"/>
      <c r="C169" s="67"/>
      <c r="D169" s="82"/>
    </row>
    <row r="170" spans="1:4">
      <c r="A170" s="66"/>
      <c r="B170" s="67"/>
      <c r="C170" s="67"/>
      <c r="D170" s="82"/>
    </row>
    <row r="171" spans="1:4">
      <c r="A171" s="66"/>
      <c r="B171" s="67"/>
      <c r="C171" s="67"/>
      <c r="D171" s="82"/>
    </row>
    <row r="172" spans="1:4">
      <c r="A172" s="66"/>
      <c r="B172" s="67"/>
      <c r="C172" s="67"/>
      <c r="D172" s="82"/>
    </row>
    <row r="173" spans="1:4">
      <c r="A173" s="66"/>
      <c r="B173" s="67"/>
      <c r="C173" s="67"/>
      <c r="D173" s="82"/>
    </row>
    <row r="174" spans="1:4">
      <c r="A174" s="66"/>
      <c r="B174" s="67"/>
      <c r="C174" s="67"/>
      <c r="D174" s="82"/>
    </row>
    <row r="175" spans="1:4">
      <c r="A175" s="66"/>
      <c r="B175" s="67"/>
      <c r="C175" s="67"/>
      <c r="D175" s="82"/>
    </row>
    <row r="176" spans="1:4">
      <c r="A176" s="66"/>
      <c r="B176" s="67"/>
      <c r="C176" s="67"/>
      <c r="D176" s="82"/>
    </row>
    <row r="177" spans="1:4">
      <c r="A177" s="66"/>
      <c r="B177" s="67"/>
      <c r="C177" s="67"/>
      <c r="D177" s="82"/>
    </row>
    <row r="178" spans="1:4">
      <c r="A178" s="66"/>
      <c r="B178" s="67"/>
      <c r="C178" s="67"/>
      <c r="D178" s="82"/>
    </row>
    <row r="179" spans="1:4">
      <c r="A179" s="66"/>
      <c r="B179" s="67"/>
      <c r="C179" s="67"/>
      <c r="D179" s="82"/>
    </row>
    <row r="180" spans="1:4">
      <c r="A180" s="66"/>
      <c r="B180" s="67"/>
      <c r="C180" s="67"/>
      <c r="D180" s="82"/>
    </row>
    <row r="181" spans="1:4">
      <c r="A181" s="66"/>
      <c r="B181" s="67"/>
      <c r="C181" s="67"/>
      <c r="D181" s="82"/>
    </row>
    <row r="182" spans="1:4">
      <c r="A182" s="66"/>
      <c r="B182" s="67"/>
      <c r="C182" s="67"/>
      <c r="D182" s="82"/>
    </row>
    <row r="183" spans="1:4">
      <c r="A183" s="66"/>
      <c r="B183" s="67"/>
      <c r="C183" s="67"/>
      <c r="D183" s="82"/>
    </row>
    <row r="184" spans="1:4">
      <c r="A184" s="66"/>
      <c r="B184" s="67"/>
      <c r="C184" s="67"/>
      <c r="D184" s="82"/>
    </row>
    <row r="185" spans="1:4">
      <c r="A185" s="66"/>
      <c r="B185" s="67"/>
      <c r="C185" s="67"/>
      <c r="D185" s="82"/>
    </row>
    <row r="186" spans="1:4">
      <c r="A186" s="66"/>
      <c r="B186" s="67"/>
      <c r="C186" s="67"/>
      <c r="D186" s="82"/>
    </row>
    <row r="187" spans="1:4">
      <c r="A187" s="66"/>
      <c r="B187" s="67"/>
      <c r="C187" s="67"/>
      <c r="D187" s="82"/>
    </row>
    <row r="188" spans="1:4">
      <c r="A188" s="66"/>
      <c r="B188" s="67"/>
      <c r="C188" s="67"/>
      <c r="D188" s="82"/>
    </row>
    <row r="189" spans="1:4">
      <c r="A189" s="66"/>
      <c r="B189" s="67"/>
      <c r="C189" s="67"/>
      <c r="D189" s="82"/>
    </row>
    <row r="190" spans="1:4">
      <c r="A190" s="66"/>
      <c r="B190" s="67"/>
      <c r="C190" s="67"/>
      <c r="D190" s="82"/>
    </row>
    <row r="191" spans="1:4">
      <c r="A191" s="66"/>
      <c r="B191" s="67"/>
      <c r="C191" s="67"/>
      <c r="D191" s="82"/>
    </row>
    <row r="192" spans="1:4">
      <c r="A192" s="66"/>
      <c r="B192" s="67"/>
      <c r="C192" s="67"/>
      <c r="D192" s="82"/>
    </row>
    <row r="193" spans="1:4">
      <c r="A193" s="66"/>
      <c r="B193" s="67"/>
      <c r="C193" s="67"/>
      <c r="D193" s="82"/>
    </row>
    <row r="194" spans="1:4">
      <c r="A194" s="66"/>
      <c r="B194" s="67"/>
      <c r="C194" s="67"/>
      <c r="D194" s="82"/>
    </row>
    <row r="195" spans="1:4">
      <c r="A195" s="66"/>
      <c r="B195" s="67"/>
      <c r="C195" s="67"/>
      <c r="D195" s="82"/>
    </row>
    <row r="196" spans="1:4">
      <c r="A196" s="66"/>
      <c r="B196" s="67"/>
      <c r="C196" s="67"/>
      <c r="D196" s="82"/>
    </row>
    <row r="197" spans="1:4">
      <c r="A197" s="66"/>
      <c r="B197" s="67"/>
      <c r="C197" s="67"/>
      <c r="D197" s="82"/>
    </row>
    <row r="198" spans="1:4">
      <c r="A198" s="66"/>
      <c r="B198" s="67"/>
      <c r="C198" s="67"/>
      <c r="D198" s="82"/>
    </row>
    <row r="199" spans="1:4" ht="17.25" thickBot="1">
      <c r="A199" s="69"/>
      <c r="B199" s="70"/>
      <c r="C199" s="70"/>
      <c r="D199" s="8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G53:I53"/>
    <mergeCell ref="K53:M53"/>
    <mergeCell ref="O53:Q53"/>
    <mergeCell ref="G54:G55"/>
    <mergeCell ref="H54:I54"/>
    <mergeCell ref="K54:K55"/>
    <mergeCell ref="L54:M54"/>
    <mergeCell ref="O54:O55"/>
    <mergeCell ref="P54:Q54"/>
    <mergeCell ref="G29:G30"/>
    <mergeCell ref="H29:I29"/>
    <mergeCell ref="K29:K30"/>
    <mergeCell ref="L29:M29"/>
    <mergeCell ref="O29:O30"/>
    <mergeCell ref="P29:Q29"/>
    <mergeCell ref="H23:I23"/>
    <mergeCell ref="G24:G25"/>
    <mergeCell ref="H24:I25"/>
    <mergeCell ref="G28:I28"/>
    <mergeCell ref="K28:M28"/>
    <mergeCell ref="O28:Q28"/>
    <mergeCell ref="G14:I15"/>
    <mergeCell ref="H16:I16"/>
    <mergeCell ref="G17:G18"/>
    <mergeCell ref="H17:I18"/>
    <mergeCell ref="G20:I20"/>
    <mergeCell ref="G21:I22"/>
    <mergeCell ref="G6:I6"/>
    <mergeCell ref="G7:I8"/>
    <mergeCell ref="H9:I9"/>
    <mergeCell ref="G10:G11"/>
    <mergeCell ref="H10:I11"/>
    <mergeCell ref="G13:I13"/>
    <mergeCell ref="G3:G4"/>
    <mergeCell ref="H3:I4"/>
    <mergeCell ref="K3:M3"/>
    <mergeCell ref="O3:Q3"/>
    <mergeCell ref="K4:K5"/>
    <mergeCell ref="L4:M4"/>
    <mergeCell ref="O4:O5"/>
    <mergeCell ref="P4:Q4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투자전략</vt:lpstr>
      <vt:lpstr>2021.04.14</vt:lpstr>
      <vt:lpstr>현재가테이블</vt:lpstr>
      <vt:lpstr>종목선정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2021-04-16T18:18:42Z</dcterms:modified>
</cp:coreProperties>
</file>