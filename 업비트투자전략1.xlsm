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9E313A59-96D8-4517-A68B-D4AA154F8DD4}" xr6:coauthVersionLast="46" xr6:coauthVersionMax="46" xr10:uidLastSave="{00000000-0000-0000-0000-000000000000}"/>
  <bookViews>
    <workbookView xWindow="28680" yWindow="-60" windowWidth="29040" windowHeight="15840" firstSheet="11" activeTab="18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현재가테이블" sheetId="37" r:id="rId21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0" hidden="1">투자전략1!#REF!</definedName>
    <definedName name="_xlnm._FilterDatabase" localSheetId="20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0" i="55" l="1"/>
  <c r="K36" i="55"/>
  <c r="O111" i="56"/>
  <c r="N111" i="56"/>
  <c r="L111" i="56"/>
  <c r="K111" i="56"/>
  <c r="I111" i="56"/>
  <c r="H111" i="56"/>
  <c r="F111" i="56"/>
  <c r="E111" i="56"/>
  <c r="O110" i="56"/>
  <c r="N110" i="56"/>
  <c r="L110" i="56"/>
  <c r="K110" i="56"/>
  <c r="I110" i="56"/>
  <c r="H110" i="56"/>
  <c r="F110" i="56"/>
  <c r="E110" i="56"/>
  <c r="O109" i="56"/>
  <c r="N109" i="56"/>
  <c r="L109" i="56"/>
  <c r="K109" i="56"/>
  <c r="I109" i="56"/>
  <c r="H109" i="56"/>
  <c r="F109" i="56"/>
  <c r="E109" i="56"/>
  <c r="O108" i="56"/>
  <c r="N108" i="56"/>
  <c r="L108" i="56"/>
  <c r="K108" i="56"/>
  <c r="I108" i="56"/>
  <c r="H108" i="56"/>
  <c r="F108" i="56"/>
  <c r="E108" i="56"/>
  <c r="O107" i="56"/>
  <c r="N107" i="56"/>
  <c r="L107" i="56"/>
  <c r="K107" i="56"/>
  <c r="I107" i="56"/>
  <c r="H107" i="56"/>
  <c r="F107" i="56"/>
  <c r="E107" i="56"/>
  <c r="O106" i="56"/>
  <c r="N106" i="56"/>
  <c r="L106" i="56"/>
  <c r="K106" i="56"/>
  <c r="I106" i="56"/>
  <c r="H106" i="56"/>
  <c r="F106" i="56"/>
  <c r="E106" i="56"/>
  <c r="O105" i="56"/>
  <c r="N105" i="56"/>
  <c r="L105" i="56"/>
  <c r="K105" i="56"/>
  <c r="I105" i="56"/>
  <c r="H105" i="56"/>
  <c r="F105" i="56"/>
  <c r="E105" i="56"/>
  <c r="O104" i="56"/>
  <c r="N104" i="56"/>
  <c r="L104" i="56"/>
  <c r="K104" i="56"/>
  <c r="I104" i="56"/>
  <c r="H104" i="56"/>
  <c r="F104" i="56"/>
  <c r="E104" i="56"/>
  <c r="O103" i="56"/>
  <c r="N103" i="56"/>
  <c r="L103" i="56"/>
  <c r="K103" i="56"/>
  <c r="I103" i="56"/>
  <c r="H103" i="56"/>
  <c r="F103" i="56"/>
  <c r="E103" i="56"/>
  <c r="O102" i="56"/>
  <c r="O112" i="56" s="1"/>
  <c r="N102" i="56"/>
  <c r="N112" i="56" s="1"/>
  <c r="L102" i="56"/>
  <c r="L112" i="56" s="1"/>
  <c r="K102" i="56"/>
  <c r="K112" i="56" s="1"/>
  <c r="I102" i="56"/>
  <c r="I112" i="56" s="1"/>
  <c r="H102" i="56"/>
  <c r="H112" i="56" s="1"/>
  <c r="F102" i="56"/>
  <c r="F112" i="56" s="1"/>
  <c r="E102" i="56"/>
  <c r="E112" i="56" s="1"/>
  <c r="M99" i="56"/>
  <c r="G99" i="56"/>
  <c r="O94" i="56"/>
  <c r="N94" i="56"/>
  <c r="L94" i="56"/>
  <c r="K94" i="56"/>
  <c r="I94" i="56"/>
  <c r="H94" i="56"/>
  <c r="F94" i="56"/>
  <c r="E94" i="56"/>
  <c r="O93" i="56"/>
  <c r="N93" i="56"/>
  <c r="L93" i="56"/>
  <c r="K93" i="56"/>
  <c r="I93" i="56"/>
  <c r="H93" i="56"/>
  <c r="F93" i="56"/>
  <c r="E93" i="56"/>
  <c r="O92" i="56"/>
  <c r="N92" i="56"/>
  <c r="L92" i="56"/>
  <c r="K92" i="56"/>
  <c r="I92" i="56"/>
  <c r="H92" i="56"/>
  <c r="F92" i="56"/>
  <c r="E92" i="56"/>
  <c r="O91" i="56"/>
  <c r="N91" i="56"/>
  <c r="L91" i="56"/>
  <c r="K91" i="56"/>
  <c r="I91" i="56"/>
  <c r="H91" i="56"/>
  <c r="F91" i="56"/>
  <c r="E91" i="56"/>
  <c r="O90" i="56"/>
  <c r="N90" i="56"/>
  <c r="L90" i="56"/>
  <c r="K90" i="56"/>
  <c r="I90" i="56"/>
  <c r="H90" i="56"/>
  <c r="F90" i="56"/>
  <c r="E90" i="56"/>
  <c r="O89" i="56"/>
  <c r="N89" i="56"/>
  <c r="L89" i="56"/>
  <c r="K89" i="56"/>
  <c r="I89" i="56"/>
  <c r="H89" i="56"/>
  <c r="F89" i="56"/>
  <c r="E89" i="56"/>
  <c r="O88" i="56"/>
  <c r="N88" i="56"/>
  <c r="L88" i="56"/>
  <c r="K88" i="56"/>
  <c r="I88" i="56"/>
  <c r="H88" i="56"/>
  <c r="F88" i="56"/>
  <c r="E88" i="56"/>
  <c r="O87" i="56"/>
  <c r="N87" i="56"/>
  <c r="L87" i="56"/>
  <c r="K87" i="56"/>
  <c r="I87" i="56"/>
  <c r="H87" i="56"/>
  <c r="F87" i="56"/>
  <c r="E87" i="56"/>
  <c r="O86" i="56"/>
  <c r="N86" i="56"/>
  <c r="L86" i="56"/>
  <c r="K86" i="56"/>
  <c r="I86" i="56"/>
  <c r="H86" i="56"/>
  <c r="F86" i="56"/>
  <c r="E86" i="56"/>
  <c r="O85" i="56"/>
  <c r="O95" i="56" s="1"/>
  <c r="N85" i="56"/>
  <c r="N95" i="56" s="1"/>
  <c r="L85" i="56"/>
  <c r="L95" i="56" s="1"/>
  <c r="K85" i="56"/>
  <c r="K95" i="56" s="1"/>
  <c r="I85" i="56"/>
  <c r="I95" i="56" s="1"/>
  <c r="H85" i="56"/>
  <c r="H95" i="56" s="1"/>
  <c r="F85" i="56"/>
  <c r="F95" i="56" s="1"/>
  <c r="E85" i="56"/>
  <c r="E95" i="56" s="1"/>
  <c r="M82" i="56"/>
  <c r="G82" i="56"/>
  <c r="O77" i="56"/>
  <c r="N77" i="56"/>
  <c r="L77" i="56"/>
  <c r="K77" i="56"/>
  <c r="I77" i="56"/>
  <c r="H77" i="56"/>
  <c r="F77" i="56"/>
  <c r="E77" i="56"/>
  <c r="O76" i="56"/>
  <c r="N76" i="56"/>
  <c r="L76" i="56"/>
  <c r="K76" i="56"/>
  <c r="I76" i="56"/>
  <c r="H76" i="56"/>
  <c r="F76" i="56"/>
  <c r="E76" i="56"/>
  <c r="O75" i="56"/>
  <c r="N75" i="56"/>
  <c r="L75" i="56"/>
  <c r="K75" i="56"/>
  <c r="I75" i="56"/>
  <c r="H75" i="56"/>
  <c r="F75" i="56"/>
  <c r="E75" i="56"/>
  <c r="O74" i="56"/>
  <c r="N74" i="56"/>
  <c r="L74" i="56"/>
  <c r="K74" i="56"/>
  <c r="I74" i="56"/>
  <c r="H74" i="56"/>
  <c r="F74" i="56"/>
  <c r="E74" i="56"/>
  <c r="O73" i="56"/>
  <c r="N73" i="56"/>
  <c r="L73" i="56"/>
  <c r="K73" i="56"/>
  <c r="I73" i="56"/>
  <c r="H73" i="56"/>
  <c r="F73" i="56"/>
  <c r="E73" i="56"/>
  <c r="O72" i="56"/>
  <c r="N72" i="56"/>
  <c r="L72" i="56"/>
  <c r="K72" i="56"/>
  <c r="I72" i="56"/>
  <c r="H72" i="56"/>
  <c r="F72" i="56"/>
  <c r="E72" i="56"/>
  <c r="O71" i="56"/>
  <c r="N71" i="56"/>
  <c r="L71" i="56"/>
  <c r="K71" i="56"/>
  <c r="I71" i="56"/>
  <c r="H71" i="56"/>
  <c r="F71" i="56"/>
  <c r="E71" i="56"/>
  <c r="O70" i="56"/>
  <c r="N70" i="56"/>
  <c r="L70" i="56"/>
  <c r="K70" i="56"/>
  <c r="I70" i="56"/>
  <c r="H70" i="56"/>
  <c r="F70" i="56"/>
  <c r="E70" i="56"/>
  <c r="O69" i="56"/>
  <c r="N69" i="56"/>
  <c r="L69" i="56"/>
  <c r="K69" i="56"/>
  <c r="I69" i="56"/>
  <c r="H69" i="56"/>
  <c r="F69" i="56"/>
  <c r="E69" i="56"/>
  <c r="O68" i="56"/>
  <c r="O78" i="56" s="1"/>
  <c r="N68" i="56"/>
  <c r="N78" i="56" s="1"/>
  <c r="L68" i="56"/>
  <c r="L78" i="56" s="1"/>
  <c r="K68" i="56"/>
  <c r="K78" i="56" s="1"/>
  <c r="I68" i="56"/>
  <c r="I78" i="56" s="1"/>
  <c r="H68" i="56"/>
  <c r="H78" i="56" s="1"/>
  <c r="F68" i="56"/>
  <c r="F78" i="56" s="1"/>
  <c r="E68" i="56"/>
  <c r="E78" i="56" s="1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O58" i="56"/>
  <c r="N58" i="56"/>
  <c r="L58" i="56"/>
  <c r="K58" i="56"/>
  <c r="I58" i="56"/>
  <c r="H58" i="56"/>
  <c r="F58" i="56"/>
  <c r="E58" i="56"/>
  <c r="O57" i="56"/>
  <c r="N57" i="56"/>
  <c r="L57" i="56"/>
  <c r="K57" i="56"/>
  <c r="I57" i="56"/>
  <c r="H57" i="56"/>
  <c r="F57" i="56"/>
  <c r="E57" i="56"/>
  <c r="O56" i="56"/>
  <c r="N56" i="56"/>
  <c r="L56" i="56"/>
  <c r="K56" i="56"/>
  <c r="I56" i="56"/>
  <c r="H56" i="56"/>
  <c r="F56" i="56"/>
  <c r="E56" i="56"/>
  <c r="O55" i="56"/>
  <c r="N55" i="56"/>
  <c r="L55" i="56"/>
  <c r="K55" i="56"/>
  <c r="I55" i="56"/>
  <c r="H55" i="56"/>
  <c r="F55" i="56"/>
  <c r="E55" i="56"/>
  <c r="O54" i="56"/>
  <c r="N54" i="56"/>
  <c r="L54" i="56"/>
  <c r="K54" i="56"/>
  <c r="I54" i="56"/>
  <c r="H54" i="56"/>
  <c r="F54" i="56"/>
  <c r="E54" i="56"/>
  <c r="O53" i="56"/>
  <c r="N53" i="56"/>
  <c r="L53" i="56"/>
  <c r="K53" i="56"/>
  <c r="I53" i="56"/>
  <c r="H53" i="56"/>
  <c r="F53" i="56"/>
  <c r="E53" i="56"/>
  <c r="O52" i="56"/>
  <c r="N52" i="56"/>
  <c r="L52" i="56"/>
  <c r="K52" i="56"/>
  <c r="I52" i="56"/>
  <c r="H52" i="56"/>
  <c r="F52" i="56"/>
  <c r="E52" i="56"/>
  <c r="O51" i="56"/>
  <c r="O61" i="56" s="1"/>
  <c r="N51" i="56"/>
  <c r="N61" i="56" s="1"/>
  <c r="L51" i="56"/>
  <c r="L61" i="56" s="1"/>
  <c r="K51" i="56"/>
  <c r="K61" i="56" s="1"/>
  <c r="I51" i="56"/>
  <c r="I61" i="56" s="1"/>
  <c r="H51" i="56"/>
  <c r="H61" i="56" s="1"/>
  <c r="F51" i="56"/>
  <c r="F61" i="56" s="1"/>
  <c r="E51" i="56"/>
  <c r="E61" i="56" s="1"/>
  <c r="M48" i="56"/>
  <c r="G48" i="56"/>
  <c r="O43" i="56"/>
  <c r="N43" i="56"/>
  <c r="L43" i="56"/>
  <c r="K43" i="56"/>
  <c r="I43" i="56"/>
  <c r="H43" i="56"/>
  <c r="F43" i="56"/>
  <c r="E43" i="56"/>
  <c r="O42" i="56"/>
  <c r="N42" i="56"/>
  <c r="L42" i="56"/>
  <c r="K42" i="56"/>
  <c r="I42" i="56"/>
  <c r="H42" i="56"/>
  <c r="F42" i="56"/>
  <c r="E42" i="56"/>
  <c r="O41" i="56"/>
  <c r="N41" i="56"/>
  <c r="L41" i="56"/>
  <c r="K41" i="56"/>
  <c r="I41" i="56"/>
  <c r="H41" i="56"/>
  <c r="F41" i="56"/>
  <c r="E41" i="56"/>
  <c r="O40" i="56"/>
  <c r="N40" i="56"/>
  <c r="L40" i="56"/>
  <c r="K40" i="56"/>
  <c r="I40" i="56"/>
  <c r="H40" i="56"/>
  <c r="F40" i="56"/>
  <c r="E40" i="56"/>
  <c r="O39" i="56"/>
  <c r="N39" i="56"/>
  <c r="L39" i="56"/>
  <c r="K39" i="56"/>
  <c r="I39" i="56"/>
  <c r="H39" i="56"/>
  <c r="F39" i="56"/>
  <c r="E39" i="56"/>
  <c r="O38" i="56"/>
  <c r="N38" i="56"/>
  <c r="L38" i="56"/>
  <c r="K38" i="56"/>
  <c r="I38" i="56"/>
  <c r="H38" i="56"/>
  <c r="F38" i="56"/>
  <c r="E38" i="56"/>
  <c r="O37" i="56"/>
  <c r="N37" i="56"/>
  <c r="L37" i="56"/>
  <c r="K37" i="56"/>
  <c r="I37" i="56"/>
  <c r="H37" i="56"/>
  <c r="F37" i="56"/>
  <c r="E37" i="56"/>
  <c r="O36" i="56"/>
  <c r="N36" i="56"/>
  <c r="L36" i="56"/>
  <c r="K36" i="56"/>
  <c r="I36" i="56"/>
  <c r="H36" i="56"/>
  <c r="F36" i="56"/>
  <c r="E36" i="56"/>
  <c r="O35" i="56"/>
  <c r="N35" i="56"/>
  <c r="L35" i="56"/>
  <c r="K35" i="56"/>
  <c r="I35" i="56"/>
  <c r="H35" i="56"/>
  <c r="F35" i="56"/>
  <c r="E35" i="56"/>
  <c r="O34" i="56"/>
  <c r="O44" i="56" s="1"/>
  <c r="N34" i="56"/>
  <c r="N44" i="56" s="1"/>
  <c r="L34" i="56"/>
  <c r="L44" i="56" s="1"/>
  <c r="K34" i="56"/>
  <c r="K44" i="56" s="1"/>
  <c r="I34" i="56"/>
  <c r="I44" i="56" s="1"/>
  <c r="H34" i="56"/>
  <c r="H44" i="56" s="1"/>
  <c r="F34" i="56"/>
  <c r="F44" i="56" s="1"/>
  <c r="E34" i="56"/>
  <c r="E44" i="56" s="1"/>
  <c r="M31" i="56"/>
  <c r="G31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C26" i="56"/>
  <c r="B26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C25" i="56"/>
  <c r="B25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C24" i="56"/>
  <c r="B24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C23" i="56"/>
  <c r="B23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C22" i="56"/>
  <c r="B22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C21" i="56"/>
  <c r="B21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C20" i="56"/>
  <c r="B20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C19" i="56"/>
  <c r="B19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C18" i="56"/>
  <c r="B18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C17" i="56"/>
  <c r="B17" i="56"/>
  <c r="M14" i="56"/>
  <c r="G14" i="56"/>
  <c r="E39" i="55"/>
  <c r="E35" i="55"/>
  <c r="O111" i="55"/>
  <c r="N111" i="55"/>
  <c r="O110" i="55"/>
  <c r="N110" i="55"/>
  <c r="O109" i="55"/>
  <c r="N109" i="55"/>
  <c r="O108" i="55"/>
  <c r="N108" i="55"/>
  <c r="O107" i="55"/>
  <c r="N107" i="55"/>
  <c r="O106" i="55"/>
  <c r="N106" i="55"/>
  <c r="O105" i="55"/>
  <c r="N105" i="55"/>
  <c r="O104" i="55"/>
  <c r="N104" i="55"/>
  <c r="O103" i="55"/>
  <c r="N103" i="55"/>
  <c r="O102" i="55"/>
  <c r="O112" i="55" s="1"/>
  <c r="N102" i="55"/>
  <c r="N112" i="55" s="1"/>
  <c r="M99" i="55"/>
  <c r="G99" i="55"/>
  <c r="O94" i="55"/>
  <c r="N94" i="55"/>
  <c r="O93" i="55"/>
  <c r="N93" i="55"/>
  <c r="O92" i="55"/>
  <c r="N92" i="55"/>
  <c r="O91" i="55"/>
  <c r="N91" i="55"/>
  <c r="O90" i="55"/>
  <c r="N90" i="55"/>
  <c r="O89" i="55"/>
  <c r="N89" i="55"/>
  <c r="O88" i="55"/>
  <c r="N88" i="55"/>
  <c r="O87" i="55"/>
  <c r="N87" i="55"/>
  <c r="O86" i="55"/>
  <c r="N86" i="55"/>
  <c r="O85" i="55"/>
  <c r="O95" i="55" s="1"/>
  <c r="N85" i="55"/>
  <c r="N95" i="55" s="1"/>
  <c r="M82" i="55"/>
  <c r="G82" i="55"/>
  <c r="O77" i="55"/>
  <c r="N77" i="55"/>
  <c r="O76" i="55"/>
  <c r="N76" i="55"/>
  <c r="O75" i="55"/>
  <c r="N75" i="55"/>
  <c r="O74" i="55"/>
  <c r="N74" i="55"/>
  <c r="H74" i="55"/>
  <c r="I74" i="55" s="1"/>
  <c r="O73" i="55"/>
  <c r="N73" i="55"/>
  <c r="O72" i="55"/>
  <c r="N72" i="55"/>
  <c r="O71" i="55"/>
  <c r="N71" i="55"/>
  <c r="O70" i="55"/>
  <c r="N70" i="55"/>
  <c r="H70" i="55"/>
  <c r="I70" i="55" s="1"/>
  <c r="O69" i="55"/>
  <c r="N69" i="55"/>
  <c r="O68" i="55"/>
  <c r="O78" i="55" s="1"/>
  <c r="N68" i="55"/>
  <c r="N78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O58" i="55"/>
  <c r="N58" i="55"/>
  <c r="O57" i="55"/>
  <c r="N57" i="55"/>
  <c r="O56" i="55"/>
  <c r="N56" i="55"/>
  <c r="O55" i="55"/>
  <c r="N55" i="55"/>
  <c r="O54" i="55"/>
  <c r="N54" i="55"/>
  <c r="O53" i="55"/>
  <c r="N53" i="55"/>
  <c r="O52" i="55"/>
  <c r="N52" i="55"/>
  <c r="O51" i="55"/>
  <c r="O61" i="55" s="1"/>
  <c r="N51" i="55"/>
  <c r="M48" i="55"/>
  <c r="G48" i="55"/>
  <c r="O43" i="55"/>
  <c r="N43" i="55"/>
  <c r="O42" i="55"/>
  <c r="N42" i="55"/>
  <c r="O41" i="55"/>
  <c r="N41" i="55"/>
  <c r="O40" i="55"/>
  <c r="N40" i="55"/>
  <c r="O39" i="55"/>
  <c r="N39" i="55"/>
  <c r="O38" i="55"/>
  <c r="N38" i="55"/>
  <c r="O37" i="55"/>
  <c r="N37" i="55"/>
  <c r="O36" i="55"/>
  <c r="N36" i="55"/>
  <c r="O35" i="55"/>
  <c r="N35" i="55"/>
  <c r="O34" i="55"/>
  <c r="O44" i="55" s="1"/>
  <c r="N34" i="55"/>
  <c r="N44" i="55" s="1"/>
  <c r="M31" i="55"/>
  <c r="G31" i="55"/>
  <c r="O26" i="55"/>
  <c r="N26" i="55"/>
  <c r="M26" i="55"/>
  <c r="C26" i="55"/>
  <c r="B26" i="55"/>
  <c r="O25" i="55"/>
  <c r="N25" i="55"/>
  <c r="M25" i="55"/>
  <c r="C25" i="55"/>
  <c r="B25" i="55"/>
  <c r="O24" i="55"/>
  <c r="N24" i="55"/>
  <c r="M24" i="55"/>
  <c r="C24" i="55"/>
  <c r="B24" i="55"/>
  <c r="O23" i="55"/>
  <c r="N23" i="55"/>
  <c r="M23" i="55"/>
  <c r="C23" i="55"/>
  <c r="B23" i="55"/>
  <c r="O22" i="55"/>
  <c r="N22" i="55"/>
  <c r="M22" i="55"/>
  <c r="C22" i="55"/>
  <c r="B22" i="55"/>
  <c r="O21" i="55"/>
  <c r="N21" i="55"/>
  <c r="M21" i="55"/>
  <c r="C21" i="55"/>
  <c r="B21" i="55"/>
  <c r="O20" i="55"/>
  <c r="N20" i="55"/>
  <c r="M20" i="55"/>
  <c r="C20" i="55"/>
  <c r="B20" i="55"/>
  <c r="O19" i="55"/>
  <c r="N19" i="55"/>
  <c r="M19" i="55"/>
  <c r="C19" i="55"/>
  <c r="B19" i="55"/>
  <c r="O18" i="55"/>
  <c r="N18" i="55"/>
  <c r="M18" i="55"/>
  <c r="C18" i="55"/>
  <c r="B18" i="55"/>
  <c r="O17" i="55"/>
  <c r="N17" i="55"/>
  <c r="M17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K111" i="55" l="1"/>
  <c r="L111" i="55" s="1"/>
  <c r="K105" i="55"/>
  <c r="L105" i="55" s="1"/>
  <c r="K87" i="55"/>
  <c r="L87" i="55" s="1"/>
  <c r="K94" i="55"/>
  <c r="L94" i="55"/>
  <c r="K70" i="55"/>
  <c r="L70" i="55" s="1"/>
  <c r="K77" i="55"/>
  <c r="L77" i="55" s="1"/>
  <c r="K58" i="55"/>
  <c r="K26" i="55" s="1"/>
  <c r="J26" i="55"/>
  <c r="K43" i="55"/>
  <c r="K18" i="55" s="1"/>
  <c r="J18" i="55"/>
  <c r="L43" i="55"/>
  <c r="L18" i="55" s="1"/>
  <c r="L36" i="55"/>
  <c r="L40" i="55"/>
  <c r="K27" i="56"/>
  <c r="E27" i="56"/>
  <c r="N27" i="56"/>
  <c r="I27" i="56"/>
  <c r="F27" i="56"/>
  <c r="L27" i="56"/>
  <c r="H27" i="56"/>
  <c r="O27" i="56"/>
  <c r="G5" i="56"/>
  <c r="G9" i="56"/>
  <c r="G3" i="56"/>
  <c r="G7" i="56"/>
  <c r="G11" i="56"/>
  <c r="G19" i="55"/>
  <c r="H51" i="55"/>
  <c r="H108" i="55"/>
  <c r="I108" i="55" s="1"/>
  <c r="H111" i="55"/>
  <c r="I111" i="55" s="1"/>
  <c r="H87" i="55"/>
  <c r="I87" i="55" s="1"/>
  <c r="H94" i="55"/>
  <c r="I94" i="55"/>
  <c r="H75" i="55"/>
  <c r="I75" i="55" s="1"/>
  <c r="I77" i="55"/>
  <c r="H77" i="55"/>
  <c r="H59" i="55"/>
  <c r="I59" i="55" s="1"/>
  <c r="H43" i="55"/>
  <c r="H18" i="55" s="1"/>
  <c r="G18" i="55"/>
  <c r="E111" i="55"/>
  <c r="F111" i="55" s="1"/>
  <c r="F94" i="55"/>
  <c r="E94" i="55"/>
  <c r="E77" i="55"/>
  <c r="F77" i="55"/>
  <c r="D19" i="55"/>
  <c r="E51" i="55"/>
  <c r="F51" i="55"/>
  <c r="E56" i="55"/>
  <c r="E24" i="55" s="1"/>
  <c r="F56" i="55"/>
  <c r="F24" i="55" s="1"/>
  <c r="D24" i="55"/>
  <c r="E58" i="55"/>
  <c r="E26" i="55" s="1"/>
  <c r="D26" i="55"/>
  <c r="F58" i="55"/>
  <c r="F26" i="55" s="1"/>
  <c r="E43" i="55"/>
  <c r="E18" i="55" s="1"/>
  <c r="F43" i="55"/>
  <c r="F18" i="55" s="1"/>
  <c r="D18" i="55"/>
  <c r="F35" i="55"/>
  <c r="F39" i="55"/>
  <c r="N27" i="55"/>
  <c r="N61" i="55"/>
  <c r="O27" i="55"/>
  <c r="M22" i="53"/>
  <c r="O109" i="53"/>
  <c r="O22" i="53" s="1"/>
  <c r="N109" i="53"/>
  <c r="N22" i="53" s="1"/>
  <c r="M24" i="53"/>
  <c r="N111" i="53"/>
  <c r="N24" i="53" s="1"/>
  <c r="N104" i="53"/>
  <c r="O104" i="53" s="1"/>
  <c r="N87" i="53"/>
  <c r="O87" i="53"/>
  <c r="N94" i="53"/>
  <c r="O94" i="53" s="1"/>
  <c r="N77" i="53"/>
  <c r="O77" i="53"/>
  <c r="N70" i="53"/>
  <c r="N26" i="53" s="1"/>
  <c r="M26" i="53"/>
  <c r="N55" i="53"/>
  <c r="O55" i="53" s="1"/>
  <c r="N43" i="53"/>
  <c r="O43" i="53" s="1"/>
  <c r="L111" i="53"/>
  <c r="L24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K107" i="55" l="1"/>
  <c r="L107" i="55" s="1"/>
  <c r="K106" i="55"/>
  <c r="L106" i="55" s="1"/>
  <c r="K103" i="55"/>
  <c r="L103" i="55" s="1"/>
  <c r="L102" i="55"/>
  <c r="K102" i="55"/>
  <c r="K104" i="55"/>
  <c r="L104" i="55" s="1"/>
  <c r="L109" i="55"/>
  <c r="K109" i="55"/>
  <c r="K110" i="55"/>
  <c r="L110" i="55" s="1"/>
  <c r="L108" i="55"/>
  <c r="K108" i="55"/>
  <c r="K86" i="55"/>
  <c r="L86" i="55" s="1"/>
  <c r="K91" i="55"/>
  <c r="L91" i="55"/>
  <c r="K85" i="55"/>
  <c r="L85" i="55" s="1"/>
  <c r="K93" i="55"/>
  <c r="L93" i="55" s="1"/>
  <c r="K92" i="55"/>
  <c r="L92" i="55" s="1"/>
  <c r="K90" i="55"/>
  <c r="L90" i="55"/>
  <c r="L89" i="55"/>
  <c r="K89" i="55"/>
  <c r="K88" i="55"/>
  <c r="L88" i="55"/>
  <c r="K69" i="55"/>
  <c r="L69" i="55" s="1"/>
  <c r="K74" i="55"/>
  <c r="L74" i="55" s="1"/>
  <c r="L73" i="55"/>
  <c r="K73" i="55"/>
  <c r="K76" i="55"/>
  <c r="L76" i="55" s="1"/>
  <c r="L75" i="55"/>
  <c r="K75" i="55"/>
  <c r="K68" i="55"/>
  <c r="L72" i="55"/>
  <c r="K72" i="55"/>
  <c r="K71" i="55"/>
  <c r="L71" i="55" s="1"/>
  <c r="L58" i="55"/>
  <c r="L26" i="55" s="1"/>
  <c r="K53" i="55"/>
  <c r="K21" i="55" s="1"/>
  <c r="J21" i="55"/>
  <c r="L51" i="55"/>
  <c r="K51" i="55"/>
  <c r="J19" i="55"/>
  <c r="K56" i="55"/>
  <c r="K24" i="55" s="1"/>
  <c r="J24" i="55"/>
  <c r="L54" i="55"/>
  <c r="L22" i="55" s="1"/>
  <c r="K54" i="55"/>
  <c r="K22" i="55" s="1"/>
  <c r="J22" i="55"/>
  <c r="K52" i="55"/>
  <c r="K20" i="55" s="1"/>
  <c r="J20" i="55"/>
  <c r="L57" i="55"/>
  <c r="L25" i="55" s="1"/>
  <c r="K57" i="55"/>
  <c r="K25" i="55" s="1"/>
  <c r="J25" i="55"/>
  <c r="K55" i="55"/>
  <c r="K23" i="55" s="1"/>
  <c r="J23" i="55"/>
  <c r="K35" i="55"/>
  <c r="L35" i="55"/>
  <c r="K41" i="55"/>
  <c r="L41" i="55"/>
  <c r="K34" i="55"/>
  <c r="L34" i="55"/>
  <c r="K42" i="55"/>
  <c r="K17" i="55" s="1"/>
  <c r="J17" i="55"/>
  <c r="K37" i="55"/>
  <c r="L37" i="55"/>
  <c r="K39" i="55"/>
  <c r="L39" i="55" s="1"/>
  <c r="K38" i="55"/>
  <c r="L38" i="55"/>
  <c r="H19" i="55"/>
  <c r="I51" i="55"/>
  <c r="I19" i="55" s="1"/>
  <c r="H107" i="55"/>
  <c r="I107" i="55" s="1"/>
  <c r="I106" i="55"/>
  <c r="H106" i="55"/>
  <c r="H103" i="55"/>
  <c r="I103" i="55" s="1"/>
  <c r="H102" i="55"/>
  <c r="I102" i="55" s="1"/>
  <c r="H105" i="55"/>
  <c r="I105" i="55" s="1"/>
  <c r="I109" i="55"/>
  <c r="H109" i="55"/>
  <c r="H110" i="55"/>
  <c r="I110" i="55" s="1"/>
  <c r="I104" i="55"/>
  <c r="H104" i="55"/>
  <c r="H90" i="55"/>
  <c r="I90" i="55"/>
  <c r="I85" i="55"/>
  <c r="H85" i="55"/>
  <c r="H86" i="55"/>
  <c r="I86" i="55"/>
  <c r="H92" i="55"/>
  <c r="I92" i="55" s="1"/>
  <c r="H93" i="55"/>
  <c r="I93" i="55" s="1"/>
  <c r="H88" i="55"/>
  <c r="I88" i="55" s="1"/>
  <c r="H89" i="55"/>
  <c r="I89" i="55" s="1"/>
  <c r="I91" i="55"/>
  <c r="H91" i="55"/>
  <c r="H72" i="55"/>
  <c r="I72" i="55" s="1"/>
  <c r="H76" i="55"/>
  <c r="I76" i="55"/>
  <c r="I73" i="55"/>
  <c r="H73" i="55"/>
  <c r="H68" i="55"/>
  <c r="I68" i="55"/>
  <c r="I69" i="55"/>
  <c r="H69" i="55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F107" i="55"/>
  <c r="E107" i="55"/>
  <c r="E102" i="55"/>
  <c r="F102" i="55" s="1"/>
  <c r="F108" i="55"/>
  <c r="E108" i="55"/>
  <c r="E106" i="55"/>
  <c r="F106" i="55" s="1"/>
  <c r="F103" i="55"/>
  <c r="E103" i="55"/>
  <c r="E104" i="55"/>
  <c r="F104" i="55" s="1"/>
  <c r="F110" i="55"/>
  <c r="E110" i="55"/>
  <c r="E109" i="55"/>
  <c r="F109" i="55" s="1"/>
  <c r="E90" i="55"/>
  <c r="F90" i="55" s="1"/>
  <c r="E85" i="55"/>
  <c r="F85" i="55" s="1"/>
  <c r="F91" i="55"/>
  <c r="E91" i="55"/>
  <c r="E89" i="55"/>
  <c r="F89" i="55" s="1"/>
  <c r="F86" i="55"/>
  <c r="E86" i="55"/>
  <c r="E87" i="55"/>
  <c r="F87" i="55" s="1"/>
  <c r="F88" i="55"/>
  <c r="E88" i="55"/>
  <c r="E93" i="55"/>
  <c r="F93" i="55" s="1"/>
  <c r="F92" i="55"/>
  <c r="E92" i="55"/>
  <c r="E76" i="55"/>
  <c r="F76" i="55"/>
  <c r="E73" i="55"/>
  <c r="F73" i="55" s="1"/>
  <c r="E72" i="55"/>
  <c r="F72" i="55"/>
  <c r="E71" i="55"/>
  <c r="F71" i="55" s="1"/>
  <c r="E75" i="55"/>
  <c r="F75" i="55"/>
  <c r="E69" i="55"/>
  <c r="F69" i="55" s="1"/>
  <c r="E68" i="55"/>
  <c r="F68" i="55"/>
  <c r="E74" i="55"/>
  <c r="F74" i="55" s="1"/>
  <c r="E70" i="55"/>
  <c r="F70" i="55"/>
  <c r="D21" i="55"/>
  <c r="E53" i="55"/>
  <c r="E21" i="55" s="1"/>
  <c r="F53" i="55"/>
  <c r="F21" i="55" s="1"/>
  <c r="D23" i="55"/>
  <c r="E55" i="55"/>
  <c r="E23" i="55" s="1"/>
  <c r="F19" i="55"/>
  <c r="E54" i="55"/>
  <c r="E22" i="55" s="1"/>
  <c r="F54" i="55"/>
  <c r="F22" i="55" s="1"/>
  <c r="D22" i="55"/>
  <c r="E52" i="55"/>
  <c r="E20" i="55" s="1"/>
  <c r="F52" i="55"/>
  <c r="F20" i="55" s="1"/>
  <c r="D20" i="55"/>
  <c r="E19" i="55"/>
  <c r="D25" i="55"/>
  <c r="E57" i="55"/>
  <c r="E25" i="55" s="1"/>
  <c r="F57" i="55"/>
  <c r="F25" i="55" s="1"/>
  <c r="E38" i="55"/>
  <c r="F38" i="55" s="1"/>
  <c r="E41" i="55"/>
  <c r="F41" i="55" s="1"/>
  <c r="E36" i="55"/>
  <c r="F36" i="55" s="1"/>
  <c r="E34" i="55"/>
  <c r="F34" i="55"/>
  <c r="E37" i="55"/>
  <c r="F37" i="55" s="1"/>
  <c r="E42" i="55"/>
  <c r="E17" i="55" s="1"/>
  <c r="D17" i="55"/>
  <c r="F42" i="55"/>
  <c r="F17" i="55" s="1"/>
  <c r="E40" i="55"/>
  <c r="F40" i="55"/>
  <c r="O111" i="53"/>
  <c r="O24" i="53" s="1"/>
  <c r="N106" i="53"/>
  <c r="O106" i="53" s="1"/>
  <c r="M20" i="53"/>
  <c r="O107" i="53"/>
  <c r="O20" i="53" s="1"/>
  <c r="N107" i="53"/>
  <c r="N20" i="53" s="1"/>
  <c r="O102" i="53"/>
  <c r="N102" i="53"/>
  <c r="O103" i="53"/>
  <c r="N103" i="53"/>
  <c r="O108" i="53"/>
  <c r="N108" i="53"/>
  <c r="O110" i="53"/>
  <c r="N110" i="53"/>
  <c r="O105" i="53"/>
  <c r="N105" i="53"/>
  <c r="N92" i="53"/>
  <c r="O92" i="53" s="1"/>
  <c r="N93" i="53"/>
  <c r="O93" i="53"/>
  <c r="N88" i="53"/>
  <c r="O88" i="53" s="1"/>
  <c r="N90" i="53"/>
  <c r="O90" i="53" s="1"/>
  <c r="N85" i="53"/>
  <c r="O85" i="53"/>
  <c r="N86" i="53"/>
  <c r="O86" i="53" s="1"/>
  <c r="N89" i="53"/>
  <c r="O89" i="53"/>
  <c r="N91" i="53"/>
  <c r="O91" i="53"/>
  <c r="O70" i="53"/>
  <c r="O26" i="53" s="1"/>
  <c r="N76" i="53"/>
  <c r="O76" i="53" s="1"/>
  <c r="N71" i="53"/>
  <c r="O71" i="53"/>
  <c r="N69" i="53"/>
  <c r="O69" i="53"/>
  <c r="N75" i="53"/>
  <c r="O75" i="53"/>
  <c r="N72" i="53"/>
  <c r="O72" i="53" s="1"/>
  <c r="N74" i="53"/>
  <c r="O74" i="53" s="1"/>
  <c r="N73" i="53"/>
  <c r="O73" i="53"/>
  <c r="O68" i="53"/>
  <c r="M19" i="53"/>
  <c r="N68" i="53"/>
  <c r="N52" i="53"/>
  <c r="O52" i="53" s="1"/>
  <c r="N53" i="53"/>
  <c r="O53" i="53"/>
  <c r="N51" i="53"/>
  <c r="O51" i="53" s="1"/>
  <c r="N54" i="53"/>
  <c r="O54" i="53" s="1"/>
  <c r="O42" i="53"/>
  <c r="N42" i="53"/>
  <c r="O37" i="53"/>
  <c r="O18" i="53" s="1"/>
  <c r="M18" i="53"/>
  <c r="N37" i="53"/>
  <c r="N18" i="53" s="1"/>
  <c r="N39" i="53"/>
  <c r="N23" i="53" s="1"/>
  <c r="M23" i="53"/>
  <c r="M21" i="53"/>
  <c r="N38" i="53"/>
  <c r="N21" i="53" s="1"/>
  <c r="M25" i="53"/>
  <c r="O40" i="53"/>
  <c r="O25" i="53" s="1"/>
  <c r="N40" i="53"/>
  <c r="N25" i="53" s="1"/>
  <c r="N35" i="53"/>
  <c r="O35" i="53" s="1"/>
  <c r="O34" i="53"/>
  <c r="N34" i="53"/>
  <c r="M17" i="53"/>
  <c r="O36" i="53"/>
  <c r="O17" i="53" s="1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L106" i="53"/>
  <c r="K106" i="53"/>
  <c r="L105" i="53"/>
  <c r="K105" i="53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L71" i="53"/>
  <c r="K71" i="53"/>
  <c r="K72" i="53"/>
  <c r="L72" i="53" s="1"/>
  <c r="L74" i="53"/>
  <c r="K74" i="53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L54" i="53"/>
  <c r="K54" i="53"/>
  <c r="K38" i="53"/>
  <c r="K21" i="53" s="1"/>
  <c r="J21" i="53"/>
  <c r="L37" i="53"/>
  <c r="L18" i="53" s="1"/>
  <c r="K37" i="53"/>
  <c r="K18" i="53" s="1"/>
  <c r="J18" i="53"/>
  <c r="K39" i="53"/>
  <c r="K23" i="53" s="1"/>
  <c r="J23" i="53"/>
  <c r="K34" i="53"/>
  <c r="L34" i="53" s="1"/>
  <c r="L36" i="53"/>
  <c r="L17" i="53" s="1"/>
  <c r="K36" i="53"/>
  <c r="K17" i="53" s="1"/>
  <c r="J17" i="53"/>
  <c r="K35" i="53"/>
  <c r="L35" i="53" s="1"/>
  <c r="K40" i="53"/>
  <c r="K25" i="53" s="1"/>
  <c r="J25" i="53"/>
  <c r="L42" i="53"/>
  <c r="K42" i="53"/>
  <c r="L41" i="53"/>
  <c r="K41" i="53"/>
  <c r="H110" i="53"/>
  <c r="I110" i="53" s="1"/>
  <c r="H105" i="53"/>
  <c r="I105" i="53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I107" i="53"/>
  <c r="I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I75" i="53"/>
  <c r="H75" i="53"/>
  <c r="H73" i="53"/>
  <c r="I73" i="53" s="1"/>
  <c r="I76" i="53"/>
  <c r="H76" i="53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F105" i="53"/>
  <c r="E105" i="53"/>
  <c r="E107" i="53"/>
  <c r="E20" i="53" s="1"/>
  <c r="D20" i="53"/>
  <c r="E102" i="53"/>
  <c r="F102" i="53" s="1"/>
  <c r="E90" i="53"/>
  <c r="F90" i="53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F73" i="53"/>
  <c r="E73" i="53"/>
  <c r="E72" i="53"/>
  <c r="F72" i="53" s="1"/>
  <c r="F70" i="53"/>
  <c r="F26" i="53" s="1"/>
  <c r="E70" i="53"/>
  <c r="E26" i="53" s="1"/>
  <c r="D26" i="53"/>
  <c r="E52" i="53"/>
  <c r="F52" i="53" s="1"/>
  <c r="F53" i="53"/>
  <c r="E53" i="53"/>
  <c r="E51" i="53"/>
  <c r="F51" i="53" s="1"/>
  <c r="F54" i="53"/>
  <c r="E54" i="53"/>
  <c r="E38" i="53"/>
  <c r="E21" i="53" s="1"/>
  <c r="D21" i="53"/>
  <c r="F40" i="53"/>
  <c r="F25" i="53" s="1"/>
  <c r="E40" i="53"/>
  <c r="E25" i="53" s="1"/>
  <c r="D25" i="53"/>
  <c r="E35" i="53"/>
  <c r="F35" i="53" s="1"/>
  <c r="E41" i="53"/>
  <c r="F41" i="53" s="1"/>
  <c r="F36" i="53"/>
  <c r="F17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O76" i="52"/>
  <c r="N76" i="52"/>
  <c r="N71" i="52"/>
  <c r="O71" i="52" s="1"/>
  <c r="O72" i="52"/>
  <c r="N72" i="52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O56" i="52"/>
  <c r="O25" i="52" s="1"/>
  <c r="N51" i="52"/>
  <c r="O51" i="52" s="1"/>
  <c r="M22" i="52"/>
  <c r="O53" i="52"/>
  <c r="O22" i="52" s="1"/>
  <c r="N53" i="52"/>
  <c r="N22" i="52" s="1"/>
  <c r="N37" i="52"/>
  <c r="O37" i="52" s="1"/>
  <c r="N39" i="52"/>
  <c r="O39" i="52" s="1"/>
  <c r="N34" i="52"/>
  <c r="O34" i="52" s="1"/>
  <c r="N40" i="52"/>
  <c r="O40" i="52"/>
  <c r="N38" i="52"/>
  <c r="O38" i="52" s="1"/>
  <c r="N35" i="52"/>
  <c r="O35" i="52" s="1"/>
  <c r="N36" i="52"/>
  <c r="O36" i="52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O104" i="52"/>
  <c r="N104" i="52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L107" i="52"/>
  <c r="L17" i="52" s="1"/>
  <c r="K102" i="52"/>
  <c r="L102" i="52"/>
  <c r="K108" i="52"/>
  <c r="L108" i="52" s="1"/>
  <c r="J19" i="52"/>
  <c r="K110" i="52"/>
  <c r="K19" i="52" s="1"/>
  <c r="L110" i="52"/>
  <c r="L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L70" i="52"/>
  <c r="L20" i="52" s="1"/>
  <c r="J20" i="52"/>
  <c r="K70" i="52"/>
  <c r="K20" i="52" s="1"/>
  <c r="K72" i="52"/>
  <c r="L72" i="52" s="1"/>
  <c r="L69" i="52"/>
  <c r="K69" i="52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I106" i="52"/>
  <c r="H106" i="52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I51" i="52"/>
  <c r="H51" i="52"/>
  <c r="H56" i="52"/>
  <c r="H25" i="52" s="1"/>
  <c r="I56" i="52"/>
  <c r="I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F42" i="52"/>
  <c r="E42" i="52"/>
  <c r="E37" i="52"/>
  <c r="F37" i="52" s="1"/>
  <c r="N107" i="51"/>
  <c r="O107" i="51" s="1"/>
  <c r="N103" i="51"/>
  <c r="O103" i="51" s="1"/>
  <c r="N108" i="51"/>
  <c r="O108" i="51" s="1"/>
  <c r="N102" i="51"/>
  <c r="O102" i="51" s="1"/>
  <c r="O110" i="51"/>
  <c r="N110" i="5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/>
  <c r="O52" i="51"/>
  <c r="N52" i="51"/>
  <c r="N39" i="51"/>
  <c r="O39" i="51"/>
  <c r="O34" i="51"/>
  <c r="M20" i="51"/>
  <c r="N34" i="5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L68" i="51"/>
  <c r="K68" i="5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F54" i="51"/>
  <c r="E54" i="51"/>
  <c r="E35" i="51"/>
  <c r="E23" i="51" s="1"/>
  <c r="D23" i="51"/>
  <c r="F37" i="51"/>
  <c r="F26" i="51" s="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O103" i="49"/>
  <c r="N103" i="49"/>
  <c r="N102" i="49"/>
  <c r="O102" i="49" s="1"/>
  <c r="N110" i="49"/>
  <c r="O110" i="49" s="1"/>
  <c r="N104" i="49"/>
  <c r="O104" i="49" s="1"/>
  <c r="N108" i="49"/>
  <c r="N20" i="49" s="1"/>
  <c r="M20" i="49"/>
  <c r="O108" i="49"/>
  <c r="O20" i="49" s="1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O39" i="48"/>
  <c r="N39" i="48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61" i="48" s="1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O105" i="47"/>
  <c r="O18" i="47" s="1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K112" i="55" l="1"/>
  <c r="L112" i="55"/>
  <c r="K95" i="55"/>
  <c r="L95" i="55"/>
  <c r="K78" i="55"/>
  <c r="L68" i="55"/>
  <c r="L78" i="55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L44" i="55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G11" i="55" s="1"/>
  <c r="E95" i="55"/>
  <c r="F95" i="55"/>
  <c r="F78" i="55"/>
  <c r="G7" i="55" s="1"/>
  <c r="E78" i="55"/>
  <c r="F55" i="55"/>
  <c r="F23" i="55" s="1"/>
  <c r="F27" i="55" s="1"/>
  <c r="E61" i="55"/>
  <c r="F61" i="55"/>
  <c r="E27" i="55"/>
  <c r="F44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O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L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L44" i="53"/>
  <c r="I109" i="53"/>
  <c r="I22" i="53" s="1"/>
  <c r="H112" i="53"/>
  <c r="H95" i="53"/>
  <c r="I95" i="53"/>
  <c r="I70" i="53"/>
  <c r="I26" i="53" s="1"/>
  <c r="H78" i="53"/>
  <c r="H19" i="53"/>
  <c r="H27" i="53" s="1"/>
  <c r="I78" i="53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G7" i="53" s="1"/>
  <c r="F19" i="53"/>
  <c r="E61" i="53"/>
  <c r="F61" i="53"/>
  <c r="G5" i="53" s="1"/>
  <c r="F39" i="53"/>
  <c r="F23" i="53" s="1"/>
  <c r="F37" i="53"/>
  <c r="F18" i="53" s="1"/>
  <c r="F38" i="53"/>
  <c r="F21" i="53" s="1"/>
  <c r="E44" i="53"/>
  <c r="N95" i="52"/>
  <c r="O95" i="52"/>
  <c r="O78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61" i="52" s="1"/>
  <c r="L56" i="52"/>
  <c r="L25" i="52" s="1"/>
  <c r="K27" i="52"/>
  <c r="L44" i="52"/>
  <c r="K44" i="52"/>
  <c r="I110" i="52"/>
  <c r="I19" i="52" s="1"/>
  <c r="I109" i="52"/>
  <c r="I18" i="52" s="1"/>
  <c r="H112" i="52"/>
  <c r="I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G9" i="52" s="1"/>
  <c r="E95" i="52"/>
  <c r="F70" i="52"/>
  <c r="F20" i="52" s="1"/>
  <c r="E78" i="52"/>
  <c r="F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O112" i="51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44" i="5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G9" i="51" s="1"/>
  <c r="F68" i="51"/>
  <c r="F70" i="51"/>
  <c r="F17" i="51" s="1"/>
  <c r="F71" i="51"/>
  <c r="F18" i="51" s="1"/>
  <c r="E61" i="51"/>
  <c r="F61" i="51"/>
  <c r="G5" i="51" s="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G9" i="49" s="1"/>
  <c r="E61" i="49"/>
  <c r="E44" i="49"/>
  <c r="E17" i="49"/>
  <c r="E27" i="49" s="1"/>
  <c r="F44" i="49"/>
  <c r="G3" i="49" s="1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G9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95" i="47" s="1"/>
  <c r="O88" i="47"/>
  <c r="O26" i="47" s="1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L61" i="55" l="1"/>
  <c r="L27" i="55"/>
  <c r="I61" i="55"/>
  <c r="G5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11" i="40" l="1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<sst xmlns="http://schemas.openxmlformats.org/spreadsheetml/2006/main" count="5725" uniqueCount="361">
  <si>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</si>
  <si>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</si>
  <si>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</si>
  <si>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</si>
  <si>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</si>
  <si>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</si>
  <si>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</si>
  <si>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</si>
  <si>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</si>
  <si>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</si>
  <si>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</si>
  <si>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</si>
  <si>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</si>
  <si>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</si>
  <si>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</si>
  <si>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</si>
  <si>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</si>
  <si>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</si>
  <si>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</si>
  <si>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</si>
  <si>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</si>
  <si>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</si>
  <si>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</si>
  <si>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</si>
  <si>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</si>
  <si>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</si>
  <si>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</si>
  <si>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</si>
  <si>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</si>
  <si>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</si>
  <si>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</si>
  <si>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</si>
  <si>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</si>
  <si>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</si>
  <si>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</si>
  <si>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</si>
  <si>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</si>
  <si>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</si>
  <si>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</si>
  <si>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</si>
  <si>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</si>
  <si>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</si>
  <si>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</si>
  <si>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</si>
  <si>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</si>
  <si>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</si>
  <si>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</si>
  <si>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</si>
  <si>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</si>
  <si>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</si>
  <si>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</si>
  <si>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</si>
  <si>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</si>
  <si>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</si>
  <si>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</si>
  <si>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</si>
  <si>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</si>
  <si>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</si>
  <si>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</si>
  <si>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</si>
  <si>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</si>
  <si>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</si>
  <si>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</si>
  <si>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</si>
  <si>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</si>
  <si>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</si>
  <si>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</si>
  <si>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</si>
  <si>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</si>
  <si>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</si>
  <si>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</si>
  <si>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</si>
  <si>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</si>
  <si>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</si>
  <si>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</si>
  <si>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</si>
  <si>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</si>
  <si>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</si>
  <si>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</si>
  <si>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</si>
  <si>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</si>
  <si>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</si>
  <si>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</si>
  <si>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</si>
  <si>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</si>
  <si>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</si>
  <si>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</si>
  <si>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</si>
  <si>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</si>
  <si>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</si>
  <si>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</si>
  <si>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</si>
  <si>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</si>
  <si>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</si>
  <si>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</si>
  <si>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</si>
  <si>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</si>
  <si>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</si>
  <si>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</si>
  <si>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</si>
  <si>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</si>
  <si>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</si>
  <si>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</si>
  <si>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</si>
  <si>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</si>
  <si>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</si>
  <si>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KRW-BCHA</t>
  </si>
  <si>
    <t>스트라티스</t>
  </si>
  <si>
    <t>엠블</t>
  </si>
  <si>
    <t>KRW-MVL</t>
  </si>
  <si>
    <t>세럼</t>
  </si>
  <si>
    <t>KRW-SRM</t>
  </si>
  <si>
    <t>플레이댑</t>
  </si>
  <si>
    <t>KRW-PLA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</si>
  <si>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</si>
  <si>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</si>
  <si>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</si>
  <si>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</si>
  <si>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</si>
  <si>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</si>
  <si>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</si>
  <si>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</si>
  <si>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</si>
  <si>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</si>
  <si>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</si>
  <si>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</si>
  <si>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</si>
  <si>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</si>
  <si>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</si>
  <si>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</si>
  <si>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</si>
  <si>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</si>
  <si>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</si>
  <si>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</si>
  <si>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</si>
  <si>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</si>
  <si>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KRW-TSHP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</si>
  <si>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</si>
  <si>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</si>
  <si>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</si>
  <si>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</si>
  <si>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</si>
  <si>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</si>
  <si>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</si>
  <si>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</si>
  <si>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</si>
  <si>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</si>
  <si>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</si>
  <si>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</si>
  <si>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</si>
  <si>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</si>
  <si>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</si>
  <si>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</si>
  <si>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</si>
  <si>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</si>
  <si>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</si>
  <si>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</si>
  <si>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</si>
  <si>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</si>
  <si>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</si>
  <si>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</si>
  <si>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</si>
  <si>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</si>
  <si>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</si>
  <si>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</si>
  <si>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</si>
  <si>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</si>
  <si>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</si>
  <si>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</si>
  <si>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</si>
  <si>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</si>
  <si>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</si>
  <si>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</si>
  <si>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</si>
  <si>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</si>
  <si>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</si>
  <si>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</si>
  <si>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</si>
  <si>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</si>
  <si>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</si>
  <si>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</si>
  <si>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</si>
  <si>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</si>
  <si>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</si>
  <si>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</si>
  <si>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</si>
  <si>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</si>
  <si>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</si>
  <si>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</si>
  <si>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</si>
  <si>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</si>
  <si>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</si>
  <si>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</si>
  <si>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</si>
  <si>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</si>
  <si>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</si>
  <si>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</si>
  <si>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</si>
  <si>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</si>
  <si>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</si>
  <si>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</si>
  <si>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</si>
  <si>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</si>
  <si>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</si>
  <si>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</si>
  <si>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</si>
  <si>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</si>
  <si>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</si>
  <si>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</si>
  <si>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</si>
  <si>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</si>
  <si>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</si>
  <si>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</si>
  <si>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</si>
  <si>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</si>
  <si>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</si>
  <si>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</si>
  <si>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</si>
  <si>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</si>
  <si>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</si>
  <si>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</si>
  <si>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</si>
  <si>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</si>
  <si>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</si>
  <si>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</si>
  <si>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</si>
  <si>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</si>
  <si>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</si>
  <si>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</si>
  <si>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KRW-MTL</t>
  </si>
  <si>
    <t>라이트코인</t>
  </si>
  <si>
    <t>이오스</t>
  </si>
  <si>
    <t>비트코인캐시</t>
  </si>
  <si>
    <t>KRW-DMT</t>
  </si>
  <si>
    <t>KRW-CVC</t>
  </si>
  <si>
    <t>KRW-ENJ</t>
  </si>
  <si>
    <t>KRW-MBL</t>
  </si>
  <si>
    <t>KRW-VET</t>
  </si>
  <si>
    <t>KRW-PXL</t>
  </si>
  <si>
    <t>KRW-LINK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</si>
  <si>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</si>
  <si>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</si>
  <si>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</si>
  <si>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</si>
  <si>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KRW-XEM</t>
  </si>
  <si>
    <t>KRW-STEEM</t>
  </si>
  <si>
    <t>KRW-ARDR</t>
  </si>
  <si>
    <t>KRW-KMD</t>
  </si>
  <si>
    <t>KRW-GRS</t>
  </si>
  <si>
    <t>KRW-EMC2</t>
  </si>
  <si>
    <t>KRW-SBD</t>
  </si>
  <si>
    <t>아이콘</t>
  </si>
  <si>
    <t>KRW-ONT</t>
  </si>
  <si>
    <t>온톨로지</t>
  </si>
  <si>
    <t>KRW-ZIL</t>
  </si>
  <si>
    <t>KRW-ZRX</t>
  </si>
  <si>
    <t>KRW-LOOM</t>
  </si>
  <si>
    <t>KRW-IOST</t>
  </si>
  <si>
    <t>KRW-RFR</t>
  </si>
  <si>
    <t>KRW-IQ</t>
  </si>
  <si>
    <t>KRW-IOTA</t>
  </si>
  <si>
    <t>KRW-GAS</t>
  </si>
  <si>
    <t>가스</t>
  </si>
  <si>
    <t>KRW-KNC</t>
  </si>
  <si>
    <t>KRW-EDR</t>
  </si>
  <si>
    <t>KRW-QKC</t>
  </si>
  <si>
    <t>KRW-ANKR</t>
  </si>
  <si>
    <t>KRW-KAVA</t>
  </si>
  <si>
    <t>KRW-PCI</t>
  </si>
  <si>
    <t>페이코인</t>
  </si>
  <si>
    <t>KRW-STRAX</t>
  </si>
  <si>
    <t>KRW-SSX</t>
  </si>
  <si>
    <t>KRW-META</t>
  </si>
  <si>
    <t>KRW-CBK</t>
  </si>
  <si>
    <t>KRW-NEO</t>
  </si>
  <si>
    <t>KRW-LTC</t>
  </si>
  <si>
    <t>KRW-XRP</t>
  </si>
  <si>
    <t>KRW-OMG</t>
  </si>
  <si>
    <t>KRW-SNT</t>
  </si>
  <si>
    <t>KRW-WAVES</t>
  </si>
  <si>
    <t>KRW-QTUM</t>
  </si>
  <si>
    <t>KRW-LSK</t>
  </si>
  <si>
    <t>리스크</t>
  </si>
  <si>
    <t>KRW-XLM</t>
  </si>
  <si>
    <t>KRW-ARK</t>
  </si>
  <si>
    <t>아크</t>
  </si>
  <si>
    <t>KRW-STORJ</t>
  </si>
  <si>
    <t>스토리지</t>
  </si>
  <si>
    <t>KRW-REP</t>
  </si>
  <si>
    <t>어거</t>
  </si>
  <si>
    <t>KRW-ADA</t>
  </si>
  <si>
    <t>에이다</t>
  </si>
  <si>
    <t>KRW-POWR</t>
  </si>
  <si>
    <t>KRW-BTG</t>
  </si>
  <si>
    <t>KRW-ICX</t>
  </si>
  <si>
    <t>KRW-EOS</t>
  </si>
  <si>
    <t>KRW-TRX</t>
  </si>
  <si>
    <t>KRW-SC</t>
  </si>
  <si>
    <t>KRW-IGNIS</t>
  </si>
  <si>
    <t>KRW-POLY</t>
  </si>
  <si>
    <t>KRW-BCH</t>
  </si>
  <si>
    <t>KRW-ADX</t>
  </si>
  <si>
    <t>애드엑스</t>
  </si>
  <si>
    <t>KRW-BAT</t>
  </si>
  <si>
    <t>베이직어텐션토큰</t>
  </si>
  <si>
    <t>KRW-MFT</t>
  </si>
  <si>
    <t>KRW-UPP</t>
  </si>
  <si>
    <t>KRW-BSV</t>
  </si>
  <si>
    <t>KRW-THETA</t>
  </si>
  <si>
    <t>KRW-BTT</t>
  </si>
  <si>
    <t>KRW-MOC</t>
  </si>
  <si>
    <t>KRW-TFUEL</t>
  </si>
  <si>
    <t>KRW-MANA</t>
  </si>
  <si>
    <t>KRW-AERGO</t>
  </si>
  <si>
    <t>KRW-ATOM</t>
  </si>
  <si>
    <t>코스모스</t>
  </si>
  <si>
    <t>KRW-TT</t>
  </si>
  <si>
    <t>KRW-CRE</t>
  </si>
  <si>
    <t>KRW-SOLVE</t>
  </si>
  <si>
    <t>KRW-WAXP</t>
  </si>
  <si>
    <t>KRW-HBAR</t>
  </si>
  <si>
    <t>KRW-MED</t>
  </si>
  <si>
    <t>KRW-MLK</t>
  </si>
  <si>
    <t>밀크</t>
  </si>
  <si>
    <t>KRW-STPT</t>
  </si>
  <si>
    <t>KRW-ORBS</t>
  </si>
  <si>
    <t>KRW-CHZ</t>
  </si>
  <si>
    <t>KRW-STMX</t>
  </si>
  <si>
    <t>KRW-DKA</t>
  </si>
  <si>
    <t>KRW-HIVE</t>
  </si>
  <si>
    <t>KRW-AHT</t>
  </si>
  <si>
    <t>KRW-XTZ</t>
  </si>
  <si>
    <t>테조스</t>
  </si>
  <si>
    <t>KRW-BORA</t>
  </si>
  <si>
    <t>KRW-JST</t>
  </si>
  <si>
    <t>KRW-CRO</t>
  </si>
  <si>
    <t>KRW-TON</t>
  </si>
  <si>
    <t>KRW-SXP</t>
  </si>
  <si>
    <t>KRW-LAMB</t>
  </si>
  <si>
    <t>KRW-HUNT</t>
  </si>
  <si>
    <t>KRW-MARO</t>
  </si>
  <si>
    <t>KRW-DOT</t>
  </si>
  <si>
    <t>폴카닷</t>
  </si>
  <si>
    <t>KRW-AQT</t>
  </si>
  <si>
    <t>알파쿼크</t>
  </si>
  <si>
    <t>KRW-GLM</t>
  </si>
  <si>
    <t>KRW-QTCON</t>
  </si>
  <si>
    <t>KRW-OBSR</t>
  </si>
  <si>
    <t>KRW-FCT2</t>
  </si>
  <si>
    <t>KRW-LBC</t>
  </si>
  <si>
    <t>KRW-SAND</t>
  </si>
  <si>
    <t>KRW-HUM</t>
  </si>
  <si>
    <t>KRW-DOGE</t>
  </si>
  <si>
    <t>KRW-STRK</t>
  </si>
  <si>
    <t>KRW-PUNDIX</t>
  </si>
  <si>
    <t>KRW-FLOW</t>
  </si>
  <si>
    <t>KRW-DAWN</t>
  </si>
  <si>
    <t>KRW-AXS</t>
  </si>
  <si>
    <t>KRW-STX</t>
  </si>
  <si>
    <t>그로스톨코인</t>
    <phoneticPr fontId="1" type="noConversion"/>
  </si>
  <si>
    <t>오후 21:02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</si>
</sst>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52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9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1A8D31CB-203C-4C2A-AA00-5C0B3E140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B05D0A34-305C-431F-9F97-4514597D1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9F02A96-8296-41D9-A84A-65860DCAA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D7145DA6-3DE7-409B-97E1-E68772B28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605FB217-0EBA-479F-9392-B8B3D3CD5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A9FA137A-FD01-4880-A991-3157A4FDB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5210531C-1EE1-41A8-90AD-4DBD75E901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C15219B0-7B46-46D7-917E-4CCC3D202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8AF61096-D56A-45BC-898C-A8CFC5EE9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C83A450A-DB49-4C9F-8136-02B24BE8B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758BBEAC-384E-4989-9D46-B4FB668C8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F465C88F-2931-48FE-A833-4183A0CC4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D239D12-F1ED-4D55-8595-65CEDD1CB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9B78A245-D79E-44B9-ABDC-72355793F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AA574CCB-0695-4493-A0CA-51B277A61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74B8A9B7-D138-40E8-8CFA-F60943C01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5F971FF4-95D1-4B99-8ADC-1012B6F79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7B3F0EC3-E9CD-47C6-BAAC-EE067CD37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DDFD0709-2345-4116-A3AF-461083C71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76864D62-C697-43C0-92E7-3499EBF54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17C3250D-4303-4C80-B79F-7FFB3ED28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E80EDE34-97F7-4F53-976B-43CD0CD71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199EF003-9AC8-4866-BC12-AFF899DAD3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35B0E319-DD00-420A-B722-A837C8ECF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8215AE88-66BE-47E7-AE3D-A8BE5DBFA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73510E3A-3B9C-4B9F-AA45-ACB4D1322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74B0F970-571D-4A73-A651-4185A2FDB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52277332-0092-44EE-82D1-F8543B0C9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D22B4284-1FBF-4667-A786-E646F2E77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F6D4A565-ABC5-42F1-9268-76B559C37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D6BC1BCD-5850-49DD-BA90-D968C90F1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19052184-5877-4756-88A7-54AE837A5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88426B88-F4F4-4962-8D87-E6828F6F8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571A5CA9-77EA-4CEF-BE03-AEFF36A64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14E8518C-A586-4880-A08B-DC3B63B09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B786515-133F-4D62-8E99-FA22C835E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44287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4"/>
      <c r="I9" s="225"/>
      <c r="J9" s="1" t="s">
        <v>28</v>
      </c>
      <c r="K9" s="232" t="s">
        <v>225</v>
      </c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7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81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16"/>
      <c r="R16" s="217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14"/>
      <c r="R17" s="215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14"/>
      <c r="R18" s="215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14"/>
      <c r="R19" s="215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14"/>
      <c r="R20" s="215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14"/>
      <c r="R21" s="215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14"/>
      <c r="R22" s="215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14"/>
      <c r="R23" s="21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4"/>
      <c r="R24" s="21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16"/>
      <c r="R25" s="21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81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88"/>
      <c r="R33" s="189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86"/>
      <c r="R34" s="18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6"/>
      <c r="R35" s="18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6"/>
      <c r="R36" s="18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6"/>
      <c r="R37" s="18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6"/>
      <c r="R38" s="18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6"/>
      <c r="R39" s="18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6"/>
      <c r="R40" s="18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6"/>
      <c r="R41" s="18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8"/>
      <c r="R42" s="18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81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88"/>
      <c r="R50" s="189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86"/>
      <c r="R51" s="18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6"/>
      <c r="R52" s="18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6"/>
      <c r="R53" s="18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6"/>
      <c r="R54" s="18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6"/>
      <c r="R55" s="18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81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88"/>
      <c r="R67" s="189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86"/>
      <c r="R68" s="187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6"/>
      <c r="R69" s="187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6"/>
      <c r="R70" s="18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6"/>
      <c r="R71" s="18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6"/>
      <c r="R72" s="18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6"/>
      <c r="R73" s="18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6"/>
      <c r="R74" s="18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6"/>
      <c r="R75" s="18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8"/>
      <c r="R76" s="18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81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88"/>
      <c r="R84" s="189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86"/>
      <c r="R85" s="187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6"/>
      <c r="R86" s="187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6"/>
      <c r="R87" s="187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6"/>
      <c r="R88" s="18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6"/>
      <c r="R89" s="18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6"/>
      <c r="R90" s="18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6"/>
      <c r="R91" s="18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6"/>
      <c r="R92" s="18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8"/>
      <c r="R93" s="18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81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88"/>
      <c r="R101" s="189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86"/>
      <c r="R102" s="187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86"/>
      <c r="R103" s="187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86"/>
      <c r="R104" s="187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86"/>
      <c r="R105" s="187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86"/>
      <c r="R106" s="187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86"/>
      <c r="R107" s="187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86"/>
      <c r="R108" s="187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86"/>
      <c r="R109" s="187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88"/>
      <c r="R110" s="189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0"/>
      <c r="R112" s="19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967" priority="89">
      <formula>$E$27&gt;0</formula>
    </cfRule>
    <cfRule type="expression" dxfId="1966" priority="90">
      <formula>$E$27&lt;0</formula>
    </cfRule>
  </conditionalFormatting>
  <conditionalFormatting sqref="G15:I16 H27:I27">
    <cfRule type="expression" dxfId="1965" priority="87">
      <formula>$H$27&gt;0</formula>
    </cfRule>
    <cfRule type="expression" dxfId="1964" priority="88">
      <formula>$H$27&lt;0</formula>
    </cfRule>
  </conditionalFormatting>
  <conditionalFormatting sqref="J15:L16 K27:L27">
    <cfRule type="expression" dxfId="1963" priority="85">
      <formula>$K$27&gt;0</formula>
    </cfRule>
    <cfRule type="expression" dxfId="1962" priority="86">
      <formula>$K$27&lt;0</formula>
    </cfRule>
  </conditionalFormatting>
  <conditionalFormatting sqref="M15:O16 N27:O27">
    <cfRule type="expression" dxfId="1961" priority="83">
      <formula>$N$27&gt;0</formula>
    </cfRule>
    <cfRule type="expression" dxfId="1960" priority="84">
      <formula>$N$27&lt;0</formula>
    </cfRule>
  </conditionalFormatting>
  <conditionalFormatting sqref="A17:O26 A34:O43">
    <cfRule type="expression" dxfId="1959" priority="91">
      <formula>AND($N17 &gt; 0, ISNUMBER($N17))</formula>
    </cfRule>
    <cfRule type="expression" dxfId="1958" priority="92">
      <formula>AND($N17 &lt; 0, ISNUMBER($N17))</formula>
    </cfRule>
    <cfRule type="expression" dxfId="1957" priority="93">
      <formula>AND($K17 &gt; 0, ISNUMBER($K17))</formula>
    </cfRule>
    <cfRule type="expression" dxfId="1956" priority="94">
      <formula>AND($K17 &lt; 0, ISNUMBER($K17))</formula>
    </cfRule>
    <cfRule type="expression" dxfId="1955" priority="95">
      <formula>AND($H17 &gt; 0, ISNUMBER($H17))</formula>
    </cfRule>
    <cfRule type="expression" dxfId="1954" priority="96">
      <formula>AND($H17 &lt; 0, ISNUMBER($H17))</formula>
    </cfRule>
    <cfRule type="expression" dxfId="1953" priority="97">
      <formula>AND($E17 &gt; 0, ISNUMBER($E17))</formula>
    </cfRule>
    <cfRule type="expression" dxfId="1952" priority="98">
      <formula>AND($E17 &lt; 0, ISNUMBER($E17))</formula>
    </cfRule>
  </conditionalFormatting>
  <conditionalFormatting sqref="D32:F33 E44:F44">
    <cfRule type="expression" dxfId="1951" priority="81">
      <formula>$E$44&gt;0</formula>
    </cfRule>
    <cfRule type="expression" dxfId="1950" priority="82">
      <formula>$E$44&lt;0</formula>
    </cfRule>
  </conditionalFormatting>
  <conditionalFormatting sqref="G32:I33 H44:I44">
    <cfRule type="expression" dxfId="1949" priority="79">
      <formula>$H$44&gt;0</formula>
    </cfRule>
    <cfRule type="expression" dxfId="1948" priority="80">
      <formula>$H$44&lt;0</formula>
    </cfRule>
  </conditionalFormatting>
  <conditionalFormatting sqref="J32:L33 K44:L44">
    <cfRule type="expression" dxfId="1947" priority="77">
      <formula>$K$44&gt;0</formula>
    </cfRule>
    <cfRule type="expression" dxfId="1946" priority="78">
      <formula>$K$44&lt;0</formula>
    </cfRule>
  </conditionalFormatting>
  <conditionalFormatting sqref="M32:O33 N44:O44">
    <cfRule type="expression" dxfId="1945" priority="75">
      <formula>$N$44&gt;0</formula>
    </cfRule>
    <cfRule type="expression" dxfId="1944" priority="76">
      <formula>$N$44&lt;0</formula>
    </cfRule>
  </conditionalFormatting>
  <conditionalFormatting sqref="A51:O60">
    <cfRule type="expression" dxfId="1943" priority="67">
      <formula>AND($N51 &gt; 0, ISNUMBER($N51))</formula>
    </cfRule>
    <cfRule type="expression" dxfId="1942" priority="68">
      <formula>AND($N51 &lt; 0, ISNUMBER($N51))</formula>
    </cfRule>
    <cfRule type="expression" dxfId="1941" priority="69">
      <formula>AND($K51 &gt; 0, ISNUMBER($K51))</formula>
    </cfRule>
    <cfRule type="expression" dxfId="1940" priority="70">
      <formula>AND($K51 &lt; 0, ISNUMBER($K51))</formula>
    </cfRule>
    <cfRule type="expression" dxfId="1939" priority="71">
      <formula>AND($H51 &gt; 0, ISNUMBER($H51))</formula>
    </cfRule>
    <cfRule type="expression" dxfId="1938" priority="72">
      <formula>AND($H51 &lt; 0, ISNUMBER($H51))</formula>
    </cfRule>
    <cfRule type="expression" dxfId="1937" priority="73">
      <formula>AND($E51 &gt; 0, ISNUMBER($E51))</formula>
    </cfRule>
    <cfRule type="expression" dxfId="1936" priority="74">
      <formula>AND($E51 &lt; 0, ISNUMBER($E51))</formula>
    </cfRule>
  </conditionalFormatting>
  <conditionalFormatting sqref="D49:F50 E61:F61">
    <cfRule type="expression" dxfId="1935" priority="65">
      <formula>$E$61&gt;0</formula>
    </cfRule>
    <cfRule type="expression" dxfId="1934" priority="66">
      <formula>$E$61&lt;0</formula>
    </cfRule>
  </conditionalFormatting>
  <conditionalFormatting sqref="G49:I50 H61:I61">
    <cfRule type="expression" dxfId="1933" priority="63">
      <formula>$H$61&gt;0</formula>
    </cfRule>
    <cfRule type="expression" dxfId="1932" priority="64">
      <formula>$H$61&lt;0</formula>
    </cfRule>
  </conditionalFormatting>
  <conditionalFormatting sqref="J49:L50 K61:L61">
    <cfRule type="expression" dxfId="1931" priority="61">
      <formula>$K$61&gt;0</formula>
    </cfRule>
    <cfRule type="expression" dxfId="1930" priority="62">
      <formula>$K$61&lt;0</formula>
    </cfRule>
  </conditionalFormatting>
  <conditionalFormatting sqref="M49:O50 N61:O61">
    <cfRule type="expression" dxfId="1929" priority="59">
      <formula>$N$61&gt;0</formula>
    </cfRule>
    <cfRule type="expression" dxfId="1928" priority="60">
      <formula>$N$61&lt;0</formula>
    </cfRule>
  </conditionalFormatting>
  <conditionalFormatting sqref="A68:O77">
    <cfRule type="expression" dxfId="1927" priority="51">
      <formula>AND($N68 &gt; 0, ISNUMBER($N68))</formula>
    </cfRule>
    <cfRule type="expression" dxfId="1926" priority="52">
      <formula>AND($N68 &lt; 0, ISNUMBER($N68))</formula>
    </cfRule>
    <cfRule type="expression" dxfId="1925" priority="53">
      <formula>AND($K68 &gt; 0, ISNUMBER($K68))</formula>
    </cfRule>
    <cfRule type="expression" dxfId="1924" priority="54">
      <formula>AND($K68 &lt; 0, ISNUMBER($K68))</formula>
    </cfRule>
    <cfRule type="expression" dxfId="1923" priority="55">
      <formula>AND($H68 &gt; 0, ISNUMBER($H68))</formula>
    </cfRule>
    <cfRule type="expression" dxfId="1922" priority="56">
      <formula>AND($H68 &lt; 0, ISNUMBER($H68))</formula>
    </cfRule>
    <cfRule type="expression" dxfId="1921" priority="57">
      <formula>AND($E68 &gt; 0, ISNUMBER($E68))</formula>
    </cfRule>
    <cfRule type="expression" dxfId="1920" priority="58">
      <formula>AND($E68 &lt; 0, ISNUMBER($E68))</formula>
    </cfRule>
  </conditionalFormatting>
  <conditionalFormatting sqref="D66:F67 E78:F78">
    <cfRule type="expression" dxfId="1919" priority="49">
      <formula>$E$78&gt;0</formula>
    </cfRule>
    <cfRule type="expression" dxfId="1918" priority="50">
      <formula>$E$78&lt;0</formula>
    </cfRule>
  </conditionalFormatting>
  <conditionalFormatting sqref="G66:I67 H78:I78">
    <cfRule type="expression" dxfId="1917" priority="47">
      <formula>$H$78&gt;0</formula>
    </cfRule>
    <cfRule type="expression" dxfId="1916" priority="48">
      <formula>$H$78&lt;0</formula>
    </cfRule>
  </conditionalFormatting>
  <conditionalFormatting sqref="J66:L67 K78:L78">
    <cfRule type="expression" dxfId="1915" priority="45">
      <formula>$K$78&gt;0</formula>
    </cfRule>
    <cfRule type="expression" dxfId="1914" priority="46">
      <formula>$K$78&lt;0</formula>
    </cfRule>
  </conditionalFormatting>
  <conditionalFormatting sqref="M66:O67 N78:O78">
    <cfRule type="expression" dxfId="1913" priority="43">
      <formula>$N$78&gt;0</formula>
    </cfRule>
    <cfRule type="expression" dxfId="1912" priority="44">
      <formula>$N$78&lt;0</formula>
    </cfRule>
  </conditionalFormatting>
  <conditionalFormatting sqref="A85:O94">
    <cfRule type="expression" dxfId="1911" priority="35">
      <formula>AND($N85 &gt; 0, ISNUMBER($N85))</formula>
    </cfRule>
    <cfRule type="expression" dxfId="1910" priority="36">
      <formula>AND($N85 &lt; 0, ISNUMBER($N85))</formula>
    </cfRule>
    <cfRule type="expression" dxfId="1909" priority="37">
      <formula>AND($K85 &gt; 0, ISNUMBER($K85))</formula>
    </cfRule>
    <cfRule type="expression" dxfId="1908" priority="38">
      <formula>AND($K85 &lt; 0, ISNUMBER($K85))</formula>
    </cfRule>
    <cfRule type="expression" dxfId="1907" priority="39">
      <formula>AND($H85 &gt; 0, ISNUMBER($H85))</formula>
    </cfRule>
    <cfRule type="expression" dxfId="1906" priority="40">
      <formula>AND($H85 &lt; 0, ISNUMBER($H85))</formula>
    </cfRule>
    <cfRule type="expression" dxfId="1905" priority="41">
      <formula>AND($E85 &gt; 0, ISNUMBER($E85))</formula>
    </cfRule>
    <cfRule type="expression" dxfId="1904" priority="42">
      <formula>AND($E85 &lt; 0, ISNUMBER($E85))</formula>
    </cfRule>
  </conditionalFormatting>
  <conditionalFormatting sqref="D83:F84 E95:F95">
    <cfRule type="expression" dxfId="1903" priority="33">
      <formula>$E$95&gt;0</formula>
    </cfRule>
    <cfRule type="expression" dxfId="1902" priority="34">
      <formula>$E$95&lt;0</formula>
    </cfRule>
  </conditionalFormatting>
  <conditionalFormatting sqref="G83:I84 H95:I95">
    <cfRule type="expression" dxfId="1901" priority="31">
      <formula>$H$95&gt;0</formula>
    </cfRule>
    <cfRule type="expression" dxfId="1900" priority="32">
      <formula>$H$95&lt;0</formula>
    </cfRule>
  </conditionalFormatting>
  <conditionalFormatting sqref="J83:L84 K95:L95">
    <cfRule type="expression" dxfId="1899" priority="29">
      <formula>$K$95&gt;0</formula>
    </cfRule>
    <cfRule type="expression" dxfId="1898" priority="30">
      <formula>$K$95&lt;0</formula>
    </cfRule>
  </conditionalFormatting>
  <conditionalFormatting sqref="M83:O84 N95:O95">
    <cfRule type="expression" dxfId="1897" priority="27">
      <formula>$N$95&gt;0</formula>
    </cfRule>
    <cfRule type="expression" dxfId="1896" priority="28">
      <formula>$N$95&lt;0</formula>
    </cfRule>
  </conditionalFormatting>
  <conditionalFormatting sqref="A102:O111">
    <cfRule type="expression" dxfId="1895" priority="19">
      <formula>AND($N102 &gt; 0, ISNUMBER($N102))</formula>
    </cfRule>
    <cfRule type="expression" dxfId="1894" priority="20">
      <formula>AND($N102 &lt; 0, ISNUMBER($N102))</formula>
    </cfRule>
    <cfRule type="expression" dxfId="1893" priority="21">
      <formula>AND($K102 &gt; 0, ISNUMBER($K102))</formula>
    </cfRule>
    <cfRule type="expression" dxfId="1892" priority="22">
      <formula>AND($K102 &lt; 0, ISNUMBER($K102))</formula>
    </cfRule>
    <cfRule type="expression" dxfId="1891" priority="23">
      <formula>AND($H102 &gt; 0, ISNUMBER($H102))</formula>
    </cfRule>
    <cfRule type="expression" dxfId="1890" priority="24">
      <formula>AND($H102 &lt; 0, ISNUMBER($H102))</formula>
    </cfRule>
    <cfRule type="expression" dxfId="1889" priority="25">
      <formula>AND($E102 &gt; 0, ISNUMBER($E102))</formula>
    </cfRule>
    <cfRule type="expression" dxfId="1888" priority="26">
      <formula>AND($E102 &lt; 0, ISNUMBER($E102))</formula>
    </cfRule>
  </conditionalFormatting>
  <conditionalFormatting sqref="D100:F101 E112:F112">
    <cfRule type="expression" dxfId="1887" priority="17">
      <formula>$E$112&gt;0</formula>
    </cfRule>
    <cfRule type="expression" dxfId="1886" priority="18">
      <formula>$E$112&lt;0</formula>
    </cfRule>
  </conditionalFormatting>
  <conditionalFormatting sqref="G100:I101 H112:I112">
    <cfRule type="expression" dxfId="1885" priority="15">
      <formula>$H$112&gt;0</formula>
    </cfRule>
    <cfRule type="expression" dxfId="1884" priority="16">
      <formula>$H$112&lt;0</formula>
    </cfRule>
  </conditionalFormatting>
  <conditionalFormatting sqref="J100:L101 K112:L112">
    <cfRule type="expression" dxfId="1883" priority="13">
      <formula>$K$112&gt;0</formula>
    </cfRule>
    <cfRule type="expression" dxfId="1882" priority="14">
      <formula>$K$112&lt;0</formula>
    </cfRule>
  </conditionalFormatting>
  <conditionalFormatting sqref="M100:O101 N112:O112">
    <cfRule type="expression" dxfId="1881" priority="11">
      <formula>$N$112&gt;0</formula>
    </cfRule>
    <cfRule type="expression" dxfId="1880" priority="12">
      <formula>$N$112&lt;0</formula>
    </cfRule>
  </conditionalFormatting>
  <conditionalFormatting sqref="G2:I3">
    <cfRule type="expression" dxfId="18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44288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7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82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04" t="s">
        <v>20</v>
      </c>
      <c r="E15" s="205"/>
      <c r="F15" s="206"/>
      <c r="G15" s="204" t="s">
        <v>15</v>
      </c>
      <c r="H15" s="205"/>
      <c r="I15" s="206"/>
      <c r="J15" s="207" t="s">
        <v>34</v>
      </c>
      <c r="K15" s="207"/>
      <c r="L15" s="207"/>
      <c r="M15" s="204" t="s">
        <v>54</v>
      </c>
      <c r="N15" s="205"/>
      <c r="O15" s="206"/>
      <c r="Q15" s="216"/>
      <c r="R15" s="217"/>
    </row>
    <row r="16" spans="1:18" ht="17.25" customHeight="1" thickBot="1">
      <c r="A16" s="201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16"/>
      <c r="R16" s="217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14"/>
      <c r="R17" s="215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14"/>
      <c r="R18" s="215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14"/>
      <c r="R19" s="215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14"/>
      <c r="R20" s="215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14"/>
      <c r="R21" s="215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14"/>
      <c r="R22" s="215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14"/>
      <c r="R23" s="215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14"/>
      <c r="R24" s="215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16"/>
      <c r="R25" s="21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18"/>
      <c r="R27" s="219"/>
    </row>
    <row r="28" spans="1:18" ht="17.25" customHeight="1"/>
    <row r="29" spans="1:18" ht="17.25" customHeight="1" thickBot="1"/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82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88"/>
      <c r="R33" s="189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86"/>
      <c r="R34" s="187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86"/>
      <c r="R35" s="187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86"/>
      <c r="R36" s="187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86"/>
      <c r="R37" s="187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86"/>
      <c r="R38" s="187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86"/>
      <c r="R39" s="187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86"/>
      <c r="R40" s="187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86"/>
      <c r="R41" s="187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88"/>
      <c r="R42" s="18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0"/>
      <c r="R44" s="191"/>
    </row>
    <row r="45" spans="1:18" ht="17.25" customHeight="1"/>
    <row r="46" spans="1:18" ht="17.25" customHeight="1" thickBot="1"/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82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88"/>
      <c r="R50" s="189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86"/>
      <c r="R51" s="187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86"/>
      <c r="R52" s="187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86"/>
      <c r="R53" s="187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86"/>
      <c r="R54" s="187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86"/>
      <c r="R55" s="187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82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88"/>
      <c r="R67" s="189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86"/>
      <c r="R68" s="187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86"/>
      <c r="R69" s="187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86"/>
      <c r="R70" s="187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86"/>
      <c r="R71" s="18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6"/>
      <c r="R72" s="187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86"/>
      <c r="R73" s="187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86"/>
      <c r="R74" s="187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86"/>
      <c r="R75" s="187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88"/>
      <c r="R76" s="18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0"/>
      <c r="R78" s="191"/>
    </row>
    <row r="79" spans="1:18" ht="17.25" customHeight="1"/>
    <row r="80" spans="1:18" ht="17.25" customHeight="1" thickBot="1"/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82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88"/>
      <c r="R84" s="189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86"/>
      <c r="R85" s="187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86"/>
      <c r="R86" s="187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86"/>
      <c r="R87" s="187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86"/>
      <c r="R88" s="18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6"/>
      <c r="R89" s="187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86"/>
      <c r="R90" s="187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86"/>
      <c r="R91" s="187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86"/>
      <c r="R92" s="187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88"/>
      <c r="R93" s="18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82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88"/>
      <c r="R101" s="189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86"/>
      <c r="R102" s="187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86"/>
      <c r="R103" s="187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86"/>
      <c r="R104" s="187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86"/>
      <c r="R105" s="187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86"/>
      <c r="R106" s="187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86"/>
      <c r="R107" s="187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86"/>
      <c r="R108" s="187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86"/>
      <c r="R109" s="187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88"/>
      <c r="R110" s="189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0"/>
      <c r="R112" s="19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869" priority="89">
      <formula>$E$27&gt;0</formula>
    </cfRule>
    <cfRule type="expression" dxfId="1868" priority="90">
      <formula>$E$27&lt;0</formula>
    </cfRule>
  </conditionalFormatting>
  <conditionalFormatting sqref="G15:I16 H27:I27">
    <cfRule type="expression" dxfId="1867" priority="87">
      <formula>$H$27&gt;0</formula>
    </cfRule>
    <cfRule type="expression" dxfId="1866" priority="88">
      <formula>$H$27&lt;0</formula>
    </cfRule>
  </conditionalFormatting>
  <conditionalFormatting sqref="J15:L16 K27:L27">
    <cfRule type="expression" dxfId="1865" priority="85">
      <formula>$K$27&gt;0</formula>
    </cfRule>
    <cfRule type="expression" dxfId="1864" priority="86">
      <formula>$K$27&lt;0</formula>
    </cfRule>
  </conditionalFormatting>
  <conditionalFormatting sqref="M15:O16 N27:O27">
    <cfRule type="expression" dxfId="1863" priority="83">
      <formula>$N$27&gt;0</formula>
    </cfRule>
    <cfRule type="expression" dxfId="1862" priority="84">
      <formula>$N$27&lt;0</formula>
    </cfRule>
  </conditionalFormatting>
  <conditionalFormatting sqref="A17:O26 A34:O43">
    <cfRule type="expression" dxfId="1861" priority="91">
      <formula>AND($N17 &gt; 0, ISNUMBER($N17))</formula>
    </cfRule>
    <cfRule type="expression" dxfId="1860" priority="92">
      <formula>AND($N17 &lt; 0, ISNUMBER($N17))</formula>
    </cfRule>
    <cfRule type="expression" dxfId="1859" priority="93">
      <formula>AND($K17 &gt; 0, ISNUMBER($K17))</formula>
    </cfRule>
    <cfRule type="expression" dxfId="1858" priority="94">
      <formula>AND($K17 &lt; 0, ISNUMBER($K17))</formula>
    </cfRule>
    <cfRule type="expression" dxfId="1857" priority="95">
      <formula>AND($H17 &gt; 0, ISNUMBER($H17))</formula>
    </cfRule>
    <cfRule type="expression" dxfId="1856" priority="96">
      <formula>AND($H17 &lt; 0, ISNUMBER($H17))</formula>
    </cfRule>
    <cfRule type="expression" dxfId="1855" priority="97">
      <formula>AND($E17 &gt; 0, ISNUMBER($E17))</formula>
    </cfRule>
    <cfRule type="expression" dxfId="1854" priority="98">
      <formula>AND($E17 &lt; 0, ISNUMBER($E17))</formula>
    </cfRule>
  </conditionalFormatting>
  <conditionalFormatting sqref="D32:F33 E44:F44">
    <cfRule type="expression" dxfId="1853" priority="81">
      <formula>$E$44&gt;0</formula>
    </cfRule>
    <cfRule type="expression" dxfId="1852" priority="82">
      <formula>$E$44&lt;0</formula>
    </cfRule>
  </conditionalFormatting>
  <conditionalFormatting sqref="G32:I33 H44:I44">
    <cfRule type="expression" dxfId="1851" priority="79">
      <formula>$H$44&gt;0</formula>
    </cfRule>
    <cfRule type="expression" dxfId="1850" priority="80">
      <formula>$H$44&lt;0</formula>
    </cfRule>
  </conditionalFormatting>
  <conditionalFormatting sqref="J32:L33 K44:L44">
    <cfRule type="expression" dxfId="1849" priority="77">
      <formula>$K$44&gt;0</formula>
    </cfRule>
    <cfRule type="expression" dxfId="1848" priority="78">
      <formula>$K$44&lt;0</formula>
    </cfRule>
  </conditionalFormatting>
  <conditionalFormatting sqref="M32:O33 N44:O44">
    <cfRule type="expression" dxfId="1847" priority="75">
      <formula>$N$44&gt;0</formula>
    </cfRule>
    <cfRule type="expression" dxfId="1846" priority="76">
      <formula>$N$44&lt;0</formula>
    </cfRule>
  </conditionalFormatting>
  <conditionalFormatting sqref="A51:O60">
    <cfRule type="expression" dxfId="1845" priority="67">
      <formula>AND($N51 &gt; 0, ISNUMBER($N51))</formula>
    </cfRule>
    <cfRule type="expression" dxfId="1844" priority="68">
      <formula>AND($N51 &lt; 0, ISNUMBER($N51))</formula>
    </cfRule>
    <cfRule type="expression" dxfId="1843" priority="69">
      <formula>AND($K51 &gt; 0, ISNUMBER($K51))</formula>
    </cfRule>
    <cfRule type="expression" dxfId="1842" priority="70">
      <formula>AND($K51 &lt; 0, ISNUMBER($K51))</formula>
    </cfRule>
    <cfRule type="expression" dxfId="1841" priority="71">
      <formula>AND($H51 &gt; 0, ISNUMBER($H51))</formula>
    </cfRule>
    <cfRule type="expression" dxfId="1840" priority="72">
      <formula>AND($H51 &lt; 0, ISNUMBER($H51))</formula>
    </cfRule>
    <cfRule type="expression" dxfId="1839" priority="73">
      <formula>AND($E51 &gt; 0, ISNUMBER($E51))</formula>
    </cfRule>
    <cfRule type="expression" dxfId="1838" priority="74">
      <formula>AND($E51 &lt; 0, ISNUMBER($E51))</formula>
    </cfRule>
  </conditionalFormatting>
  <conditionalFormatting sqref="D49:F50 E61:F61">
    <cfRule type="expression" dxfId="1837" priority="65">
      <formula>$E$61&gt;0</formula>
    </cfRule>
    <cfRule type="expression" dxfId="1836" priority="66">
      <formula>$E$61&lt;0</formula>
    </cfRule>
  </conditionalFormatting>
  <conditionalFormatting sqref="G49:I50 H61:I61">
    <cfRule type="expression" dxfId="1835" priority="63">
      <formula>$H$61&gt;0</formula>
    </cfRule>
    <cfRule type="expression" dxfId="1834" priority="64">
      <formula>$H$61&lt;0</formula>
    </cfRule>
  </conditionalFormatting>
  <conditionalFormatting sqref="J49:L50 K61:L61">
    <cfRule type="expression" dxfId="1833" priority="61">
      <formula>$K$61&gt;0</formula>
    </cfRule>
    <cfRule type="expression" dxfId="1832" priority="62">
      <formula>$K$61&lt;0</formula>
    </cfRule>
  </conditionalFormatting>
  <conditionalFormatting sqref="M49:O50 N61:O61">
    <cfRule type="expression" dxfId="1831" priority="59">
      <formula>$N$61&gt;0</formula>
    </cfRule>
    <cfRule type="expression" dxfId="1830" priority="60">
      <formula>$N$61&lt;0</formula>
    </cfRule>
  </conditionalFormatting>
  <conditionalFormatting sqref="A68:O77">
    <cfRule type="expression" dxfId="1829" priority="51">
      <formula>AND($N68 &gt; 0, ISNUMBER($N68))</formula>
    </cfRule>
    <cfRule type="expression" dxfId="1828" priority="52">
      <formula>AND($N68 &lt; 0, ISNUMBER($N68))</formula>
    </cfRule>
    <cfRule type="expression" dxfId="1827" priority="53">
      <formula>AND($K68 &gt; 0, ISNUMBER($K68))</formula>
    </cfRule>
    <cfRule type="expression" dxfId="1826" priority="54">
      <formula>AND($K68 &lt; 0, ISNUMBER($K68))</formula>
    </cfRule>
    <cfRule type="expression" dxfId="1825" priority="55">
      <formula>AND($H68 &gt; 0, ISNUMBER($H68))</formula>
    </cfRule>
    <cfRule type="expression" dxfId="1824" priority="56">
      <formula>AND($H68 &lt; 0, ISNUMBER($H68))</formula>
    </cfRule>
    <cfRule type="expression" dxfId="1823" priority="57">
      <formula>AND($E68 &gt; 0, ISNUMBER($E68))</formula>
    </cfRule>
    <cfRule type="expression" dxfId="1822" priority="58">
      <formula>AND($E68 &lt; 0, ISNUMBER($E68))</formula>
    </cfRule>
  </conditionalFormatting>
  <conditionalFormatting sqref="D66:F67 E78:F78">
    <cfRule type="expression" dxfId="1821" priority="49">
      <formula>$E$78&gt;0</formula>
    </cfRule>
    <cfRule type="expression" dxfId="1820" priority="50">
      <formula>$E$78&lt;0</formula>
    </cfRule>
  </conditionalFormatting>
  <conditionalFormatting sqref="G66:I67 H78:I78">
    <cfRule type="expression" dxfId="1819" priority="47">
      <formula>$H$78&gt;0</formula>
    </cfRule>
    <cfRule type="expression" dxfId="1818" priority="48">
      <formula>$H$78&lt;0</formula>
    </cfRule>
  </conditionalFormatting>
  <conditionalFormatting sqref="J66:L67 K78:L78">
    <cfRule type="expression" dxfId="1817" priority="45">
      <formula>$K$78&gt;0</formula>
    </cfRule>
    <cfRule type="expression" dxfId="1816" priority="46">
      <formula>$K$78&lt;0</formula>
    </cfRule>
  </conditionalFormatting>
  <conditionalFormatting sqref="M66:O67 N78:O78">
    <cfRule type="expression" dxfId="1815" priority="43">
      <formula>$N$78&gt;0</formula>
    </cfRule>
    <cfRule type="expression" dxfId="1814" priority="44">
      <formula>$N$78&lt;0</formula>
    </cfRule>
  </conditionalFormatting>
  <conditionalFormatting sqref="A85:O94">
    <cfRule type="expression" dxfId="1813" priority="35">
      <formula>AND($N85 &gt; 0, ISNUMBER($N85))</formula>
    </cfRule>
    <cfRule type="expression" dxfId="1812" priority="36">
      <formula>AND($N85 &lt; 0, ISNUMBER($N85))</formula>
    </cfRule>
    <cfRule type="expression" dxfId="1811" priority="37">
      <formula>AND($K85 &gt; 0, ISNUMBER($K85))</formula>
    </cfRule>
    <cfRule type="expression" dxfId="1810" priority="38">
      <formula>AND($K85 &lt; 0, ISNUMBER($K85))</formula>
    </cfRule>
    <cfRule type="expression" dxfId="1809" priority="39">
      <formula>AND($H85 &gt; 0, ISNUMBER($H85))</formula>
    </cfRule>
    <cfRule type="expression" dxfId="1808" priority="40">
      <formula>AND($H85 &lt; 0, ISNUMBER($H85))</formula>
    </cfRule>
    <cfRule type="expression" dxfId="1807" priority="41">
      <formula>AND($E85 &gt; 0, ISNUMBER($E85))</formula>
    </cfRule>
    <cfRule type="expression" dxfId="1806" priority="42">
      <formula>AND($E85 &lt; 0, ISNUMBER($E85))</formula>
    </cfRule>
  </conditionalFormatting>
  <conditionalFormatting sqref="D83:F84 E95:F95">
    <cfRule type="expression" dxfId="1805" priority="33">
      <formula>$E$95&gt;0</formula>
    </cfRule>
    <cfRule type="expression" dxfId="1804" priority="34">
      <formula>$E$95&lt;0</formula>
    </cfRule>
  </conditionalFormatting>
  <conditionalFormatting sqref="G83:I84 H95:I95">
    <cfRule type="expression" dxfId="1803" priority="31">
      <formula>$H$95&gt;0</formula>
    </cfRule>
    <cfRule type="expression" dxfId="1802" priority="32">
      <formula>$H$95&lt;0</formula>
    </cfRule>
  </conditionalFormatting>
  <conditionalFormatting sqref="J83:L84 K95:L95">
    <cfRule type="expression" dxfId="1801" priority="29">
      <formula>$K$95&gt;0</formula>
    </cfRule>
    <cfRule type="expression" dxfId="1800" priority="30">
      <formula>$K$95&lt;0</formula>
    </cfRule>
  </conditionalFormatting>
  <conditionalFormatting sqref="M83:O84 N95:O95">
    <cfRule type="expression" dxfId="1799" priority="27">
      <formula>$N$95&gt;0</formula>
    </cfRule>
    <cfRule type="expression" dxfId="1798" priority="28">
      <formula>$N$95&lt;0</formula>
    </cfRule>
  </conditionalFormatting>
  <conditionalFormatting sqref="A102:O111">
    <cfRule type="expression" dxfId="1797" priority="19">
      <formula>AND($N102 &gt; 0, ISNUMBER($N102))</formula>
    </cfRule>
    <cfRule type="expression" dxfId="1796" priority="20">
      <formula>AND($N102 &lt; 0, ISNUMBER($N102))</formula>
    </cfRule>
    <cfRule type="expression" dxfId="1795" priority="21">
      <formula>AND($K102 &gt; 0, ISNUMBER($K102))</formula>
    </cfRule>
    <cfRule type="expression" dxfId="1794" priority="22">
      <formula>AND($K102 &lt; 0, ISNUMBER($K102))</formula>
    </cfRule>
    <cfRule type="expression" dxfId="1793" priority="23">
      <formula>AND($H102 &gt; 0, ISNUMBER($H102))</formula>
    </cfRule>
    <cfRule type="expression" dxfId="1792" priority="24">
      <formula>AND($H102 &lt; 0, ISNUMBER($H102))</formula>
    </cfRule>
    <cfRule type="expression" dxfId="1791" priority="25">
      <formula>AND($E102 &gt; 0, ISNUMBER($E102))</formula>
    </cfRule>
    <cfRule type="expression" dxfId="1790" priority="26">
      <formula>AND($E102 &lt; 0, ISNUMBER($E102))</formula>
    </cfRule>
  </conditionalFormatting>
  <conditionalFormatting sqref="D100:F101 E112:F112">
    <cfRule type="expression" dxfId="1789" priority="17">
      <formula>$E$112&gt;0</formula>
    </cfRule>
    <cfRule type="expression" dxfId="1788" priority="18">
      <formula>$E$112&lt;0</formula>
    </cfRule>
  </conditionalFormatting>
  <conditionalFormatting sqref="G100:I101 H112:I112">
    <cfRule type="expression" dxfId="1787" priority="15">
      <formula>$H$112&gt;0</formula>
    </cfRule>
    <cfRule type="expression" dxfId="1786" priority="16">
      <formula>$H$112&lt;0</formula>
    </cfRule>
  </conditionalFormatting>
  <conditionalFormatting sqref="J100:L101 K112:L112">
    <cfRule type="expression" dxfId="1785" priority="13">
      <formula>$K$112&gt;0</formula>
    </cfRule>
    <cfRule type="expression" dxfId="1784" priority="14">
      <formula>$K$112&lt;0</formula>
    </cfRule>
  </conditionalFormatting>
  <conditionalFormatting sqref="M100:O101 N112:O112">
    <cfRule type="expression" dxfId="1783" priority="11">
      <formula>$N$112&gt;0</formula>
    </cfRule>
    <cfRule type="expression" dxfId="1782" priority="12">
      <formula>$N$112&lt;0</formula>
    </cfRule>
  </conditionalFormatting>
  <conditionalFormatting sqref="G2:I3">
    <cfRule type="expression" dxfId="17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44289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7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82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04" t="s">
        <v>20</v>
      </c>
      <c r="E15" s="205"/>
      <c r="F15" s="206"/>
      <c r="G15" s="204" t="s">
        <v>15</v>
      </c>
      <c r="H15" s="205"/>
      <c r="I15" s="206"/>
      <c r="J15" s="207" t="s">
        <v>34</v>
      </c>
      <c r="K15" s="207"/>
      <c r="L15" s="207"/>
      <c r="M15" s="204" t="s">
        <v>54</v>
      </c>
      <c r="N15" s="205"/>
      <c r="O15" s="206"/>
      <c r="Q15" s="216"/>
      <c r="R15" s="217"/>
    </row>
    <row r="16" spans="1:18" ht="17.25" customHeight="1" thickBot="1">
      <c r="A16" s="201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16"/>
      <c r="R16" s="217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14"/>
      <c r="R17" s="215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14"/>
      <c r="R18" s="215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14"/>
      <c r="R19" s="215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14"/>
      <c r="R20" s="215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14"/>
      <c r="R21" s="215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14"/>
      <c r="R22" s="215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14"/>
      <c r="R23" s="215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14"/>
      <c r="R24" s="215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16"/>
      <c r="R25" s="21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18"/>
      <c r="R27" s="219"/>
    </row>
    <row r="28" spans="1:18" ht="17.25" customHeight="1"/>
    <row r="29" spans="1:18" ht="17.25" customHeight="1" thickBot="1"/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82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88"/>
      <c r="R33" s="189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86"/>
      <c r="R34" s="187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86"/>
      <c r="R35" s="187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86"/>
      <c r="R36" s="187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86"/>
      <c r="R37" s="18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6"/>
      <c r="R38" s="187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86"/>
      <c r="R39" s="187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86"/>
      <c r="R40" s="187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86"/>
      <c r="R41" s="187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88"/>
      <c r="R42" s="18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0"/>
      <c r="R44" s="191"/>
    </row>
    <row r="45" spans="1:18" ht="17.25" customHeight="1"/>
    <row r="46" spans="1:18" ht="17.25" customHeight="1" thickBot="1"/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82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88"/>
      <c r="R50" s="189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86"/>
      <c r="R51" s="187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86"/>
      <c r="R52" s="187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86"/>
      <c r="R53" s="187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86"/>
      <c r="R54" s="187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86"/>
      <c r="R55" s="187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82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88"/>
      <c r="R67" s="189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86"/>
      <c r="R68" s="187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86"/>
      <c r="R69" s="187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86"/>
      <c r="R70" s="187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86"/>
      <c r="R71" s="18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6"/>
      <c r="R72" s="187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86"/>
      <c r="R73" s="187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86"/>
      <c r="R74" s="187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86"/>
      <c r="R75" s="187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88"/>
      <c r="R76" s="18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0"/>
      <c r="R78" s="191"/>
    </row>
    <row r="79" spans="1:18" ht="17.25" customHeight="1"/>
    <row r="80" spans="1:18" ht="17.25" customHeight="1" thickBot="1"/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82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88"/>
      <c r="R84" s="189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86"/>
      <c r="R85" s="187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86"/>
      <c r="R86" s="187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86"/>
      <c r="R87" s="187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86"/>
      <c r="R88" s="18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6"/>
      <c r="R89" s="187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86"/>
      <c r="R90" s="187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86"/>
      <c r="R91" s="187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86"/>
      <c r="R92" s="187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88"/>
      <c r="R93" s="18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82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88"/>
      <c r="R101" s="189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86"/>
      <c r="R102" s="187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86"/>
      <c r="R103" s="187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86"/>
      <c r="R104" s="187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86"/>
      <c r="R105" s="187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86"/>
      <c r="R106" s="187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86"/>
      <c r="R107" s="187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86"/>
      <c r="R108" s="187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86"/>
      <c r="R109" s="187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88"/>
      <c r="R110" s="189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0"/>
      <c r="R112" s="191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1771" priority="89">
      <formula>$E$27&gt;0</formula>
    </cfRule>
    <cfRule type="expression" dxfId="1770" priority="90">
      <formula>$E$27&lt;0</formula>
    </cfRule>
  </conditionalFormatting>
  <conditionalFormatting sqref="G15:I16 H27:I27">
    <cfRule type="expression" dxfId="1769" priority="87">
      <formula>$H$27&gt;0</formula>
    </cfRule>
    <cfRule type="expression" dxfId="1768" priority="88">
      <formula>$H$27&lt;0</formula>
    </cfRule>
  </conditionalFormatting>
  <conditionalFormatting sqref="J15:L16 K27:L27">
    <cfRule type="expression" dxfId="1767" priority="85">
      <formula>$K$27&gt;0</formula>
    </cfRule>
    <cfRule type="expression" dxfId="1766" priority="86">
      <formula>$K$27&lt;0</formula>
    </cfRule>
  </conditionalFormatting>
  <conditionalFormatting sqref="M15:O16 N27:O27">
    <cfRule type="expression" dxfId="1765" priority="83">
      <formula>$N$27&gt;0</formula>
    </cfRule>
    <cfRule type="expression" dxfId="1764" priority="84">
      <formula>$N$27&lt;0</formula>
    </cfRule>
  </conditionalFormatting>
  <conditionalFormatting sqref="A17:O26 A34:O43">
    <cfRule type="expression" dxfId="1763" priority="91">
      <formula>AND($N17 &gt; 0, ISNUMBER($N17))</formula>
    </cfRule>
    <cfRule type="expression" dxfId="1762" priority="92">
      <formula>AND($N17 &lt; 0, ISNUMBER($N17))</formula>
    </cfRule>
    <cfRule type="expression" dxfId="1761" priority="93">
      <formula>AND($K17 &gt; 0, ISNUMBER($K17))</formula>
    </cfRule>
    <cfRule type="expression" dxfId="1760" priority="94">
      <formula>AND($K17 &lt; 0, ISNUMBER($K17))</formula>
    </cfRule>
    <cfRule type="expression" dxfId="1759" priority="95">
      <formula>AND($H17 &gt; 0, ISNUMBER($H17))</formula>
    </cfRule>
    <cfRule type="expression" dxfId="1758" priority="96">
      <formula>AND($H17 &lt; 0, ISNUMBER($H17))</formula>
    </cfRule>
    <cfRule type="expression" dxfId="1757" priority="97">
      <formula>AND($E17 &gt; 0, ISNUMBER($E17))</formula>
    </cfRule>
    <cfRule type="expression" dxfId="1756" priority="98">
      <formula>AND($E17 &lt; 0, ISNUMBER($E17))</formula>
    </cfRule>
  </conditionalFormatting>
  <conditionalFormatting sqref="D32:F33 E44:F44">
    <cfRule type="expression" dxfId="1755" priority="81">
      <formula>$E$44&gt;0</formula>
    </cfRule>
    <cfRule type="expression" dxfId="1754" priority="82">
      <formula>$E$44&lt;0</formula>
    </cfRule>
  </conditionalFormatting>
  <conditionalFormatting sqref="G32:I33 H44:I44">
    <cfRule type="expression" dxfId="1753" priority="79">
      <formula>$H$44&gt;0</formula>
    </cfRule>
    <cfRule type="expression" dxfId="1752" priority="80">
      <formula>$H$44&lt;0</formula>
    </cfRule>
  </conditionalFormatting>
  <conditionalFormatting sqref="J32:L33 K44:L44">
    <cfRule type="expression" dxfId="1751" priority="77">
      <formula>$K$44&gt;0</formula>
    </cfRule>
    <cfRule type="expression" dxfId="1750" priority="78">
      <formula>$K$44&lt;0</formula>
    </cfRule>
  </conditionalFormatting>
  <conditionalFormatting sqref="M32:O33 N44:O44">
    <cfRule type="expression" dxfId="1749" priority="75">
      <formula>$N$44&gt;0</formula>
    </cfRule>
    <cfRule type="expression" dxfId="1748" priority="76">
      <formula>$N$44&lt;0</formula>
    </cfRule>
  </conditionalFormatting>
  <conditionalFormatting sqref="A51:O60">
    <cfRule type="expression" dxfId="1747" priority="67">
      <formula>AND($N51 &gt; 0, ISNUMBER($N51))</formula>
    </cfRule>
    <cfRule type="expression" dxfId="1746" priority="68">
      <formula>AND($N51 &lt; 0, ISNUMBER($N51))</formula>
    </cfRule>
    <cfRule type="expression" dxfId="1745" priority="69">
      <formula>AND($K51 &gt; 0, ISNUMBER($K51))</formula>
    </cfRule>
    <cfRule type="expression" dxfId="1744" priority="70">
      <formula>AND($K51 &lt; 0, ISNUMBER($K51))</formula>
    </cfRule>
    <cfRule type="expression" dxfId="1743" priority="71">
      <formula>AND($H51 &gt; 0, ISNUMBER($H51))</formula>
    </cfRule>
    <cfRule type="expression" dxfId="1742" priority="72">
      <formula>AND($H51 &lt; 0, ISNUMBER($H51))</formula>
    </cfRule>
    <cfRule type="expression" dxfId="1741" priority="73">
      <formula>AND($E51 &gt; 0, ISNUMBER($E51))</formula>
    </cfRule>
    <cfRule type="expression" dxfId="1740" priority="74">
      <formula>AND($E51 &lt; 0, ISNUMBER($E51))</formula>
    </cfRule>
  </conditionalFormatting>
  <conditionalFormatting sqref="D49:F50 E61:F61">
    <cfRule type="expression" dxfId="1739" priority="65">
      <formula>$E$61&gt;0</formula>
    </cfRule>
    <cfRule type="expression" dxfId="1738" priority="66">
      <formula>$E$61&lt;0</formula>
    </cfRule>
  </conditionalFormatting>
  <conditionalFormatting sqref="G49:I50 H61:I61">
    <cfRule type="expression" dxfId="1737" priority="63">
      <formula>$H$61&gt;0</formula>
    </cfRule>
    <cfRule type="expression" dxfId="1736" priority="64">
      <formula>$H$61&lt;0</formula>
    </cfRule>
  </conditionalFormatting>
  <conditionalFormatting sqref="J49:L50 K61:L61">
    <cfRule type="expression" dxfId="1735" priority="61">
      <formula>$K$61&gt;0</formula>
    </cfRule>
    <cfRule type="expression" dxfId="1734" priority="62">
      <formula>$K$61&lt;0</formula>
    </cfRule>
  </conditionalFormatting>
  <conditionalFormatting sqref="M49:O50 N61:O61">
    <cfRule type="expression" dxfId="1733" priority="59">
      <formula>$N$61&gt;0</formula>
    </cfRule>
    <cfRule type="expression" dxfId="1732" priority="60">
      <formula>$N$61&lt;0</formula>
    </cfRule>
  </conditionalFormatting>
  <conditionalFormatting sqref="A68:O77">
    <cfRule type="expression" dxfId="1731" priority="51">
      <formula>AND($N68 &gt; 0, ISNUMBER($N68))</formula>
    </cfRule>
    <cfRule type="expression" dxfId="1730" priority="52">
      <formula>AND($N68 &lt; 0, ISNUMBER($N68))</formula>
    </cfRule>
    <cfRule type="expression" dxfId="1729" priority="53">
      <formula>AND($K68 &gt; 0, ISNUMBER($K68))</formula>
    </cfRule>
    <cfRule type="expression" dxfId="1728" priority="54">
      <formula>AND($K68 &lt; 0, ISNUMBER($K68))</formula>
    </cfRule>
    <cfRule type="expression" dxfId="1727" priority="55">
      <formula>AND($H68 &gt; 0, ISNUMBER($H68))</formula>
    </cfRule>
    <cfRule type="expression" dxfId="1726" priority="56">
      <formula>AND($H68 &lt; 0, ISNUMBER($H68))</formula>
    </cfRule>
    <cfRule type="expression" dxfId="1725" priority="57">
      <formula>AND($E68 &gt; 0, ISNUMBER($E68))</formula>
    </cfRule>
    <cfRule type="expression" dxfId="1724" priority="58">
      <formula>AND($E68 &lt; 0, ISNUMBER($E68))</formula>
    </cfRule>
  </conditionalFormatting>
  <conditionalFormatting sqref="D66:F67 E78:F78">
    <cfRule type="expression" dxfId="1723" priority="49">
      <formula>$E$78&gt;0</formula>
    </cfRule>
    <cfRule type="expression" dxfId="1722" priority="50">
      <formula>$E$78&lt;0</formula>
    </cfRule>
  </conditionalFormatting>
  <conditionalFormatting sqref="G66:I67 H78:I78">
    <cfRule type="expression" dxfId="1721" priority="47">
      <formula>$H$78&gt;0</formula>
    </cfRule>
    <cfRule type="expression" dxfId="1720" priority="48">
      <formula>$H$78&lt;0</formula>
    </cfRule>
  </conditionalFormatting>
  <conditionalFormatting sqref="J66:L67 K78:L78">
    <cfRule type="expression" dxfId="1719" priority="45">
      <formula>$K$78&gt;0</formula>
    </cfRule>
    <cfRule type="expression" dxfId="1718" priority="46">
      <formula>$K$78&lt;0</formula>
    </cfRule>
  </conditionalFormatting>
  <conditionalFormatting sqref="M66:O67 N78:O78">
    <cfRule type="expression" dxfId="1717" priority="43">
      <formula>$N$78&gt;0</formula>
    </cfRule>
    <cfRule type="expression" dxfId="1716" priority="44">
      <formula>$N$78&lt;0</formula>
    </cfRule>
  </conditionalFormatting>
  <conditionalFormatting sqref="A85:O94">
    <cfRule type="expression" dxfId="1715" priority="35">
      <formula>AND($N85 &gt; 0, ISNUMBER($N85))</formula>
    </cfRule>
    <cfRule type="expression" dxfId="1714" priority="36">
      <formula>AND($N85 &lt; 0, ISNUMBER($N85))</formula>
    </cfRule>
    <cfRule type="expression" dxfId="1713" priority="37">
      <formula>AND($K85 &gt; 0, ISNUMBER($K85))</formula>
    </cfRule>
    <cfRule type="expression" dxfId="1712" priority="38">
      <formula>AND($K85 &lt; 0, ISNUMBER($K85))</formula>
    </cfRule>
    <cfRule type="expression" dxfId="1711" priority="39">
      <formula>AND($H85 &gt; 0, ISNUMBER($H85))</formula>
    </cfRule>
    <cfRule type="expression" dxfId="1710" priority="40">
      <formula>AND($H85 &lt; 0, ISNUMBER($H85))</formula>
    </cfRule>
    <cfRule type="expression" dxfId="1709" priority="41">
      <formula>AND($E85 &gt; 0, ISNUMBER($E85))</formula>
    </cfRule>
    <cfRule type="expression" dxfId="1708" priority="42">
      <formula>AND($E85 &lt; 0, ISNUMBER($E85))</formula>
    </cfRule>
  </conditionalFormatting>
  <conditionalFormatting sqref="D83:F84 E95:F95">
    <cfRule type="expression" dxfId="1707" priority="33">
      <formula>$E$95&gt;0</formula>
    </cfRule>
    <cfRule type="expression" dxfId="1706" priority="34">
      <formula>$E$95&lt;0</formula>
    </cfRule>
  </conditionalFormatting>
  <conditionalFormatting sqref="G83:I84 H95:I95">
    <cfRule type="expression" dxfId="1705" priority="31">
      <formula>$H$95&gt;0</formula>
    </cfRule>
    <cfRule type="expression" dxfId="1704" priority="32">
      <formula>$H$95&lt;0</formula>
    </cfRule>
  </conditionalFormatting>
  <conditionalFormatting sqref="J83:L84 K95:L95">
    <cfRule type="expression" dxfId="1703" priority="29">
      <formula>$K$95&gt;0</formula>
    </cfRule>
    <cfRule type="expression" dxfId="1702" priority="30">
      <formula>$K$95&lt;0</formula>
    </cfRule>
  </conditionalFormatting>
  <conditionalFormatting sqref="M83:O84 N95:O95">
    <cfRule type="expression" dxfId="1701" priority="27">
      <formula>$N$95&gt;0</formula>
    </cfRule>
    <cfRule type="expression" dxfId="1700" priority="28">
      <formula>$N$95&lt;0</formula>
    </cfRule>
  </conditionalFormatting>
  <conditionalFormatting sqref="A102:O111">
    <cfRule type="expression" dxfId="1699" priority="19">
      <formula>AND($N102 &gt; 0, ISNUMBER($N102))</formula>
    </cfRule>
    <cfRule type="expression" dxfId="1698" priority="20">
      <formula>AND($N102 &lt; 0, ISNUMBER($N102))</formula>
    </cfRule>
    <cfRule type="expression" dxfId="1697" priority="21">
      <formula>AND($K102 &gt; 0, ISNUMBER($K102))</formula>
    </cfRule>
    <cfRule type="expression" dxfId="1696" priority="22">
      <formula>AND($K102 &lt; 0, ISNUMBER($K102))</formula>
    </cfRule>
    <cfRule type="expression" dxfId="1695" priority="23">
      <formula>AND($H102 &gt; 0, ISNUMBER($H102))</formula>
    </cfRule>
    <cfRule type="expression" dxfId="1694" priority="24">
      <formula>AND($H102 &lt; 0, ISNUMBER($H102))</formula>
    </cfRule>
    <cfRule type="expression" dxfId="1693" priority="25">
      <formula>AND($E102 &gt; 0, ISNUMBER($E102))</formula>
    </cfRule>
    <cfRule type="expression" dxfId="1692" priority="26">
      <formula>AND($E102 &lt; 0, ISNUMBER($E102))</formula>
    </cfRule>
  </conditionalFormatting>
  <conditionalFormatting sqref="D100:F101 E112:F112">
    <cfRule type="expression" dxfId="1691" priority="17">
      <formula>$E$112&gt;0</formula>
    </cfRule>
    <cfRule type="expression" dxfId="1690" priority="18">
      <formula>$E$112&lt;0</formula>
    </cfRule>
  </conditionalFormatting>
  <conditionalFormatting sqref="G100:I101 H112:I112">
    <cfRule type="expression" dxfId="1689" priority="15">
      <formula>$H$112&gt;0</formula>
    </cfRule>
    <cfRule type="expression" dxfId="1688" priority="16">
      <formula>$H$112&lt;0</formula>
    </cfRule>
  </conditionalFormatting>
  <conditionalFormatting sqref="J100:L101 K112:L112">
    <cfRule type="expression" dxfId="1687" priority="13">
      <formula>$K$112&gt;0</formula>
    </cfRule>
    <cfRule type="expression" dxfId="1686" priority="14">
      <formula>$K$112&lt;0</formula>
    </cfRule>
  </conditionalFormatting>
  <conditionalFormatting sqref="M100:O101 N112:O112">
    <cfRule type="expression" dxfId="1685" priority="11">
      <formula>$N$112&gt;0</formula>
    </cfRule>
    <cfRule type="expression" dxfId="1684" priority="12">
      <formula>$N$112&lt;0</formula>
    </cfRule>
  </conditionalFormatting>
  <conditionalFormatting sqref="G2:I3">
    <cfRule type="expression" dxfId="16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44290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7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82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04" t="s">
        <v>20</v>
      </c>
      <c r="E15" s="205"/>
      <c r="F15" s="206"/>
      <c r="G15" s="204" t="s">
        <v>15</v>
      </c>
      <c r="H15" s="205"/>
      <c r="I15" s="206"/>
      <c r="J15" s="207" t="s">
        <v>34</v>
      </c>
      <c r="K15" s="207"/>
      <c r="L15" s="207"/>
      <c r="M15" s="204" t="s">
        <v>54</v>
      </c>
      <c r="N15" s="205"/>
      <c r="O15" s="206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16"/>
      <c r="R16" s="217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14"/>
      <c r="R17" s="215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14"/>
      <c r="R18" s="215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14"/>
      <c r="R19" s="215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14"/>
      <c r="R20" s="215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14"/>
      <c r="R21" s="215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14"/>
      <c r="R22" s="215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14"/>
      <c r="R23" s="21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14"/>
      <c r="R24" s="21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16"/>
      <c r="R25" s="21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16"/>
      <c r="R26" s="217"/>
    </row>
    <row r="27" spans="1:18" ht="17.25" customHeight="1" thickBot="1">
      <c r="A27" s="29" t="s">
        <v>32</v>
      </c>
      <c r="B27" s="192">
        <v>100000</v>
      </c>
      <c r="C27" s="193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82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88"/>
      <c r="R33" s="189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86"/>
      <c r="R34" s="18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6"/>
      <c r="R35" s="18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6"/>
      <c r="R36" s="18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6"/>
      <c r="R37" s="18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6"/>
      <c r="R38" s="18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6"/>
      <c r="R39" s="18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6"/>
      <c r="R40" s="18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6"/>
      <c r="R41" s="18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8"/>
      <c r="R42" s="18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8"/>
      <c r="R43" s="189"/>
    </row>
    <row r="44" spans="1:18" ht="17.25" customHeight="1" thickBot="1">
      <c r="A44" s="29" t="s">
        <v>32</v>
      </c>
      <c r="B44" s="192">
        <v>100000</v>
      </c>
      <c r="C44" s="193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82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88"/>
      <c r="R50" s="189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86"/>
      <c r="R51" s="18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6"/>
      <c r="R52" s="18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6"/>
      <c r="R53" s="18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6"/>
      <c r="R54" s="18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6"/>
      <c r="R55" s="18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29" t="s">
        <v>32</v>
      </c>
      <c r="B61" s="192">
        <v>100000</v>
      </c>
      <c r="C61" s="193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82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88"/>
      <c r="R67" s="189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86"/>
      <c r="R68" s="187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6"/>
      <c r="R69" s="187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6"/>
      <c r="R70" s="18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6"/>
      <c r="R71" s="18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6"/>
      <c r="R72" s="18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6"/>
      <c r="R73" s="18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6"/>
      <c r="R74" s="18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6"/>
      <c r="R75" s="18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8"/>
      <c r="R76" s="18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8"/>
      <c r="R77" s="189"/>
    </row>
    <row r="78" spans="1:18" ht="17.25" customHeight="1" thickBot="1">
      <c r="A78" s="29" t="s">
        <v>32</v>
      </c>
      <c r="B78" s="192">
        <v>100000</v>
      </c>
      <c r="C78" s="193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82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88"/>
      <c r="R84" s="189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86"/>
      <c r="R85" s="187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6"/>
      <c r="R86" s="187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6"/>
      <c r="R87" s="187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6"/>
      <c r="R88" s="18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6"/>
      <c r="R89" s="18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6"/>
      <c r="R90" s="18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6"/>
      <c r="R91" s="18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6"/>
      <c r="R92" s="18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8"/>
      <c r="R93" s="18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29" t="s">
        <v>32</v>
      </c>
      <c r="B95" s="192">
        <v>100000</v>
      </c>
      <c r="C95" s="193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82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88"/>
      <c r="R101" s="189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86"/>
      <c r="R102" s="187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86"/>
      <c r="R103" s="187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86"/>
      <c r="R104" s="187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86"/>
      <c r="R105" s="187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86"/>
      <c r="R106" s="187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86"/>
      <c r="R107" s="187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86"/>
      <c r="R108" s="187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86"/>
      <c r="R109" s="187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88"/>
      <c r="R110" s="189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88"/>
      <c r="R111" s="189"/>
    </row>
    <row r="112" spans="1:18" ht="17.25" customHeight="1" thickBot="1">
      <c r="A112" s="29" t="s">
        <v>32</v>
      </c>
      <c r="B112" s="192">
        <v>100000</v>
      </c>
      <c r="C112" s="193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90"/>
      <c r="R112" s="191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1673" priority="93">
      <formula>$E$27&gt;0</formula>
    </cfRule>
    <cfRule type="expression" dxfId="1672" priority="94">
      <formula>$E$27&lt;0</formula>
    </cfRule>
  </conditionalFormatting>
  <conditionalFormatting sqref="G15:I16 H27:I27">
    <cfRule type="expression" dxfId="1671" priority="91">
      <formula>$H$27&gt;0</formula>
    </cfRule>
    <cfRule type="expression" dxfId="1670" priority="92">
      <formula>$H$27&lt;0</formula>
    </cfRule>
  </conditionalFormatting>
  <conditionalFormatting sqref="J15:L16 K27:L27">
    <cfRule type="expression" dxfId="1669" priority="89">
      <formula>$K$27&gt;0</formula>
    </cfRule>
    <cfRule type="expression" dxfId="1668" priority="90">
      <formula>$K$27&lt;0</formula>
    </cfRule>
  </conditionalFormatting>
  <conditionalFormatting sqref="M15:O16 N27:O27">
    <cfRule type="expression" dxfId="1667" priority="87">
      <formula>$N$27&gt;0</formula>
    </cfRule>
    <cfRule type="expression" dxfId="1666" priority="88">
      <formula>$N$27&lt;0</formula>
    </cfRule>
  </conditionalFormatting>
  <conditionalFormatting sqref="A17:O26 A34:O43">
    <cfRule type="expression" dxfId="1665" priority="95">
      <formula>AND($N17 &gt; 0, ISNUMBER($N17))</formula>
    </cfRule>
    <cfRule type="expression" dxfId="1664" priority="96">
      <formula>AND($N17 &lt; 0, ISNUMBER($N17))</formula>
    </cfRule>
    <cfRule type="expression" dxfId="1663" priority="97">
      <formula>AND($K17 &gt; 0, ISNUMBER($K17))</formula>
    </cfRule>
    <cfRule type="expression" dxfId="1662" priority="98">
      <formula>AND($K17 &lt; 0, ISNUMBER($K17))</formula>
    </cfRule>
    <cfRule type="expression" dxfId="1661" priority="99">
      <formula>AND($H17 &gt; 0, ISNUMBER($H17))</formula>
    </cfRule>
    <cfRule type="expression" dxfId="1660" priority="100">
      <formula>AND($H17 &lt; 0, ISNUMBER($H17))</formula>
    </cfRule>
    <cfRule type="expression" dxfId="1659" priority="101">
      <formula>AND($E17 &gt; 0, ISNUMBER($E17))</formula>
    </cfRule>
    <cfRule type="expression" dxfId="1658" priority="102">
      <formula>AND($E17 &lt; 0, ISNUMBER($E17))</formula>
    </cfRule>
  </conditionalFormatting>
  <conditionalFormatting sqref="D32:F33 E44:F44">
    <cfRule type="expression" dxfId="1657" priority="85">
      <formula>$E$44&gt;0</formula>
    </cfRule>
    <cfRule type="expression" dxfId="1656" priority="86">
      <formula>$E$44&lt;0</formula>
    </cfRule>
  </conditionalFormatting>
  <conditionalFormatting sqref="G32:I33 H44:I44">
    <cfRule type="expression" dxfId="1655" priority="83">
      <formula>$H$44&gt;0</formula>
    </cfRule>
    <cfRule type="expression" dxfId="1654" priority="84">
      <formula>$H$44&lt;0</formula>
    </cfRule>
  </conditionalFormatting>
  <conditionalFormatting sqref="J32:L33 K44:L44">
    <cfRule type="expression" dxfId="1653" priority="81">
      <formula>$K$44&gt;0</formula>
    </cfRule>
    <cfRule type="expression" dxfId="1652" priority="82">
      <formula>$K$44&lt;0</formula>
    </cfRule>
  </conditionalFormatting>
  <conditionalFormatting sqref="M32:O33 N44:O44">
    <cfRule type="expression" dxfId="1651" priority="79">
      <formula>$N$44&gt;0</formula>
    </cfRule>
    <cfRule type="expression" dxfId="1650" priority="80">
      <formula>$N$44&lt;0</formula>
    </cfRule>
  </conditionalFormatting>
  <conditionalFormatting sqref="A51:O60">
    <cfRule type="expression" dxfId="1649" priority="71">
      <formula>AND($N51 &gt; 0, ISNUMBER($N51))</formula>
    </cfRule>
    <cfRule type="expression" dxfId="1648" priority="72">
      <formula>AND($N51 &lt; 0, ISNUMBER($N51))</formula>
    </cfRule>
    <cfRule type="expression" dxfId="1647" priority="73">
      <formula>AND($K51 &gt; 0, ISNUMBER($K51))</formula>
    </cfRule>
    <cfRule type="expression" dxfId="1646" priority="74">
      <formula>AND($K51 &lt; 0, ISNUMBER($K51))</formula>
    </cfRule>
    <cfRule type="expression" dxfId="1645" priority="75">
      <formula>AND($H51 &gt; 0, ISNUMBER($H51))</formula>
    </cfRule>
    <cfRule type="expression" dxfId="1644" priority="76">
      <formula>AND($H51 &lt; 0, ISNUMBER($H51))</formula>
    </cfRule>
    <cfRule type="expression" dxfId="1643" priority="77">
      <formula>AND($E51 &gt; 0, ISNUMBER($E51))</formula>
    </cfRule>
    <cfRule type="expression" dxfId="1642" priority="78">
      <formula>AND($E51 &lt; 0, ISNUMBER($E51))</formula>
    </cfRule>
  </conditionalFormatting>
  <conditionalFormatting sqref="D49:F50 E61:F61">
    <cfRule type="expression" dxfId="1641" priority="69">
      <formula>$E$61&gt;0</formula>
    </cfRule>
    <cfRule type="expression" dxfId="1640" priority="70">
      <formula>$E$61&lt;0</formula>
    </cfRule>
  </conditionalFormatting>
  <conditionalFormatting sqref="G49:I50 H61:I61">
    <cfRule type="expression" dxfId="1639" priority="67">
      <formula>$H$61&gt;0</formula>
    </cfRule>
    <cfRule type="expression" dxfId="1638" priority="68">
      <formula>$H$61&lt;0</formula>
    </cfRule>
  </conditionalFormatting>
  <conditionalFormatting sqref="J49:L50 K61:L61">
    <cfRule type="expression" dxfId="1637" priority="65">
      <formula>$K$61&gt;0</formula>
    </cfRule>
    <cfRule type="expression" dxfId="1636" priority="66">
      <formula>$K$61&lt;0</formula>
    </cfRule>
  </conditionalFormatting>
  <conditionalFormatting sqref="M49:O50 N61:O61">
    <cfRule type="expression" dxfId="1635" priority="63">
      <formula>$N$61&gt;0</formula>
    </cfRule>
    <cfRule type="expression" dxfId="1634" priority="64">
      <formula>$N$61&lt;0</formula>
    </cfRule>
  </conditionalFormatting>
  <conditionalFormatting sqref="A68:O77">
    <cfRule type="expression" dxfId="1633" priority="55">
      <formula>AND($N68 &gt; 0, ISNUMBER($N68))</formula>
    </cfRule>
    <cfRule type="expression" dxfId="1632" priority="56">
      <formula>AND($N68 &lt; 0, ISNUMBER($N68))</formula>
    </cfRule>
    <cfRule type="expression" dxfId="1631" priority="57">
      <formula>AND($K68 &gt; 0, ISNUMBER($K68))</formula>
    </cfRule>
    <cfRule type="expression" dxfId="1630" priority="58">
      <formula>AND($K68 &lt; 0, ISNUMBER($K68))</formula>
    </cfRule>
    <cfRule type="expression" dxfId="1629" priority="59">
      <formula>AND($H68 &gt; 0, ISNUMBER($H68))</formula>
    </cfRule>
    <cfRule type="expression" dxfId="1628" priority="60">
      <formula>AND($H68 &lt; 0, ISNUMBER($H68))</formula>
    </cfRule>
    <cfRule type="expression" dxfId="1627" priority="61">
      <formula>AND($E68 &gt; 0, ISNUMBER($E68))</formula>
    </cfRule>
    <cfRule type="expression" dxfId="1626" priority="62">
      <formula>AND($E68 &lt; 0, ISNUMBER($E68))</formula>
    </cfRule>
  </conditionalFormatting>
  <conditionalFormatting sqref="D66:F67 E78:F78">
    <cfRule type="expression" dxfId="1625" priority="53">
      <formula>$E$78&gt;0</formula>
    </cfRule>
    <cfRule type="expression" dxfId="1624" priority="54">
      <formula>$E$78&lt;0</formula>
    </cfRule>
  </conditionalFormatting>
  <conditionalFormatting sqref="G66:I67 H78:I78">
    <cfRule type="expression" dxfId="1623" priority="51">
      <formula>$H$78&gt;0</formula>
    </cfRule>
    <cfRule type="expression" dxfId="1622" priority="52">
      <formula>$H$78&lt;0</formula>
    </cfRule>
  </conditionalFormatting>
  <conditionalFormatting sqref="J66:L67 K78:L78">
    <cfRule type="expression" dxfId="1621" priority="49">
      <formula>$K$78&gt;0</formula>
    </cfRule>
    <cfRule type="expression" dxfId="1620" priority="50">
      <formula>$K$78&lt;0</formula>
    </cfRule>
  </conditionalFormatting>
  <conditionalFormatting sqref="M66:O67 N78:O78">
    <cfRule type="expression" dxfId="1619" priority="47">
      <formula>$N$78&gt;0</formula>
    </cfRule>
    <cfRule type="expression" dxfId="1618" priority="48">
      <formula>$N$78&lt;0</formula>
    </cfRule>
  </conditionalFormatting>
  <conditionalFormatting sqref="A85:O94">
    <cfRule type="expression" dxfId="1617" priority="39">
      <formula>AND($N85 &gt; 0, ISNUMBER($N85))</formula>
    </cfRule>
    <cfRule type="expression" dxfId="1616" priority="40">
      <formula>AND($N85 &lt; 0, ISNUMBER($N85))</formula>
    </cfRule>
    <cfRule type="expression" dxfId="1615" priority="41">
      <formula>AND($K85 &gt; 0, ISNUMBER($K85))</formula>
    </cfRule>
    <cfRule type="expression" dxfId="1614" priority="42">
      <formula>AND($K85 &lt; 0, ISNUMBER($K85))</formula>
    </cfRule>
    <cfRule type="expression" dxfId="1613" priority="43">
      <formula>AND($H85 &gt; 0, ISNUMBER($H85))</formula>
    </cfRule>
    <cfRule type="expression" dxfId="1612" priority="44">
      <formula>AND($H85 &lt; 0, ISNUMBER($H85))</formula>
    </cfRule>
    <cfRule type="expression" dxfId="1611" priority="45">
      <formula>AND($E85 &gt; 0, ISNUMBER($E85))</formula>
    </cfRule>
    <cfRule type="expression" dxfId="1610" priority="46">
      <formula>AND($E85 &lt; 0, ISNUMBER($E85))</formula>
    </cfRule>
  </conditionalFormatting>
  <conditionalFormatting sqref="D83:F84 E95:F95">
    <cfRule type="expression" dxfId="1609" priority="37">
      <formula>$E$95&gt;0</formula>
    </cfRule>
    <cfRule type="expression" dxfId="1608" priority="38">
      <formula>$E$95&lt;0</formula>
    </cfRule>
  </conditionalFormatting>
  <conditionalFormatting sqref="G83:I84 H95:I95">
    <cfRule type="expression" dxfId="1607" priority="35">
      <formula>$H$95&gt;0</formula>
    </cfRule>
    <cfRule type="expression" dxfId="1606" priority="36">
      <formula>$H$95&lt;0</formula>
    </cfRule>
  </conditionalFormatting>
  <conditionalFormatting sqref="J83:L84 K95:L95">
    <cfRule type="expression" dxfId="1605" priority="33">
      <formula>$K$95&gt;0</formula>
    </cfRule>
    <cfRule type="expression" dxfId="1604" priority="34">
      <formula>$K$95&lt;0</formula>
    </cfRule>
  </conditionalFormatting>
  <conditionalFormatting sqref="M83:O84 N95:O95">
    <cfRule type="expression" dxfId="1603" priority="31">
      <formula>$N$95&gt;0</formula>
    </cfRule>
    <cfRule type="expression" dxfId="1602" priority="32">
      <formula>$N$95&lt;0</formula>
    </cfRule>
  </conditionalFormatting>
  <conditionalFormatting sqref="A102:O111">
    <cfRule type="expression" dxfId="1601" priority="23">
      <formula>AND($N102 &gt; 0, ISNUMBER($N102))</formula>
    </cfRule>
    <cfRule type="expression" dxfId="1600" priority="24">
      <formula>AND($N102 &lt; 0, ISNUMBER($N102))</formula>
    </cfRule>
    <cfRule type="expression" dxfId="1599" priority="25">
      <formula>AND($K102 &gt; 0, ISNUMBER($K102))</formula>
    </cfRule>
    <cfRule type="expression" dxfId="1598" priority="26">
      <formula>AND($K102 &lt; 0, ISNUMBER($K102))</formula>
    </cfRule>
    <cfRule type="expression" dxfId="1597" priority="27">
      <formula>AND($H102 &gt; 0, ISNUMBER($H102))</formula>
    </cfRule>
    <cfRule type="expression" dxfId="1596" priority="28">
      <formula>AND($H102 &lt; 0, ISNUMBER($H102))</formula>
    </cfRule>
    <cfRule type="expression" dxfId="1595" priority="29">
      <formula>AND($E102 &gt; 0, ISNUMBER($E102))</formula>
    </cfRule>
    <cfRule type="expression" dxfId="1594" priority="30">
      <formula>AND($E102 &lt; 0, ISNUMBER($E102))</formula>
    </cfRule>
  </conditionalFormatting>
  <conditionalFormatting sqref="D100:F101 E112:F112">
    <cfRule type="expression" dxfId="1593" priority="21">
      <formula>$E$112&gt;0</formula>
    </cfRule>
    <cfRule type="expression" dxfId="1592" priority="22">
      <formula>$E$112&lt;0</formula>
    </cfRule>
  </conditionalFormatting>
  <conditionalFormatting sqref="G100:I101 H112:I112">
    <cfRule type="expression" dxfId="1591" priority="19">
      <formula>$H$112&gt;0</formula>
    </cfRule>
    <cfRule type="expression" dxfId="1590" priority="20">
      <formula>$H$112&lt;0</formula>
    </cfRule>
  </conditionalFormatting>
  <conditionalFormatting sqref="J100:L101 K112:L112">
    <cfRule type="expression" dxfId="1589" priority="17">
      <formula>$K$112&gt;0</formula>
    </cfRule>
    <cfRule type="expression" dxfId="1588" priority="18">
      <formula>$K$112&lt;0</formula>
    </cfRule>
  </conditionalFormatting>
  <conditionalFormatting sqref="M100:O101 N112:O112">
    <cfRule type="expression" dxfId="1587" priority="15">
      <formula>$N$112&gt;0</formula>
    </cfRule>
    <cfRule type="expression" dxfId="1586" priority="16">
      <formula>$N$112&lt;0</formula>
    </cfRule>
  </conditionalFormatting>
  <conditionalFormatting sqref="G2:I3">
    <cfRule type="expression" dxfId="1585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84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44291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7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68" t="s">
        <v>194</v>
      </c>
      <c r="B14" s="194" t="s">
        <v>193</v>
      </c>
      <c r="C14" s="196"/>
      <c r="D14" s="194" t="s">
        <v>67</v>
      </c>
      <c r="E14" s="195"/>
      <c r="F14" s="196"/>
      <c r="G14" s="208" t="e">
        <f>_xlfn.IFNA(VLOOKUP(B14,#REF!, 2, FALSE), "-")</f>
        <v>#REF!</v>
      </c>
      <c r="H14" s="209"/>
      <c r="I14" s="210"/>
      <c r="J14" s="194" t="s">
        <v>69</v>
      </c>
      <c r="K14" s="195"/>
      <c r="L14" s="196"/>
      <c r="M14" s="211" t="e">
        <f>_xlfn.IFNA(VLOOKUP(B14,#REF!, 3, FALSE), "-")</f>
        <v>#REF!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04" t="s">
        <v>20</v>
      </c>
      <c r="E15" s="205"/>
      <c r="F15" s="206"/>
      <c r="G15" s="204" t="s">
        <v>15</v>
      </c>
      <c r="H15" s="205"/>
      <c r="I15" s="206"/>
      <c r="J15" s="207" t="s">
        <v>34</v>
      </c>
      <c r="K15" s="207"/>
      <c r="L15" s="207"/>
      <c r="M15" s="204" t="s">
        <v>54</v>
      </c>
      <c r="N15" s="205"/>
      <c r="O15" s="206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16"/>
      <c r="R16" s="217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14"/>
      <c r="R17" s="215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14"/>
      <c r="R18" s="215"/>
    </row>
    <row r="19" spans="1:18" ht="17.25" customHeight="1">
      <c r="A19" s="40" t="s">
        <v>185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14"/>
      <c r="R19" s="215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14"/>
      <c r="R20" s="215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14"/>
      <c r="R21" s="215"/>
    </row>
    <row r="22" spans="1:18" ht="17.25" customHeight="1">
      <c r="A22" s="40" t="s">
        <v>184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14"/>
      <c r="R22" s="215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14"/>
      <c r="R23" s="21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4"/>
      <c r="R24" s="21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16"/>
      <c r="R25" s="21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68" t="s">
        <v>194</v>
      </c>
      <c r="B31" s="194" t="s">
        <v>48</v>
      </c>
      <c r="C31" s="196"/>
      <c r="D31" s="194" t="s">
        <v>67</v>
      </c>
      <c r="E31" s="195"/>
      <c r="F31" s="196"/>
      <c r="G31" s="208" t="e">
        <f>_xlfn.IFNA(VLOOKUP(B31,#REF!, 2, FALSE), "-")</f>
        <v>#REF!</v>
      </c>
      <c r="H31" s="209"/>
      <c r="I31" s="210"/>
      <c r="J31" s="194" t="s">
        <v>69</v>
      </c>
      <c r="K31" s="195"/>
      <c r="L31" s="196"/>
      <c r="M31" s="211" t="e">
        <f>_xlfn.IFNA(VLOOKUP(B31,#REF!, 3, FALSE), "-")</f>
        <v>#REF!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88"/>
      <c r="R33" s="189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86"/>
      <c r="R34" s="187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86"/>
      <c r="R35" s="187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86"/>
      <c r="R36" s="187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86"/>
      <c r="R37" s="187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86"/>
      <c r="R38" s="187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86"/>
      <c r="R39" s="187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86"/>
      <c r="R40" s="187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86"/>
      <c r="R41" s="18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8"/>
      <c r="R42" s="18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68" t="s">
        <v>194</v>
      </c>
      <c r="B48" s="194" t="s">
        <v>52</v>
      </c>
      <c r="C48" s="196"/>
      <c r="D48" s="194" t="s">
        <v>67</v>
      </c>
      <c r="E48" s="195"/>
      <c r="F48" s="196"/>
      <c r="G48" s="208" t="e">
        <f>_xlfn.IFNA(VLOOKUP(B48,#REF!, 2, FALSE), "-")</f>
        <v>#REF!</v>
      </c>
      <c r="H48" s="209"/>
      <c r="I48" s="210"/>
      <c r="J48" s="194" t="s">
        <v>69</v>
      </c>
      <c r="K48" s="195"/>
      <c r="L48" s="196"/>
      <c r="M48" s="211" t="e">
        <f>_xlfn.IFNA(VLOOKUP(B48,#REF!, 3, FALSE), "-")</f>
        <v>#REF!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88"/>
      <c r="R50" s="189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86"/>
      <c r="R51" s="187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86"/>
      <c r="R52" s="18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6"/>
      <c r="R53" s="18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6"/>
      <c r="R54" s="18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6"/>
      <c r="R55" s="18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68" t="s">
        <v>194</v>
      </c>
      <c r="B65" s="194" t="s">
        <v>43</v>
      </c>
      <c r="C65" s="196"/>
      <c r="D65" s="194" t="s">
        <v>67</v>
      </c>
      <c r="E65" s="195"/>
      <c r="F65" s="196"/>
      <c r="G65" s="208" t="e">
        <f>_xlfn.IFNA(VLOOKUP(B65,#REF!, 2, FALSE), "-")</f>
        <v>#REF!</v>
      </c>
      <c r="H65" s="209"/>
      <c r="I65" s="210"/>
      <c r="J65" s="194" t="s">
        <v>69</v>
      </c>
      <c r="K65" s="195"/>
      <c r="L65" s="196"/>
      <c r="M65" s="211" t="e">
        <f>_xlfn.IFNA(VLOOKUP(B65,#REF!, 3, FALSE), "-")</f>
        <v>#REF!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88"/>
      <c r="R67" s="189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86"/>
      <c r="R68" s="187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86"/>
      <c r="R69" s="187"/>
    </row>
    <row r="70" spans="1:18" ht="17.25" customHeight="1">
      <c r="A70" s="11" t="s">
        <v>189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86"/>
      <c r="R70" s="187"/>
    </row>
    <row r="71" spans="1:18" ht="17.25" customHeight="1">
      <c r="A71" s="11" t="s">
        <v>190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86"/>
      <c r="R71" s="187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86"/>
      <c r="R72" s="187"/>
    </row>
    <row r="73" spans="1:18" ht="17.25" customHeight="1">
      <c r="A73" s="11" t="s">
        <v>191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86"/>
      <c r="R73" s="187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86"/>
      <c r="R74" s="187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86"/>
      <c r="R75" s="187"/>
    </row>
    <row r="76" spans="1:18" ht="17.25" customHeight="1">
      <c r="A76" s="11" t="s">
        <v>192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88"/>
      <c r="R76" s="189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68" t="s">
        <v>194</v>
      </c>
      <c r="B82" s="194" t="s">
        <v>186</v>
      </c>
      <c r="C82" s="196"/>
      <c r="D82" s="194" t="s">
        <v>67</v>
      </c>
      <c r="E82" s="195"/>
      <c r="F82" s="196"/>
      <c r="G82" s="208" t="e">
        <f>_xlfn.IFNA(VLOOKUP(B82,#REF!, 2, FALSE), "-")</f>
        <v>#REF!</v>
      </c>
      <c r="H82" s="209"/>
      <c r="I82" s="210"/>
      <c r="J82" s="194" t="s">
        <v>69</v>
      </c>
      <c r="K82" s="195"/>
      <c r="L82" s="196"/>
      <c r="M82" s="211" t="e">
        <f>_xlfn.IFNA(VLOOKUP(B82,#REF!, 3, FALSE), "-")</f>
        <v>#REF!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88"/>
      <c r="R84" s="189"/>
    </row>
    <row r="85" spans="1:18" ht="17.25" customHeight="1">
      <c r="A85" s="9" t="s">
        <v>183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86"/>
      <c r="R85" s="187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86"/>
      <c r="R86" s="187"/>
    </row>
    <row r="87" spans="1:18" ht="17.25" customHeight="1">
      <c r="A87" s="11" t="s">
        <v>184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86"/>
      <c r="R87" s="187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86"/>
      <c r="R88" s="187"/>
    </row>
    <row r="89" spans="1:18" ht="17.25" customHeight="1">
      <c r="A89" s="8" t="s">
        <v>185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86"/>
      <c r="R89" s="187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86"/>
      <c r="R90" s="187"/>
    </row>
    <row r="91" spans="1:18" ht="17.25" customHeight="1">
      <c r="A91" s="11" t="s">
        <v>186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86"/>
      <c r="R91" s="18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6"/>
      <c r="R92" s="18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8"/>
      <c r="R93" s="18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68" t="s">
        <v>194</v>
      </c>
      <c r="B99" s="194" t="s">
        <v>188</v>
      </c>
      <c r="C99" s="196"/>
      <c r="D99" s="194" t="s">
        <v>67</v>
      </c>
      <c r="E99" s="195"/>
      <c r="F99" s="196"/>
      <c r="G99" s="208" t="e">
        <f>_xlfn.IFNA(VLOOKUP(B99,#REF!, 2, FALSE), "-")</f>
        <v>#REF!</v>
      </c>
      <c r="H99" s="209"/>
      <c r="I99" s="210"/>
      <c r="J99" s="194" t="s">
        <v>69</v>
      </c>
      <c r="K99" s="195"/>
      <c r="L99" s="196"/>
      <c r="M99" s="211" t="e">
        <f>_xlfn.IFNA(VLOOKUP(B99,#REF!, 3, FALSE), "-")</f>
        <v>#REF!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88"/>
      <c r="R101" s="189"/>
    </row>
    <row r="102" spans="1:18" ht="17.25" customHeight="1">
      <c r="A102" s="9" t="s">
        <v>183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86"/>
      <c r="R102" s="187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86"/>
      <c r="R103" s="187"/>
    </row>
    <row r="104" spans="1:18" ht="17.25" customHeight="1">
      <c r="A104" s="11" t="s">
        <v>184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86"/>
      <c r="R104" s="187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86"/>
      <c r="R105" s="187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86"/>
      <c r="R106" s="187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86"/>
      <c r="R107" s="187"/>
    </row>
    <row r="108" spans="1:18" ht="17.25" customHeight="1">
      <c r="A108" s="11" t="s">
        <v>185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86"/>
      <c r="R108" s="187"/>
    </row>
    <row r="109" spans="1:18" ht="17.25" customHeight="1">
      <c r="A109" s="11" t="s">
        <v>186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86"/>
      <c r="R109" s="187"/>
    </row>
    <row r="110" spans="1:18" ht="17.25" customHeight="1">
      <c r="A110" s="11" t="s">
        <v>187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88"/>
      <c r="R110" s="189"/>
    </row>
    <row r="111" spans="1:18" ht="17.25" customHeight="1" thickBot="1">
      <c r="A111" s="13" t="s">
        <v>188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90"/>
      <c r="R112" s="19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575" priority="89">
      <formula>$E$27&gt;0</formula>
    </cfRule>
    <cfRule type="expression" dxfId="1574" priority="90">
      <formula>$E$27&lt;0</formula>
    </cfRule>
  </conditionalFormatting>
  <conditionalFormatting sqref="G15:I16 H27:I27">
    <cfRule type="expression" dxfId="1573" priority="87">
      <formula>$H$27&gt;0</formula>
    </cfRule>
    <cfRule type="expression" dxfId="1572" priority="88">
      <formula>$H$27&lt;0</formula>
    </cfRule>
  </conditionalFormatting>
  <conditionalFormatting sqref="J15:L16 K27:L27">
    <cfRule type="expression" dxfId="1571" priority="85">
      <formula>$K$27&gt;0</formula>
    </cfRule>
    <cfRule type="expression" dxfId="1570" priority="86">
      <formula>$K$27&lt;0</formula>
    </cfRule>
  </conditionalFormatting>
  <conditionalFormatting sqref="M15:O16 N27:O27">
    <cfRule type="expression" dxfId="1569" priority="83">
      <formula>$N$27&gt;0</formula>
    </cfRule>
    <cfRule type="expression" dxfId="1568" priority="84">
      <formula>$N$27&lt;0</formula>
    </cfRule>
  </conditionalFormatting>
  <conditionalFormatting sqref="A17:O26 A34:O43">
    <cfRule type="expression" dxfId="1567" priority="91">
      <formula>AND($N17 &gt; 0, ISNUMBER($N17))</formula>
    </cfRule>
    <cfRule type="expression" dxfId="1566" priority="92">
      <formula>AND($N17 &lt; 0, ISNUMBER($N17))</formula>
    </cfRule>
    <cfRule type="expression" dxfId="1565" priority="93">
      <formula>AND($K17 &gt; 0, ISNUMBER($K17))</formula>
    </cfRule>
    <cfRule type="expression" dxfId="1564" priority="94">
      <formula>AND($K17 &lt; 0, ISNUMBER($K17))</formula>
    </cfRule>
    <cfRule type="expression" dxfId="1563" priority="95">
      <formula>AND($H17 &gt; 0, ISNUMBER($H17))</formula>
    </cfRule>
    <cfRule type="expression" dxfId="1562" priority="96">
      <formula>AND($H17 &lt; 0, ISNUMBER($H17))</formula>
    </cfRule>
    <cfRule type="expression" dxfId="1561" priority="97">
      <formula>AND($E17 &gt; 0, ISNUMBER($E17))</formula>
    </cfRule>
    <cfRule type="expression" dxfId="1560" priority="98">
      <formula>AND($E17 &lt; 0, ISNUMBER($E17))</formula>
    </cfRule>
  </conditionalFormatting>
  <conditionalFormatting sqref="D32:F33 E44:F44">
    <cfRule type="expression" dxfId="1559" priority="81">
      <formula>$E$44&gt;0</formula>
    </cfRule>
    <cfRule type="expression" dxfId="1558" priority="82">
      <formula>$E$44&lt;0</formula>
    </cfRule>
  </conditionalFormatting>
  <conditionalFormatting sqref="G32:I33 H44:I44">
    <cfRule type="expression" dxfId="1557" priority="79">
      <formula>$H$44&gt;0</formula>
    </cfRule>
    <cfRule type="expression" dxfId="1556" priority="80">
      <formula>$H$44&lt;0</formula>
    </cfRule>
  </conditionalFormatting>
  <conditionalFormatting sqref="J32:L33 K44:L44">
    <cfRule type="expression" dxfId="1555" priority="77">
      <formula>$K$44&gt;0</formula>
    </cfRule>
    <cfRule type="expression" dxfId="1554" priority="78">
      <formula>$K$44&lt;0</formula>
    </cfRule>
  </conditionalFormatting>
  <conditionalFormatting sqref="M32:O33 N44:O44">
    <cfRule type="expression" dxfId="1553" priority="75">
      <formula>$N$44&gt;0</formula>
    </cfRule>
    <cfRule type="expression" dxfId="1552" priority="76">
      <formula>$N$44&lt;0</formula>
    </cfRule>
  </conditionalFormatting>
  <conditionalFormatting sqref="A51:O60">
    <cfRule type="expression" dxfId="1551" priority="67">
      <formula>AND($N51 &gt; 0, ISNUMBER($N51))</formula>
    </cfRule>
    <cfRule type="expression" dxfId="1550" priority="68">
      <formula>AND($N51 &lt; 0, ISNUMBER($N51))</formula>
    </cfRule>
    <cfRule type="expression" dxfId="1549" priority="69">
      <formula>AND($K51 &gt; 0, ISNUMBER($K51))</formula>
    </cfRule>
    <cfRule type="expression" dxfId="1548" priority="70">
      <formula>AND($K51 &lt; 0, ISNUMBER($K51))</formula>
    </cfRule>
    <cfRule type="expression" dxfId="1547" priority="71">
      <formula>AND($H51 &gt; 0, ISNUMBER($H51))</formula>
    </cfRule>
    <cfRule type="expression" dxfId="1546" priority="72">
      <formula>AND($H51 &lt; 0, ISNUMBER($H51))</formula>
    </cfRule>
    <cfRule type="expression" dxfId="1545" priority="73">
      <formula>AND($E51 &gt; 0, ISNUMBER($E51))</formula>
    </cfRule>
    <cfRule type="expression" dxfId="1544" priority="74">
      <formula>AND($E51 &lt; 0, ISNUMBER($E51))</formula>
    </cfRule>
  </conditionalFormatting>
  <conditionalFormatting sqref="D49:F50 E61:F61">
    <cfRule type="expression" dxfId="1543" priority="65">
      <formula>$E$61&gt;0</formula>
    </cfRule>
    <cfRule type="expression" dxfId="1542" priority="66">
      <formula>$E$61&lt;0</formula>
    </cfRule>
  </conditionalFormatting>
  <conditionalFormatting sqref="G49:I50 H61:I61">
    <cfRule type="expression" dxfId="1541" priority="63">
      <formula>$H$61&gt;0</formula>
    </cfRule>
    <cfRule type="expression" dxfId="1540" priority="64">
      <formula>$H$61&lt;0</formula>
    </cfRule>
  </conditionalFormatting>
  <conditionalFormatting sqref="J49:L50 K61:L61">
    <cfRule type="expression" dxfId="1539" priority="61">
      <formula>$K$61&gt;0</formula>
    </cfRule>
    <cfRule type="expression" dxfId="1538" priority="62">
      <formula>$K$61&lt;0</formula>
    </cfRule>
  </conditionalFormatting>
  <conditionalFormatting sqref="M49:O50 N61:O61">
    <cfRule type="expression" dxfId="1537" priority="59">
      <formula>$N$61&gt;0</formula>
    </cfRule>
    <cfRule type="expression" dxfId="1536" priority="60">
      <formula>$N$61&lt;0</formula>
    </cfRule>
  </conditionalFormatting>
  <conditionalFormatting sqref="A68:O77">
    <cfRule type="expression" dxfId="1535" priority="51">
      <formula>AND($N68 &gt; 0, ISNUMBER($N68))</formula>
    </cfRule>
    <cfRule type="expression" dxfId="1534" priority="52">
      <formula>AND($N68 &lt; 0, ISNUMBER($N68))</formula>
    </cfRule>
    <cfRule type="expression" dxfId="1533" priority="53">
      <formula>AND($K68 &gt; 0, ISNUMBER($K68))</formula>
    </cfRule>
    <cfRule type="expression" dxfId="1532" priority="54">
      <formula>AND($K68 &lt; 0, ISNUMBER($K68))</formula>
    </cfRule>
    <cfRule type="expression" dxfId="1531" priority="55">
      <formula>AND($H68 &gt; 0, ISNUMBER($H68))</formula>
    </cfRule>
    <cfRule type="expression" dxfId="1530" priority="56">
      <formula>AND($H68 &lt; 0, ISNUMBER($H68))</formula>
    </cfRule>
    <cfRule type="expression" dxfId="1529" priority="57">
      <formula>AND($E68 &gt; 0, ISNUMBER($E68))</formula>
    </cfRule>
    <cfRule type="expression" dxfId="1528" priority="58">
      <formula>AND($E68 &lt; 0, ISNUMBER($E68))</formula>
    </cfRule>
  </conditionalFormatting>
  <conditionalFormatting sqref="D66:F67 E78:F78">
    <cfRule type="expression" dxfId="1527" priority="49">
      <formula>$E$78&gt;0</formula>
    </cfRule>
    <cfRule type="expression" dxfId="1526" priority="50">
      <formula>$E$78&lt;0</formula>
    </cfRule>
  </conditionalFormatting>
  <conditionalFormatting sqref="G66:I67 H78:I78">
    <cfRule type="expression" dxfId="1525" priority="47">
      <formula>$H$78&gt;0</formula>
    </cfRule>
    <cfRule type="expression" dxfId="1524" priority="48">
      <formula>$H$78&lt;0</formula>
    </cfRule>
  </conditionalFormatting>
  <conditionalFormatting sqref="J66:L67 K78:L78">
    <cfRule type="expression" dxfId="1523" priority="45">
      <formula>$K$78&gt;0</formula>
    </cfRule>
    <cfRule type="expression" dxfId="1522" priority="46">
      <formula>$K$78&lt;0</formula>
    </cfRule>
  </conditionalFormatting>
  <conditionalFormatting sqref="M66:O67 N78:O78">
    <cfRule type="expression" dxfId="1521" priority="43">
      <formula>$N$78&gt;0</formula>
    </cfRule>
    <cfRule type="expression" dxfId="1520" priority="44">
      <formula>$N$78&lt;0</formula>
    </cfRule>
  </conditionalFormatting>
  <conditionalFormatting sqref="A85:O94">
    <cfRule type="expression" dxfId="1519" priority="35">
      <formula>AND($N85 &gt; 0, ISNUMBER($N85))</formula>
    </cfRule>
    <cfRule type="expression" dxfId="1518" priority="36">
      <formula>AND($N85 &lt; 0, ISNUMBER($N85))</formula>
    </cfRule>
    <cfRule type="expression" dxfId="1517" priority="37">
      <formula>AND($K85 &gt; 0, ISNUMBER($K85))</formula>
    </cfRule>
    <cfRule type="expression" dxfId="1516" priority="38">
      <formula>AND($K85 &lt; 0, ISNUMBER($K85))</formula>
    </cfRule>
    <cfRule type="expression" dxfId="1515" priority="39">
      <formula>AND($H85 &gt; 0, ISNUMBER($H85))</formula>
    </cfRule>
    <cfRule type="expression" dxfId="1514" priority="40">
      <formula>AND($H85 &lt; 0, ISNUMBER($H85))</formula>
    </cfRule>
    <cfRule type="expression" dxfId="1513" priority="41">
      <formula>AND($E85 &gt; 0, ISNUMBER($E85))</formula>
    </cfRule>
    <cfRule type="expression" dxfId="1512" priority="42">
      <formula>AND($E85 &lt; 0, ISNUMBER($E85))</formula>
    </cfRule>
  </conditionalFormatting>
  <conditionalFormatting sqref="D83:F84 E95:F95">
    <cfRule type="expression" dxfId="1511" priority="33">
      <formula>$E$95&gt;0</formula>
    </cfRule>
    <cfRule type="expression" dxfId="1510" priority="34">
      <formula>$E$95&lt;0</formula>
    </cfRule>
  </conditionalFormatting>
  <conditionalFormatting sqref="G83:I84 H95:I95">
    <cfRule type="expression" dxfId="1509" priority="31">
      <formula>$H$95&gt;0</formula>
    </cfRule>
    <cfRule type="expression" dxfId="1508" priority="32">
      <formula>$H$95&lt;0</formula>
    </cfRule>
  </conditionalFormatting>
  <conditionalFormatting sqref="J83:L84 K95:L95">
    <cfRule type="expression" dxfId="1507" priority="29">
      <formula>$K$95&gt;0</formula>
    </cfRule>
    <cfRule type="expression" dxfId="1506" priority="30">
      <formula>$K$95&lt;0</formula>
    </cfRule>
  </conditionalFormatting>
  <conditionalFormatting sqref="M83:O84 N95:O95">
    <cfRule type="expression" dxfId="1505" priority="27">
      <formula>$N$95&gt;0</formula>
    </cfRule>
    <cfRule type="expression" dxfId="1504" priority="28">
      <formula>$N$95&lt;0</formula>
    </cfRule>
  </conditionalFormatting>
  <conditionalFormatting sqref="A102:O111">
    <cfRule type="expression" dxfId="1503" priority="19">
      <formula>AND($N102 &gt; 0, ISNUMBER($N102))</formula>
    </cfRule>
    <cfRule type="expression" dxfId="1502" priority="20">
      <formula>AND($N102 &lt; 0, ISNUMBER($N102))</formula>
    </cfRule>
    <cfRule type="expression" dxfId="1501" priority="21">
      <formula>AND($K102 &gt; 0, ISNUMBER($K102))</formula>
    </cfRule>
    <cfRule type="expression" dxfId="1500" priority="22">
      <formula>AND($K102 &lt; 0, ISNUMBER($K102))</formula>
    </cfRule>
    <cfRule type="expression" dxfId="1499" priority="23">
      <formula>AND($H102 &gt; 0, ISNUMBER($H102))</formula>
    </cfRule>
    <cfRule type="expression" dxfId="1498" priority="24">
      <formula>AND($H102 &lt; 0, ISNUMBER($H102))</formula>
    </cfRule>
    <cfRule type="expression" dxfId="1497" priority="25">
      <formula>AND($E102 &gt; 0, ISNUMBER($E102))</formula>
    </cfRule>
    <cfRule type="expression" dxfId="1496" priority="26">
      <formula>AND($E102 &lt; 0, ISNUMBER($E102))</formula>
    </cfRule>
  </conditionalFormatting>
  <conditionalFormatting sqref="D100:F101 E112:F112">
    <cfRule type="expression" dxfId="1495" priority="17">
      <formula>$E$112&gt;0</formula>
    </cfRule>
    <cfRule type="expression" dxfId="1494" priority="18">
      <formula>$E$112&lt;0</formula>
    </cfRule>
  </conditionalFormatting>
  <conditionalFormatting sqref="G100:I101 H112:I112">
    <cfRule type="expression" dxfId="1493" priority="15">
      <formula>$H$112&gt;0</formula>
    </cfRule>
    <cfRule type="expression" dxfId="1492" priority="16">
      <formula>$H$112&lt;0</formula>
    </cfRule>
  </conditionalFormatting>
  <conditionalFormatting sqref="J100:L101 K112:L112">
    <cfRule type="expression" dxfId="1491" priority="13">
      <formula>$K$112&gt;0</formula>
    </cfRule>
    <cfRule type="expression" dxfId="1490" priority="14">
      <formula>$K$112&lt;0</formula>
    </cfRule>
  </conditionalFormatting>
  <conditionalFormatting sqref="M100:O101 N112:O112">
    <cfRule type="expression" dxfId="1489" priority="11">
      <formula>$N$112&gt;0</formula>
    </cfRule>
    <cfRule type="expression" dxfId="1488" priority="12">
      <formula>$N$112&lt;0</formula>
    </cfRule>
  </conditionalFormatting>
  <conditionalFormatting sqref="G2:I3">
    <cfRule type="expression" dxfId="14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44292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73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68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16"/>
      <c r="R16" s="217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14"/>
      <c r="R17" s="215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14"/>
      <c r="R18" s="215"/>
    </row>
    <row r="19" spans="1:18" ht="17.25" customHeight="1">
      <c r="A19" s="40" t="s">
        <v>199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14"/>
      <c r="R19" s="215"/>
    </row>
    <row r="20" spans="1:18" ht="17.25" customHeight="1">
      <c r="A20" s="40" t="s">
        <v>200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14"/>
      <c r="R20" s="215"/>
    </row>
    <row r="21" spans="1:18" ht="17.25" customHeight="1">
      <c r="A21" s="41" t="s">
        <v>202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14"/>
      <c r="R21" s="215"/>
    </row>
    <row r="22" spans="1:18" ht="17.25" customHeight="1">
      <c r="A22" s="40" t="s">
        <v>187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14"/>
      <c r="R22" s="215"/>
    </row>
    <row r="23" spans="1:18" ht="17.25" customHeight="1">
      <c r="A23" s="40" t="s">
        <v>201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14"/>
      <c r="R23" s="215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4"/>
      <c r="R24" s="215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16"/>
      <c r="R25" s="21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81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88"/>
      <c r="R33" s="189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86"/>
      <c r="R34" s="18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6"/>
      <c r="R35" s="18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6"/>
      <c r="R36" s="18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6"/>
      <c r="R37" s="18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6"/>
      <c r="R38" s="18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6"/>
      <c r="R39" s="18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6"/>
      <c r="R40" s="18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6"/>
      <c r="R41" s="18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8"/>
      <c r="R42" s="18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81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88"/>
      <c r="R50" s="189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86"/>
      <c r="R51" s="187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86"/>
      <c r="R52" s="18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6"/>
      <c r="R53" s="18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6"/>
      <c r="R54" s="18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6"/>
      <c r="R55" s="18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81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88"/>
      <c r="R67" s="189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86"/>
      <c r="R68" s="187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86"/>
      <c r="R69" s="187"/>
    </row>
    <row r="70" spans="1:18" ht="17.25" customHeight="1">
      <c r="A70" s="11" t="s">
        <v>192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86"/>
      <c r="R70" s="18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6"/>
      <c r="R71" s="18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6"/>
      <c r="R72" s="18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6"/>
      <c r="R73" s="18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6"/>
      <c r="R74" s="18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6"/>
      <c r="R75" s="18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8"/>
      <c r="R76" s="18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81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88"/>
      <c r="R84" s="189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86"/>
      <c r="R85" s="187"/>
    </row>
    <row r="86" spans="1:18" ht="17.25" customHeight="1">
      <c r="A86" s="11" t="s">
        <v>199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86"/>
      <c r="R86" s="187"/>
    </row>
    <row r="87" spans="1:18" ht="17.25" customHeight="1">
      <c r="A87" s="11" t="s">
        <v>200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86"/>
      <c r="R87" s="187"/>
    </row>
    <row r="88" spans="1:18" ht="17.25" customHeight="1">
      <c r="A88" s="11" t="s">
        <v>202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86"/>
      <c r="R88" s="18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6"/>
      <c r="R89" s="18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6"/>
      <c r="R90" s="18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6"/>
      <c r="R91" s="18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6"/>
      <c r="R92" s="18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8"/>
      <c r="R93" s="18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81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88"/>
      <c r="R101" s="189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86"/>
      <c r="R102" s="187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86"/>
      <c r="R103" s="187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86"/>
      <c r="R104" s="187"/>
    </row>
    <row r="105" spans="1:18" ht="17.25" customHeight="1">
      <c r="A105" s="11" t="s">
        <v>199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86"/>
      <c r="R105" s="187"/>
    </row>
    <row r="106" spans="1:18" ht="17.25" customHeight="1">
      <c r="A106" s="8" t="s">
        <v>187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86"/>
      <c r="R106" s="187"/>
    </row>
    <row r="107" spans="1:18" ht="17.25" customHeight="1">
      <c r="A107" s="11" t="s">
        <v>200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86"/>
      <c r="R107" s="187"/>
    </row>
    <row r="108" spans="1:18" ht="17.25" customHeight="1">
      <c r="A108" s="11" t="s">
        <v>202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86"/>
      <c r="R108" s="187"/>
    </row>
    <row r="109" spans="1:18" ht="17.25" customHeight="1">
      <c r="A109" s="11" t="s">
        <v>201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86"/>
      <c r="R109" s="187"/>
    </row>
    <row r="110" spans="1:18" ht="17.25" customHeight="1">
      <c r="A110" s="11" t="s">
        <v>203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88"/>
      <c r="R110" s="189"/>
    </row>
    <row r="111" spans="1:18" ht="17.25" customHeight="1" thickBot="1">
      <c r="A111" s="13" t="s">
        <v>204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90"/>
      <c r="R112" s="19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477" priority="89">
      <formula>$E$27&gt;0</formula>
    </cfRule>
    <cfRule type="expression" dxfId="1476" priority="90">
      <formula>$E$27&lt;0</formula>
    </cfRule>
  </conditionalFormatting>
  <conditionalFormatting sqref="G15:I16 H27:I27">
    <cfRule type="expression" dxfId="1475" priority="87">
      <formula>$H$27&gt;0</formula>
    </cfRule>
    <cfRule type="expression" dxfId="1474" priority="88">
      <formula>$H$27&lt;0</formula>
    </cfRule>
  </conditionalFormatting>
  <conditionalFormatting sqref="J15:L16 K27:L27">
    <cfRule type="expression" dxfId="1473" priority="85">
      <formula>$K$27&gt;0</formula>
    </cfRule>
    <cfRule type="expression" dxfId="1472" priority="86">
      <formula>$K$27&lt;0</formula>
    </cfRule>
  </conditionalFormatting>
  <conditionalFormatting sqref="M15:O16 N27:O27">
    <cfRule type="expression" dxfId="1471" priority="83">
      <formula>$N$27&gt;0</formula>
    </cfRule>
    <cfRule type="expression" dxfId="1470" priority="84">
      <formula>$N$27&lt;0</formula>
    </cfRule>
  </conditionalFormatting>
  <conditionalFormatting sqref="A17:O26 A34:O43">
    <cfRule type="expression" dxfId="1469" priority="91">
      <formula>AND($N17 &gt; 0, ISNUMBER($N17))</formula>
    </cfRule>
    <cfRule type="expression" dxfId="1468" priority="92">
      <formula>AND($N17 &lt; 0, ISNUMBER($N17))</formula>
    </cfRule>
    <cfRule type="expression" dxfId="1467" priority="93">
      <formula>AND($K17 &gt; 0, ISNUMBER($K17))</formula>
    </cfRule>
    <cfRule type="expression" dxfId="1466" priority="94">
      <formula>AND($K17 &lt; 0, ISNUMBER($K17))</formula>
    </cfRule>
    <cfRule type="expression" dxfId="1465" priority="95">
      <formula>AND($H17 &gt; 0, ISNUMBER($H17))</formula>
    </cfRule>
    <cfRule type="expression" dxfId="1464" priority="96">
      <formula>AND($H17 &lt; 0, ISNUMBER($H17))</formula>
    </cfRule>
    <cfRule type="expression" dxfId="1463" priority="97">
      <formula>AND($E17 &gt; 0, ISNUMBER($E17))</formula>
    </cfRule>
    <cfRule type="expression" dxfId="1462" priority="98">
      <formula>AND($E17 &lt; 0, ISNUMBER($E17))</formula>
    </cfRule>
  </conditionalFormatting>
  <conditionalFormatting sqref="D32:F33 E44:F44">
    <cfRule type="expression" dxfId="1461" priority="81">
      <formula>$E$44&gt;0</formula>
    </cfRule>
    <cfRule type="expression" dxfId="1460" priority="82">
      <formula>$E$44&lt;0</formula>
    </cfRule>
  </conditionalFormatting>
  <conditionalFormatting sqref="G32:I33 H44:I44">
    <cfRule type="expression" dxfId="1459" priority="79">
      <formula>$H$44&gt;0</formula>
    </cfRule>
    <cfRule type="expression" dxfId="1458" priority="80">
      <formula>$H$44&lt;0</formula>
    </cfRule>
  </conditionalFormatting>
  <conditionalFormatting sqref="J32:L33 K44:L44">
    <cfRule type="expression" dxfId="1457" priority="77">
      <formula>$K$44&gt;0</formula>
    </cfRule>
    <cfRule type="expression" dxfId="1456" priority="78">
      <formula>$K$44&lt;0</formula>
    </cfRule>
  </conditionalFormatting>
  <conditionalFormatting sqref="M32:O33 N44:O44">
    <cfRule type="expression" dxfId="1455" priority="75">
      <formula>$N$44&gt;0</formula>
    </cfRule>
    <cfRule type="expression" dxfId="1454" priority="76">
      <formula>$N$44&lt;0</formula>
    </cfRule>
  </conditionalFormatting>
  <conditionalFormatting sqref="A51:O60">
    <cfRule type="expression" dxfId="1453" priority="67">
      <formula>AND($N51 &gt; 0, ISNUMBER($N51))</formula>
    </cfRule>
    <cfRule type="expression" dxfId="1452" priority="68">
      <formula>AND($N51 &lt; 0, ISNUMBER($N51))</formula>
    </cfRule>
    <cfRule type="expression" dxfId="1451" priority="69">
      <formula>AND($K51 &gt; 0, ISNUMBER($K51))</formula>
    </cfRule>
    <cfRule type="expression" dxfId="1450" priority="70">
      <formula>AND($K51 &lt; 0, ISNUMBER($K51))</formula>
    </cfRule>
    <cfRule type="expression" dxfId="1449" priority="71">
      <formula>AND($H51 &gt; 0, ISNUMBER($H51))</formula>
    </cfRule>
    <cfRule type="expression" dxfId="1448" priority="72">
      <formula>AND($H51 &lt; 0, ISNUMBER($H51))</formula>
    </cfRule>
    <cfRule type="expression" dxfId="1447" priority="73">
      <formula>AND($E51 &gt; 0, ISNUMBER($E51))</formula>
    </cfRule>
    <cfRule type="expression" dxfId="1446" priority="74">
      <formula>AND($E51 &lt; 0, ISNUMBER($E51))</formula>
    </cfRule>
  </conditionalFormatting>
  <conditionalFormatting sqref="D49:F50 E61:F61">
    <cfRule type="expression" dxfId="1445" priority="65">
      <formula>$E$61&gt;0</formula>
    </cfRule>
    <cfRule type="expression" dxfId="1444" priority="66">
      <formula>$E$61&lt;0</formula>
    </cfRule>
  </conditionalFormatting>
  <conditionalFormatting sqref="G49:I50 H61:I61">
    <cfRule type="expression" dxfId="1443" priority="63">
      <formula>$H$61&gt;0</formula>
    </cfRule>
    <cfRule type="expression" dxfId="1442" priority="64">
      <formula>$H$61&lt;0</formula>
    </cfRule>
  </conditionalFormatting>
  <conditionalFormatting sqref="J49:L50 K61:L61">
    <cfRule type="expression" dxfId="1441" priority="61">
      <formula>$K$61&gt;0</formula>
    </cfRule>
    <cfRule type="expression" dxfId="1440" priority="62">
      <formula>$K$61&lt;0</formula>
    </cfRule>
  </conditionalFormatting>
  <conditionalFormatting sqref="M49:O50 N61:O61">
    <cfRule type="expression" dxfId="1439" priority="59">
      <formula>$N$61&gt;0</formula>
    </cfRule>
    <cfRule type="expression" dxfId="1438" priority="60">
      <formula>$N$61&lt;0</formula>
    </cfRule>
  </conditionalFormatting>
  <conditionalFormatting sqref="A68:O77">
    <cfRule type="expression" dxfId="1437" priority="51">
      <formula>AND($N68 &gt; 0, ISNUMBER($N68))</formula>
    </cfRule>
    <cfRule type="expression" dxfId="1436" priority="52">
      <formula>AND($N68 &lt; 0, ISNUMBER($N68))</formula>
    </cfRule>
    <cfRule type="expression" dxfId="1435" priority="53">
      <formula>AND($K68 &gt; 0, ISNUMBER($K68))</formula>
    </cfRule>
    <cfRule type="expression" dxfId="1434" priority="54">
      <formula>AND($K68 &lt; 0, ISNUMBER($K68))</formula>
    </cfRule>
    <cfRule type="expression" dxfId="1433" priority="55">
      <formula>AND($H68 &gt; 0, ISNUMBER($H68))</formula>
    </cfRule>
    <cfRule type="expression" dxfId="1432" priority="56">
      <formula>AND($H68 &lt; 0, ISNUMBER($H68))</formula>
    </cfRule>
    <cfRule type="expression" dxfId="1431" priority="57">
      <formula>AND($E68 &gt; 0, ISNUMBER($E68))</formula>
    </cfRule>
    <cfRule type="expression" dxfId="1430" priority="58">
      <formula>AND($E68 &lt; 0, ISNUMBER($E68))</formula>
    </cfRule>
  </conditionalFormatting>
  <conditionalFormatting sqref="D66:F67 E78:F78">
    <cfRule type="expression" dxfId="1429" priority="49">
      <formula>$E$78&gt;0</formula>
    </cfRule>
    <cfRule type="expression" dxfId="1428" priority="50">
      <formula>$E$78&lt;0</formula>
    </cfRule>
  </conditionalFormatting>
  <conditionalFormatting sqref="G66:I67 H78:I78">
    <cfRule type="expression" dxfId="1427" priority="47">
      <formula>$H$78&gt;0</formula>
    </cfRule>
    <cfRule type="expression" dxfId="1426" priority="48">
      <formula>$H$78&lt;0</formula>
    </cfRule>
  </conditionalFormatting>
  <conditionalFormatting sqref="J66:L67 K78:L78">
    <cfRule type="expression" dxfId="1425" priority="45">
      <formula>$K$78&gt;0</formula>
    </cfRule>
    <cfRule type="expression" dxfId="1424" priority="46">
      <formula>$K$78&lt;0</formula>
    </cfRule>
  </conditionalFormatting>
  <conditionalFormatting sqref="M66:O67 N78:O78">
    <cfRule type="expression" dxfId="1423" priority="43">
      <formula>$N$78&gt;0</formula>
    </cfRule>
    <cfRule type="expression" dxfId="1422" priority="44">
      <formula>$N$78&lt;0</formula>
    </cfRule>
  </conditionalFormatting>
  <conditionalFormatting sqref="A85:O94">
    <cfRule type="expression" dxfId="1421" priority="35">
      <formula>AND($N85 &gt; 0, ISNUMBER($N85))</formula>
    </cfRule>
    <cfRule type="expression" dxfId="1420" priority="36">
      <formula>AND($N85 &lt; 0, ISNUMBER($N85))</formula>
    </cfRule>
    <cfRule type="expression" dxfId="1419" priority="37">
      <formula>AND($K85 &gt; 0, ISNUMBER($K85))</formula>
    </cfRule>
    <cfRule type="expression" dxfId="1418" priority="38">
      <formula>AND($K85 &lt; 0, ISNUMBER($K85))</formula>
    </cfRule>
    <cfRule type="expression" dxfId="1417" priority="39">
      <formula>AND($H85 &gt; 0, ISNUMBER($H85))</formula>
    </cfRule>
    <cfRule type="expression" dxfId="1416" priority="40">
      <formula>AND($H85 &lt; 0, ISNUMBER($H85))</formula>
    </cfRule>
    <cfRule type="expression" dxfId="1415" priority="41">
      <formula>AND($E85 &gt; 0, ISNUMBER($E85))</formula>
    </cfRule>
    <cfRule type="expression" dxfId="1414" priority="42">
      <formula>AND($E85 &lt; 0, ISNUMBER($E85))</formula>
    </cfRule>
  </conditionalFormatting>
  <conditionalFormatting sqref="D83:F84 E95:F95">
    <cfRule type="expression" dxfId="1413" priority="33">
      <formula>$E$95&gt;0</formula>
    </cfRule>
    <cfRule type="expression" dxfId="1412" priority="34">
      <formula>$E$95&lt;0</formula>
    </cfRule>
  </conditionalFormatting>
  <conditionalFormatting sqref="G83:I84 H95:I95">
    <cfRule type="expression" dxfId="1411" priority="31">
      <formula>$H$95&gt;0</formula>
    </cfRule>
    <cfRule type="expression" dxfId="1410" priority="32">
      <formula>$H$95&lt;0</formula>
    </cfRule>
  </conditionalFormatting>
  <conditionalFormatting sqref="J83:L84 K95:L95">
    <cfRule type="expression" dxfId="1409" priority="29">
      <formula>$K$95&gt;0</formula>
    </cfRule>
    <cfRule type="expression" dxfId="1408" priority="30">
      <formula>$K$95&lt;0</formula>
    </cfRule>
  </conditionalFormatting>
  <conditionalFormatting sqref="M83:O84 N95:O95">
    <cfRule type="expression" dxfId="1407" priority="27">
      <formula>$N$95&gt;0</formula>
    </cfRule>
    <cfRule type="expression" dxfId="1406" priority="28">
      <formula>$N$95&lt;0</formula>
    </cfRule>
  </conditionalFormatting>
  <conditionalFormatting sqref="A102:O111">
    <cfRule type="expression" dxfId="1405" priority="19">
      <formula>AND($N102 &gt; 0, ISNUMBER($N102))</formula>
    </cfRule>
    <cfRule type="expression" dxfId="1404" priority="20">
      <formula>AND($N102 &lt; 0, ISNUMBER($N102))</formula>
    </cfRule>
    <cfRule type="expression" dxfId="1403" priority="21">
      <formula>AND($K102 &gt; 0, ISNUMBER($K102))</formula>
    </cfRule>
    <cfRule type="expression" dxfId="1402" priority="22">
      <formula>AND($K102 &lt; 0, ISNUMBER($K102))</formula>
    </cfRule>
    <cfRule type="expression" dxfId="1401" priority="23">
      <formula>AND($H102 &gt; 0, ISNUMBER($H102))</formula>
    </cfRule>
    <cfRule type="expression" dxfId="1400" priority="24">
      <formula>AND($H102 &lt; 0, ISNUMBER($H102))</formula>
    </cfRule>
    <cfRule type="expression" dxfId="1399" priority="25">
      <formula>AND($E102 &gt; 0, ISNUMBER($E102))</formula>
    </cfRule>
    <cfRule type="expression" dxfId="1398" priority="26">
      <formula>AND($E102 &lt; 0, ISNUMBER($E102))</formula>
    </cfRule>
  </conditionalFormatting>
  <conditionalFormatting sqref="D100:F101 E112:F112">
    <cfRule type="expression" dxfId="1397" priority="17">
      <formula>$E$112&gt;0</formula>
    </cfRule>
    <cfRule type="expression" dxfId="1396" priority="18">
      <formula>$E$112&lt;0</formula>
    </cfRule>
  </conditionalFormatting>
  <conditionalFormatting sqref="G100:I101 H112:I112">
    <cfRule type="expression" dxfId="1395" priority="15">
      <formula>$H$112&gt;0</formula>
    </cfRule>
    <cfRule type="expression" dxfId="1394" priority="16">
      <formula>$H$112&lt;0</formula>
    </cfRule>
  </conditionalFormatting>
  <conditionalFormatting sqref="J100:L101 K112:L112">
    <cfRule type="expression" dxfId="1393" priority="13">
      <formula>$K$112&gt;0</formula>
    </cfRule>
    <cfRule type="expression" dxfId="1392" priority="14">
      <formula>$K$112&lt;0</formula>
    </cfRule>
  </conditionalFormatting>
  <conditionalFormatting sqref="M100:O101 N112:O112">
    <cfRule type="expression" dxfId="1391" priority="11">
      <formula>$N$112&gt;0</formula>
    </cfRule>
    <cfRule type="expression" dxfId="1390" priority="12">
      <formula>$N$112&lt;0</formula>
    </cfRule>
  </conditionalFormatting>
  <conditionalFormatting sqref="G2:I3">
    <cfRule type="expression" dxfId="13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44293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83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82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16"/>
      <c r="R16" s="217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14"/>
      <c r="R17" s="215"/>
    </row>
    <row r="18" spans="1:18" ht="17.25" customHeight="1">
      <c r="A18" s="40" t="s">
        <v>180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14"/>
      <c r="R18" s="215"/>
    </row>
    <row r="19" spans="1:18" ht="17.25" customHeight="1">
      <c r="A19" s="40" t="s">
        <v>123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14"/>
      <c r="R19" s="215"/>
    </row>
    <row r="20" spans="1:18" ht="17.25" customHeight="1">
      <c r="A20" s="40" t="s">
        <v>114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14"/>
      <c r="R20" s="215"/>
    </row>
    <row r="21" spans="1:18" ht="17.25" customHeight="1">
      <c r="A21" s="41" t="s">
        <v>218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14"/>
      <c r="R21" s="215"/>
    </row>
    <row r="22" spans="1:18" ht="17.25" customHeight="1">
      <c r="A22" s="40" t="s">
        <v>155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14"/>
      <c r="R22" s="215"/>
    </row>
    <row r="23" spans="1:18" ht="17.25" customHeight="1">
      <c r="A23" s="40" t="s">
        <v>152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14"/>
      <c r="R23" s="215"/>
    </row>
    <row r="24" spans="1:18" ht="17.25" customHeight="1">
      <c r="A24" s="40" t="s">
        <v>153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14"/>
      <c r="R24" s="215"/>
    </row>
    <row r="25" spans="1:18" ht="17.25" customHeight="1">
      <c r="A25" s="40" t="s">
        <v>181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16"/>
      <c r="R25" s="217"/>
    </row>
    <row r="26" spans="1:18" ht="17.25" customHeight="1" thickBot="1">
      <c r="A26" s="42" t="s">
        <v>200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82" t="s">
        <v>194</v>
      </c>
      <c r="B31" s="194" t="s">
        <v>14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97.5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-8.0188679200000001E-2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88"/>
      <c r="R33" s="189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86"/>
      <c r="R34" s="18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6"/>
      <c r="R35" s="18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6"/>
      <c r="R36" s="18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6"/>
      <c r="R37" s="18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6"/>
      <c r="R38" s="18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6"/>
      <c r="R39" s="18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6"/>
      <c r="R40" s="18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6"/>
      <c r="R41" s="18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8"/>
      <c r="R42" s="18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82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88"/>
      <c r="R50" s="189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86"/>
      <c r="R51" s="18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6"/>
      <c r="R52" s="18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6"/>
      <c r="R53" s="18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6"/>
      <c r="R54" s="18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6"/>
      <c r="R55" s="18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82" t="s">
        <v>194</v>
      </c>
      <c r="B65" s="194" t="s">
        <v>200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322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-6.6666666700000002E-2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88"/>
      <c r="R67" s="189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86"/>
      <c r="R68" s="187"/>
    </row>
    <row r="69" spans="1:18" ht="17.25" customHeight="1">
      <c r="A69" s="11" t="s">
        <v>221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86"/>
      <c r="R69" s="187"/>
    </row>
    <row r="70" spans="1:18" ht="17.25" customHeight="1">
      <c r="A70" s="11" t="s">
        <v>200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86"/>
      <c r="R70" s="18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6"/>
      <c r="R71" s="18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6"/>
      <c r="R72" s="18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6"/>
      <c r="R73" s="18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6"/>
      <c r="R74" s="18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6"/>
      <c r="R75" s="18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8"/>
      <c r="R76" s="18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82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88"/>
      <c r="R84" s="189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86"/>
      <c r="R85" s="187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6"/>
      <c r="R86" s="187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6"/>
      <c r="R87" s="187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6"/>
      <c r="R88" s="18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6"/>
      <c r="R89" s="18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6"/>
      <c r="R90" s="18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6"/>
      <c r="R91" s="18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6"/>
      <c r="R92" s="18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8"/>
      <c r="R93" s="18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82" t="s">
        <v>194</v>
      </c>
      <c r="B99" s="194" t="s">
        <v>221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516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-4.9723756899999999E-2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88"/>
      <c r="R101" s="189"/>
    </row>
    <row r="102" spans="1:18" ht="17.25" customHeight="1">
      <c r="A102" s="9" t="s">
        <v>204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86"/>
      <c r="R102" s="187"/>
    </row>
    <row r="103" spans="1:18" ht="17.25" customHeight="1">
      <c r="A103" s="11" t="s">
        <v>222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86"/>
      <c r="R103" s="187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86"/>
      <c r="R104" s="187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86"/>
      <c r="R105" s="187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86"/>
      <c r="R106" s="187"/>
    </row>
    <row r="107" spans="1:18" ht="17.25" customHeight="1">
      <c r="A107" s="11" t="s">
        <v>223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86"/>
      <c r="R107" s="187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86"/>
      <c r="R108" s="187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86"/>
      <c r="R109" s="187"/>
    </row>
    <row r="110" spans="1:18" ht="17.25" customHeight="1">
      <c r="A110" s="11" t="s">
        <v>224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88"/>
      <c r="R110" s="189"/>
    </row>
    <row r="111" spans="1:18" ht="17.25" customHeight="1" thickBot="1">
      <c r="A111" s="13" t="s">
        <v>221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90"/>
      <c r="R112" s="19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79" priority="89">
      <formula>$E$27&gt;0</formula>
    </cfRule>
    <cfRule type="expression" dxfId="1378" priority="90">
      <formula>$E$27&lt;0</formula>
    </cfRule>
  </conditionalFormatting>
  <conditionalFormatting sqref="G15:I16 H27:I27">
    <cfRule type="expression" dxfId="1377" priority="87">
      <formula>$H$27&gt;0</formula>
    </cfRule>
    <cfRule type="expression" dxfId="1376" priority="88">
      <formula>$H$27&lt;0</formula>
    </cfRule>
  </conditionalFormatting>
  <conditionalFormatting sqref="J15:L16 K27:L27">
    <cfRule type="expression" dxfId="1375" priority="85">
      <formula>$K$27&gt;0</formula>
    </cfRule>
    <cfRule type="expression" dxfId="1374" priority="86">
      <formula>$K$27&lt;0</formula>
    </cfRule>
  </conditionalFormatting>
  <conditionalFormatting sqref="M15:O16 N27:O27">
    <cfRule type="expression" dxfId="1373" priority="83">
      <formula>$N$27&gt;0</formula>
    </cfRule>
    <cfRule type="expression" dxfId="1372" priority="84">
      <formula>$N$27&lt;0</formula>
    </cfRule>
  </conditionalFormatting>
  <conditionalFormatting sqref="A17:O26 A34:O43">
    <cfRule type="expression" dxfId="1371" priority="91">
      <formula>AND($N17 &gt; 0, ISNUMBER($N17))</formula>
    </cfRule>
    <cfRule type="expression" dxfId="1370" priority="92">
      <formula>AND($N17 &lt; 0, ISNUMBER($N17))</formula>
    </cfRule>
    <cfRule type="expression" dxfId="1369" priority="93">
      <formula>AND($K17 &gt; 0, ISNUMBER($K17))</formula>
    </cfRule>
    <cfRule type="expression" dxfId="1368" priority="94">
      <formula>AND($K17 &lt; 0, ISNUMBER($K17))</formula>
    </cfRule>
    <cfRule type="expression" dxfId="1367" priority="95">
      <formula>AND($H17 &gt; 0, ISNUMBER($H17))</formula>
    </cfRule>
    <cfRule type="expression" dxfId="1366" priority="96">
      <formula>AND($H17 &lt; 0, ISNUMBER($H17))</formula>
    </cfRule>
    <cfRule type="expression" dxfId="1365" priority="97">
      <formula>AND($E17 &gt; 0, ISNUMBER($E17))</formula>
    </cfRule>
    <cfRule type="expression" dxfId="1364" priority="98">
      <formula>AND($E17 &lt; 0, ISNUMBER($E17))</formula>
    </cfRule>
  </conditionalFormatting>
  <conditionalFormatting sqref="D32:F33 E44:F44">
    <cfRule type="expression" dxfId="1363" priority="81">
      <formula>$E$44&gt;0</formula>
    </cfRule>
    <cfRule type="expression" dxfId="1362" priority="82">
      <formula>$E$44&lt;0</formula>
    </cfRule>
  </conditionalFormatting>
  <conditionalFormatting sqref="G32:I33 H44:I44">
    <cfRule type="expression" dxfId="1361" priority="79">
      <formula>$H$44&gt;0</formula>
    </cfRule>
    <cfRule type="expression" dxfId="1360" priority="80">
      <formula>$H$44&lt;0</formula>
    </cfRule>
  </conditionalFormatting>
  <conditionalFormatting sqref="J32:L33 K44:L44">
    <cfRule type="expression" dxfId="1359" priority="77">
      <formula>$K$44&gt;0</formula>
    </cfRule>
    <cfRule type="expression" dxfId="1358" priority="78">
      <formula>$K$44&lt;0</formula>
    </cfRule>
  </conditionalFormatting>
  <conditionalFormatting sqref="M32:O33 N44:O44">
    <cfRule type="expression" dxfId="1357" priority="75">
      <formula>$N$44&gt;0</formula>
    </cfRule>
    <cfRule type="expression" dxfId="1356" priority="76">
      <formula>$N$44&lt;0</formula>
    </cfRule>
  </conditionalFormatting>
  <conditionalFormatting sqref="A51:O60">
    <cfRule type="expression" dxfId="1355" priority="67">
      <formula>AND($N51 &gt; 0, ISNUMBER($N51))</formula>
    </cfRule>
    <cfRule type="expression" dxfId="1354" priority="68">
      <formula>AND($N51 &lt; 0, ISNUMBER($N51))</formula>
    </cfRule>
    <cfRule type="expression" dxfId="1353" priority="69">
      <formula>AND($K51 &gt; 0, ISNUMBER($K51))</formula>
    </cfRule>
    <cfRule type="expression" dxfId="1352" priority="70">
      <formula>AND($K51 &lt; 0, ISNUMBER($K51))</formula>
    </cfRule>
    <cfRule type="expression" dxfId="1351" priority="71">
      <formula>AND($H51 &gt; 0, ISNUMBER($H51))</formula>
    </cfRule>
    <cfRule type="expression" dxfId="1350" priority="72">
      <formula>AND($H51 &lt; 0, ISNUMBER($H51))</formula>
    </cfRule>
    <cfRule type="expression" dxfId="1349" priority="73">
      <formula>AND($E51 &gt; 0, ISNUMBER($E51))</formula>
    </cfRule>
    <cfRule type="expression" dxfId="1348" priority="74">
      <formula>AND($E51 &lt; 0, ISNUMBER($E51))</formula>
    </cfRule>
  </conditionalFormatting>
  <conditionalFormatting sqref="D49:F50 E61:F61">
    <cfRule type="expression" dxfId="1347" priority="65">
      <formula>$E$61&gt;0</formula>
    </cfRule>
    <cfRule type="expression" dxfId="1346" priority="66">
      <formula>$E$61&lt;0</formula>
    </cfRule>
  </conditionalFormatting>
  <conditionalFormatting sqref="G49:I50 H61:I61">
    <cfRule type="expression" dxfId="1345" priority="63">
      <formula>$H$61&gt;0</formula>
    </cfRule>
    <cfRule type="expression" dxfId="1344" priority="64">
      <formula>$H$61&lt;0</formula>
    </cfRule>
  </conditionalFormatting>
  <conditionalFormatting sqref="J49:L50 K61:L61">
    <cfRule type="expression" dxfId="1343" priority="61">
      <formula>$K$61&gt;0</formula>
    </cfRule>
    <cfRule type="expression" dxfId="1342" priority="62">
      <formula>$K$61&lt;0</formula>
    </cfRule>
  </conditionalFormatting>
  <conditionalFormatting sqref="M49:O50 N61:O61">
    <cfRule type="expression" dxfId="1341" priority="59">
      <formula>$N$61&gt;0</formula>
    </cfRule>
    <cfRule type="expression" dxfId="1340" priority="60">
      <formula>$N$61&lt;0</formula>
    </cfRule>
  </conditionalFormatting>
  <conditionalFormatting sqref="A68:O77">
    <cfRule type="expression" dxfId="1339" priority="51">
      <formula>AND($N68 &gt; 0, ISNUMBER($N68))</formula>
    </cfRule>
    <cfRule type="expression" dxfId="1338" priority="52">
      <formula>AND($N68 &lt; 0, ISNUMBER($N68))</formula>
    </cfRule>
    <cfRule type="expression" dxfId="1337" priority="53">
      <formula>AND($K68 &gt; 0, ISNUMBER($K68))</formula>
    </cfRule>
    <cfRule type="expression" dxfId="1336" priority="54">
      <formula>AND($K68 &lt; 0, ISNUMBER($K68))</formula>
    </cfRule>
    <cfRule type="expression" dxfId="1335" priority="55">
      <formula>AND($H68 &gt; 0, ISNUMBER($H68))</formula>
    </cfRule>
    <cfRule type="expression" dxfId="1334" priority="56">
      <formula>AND($H68 &lt; 0, ISNUMBER($H68))</formula>
    </cfRule>
    <cfRule type="expression" dxfId="1333" priority="57">
      <formula>AND($E68 &gt; 0, ISNUMBER($E68))</formula>
    </cfRule>
    <cfRule type="expression" dxfId="1332" priority="58">
      <formula>AND($E68 &lt; 0, ISNUMBER($E68))</formula>
    </cfRule>
  </conditionalFormatting>
  <conditionalFormatting sqref="D66:F67 E78:F78">
    <cfRule type="expression" dxfId="1331" priority="49">
      <formula>$E$78&gt;0</formula>
    </cfRule>
    <cfRule type="expression" dxfId="1330" priority="50">
      <formula>$E$78&lt;0</formula>
    </cfRule>
  </conditionalFormatting>
  <conditionalFormatting sqref="G66:I67 H78:I78">
    <cfRule type="expression" dxfId="1329" priority="47">
      <formula>$H$78&gt;0</formula>
    </cfRule>
    <cfRule type="expression" dxfId="1328" priority="48">
      <formula>$H$78&lt;0</formula>
    </cfRule>
  </conditionalFormatting>
  <conditionalFormatting sqref="J66:L67 K78:L78">
    <cfRule type="expression" dxfId="1327" priority="45">
      <formula>$K$78&gt;0</formula>
    </cfRule>
    <cfRule type="expression" dxfId="1326" priority="46">
      <formula>$K$78&lt;0</formula>
    </cfRule>
  </conditionalFormatting>
  <conditionalFormatting sqref="M66:O67 N78:O78">
    <cfRule type="expression" dxfId="1325" priority="43">
      <formula>$N$78&gt;0</formula>
    </cfRule>
    <cfRule type="expression" dxfId="1324" priority="44">
      <formula>$N$78&lt;0</formula>
    </cfRule>
  </conditionalFormatting>
  <conditionalFormatting sqref="A85:O94">
    <cfRule type="expression" dxfId="1323" priority="35">
      <formula>AND($N85 &gt; 0, ISNUMBER($N85))</formula>
    </cfRule>
    <cfRule type="expression" dxfId="1322" priority="36">
      <formula>AND($N85 &lt; 0, ISNUMBER($N85))</formula>
    </cfRule>
    <cfRule type="expression" dxfId="1321" priority="37">
      <formula>AND($K85 &gt; 0, ISNUMBER($K85))</formula>
    </cfRule>
    <cfRule type="expression" dxfId="1320" priority="38">
      <formula>AND($K85 &lt; 0, ISNUMBER($K85))</formula>
    </cfRule>
    <cfRule type="expression" dxfId="1319" priority="39">
      <formula>AND($H85 &gt; 0, ISNUMBER($H85))</formula>
    </cfRule>
    <cfRule type="expression" dxfId="1318" priority="40">
      <formula>AND($H85 &lt; 0, ISNUMBER($H85))</formula>
    </cfRule>
    <cfRule type="expression" dxfId="1317" priority="41">
      <formula>AND($E85 &gt; 0, ISNUMBER($E85))</formula>
    </cfRule>
    <cfRule type="expression" dxfId="1316" priority="42">
      <formula>AND($E85 &lt; 0, ISNUMBER($E85))</formula>
    </cfRule>
  </conditionalFormatting>
  <conditionalFormatting sqref="D83:F84 E95:F95">
    <cfRule type="expression" dxfId="1315" priority="33">
      <formula>$E$95&gt;0</formula>
    </cfRule>
    <cfRule type="expression" dxfId="1314" priority="34">
      <formula>$E$95&lt;0</formula>
    </cfRule>
  </conditionalFormatting>
  <conditionalFormatting sqref="G83:I84 H95:I95">
    <cfRule type="expression" dxfId="1313" priority="31">
      <formula>$H$95&gt;0</formula>
    </cfRule>
    <cfRule type="expression" dxfId="1312" priority="32">
      <formula>$H$95&lt;0</formula>
    </cfRule>
  </conditionalFormatting>
  <conditionalFormatting sqref="J83:L84 K95:L95">
    <cfRule type="expression" dxfId="1311" priority="29">
      <formula>$K$95&gt;0</formula>
    </cfRule>
    <cfRule type="expression" dxfId="1310" priority="30">
      <formula>$K$95&lt;0</formula>
    </cfRule>
  </conditionalFormatting>
  <conditionalFormatting sqref="M83:O84 N95:O95">
    <cfRule type="expression" dxfId="1309" priority="27">
      <formula>$N$95&gt;0</formula>
    </cfRule>
    <cfRule type="expression" dxfId="1308" priority="28">
      <formula>$N$95&lt;0</formula>
    </cfRule>
  </conditionalFormatting>
  <conditionalFormatting sqref="A102:O111">
    <cfRule type="expression" dxfId="1307" priority="19">
      <formula>AND($N102 &gt; 0, ISNUMBER($N102))</formula>
    </cfRule>
    <cfRule type="expression" dxfId="1306" priority="20">
      <formula>AND($N102 &lt; 0, ISNUMBER($N102))</formula>
    </cfRule>
    <cfRule type="expression" dxfId="1305" priority="21">
      <formula>AND($K102 &gt; 0, ISNUMBER($K102))</formula>
    </cfRule>
    <cfRule type="expression" dxfId="1304" priority="22">
      <formula>AND($K102 &lt; 0, ISNUMBER($K102))</formula>
    </cfRule>
    <cfRule type="expression" dxfId="1303" priority="23">
      <formula>AND($H102 &gt; 0, ISNUMBER($H102))</formula>
    </cfRule>
    <cfRule type="expression" dxfId="1302" priority="24">
      <formula>AND($H102 &lt; 0, ISNUMBER($H102))</formula>
    </cfRule>
    <cfRule type="expression" dxfId="1301" priority="25">
      <formula>AND($E102 &gt; 0, ISNUMBER($E102))</formula>
    </cfRule>
    <cfRule type="expression" dxfId="1300" priority="26">
      <formula>AND($E102 &lt; 0, ISNUMBER($E102))</formula>
    </cfRule>
  </conditionalFormatting>
  <conditionalFormatting sqref="D100:F101 E112:F112">
    <cfRule type="expression" dxfId="1299" priority="17">
      <formula>$E$112&gt;0</formula>
    </cfRule>
    <cfRule type="expression" dxfId="1298" priority="18">
      <formula>$E$112&lt;0</formula>
    </cfRule>
  </conditionalFormatting>
  <conditionalFormatting sqref="G100:I101 H112:I112">
    <cfRule type="expression" dxfId="1297" priority="15">
      <formula>$H$112&gt;0</formula>
    </cfRule>
    <cfRule type="expression" dxfId="1296" priority="16">
      <formula>$H$112&lt;0</formula>
    </cfRule>
  </conditionalFormatting>
  <conditionalFormatting sqref="J100:L101 K112:L112">
    <cfRule type="expression" dxfId="1295" priority="13">
      <formula>$K$112&gt;0</formula>
    </cfRule>
    <cfRule type="expression" dxfId="1294" priority="14">
      <formula>$K$112&lt;0</formula>
    </cfRule>
  </conditionalFormatting>
  <conditionalFormatting sqref="M100:O101 N112:O112">
    <cfRule type="expression" dxfId="1293" priority="11">
      <formula>$N$112&gt;0</formula>
    </cfRule>
    <cfRule type="expression" dxfId="1292" priority="12">
      <formula>$N$112&lt;0</formula>
    </cfRule>
  </conditionalFormatting>
  <conditionalFormatting sqref="G2:I3">
    <cfRule type="expression" dxfId="12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44294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96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91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16"/>
      <c r="R16" s="217"/>
    </row>
    <row r="17" spans="1:18" ht="17.25" customHeight="1">
      <c r="A17" s="39" t="s">
        <v>171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14"/>
      <c r="R17" s="215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14"/>
      <c r="R18" s="215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14"/>
      <c r="R19" s="215"/>
    </row>
    <row r="20" spans="1:18" ht="17.25" customHeight="1">
      <c r="A20" s="40" t="s">
        <v>176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14"/>
      <c r="R20" s="215"/>
    </row>
    <row r="21" spans="1:18" ht="17.25" customHeight="1">
      <c r="A21" s="41" t="s">
        <v>180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14"/>
      <c r="R21" s="215"/>
    </row>
    <row r="22" spans="1:18" ht="17.25" customHeight="1">
      <c r="A22" s="40" t="s">
        <v>218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14"/>
      <c r="R22" s="215"/>
    </row>
    <row r="23" spans="1:18" ht="17.25" customHeight="1">
      <c r="A23" s="40" t="s">
        <v>151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14"/>
      <c r="R23" s="215"/>
    </row>
    <row r="24" spans="1:18" ht="17.25" customHeight="1">
      <c r="A24" s="40" t="s">
        <v>219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14"/>
      <c r="R24" s="215"/>
    </row>
    <row r="25" spans="1:18" ht="17.25" customHeight="1">
      <c r="A25" s="40" t="s">
        <v>144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16"/>
      <c r="R25" s="217"/>
    </row>
    <row r="26" spans="1:18" ht="17.25" customHeight="1" thickBot="1">
      <c r="A26" s="42" t="s">
        <v>215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91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88"/>
      <c r="R33" s="189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86"/>
      <c r="R34" s="187"/>
    </row>
    <row r="35" spans="1:18" ht="17.25" customHeight="1">
      <c r="A35" s="11" t="s">
        <v>169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86"/>
      <c r="R35" s="187"/>
    </row>
    <row r="36" spans="1:18" ht="17.25" customHeight="1">
      <c r="A36" s="11" t="s">
        <v>147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86"/>
      <c r="R36" s="187"/>
    </row>
    <row r="37" spans="1:18" ht="17.25" customHeight="1">
      <c r="A37" s="11" t="s">
        <v>152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86"/>
      <c r="R37" s="187"/>
    </row>
    <row r="38" spans="1:18" ht="17.25" customHeight="1">
      <c r="A38" s="8" t="s">
        <v>149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86"/>
      <c r="R38" s="187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86"/>
      <c r="R39" s="187"/>
    </row>
    <row r="40" spans="1:18" ht="17.25" customHeight="1">
      <c r="A40" s="11" t="s">
        <v>161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86"/>
      <c r="R40" s="187"/>
    </row>
    <row r="41" spans="1:18" ht="17.25" customHeight="1">
      <c r="A41" s="11" t="s">
        <v>131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86"/>
      <c r="R41" s="187"/>
    </row>
    <row r="42" spans="1:18" ht="17.25" customHeight="1">
      <c r="A42" s="11" t="s">
        <v>126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88"/>
      <c r="R42" s="189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91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88"/>
      <c r="R50" s="189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86"/>
      <c r="R51" s="187"/>
    </row>
    <row r="52" spans="1:18" ht="17.25" customHeight="1">
      <c r="A52" s="11" t="s">
        <v>140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86"/>
      <c r="R52" s="187"/>
    </row>
    <row r="53" spans="1:18" ht="17.25" customHeight="1">
      <c r="A53" s="11" t="s">
        <v>150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86"/>
      <c r="R53" s="187"/>
    </row>
    <row r="54" spans="1:18" ht="17.25" customHeight="1">
      <c r="A54" s="11" t="s">
        <v>139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86"/>
      <c r="R54" s="187"/>
    </row>
    <row r="55" spans="1:18" ht="17.25" customHeight="1">
      <c r="A55" s="8" t="s">
        <v>135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86"/>
      <c r="R55" s="187"/>
    </row>
    <row r="56" spans="1:18" ht="17.25" customHeight="1">
      <c r="A56" s="11" t="s">
        <v>108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86"/>
      <c r="R56" s="187"/>
    </row>
    <row r="57" spans="1:18" ht="17.25" customHeight="1">
      <c r="A57" s="11" t="s">
        <v>137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86"/>
      <c r="R57" s="187"/>
    </row>
    <row r="58" spans="1:18" ht="17.25" customHeight="1">
      <c r="A58" s="11" t="s">
        <v>164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86"/>
      <c r="R58" s="187"/>
    </row>
    <row r="59" spans="1:18" ht="17.25" customHeight="1">
      <c r="A59" s="11" t="s">
        <v>122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91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88"/>
      <c r="R67" s="189"/>
    </row>
    <row r="68" spans="1:18" ht="17.25" customHeight="1">
      <c r="A68" s="9" t="s">
        <v>144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86"/>
      <c r="R68" s="187"/>
    </row>
    <row r="69" spans="1:18" ht="17.25" customHeight="1">
      <c r="A69" s="11" t="s">
        <v>129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86"/>
      <c r="R69" s="187"/>
    </row>
    <row r="70" spans="1:18" ht="17.25" customHeight="1">
      <c r="A70" s="11" t="s">
        <v>154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86"/>
      <c r="R70" s="187"/>
    </row>
    <row r="71" spans="1:18" ht="17.25" customHeight="1">
      <c r="A71" s="11" t="s">
        <v>133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86"/>
      <c r="R71" s="187"/>
    </row>
    <row r="72" spans="1:18" ht="17.25" customHeight="1">
      <c r="A72" s="8" t="s">
        <v>128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86"/>
      <c r="R72" s="187"/>
    </row>
    <row r="73" spans="1:18" ht="17.25" customHeight="1">
      <c r="A73" s="11" t="s">
        <v>170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86"/>
      <c r="R73" s="187"/>
    </row>
    <row r="74" spans="1:18" ht="17.25" customHeight="1">
      <c r="A74" s="11" t="s">
        <v>119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86"/>
      <c r="R74" s="187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86"/>
      <c r="R75" s="187"/>
    </row>
    <row r="76" spans="1:18" ht="17.25" customHeight="1">
      <c r="A76" s="11" t="s">
        <v>163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88"/>
      <c r="R76" s="189"/>
    </row>
    <row r="77" spans="1:18" ht="17.25" customHeight="1" thickBot="1">
      <c r="A77" s="13" t="s">
        <v>174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91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88"/>
      <c r="R84" s="189"/>
    </row>
    <row r="85" spans="1:18" ht="17.25" customHeight="1">
      <c r="A85" s="9" t="s">
        <v>142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86"/>
      <c r="R85" s="187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86"/>
      <c r="R86" s="187"/>
    </row>
    <row r="87" spans="1:18" ht="17.25" customHeight="1">
      <c r="A87" s="11" t="s">
        <v>124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86"/>
      <c r="R87" s="187"/>
    </row>
    <row r="88" spans="1:18" ht="17.25" customHeight="1">
      <c r="A88" s="11" t="s">
        <v>166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86"/>
      <c r="R88" s="187"/>
    </row>
    <row r="89" spans="1:18" ht="17.25" customHeight="1">
      <c r="A89" s="8" t="s">
        <v>178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86"/>
      <c r="R89" s="187"/>
    </row>
    <row r="90" spans="1:18" ht="17.25" customHeight="1">
      <c r="A90" s="11" t="s">
        <v>130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86"/>
      <c r="R90" s="187"/>
    </row>
    <row r="91" spans="1:18" ht="17.25" customHeight="1">
      <c r="A91" s="11" t="s">
        <v>114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86"/>
      <c r="R91" s="187"/>
    </row>
    <row r="92" spans="1:18" ht="17.25" customHeight="1">
      <c r="A92" s="11" t="s">
        <v>148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86"/>
      <c r="R92" s="187"/>
    </row>
    <row r="93" spans="1:18" ht="17.25" customHeight="1">
      <c r="A93" s="11" t="s">
        <v>120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88"/>
      <c r="R93" s="189"/>
    </row>
    <row r="94" spans="1:18" ht="17.25" customHeight="1" thickBot="1">
      <c r="A94" s="13" t="s">
        <v>181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91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88"/>
      <c r="R101" s="189"/>
    </row>
    <row r="102" spans="1:18" ht="17.25" customHeight="1">
      <c r="A102" s="9" t="s">
        <v>171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86"/>
      <c r="R102" s="187"/>
    </row>
    <row r="103" spans="1:18" ht="17.25" customHeight="1">
      <c r="A103" s="11" t="s">
        <v>195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86"/>
      <c r="R103" s="187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86"/>
      <c r="R104" s="187"/>
    </row>
    <row r="105" spans="1:18" ht="17.25" customHeight="1">
      <c r="A105" s="11" t="s">
        <v>176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86"/>
      <c r="R105" s="187"/>
    </row>
    <row r="106" spans="1:18" ht="17.25" customHeight="1">
      <c r="A106" s="8" t="s">
        <v>180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86"/>
      <c r="R106" s="187"/>
    </row>
    <row r="107" spans="1:18" ht="17.25" customHeight="1">
      <c r="A107" s="11" t="s">
        <v>218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86"/>
      <c r="R107" s="187"/>
    </row>
    <row r="108" spans="1:18" ht="17.25" customHeight="1">
      <c r="A108" s="11" t="s">
        <v>151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86"/>
      <c r="R108" s="187"/>
    </row>
    <row r="109" spans="1:18" ht="17.25" customHeight="1">
      <c r="A109" s="11" t="s">
        <v>219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86"/>
      <c r="R109" s="187"/>
    </row>
    <row r="110" spans="1:18" ht="17.25" customHeight="1">
      <c r="A110" s="11" t="s">
        <v>144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88"/>
      <c r="R110" s="189"/>
    </row>
    <row r="111" spans="1:18" ht="17.25" customHeight="1" thickBot="1">
      <c r="A111" s="13" t="s">
        <v>215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90"/>
      <c r="R112" s="19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281" priority="89">
      <formula>$E$27&gt;0</formula>
    </cfRule>
    <cfRule type="expression" dxfId="1280" priority="90">
      <formula>$E$27&lt;0</formula>
    </cfRule>
  </conditionalFormatting>
  <conditionalFormatting sqref="G15:I16 H27:I27">
    <cfRule type="expression" dxfId="1279" priority="87">
      <formula>$H$27&gt;0</formula>
    </cfRule>
    <cfRule type="expression" dxfId="1278" priority="88">
      <formula>$H$27&lt;0</formula>
    </cfRule>
  </conditionalFormatting>
  <conditionalFormatting sqref="J15:L16 K27:L27">
    <cfRule type="expression" dxfId="1277" priority="85">
      <formula>$K$27&gt;0</formula>
    </cfRule>
    <cfRule type="expression" dxfId="1276" priority="86">
      <formula>$K$27&lt;0</formula>
    </cfRule>
  </conditionalFormatting>
  <conditionalFormatting sqref="M15:O16 N27:O27">
    <cfRule type="expression" dxfId="1275" priority="83">
      <formula>$N$27&gt;0</formula>
    </cfRule>
    <cfRule type="expression" dxfId="1274" priority="84">
      <formula>$N$27&lt;0</formula>
    </cfRule>
  </conditionalFormatting>
  <conditionalFormatting sqref="A17:O26 A34:O43">
    <cfRule type="expression" dxfId="1273" priority="91">
      <formula>AND($N17 &gt; 0, ISNUMBER($N17))</formula>
    </cfRule>
    <cfRule type="expression" dxfId="1272" priority="92">
      <formula>AND($N17 &lt; 0, ISNUMBER($N17))</formula>
    </cfRule>
    <cfRule type="expression" dxfId="1271" priority="93">
      <formula>AND($K17 &gt; 0, ISNUMBER($K17))</formula>
    </cfRule>
    <cfRule type="expression" dxfId="1270" priority="94">
      <formula>AND($K17 &lt; 0, ISNUMBER($K17))</formula>
    </cfRule>
    <cfRule type="expression" dxfId="1269" priority="95">
      <formula>AND($H17 &gt; 0, ISNUMBER($H17))</formula>
    </cfRule>
    <cfRule type="expression" dxfId="1268" priority="96">
      <formula>AND($H17 &lt; 0, ISNUMBER($H17))</formula>
    </cfRule>
    <cfRule type="expression" dxfId="1267" priority="97">
      <formula>AND($E17 &gt; 0, ISNUMBER($E17))</formula>
    </cfRule>
    <cfRule type="expression" dxfId="1266" priority="98">
      <formula>AND($E17 &lt; 0, ISNUMBER($E17))</formula>
    </cfRule>
  </conditionalFormatting>
  <conditionalFormatting sqref="D32:F33 E44:F44">
    <cfRule type="expression" dxfId="1265" priority="81">
      <formula>$E$44&gt;0</formula>
    </cfRule>
    <cfRule type="expression" dxfId="1264" priority="82">
      <formula>$E$44&lt;0</formula>
    </cfRule>
  </conditionalFormatting>
  <conditionalFormatting sqref="G32:I33 H44:I44">
    <cfRule type="expression" dxfId="1263" priority="79">
      <formula>$H$44&gt;0</formula>
    </cfRule>
    <cfRule type="expression" dxfId="1262" priority="80">
      <formula>$H$44&lt;0</formula>
    </cfRule>
  </conditionalFormatting>
  <conditionalFormatting sqref="J32:L33 K44:L44">
    <cfRule type="expression" dxfId="1261" priority="77">
      <formula>$K$44&gt;0</formula>
    </cfRule>
    <cfRule type="expression" dxfId="1260" priority="78">
      <formula>$K$44&lt;0</formula>
    </cfRule>
  </conditionalFormatting>
  <conditionalFormatting sqref="M32:O33 N44:O44">
    <cfRule type="expression" dxfId="1259" priority="75">
      <formula>$N$44&gt;0</formula>
    </cfRule>
    <cfRule type="expression" dxfId="1258" priority="76">
      <formula>$N$44&lt;0</formula>
    </cfRule>
  </conditionalFormatting>
  <conditionalFormatting sqref="A51:O60">
    <cfRule type="expression" dxfId="1257" priority="67">
      <formula>AND($N51 &gt; 0, ISNUMBER($N51))</formula>
    </cfRule>
    <cfRule type="expression" dxfId="1256" priority="68">
      <formula>AND($N51 &lt; 0, ISNUMBER($N51))</formula>
    </cfRule>
    <cfRule type="expression" dxfId="1255" priority="69">
      <formula>AND($K51 &gt; 0, ISNUMBER($K51))</formula>
    </cfRule>
    <cfRule type="expression" dxfId="1254" priority="70">
      <formula>AND($K51 &lt; 0, ISNUMBER($K51))</formula>
    </cfRule>
    <cfRule type="expression" dxfId="1253" priority="71">
      <formula>AND($H51 &gt; 0, ISNUMBER($H51))</formula>
    </cfRule>
    <cfRule type="expression" dxfId="1252" priority="72">
      <formula>AND($H51 &lt; 0, ISNUMBER($H51))</formula>
    </cfRule>
    <cfRule type="expression" dxfId="1251" priority="73">
      <formula>AND($E51 &gt; 0, ISNUMBER($E51))</formula>
    </cfRule>
    <cfRule type="expression" dxfId="1250" priority="74">
      <formula>AND($E51 &lt; 0, ISNUMBER($E51))</formula>
    </cfRule>
  </conditionalFormatting>
  <conditionalFormatting sqref="D49:F50 E61:F61">
    <cfRule type="expression" dxfId="1249" priority="65">
      <formula>$E$61&gt;0</formula>
    </cfRule>
    <cfRule type="expression" dxfId="1248" priority="66">
      <formula>$E$61&lt;0</formula>
    </cfRule>
  </conditionalFormatting>
  <conditionalFormatting sqref="G49:I50 H61:I61">
    <cfRule type="expression" dxfId="1247" priority="63">
      <formula>$H$61&gt;0</formula>
    </cfRule>
    <cfRule type="expression" dxfId="1246" priority="64">
      <formula>$H$61&lt;0</formula>
    </cfRule>
  </conditionalFormatting>
  <conditionalFormatting sqref="J49:L50 K61:L61">
    <cfRule type="expression" dxfId="1245" priority="61">
      <formula>$K$61&gt;0</formula>
    </cfRule>
    <cfRule type="expression" dxfId="1244" priority="62">
      <formula>$K$61&lt;0</formula>
    </cfRule>
  </conditionalFormatting>
  <conditionalFormatting sqref="M49:O50 N61:O61">
    <cfRule type="expression" dxfId="1243" priority="59">
      <formula>$N$61&gt;0</formula>
    </cfRule>
    <cfRule type="expression" dxfId="1242" priority="60">
      <formula>$N$61&lt;0</formula>
    </cfRule>
  </conditionalFormatting>
  <conditionalFormatting sqref="A68:O77">
    <cfRule type="expression" dxfId="1241" priority="51">
      <formula>AND($N68 &gt; 0, ISNUMBER($N68))</formula>
    </cfRule>
    <cfRule type="expression" dxfId="1240" priority="52">
      <formula>AND($N68 &lt; 0, ISNUMBER($N68))</formula>
    </cfRule>
    <cfRule type="expression" dxfId="1239" priority="53">
      <formula>AND($K68 &gt; 0, ISNUMBER($K68))</formula>
    </cfRule>
    <cfRule type="expression" dxfId="1238" priority="54">
      <formula>AND($K68 &lt; 0, ISNUMBER($K68))</formula>
    </cfRule>
    <cfRule type="expression" dxfId="1237" priority="55">
      <formula>AND($H68 &gt; 0, ISNUMBER($H68))</formula>
    </cfRule>
    <cfRule type="expression" dxfId="1236" priority="56">
      <formula>AND($H68 &lt; 0, ISNUMBER($H68))</formula>
    </cfRule>
    <cfRule type="expression" dxfId="1235" priority="57">
      <formula>AND($E68 &gt; 0, ISNUMBER($E68))</formula>
    </cfRule>
    <cfRule type="expression" dxfId="1234" priority="58">
      <formula>AND($E68 &lt; 0, ISNUMBER($E68))</formula>
    </cfRule>
  </conditionalFormatting>
  <conditionalFormatting sqref="D66:F67 E78:F78">
    <cfRule type="expression" dxfId="1233" priority="49">
      <formula>$E$78&gt;0</formula>
    </cfRule>
    <cfRule type="expression" dxfId="1232" priority="50">
      <formula>$E$78&lt;0</formula>
    </cfRule>
  </conditionalFormatting>
  <conditionalFormatting sqref="G66:I67 H78:I78">
    <cfRule type="expression" dxfId="1231" priority="47">
      <formula>$H$78&gt;0</formula>
    </cfRule>
    <cfRule type="expression" dxfId="1230" priority="48">
      <formula>$H$78&lt;0</formula>
    </cfRule>
  </conditionalFormatting>
  <conditionalFormatting sqref="J66:L67 K78:L78">
    <cfRule type="expression" dxfId="1229" priority="45">
      <formula>$K$78&gt;0</formula>
    </cfRule>
    <cfRule type="expression" dxfId="1228" priority="46">
      <formula>$K$78&lt;0</formula>
    </cfRule>
  </conditionalFormatting>
  <conditionalFormatting sqref="M66:O67 N78:O78">
    <cfRule type="expression" dxfId="1227" priority="43">
      <formula>$N$78&gt;0</formula>
    </cfRule>
    <cfRule type="expression" dxfId="1226" priority="44">
      <formula>$N$78&lt;0</formula>
    </cfRule>
  </conditionalFormatting>
  <conditionalFormatting sqref="A85:O94">
    <cfRule type="expression" dxfId="1225" priority="35">
      <formula>AND($N85 &gt; 0, ISNUMBER($N85))</formula>
    </cfRule>
    <cfRule type="expression" dxfId="1224" priority="36">
      <formula>AND($N85 &lt; 0, ISNUMBER($N85))</formula>
    </cfRule>
    <cfRule type="expression" dxfId="1223" priority="37">
      <formula>AND($K85 &gt; 0, ISNUMBER($K85))</formula>
    </cfRule>
    <cfRule type="expression" dxfId="1222" priority="38">
      <formula>AND($K85 &lt; 0, ISNUMBER($K85))</formula>
    </cfRule>
    <cfRule type="expression" dxfId="1221" priority="39">
      <formula>AND($H85 &gt; 0, ISNUMBER($H85))</formula>
    </cfRule>
    <cfRule type="expression" dxfId="1220" priority="40">
      <formula>AND($H85 &lt; 0, ISNUMBER($H85))</formula>
    </cfRule>
    <cfRule type="expression" dxfId="1219" priority="41">
      <formula>AND($E85 &gt; 0, ISNUMBER($E85))</formula>
    </cfRule>
    <cfRule type="expression" dxfId="1218" priority="42">
      <formula>AND($E85 &lt; 0, ISNUMBER($E85))</formula>
    </cfRule>
  </conditionalFormatting>
  <conditionalFormatting sqref="D83:F84 E95:F95">
    <cfRule type="expression" dxfId="1217" priority="33">
      <formula>$E$95&gt;0</formula>
    </cfRule>
    <cfRule type="expression" dxfId="1216" priority="34">
      <formula>$E$95&lt;0</formula>
    </cfRule>
  </conditionalFormatting>
  <conditionalFormatting sqref="G83:I84 H95:I95">
    <cfRule type="expression" dxfId="1215" priority="31">
      <formula>$H$95&gt;0</formula>
    </cfRule>
    <cfRule type="expression" dxfId="1214" priority="32">
      <formula>$H$95&lt;0</formula>
    </cfRule>
  </conditionalFormatting>
  <conditionalFormatting sqref="J83:L84 K95:L95">
    <cfRule type="expression" dxfId="1213" priority="29">
      <formula>$K$95&gt;0</formula>
    </cfRule>
    <cfRule type="expression" dxfId="1212" priority="30">
      <formula>$K$95&lt;0</formula>
    </cfRule>
  </conditionalFormatting>
  <conditionalFormatting sqref="M83:O84 N95:O95">
    <cfRule type="expression" dxfId="1211" priority="27">
      <formula>$N$95&gt;0</formula>
    </cfRule>
    <cfRule type="expression" dxfId="1210" priority="28">
      <formula>$N$95&lt;0</formula>
    </cfRule>
  </conditionalFormatting>
  <conditionalFormatting sqref="A102:O111">
    <cfRule type="expression" dxfId="1209" priority="19">
      <formula>AND($N102 &gt; 0, ISNUMBER($N102))</formula>
    </cfRule>
    <cfRule type="expression" dxfId="1208" priority="20">
      <formula>AND($N102 &lt; 0, ISNUMBER($N102))</formula>
    </cfRule>
    <cfRule type="expression" dxfId="1207" priority="21">
      <formula>AND($K102 &gt; 0, ISNUMBER($K102))</formula>
    </cfRule>
    <cfRule type="expression" dxfId="1206" priority="22">
      <formula>AND($K102 &lt; 0, ISNUMBER($K102))</formula>
    </cfRule>
    <cfRule type="expression" dxfId="1205" priority="23">
      <formula>AND($H102 &gt; 0, ISNUMBER($H102))</formula>
    </cfRule>
    <cfRule type="expression" dxfId="1204" priority="24">
      <formula>AND($H102 &lt; 0, ISNUMBER($H102))</formula>
    </cfRule>
    <cfRule type="expression" dxfId="1203" priority="25">
      <formula>AND($E102 &gt; 0, ISNUMBER($E102))</formula>
    </cfRule>
    <cfRule type="expression" dxfId="1202" priority="26">
      <formula>AND($E102 &lt; 0, ISNUMBER($E102))</formula>
    </cfRule>
  </conditionalFormatting>
  <conditionalFormatting sqref="D100:F101 E112:F112">
    <cfRule type="expression" dxfId="1201" priority="17">
      <formula>$E$112&gt;0</formula>
    </cfRule>
    <cfRule type="expression" dxfId="1200" priority="18">
      <formula>$E$112&lt;0</formula>
    </cfRule>
  </conditionalFormatting>
  <conditionalFormatting sqref="G100:I101 H112:I112">
    <cfRule type="expression" dxfId="1199" priority="15">
      <formula>$H$112&gt;0</formula>
    </cfRule>
    <cfRule type="expression" dxfId="1198" priority="16">
      <formula>$H$112&lt;0</formula>
    </cfRule>
  </conditionalFormatting>
  <conditionalFormatting sqref="J100:L101 K112:L112">
    <cfRule type="expression" dxfId="1197" priority="13">
      <formula>$K$112&gt;0</formula>
    </cfRule>
    <cfRule type="expression" dxfId="1196" priority="14">
      <formula>$K$112&lt;0</formula>
    </cfRule>
  </conditionalFormatting>
  <conditionalFormatting sqref="M100:O101 N112:O112">
    <cfRule type="expression" dxfId="1195" priority="11">
      <formula>$N$112&gt;0</formula>
    </cfRule>
    <cfRule type="expression" dxfId="1194" priority="12">
      <formula>$N$112&lt;0</formula>
    </cfRule>
  </conditionalFormatting>
  <conditionalFormatting sqref="G2:I3">
    <cfRule type="expression" dxfId="11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44295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99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98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16"/>
      <c r="R16" s="217"/>
    </row>
    <row r="17" spans="1:18" ht="17.25" customHeight="1">
      <c r="A17" s="39" t="s">
        <v>150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14"/>
      <c r="R17" s="215"/>
    </row>
    <row r="18" spans="1:18" ht="17.25" customHeight="1">
      <c r="A18" s="40" t="s">
        <v>121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14"/>
      <c r="R18" s="215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14"/>
      <c r="R19" s="215"/>
    </row>
    <row r="20" spans="1:18" ht="17.25" customHeight="1">
      <c r="A20" s="40" t="s">
        <v>118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14"/>
      <c r="R20" s="215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14"/>
      <c r="R21" s="215"/>
    </row>
    <row r="22" spans="1:18" ht="17.25" customHeight="1">
      <c r="A22" s="40" t="s">
        <v>145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14"/>
      <c r="R22" s="215"/>
    </row>
    <row r="23" spans="1:18" ht="17.25" customHeight="1">
      <c r="A23" s="40" t="s">
        <v>126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14"/>
      <c r="R23" s="215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14"/>
      <c r="R24" s="215"/>
    </row>
    <row r="25" spans="1:18" ht="17.25" customHeight="1">
      <c r="A25" s="40" t="s">
        <v>137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16"/>
      <c r="R25" s="217"/>
    </row>
    <row r="26" spans="1:18" ht="17.25" customHeight="1" thickBot="1">
      <c r="A26" s="42" t="s">
        <v>130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98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88"/>
      <c r="R33" s="189"/>
    </row>
    <row r="34" spans="1:18" ht="17.25" customHeight="1">
      <c r="A34" s="9" t="s">
        <v>152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86"/>
      <c r="R34" s="187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86"/>
      <c r="R35" s="18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6"/>
      <c r="R36" s="18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6"/>
      <c r="R37" s="18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6"/>
      <c r="R38" s="18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6"/>
      <c r="R39" s="18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6"/>
      <c r="R40" s="18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6"/>
      <c r="R41" s="18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8"/>
      <c r="R42" s="18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98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88"/>
      <c r="R50" s="189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86"/>
      <c r="R51" s="187"/>
    </row>
    <row r="52" spans="1:18" ht="17.25" customHeight="1">
      <c r="A52" s="11" t="s">
        <v>126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86"/>
      <c r="R52" s="187"/>
    </row>
    <row r="53" spans="1:18" ht="17.25" customHeight="1">
      <c r="A53" s="11" t="s">
        <v>137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86"/>
      <c r="R53" s="187"/>
    </row>
    <row r="54" spans="1:18" ht="17.25" customHeight="1">
      <c r="A54" s="11" t="s">
        <v>135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86"/>
      <c r="R54" s="187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86"/>
      <c r="R55" s="187"/>
    </row>
    <row r="56" spans="1:18" ht="17.25" customHeight="1">
      <c r="A56" s="11" t="s">
        <v>139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86"/>
      <c r="R56" s="187"/>
    </row>
    <row r="57" spans="1:18" ht="17.25" customHeight="1">
      <c r="A57" s="11" t="s">
        <v>108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86"/>
      <c r="R57" s="187"/>
    </row>
    <row r="58" spans="1:18" ht="17.25" customHeight="1">
      <c r="A58" s="11" t="s">
        <v>122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86"/>
      <c r="R58" s="187"/>
    </row>
    <row r="59" spans="1:18" ht="17.25" customHeight="1">
      <c r="A59" s="11" t="s">
        <v>140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88"/>
      <c r="R59" s="189"/>
    </row>
    <row r="60" spans="1:18" ht="17.25" customHeight="1" thickBot="1">
      <c r="A60" s="13" t="s">
        <v>149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98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88"/>
      <c r="R67" s="189"/>
    </row>
    <row r="68" spans="1:18" ht="17.25" customHeight="1">
      <c r="A68" s="9" t="s">
        <v>114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86"/>
      <c r="R68" s="187"/>
    </row>
    <row r="69" spans="1:18" ht="17.25" customHeight="1">
      <c r="A69" s="11" t="s">
        <v>148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86"/>
      <c r="R69" s="187"/>
    </row>
    <row r="70" spans="1:18" ht="17.25" customHeight="1">
      <c r="A70" s="11" t="s">
        <v>128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86"/>
      <c r="R70" s="187"/>
    </row>
    <row r="71" spans="1:18" ht="17.25" customHeight="1">
      <c r="A71" s="11" t="s">
        <v>142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86"/>
      <c r="R71" s="187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86"/>
      <c r="R72" s="187"/>
    </row>
    <row r="73" spans="1:18" ht="17.25" customHeight="1">
      <c r="A73" s="11" t="s">
        <v>168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86"/>
      <c r="R73" s="187"/>
    </row>
    <row r="74" spans="1:18" ht="17.25" customHeight="1">
      <c r="A74" s="11" t="s">
        <v>170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86"/>
      <c r="R74" s="187"/>
    </row>
    <row r="75" spans="1:18" ht="17.25" customHeight="1">
      <c r="A75" s="11" t="s">
        <v>174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86"/>
      <c r="R75" s="187"/>
    </row>
    <row r="76" spans="1:18" ht="17.25" customHeight="1">
      <c r="A76" s="11" t="s">
        <v>120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88"/>
      <c r="R76" s="189"/>
    </row>
    <row r="77" spans="1:18" ht="17.25" customHeight="1" thickBot="1">
      <c r="A77" s="13" t="s">
        <v>177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98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88"/>
      <c r="R84" s="189"/>
    </row>
    <row r="85" spans="1:18" ht="17.25" customHeight="1">
      <c r="A85" s="9" t="s">
        <v>130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86"/>
      <c r="R85" s="187"/>
    </row>
    <row r="86" spans="1:18" ht="17.25" customHeight="1">
      <c r="A86" s="11" t="s">
        <v>116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86"/>
      <c r="R86" s="187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86"/>
      <c r="R87" s="187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86"/>
      <c r="R88" s="187"/>
    </row>
    <row r="89" spans="1:18" ht="17.25" customHeight="1">
      <c r="A89" s="8" t="s">
        <v>115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86"/>
      <c r="R89" s="187"/>
    </row>
    <row r="90" spans="1:18" ht="17.25" customHeight="1">
      <c r="A90" s="11" t="s">
        <v>167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86"/>
      <c r="R90" s="187"/>
    </row>
    <row r="91" spans="1:18" ht="17.25" customHeight="1">
      <c r="A91" s="11" t="s">
        <v>127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86"/>
      <c r="R91" s="187"/>
    </row>
    <row r="92" spans="1:18" ht="17.25" customHeight="1">
      <c r="A92" s="11" t="s">
        <v>125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86"/>
      <c r="R92" s="187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88"/>
      <c r="R93" s="189"/>
    </row>
    <row r="94" spans="1:18" ht="17.25" customHeight="1" thickBot="1">
      <c r="A94" s="13" t="s">
        <v>112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98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88"/>
      <c r="R101" s="189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86"/>
      <c r="R102" s="187"/>
    </row>
    <row r="103" spans="1:18" ht="17.25" customHeight="1">
      <c r="A103" s="11" t="s">
        <v>150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86"/>
      <c r="R103" s="187"/>
    </row>
    <row r="104" spans="1:18" ht="17.25" customHeight="1">
      <c r="A104" s="11" t="s">
        <v>121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86"/>
      <c r="R104" s="187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86"/>
      <c r="R105" s="187"/>
    </row>
    <row r="106" spans="1:18" ht="17.25" customHeight="1">
      <c r="A106" s="8" t="s">
        <v>118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86"/>
      <c r="R106" s="187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86"/>
      <c r="R107" s="187"/>
    </row>
    <row r="108" spans="1:18" ht="17.25" customHeight="1">
      <c r="A108" s="11" t="s">
        <v>145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86"/>
      <c r="R108" s="187"/>
    </row>
    <row r="109" spans="1:18" ht="17.25" customHeight="1">
      <c r="A109" s="11" t="s">
        <v>126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86"/>
      <c r="R109" s="187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88"/>
      <c r="R110" s="189"/>
    </row>
    <row r="111" spans="1:18" ht="17.25" customHeight="1" thickBot="1">
      <c r="A111" s="13" t="s">
        <v>137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90"/>
      <c r="R112" s="19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83" priority="89">
      <formula>$E$27&gt;0</formula>
    </cfRule>
    <cfRule type="expression" dxfId="1182" priority="90">
      <formula>$E$27&lt;0</formula>
    </cfRule>
  </conditionalFormatting>
  <conditionalFormatting sqref="G15:I16 H27:I27">
    <cfRule type="expression" dxfId="1181" priority="87">
      <formula>$H$27&gt;0</formula>
    </cfRule>
    <cfRule type="expression" dxfId="1180" priority="88">
      <formula>$H$27&lt;0</formula>
    </cfRule>
  </conditionalFormatting>
  <conditionalFormatting sqref="J15:L16 K27:L27">
    <cfRule type="expression" dxfId="1179" priority="85">
      <formula>$K$27&gt;0</formula>
    </cfRule>
    <cfRule type="expression" dxfId="1178" priority="86">
      <formula>$K$27&lt;0</formula>
    </cfRule>
  </conditionalFormatting>
  <conditionalFormatting sqref="M15:O16 N27:O27">
    <cfRule type="expression" dxfId="1177" priority="83">
      <formula>$N$27&gt;0</formula>
    </cfRule>
    <cfRule type="expression" dxfId="1176" priority="84">
      <formula>$N$27&lt;0</formula>
    </cfRule>
  </conditionalFormatting>
  <conditionalFormatting sqref="A17:O26 A34:O43">
    <cfRule type="expression" dxfId="1175" priority="91">
      <formula>AND($N17 &gt; 0, ISNUMBER($N17))</formula>
    </cfRule>
    <cfRule type="expression" dxfId="1174" priority="92">
      <formula>AND($N17 &lt; 0, ISNUMBER($N17))</formula>
    </cfRule>
    <cfRule type="expression" dxfId="1173" priority="93">
      <formula>AND($K17 &gt; 0, ISNUMBER($K17))</formula>
    </cfRule>
    <cfRule type="expression" dxfId="1172" priority="94">
      <formula>AND($K17 &lt; 0, ISNUMBER($K17))</formula>
    </cfRule>
    <cfRule type="expression" dxfId="1171" priority="95">
      <formula>AND($H17 &gt; 0, ISNUMBER($H17))</formula>
    </cfRule>
    <cfRule type="expression" dxfId="1170" priority="96">
      <formula>AND($H17 &lt; 0, ISNUMBER($H17))</formula>
    </cfRule>
    <cfRule type="expression" dxfId="1169" priority="97">
      <formula>AND($E17 &gt; 0, ISNUMBER($E17))</formula>
    </cfRule>
    <cfRule type="expression" dxfId="1168" priority="98">
      <formula>AND($E17 &lt; 0, ISNUMBER($E17))</formula>
    </cfRule>
  </conditionalFormatting>
  <conditionalFormatting sqref="D32:F33 E44:F44">
    <cfRule type="expression" dxfId="1167" priority="81">
      <formula>$E$44&gt;0</formula>
    </cfRule>
    <cfRule type="expression" dxfId="1166" priority="82">
      <formula>$E$44&lt;0</formula>
    </cfRule>
  </conditionalFormatting>
  <conditionalFormatting sqref="G32:I33 H44:I44">
    <cfRule type="expression" dxfId="1165" priority="79">
      <formula>$H$44&gt;0</formula>
    </cfRule>
    <cfRule type="expression" dxfId="1164" priority="80">
      <formula>$H$44&lt;0</formula>
    </cfRule>
  </conditionalFormatting>
  <conditionalFormatting sqref="J32:L33 K44:L44">
    <cfRule type="expression" dxfId="1163" priority="77">
      <formula>$K$44&gt;0</formula>
    </cfRule>
    <cfRule type="expression" dxfId="1162" priority="78">
      <formula>$K$44&lt;0</formula>
    </cfRule>
  </conditionalFormatting>
  <conditionalFormatting sqref="M32:O33 N44:O44">
    <cfRule type="expression" dxfId="1161" priority="75">
      <formula>$N$44&gt;0</formula>
    </cfRule>
    <cfRule type="expression" dxfId="1160" priority="76">
      <formula>$N$44&lt;0</formula>
    </cfRule>
  </conditionalFormatting>
  <conditionalFormatting sqref="A51:O60">
    <cfRule type="expression" dxfId="1159" priority="67">
      <formula>AND($N51 &gt; 0, ISNUMBER($N51))</formula>
    </cfRule>
    <cfRule type="expression" dxfId="1158" priority="68">
      <formula>AND($N51 &lt; 0, ISNUMBER($N51))</formula>
    </cfRule>
    <cfRule type="expression" dxfId="1157" priority="69">
      <formula>AND($K51 &gt; 0, ISNUMBER($K51))</formula>
    </cfRule>
    <cfRule type="expression" dxfId="1156" priority="70">
      <formula>AND($K51 &lt; 0, ISNUMBER($K51))</formula>
    </cfRule>
    <cfRule type="expression" dxfId="1155" priority="71">
      <formula>AND($H51 &gt; 0, ISNUMBER($H51))</formula>
    </cfRule>
    <cfRule type="expression" dxfId="1154" priority="72">
      <formula>AND($H51 &lt; 0, ISNUMBER($H51))</formula>
    </cfRule>
    <cfRule type="expression" dxfId="1153" priority="73">
      <formula>AND($E51 &gt; 0, ISNUMBER($E51))</formula>
    </cfRule>
    <cfRule type="expression" dxfId="1152" priority="74">
      <formula>AND($E51 &lt; 0, ISNUMBER($E51))</formula>
    </cfRule>
  </conditionalFormatting>
  <conditionalFormatting sqref="D49:F50 E61:F61">
    <cfRule type="expression" dxfId="1151" priority="65">
      <formula>$E$61&gt;0</formula>
    </cfRule>
    <cfRule type="expression" dxfId="1150" priority="66">
      <formula>$E$61&lt;0</formula>
    </cfRule>
  </conditionalFormatting>
  <conditionalFormatting sqref="G49:I50 H61:I61">
    <cfRule type="expression" dxfId="1149" priority="63">
      <formula>$H$61&gt;0</formula>
    </cfRule>
    <cfRule type="expression" dxfId="1148" priority="64">
      <formula>$H$61&lt;0</formula>
    </cfRule>
  </conditionalFormatting>
  <conditionalFormatting sqref="J49:L50 K61:L61">
    <cfRule type="expression" dxfId="1147" priority="61">
      <formula>$K$61&gt;0</formula>
    </cfRule>
    <cfRule type="expression" dxfId="1146" priority="62">
      <formula>$K$61&lt;0</formula>
    </cfRule>
  </conditionalFormatting>
  <conditionalFormatting sqref="M49:O50 N61:O61">
    <cfRule type="expression" dxfId="1145" priority="59">
      <formula>$N$61&gt;0</formula>
    </cfRule>
    <cfRule type="expression" dxfId="1144" priority="60">
      <formula>$N$61&lt;0</formula>
    </cfRule>
  </conditionalFormatting>
  <conditionalFormatting sqref="A68:O77">
    <cfRule type="expression" dxfId="1143" priority="51">
      <formula>AND($N68 &gt; 0, ISNUMBER($N68))</formula>
    </cfRule>
    <cfRule type="expression" dxfId="1142" priority="52">
      <formula>AND($N68 &lt; 0, ISNUMBER($N68))</formula>
    </cfRule>
    <cfRule type="expression" dxfId="1141" priority="53">
      <formula>AND($K68 &gt; 0, ISNUMBER($K68))</formula>
    </cfRule>
    <cfRule type="expression" dxfId="1140" priority="54">
      <formula>AND($K68 &lt; 0, ISNUMBER($K68))</formula>
    </cfRule>
    <cfRule type="expression" dxfId="1139" priority="55">
      <formula>AND($H68 &gt; 0, ISNUMBER($H68))</formula>
    </cfRule>
    <cfRule type="expression" dxfId="1138" priority="56">
      <formula>AND($H68 &lt; 0, ISNUMBER($H68))</formula>
    </cfRule>
    <cfRule type="expression" dxfId="1137" priority="57">
      <formula>AND($E68 &gt; 0, ISNUMBER($E68))</formula>
    </cfRule>
    <cfRule type="expression" dxfId="1136" priority="58">
      <formula>AND($E68 &lt; 0, ISNUMBER($E68))</formula>
    </cfRule>
  </conditionalFormatting>
  <conditionalFormatting sqref="D66:F67 E78:F78">
    <cfRule type="expression" dxfId="1135" priority="49">
      <formula>$E$78&gt;0</formula>
    </cfRule>
    <cfRule type="expression" dxfId="1134" priority="50">
      <formula>$E$78&lt;0</formula>
    </cfRule>
  </conditionalFormatting>
  <conditionalFormatting sqref="G66:I67 H78:I78">
    <cfRule type="expression" dxfId="1133" priority="47">
      <formula>$H$78&gt;0</formula>
    </cfRule>
    <cfRule type="expression" dxfId="1132" priority="48">
      <formula>$H$78&lt;0</formula>
    </cfRule>
  </conditionalFormatting>
  <conditionalFormatting sqref="J66:L67 K78:L78">
    <cfRule type="expression" dxfId="1131" priority="45">
      <formula>$K$78&gt;0</formula>
    </cfRule>
    <cfRule type="expression" dxfId="1130" priority="46">
      <formula>$K$78&lt;0</formula>
    </cfRule>
  </conditionalFormatting>
  <conditionalFormatting sqref="M66:O67 N78:O78">
    <cfRule type="expression" dxfId="1129" priority="43">
      <formula>$N$78&gt;0</formula>
    </cfRule>
    <cfRule type="expression" dxfId="1128" priority="44">
      <formula>$N$78&lt;0</formula>
    </cfRule>
  </conditionalFormatting>
  <conditionalFormatting sqref="A85:O94">
    <cfRule type="expression" dxfId="1127" priority="35">
      <formula>AND($N85 &gt; 0, ISNUMBER($N85))</formula>
    </cfRule>
    <cfRule type="expression" dxfId="1126" priority="36">
      <formula>AND($N85 &lt; 0, ISNUMBER($N85))</formula>
    </cfRule>
    <cfRule type="expression" dxfId="1125" priority="37">
      <formula>AND($K85 &gt; 0, ISNUMBER($K85))</formula>
    </cfRule>
    <cfRule type="expression" dxfId="1124" priority="38">
      <formula>AND($K85 &lt; 0, ISNUMBER($K85))</formula>
    </cfRule>
    <cfRule type="expression" dxfId="1123" priority="39">
      <formula>AND($H85 &gt; 0, ISNUMBER($H85))</formula>
    </cfRule>
    <cfRule type="expression" dxfId="1122" priority="40">
      <formula>AND($H85 &lt; 0, ISNUMBER($H85))</formula>
    </cfRule>
    <cfRule type="expression" dxfId="1121" priority="41">
      <formula>AND($E85 &gt; 0, ISNUMBER($E85))</formula>
    </cfRule>
    <cfRule type="expression" dxfId="1120" priority="42">
      <formula>AND($E85 &lt; 0, ISNUMBER($E85))</formula>
    </cfRule>
  </conditionalFormatting>
  <conditionalFormatting sqref="D83:F84 E95:F95">
    <cfRule type="expression" dxfId="1119" priority="33">
      <formula>$E$95&gt;0</formula>
    </cfRule>
    <cfRule type="expression" dxfId="1118" priority="34">
      <formula>$E$95&lt;0</formula>
    </cfRule>
  </conditionalFormatting>
  <conditionalFormatting sqref="G83:I84 H95:I95">
    <cfRule type="expression" dxfId="1117" priority="31">
      <formula>$H$95&gt;0</formula>
    </cfRule>
    <cfRule type="expression" dxfId="1116" priority="32">
      <formula>$H$95&lt;0</formula>
    </cfRule>
  </conditionalFormatting>
  <conditionalFormatting sqref="J83:L84 K95:L95">
    <cfRule type="expression" dxfId="1115" priority="29">
      <formula>$K$95&gt;0</formula>
    </cfRule>
    <cfRule type="expression" dxfId="1114" priority="30">
      <formula>$K$95&lt;0</formula>
    </cfRule>
  </conditionalFormatting>
  <conditionalFormatting sqref="M83:O84 N95:O95">
    <cfRule type="expression" dxfId="1113" priority="27">
      <formula>$N$95&gt;0</formula>
    </cfRule>
    <cfRule type="expression" dxfId="1112" priority="28">
      <formula>$N$95&lt;0</formula>
    </cfRule>
  </conditionalFormatting>
  <conditionalFormatting sqref="A102:O111">
    <cfRule type="expression" dxfId="1111" priority="19">
      <formula>AND($N102 &gt; 0, ISNUMBER($N102))</formula>
    </cfRule>
    <cfRule type="expression" dxfId="1110" priority="20">
      <formula>AND($N102 &lt; 0, ISNUMBER($N102))</formula>
    </cfRule>
    <cfRule type="expression" dxfId="1109" priority="21">
      <formula>AND($K102 &gt; 0, ISNUMBER($K102))</formula>
    </cfRule>
    <cfRule type="expression" dxfId="1108" priority="22">
      <formula>AND($K102 &lt; 0, ISNUMBER($K102))</formula>
    </cfRule>
    <cfRule type="expression" dxfId="1107" priority="23">
      <formula>AND($H102 &gt; 0, ISNUMBER($H102))</formula>
    </cfRule>
    <cfRule type="expression" dxfId="1106" priority="24">
      <formula>AND($H102 &lt; 0, ISNUMBER($H102))</formula>
    </cfRule>
    <cfRule type="expression" dxfId="1105" priority="25">
      <formula>AND($E102 &gt; 0, ISNUMBER($E102))</formula>
    </cfRule>
    <cfRule type="expression" dxfId="1104" priority="26">
      <formula>AND($E102 &lt; 0, ISNUMBER($E102))</formula>
    </cfRule>
  </conditionalFormatting>
  <conditionalFormatting sqref="D100:F101 E112:F112">
    <cfRule type="expression" dxfId="1103" priority="17">
      <formula>$E$112&gt;0</formula>
    </cfRule>
    <cfRule type="expression" dxfId="1102" priority="18">
      <formula>$E$112&lt;0</formula>
    </cfRule>
  </conditionalFormatting>
  <conditionalFormatting sqref="G100:I101 H112:I112">
    <cfRule type="expression" dxfId="1101" priority="15">
      <formula>$H$112&gt;0</formula>
    </cfRule>
    <cfRule type="expression" dxfId="1100" priority="16">
      <formula>$H$112&lt;0</formula>
    </cfRule>
  </conditionalFormatting>
  <conditionalFormatting sqref="J100:L101 K112:L112">
    <cfRule type="expression" dxfId="1099" priority="13">
      <formula>$K$112&gt;0</formula>
    </cfRule>
    <cfRule type="expression" dxfId="1098" priority="14">
      <formula>$K$112&lt;0</formula>
    </cfRule>
  </conditionalFormatting>
  <conditionalFormatting sqref="M100:O101 N112:O112">
    <cfRule type="expression" dxfId="1097" priority="11">
      <formula>$N$112&gt;0</formula>
    </cfRule>
    <cfRule type="expression" dxfId="1096" priority="12">
      <formula>$N$112&lt;0</formula>
    </cfRule>
  </conditionalFormatting>
  <conditionalFormatting sqref="G2:I3">
    <cfRule type="expression" dxfId="10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44296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14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09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16"/>
      <c r="R16" s="217"/>
    </row>
    <row r="17" spans="1:18" ht="17.25" customHeight="1">
      <c r="A17" s="39" t="s">
        <v>141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14"/>
      <c r="R17" s="215"/>
    </row>
    <row r="18" spans="1:18" ht="17.25" customHeight="1">
      <c r="A18" s="40" t="s">
        <v>156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14"/>
      <c r="R18" s="215"/>
    </row>
    <row r="19" spans="1:18" ht="17.25" customHeight="1">
      <c r="A19" s="40" t="s">
        <v>177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14"/>
      <c r="R19" s="215"/>
    </row>
    <row r="20" spans="1:18" ht="17.25" customHeight="1">
      <c r="A20" s="40" t="s">
        <v>146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14"/>
      <c r="R20" s="215"/>
    </row>
    <row r="21" spans="1:18" ht="17.25" customHeight="1">
      <c r="A21" s="41" t="s">
        <v>179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14"/>
      <c r="R21" s="215"/>
    </row>
    <row r="22" spans="1:18" ht="17.25" customHeight="1">
      <c r="A22" s="40" t="s">
        <v>200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14"/>
      <c r="R22" s="215"/>
    </row>
    <row r="23" spans="1:18" ht="17.25" customHeight="1">
      <c r="A23" s="40" t="s">
        <v>172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14"/>
      <c r="R23" s="215"/>
    </row>
    <row r="24" spans="1:18" ht="17.25" customHeight="1">
      <c r="A24" s="40" t="s">
        <v>168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14"/>
      <c r="R24" s="215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16"/>
      <c r="R25" s="217"/>
    </row>
    <row r="26" spans="1:18" ht="17.25" customHeight="1" thickBot="1">
      <c r="A26" s="42" t="s">
        <v>138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09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88"/>
      <c r="R33" s="189"/>
    </row>
    <row r="34" spans="1:18" ht="17.25" customHeight="1">
      <c r="A34" s="9" t="s">
        <v>164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86"/>
      <c r="R34" s="187"/>
    </row>
    <row r="35" spans="1:18" ht="17.25" customHeight="1">
      <c r="A35" s="11" t="s">
        <v>139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86"/>
      <c r="R35" s="187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86"/>
      <c r="R36" s="187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86"/>
      <c r="R37" s="187"/>
    </row>
    <row r="38" spans="1:18" ht="17.25" customHeight="1">
      <c r="A38" s="8" t="s">
        <v>140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86"/>
      <c r="R38" s="187"/>
    </row>
    <row r="39" spans="1:18" ht="17.25" customHeight="1">
      <c r="A39" s="11" t="s">
        <v>149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86"/>
      <c r="R39" s="18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6"/>
      <c r="R40" s="18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6"/>
      <c r="R41" s="18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8"/>
      <c r="R42" s="18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09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88"/>
      <c r="R50" s="189"/>
    </row>
    <row r="51" spans="1:18" ht="17.25" customHeight="1">
      <c r="A51" s="9" t="s">
        <v>135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86"/>
      <c r="R51" s="18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6"/>
      <c r="R52" s="18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6"/>
      <c r="R53" s="18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6"/>
      <c r="R54" s="18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6"/>
      <c r="R55" s="18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09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88"/>
      <c r="R67" s="189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86"/>
      <c r="R68" s="187"/>
    </row>
    <row r="69" spans="1:18" ht="17.25" customHeight="1">
      <c r="A69" s="11" t="s">
        <v>116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86"/>
      <c r="R69" s="187"/>
    </row>
    <row r="70" spans="1:18" ht="17.25" customHeight="1">
      <c r="A70" s="11" t="s">
        <v>129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86"/>
      <c r="R70" s="187"/>
    </row>
    <row r="71" spans="1:18" ht="17.25" customHeight="1">
      <c r="A71" s="11" t="s">
        <v>124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86"/>
      <c r="R71" s="187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86"/>
      <c r="R72" s="187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86"/>
      <c r="R73" s="187"/>
    </row>
    <row r="74" spans="1:18" ht="17.25" customHeight="1">
      <c r="A74" s="11" t="s">
        <v>112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86"/>
      <c r="R74" s="187"/>
    </row>
    <row r="75" spans="1:18" ht="17.25" customHeight="1">
      <c r="A75" s="11" t="s">
        <v>127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86"/>
      <c r="R75" s="187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88"/>
      <c r="R76" s="189"/>
    </row>
    <row r="77" spans="1:18" ht="17.25" customHeight="1" thickBot="1">
      <c r="A77" s="13" t="s">
        <v>131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09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88"/>
      <c r="R84" s="189"/>
    </row>
    <row r="85" spans="1:18" ht="17.25" customHeight="1">
      <c r="A85" s="9" t="s">
        <v>146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86"/>
      <c r="R85" s="187"/>
    </row>
    <row r="86" spans="1:18" ht="17.25" customHeight="1">
      <c r="A86" s="11" t="s">
        <v>172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86"/>
      <c r="R86" s="187"/>
    </row>
    <row r="87" spans="1:18" ht="17.25" customHeight="1">
      <c r="A87" s="11" t="s">
        <v>168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86"/>
      <c r="R87" s="187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86"/>
      <c r="R88" s="187"/>
    </row>
    <row r="89" spans="1:18" ht="17.25" customHeight="1">
      <c r="A89" s="8" t="s">
        <v>138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86"/>
      <c r="R89" s="187"/>
    </row>
    <row r="90" spans="1:18" ht="17.25" customHeight="1">
      <c r="A90" s="11" t="s">
        <v>158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86"/>
      <c r="R90" s="187"/>
    </row>
    <row r="91" spans="1:18" ht="17.25" customHeight="1">
      <c r="A91" s="11" t="s">
        <v>167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86"/>
      <c r="R91" s="187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86"/>
      <c r="R92" s="187"/>
    </row>
    <row r="93" spans="1:18" ht="17.25" customHeight="1">
      <c r="A93" s="11" t="s">
        <v>115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88"/>
      <c r="R93" s="18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09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88"/>
      <c r="R101" s="189"/>
    </row>
    <row r="102" spans="1:18" ht="17.25" customHeight="1">
      <c r="A102" s="9" t="s">
        <v>175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86"/>
      <c r="R102" s="187"/>
    </row>
    <row r="103" spans="1:18" ht="17.25" customHeight="1">
      <c r="A103" s="11" t="s">
        <v>174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86"/>
      <c r="R103" s="187"/>
    </row>
    <row r="104" spans="1:18" ht="17.25" customHeight="1">
      <c r="A104" s="11" t="s">
        <v>173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86"/>
      <c r="R104" s="187"/>
    </row>
    <row r="105" spans="1:18" ht="17.25" customHeight="1">
      <c r="A105" s="11" t="s">
        <v>182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86"/>
      <c r="R105" s="187"/>
    </row>
    <row r="106" spans="1:18" ht="17.25" customHeight="1">
      <c r="A106" s="8" t="s">
        <v>165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86"/>
      <c r="R106" s="187"/>
    </row>
    <row r="107" spans="1:18" ht="17.25" customHeight="1">
      <c r="A107" s="11" t="s">
        <v>141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86"/>
      <c r="R107" s="187"/>
    </row>
    <row r="108" spans="1:18" ht="17.25" customHeight="1">
      <c r="A108" s="11" t="s">
        <v>156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86"/>
      <c r="R108" s="187"/>
    </row>
    <row r="109" spans="1:18" ht="17.25" customHeight="1">
      <c r="A109" s="11" t="s">
        <v>177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86"/>
      <c r="R109" s="187"/>
    </row>
    <row r="110" spans="1:18" ht="17.25" customHeight="1">
      <c r="A110" s="11" t="s">
        <v>146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88"/>
      <c r="R110" s="189"/>
    </row>
    <row r="111" spans="1:18" ht="17.25" customHeight="1" thickBot="1">
      <c r="A111" s="13" t="s">
        <v>179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90"/>
      <c r="R112" s="19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85" priority="89">
      <formula>$E$27&gt;0</formula>
    </cfRule>
    <cfRule type="expression" dxfId="1084" priority="90">
      <formula>$E$27&lt;0</formula>
    </cfRule>
  </conditionalFormatting>
  <conditionalFormatting sqref="G15:I16 H27:I27">
    <cfRule type="expression" dxfId="1083" priority="87">
      <formula>$H$27&gt;0</formula>
    </cfRule>
    <cfRule type="expression" dxfId="1082" priority="88">
      <formula>$H$27&lt;0</formula>
    </cfRule>
  </conditionalFormatting>
  <conditionalFormatting sqref="J15:L16 K27:L27">
    <cfRule type="expression" dxfId="1081" priority="85">
      <formula>$K$27&gt;0</formula>
    </cfRule>
    <cfRule type="expression" dxfId="1080" priority="86">
      <formula>$K$27&lt;0</formula>
    </cfRule>
  </conditionalFormatting>
  <conditionalFormatting sqref="M15:O16 N27:O27">
    <cfRule type="expression" dxfId="1079" priority="83">
      <formula>$N$27&gt;0</formula>
    </cfRule>
    <cfRule type="expression" dxfId="1078" priority="84">
      <formula>$N$27&lt;0</formula>
    </cfRule>
  </conditionalFormatting>
  <conditionalFormatting sqref="A17:O26 A34:O43">
    <cfRule type="expression" dxfId="1077" priority="91">
      <formula>AND($N17 &gt; 0, ISNUMBER($N17))</formula>
    </cfRule>
    <cfRule type="expression" dxfId="1076" priority="92">
      <formula>AND($N17 &lt; 0, ISNUMBER($N17))</formula>
    </cfRule>
    <cfRule type="expression" dxfId="1075" priority="93">
      <formula>AND($K17 &gt; 0, ISNUMBER($K17))</formula>
    </cfRule>
    <cfRule type="expression" dxfId="1074" priority="94">
      <formula>AND($K17 &lt; 0, ISNUMBER($K17))</formula>
    </cfRule>
    <cfRule type="expression" dxfId="1073" priority="95">
      <formula>AND($H17 &gt; 0, ISNUMBER($H17))</formula>
    </cfRule>
    <cfRule type="expression" dxfId="1072" priority="96">
      <formula>AND($H17 &lt; 0, ISNUMBER($H17))</formula>
    </cfRule>
    <cfRule type="expression" dxfId="1071" priority="97">
      <formula>AND($E17 &gt; 0, ISNUMBER($E17))</formula>
    </cfRule>
    <cfRule type="expression" dxfId="1070" priority="98">
      <formula>AND($E17 &lt; 0, ISNUMBER($E17))</formula>
    </cfRule>
  </conditionalFormatting>
  <conditionalFormatting sqref="D32:F33 E44:F44">
    <cfRule type="expression" dxfId="1069" priority="81">
      <formula>$E$44&gt;0</formula>
    </cfRule>
    <cfRule type="expression" dxfId="1068" priority="82">
      <formula>$E$44&lt;0</formula>
    </cfRule>
  </conditionalFormatting>
  <conditionalFormatting sqref="G32:I33 H44:I44">
    <cfRule type="expression" dxfId="1067" priority="79">
      <formula>$H$44&gt;0</formula>
    </cfRule>
    <cfRule type="expression" dxfId="1066" priority="80">
      <formula>$H$44&lt;0</formula>
    </cfRule>
  </conditionalFormatting>
  <conditionalFormatting sqref="J32:L33 K44:L44">
    <cfRule type="expression" dxfId="1065" priority="77">
      <formula>$K$44&gt;0</formula>
    </cfRule>
    <cfRule type="expression" dxfId="1064" priority="78">
      <formula>$K$44&lt;0</formula>
    </cfRule>
  </conditionalFormatting>
  <conditionalFormatting sqref="M32:O33 N44:O44">
    <cfRule type="expression" dxfId="1063" priority="75">
      <formula>$N$44&gt;0</formula>
    </cfRule>
    <cfRule type="expression" dxfId="1062" priority="76">
      <formula>$N$44&lt;0</formula>
    </cfRule>
  </conditionalFormatting>
  <conditionalFormatting sqref="A51:O60">
    <cfRule type="expression" dxfId="1061" priority="67">
      <formula>AND($N51 &gt; 0, ISNUMBER($N51))</formula>
    </cfRule>
    <cfRule type="expression" dxfId="1060" priority="68">
      <formula>AND($N51 &lt; 0, ISNUMBER($N51))</formula>
    </cfRule>
    <cfRule type="expression" dxfId="1059" priority="69">
      <formula>AND($K51 &gt; 0, ISNUMBER($K51))</formula>
    </cfRule>
    <cfRule type="expression" dxfId="1058" priority="70">
      <formula>AND($K51 &lt; 0, ISNUMBER($K51))</formula>
    </cfRule>
    <cfRule type="expression" dxfId="1057" priority="71">
      <formula>AND($H51 &gt; 0, ISNUMBER($H51))</formula>
    </cfRule>
    <cfRule type="expression" dxfId="1056" priority="72">
      <formula>AND($H51 &lt; 0, ISNUMBER($H51))</formula>
    </cfRule>
    <cfRule type="expression" dxfId="1055" priority="73">
      <formula>AND($E51 &gt; 0, ISNUMBER($E51))</formula>
    </cfRule>
    <cfRule type="expression" dxfId="1054" priority="74">
      <formula>AND($E51 &lt; 0, ISNUMBER($E51))</formula>
    </cfRule>
  </conditionalFormatting>
  <conditionalFormatting sqref="D49:F50 E61:F61">
    <cfRule type="expression" dxfId="1053" priority="65">
      <formula>$E$61&gt;0</formula>
    </cfRule>
    <cfRule type="expression" dxfId="1052" priority="66">
      <formula>$E$61&lt;0</formula>
    </cfRule>
  </conditionalFormatting>
  <conditionalFormatting sqref="G49:I50 H61:I61">
    <cfRule type="expression" dxfId="1051" priority="63">
      <formula>$H$61&gt;0</formula>
    </cfRule>
    <cfRule type="expression" dxfId="1050" priority="64">
      <formula>$H$61&lt;0</formula>
    </cfRule>
  </conditionalFormatting>
  <conditionalFormatting sqref="J49:L50 K61:L61">
    <cfRule type="expression" dxfId="1049" priority="61">
      <formula>$K$61&gt;0</formula>
    </cfRule>
    <cfRule type="expression" dxfId="1048" priority="62">
      <formula>$K$61&lt;0</formula>
    </cfRule>
  </conditionalFormatting>
  <conditionalFormatting sqref="M49:O50 N61:O61">
    <cfRule type="expression" dxfId="1047" priority="59">
      <formula>$N$61&gt;0</formula>
    </cfRule>
    <cfRule type="expression" dxfId="1046" priority="60">
      <formula>$N$61&lt;0</formula>
    </cfRule>
  </conditionalFormatting>
  <conditionalFormatting sqref="A68:O77">
    <cfRule type="expression" dxfId="1045" priority="51">
      <formula>AND($N68 &gt; 0, ISNUMBER($N68))</formula>
    </cfRule>
    <cfRule type="expression" dxfId="1044" priority="52">
      <formula>AND($N68 &lt; 0, ISNUMBER($N68))</formula>
    </cfRule>
    <cfRule type="expression" dxfId="1043" priority="53">
      <formula>AND($K68 &gt; 0, ISNUMBER($K68))</formula>
    </cfRule>
    <cfRule type="expression" dxfId="1042" priority="54">
      <formula>AND($K68 &lt; 0, ISNUMBER($K68))</formula>
    </cfRule>
    <cfRule type="expression" dxfId="1041" priority="55">
      <formula>AND($H68 &gt; 0, ISNUMBER($H68))</formula>
    </cfRule>
    <cfRule type="expression" dxfId="1040" priority="56">
      <formula>AND($H68 &lt; 0, ISNUMBER($H68))</formula>
    </cfRule>
    <cfRule type="expression" dxfId="1039" priority="57">
      <formula>AND($E68 &gt; 0, ISNUMBER($E68))</formula>
    </cfRule>
    <cfRule type="expression" dxfId="1038" priority="58">
      <formula>AND($E68 &lt; 0, ISNUMBER($E68))</formula>
    </cfRule>
  </conditionalFormatting>
  <conditionalFormatting sqref="D66:F67 E78:F78">
    <cfRule type="expression" dxfId="1037" priority="49">
      <formula>$E$78&gt;0</formula>
    </cfRule>
    <cfRule type="expression" dxfId="1036" priority="50">
      <formula>$E$78&lt;0</formula>
    </cfRule>
  </conditionalFormatting>
  <conditionalFormatting sqref="G66:I67 H78:I78">
    <cfRule type="expression" dxfId="1035" priority="47">
      <formula>$H$78&gt;0</formula>
    </cfRule>
    <cfRule type="expression" dxfId="1034" priority="48">
      <formula>$H$78&lt;0</formula>
    </cfRule>
  </conditionalFormatting>
  <conditionalFormatting sqref="J66:L67 K78:L78">
    <cfRule type="expression" dxfId="1033" priority="45">
      <formula>$K$78&gt;0</formula>
    </cfRule>
    <cfRule type="expression" dxfId="1032" priority="46">
      <formula>$K$78&lt;0</formula>
    </cfRule>
  </conditionalFormatting>
  <conditionalFormatting sqref="M66:O67 N78:O78">
    <cfRule type="expression" dxfId="1031" priority="43">
      <formula>$N$78&gt;0</formula>
    </cfRule>
    <cfRule type="expression" dxfId="1030" priority="44">
      <formula>$N$78&lt;0</formula>
    </cfRule>
  </conditionalFormatting>
  <conditionalFormatting sqref="A85:O94">
    <cfRule type="expression" dxfId="1029" priority="35">
      <formula>AND($N85 &gt; 0, ISNUMBER($N85))</formula>
    </cfRule>
    <cfRule type="expression" dxfId="1028" priority="36">
      <formula>AND($N85 &lt; 0, ISNUMBER($N85))</formula>
    </cfRule>
    <cfRule type="expression" dxfId="1027" priority="37">
      <formula>AND($K85 &gt; 0, ISNUMBER($K85))</formula>
    </cfRule>
    <cfRule type="expression" dxfId="1026" priority="38">
      <formula>AND($K85 &lt; 0, ISNUMBER($K85))</formula>
    </cfRule>
    <cfRule type="expression" dxfId="1025" priority="39">
      <formula>AND($H85 &gt; 0, ISNUMBER($H85))</formula>
    </cfRule>
    <cfRule type="expression" dxfId="1024" priority="40">
      <formula>AND($H85 &lt; 0, ISNUMBER($H85))</formula>
    </cfRule>
    <cfRule type="expression" dxfId="1023" priority="41">
      <formula>AND($E85 &gt; 0, ISNUMBER($E85))</formula>
    </cfRule>
    <cfRule type="expression" dxfId="1022" priority="42">
      <formula>AND($E85 &lt; 0, ISNUMBER($E85))</formula>
    </cfRule>
  </conditionalFormatting>
  <conditionalFormatting sqref="D83:F84 E95:F95">
    <cfRule type="expression" dxfId="1021" priority="33">
      <formula>$E$95&gt;0</formula>
    </cfRule>
    <cfRule type="expression" dxfId="1020" priority="34">
      <formula>$E$95&lt;0</formula>
    </cfRule>
  </conditionalFormatting>
  <conditionalFormatting sqref="G83:I84 H95:I95">
    <cfRule type="expression" dxfId="1019" priority="31">
      <formula>$H$95&gt;0</formula>
    </cfRule>
    <cfRule type="expression" dxfId="1018" priority="32">
      <formula>$H$95&lt;0</formula>
    </cfRule>
  </conditionalFormatting>
  <conditionalFormatting sqref="J83:L84 K95:L95">
    <cfRule type="expression" dxfId="1017" priority="29">
      <formula>$K$95&gt;0</formula>
    </cfRule>
    <cfRule type="expression" dxfId="1016" priority="30">
      <formula>$K$95&lt;0</formula>
    </cfRule>
  </conditionalFormatting>
  <conditionalFormatting sqref="M83:O84 N95:O95">
    <cfRule type="expression" dxfId="1015" priority="27">
      <formula>$N$95&gt;0</formula>
    </cfRule>
    <cfRule type="expression" dxfId="1014" priority="28">
      <formula>$N$95&lt;0</formula>
    </cfRule>
  </conditionalFormatting>
  <conditionalFormatting sqref="A102:O111">
    <cfRule type="expression" dxfId="1013" priority="19">
      <formula>AND($N102 &gt; 0, ISNUMBER($N102))</formula>
    </cfRule>
    <cfRule type="expression" dxfId="1012" priority="20">
      <formula>AND($N102 &lt; 0, ISNUMBER($N102))</formula>
    </cfRule>
    <cfRule type="expression" dxfId="1011" priority="21">
      <formula>AND($K102 &gt; 0, ISNUMBER($K102))</formula>
    </cfRule>
    <cfRule type="expression" dxfId="1010" priority="22">
      <formula>AND($K102 &lt; 0, ISNUMBER($K102))</formula>
    </cfRule>
    <cfRule type="expression" dxfId="1009" priority="23">
      <formula>AND($H102 &gt; 0, ISNUMBER($H102))</formula>
    </cfRule>
    <cfRule type="expression" dxfId="1008" priority="24">
      <formula>AND($H102 &lt; 0, ISNUMBER($H102))</formula>
    </cfRule>
    <cfRule type="expression" dxfId="1007" priority="25">
      <formula>AND($E102 &gt; 0, ISNUMBER($E102))</formula>
    </cfRule>
    <cfRule type="expression" dxfId="1006" priority="26">
      <formula>AND($E102 &lt; 0, ISNUMBER($E102))</formula>
    </cfRule>
  </conditionalFormatting>
  <conditionalFormatting sqref="D100:F101 E112:F112">
    <cfRule type="expression" dxfId="1005" priority="17">
      <formula>$E$112&gt;0</formula>
    </cfRule>
    <cfRule type="expression" dxfId="1004" priority="18">
      <formula>$E$112&lt;0</formula>
    </cfRule>
  </conditionalFormatting>
  <conditionalFormatting sqref="G100:I101 H112:I112">
    <cfRule type="expression" dxfId="1003" priority="15">
      <formula>$H$112&gt;0</formula>
    </cfRule>
    <cfRule type="expression" dxfId="1002" priority="16">
      <formula>$H$112&lt;0</formula>
    </cfRule>
  </conditionalFormatting>
  <conditionalFormatting sqref="J100:L101 K112:L112">
    <cfRule type="expression" dxfId="1001" priority="13">
      <formula>$K$112&gt;0</formula>
    </cfRule>
    <cfRule type="expression" dxfId="1000" priority="14">
      <formula>$K$112&lt;0</formula>
    </cfRule>
  </conditionalFormatting>
  <conditionalFormatting sqref="M100:O101 N112:O112">
    <cfRule type="expression" dxfId="999" priority="11">
      <formula>$N$112&gt;0</formula>
    </cfRule>
    <cfRule type="expression" dxfId="998" priority="12">
      <formula>$N$112&lt;0</formula>
    </cfRule>
  </conditionalFormatting>
  <conditionalFormatting sqref="G2:I3">
    <cfRule type="expression" dxfId="9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44297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21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16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16"/>
      <c r="R16" s="217"/>
    </row>
    <row r="17" spans="1:18" ht="17.25" customHeight="1">
      <c r="A17" s="39" t="s">
        <v>212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14"/>
      <c r="R17" s="215"/>
    </row>
    <row r="18" spans="1:18" ht="17.25" customHeight="1">
      <c r="A18" s="40" t="s">
        <v>177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14"/>
      <c r="R18" s="215"/>
    </row>
    <row r="19" spans="1:18" ht="17.25" customHeight="1">
      <c r="A19" s="40" t="s">
        <v>148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14"/>
      <c r="R19" s="215"/>
    </row>
    <row r="20" spans="1:18" ht="17.25" customHeight="1">
      <c r="A20" s="40" t="s">
        <v>129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14"/>
      <c r="R20" s="215"/>
    </row>
    <row r="21" spans="1:18" ht="17.25" customHeight="1">
      <c r="A21" s="41" t="s">
        <v>155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14"/>
      <c r="R21" s="215"/>
    </row>
    <row r="22" spans="1:18" ht="17.25" customHeight="1">
      <c r="A22" s="40" t="s">
        <v>168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14"/>
      <c r="R22" s="215"/>
    </row>
    <row r="23" spans="1:18" ht="17.25" customHeight="1">
      <c r="A23" s="40" t="s">
        <v>117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14"/>
      <c r="R23" s="215"/>
    </row>
    <row r="24" spans="1:18" ht="17.25" customHeight="1">
      <c r="A24" s="40" t="s">
        <v>162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14"/>
      <c r="R24" s="215"/>
    </row>
    <row r="25" spans="1:18" ht="17.25" customHeight="1">
      <c r="A25" s="40" t="s">
        <v>141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16"/>
      <c r="R25" s="217"/>
    </row>
    <row r="26" spans="1:18" ht="17.25" customHeight="1" thickBot="1">
      <c r="A26" s="42" t="s">
        <v>198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16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88"/>
      <c r="R33" s="189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86"/>
      <c r="R34" s="187"/>
    </row>
    <row r="35" spans="1:18" ht="17.25" customHeight="1">
      <c r="A35" s="11" t="s">
        <v>149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86"/>
      <c r="R35" s="187"/>
    </row>
    <row r="36" spans="1:18" ht="17.25" customHeight="1">
      <c r="A36" s="11" t="s">
        <v>135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86"/>
      <c r="R36" s="187"/>
    </row>
    <row r="37" spans="1:18" ht="17.25" customHeight="1">
      <c r="A37" s="11" t="s">
        <v>122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86"/>
      <c r="R37" s="187"/>
    </row>
    <row r="38" spans="1:18" ht="17.25" customHeight="1">
      <c r="A38" s="8" t="s">
        <v>152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86"/>
      <c r="R38" s="187"/>
    </row>
    <row r="39" spans="1:18" ht="17.25" customHeight="1">
      <c r="A39" s="11" t="s">
        <v>140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86"/>
      <c r="R39" s="187"/>
    </row>
    <row r="40" spans="1:18" ht="17.25" customHeight="1">
      <c r="A40" s="11" t="s">
        <v>139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86"/>
      <c r="R40" s="187"/>
    </row>
    <row r="41" spans="1:18" ht="17.25" customHeight="1">
      <c r="A41" s="11" t="s">
        <v>108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86"/>
      <c r="R41" s="187"/>
    </row>
    <row r="42" spans="1:18" ht="17.25" customHeight="1">
      <c r="A42" s="11" t="s">
        <v>126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88"/>
      <c r="R42" s="189"/>
    </row>
    <row r="43" spans="1:18" ht="17.25" customHeight="1" thickBot="1">
      <c r="A43" s="13" t="s">
        <v>169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16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88"/>
      <c r="R50" s="189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86"/>
      <c r="R51" s="187"/>
    </row>
    <row r="52" spans="1:18" ht="17.25" customHeight="1">
      <c r="A52" s="11" t="s">
        <v>161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86"/>
      <c r="R52" s="187"/>
    </row>
    <row r="53" spans="1:18" ht="17.25" customHeight="1">
      <c r="A53" s="11" t="s">
        <v>164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86"/>
      <c r="R53" s="187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86"/>
      <c r="R54" s="187"/>
    </row>
    <row r="55" spans="1:18" ht="17.25" customHeight="1">
      <c r="A55" s="8" t="s">
        <v>137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86"/>
      <c r="R55" s="187"/>
    </row>
    <row r="56" spans="1:18" ht="17.25" customHeight="1">
      <c r="A56" s="11" t="s">
        <v>147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16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88"/>
      <c r="R67" s="189"/>
    </row>
    <row r="68" spans="1:18" ht="17.25" customHeight="1">
      <c r="A68" s="9" t="s">
        <v>141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86"/>
      <c r="R68" s="187"/>
    </row>
    <row r="69" spans="1:18" ht="17.25" customHeight="1">
      <c r="A69" s="11" t="s">
        <v>220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86"/>
      <c r="R69" s="187"/>
    </row>
    <row r="70" spans="1:18" ht="17.25" customHeight="1">
      <c r="A70" s="11" t="s">
        <v>178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86"/>
      <c r="R70" s="187"/>
    </row>
    <row r="71" spans="1:18" ht="17.25" customHeight="1">
      <c r="A71" s="11" t="s">
        <v>134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86"/>
      <c r="R71" s="187"/>
    </row>
    <row r="72" spans="1:18" ht="17.25" customHeight="1">
      <c r="A72" s="8" t="s">
        <v>131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86"/>
      <c r="R72" s="187"/>
    </row>
    <row r="73" spans="1:18" ht="17.25" customHeight="1">
      <c r="A73" s="11" t="s">
        <v>116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86"/>
      <c r="R73" s="187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86"/>
      <c r="R74" s="187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86"/>
      <c r="R75" s="187"/>
    </row>
    <row r="76" spans="1:18" ht="17.25" customHeight="1">
      <c r="A76" s="11" t="s">
        <v>119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88"/>
      <c r="R76" s="189"/>
    </row>
    <row r="77" spans="1:18" ht="17.25" customHeight="1" thickBot="1">
      <c r="A77" s="13" t="s">
        <v>166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16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88"/>
      <c r="R84" s="189"/>
    </row>
    <row r="85" spans="1:18" ht="17.25" customHeight="1">
      <c r="A85" s="9" t="s">
        <v>177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86"/>
      <c r="R85" s="187"/>
    </row>
    <row r="86" spans="1:18" ht="17.25" customHeight="1">
      <c r="A86" s="11" t="s">
        <v>148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86"/>
      <c r="R86" s="187"/>
    </row>
    <row r="87" spans="1:18" ht="17.25" customHeight="1">
      <c r="A87" s="11" t="s">
        <v>129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86"/>
      <c r="R87" s="187"/>
    </row>
    <row r="88" spans="1:18" ht="17.25" customHeight="1">
      <c r="A88" s="11" t="s">
        <v>168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86"/>
      <c r="R88" s="18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6"/>
      <c r="R89" s="18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6"/>
      <c r="R90" s="18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6"/>
      <c r="R91" s="18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6"/>
      <c r="R92" s="18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8"/>
      <c r="R93" s="18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16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88"/>
      <c r="R101" s="189"/>
    </row>
    <row r="102" spans="1:18" ht="17.25" customHeight="1">
      <c r="A102" s="9" t="s">
        <v>212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86"/>
      <c r="R102" s="187"/>
    </row>
    <row r="103" spans="1:18" ht="17.25" customHeight="1">
      <c r="A103" s="11" t="s">
        <v>177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86"/>
      <c r="R103" s="187"/>
    </row>
    <row r="104" spans="1:18" ht="17.25" customHeight="1">
      <c r="A104" s="11" t="s">
        <v>148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86"/>
      <c r="R104" s="187"/>
    </row>
    <row r="105" spans="1:18" ht="17.25" customHeight="1">
      <c r="A105" s="11" t="s">
        <v>129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86"/>
      <c r="R105" s="187"/>
    </row>
    <row r="106" spans="1:18" ht="17.25" customHeight="1">
      <c r="A106" s="8" t="s">
        <v>155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86"/>
      <c r="R106" s="187"/>
    </row>
    <row r="107" spans="1:18" ht="17.25" customHeight="1">
      <c r="A107" s="11" t="s">
        <v>168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86"/>
      <c r="R107" s="187"/>
    </row>
    <row r="108" spans="1:18" ht="17.25" customHeight="1">
      <c r="A108" s="11" t="s">
        <v>117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86"/>
      <c r="R108" s="187"/>
    </row>
    <row r="109" spans="1:18" ht="17.25" customHeight="1">
      <c r="A109" s="11" t="s">
        <v>162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86"/>
      <c r="R109" s="187"/>
    </row>
    <row r="110" spans="1:18" ht="17.25" customHeight="1">
      <c r="A110" s="11" t="s">
        <v>141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88"/>
      <c r="R110" s="189"/>
    </row>
    <row r="111" spans="1:18" ht="17.25" customHeight="1" thickBot="1">
      <c r="A111" s="13" t="s">
        <v>198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90"/>
      <c r="R112" s="19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44298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24"/>
      <c r="I9" s="225"/>
      <c r="J9" s="1" t="s">
        <v>28</v>
      </c>
      <c r="K9" s="232"/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28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23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16"/>
      <c r="R16" s="217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14"/>
      <c r="R17" s="215"/>
    </row>
    <row r="18" spans="1:18" ht="17.25" customHeight="1">
      <c r="A18" s="40" t="s">
        <v>202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14"/>
      <c r="R18" s="215"/>
    </row>
    <row r="19" spans="1:18" ht="17.25" customHeight="1">
      <c r="A19" s="40" t="s">
        <v>181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14"/>
      <c r="R19" s="215"/>
    </row>
    <row r="20" spans="1:18" ht="17.25" customHeight="1">
      <c r="A20" s="40" t="s">
        <v>143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14"/>
      <c r="R20" s="215"/>
    </row>
    <row r="21" spans="1:18" ht="17.25" customHeight="1">
      <c r="A21" s="41" t="s">
        <v>215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14"/>
      <c r="R21" s="215"/>
    </row>
    <row r="22" spans="1:18" ht="17.25" customHeight="1">
      <c r="A22" s="40" t="s">
        <v>152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14"/>
      <c r="R22" s="215"/>
    </row>
    <row r="23" spans="1:18" ht="17.25" customHeight="1">
      <c r="A23" s="40" t="s">
        <v>142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14"/>
      <c r="R23" s="215"/>
    </row>
    <row r="24" spans="1:18" ht="17.25" customHeight="1">
      <c r="A24" s="40" t="s">
        <v>170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14"/>
      <c r="R24" s="215"/>
    </row>
    <row r="25" spans="1:18" ht="17.25" customHeight="1">
      <c r="A25" s="40" t="s">
        <v>220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16"/>
      <c r="R25" s="217"/>
    </row>
    <row r="26" spans="1:18" ht="17.25" customHeight="1" thickBot="1">
      <c r="A26" s="42" t="s">
        <v>148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23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88"/>
      <c r="R33" s="189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86"/>
      <c r="R34" s="187"/>
    </row>
    <row r="35" spans="1:18" ht="17.25" customHeight="1">
      <c r="A35" s="11" t="s">
        <v>152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86"/>
      <c r="R35" s="187"/>
    </row>
    <row r="36" spans="1:18" ht="17.25" customHeight="1">
      <c r="A36" s="11" t="s">
        <v>149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86"/>
      <c r="R36" s="187"/>
    </row>
    <row r="37" spans="1:18" ht="17.25" customHeight="1">
      <c r="A37" s="11" t="s">
        <v>147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86"/>
      <c r="R37" s="187"/>
    </row>
    <row r="38" spans="1:18" ht="17.25" customHeight="1">
      <c r="A38" s="8" t="s">
        <v>126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86"/>
      <c r="R38" s="187"/>
    </row>
    <row r="39" spans="1:18" ht="17.25" customHeight="1">
      <c r="A39" s="11" t="s">
        <v>169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86"/>
      <c r="R39" s="187"/>
    </row>
    <row r="40" spans="1:18" ht="17.25" customHeight="1">
      <c r="A40" s="11" t="s">
        <v>139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86"/>
      <c r="R40" s="187"/>
    </row>
    <row r="41" spans="1:18" ht="17.25" customHeight="1">
      <c r="A41" s="11" t="s">
        <v>135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86"/>
      <c r="R41" s="187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88"/>
      <c r="R42" s="189"/>
    </row>
    <row r="43" spans="1:18" ht="17.25" customHeight="1" thickBot="1">
      <c r="A43" s="13" t="s">
        <v>140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23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88"/>
      <c r="R50" s="189"/>
    </row>
    <row r="51" spans="1:18" ht="17.25" customHeight="1">
      <c r="A51" s="9" t="s">
        <v>108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86"/>
      <c r="R51" s="187"/>
    </row>
    <row r="52" spans="1:18" ht="17.25" customHeight="1">
      <c r="A52" s="11" t="s">
        <v>164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86"/>
      <c r="R52" s="187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86"/>
      <c r="R53" s="187"/>
    </row>
    <row r="54" spans="1:18" ht="17.25" customHeight="1">
      <c r="A54" s="11" t="s">
        <v>161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86"/>
      <c r="R54" s="187"/>
    </row>
    <row r="55" spans="1:18" ht="17.25" customHeight="1">
      <c r="A55" s="8" t="s">
        <v>122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86"/>
      <c r="R55" s="187"/>
    </row>
    <row r="56" spans="1:18" ht="17.25" customHeight="1">
      <c r="A56" s="11" t="s">
        <v>137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23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88"/>
      <c r="R67" s="189"/>
    </row>
    <row r="68" spans="1:18" ht="17.25" customHeight="1">
      <c r="A68" s="9" t="s">
        <v>178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86"/>
      <c r="R68" s="187"/>
    </row>
    <row r="69" spans="1:18" ht="17.25" customHeight="1">
      <c r="A69" s="11" t="s">
        <v>133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86"/>
      <c r="R69" s="187"/>
    </row>
    <row r="70" spans="1:18" ht="17.25" customHeight="1">
      <c r="A70" s="11" t="s">
        <v>181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86"/>
      <c r="R70" s="187"/>
    </row>
    <row r="71" spans="1:18" ht="17.25" customHeight="1">
      <c r="A71" s="11" t="s">
        <v>128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86"/>
      <c r="R71" s="187"/>
    </row>
    <row r="72" spans="1:18" ht="17.25" customHeight="1">
      <c r="A72" s="8" t="s">
        <v>125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86"/>
      <c r="R72" s="187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86"/>
      <c r="R73" s="187"/>
    </row>
    <row r="74" spans="1:18" ht="17.25" customHeight="1">
      <c r="A74" s="11" t="s">
        <v>119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86"/>
      <c r="R74" s="187"/>
    </row>
    <row r="75" spans="1:18" ht="17.25" customHeight="1">
      <c r="A75" s="11" t="s">
        <v>127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86"/>
      <c r="R75" s="187"/>
    </row>
    <row r="76" spans="1:18" ht="17.25" customHeight="1">
      <c r="A76" s="11" t="s">
        <v>163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88"/>
      <c r="R76" s="189"/>
    </row>
    <row r="77" spans="1:18" ht="17.25" customHeight="1" thickBot="1">
      <c r="A77" s="13" t="s">
        <v>129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23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88"/>
      <c r="R84" s="189"/>
    </row>
    <row r="85" spans="1:18" ht="17.25" customHeight="1">
      <c r="A85" s="9" t="s">
        <v>130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86"/>
      <c r="R85" s="187"/>
    </row>
    <row r="86" spans="1:18" ht="17.25" customHeight="1">
      <c r="A86" s="11" t="s">
        <v>154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86"/>
      <c r="R86" s="187"/>
    </row>
    <row r="87" spans="1:18" ht="17.25" customHeight="1">
      <c r="A87" s="11" t="s">
        <v>144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86"/>
      <c r="R87" s="187"/>
    </row>
    <row r="88" spans="1:18" ht="17.25" customHeight="1">
      <c r="A88" s="11" t="s">
        <v>142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86"/>
      <c r="R88" s="187"/>
    </row>
    <row r="89" spans="1:18" ht="17.25" customHeight="1">
      <c r="A89" s="8" t="s">
        <v>170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86"/>
      <c r="R89" s="187"/>
    </row>
    <row r="90" spans="1:18" ht="17.25" customHeight="1">
      <c r="A90" s="11" t="s">
        <v>220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86"/>
      <c r="R90" s="187"/>
    </row>
    <row r="91" spans="1:18" ht="17.25" customHeight="1">
      <c r="A91" s="11" t="s">
        <v>148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86"/>
      <c r="R91" s="187"/>
    </row>
    <row r="92" spans="1:18" ht="17.25" customHeight="1">
      <c r="A92" s="11" t="s">
        <v>121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86"/>
      <c r="R92" s="187"/>
    </row>
    <row r="93" spans="1:18" ht="17.25" customHeight="1">
      <c r="A93" s="11" t="s">
        <v>172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88"/>
      <c r="R93" s="189"/>
    </row>
    <row r="94" spans="1:18" ht="17.25" customHeight="1" thickBot="1">
      <c r="A94" s="13" t="s">
        <v>141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23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88"/>
      <c r="R101" s="189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86"/>
      <c r="R102" s="187"/>
    </row>
    <row r="103" spans="1:18" ht="17.25" customHeight="1">
      <c r="A103" s="11" t="s">
        <v>178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86"/>
      <c r="R103" s="187"/>
    </row>
    <row r="104" spans="1:18" ht="17.25" customHeight="1">
      <c r="A104" s="11" t="s">
        <v>133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86"/>
      <c r="R104" s="187"/>
    </row>
    <row r="105" spans="1:18" ht="17.25" customHeight="1">
      <c r="A105" s="11" t="s">
        <v>181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86"/>
      <c r="R105" s="187"/>
    </row>
    <row r="106" spans="1:18" ht="17.25" customHeight="1">
      <c r="A106" s="8" t="s">
        <v>143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86"/>
      <c r="R106" s="187"/>
    </row>
    <row r="107" spans="1:18" ht="17.25" customHeight="1">
      <c r="A107" s="11" t="s">
        <v>215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86"/>
      <c r="R107" s="187"/>
    </row>
    <row r="108" spans="1:18" ht="17.25" customHeight="1">
      <c r="A108" s="11" t="s">
        <v>152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86"/>
      <c r="R108" s="187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86"/>
      <c r="R109" s="187"/>
    </row>
    <row r="110" spans="1:18" ht="17.25" customHeight="1">
      <c r="A110" s="11" t="s">
        <v>110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88"/>
      <c r="R110" s="189"/>
    </row>
    <row r="111" spans="1:18" ht="17.25" customHeight="1" thickBot="1">
      <c r="A111" s="13" t="s">
        <v>149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90"/>
      <c r="R112" s="19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44299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24"/>
      <c r="I9" s="225"/>
      <c r="J9" s="1" t="s">
        <v>28</v>
      </c>
      <c r="K9" s="232" t="s">
        <v>225</v>
      </c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35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30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16"/>
      <c r="R16" s="217"/>
    </row>
    <row r="17" spans="1:18" ht="17.25" customHeight="1">
      <c r="A17" s="39" t="s">
        <v>198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14"/>
      <c r="R17" s="215"/>
    </row>
    <row r="18" spans="1:18" ht="17.25" customHeight="1">
      <c r="A18" s="40" t="s">
        <v>197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14"/>
      <c r="R18" s="215"/>
    </row>
    <row r="19" spans="1:18" ht="17.25" customHeight="1">
      <c r="A19" s="40" t="s">
        <v>216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14"/>
      <c r="R19" s="215"/>
    </row>
    <row r="20" spans="1:18" ht="17.25" customHeight="1">
      <c r="A20" s="40" t="s">
        <v>170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14"/>
      <c r="R20" s="215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14"/>
      <c r="R21" s="215"/>
    </row>
    <row r="22" spans="1:18" ht="17.25" customHeight="1">
      <c r="A22" s="40" t="s">
        <v>196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14"/>
      <c r="R22" s="215"/>
    </row>
    <row r="23" spans="1:18" ht="17.25" customHeight="1">
      <c r="A23" s="40" t="s">
        <v>142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14"/>
      <c r="R23" s="215"/>
    </row>
    <row r="24" spans="1:18" ht="17.25" customHeight="1">
      <c r="A24" s="40" t="s">
        <v>128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14"/>
      <c r="R24" s="215"/>
    </row>
    <row r="25" spans="1:18" ht="17.25" customHeight="1">
      <c r="A25" s="40" t="s">
        <v>202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16"/>
      <c r="R25" s="217"/>
    </row>
    <row r="26" spans="1:18" ht="17.25" customHeight="1" thickBot="1">
      <c r="A26" s="42" t="s">
        <v>226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30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88"/>
      <c r="R33" s="189"/>
    </row>
    <row r="34" spans="1:18" ht="17.25" customHeight="1">
      <c r="A34" s="9" t="s">
        <v>152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186"/>
      <c r="R34" s="187"/>
    </row>
    <row r="35" spans="1:18" ht="17.25" customHeight="1">
      <c r="A35" s="11" t="s">
        <v>147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186"/>
      <c r="R35" s="187"/>
    </row>
    <row r="36" spans="1:18" ht="17.25" customHeight="1">
      <c r="A36" s="11" t="s">
        <v>108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186"/>
      <c r="R36" s="187"/>
    </row>
    <row r="37" spans="1:18" ht="17.25" customHeight="1">
      <c r="A37" s="11" t="s">
        <v>169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186"/>
      <c r="R37" s="187"/>
    </row>
    <row r="38" spans="1:18" ht="17.25" customHeight="1">
      <c r="A38" s="8" t="s">
        <v>161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186"/>
      <c r="R38" s="187"/>
    </row>
    <row r="39" spans="1:18" ht="17.25" customHeight="1">
      <c r="A39" s="11" t="s">
        <v>140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186"/>
      <c r="R39" s="187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186"/>
      <c r="R40" s="187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186"/>
      <c r="R41" s="187"/>
    </row>
    <row r="42" spans="1:18" ht="17.25" customHeight="1">
      <c r="A42" s="11" t="s">
        <v>137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188"/>
      <c r="R42" s="189"/>
    </row>
    <row r="43" spans="1:18" ht="17.25" customHeight="1" thickBot="1">
      <c r="A43" s="13" t="s">
        <v>122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30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88"/>
      <c r="R50" s="189"/>
    </row>
    <row r="51" spans="1:18" ht="17.25" customHeight="1">
      <c r="A51" s="9" t="s">
        <v>139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186"/>
      <c r="R51" s="187"/>
    </row>
    <row r="52" spans="1:18" ht="17.25" customHeight="1">
      <c r="A52" s="11" t="s">
        <v>126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186"/>
      <c r="R52" s="187"/>
    </row>
    <row r="53" spans="1:18" ht="17.25" customHeight="1">
      <c r="A53" s="11" t="s">
        <v>149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186"/>
      <c r="R53" s="187"/>
    </row>
    <row r="54" spans="1:18" ht="17.25" customHeight="1">
      <c r="A54" s="11" t="s">
        <v>164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186"/>
      <c r="R54" s="187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186"/>
      <c r="R55" s="187"/>
    </row>
    <row r="56" spans="1:18" ht="17.25" customHeight="1">
      <c r="A56" s="11" t="s">
        <v>135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30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88"/>
      <c r="R67" s="189"/>
    </row>
    <row r="68" spans="1:18" ht="17.25" customHeight="1">
      <c r="A68" s="9" t="s">
        <v>170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186"/>
      <c r="R68" s="187"/>
    </row>
    <row r="69" spans="1:18" ht="17.25" customHeight="1">
      <c r="A69" s="11" t="s">
        <v>142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186"/>
      <c r="R69" s="187"/>
    </row>
    <row r="70" spans="1:18" ht="17.25" customHeight="1">
      <c r="A70" s="11" t="s">
        <v>128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186"/>
      <c r="R70" s="187"/>
    </row>
    <row r="71" spans="1:18" ht="17.25" customHeight="1">
      <c r="A71" s="11" t="s">
        <v>134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186"/>
      <c r="R71" s="187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186"/>
      <c r="R72" s="187"/>
    </row>
    <row r="73" spans="1:18" ht="17.25" customHeight="1">
      <c r="A73" s="11" t="s">
        <v>130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186"/>
      <c r="R73" s="187"/>
    </row>
    <row r="74" spans="1:18" ht="17.25" customHeight="1">
      <c r="A74" s="11" t="s">
        <v>120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186"/>
      <c r="R74" s="187"/>
    </row>
    <row r="75" spans="1:18" ht="17.25" customHeight="1">
      <c r="A75" s="11" t="s">
        <v>150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186"/>
      <c r="R75" s="187"/>
    </row>
    <row r="76" spans="1:18" ht="17.25" customHeight="1">
      <c r="A76" s="11" t="s">
        <v>127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188"/>
      <c r="R76" s="189"/>
    </row>
    <row r="77" spans="1:18" ht="17.25" customHeight="1" thickBot="1">
      <c r="A77" s="13" t="s">
        <v>132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30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88"/>
      <c r="R84" s="189"/>
    </row>
    <row r="85" spans="1:18" ht="17.25" customHeight="1">
      <c r="A85" s="9" t="s">
        <v>125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186"/>
      <c r="R85" s="187"/>
    </row>
    <row r="86" spans="1:18" ht="17.25" customHeight="1">
      <c r="A86" s="11" t="s">
        <v>178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186"/>
      <c r="R86" s="187"/>
    </row>
    <row r="87" spans="1:18" ht="17.25" customHeight="1">
      <c r="A87" s="11" t="s">
        <v>138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186"/>
      <c r="R87" s="187"/>
    </row>
    <row r="88" spans="1:18" ht="17.25" customHeight="1">
      <c r="A88" s="11" t="s">
        <v>133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186"/>
      <c r="R88" s="187"/>
    </row>
    <row r="89" spans="1:18" ht="17.25" customHeight="1">
      <c r="A89" s="8" t="s">
        <v>121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186"/>
      <c r="R89" s="187"/>
    </row>
    <row r="90" spans="1:18" ht="17.25" customHeight="1">
      <c r="A90" s="11" t="s">
        <v>144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186"/>
      <c r="R90" s="187"/>
    </row>
    <row r="91" spans="1:18" ht="17.25" customHeight="1">
      <c r="A91" s="11" t="s">
        <v>146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186"/>
      <c r="R91" s="187"/>
    </row>
    <row r="92" spans="1:18" ht="17.25" customHeight="1">
      <c r="A92" s="11" t="s">
        <v>112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186"/>
      <c r="R92" s="187"/>
    </row>
    <row r="93" spans="1:18" ht="17.25" customHeight="1">
      <c r="A93" s="11" t="s">
        <v>114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188"/>
      <c r="R93" s="189"/>
    </row>
    <row r="94" spans="1:18" ht="17.25" customHeight="1" thickBot="1">
      <c r="A94" s="13" t="s">
        <v>172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30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88"/>
      <c r="R101" s="189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186"/>
      <c r="R102" s="187"/>
    </row>
    <row r="103" spans="1:18" ht="17.25" customHeight="1">
      <c r="A103" s="11" t="s">
        <v>107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186"/>
      <c r="R103" s="187"/>
    </row>
    <row r="104" spans="1:18" ht="17.25" customHeight="1">
      <c r="A104" s="11" t="s">
        <v>198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186"/>
      <c r="R104" s="187"/>
    </row>
    <row r="105" spans="1:18" ht="17.25" customHeight="1">
      <c r="A105" s="11" t="s">
        <v>197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186"/>
      <c r="R105" s="187"/>
    </row>
    <row r="106" spans="1:18" ht="17.25" customHeight="1">
      <c r="A106" s="8" t="s">
        <v>216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186"/>
      <c r="R106" s="187"/>
    </row>
    <row r="107" spans="1:18" ht="17.25" customHeight="1">
      <c r="A107" s="11" t="s">
        <v>170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186"/>
      <c r="R107" s="187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186"/>
      <c r="R108" s="187"/>
    </row>
    <row r="109" spans="1:18" ht="17.25" customHeight="1">
      <c r="A109" s="11" t="s">
        <v>196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186"/>
      <c r="R109" s="187"/>
    </row>
    <row r="110" spans="1:18" ht="17.25" customHeight="1">
      <c r="A110" s="11" t="s">
        <v>142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188"/>
      <c r="R110" s="189"/>
    </row>
    <row r="111" spans="1:18" ht="17.25" customHeight="1" thickBot="1">
      <c r="A111" s="13" t="s">
        <v>128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190"/>
      <c r="R112" s="19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44300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24"/>
      <c r="I9" s="225"/>
      <c r="J9" s="1" t="s">
        <v>28</v>
      </c>
      <c r="K9" s="232" t="s">
        <v>225</v>
      </c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42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37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16"/>
      <c r="R16" s="217"/>
    </row>
    <row r="17" spans="1:18" ht="17.25" customHeight="1">
      <c r="A17" s="39" t="s">
        <v>198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14"/>
      <c r="R17" s="215"/>
    </row>
    <row r="18" spans="1:18" ht="17.25" customHeight="1">
      <c r="A18" s="40" t="s">
        <v>212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14"/>
      <c r="R18" s="215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14"/>
      <c r="R19" s="215"/>
    </row>
    <row r="20" spans="1:18" ht="17.25" customHeight="1">
      <c r="A20" s="40" t="s">
        <v>231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14"/>
      <c r="R20" s="215"/>
    </row>
    <row r="21" spans="1:18" ht="17.25" customHeight="1">
      <c r="A21" s="41" t="s">
        <v>196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14"/>
      <c r="R21" s="215"/>
    </row>
    <row r="22" spans="1:18" ht="17.25" customHeight="1">
      <c r="A22" s="40" t="s">
        <v>170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14"/>
      <c r="R22" s="215"/>
    </row>
    <row r="23" spans="1:18" ht="17.25" customHeight="1">
      <c r="A23" s="40" t="s">
        <v>230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14"/>
      <c r="R23" s="215"/>
    </row>
    <row r="24" spans="1:18" ht="17.25" customHeight="1">
      <c r="A24" s="40" t="s">
        <v>129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14"/>
      <c r="R24" s="215"/>
    </row>
    <row r="25" spans="1:18" ht="17.25" customHeight="1">
      <c r="A25" s="40" t="s">
        <v>242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16"/>
      <c r="R25" s="217"/>
    </row>
    <row r="26" spans="1:18" ht="17.25" customHeight="1" thickBot="1">
      <c r="A26" s="42" t="s">
        <v>203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37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188"/>
      <c r="R33" s="189"/>
    </row>
    <row r="34" spans="1:18" ht="17.25" customHeight="1">
      <c r="A34" s="9" t="s">
        <v>140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186"/>
      <c r="R34" s="187"/>
    </row>
    <row r="35" spans="1:18" ht="17.25" customHeight="1">
      <c r="A35" s="11" t="s">
        <v>161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186"/>
      <c r="R35" s="187"/>
    </row>
    <row r="36" spans="1:18" ht="17.25" customHeight="1">
      <c r="A36" s="11" t="s">
        <v>169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186"/>
      <c r="R36" s="187"/>
    </row>
    <row r="37" spans="1:18" ht="17.25" customHeight="1">
      <c r="A37" s="11" t="s">
        <v>122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186"/>
      <c r="R37" s="187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186"/>
      <c r="R38" s="187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186"/>
      <c r="R39" s="187"/>
    </row>
    <row r="40" spans="1:18" ht="17.25" customHeight="1">
      <c r="A40" s="11" t="s">
        <v>137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186"/>
      <c r="R40" s="187"/>
    </row>
    <row r="41" spans="1:18" ht="17.25" customHeight="1">
      <c r="A41" s="11" t="s">
        <v>147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186"/>
      <c r="R41" s="187"/>
    </row>
    <row r="42" spans="1:18" ht="17.25" customHeight="1">
      <c r="A42" s="11" t="s">
        <v>108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188"/>
      <c r="R42" s="189"/>
    </row>
    <row r="43" spans="1:18" ht="17.25" customHeight="1" thickBot="1">
      <c r="A43" s="13" t="s">
        <v>152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37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188"/>
      <c r="R50" s="189"/>
    </row>
    <row r="51" spans="1:18" ht="17.25" customHeight="1">
      <c r="A51" s="9" t="s">
        <v>126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186"/>
      <c r="R51" s="187"/>
    </row>
    <row r="52" spans="1:18" ht="17.25" customHeight="1">
      <c r="A52" s="11" t="s">
        <v>164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186"/>
      <c r="R52" s="187"/>
    </row>
    <row r="53" spans="1:18" ht="17.25" customHeight="1">
      <c r="A53" s="11" t="s">
        <v>135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186"/>
      <c r="R53" s="187"/>
    </row>
    <row r="54" spans="1:18" ht="17.25" customHeight="1">
      <c r="A54" s="11" t="s">
        <v>139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186"/>
      <c r="R54" s="187"/>
    </row>
    <row r="55" spans="1:18" ht="17.25" customHeight="1">
      <c r="A55" s="8" t="s">
        <v>149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186"/>
      <c r="R55" s="187"/>
    </row>
    <row r="56" spans="1:18" ht="17.25" customHeight="1">
      <c r="A56" s="11" t="s">
        <v>232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37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188"/>
      <c r="R67" s="189"/>
    </row>
    <row r="68" spans="1:18" ht="17.25" customHeight="1">
      <c r="A68" s="9" t="s">
        <v>174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186"/>
      <c r="R68" s="187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186"/>
      <c r="R69" s="187"/>
    </row>
    <row r="70" spans="1:18" ht="17.25" customHeight="1">
      <c r="A70" s="11" t="s">
        <v>170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186"/>
      <c r="R70" s="187"/>
    </row>
    <row r="71" spans="1:18" ht="17.25" customHeight="1">
      <c r="A71" s="11" t="s">
        <v>129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186"/>
      <c r="R71" s="187"/>
    </row>
    <row r="72" spans="1:18" ht="17.25" customHeight="1">
      <c r="A72" s="8" t="s">
        <v>172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186"/>
      <c r="R72" s="187"/>
    </row>
    <row r="73" spans="1:18" ht="17.25" customHeight="1">
      <c r="A73" s="11" t="s">
        <v>178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186"/>
      <c r="R73" s="187"/>
    </row>
    <row r="74" spans="1:18" ht="17.25" customHeight="1">
      <c r="A74" s="11" t="s">
        <v>119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186"/>
      <c r="R74" s="187"/>
    </row>
    <row r="75" spans="1:18" ht="17.25" customHeight="1">
      <c r="A75" s="11" t="s">
        <v>220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186"/>
      <c r="R75" s="187"/>
    </row>
    <row r="76" spans="1:18" ht="17.25" customHeight="1">
      <c r="A76" s="11" t="s">
        <v>154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188"/>
      <c r="R76" s="189"/>
    </row>
    <row r="77" spans="1:18" ht="17.25" customHeight="1" thickBot="1">
      <c r="A77" s="13" t="s">
        <v>120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37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188"/>
      <c r="R84" s="189"/>
    </row>
    <row r="85" spans="1:18" ht="17.25" customHeight="1">
      <c r="A85" s="9" t="s">
        <v>116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186"/>
      <c r="R85" s="187"/>
    </row>
    <row r="86" spans="1:18" ht="17.25" customHeight="1">
      <c r="A86" s="11" t="s">
        <v>177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186"/>
      <c r="R86" s="187"/>
    </row>
    <row r="87" spans="1:18" ht="17.25" customHeight="1">
      <c r="A87" s="11" t="s">
        <v>142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186"/>
      <c r="R87" s="187"/>
    </row>
    <row r="88" spans="1:18" ht="17.25" customHeight="1">
      <c r="A88" s="11" t="s">
        <v>148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186"/>
      <c r="R88" s="187"/>
    </row>
    <row r="89" spans="1:18" ht="17.25" customHeight="1">
      <c r="A89" s="8" t="s">
        <v>114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186"/>
      <c r="R89" s="187"/>
    </row>
    <row r="90" spans="1:18" ht="17.25" customHeight="1">
      <c r="A90" s="11" t="s">
        <v>141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186"/>
      <c r="R90" s="187"/>
    </row>
    <row r="91" spans="1:18" ht="17.25" customHeight="1">
      <c r="A91" s="11" t="s">
        <v>181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186"/>
      <c r="R91" s="187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186"/>
      <c r="R92" s="187"/>
    </row>
    <row r="93" spans="1:18" ht="17.25" customHeight="1">
      <c r="A93" s="11" t="s">
        <v>133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188"/>
      <c r="R93" s="189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37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188"/>
      <c r="R101" s="189"/>
    </row>
    <row r="102" spans="1:18" ht="17.25" customHeight="1">
      <c r="A102" s="9" t="s">
        <v>140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186"/>
      <c r="R102" s="187"/>
    </row>
    <row r="103" spans="1:18" ht="17.25" customHeight="1">
      <c r="A103" s="11" t="s">
        <v>174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186"/>
      <c r="R103" s="187"/>
    </row>
    <row r="104" spans="1:18" ht="17.25" customHeight="1">
      <c r="A104" s="11" t="s">
        <v>198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186"/>
      <c r="R104" s="187"/>
    </row>
    <row r="105" spans="1:18" ht="17.25" customHeight="1">
      <c r="A105" s="11" t="s">
        <v>212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186"/>
      <c r="R105" s="187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186"/>
      <c r="R106" s="187"/>
    </row>
    <row r="107" spans="1:18" ht="17.25" customHeight="1">
      <c r="A107" s="11" t="s">
        <v>231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186"/>
      <c r="R107" s="187"/>
    </row>
    <row r="108" spans="1:18" ht="17.25" customHeight="1">
      <c r="A108" s="11" t="s">
        <v>196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186"/>
      <c r="R108" s="187"/>
    </row>
    <row r="109" spans="1:18" ht="17.25" customHeight="1">
      <c r="A109" s="11" t="s">
        <v>170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186"/>
      <c r="R109" s="187"/>
    </row>
    <row r="110" spans="1:18" ht="17.25" customHeight="1">
      <c r="A110" s="11" t="s">
        <v>230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188"/>
      <c r="R110" s="189"/>
    </row>
    <row r="111" spans="1:18" ht="17.25" customHeight="1" thickBot="1">
      <c r="A111" s="13" t="s">
        <v>129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190"/>
      <c r="R112" s="19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93" priority="89">
      <formula>$E$27&gt;0</formula>
    </cfRule>
    <cfRule type="expression" dxfId="692" priority="90">
      <formula>$E$27&lt;0</formula>
    </cfRule>
  </conditionalFormatting>
  <conditionalFormatting sqref="G15:I16 H27:I27">
    <cfRule type="expression" dxfId="691" priority="87">
      <formula>$H$27&gt;0</formula>
    </cfRule>
    <cfRule type="expression" dxfId="690" priority="88">
      <formula>$H$27&lt;0</formula>
    </cfRule>
  </conditionalFormatting>
  <conditionalFormatting sqref="J15:L16 K27:L27">
    <cfRule type="expression" dxfId="689" priority="85">
      <formula>$K$27&gt;0</formula>
    </cfRule>
    <cfRule type="expression" dxfId="688" priority="86">
      <formula>$K$27&lt;0</formula>
    </cfRule>
  </conditionalFormatting>
  <conditionalFormatting sqref="M15:O16 N27:O27">
    <cfRule type="expression" dxfId="687" priority="83">
      <formula>$N$27&gt;0</formula>
    </cfRule>
    <cfRule type="expression" dxfId="686" priority="84">
      <formula>$N$27&lt;0</formula>
    </cfRule>
  </conditionalFormatting>
  <conditionalFormatting sqref="A17:O26 A34:O43">
    <cfRule type="expression" dxfId="685" priority="91">
      <formula>AND($N17 &gt; 0, ISNUMBER($N17))</formula>
    </cfRule>
    <cfRule type="expression" dxfId="684" priority="92">
      <formula>AND($N17 &lt; 0, ISNUMBER($N17))</formula>
    </cfRule>
    <cfRule type="expression" dxfId="683" priority="93">
      <formula>AND($K17 &gt; 0, ISNUMBER($K17))</formula>
    </cfRule>
    <cfRule type="expression" dxfId="682" priority="94">
      <formula>AND($K17 &lt; 0, ISNUMBER($K17))</formula>
    </cfRule>
    <cfRule type="expression" dxfId="681" priority="95">
      <formula>AND($H17 &gt; 0, ISNUMBER($H17))</formula>
    </cfRule>
    <cfRule type="expression" dxfId="680" priority="96">
      <formula>AND($H17 &lt; 0, ISNUMBER($H17))</formula>
    </cfRule>
    <cfRule type="expression" dxfId="679" priority="97">
      <formula>AND($E17 &gt; 0, ISNUMBER($E17))</formula>
    </cfRule>
    <cfRule type="expression" dxfId="678" priority="98">
      <formula>AND($E17 &lt; 0, ISNUMBER($E17))</formula>
    </cfRule>
  </conditionalFormatting>
  <conditionalFormatting sqref="D32:F33 E44:F44">
    <cfRule type="expression" dxfId="677" priority="81">
      <formula>$E$44&gt;0</formula>
    </cfRule>
    <cfRule type="expression" dxfId="676" priority="82">
      <formula>$E$44&lt;0</formula>
    </cfRule>
  </conditionalFormatting>
  <conditionalFormatting sqref="G32:I33 H44:I44">
    <cfRule type="expression" dxfId="675" priority="79">
      <formula>$H$44&gt;0</formula>
    </cfRule>
    <cfRule type="expression" dxfId="674" priority="80">
      <formula>$H$44&lt;0</formula>
    </cfRule>
  </conditionalFormatting>
  <conditionalFormatting sqref="J32:L33 K44:L44">
    <cfRule type="expression" dxfId="673" priority="77">
      <formula>$K$44&gt;0</formula>
    </cfRule>
    <cfRule type="expression" dxfId="672" priority="78">
      <formula>$K$44&lt;0</formula>
    </cfRule>
  </conditionalFormatting>
  <conditionalFormatting sqref="M32:O33 N44:O44">
    <cfRule type="expression" dxfId="671" priority="75">
      <formula>$N$44&gt;0</formula>
    </cfRule>
    <cfRule type="expression" dxfId="670" priority="76">
      <formula>$N$44&lt;0</formula>
    </cfRule>
  </conditionalFormatting>
  <conditionalFormatting sqref="A51:O60">
    <cfRule type="expression" dxfId="669" priority="67">
      <formula>AND($N51 &gt; 0, ISNUMBER($N51))</formula>
    </cfRule>
    <cfRule type="expression" dxfId="668" priority="68">
      <formula>AND($N51 &lt; 0, ISNUMBER($N51))</formula>
    </cfRule>
    <cfRule type="expression" dxfId="667" priority="69">
      <formula>AND($K51 &gt; 0, ISNUMBER($K51))</formula>
    </cfRule>
    <cfRule type="expression" dxfId="666" priority="70">
      <formula>AND($K51 &lt; 0, ISNUMBER($K51))</formula>
    </cfRule>
    <cfRule type="expression" dxfId="665" priority="71">
      <formula>AND($H51 &gt; 0, ISNUMBER($H51))</formula>
    </cfRule>
    <cfRule type="expression" dxfId="664" priority="72">
      <formula>AND($H51 &lt; 0, ISNUMBER($H51))</formula>
    </cfRule>
    <cfRule type="expression" dxfId="663" priority="73">
      <formula>AND($E51 &gt; 0, ISNUMBER($E51))</formula>
    </cfRule>
    <cfRule type="expression" dxfId="662" priority="74">
      <formula>AND($E51 &lt; 0, ISNUMBER($E51))</formula>
    </cfRule>
  </conditionalFormatting>
  <conditionalFormatting sqref="D49:F50 E61:F61">
    <cfRule type="expression" dxfId="661" priority="65">
      <formula>$E$61&gt;0</formula>
    </cfRule>
    <cfRule type="expression" dxfId="660" priority="66">
      <formula>$E$61&lt;0</formula>
    </cfRule>
  </conditionalFormatting>
  <conditionalFormatting sqref="G49:I50 H61:I61">
    <cfRule type="expression" dxfId="659" priority="63">
      <formula>$H$61&gt;0</formula>
    </cfRule>
    <cfRule type="expression" dxfId="658" priority="64">
      <formula>$H$61&lt;0</formula>
    </cfRule>
  </conditionalFormatting>
  <conditionalFormatting sqref="J49:L50 K61:L61">
    <cfRule type="expression" dxfId="657" priority="61">
      <formula>$K$61&gt;0</formula>
    </cfRule>
    <cfRule type="expression" dxfId="656" priority="62">
      <formula>$K$61&lt;0</formula>
    </cfRule>
  </conditionalFormatting>
  <conditionalFormatting sqref="M49:O50 N61:O61">
    <cfRule type="expression" dxfId="655" priority="59">
      <formula>$N$61&gt;0</formula>
    </cfRule>
    <cfRule type="expression" dxfId="654" priority="60">
      <formula>$N$61&lt;0</formula>
    </cfRule>
  </conditionalFormatting>
  <conditionalFormatting sqref="A68:O77">
    <cfRule type="expression" dxfId="653" priority="51">
      <formula>AND($N68 &gt; 0, ISNUMBER($N68))</formula>
    </cfRule>
    <cfRule type="expression" dxfId="652" priority="52">
      <formula>AND($N68 &lt; 0, ISNUMBER($N68))</formula>
    </cfRule>
    <cfRule type="expression" dxfId="651" priority="53">
      <formula>AND($K68 &gt; 0, ISNUMBER($K68))</formula>
    </cfRule>
    <cfRule type="expression" dxfId="650" priority="54">
      <formula>AND($K68 &lt; 0, ISNUMBER($K68))</formula>
    </cfRule>
    <cfRule type="expression" dxfId="649" priority="55">
      <formula>AND($H68 &gt; 0, ISNUMBER($H68))</formula>
    </cfRule>
    <cfRule type="expression" dxfId="648" priority="56">
      <formula>AND($H68 &lt; 0, ISNUMBER($H68))</formula>
    </cfRule>
    <cfRule type="expression" dxfId="647" priority="57">
      <formula>AND($E68 &gt; 0, ISNUMBER($E68))</formula>
    </cfRule>
    <cfRule type="expression" dxfId="646" priority="58">
      <formula>AND($E68 &lt; 0, ISNUMBER($E68))</formula>
    </cfRule>
  </conditionalFormatting>
  <conditionalFormatting sqref="D66:F67 E78:F78">
    <cfRule type="expression" dxfId="645" priority="49">
      <formula>$E$78&gt;0</formula>
    </cfRule>
    <cfRule type="expression" dxfId="644" priority="50">
      <formula>$E$78&lt;0</formula>
    </cfRule>
  </conditionalFormatting>
  <conditionalFormatting sqref="G66:I67 H78:I78">
    <cfRule type="expression" dxfId="643" priority="47">
      <formula>$H$78&gt;0</formula>
    </cfRule>
    <cfRule type="expression" dxfId="642" priority="48">
      <formula>$H$78&lt;0</formula>
    </cfRule>
  </conditionalFormatting>
  <conditionalFormatting sqref="J66:L67 K78:L78">
    <cfRule type="expression" dxfId="641" priority="45">
      <formula>$K$78&gt;0</formula>
    </cfRule>
    <cfRule type="expression" dxfId="640" priority="46">
      <formula>$K$78&lt;0</formula>
    </cfRule>
  </conditionalFormatting>
  <conditionalFormatting sqref="M66:O67 N78:O78">
    <cfRule type="expression" dxfId="639" priority="43">
      <formula>$N$78&gt;0</formula>
    </cfRule>
    <cfRule type="expression" dxfId="638" priority="44">
      <formula>$N$78&lt;0</formula>
    </cfRule>
  </conditionalFormatting>
  <conditionalFormatting sqref="A85:O94">
    <cfRule type="expression" dxfId="637" priority="35">
      <formula>AND($N85 &gt; 0, ISNUMBER($N85))</formula>
    </cfRule>
    <cfRule type="expression" dxfId="636" priority="36">
      <formula>AND($N85 &lt; 0, ISNUMBER($N85))</formula>
    </cfRule>
    <cfRule type="expression" dxfId="635" priority="37">
      <formula>AND($K85 &gt; 0, ISNUMBER($K85))</formula>
    </cfRule>
    <cfRule type="expression" dxfId="634" priority="38">
      <formula>AND($K85 &lt; 0, ISNUMBER($K85))</formula>
    </cfRule>
    <cfRule type="expression" dxfId="633" priority="39">
      <formula>AND($H85 &gt; 0, ISNUMBER($H85))</formula>
    </cfRule>
    <cfRule type="expression" dxfId="632" priority="40">
      <formula>AND($H85 &lt; 0, ISNUMBER($H85))</formula>
    </cfRule>
    <cfRule type="expression" dxfId="631" priority="41">
      <formula>AND($E85 &gt; 0, ISNUMBER($E85))</formula>
    </cfRule>
    <cfRule type="expression" dxfId="630" priority="42">
      <formula>AND($E85 &lt; 0, ISNUMBER($E85))</formula>
    </cfRule>
  </conditionalFormatting>
  <conditionalFormatting sqref="D83:F84 E95:F95">
    <cfRule type="expression" dxfId="629" priority="33">
      <formula>$E$95&gt;0</formula>
    </cfRule>
    <cfRule type="expression" dxfId="628" priority="34">
      <formula>$E$95&lt;0</formula>
    </cfRule>
  </conditionalFormatting>
  <conditionalFormatting sqref="G83:I84 H95:I95">
    <cfRule type="expression" dxfId="627" priority="31">
      <formula>$H$95&gt;0</formula>
    </cfRule>
    <cfRule type="expression" dxfId="626" priority="32">
      <formula>$H$95&lt;0</formula>
    </cfRule>
  </conditionalFormatting>
  <conditionalFormatting sqref="J83:L84 K95:L95">
    <cfRule type="expression" dxfId="625" priority="29">
      <formula>$K$95&gt;0</formula>
    </cfRule>
    <cfRule type="expression" dxfId="624" priority="30">
      <formula>$K$95&lt;0</formula>
    </cfRule>
  </conditionalFormatting>
  <conditionalFormatting sqref="M83:O84 N95:O95">
    <cfRule type="expression" dxfId="623" priority="27">
      <formula>$N$95&gt;0</formula>
    </cfRule>
    <cfRule type="expression" dxfId="622" priority="28">
      <formula>$N$95&lt;0</formula>
    </cfRule>
  </conditionalFormatting>
  <conditionalFormatting sqref="A102:O111">
    <cfRule type="expression" dxfId="621" priority="19">
      <formula>AND($N102 &gt; 0, ISNUMBER($N102))</formula>
    </cfRule>
    <cfRule type="expression" dxfId="620" priority="20">
      <formula>AND($N102 &lt; 0, ISNUMBER($N102))</formula>
    </cfRule>
    <cfRule type="expression" dxfId="619" priority="21">
      <formula>AND($K102 &gt; 0, ISNUMBER($K102))</formula>
    </cfRule>
    <cfRule type="expression" dxfId="618" priority="22">
      <formula>AND($K102 &lt; 0, ISNUMBER($K102))</formula>
    </cfRule>
    <cfRule type="expression" dxfId="617" priority="23">
      <formula>AND($H102 &gt; 0, ISNUMBER($H102))</formula>
    </cfRule>
    <cfRule type="expression" dxfId="616" priority="24">
      <formula>AND($H102 &lt; 0, ISNUMBER($H102))</formula>
    </cfRule>
    <cfRule type="expression" dxfId="615" priority="25">
      <formula>AND($E102 &gt; 0, ISNUMBER($E102))</formula>
    </cfRule>
    <cfRule type="expression" dxfId="614" priority="26">
      <formula>AND($E102 &lt; 0, ISNUMBER($E102))</formula>
    </cfRule>
  </conditionalFormatting>
  <conditionalFormatting sqref="D100:F101 E112:F112">
    <cfRule type="expression" dxfId="613" priority="17">
      <formula>$E$112&gt;0</formula>
    </cfRule>
    <cfRule type="expression" dxfId="612" priority="18">
      <formula>$E$112&lt;0</formula>
    </cfRule>
  </conditionalFormatting>
  <conditionalFormatting sqref="G100:I101 H112:I112">
    <cfRule type="expression" dxfId="611" priority="15">
      <formula>$H$112&gt;0</formula>
    </cfRule>
    <cfRule type="expression" dxfId="610" priority="16">
      <formula>$H$112&lt;0</formula>
    </cfRule>
  </conditionalFormatting>
  <conditionalFormatting sqref="J100:L101 K112:L112">
    <cfRule type="expression" dxfId="609" priority="13">
      <formula>$K$112&gt;0</formula>
    </cfRule>
    <cfRule type="expression" dxfId="608" priority="14">
      <formula>$K$112&lt;0</formula>
    </cfRule>
  </conditionalFormatting>
  <conditionalFormatting sqref="M100:O101 N112:O112">
    <cfRule type="expression" dxfId="607" priority="11">
      <formula>$N$112&gt;0</formula>
    </cfRule>
    <cfRule type="expression" dxfId="606" priority="12">
      <formula>$N$112&lt;0</formula>
    </cfRule>
  </conditionalFormatting>
  <conditionalFormatting sqref="G2:I3">
    <cfRule type="expression" dxfId="6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44301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24"/>
      <c r="I9" s="225"/>
      <c r="J9" s="1" t="s">
        <v>28</v>
      </c>
      <c r="K9" s="232" t="s">
        <v>225</v>
      </c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45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44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16"/>
      <c r="R16" s="217"/>
    </row>
    <row r="17" spans="1:18" ht="17.25" customHeight="1">
      <c r="A17" s="39" t="s">
        <v>169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14"/>
      <c r="R17" s="215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14"/>
      <c r="R18" s="215"/>
    </row>
    <row r="19" spans="1:18" ht="17.25" customHeight="1">
      <c r="A19" s="40" t="s">
        <v>129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14"/>
      <c r="R19" s="215"/>
    </row>
    <row r="20" spans="1:18" ht="17.25" customHeight="1">
      <c r="A20" s="40" t="s">
        <v>232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14"/>
      <c r="R20" s="215"/>
    </row>
    <row r="21" spans="1:18" ht="17.25" customHeight="1">
      <c r="A21" s="41" t="s">
        <v>243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14"/>
      <c r="R21" s="215"/>
    </row>
    <row r="22" spans="1:18" ht="17.25" customHeight="1">
      <c r="A22" s="40" t="s">
        <v>201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14"/>
      <c r="R22" s="215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14"/>
      <c r="R23" s="21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4"/>
      <c r="R24" s="21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16"/>
      <c r="R25" s="21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44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188"/>
      <c r="R33" s="189"/>
    </row>
    <row r="34" spans="1:18" ht="17.25" customHeight="1">
      <c r="A34" s="9" t="s">
        <v>169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186"/>
      <c r="R34" s="187"/>
    </row>
    <row r="35" spans="1:18" ht="17.25" customHeight="1">
      <c r="A35" s="11" t="s">
        <v>147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186"/>
      <c r="R35" s="187"/>
    </row>
    <row r="36" spans="1:18" ht="17.25" customHeight="1">
      <c r="A36" s="11" t="s">
        <v>149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186"/>
      <c r="R36" s="187"/>
    </row>
    <row r="37" spans="1:18" ht="17.25" customHeight="1">
      <c r="A37" s="11" t="s">
        <v>131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186"/>
      <c r="R37" s="187"/>
    </row>
    <row r="38" spans="1:18" ht="17.25" customHeight="1">
      <c r="A38" s="8" t="s">
        <v>161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186"/>
      <c r="R38" s="187"/>
    </row>
    <row r="39" spans="1:18" ht="17.25" customHeight="1">
      <c r="A39" s="11" t="s">
        <v>108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186"/>
      <c r="R39" s="187"/>
    </row>
    <row r="40" spans="1:18" ht="17.25" customHeight="1">
      <c r="A40" s="11" t="s">
        <v>122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186"/>
      <c r="R40" s="187"/>
    </row>
    <row r="41" spans="1:18" ht="17.25" customHeight="1">
      <c r="A41" s="11" t="s">
        <v>150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186"/>
      <c r="R41" s="187"/>
    </row>
    <row r="42" spans="1:18" ht="17.25" customHeight="1">
      <c r="A42" s="11" t="s">
        <v>139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188"/>
      <c r="R42" s="189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44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188"/>
      <c r="R50" s="189"/>
    </row>
    <row r="51" spans="1:18" ht="17.25" customHeight="1">
      <c r="A51" s="9" t="s">
        <v>164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186"/>
      <c r="R51" s="187"/>
    </row>
    <row r="52" spans="1:18" ht="17.25" customHeight="1">
      <c r="A52" s="11" t="s">
        <v>137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186"/>
      <c r="R52" s="187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186"/>
      <c r="R53" s="187"/>
    </row>
    <row r="54" spans="1:18" ht="17.25" customHeight="1">
      <c r="A54" s="11" t="s">
        <v>135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186"/>
      <c r="R54" s="187"/>
    </row>
    <row r="55" spans="1:18" ht="17.25" customHeight="1">
      <c r="A55" s="8" t="s">
        <v>126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186"/>
      <c r="R55" s="187"/>
    </row>
    <row r="56" spans="1:18" ht="17.25" customHeight="1">
      <c r="A56" s="11" t="s">
        <v>140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44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188"/>
      <c r="R67" s="189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186"/>
      <c r="R68" s="187"/>
    </row>
    <row r="69" spans="1:18" ht="17.25" customHeight="1">
      <c r="A69" t="s">
        <v>152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186"/>
      <c r="R69" s="187"/>
    </row>
    <row r="70" spans="1:18" ht="17.25" customHeight="1">
      <c r="A70" t="s">
        <v>220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186"/>
      <c r="R70" s="187"/>
    </row>
    <row r="71" spans="1:18" ht="17.25" customHeight="1">
      <c r="A71" t="s">
        <v>129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186"/>
      <c r="R71" s="187"/>
    </row>
    <row r="72" spans="1:18" ht="17.25" customHeight="1">
      <c r="A72" t="s">
        <v>119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186"/>
      <c r="R72" s="187"/>
    </row>
    <row r="73" spans="1:18" ht="17.25" customHeight="1">
      <c r="A73" t="s">
        <v>120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186"/>
      <c r="R73" s="187"/>
    </row>
    <row r="74" spans="1:18" ht="17.25" customHeight="1">
      <c r="A74" t="s">
        <v>178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186"/>
      <c r="R74" s="187"/>
    </row>
    <row r="75" spans="1:18" ht="17.25" customHeight="1">
      <c r="A75" t="s">
        <v>181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186"/>
      <c r="R75" s="187"/>
    </row>
    <row r="76" spans="1:18" ht="17.25" customHeight="1">
      <c r="A76" t="s">
        <v>154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188"/>
      <c r="R76" s="189"/>
    </row>
    <row r="77" spans="1:18" ht="17.25" customHeight="1" thickBot="1">
      <c r="A77" t="s">
        <v>128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44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188"/>
      <c r="R84" s="189"/>
    </row>
    <row r="85" spans="1:18" ht="17.25" customHeight="1">
      <c r="A85" s="9" t="s">
        <v>142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186"/>
      <c r="R85" s="187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186"/>
      <c r="R86" s="187"/>
    </row>
    <row r="87" spans="1:18" ht="17.25" customHeight="1">
      <c r="A87" s="11" t="s">
        <v>170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186"/>
      <c r="R87" s="187"/>
    </row>
    <row r="88" spans="1:18" ht="17.25" customHeight="1">
      <c r="A88" s="11" t="s">
        <v>144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186"/>
      <c r="R88" s="187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186"/>
      <c r="R89" s="187"/>
    </row>
    <row r="90" spans="1:18" ht="17.25" customHeight="1">
      <c r="A90" s="11" t="s">
        <v>163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186"/>
      <c r="R90" s="187"/>
    </row>
    <row r="91" spans="1:18" ht="17.25" customHeight="1">
      <c r="A91" s="11" t="s">
        <v>174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186"/>
      <c r="R91" s="187"/>
    </row>
    <row r="92" spans="1:18" ht="17.25" customHeight="1">
      <c r="A92" s="11" t="s">
        <v>124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186"/>
      <c r="R92" s="187"/>
    </row>
    <row r="93" spans="1:18" ht="17.25" customHeight="1">
      <c r="A93" s="11" t="s">
        <v>141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188"/>
      <c r="R93" s="189"/>
    </row>
    <row r="94" spans="1:18" ht="17.25" customHeight="1" thickBot="1">
      <c r="A94" s="13" t="s">
        <v>172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44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188"/>
      <c r="R101" s="189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186"/>
      <c r="R102" s="187"/>
    </row>
    <row r="103" spans="1:18" ht="17.25" customHeight="1">
      <c r="A103" s="11" t="s">
        <v>152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186"/>
      <c r="R103" s="187"/>
    </row>
    <row r="104" spans="1:18" ht="17.25" customHeight="1">
      <c r="A104" s="11" t="s">
        <v>220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186"/>
      <c r="R104" s="187"/>
    </row>
    <row r="105" spans="1:18" ht="17.25" customHeight="1">
      <c r="A105" s="11" t="s">
        <v>169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186"/>
      <c r="R105" s="187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186"/>
      <c r="R106" s="187"/>
    </row>
    <row r="107" spans="1:18" ht="17.25" customHeight="1">
      <c r="A107" s="11" t="s">
        <v>129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186"/>
      <c r="R107" s="187"/>
    </row>
    <row r="108" spans="1:18" ht="17.25" customHeight="1">
      <c r="A108" s="11" t="s">
        <v>232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186"/>
      <c r="R108" s="187"/>
    </row>
    <row r="109" spans="1:18" ht="17.25" customHeight="1">
      <c r="A109" s="11" t="s">
        <v>198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186"/>
      <c r="R109" s="187"/>
    </row>
    <row r="110" spans="1:18" ht="17.25" customHeight="1">
      <c r="A110" s="11" t="s">
        <v>119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188"/>
      <c r="R110" s="189"/>
    </row>
    <row r="111" spans="1:18" ht="17.25" customHeight="1" thickBot="1">
      <c r="A111" s="13" t="s">
        <v>228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190"/>
      <c r="R112" s="19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95" priority="89">
      <formula>$E$27&gt;0</formula>
    </cfRule>
    <cfRule type="expression" dxfId="594" priority="90">
      <formula>$E$27&lt;0</formula>
    </cfRule>
  </conditionalFormatting>
  <conditionalFormatting sqref="G15:I16 H27:I27">
    <cfRule type="expression" dxfId="593" priority="87">
      <formula>$H$27&gt;0</formula>
    </cfRule>
    <cfRule type="expression" dxfId="592" priority="88">
      <formula>$H$27&lt;0</formula>
    </cfRule>
  </conditionalFormatting>
  <conditionalFormatting sqref="J15:L16 K27:L27">
    <cfRule type="expression" dxfId="591" priority="85">
      <formula>$K$27&gt;0</formula>
    </cfRule>
    <cfRule type="expression" dxfId="590" priority="86">
      <formula>$K$27&lt;0</formula>
    </cfRule>
  </conditionalFormatting>
  <conditionalFormatting sqref="M15:O16 N27:O27">
    <cfRule type="expression" dxfId="589" priority="83">
      <formula>$N$27&gt;0</formula>
    </cfRule>
    <cfRule type="expression" dxfId="588" priority="84">
      <formula>$N$27&lt;0</formula>
    </cfRule>
  </conditionalFormatting>
  <conditionalFormatting sqref="A17:O26 A34:O43">
    <cfRule type="expression" dxfId="587" priority="91">
      <formula>AND($N17 &gt; 0, ISNUMBER($N17))</formula>
    </cfRule>
    <cfRule type="expression" dxfId="586" priority="92">
      <formula>AND($N17 &lt; 0, ISNUMBER($N17))</formula>
    </cfRule>
    <cfRule type="expression" dxfId="585" priority="93">
      <formula>AND($K17 &gt; 0, ISNUMBER($K17))</formula>
    </cfRule>
    <cfRule type="expression" dxfId="584" priority="94">
      <formula>AND($K17 &lt; 0, ISNUMBER($K17))</formula>
    </cfRule>
    <cfRule type="expression" dxfId="583" priority="95">
      <formula>AND($H17 &gt; 0, ISNUMBER($H17))</formula>
    </cfRule>
    <cfRule type="expression" dxfId="582" priority="96">
      <formula>AND($H17 &lt; 0, ISNUMBER($H17))</formula>
    </cfRule>
    <cfRule type="expression" dxfId="581" priority="97">
      <formula>AND($E17 &gt; 0, ISNUMBER($E17))</formula>
    </cfRule>
    <cfRule type="expression" dxfId="580" priority="98">
      <formula>AND($E17 &lt; 0, ISNUMBER($E17))</formula>
    </cfRule>
  </conditionalFormatting>
  <conditionalFormatting sqref="D32:F33 E44:F44">
    <cfRule type="expression" dxfId="579" priority="81">
      <formula>$E$44&gt;0</formula>
    </cfRule>
    <cfRule type="expression" dxfId="578" priority="82">
      <formula>$E$44&lt;0</formula>
    </cfRule>
  </conditionalFormatting>
  <conditionalFormatting sqref="G32:I33 H44:I44">
    <cfRule type="expression" dxfId="577" priority="79">
      <formula>$H$44&gt;0</formula>
    </cfRule>
    <cfRule type="expression" dxfId="576" priority="80">
      <formula>$H$44&lt;0</formula>
    </cfRule>
  </conditionalFormatting>
  <conditionalFormatting sqref="J32:L33 K44:L44">
    <cfRule type="expression" dxfId="575" priority="77">
      <formula>$K$44&gt;0</formula>
    </cfRule>
    <cfRule type="expression" dxfId="574" priority="78">
      <formula>$K$44&lt;0</formula>
    </cfRule>
  </conditionalFormatting>
  <conditionalFormatting sqref="M32:O33 N44:O44">
    <cfRule type="expression" dxfId="573" priority="75">
      <formula>$N$44&gt;0</formula>
    </cfRule>
    <cfRule type="expression" dxfId="572" priority="76">
      <formula>$N$44&lt;0</formula>
    </cfRule>
  </conditionalFormatting>
  <conditionalFormatting sqref="A51:O60">
    <cfRule type="expression" dxfId="571" priority="67">
      <formula>AND($N51 &gt; 0, ISNUMBER($N51))</formula>
    </cfRule>
    <cfRule type="expression" dxfId="570" priority="68">
      <formula>AND($N51 &lt; 0, ISNUMBER($N51))</formula>
    </cfRule>
    <cfRule type="expression" dxfId="569" priority="69">
      <formula>AND($K51 &gt; 0, ISNUMBER($K51))</formula>
    </cfRule>
    <cfRule type="expression" dxfId="568" priority="70">
      <formula>AND($K51 &lt; 0, ISNUMBER($K51))</formula>
    </cfRule>
    <cfRule type="expression" dxfId="567" priority="71">
      <formula>AND($H51 &gt; 0, ISNUMBER($H51))</formula>
    </cfRule>
    <cfRule type="expression" dxfId="566" priority="72">
      <formula>AND($H51 &lt; 0, ISNUMBER($H51))</formula>
    </cfRule>
    <cfRule type="expression" dxfId="565" priority="73">
      <formula>AND($E51 &gt; 0, ISNUMBER($E51))</formula>
    </cfRule>
    <cfRule type="expression" dxfId="564" priority="74">
      <formula>AND($E51 &lt; 0, ISNUMBER($E51))</formula>
    </cfRule>
  </conditionalFormatting>
  <conditionalFormatting sqref="D49:F50 E61:F61">
    <cfRule type="expression" dxfId="563" priority="65">
      <formula>$E$61&gt;0</formula>
    </cfRule>
    <cfRule type="expression" dxfId="562" priority="66">
      <formula>$E$61&lt;0</formula>
    </cfRule>
  </conditionalFormatting>
  <conditionalFormatting sqref="G49:I50 H61:I61">
    <cfRule type="expression" dxfId="561" priority="63">
      <formula>$H$61&gt;0</formula>
    </cfRule>
    <cfRule type="expression" dxfId="560" priority="64">
      <formula>$H$61&lt;0</formula>
    </cfRule>
  </conditionalFormatting>
  <conditionalFormatting sqref="J49:L50 K61:L61">
    <cfRule type="expression" dxfId="559" priority="61">
      <formula>$K$61&gt;0</formula>
    </cfRule>
    <cfRule type="expression" dxfId="558" priority="62">
      <formula>$K$61&lt;0</formula>
    </cfRule>
  </conditionalFormatting>
  <conditionalFormatting sqref="M49:O50 N61:O61">
    <cfRule type="expression" dxfId="557" priority="59">
      <formula>$N$61&gt;0</formula>
    </cfRule>
    <cfRule type="expression" dxfId="556" priority="60">
      <formula>$N$61&lt;0</formula>
    </cfRule>
  </conditionalFormatting>
  <conditionalFormatting sqref="A68:O77">
    <cfRule type="expression" dxfId="555" priority="51">
      <formula>AND($N68 &gt; 0, ISNUMBER($N68))</formula>
    </cfRule>
    <cfRule type="expression" dxfId="554" priority="52">
      <formula>AND($N68 &lt; 0, ISNUMBER($N68))</formula>
    </cfRule>
    <cfRule type="expression" dxfId="553" priority="53">
      <formula>AND($K68 &gt; 0, ISNUMBER($K68))</formula>
    </cfRule>
    <cfRule type="expression" dxfId="552" priority="54">
      <formula>AND($K68 &lt; 0, ISNUMBER($K68))</formula>
    </cfRule>
    <cfRule type="expression" dxfId="551" priority="55">
      <formula>AND($H68 &gt; 0, ISNUMBER($H68))</formula>
    </cfRule>
    <cfRule type="expression" dxfId="550" priority="56">
      <formula>AND($H68 &lt; 0, ISNUMBER($H68))</formula>
    </cfRule>
    <cfRule type="expression" dxfId="549" priority="57">
      <formula>AND($E68 &gt; 0, ISNUMBER($E68))</formula>
    </cfRule>
    <cfRule type="expression" dxfId="548" priority="58">
      <formula>AND($E68 &lt; 0, ISNUMBER($E68))</formula>
    </cfRule>
  </conditionalFormatting>
  <conditionalFormatting sqref="D66:F67 E78:F78">
    <cfRule type="expression" dxfId="547" priority="49">
      <formula>$E$78&gt;0</formula>
    </cfRule>
    <cfRule type="expression" dxfId="546" priority="50">
      <formula>$E$78&lt;0</formula>
    </cfRule>
  </conditionalFormatting>
  <conditionalFormatting sqref="G66:I67 H78:I78">
    <cfRule type="expression" dxfId="545" priority="47">
      <formula>$H$78&gt;0</formula>
    </cfRule>
    <cfRule type="expression" dxfId="544" priority="48">
      <formula>$H$78&lt;0</formula>
    </cfRule>
  </conditionalFormatting>
  <conditionalFormatting sqref="J66:L67 K78:L78">
    <cfRule type="expression" dxfId="543" priority="45">
      <formula>$K$78&gt;0</formula>
    </cfRule>
    <cfRule type="expression" dxfId="542" priority="46">
      <formula>$K$78&lt;0</formula>
    </cfRule>
  </conditionalFormatting>
  <conditionalFormatting sqref="M66:O67 N78:O78">
    <cfRule type="expression" dxfId="541" priority="43">
      <formula>$N$78&gt;0</formula>
    </cfRule>
    <cfRule type="expression" dxfId="540" priority="44">
      <formula>$N$78&lt;0</formula>
    </cfRule>
  </conditionalFormatting>
  <conditionalFormatting sqref="A85:O94">
    <cfRule type="expression" dxfId="539" priority="35">
      <formula>AND($N85 &gt; 0, ISNUMBER($N85))</formula>
    </cfRule>
    <cfRule type="expression" dxfId="538" priority="36">
      <formula>AND($N85 &lt; 0, ISNUMBER($N85))</formula>
    </cfRule>
    <cfRule type="expression" dxfId="537" priority="37">
      <formula>AND($K85 &gt; 0, ISNUMBER($K85))</formula>
    </cfRule>
    <cfRule type="expression" dxfId="536" priority="38">
      <formula>AND($K85 &lt; 0, ISNUMBER($K85))</formula>
    </cfRule>
    <cfRule type="expression" dxfId="535" priority="39">
      <formula>AND($H85 &gt; 0, ISNUMBER($H85))</formula>
    </cfRule>
    <cfRule type="expression" dxfId="534" priority="40">
      <formula>AND($H85 &lt; 0, ISNUMBER($H85))</formula>
    </cfRule>
    <cfRule type="expression" dxfId="533" priority="41">
      <formula>AND($E85 &gt; 0, ISNUMBER($E85))</formula>
    </cfRule>
    <cfRule type="expression" dxfId="532" priority="42">
      <formula>AND($E85 &lt; 0, ISNUMBER($E85))</formula>
    </cfRule>
  </conditionalFormatting>
  <conditionalFormatting sqref="D83:F84 E95:F95">
    <cfRule type="expression" dxfId="531" priority="33">
      <formula>$E$95&gt;0</formula>
    </cfRule>
    <cfRule type="expression" dxfId="530" priority="34">
      <formula>$E$95&lt;0</formula>
    </cfRule>
  </conditionalFormatting>
  <conditionalFormatting sqref="G83:I84 H95:I95">
    <cfRule type="expression" dxfId="529" priority="31">
      <formula>$H$95&gt;0</formula>
    </cfRule>
    <cfRule type="expression" dxfId="528" priority="32">
      <formula>$H$95&lt;0</formula>
    </cfRule>
  </conditionalFormatting>
  <conditionalFormatting sqref="J83:L84 K95:L95">
    <cfRule type="expression" dxfId="527" priority="29">
      <formula>$K$95&gt;0</formula>
    </cfRule>
    <cfRule type="expression" dxfId="526" priority="30">
      <formula>$K$95&lt;0</formula>
    </cfRule>
  </conditionalFormatting>
  <conditionalFormatting sqref="M83:O84 N95:O95">
    <cfRule type="expression" dxfId="525" priority="27">
      <formula>$N$95&gt;0</formula>
    </cfRule>
    <cfRule type="expression" dxfId="524" priority="28">
      <formula>$N$95&lt;0</formula>
    </cfRule>
  </conditionalFormatting>
  <conditionalFormatting sqref="A102:O111">
    <cfRule type="expression" dxfId="523" priority="19">
      <formula>AND($N102 &gt; 0, ISNUMBER($N102))</formula>
    </cfRule>
    <cfRule type="expression" dxfId="522" priority="20">
      <formula>AND($N102 &lt; 0, ISNUMBER($N102))</formula>
    </cfRule>
    <cfRule type="expression" dxfId="521" priority="21">
      <formula>AND($K102 &gt; 0, ISNUMBER($K102))</formula>
    </cfRule>
    <cfRule type="expression" dxfId="520" priority="22">
      <formula>AND($K102 &lt; 0, ISNUMBER($K102))</formula>
    </cfRule>
    <cfRule type="expression" dxfId="519" priority="23">
      <formula>AND($H102 &gt; 0, ISNUMBER($H102))</formula>
    </cfRule>
    <cfRule type="expression" dxfId="518" priority="24">
      <formula>AND($H102 &lt; 0, ISNUMBER($H102))</formula>
    </cfRule>
    <cfRule type="expression" dxfId="517" priority="25">
      <formula>AND($E102 &gt; 0, ISNUMBER($E102))</formula>
    </cfRule>
    <cfRule type="expression" dxfId="516" priority="26">
      <formula>AND($E102 &lt; 0, ISNUMBER($E102))</formula>
    </cfRule>
  </conditionalFormatting>
  <conditionalFormatting sqref="D100:F101 E112:F112">
    <cfRule type="expression" dxfId="515" priority="17">
      <formula>$E$112&gt;0</formula>
    </cfRule>
    <cfRule type="expression" dxfId="514" priority="18">
      <formula>$E$112&lt;0</formula>
    </cfRule>
  </conditionalFormatting>
  <conditionalFormatting sqref="G100:I101 H112:I112">
    <cfRule type="expression" dxfId="513" priority="15">
      <formula>$H$112&gt;0</formula>
    </cfRule>
    <cfRule type="expression" dxfId="512" priority="16">
      <formula>$H$112&lt;0</formula>
    </cfRule>
  </conditionalFormatting>
  <conditionalFormatting sqref="J100:L101 K112:L112">
    <cfRule type="expression" dxfId="511" priority="13">
      <formula>$K$112&gt;0</formula>
    </cfRule>
    <cfRule type="expression" dxfId="510" priority="14">
      <formula>$K$112&lt;0</formula>
    </cfRule>
  </conditionalFormatting>
  <conditionalFormatting sqref="M100:O101 N112:O112">
    <cfRule type="expression" dxfId="509" priority="11">
      <formula>$N$112&gt;0</formula>
    </cfRule>
    <cfRule type="expression" dxfId="508" priority="12">
      <formula>$N$112&lt;0</formula>
    </cfRule>
  </conditionalFormatting>
  <conditionalFormatting sqref="G2:I3">
    <cfRule type="expression" dxfId="5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44302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24"/>
      <c r="I9" s="225"/>
      <c r="J9" s="1" t="s">
        <v>28</v>
      </c>
      <c r="K9" s="232" t="s">
        <v>225</v>
      </c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>
        <v>98</v>
      </c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52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51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16"/>
      <c r="R16" s="217"/>
    </row>
    <row r="17" spans="1:18" ht="17.25" customHeight="1">
      <c r="A17" s="39" t="s">
        <v>170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14"/>
      <c r="R17" s="215"/>
    </row>
    <row r="18" spans="1:18" ht="17.25" customHeight="1">
      <c r="A18" s="40" t="s">
        <v>128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14"/>
      <c r="R18" s="215"/>
    </row>
    <row r="19" spans="1:18" ht="17.25" customHeight="1">
      <c r="A19" s="40" t="s">
        <v>218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14"/>
      <c r="R19" s="215"/>
    </row>
    <row r="20" spans="1:18" ht="17.25" customHeight="1">
      <c r="A20" s="40" t="s">
        <v>164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14"/>
      <c r="R20" s="215"/>
    </row>
    <row r="21" spans="1:18" ht="17.25" customHeight="1">
      <c r="A21" s="41" t="s">
        <v>144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14"/>
      <c r="R21" s="215"/>
    </row>
    <row r="22" spans="1:18" ht="17.25" customHeight="1">
      <c r="A22" s="40" t="s">
        <v>129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14"/>
      <c r="R22" s="215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14"/>
      <c r="R23" s="215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14"/>
      <c r="R24" s="215"/>
    </row>
    <row r="25" spans="1:18" ht="17.25" customHeight="1">
      <c r="A25" s="40" t="s">
        <v>122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16"/>
      <c r="R25" s="217"/>
    </row>
    <row r="26" spans="1:18" ht="17.25" customHeight="1" thickBot="1">
      <c r="A26" s="42" t="s">
        <v>147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51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188"/>
      <c r="R33" s="189"/>
    </row>
    <row r="34" spans="1:18" ht="17.25" customHeight="1">
      <c r="A34" s="9" t="s">
        <v>164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186"/>
      <c r="R34" s="187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186"/>
      <c r="R35" s="187"/>
    </row>
    <row r="36" spans="1:18" ht="17.25" customHeight="1">
      <c r="A36" s="11" t="s">
        <v>122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186"/>
      <c r="R36" s="187"/>
    </row>
    <row r="37" spans="1:18" ht="17.25" customHeight="1">
      <c r="A37" s="11" t="s">
        <v>147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186"/>
      <c r="R37" s="187"/>
    </row>
    <row r="38" spans="1:18" ht="17.25" customHeight="1">
      <c r="A38" s="8" t="s">
        <v>135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186"/>
      <c r="R38" s="187"/>
    </row>
    <row r="39" spans="1:18" ht="17.25" customHeight="1">
      <c r="A39" s="11" t="s">
        <v>108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186"/>
      <c r="R39" s="187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186"/>
      <c r="R40" s="187"/>
    </row>
    <row r="41" spans="1:18" ht="17.25" customHeight="1">
      <c r="A41" s="11" t="s">
        <v>139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186"/>
      <c r="R41" s="187"/>
    </row>
    <row r="42" spans="1:18" ht="17.25" customHeight="1">
      <c r="A42" s="11" t="s">
        <v>149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188"/>
      <c r="R42" s="189"/>
    </row>
    <row r="43" spans="1:18" ht="17.25" customHeight="1" thickBot="1">
      <c r="A43" s="13" t="s">
        <v>137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51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188"/>
      <c r="R50" s="189"/>
    </row>
    <row r="51" spans="1:18" ht="17.25" customHeight="1">
      <c r="A51" s="9" t="s">
        <v>161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186"/>
      <c r="R51" s="187"/>
    </row>
    <row r="52" spans="1:18" ht="17.25" customHeight="1">
      <c r="A52" s="11" t="s">
        <v>150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186"/>
      <c r="R52" s="187"/>
    </row>
    <row r="53" spans="1:18" ht="17.25" customHeight="1">
      <c r="A53" s="11" t="s">
        <v>126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186"/>
      <c r="R53" s="187"/>
    </row>
    <row r="54" spans="1:18" ht="17.25" customHeight="1">
      <c r="A54" s="11" t="s">
        <v>152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186"/>
      <c r="R54" s="187"/>
    </row>
    <row r="55" spans="1:18" ht="17.25" customHeight="1">
      <c r="A55" s="8" t="s">
        <v>140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186"/>
      <c r="R55" s="187"/>
    </row>
    <row r="56" spans="1:18" ht="17.25" customHeight="1">
      <c r="A56" s="11" t="s">
        <v>169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51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188"/>
      <c r="R67" s="189"/>
    </row>
    <row r="68" spans="1:18" ht="17.25" customHeight="1">
      <c r="A68" s="9" t="s">
        <v>120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186"/>
      <c r="R68" s="187"/>
    </row>
    <row r="69" spans="1:18" ht="17.25" customHeight="1">
      <c r="A69" s="11" t="s">
        <v>241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186"/>
      <c r="R69" s="187"/>
    </row>
    <row r="70" spans="1:18" ht="17.25" customHeight="1">
      <c r="A70" s="11" t="s">
        <v>170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186"/>
      <c r="R70" s="187"/>
    </row>
    <row r="71" spans="1:18" ht="17.25" customHeight="1">
      <c r="A71" s="11" t="s">
        <v>128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186"/>
      <c r="R71" s="187"/>
    </row>
    <row r="72" spans="1:18" ht="17.25" customHeight="1">
      <c r="A72" s="8" t="s">
        <v>144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186"/>
      <c r="R72" s="187"/>
    </row>
    <row r="73" spans="1:18" ht="17.25" customHeight="1">
      <c r="A73" s="11" t="s">
        <v>129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186"/>
      <c r="R73" s="187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186"/>
      <c r="R74" s="187"/>
    </row>
    <row r="75" spans="1:18" ht="17.25" customHeight="1">
      <c r="A75" s="11" t="s">
        <v>158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186"/>
      <c r="R75" s="187"/>
    </row>
    <row r="76" spans="1:18" ht="17.25" customHeight="1">
      <c r="A76" s="11" t="s">
        <v>112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188"/>
      <c r="R76" s="189"/>
    </row>
    <row r="77" spans="1:18" ht="17.25" customHeight="1" thickBot="1">
      <c r="A77" s="13" t="s">
        <v>163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51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188"/>
      <c r="R84" s="189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186"/>
      <c r="R85" s="187"/>
    </row>
    <row r="86" spans="1:18" ht="17.25" customHeight="1">
      <c r="A86" s="11" t="s">
        <v>146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186"/>
      <c r="R86" s="187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186"/>
      <c r="R87" s="187"/>
    </row>
    <row r="88" spans="1:18" ht="17.25" customHeight="1">
      <c r="A88" s="11" t="s">
        <v>115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186"/>
      <c r="R88" s="187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186"/>
      <c r="R89" s="187"/>
    </row>
    <row r="90" spans="1:18" ht="17.25" customHeight="1">
      <c r="A90" s="11" t="s">
        <v>138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186"/>
      <c r="R90" s="187"/>
    </row>
    <row r="91" spans="1:18" ht="17.25" customHeight="1">
      <c r="A91" s="11" t="s">
        <v>116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186"/>
      <c r="R91" s="187"/>
    </row>
    <row r="92" spans="1:18" ht="17.25" customHeight="1">
      <c r="A92" s="11" t="s">
        <v>131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186"/>
      <c r="R92" s="187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188"/>
      <c r="R93" s="189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51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188"/>
      <c r="R101" s="189"/>
    </row>
    <row r="102" spans="1:18" ht="17.25" customHeight="1">
      <c r="A102" s="9" t="s">
        <v>120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186"/>
      <c r="R102" s="187"/>
    </row>
    <row r="103" spans="1:18" ht="17.25" customHeight="1">
      <c r="A103" s="11" t="s">
        <v>241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186"/>
      <c r="R103" s="187"/>
    </row>
    <row r="104" spans="1:18" ht="17.25" customHeight="1">
      <c r="A104" s="11" t="s">
        <v>170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186"/>
      <c r="R104" s="187"/>
    </row>
    <row r="105" spans="1:18" ht="17.25" customHeight="1">
      <c r="A105" s="11" t="s">
        <v>128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186"/>
      <c r="R105" s="187"/>
    </row>
    <row r="106" spans="1:18" ht="17.25" customHeight="1">
      <c r="A106" s="8" t="s">
        <v>218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186"/>
      <c r="R106" s="187"/>
    </row>
    <row r="107" spans="1:18" ht="17.25" customHeight="1">
      <c r="A107" s="11" t="s">
        <v>164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186"/>
      <c r="R107" s="187"/>
    </row>
    <row r="108" spans="1:18" ht="17.25" customHeight="1">
      <c r="A108" s="11" t="s">
        <v>144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186"/>
      <c r="R108" s="187"/>
    </row>
    <row r="109" spans="1:18" ht="17.25" customHeight="1">
      <c r="A109" s="11" t="s">
        <v>129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186"/>
      <c r="R109" s="187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188"/>
      <c r="R110" s="189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190"/>
      <c r="R112" s="19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97" priority="89">
      <formula>$E$27&gt;0</formula>
    </cfRule>
    <cfRule type="expression" dxfId="496" priority="90">
      <formula>$E$27&lt;0</formula>
    </cfRule>
  </conditionalFormatting>
  <conditionalFormatting sqref="G15:I16 H27:I27">
    <cfRule type="expression" dxfId="495" priority="87">
      <formula>$H$27&gt;0</formula>
    </cfRule>
    <cfRule type="expression" dxfId="494" priority="88">
      <formula>$H$27&lt;0</formula>
    </cfRule>
  </conditionalFormatting>
  <conditionalFormatting sqref="J15:L16 K27:L27">
    <cfRule type="expression" dxfId="493" priority="85">
      <formula>$K$27&gt;0</formula>
    </cfRule>
    <cfRule type="expression" dxfId="492" priority="86">
      <formula>$K$27&lt;0</formula>
    </cfRule>
  </conditionalFormatting>
  <conditionalFormatting sqref="M15:O16 N27:O27">
    <cfRule type="expression" dxfId="491" priority="83">
      <formula>$N$27&gt;0</formula>
    </cfRule>
    <cfRule type="expression" dxfId="490" priority="84">
      <formula>$N$27&lt;0</formula>
    </cfRule>
  </conditionalFormatting>
  <conditionalFormatting sqref="A17:O26 A34:O43">
    <cfRule type="expression" dxfId="489" priority="91">
      <formula>AND($N17 &gt; 0, ISNUMBER($N17))</formula>
    </cfRule>
    <cfRule type="expression" dxfId="488" priority="92">
      <formula>AND($N17 &lt; 0, ISNUMBER($N17))</formula>
    </cfRule>
    <cfRule type="expression" dxfId="487" priority="93">
      <formula>AND($K17 &gt; 0, ISNUMBER($K17))</formula>
    </cfRule>
    <cfRule type="expression" dxfId="486" priority="94">
      <formula>AND($K17 &lt; 0, ISNUMBER($K17))</formula>
    </cfRule>
    <cfRule type="expression" dxfId="485" priority="95">
      <formula>AND($H17 &gt; 0, ISNUMBER($H17))</formula>
    </cfRule>
    <cfRule type="expression" dxfId="484" priority="96">
      <formula>AND($H17 &lt; 0, ISNUMBER($H17))</formula>
    </cfRule>
    <cfRule type="expression" dxfId="483" priority="97">
      <formula>AND($E17 &gt; 0, ISNUMBER($E17))</formula>
    </cfRule>
    <cfRule type="expression" dxfId="482" priority="98">
      <formula>AND($E17 &lt; 0, ISNUMBER($E17))</formula>
    </cfRule>
  </conditionalFormatting>
  <conditionalFormatting sqref="D32:F33 E44:F44">
    <cfRule type="expression" dxfId="481" priority="81">
      <formula>$E$44&gt;0</formula>
    </cfRule>
    <cfRule type="expression" dxfId="480" priority="82">
      <formula>$E$44&lt;0</formula>
    </cfRule>
  </conditionalFormatting>
  <conditionalFormatting sqref="G32:I33 H44:I44">
    <cfRule type="expression" dxfId="479" priority="79">
      <formula>$H$44&gt;0</formula>
    </cfRule>
    <cfRule type="expression" dxfId="478" priority="80">
      <formula>$H$44&lt;0</formula>
    </cfRule>
  </conditionalFormatting>
  <conditionalFormatting sqref="J32:L33 K44:L44">
    <cfRule type="expression" dxfId="477" priority="77">
      <formula>$K$44&gt;0</formula>
    </cfRule>
    <cfRule type="expression" dxfId="476" priority="78">
      <formula>$K$44&lt;0</formula>
    </cfRule>
  </conditionalFormatting>
  <conditionalFormatting sqref="M32:O33 N44:O44">
    <cfRule type="expression" dxfId="475" priority="75">
      <formula>$N$44&gt;0</formula>
    </cfRule>
    <cfRule type="expression" dxfId="474" priority="76">
      <formula>$N$44&lt;0</formula>
    </cfRule>
  </conditionalFormatting>
  <conditionalFormatting sqref="A51:O60">
    <cfRule type="expression" dxfId="473" priority="67">
      <formula>AND($N51 &gt; 0, ISNUMBER($N51))</formula>
    </cfRule>
    <cfRule type="expression" dxfId="472" priority="68">
      <formula>AND($N51 &lt; 0, ISNUMBER($N51))</formula>
    </cfRule>
    <cfRule type="expression" dxfId="471" priority="69">
      <formula>AND($K51 &gt; 0, ISNUMBER($K51))</formula>
    </cfRule>
    <cfRule type="expression" dxfId="470" priority="70">
      <formula>AND($K51 &lt; 0, ISNUMBER($K51))</formula>
    </cfRule>
    <cfRule type="expression" dxfId="469" priority="71">
      <formula>AND($H51 &gt; 0, ISNUMBER($H51))</formula>
    </cfRule>
    <cfRule type="expression" dxfId="468" priority="72">
      <formula>AND($H51 &lt; 0, ISNUMBER($H51))</formula>
    </cfRule>
    <cfRule type="expression" dxfId="467" priority="73">
      <formula>AND($E51 &gt; 0, ISNUMBER($E51))</formula>
    </cfRule>
    <cfRule type="expression" dxfId="466" priority="74">
      <formula>AND($E51 &lt; 0, ISNUMBER($E51))</formula>
    </cfRule>
  </conditionalFormatting>
  <conditionalFormatting sqref="D49:F50 E61:F61">
    <cfRule type="expression" dxfId="465" priority="65">
      <formula>$E$61&gt;0</formula>
    </cfRule>
    <cfRule type="expression" dxfId="464" priority="66">
      <formula>$E$61&lt;0</formula>
    </cfRule>
  </conditionalFormatting>
  <conditionalFormatting sqref="G49:I50 H61:I61">
    <cfRule type="expression" dxfId="463" priority="63">
      <formula>$H$61&gt;0</formula>
    </cfRule>
    <cfRule type="expression" dxfId="462" priority="64">
      <formula>$H$61&lt;0</formula>
    </cfRule>
  </conditionalFormatting>
  <conditionalFormatting sqref="J49:L50 K61:L61">
    <cfRule type="expression" dxfId="461" priority="61">
      <formula>$K$61&gt;0</formula>
    </cfRule>
    <cfRule type="expression" dxfId="460" priority="62">
      <formula>$K$61&lt;0</formula>
    </cfRule>
  </conditionalFormatting>
  <conditionalFormatting sqref="M49:O50 N61:O61">
    <cfRule type="expression" dxfId="459" priority="59">
      <formula>$N$61&gt;0</formula>
    </cfRule>
    <cfRule type="expression" dxfId="458" priority="60">
      <formula>$N$61&lt;0</formula>
    </cfRule>
  </conditionalFormatting>
  <conditionalFormatting sqref="A68:O77">
    <cfRule type="expression" dxfId="457" priority="51">
      <formula>AND($N68 &gt; 0, ISNUMBER($N68))</formula>
    </cfRule>
    <cfRule type="expression" dxfId="456" priority="52">
      <formula>AND($N68 &lt; 0, ISNUMBER($N68))</formula>
    </cfRule>
    <cfRule type="expression" dxfId="455" priority="53">
      <formula>AND($K68 &gt; 0, ISNUMBER($K68))</formula>
    </cfRule>
    <cfRule type="expression" dxfId="454" priority="54">
      <formula>AND($K68 &lt; 0, ISNUMBER($K68))</formula>
    </cfRule>
    <cfRule type="expression" dxfId="453" priority="55">
      <formula>AND($H68 &gt; 0, ISNUMBER($H68))</formula>
    </cfRule>
    <cfRule type="expression" dxfId="452" priority="56">
      <formula>AND($H68 &lt; 0, ISNUMBER($H68))</formula>
    </cfRule>
    <cfRule type="expression" dxfId="451" priority="57">
      <formula>AND($E68 &gt; 0, ISNUMBER($E68))</formula>
    </cfRule>
    <cfRule type="expression" dxfId="450" priority="58">
      <formula>AND($E68 &lt; 0, ISNUMBER($E68))</formula>
    </cfRule>
  </conditionalFormatting>
  <conditionalFormatting sqref="D66:F67 E78:F78">
    <cfRule type="expression" dxfId="449" priority="49">
      <formula>$E$78&gt;0</formula>
    </cfRule>
    <cfRule type="expression" dxfId="448" priority="50">
      <formula>$E$78&lt;0</formula>
    </cfRule>
  </conditionalFormatting>
  <conditionalFormatting sqref="G66:I67 H78:I78">
    <cfRule type="expression" dxfId="447" priority="47">
      <formula>$H$78&gt;0</formula>
    </cfRule>
    <cfRule type="expression" dxfId="446" priority="48">
      <formula>$H$78&lt;0</formula>
    </cfRule>
  </conditionalFormatting>
  <conditionalFormatting sqref="J66:L67 K78:L78">
    <cfRule type="expression" dxfId="445" priority="45">
      <formula>$K$78&gt;0</formula>
    </cfRule>
    <cfRule type="expression" dxfId="444" priority="46">
      <formula>$K$78&lt;0</formula>
    </cfRule>
  </conditionalFormatting>
  <conditionalFormatting sqref="M66:O67 N78:O78">
    <cfRule type="expression" dxfId="443" priority="43">
      <formula>$N$78&gt;0</formula>
    </cfRule>
    <cfRule type="expression" dxfId="442" priority="44">
      <formula>$N$78&lt;0</formula>
    </cfRule>
  </conditionalFormatting>
  <conditionalFormatting sqref="A85:O94">
    <cfRule type="expression" dxfId="441" priority="35">
      <formula>AND($N85 &gt; 0, ISNUMBER($N85))</formula>
    </cfRule>
    <cfRule type="expression" dxfId="440" priority="36">
      <formula>AND($N85 &lt; 0, ISNUMBER($N85))</formula>
    </cfRule>
    <cfRule type="expression" dxfId="439" priority="37">
      <formula>AND($K85 &gt; 0, ISNUMBER($K85))</formula>
    </cfRule>
    <cfRule type="expression" dxfId="438" priority="38">
      <formula>AND($K85 &lt; 0, ISNUMBER($K85))</formula>
    </cfRule>
    <cfRule type="expression" dxfId="437" priority="39">
      <formula>AND($H85 &gt; 0, ISNUMBER($H85))</formula>
    </cfRule>
    <cfRule type="expression" dxfId="436" priority="40">
      <formula>AND($H85 &lt; 0, ISNUMBER($H85))</formula>
    </cfRule>
    <cfRule type="expression" dxfId="435" priority="41">
      <formula>AND($E85 &gt; 0, ISNUMBER($E85))</formula>
    </cfRule>
    <cfRule type="expression" dxfId="434" priority="42">
      <formula>AND($E85 &lt; 0, ISNUMBER($E85))</formula>
    </cfRule>
  </conditionalFormatting>
  <conditionalFormatting sqref="D83:F84 E95:F95">
    <cfRule type="expression" dxfId="433" priority="33">
      <formula>$E$95&gt;0</formula>
    </cfRule>
    <cfRule type="expression" dxfId="432" priority="34">
      <formula>$E$95&lt;0</formula>
    </cfRule>
  </conditionalFormatting>
  <conditionalFormatting sqref="G83:I84 H95:I95">
    <cfRule type="expression" dxfId="431" priority="31">
      <formula>$H$95&gt;0</formula>
    </cfRule>
    <cfRule type="expression" dxfId="430" priority="32">
      <formula>$H$95&lt;0</formula>
    </cfRule>
  </conditionalFormatting>
  <conditionalFormatting sqref="J83:L84 K95:L95">
    <cfRule type="expression" dxfId="429" priority="29">
      <formula>$K$95&gt;0</formula>
    </cfRule>
    <cfRule type="expression" dxfId="428" priority="30">
      <formula>$K$95&lt;0</formula>
    </cfRule>
  </conditionalFormatting>
  <conditionalFormatting sqref="M83:O84 N95:O95">
    <cfRule type="expression" dxfId="427" priority="27">
      <formula>$N$95&gt;0</formula>
    </cfRule>
    <cfRule type="expression" dxfId="426" priority="28">
      <formula>$N$95&lt;0</formula>
    </cfRule>
  </conditionalFormatting>
  <conditionalFormatting sqref="A102:O111">
    <cfRule type="expression" dxfId="425" priority="19">
      <formula>AND($N102 &gt; 0, ISNUMBER($N102))</formula>
    </cfRule>
    <cfRule type="expression" dxfId="424" priority="20">
      <formula>AND($N102 &lt; 0, ISNUMBER($N102))</formula>
    </cfRule>
    <cfRule type="expression" dxfId="423" priority="21">
      <formula>AND($K102 &gt; 0, ISNUMBER($K102))</formula>
    </cfRule>
    <cfRule type="expression" dxfId="422" priority="22">
      <formula>AND($K102 &lt; 0, ISNUMBER($K102))</formula>
    </cfRule>
    <cfRule type="expression" dxfId="421" priority="23">
      <formula>AND($H102 &gt; 0, ISNUMBER($H102))</formula>
    </cfRule>
    <cfRule type="expression" dxfId="420" priority="24">
      <formula>AND($H102 &lt; 0, ISNUMBER($H102))</formula>
    </cfRule>
    <cfRule type="expression" dxfId="419" priority="25">
      <formula>AND($E102 &gt; 0, ISNUMBER($E102))</formula>
    </cfRule>
    <cfRule type="expression" dxfId="418" priority="26">
      <formula>AND($E102 &lt; 0, ISNUMBER($E102))</formula>
    </cfRule>
  </conditionalFormatting>
  <conditionalFormatting sqref="D100:F101 E112:F112">
    <cfRule type="expression" dxfId="417" priority="17">
      <formula>$E$112&gt;0</formula>
    </cfRule>
    <cfRule type="expression" dxfId="416" priority="18">
      <formula>$E$112&lt;0</formula>
    </cfRule>
  </conditionalFormatting>
  <conditionalFormatting sqref="G100:I101 H112:I112">
    <cfRule type="expression" dxfId="415" priority="15">
      <formula>$H$112&gt;0</formula>
    </cfRule>
    <cfRule type="expression" dxfId="414" priority="16">
      <formula>$H$112&lt;0</formula>
    </cfRule>
  </conditionalFormatting>
  <conditionalFormatting sqref="J100:L101 K112:L112">
    <cfRule type="expression" dxfId="413" priority="13">
      <formula>$K$112&gt;0</formula>
    </cfRule>
    <cfRule type="expression" dxfId="412" priority="14">
      <formula>$K$112&lt;0</formula>
    </cfRule>
  </conditionalFormatting>
  <conditionalFormatting sqref="M100:O101 N112:O112">
    <cfRule type="expression" dxfId="411" priority="11">
      <formula>$N$112&gt;0</formula>
    </cfRule>
    <cfRule type="expression" dxfId="410" priority="12">
      <formula>$N$112&lt;0</formula>
    </cfRule>
  </conditionalFormatting>
  <conditionalFormatting sqref="G2:I3">
    <cfRule type="expression" dxfId="40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44287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24"/>
      <c r="I9" s="225"/>
      <c r="J9" s="1" t="s">
        <v>28</v>
      </c>
      <c r="K9" s="232" t="s">
        <v>225</v>
      </c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59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58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16"/>
      <c r="R16" s="217"/>
    </row>
    <row r="17" spans="1:18" ht="17.25" customHeight="1">
      <c r="A17" s="39" t="s">
        <v>151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14"/>
      <c r="R17" s="215"/>
    </row>
    <row r="18" spans="1:18" ht="17.25" customHeight="1">
      <c r="A18" s="40" t="s">
        <v>159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14"/>
      <c r="R18" s="215"/>
    </row>
    <row r="19" spans="1:18" ht="17.25" customHeight="1">
      <c r="A19" s="40" t="s">
        <v>162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14"/>
      <c r="R19" s="215"/>
    </row>
    <row r="20" spans="1:18" ht="17.25" customHeight="1">
      <c r="A20" s="40" t="s">
        <v>142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14"/>
      <c r="R20" s="215"/>
    </row>
    <row r="21" spans="1:18" ht="17.25" customHeight="1">
      <c r="A21" s="41" t="s">
        <v>122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14"/>
      <c r="R21" s="215"/>
    </row>
    <row r="22" spans="1:18" ht="17.25" customHeight="1">
      <c r="A22" s="40" t="s">
        <v>150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14"/>
      <c r="R22" s="215"/>
    </row>
    <row r="23" spans="1:18" ht="17.25" customHeight="1">
      <c r="A23" s="40" t="s">
        <v>140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14"/>
      <c r="R23" s="215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14"/>
      <c r="R24" s="215"/>
    </row>
    <row r="25" spans="1:18" ht="17.25" customHeight="1">
      <c r="A25" s="40" t="s">
        <v>135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16"/>
      <c r="R25" s="217"/>
    </row>
    <row r="26" spans="1:18" ht="17.25" customHeight="1" thickBot="1">
      <c r="A26" s="42" t="s">
        <v>164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58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188"/>
      <c r="R33" s="189"/>
    </row>
    <row r="34" spans="1:18" ht="17.25" customHeight="1">
      <c r="A34" s="9" t="s">
        <v>169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186"/>
      <c r="R34" s="187"/>
    </row>
    <row r="35" spans="1:18" ht="17.25" customHeight="1">
      <c r="A35" s="11" t="s">
        <v>147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186"/>
      <c r="R35" s="187"/>
    </row>
    <row r="36" spans="1:18" ht="17.25" customHeight="1">
      <c r="A36" s="11" t="s">
        <v>149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186"/>
      <c r="R36" s="187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186"/>
      <c r="R37" s="187"/>
    </row>
    <row r="38" spans="1:18" ht="17.25" customHeight="1">
      <c r="A38" s="8" t="s">
        <v>161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186"/>
      <c r="R38" s="187"/>
    </row>
    <row r="39" spans="1:18" ht="17.25" customHeight="1">
      <c r="A39" s="11" t="s">
        <v>126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186"/>
      <c r="R39" s="187"/>
    </row>
    <row r="40" spans="1:18" ht="17.25" customHeight="1">
      <c r="A40" s="11" t="s">
        <v>152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186"/>
      <c r="R40" s="187"/>
    </row>
    <row r="41" spans="1:18" ht="17.25" customHeight="1">
      <c r="A41" s="11" t="s">
        <v>137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186"/>
      <c r="R41" s="187"/>
    </row>
    <row r="42" spans="1:18" ht="17.25" customHeight="1">
      <c r="A42" s="11" t="s">
        <v>131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188"/>
      <c r="R42" s="189"/>
    </row>
    <row r="43" spans="1:18" ht="17.25" customHeight="1" thickBot="1">
      <c r="A43" s="13" t="s">
        <v>108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58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188"/>
      <c r="R50" s="189"/>
    </row>
    <row r="51" spans="1:18" ht="17.25" customHeight="1">
      <c r="A51" s="9" t="s">
        <v>139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186"/>
      <c r="R51" s="187"/>
    </row>
    <row r="52" spans="1:18" ht="17.25" customHeight="1">
      <c r="A52" s="11" t="s">
        <v>122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186"/>
      <c r="R52" s="187"/>
    </row>
    <row r="53" spans="1:18" ht="17.25" customHeight="1">
      <c r="A53" s="11" t="s">
        <v>150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186"/>
      <c r="R53" s="187"/>
    </row>
    <row r="54" spans="1:18" ht="17.25" customHeight="1">
      <c r="A54" s="11" t="s">
        <v>140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186"/>
      <c r="R54" s="187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186"/>
      <c r="R55" s="187"/>
    </row>
    <row r="56" spans="1:18" ht="17.25" customHeight="1">
      <c r="A56" s="11" t="s">
        <v>135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186"/>
      <c r="R56" s="187"/>
    </row>
    <row r="57" spans="1:18" ht="17.25" customHeight="1">
      <c r="A57" s="11" t="s">
        <v>164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58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188"/>
      <c r="R67" s="189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186"/>
      <c r="R68" s="187"/>
    </row>
    <row r="69" spans="1:18" ht="17.25" customHeight="1">
      <c r="A69" s="11" t="s">
        <v>128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186"/>
      <c r="R69" s="187"/>
    </row>
    <row r="70" spans="1:18" ht="17.25" customHeight="1">
      <c r="A70" s="11" t="s">
        <v>142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186"/>
      <c r="R70" s="187"/>
    </row>
    <row r="71" spans="1:18" ht="17.25" customHeight="1">
      <c r="A71" s="11" t="s">
        <v>144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186"/>
      <c r="R71" s="187"/>
    </row>
    <row r="72" spans="1:18" ht="17.25" customHeight="1">
      <c r="A72" s="8" t="s">
        <v>148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186"/>
      <c r="R72" s="187"/>
    </row>
    <row r="73" spans="1:18" ht="17.25" customHeight="1">
      <c r="A73" s="11" t="s">
        <v>129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186"/>
      <c r="R73" s="187"/>
    </row>
    <row r="74" spans="1:18" ht="17.25" customHeight="1">
      <c r="A74" s="11" t="s">
        <v>138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186"/>
      <c r="R74" s="187"/>
    </row>
    <row r="75" spans="1:18" ht="17.25" customHeight="1">
      <c r="A75" s="11" t="s">
        <v>130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186"/>
      <c r="R75" s="187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188"/>
      <c r="R76" s="189"/>
    </row>
    <row r="77" spans="1:18" ht="17.25" customHeight="1" thickBot="1">
      <c r="A77" s="13" t="s">
        <v>154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58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188"/>
      <c r="R84" s="189"/>
    </row>
    <row r="85" spans="1:18" ht="17.25" customHeight="1">
      <c r="A85" s="9" t="s">
        <v>181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186"/>
      <c r="R85" s="187"/>
    </row>
    <row r="86" spans="1:18" ht="17.25" customHeight="1">
      <c r="A86" s="11" t="s">
        <v>119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186"/>
      <c r="R86" s="187"/>
    </row>
    <row r="87" spans="1:18" ht="17.25" customHeight="1">
      <c r="A87" s="11" t="s">
        <v>178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186"/>
      <c r="R87" s="187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186"/>
      <c r="R88" s="187"/>
    </row>
    <row r="89" spans="1:18" ht="17.25" customHeight="1">
      <c r="A89" s="8" t="s">
        <v>134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186"/>
      <c r="R89" s="187"/>
    </row>
    <row r="90" spans="1:18" ht="17.25" customHeight="1">
      <c r="A90" s="11" t="s">
        <v>125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186"/>
      <c r="R90" s="187"/>
    </row>
    <row r="91" spans="1:18" ht="17.25" customHeight="1">
      <c r="A91" s="11" t="s">
        <v>172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186"/>
      <c r="R91" s="187"/>
    </row>
    <row r="92" spans="1:18" ht="17.25" customHeight="1">
      <c r="A92" s="11" t="s">
        <v>163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186"/>
      <c r="R92" s="187"/>
    </row>
    <row r="93" spans="1:18" ht="17.25" customHeight="1">
      <c r="A93" s="11" t="s">
        <v>133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188"/>
      <c r="R93" s="189"/>
    </row>
    <row r="94" spans="1:18" ht="17.25" customHeight="1" thickBot="1">
      <c r="A94" s="13" t="s">
        <v>170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58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188"/>
      <c r="R101" s="189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186"/>
      <c r="R102" s="187"/>
    </row>
    <row r="103" spans="1:18" ht="17.25" customHeight="1">
      <c r="A103" s="11" t="s">
        <v>262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186"/>
      <c r="R103" s="187"/>
    </row>
    <row r="104" spans="1:18" ht="17.25" customHeight="1">
      <c r="A104" s="11" t="s">
        <v>169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186"/>
      <c r="R104" s="187"/>
    </row>
    <row r="105" spans="1:18" ht="17.25" customHeight="1">
      <c r="A105" s="11" t="s">
        <v>128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186"/>
      <c r="R105" s="187"/>
    </row>
    <row r="106" spans="1:18" ht="17.25" customHeight="1">
      <c r="A106" s="8" t="s">
        <v>215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186"/>
      <c r="R106" s="187"/>
    </row>
    <row r="107" spans="1:18" ht="17.25" customHeight="1">
      <c r="A107" s="11" t="s">
        <v>151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186"/>
      <c r="R107" s="187"/>
    </row>
    <row r="108" spans="1:18" ht="17.25" customHeight="1">
      <c r="A108" s="11" t="s">
        <v>218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186"/>
      <c r="R108" s="187"/>
    </row>
    <row r="109" spans="1:18" ht="17.25" customHeight="1">
      <c r="A109" s="11" t="s">
        <v>159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186"/>
      <c r="R109" s="187"/>
    </row>
    <row r="110" spans="1:18" ht="17.25" customHeight="1">
      <c r="A110" s="11" t="s">
        <v>162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188"/>
      <c r="R110" s="189"/>
    </row>
    <row r="111" spans="1:18" ht="17.25" customHeight="1" thickBot="1">
      <c r="A111" s="13" t="s">
        <v>142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190"/>
      <c r="R112" s="19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9" priority="89">
      <formula>$E$27&gt;0</formula>
    </cfRule>
    <cfRule type="expression" dxfId="398" priority="90">
      <formula>$E$27&lt;0</formula>
    </cfRule>
  </conditionalFormatting>
  <conditionalFormatting sqref="G15:I16 H27:I27">
    <cfRule type="expression" dxfId="397" priority="87">
      <formula>$H$27&gt;0</formula>
    </cfRule>
    <cfRule type="expression" dxfId="396" priority="88">
      <formula>$H$27&lt;0</formula>
    </cfRule>
  </conditionalFormatting>
  <conditionalFormatting sqref="J15:L16 K27:L27">
    <cfRule type="expression" dxfId="395" priority="85">
      <formula>$K$27&gt;0</formula>
    </cfRule>
    <cfRule type="expression" dxfId="394" priority="86">
      <formula>$K$27&lt;0</formula>
    </cfRule>
  </conditionalFormatting>
  <conditionalFormatting sqref="M15:O16 N27:O27">
    <cfRule type="expression" dxfId="393" priority="83">
      <formula>$N$27&gt;0</formula>
    </cfRule>
    <cfRule type="expression" dxfId="392" priority="84">
      <formula>$N$27&lt;0</formula>
    </cfRule>
  </conditionalFormatting>
  <conditionalFormatting sqref="A17:O26 A34:O43">
    <cfRule type="expression" dxfId="391" priority="91">
      <formula>AND($N17 &gt; 0, ISNUMBER($N17))</formula>
    </cfRule>
    <cfRule type="expression" dxfId="390" priority="92">
      <formula>AND($N17 &lt; 0, ISNUMBER($N17))</formula>
    </cfRule>
    <cfRule type="expression" dxfId="389" priority="93">
      <formula>AND($K17 &gt; 0, ISNUMBER($K17))</formula>
    </cfRule>
    <cfRule type="expression" dxfId="388" priority="94">
      <formula>AND($K17 &lt; 0, ISNUMBER($K17))</formula>
    </cfRule>
    <cfRule type="expression" dxfId="387" priority="95">
      <formula>AND($H17 &gt; 0, ISNUMBER($H17))</formula>
    </cfRule>
    <cfRule type="expression" dxfId="386" priority="96">
      <formula>AND($H17 &lt; 0, ISNUMBER($H17))</formula>
    </cfRule>
    <cfRule type="expression" dxfId="385" priority="97">
      <formula>AND($E17 &gt; 0, ISNUMBER($E17))</formula>
    </cfRule>
    <cfRule type="expression" dxfId="384" priority="98">
      <formula>AND($E17 &lt; 0, ISNUMBER($E17))</formula>
    </cfRule>
  </conditionalFormatting>
  <conditionalFormatting sqref="D32:F33 E44:F44">
    <cfRule type="expression" dxfId="383" priority="81">
      <formula>$E$44&gt;0</formula>
    </cfRule>
    <cfRule type="expression" dxfId="382" priority="82">
      <formula>$E$44&lt;0</formula>
    </cfRule>
  </conditionalFormatting>
  <conditionalFormatting sqref="G32:I33 H44:I44">
    <cfRule type="expression" dxfId="381" priority="79">
      <formula>$H$44&gt;0</formula>
    </cfRule>
    <cfRule type="expression" dxfId="380" priority="80">
      <formula>$H$44&lt;0</formula>
    </cfRule>
  </conditionalFormatting>
  <conditionalFormatting sqref="J32:L33 K44:L44">
    <cfRule type="expression" dxfId="379" priority="77">
      <formula>$K$44&gt;0</formula>
    </cfRule>
    <cfRule type="expression" dxfId="378" priority="78">
      <formula>$K$44&lt;0</formula>
    </cfRule>
  </conditionalFormatting>
  <conditionalFormatting sqref="M32:O33 N44:O44">
    <cfRule type="expression" dxfId="377" priority="75">
      <formula>$N$44&gt;0</formula>
    </cfRule>
    <cfRule type="expression" dxfId="376" priority="76">
      <formula>$N$44&lt;0</formula>
    </cfRule>
  </conditionalFormatting>
  <conditionalFormatting sqref="A51:O60">
    <cfRule type="expression" dxfId="375" priority="67">
      <formula>AND($N51 &gt; 0, ISNUMBER($N51))</formula>
    </cfRule>
    <cfRule type="expression" dxfId="374" priority="68">
      <formula>AND($N51 &lt; 0, ISNUMBER($N51))</formula>
    </cfRule>
    <cfRule type="expression" dxfId="373" priority="69">
      <formula>AND($K51 &gt; 0, ISNUMBER($K51))</formula>
    </cfRule>
    <cfRule type="expression" dxfId="372" priority="70">
      <formula>AND($K51 &lt; 0, ISNUMBER($K51))</formula>
    </cfRule>
    <cfRule type="expression" dxfId="371" priority="71">
      <formula>AND($H51 &gt; 0, ISNUMBER($H51))</formula>
    </cfRule>
    <cfRule type="expression" dxfId="370" priority="72">
      <formula>AND($H51 &lt; 0, ISNUMBER($H51))</formula>
    </cfRule>
    <cfRule type="expression" dxfId="369" priority="73">
      <formula>AND($E51 &gt; 0, ISNUMBER($E51))</formula>
    </cfRule>
    <cfRule type="expression" dxfId="368" priority="74">
      <formula>AND($E51 &lt; 0, ISNUMBER($E51))</formula>
    </cfRule>
  </conditionalFormatting>
  <conditionalFormatting sqref="D49:F50 E61:F61">
    <cfRule type="expression" dxfId="367" priority="65">
      <formula>$E$61&gt;0</formula>
    </cfRule>
    <cfRule type="expression" dxfId="366" priority="66">
      <formula>$E$61&lt;0</formula>
    </cfRule>
  </conditionalFormatting>
  <conditionalFormatting sqref="G49:I50 H61:I61">
    <cfRule type="expression" dxfId="365" priority="63">
      <formula>$H$61&gt;0</formula>
    </cfRule>
    <cfRule type="expression" dxfId="364" priority="64">
      <formula>$H$61&lt;0</formula>
    </cfRule>
  </conditionalFormatting>
  <conditionalFormatting sqref="J49:L50 K61:L61">
    <cfRule type="expression" dxfId="363" priority="61">
      <formula>$K$61&gt;0</formula>
    </cfRule>
    <cfRule type="expression" dxfId="362" priority="62">
      <formula>$K$61&lt;0</formula>
    </cfRule>
  </conditionalFormatting>
  <conditionalFormatting sqref="M49:O50 N61:O61">
    <cfRule type="expression" dxfId="361" priority="59">
      <formula>$N$61&gt;0</formula>
    </cfRule>
    <cfRule type="expression" dxfId="360" priority="60">
      <formula>$N$61&lt;0</formula>
    </cfRule>
  </conditionalFormatting>
  <conditionalFormatting sqref="A68:O77">
    <cfRule type="expression" dxfId="359" priority="51">
      <formula>AND($N68 &gt; 0, ISNUMBER($N68))</formula>
    </cfRule>
    <cfRule type="expression" dxfId="358" priority="52">
      <formula>AND($N68 &lt; 0, ISNUMBER($N68))</formula>
    </cfRule>
    <cfRule type="expression" dxfId="357" priority="53">
      <formula>AND($K68 &gt; 0, ISNUMBER($K68))</formula>
    </cfRule>
    <cfRule type="expression" dxfId="356" priority="54">
      <formula>AND($K68 &lt; 0, ISNUMBER($K68))</formula>
    </cfRule>
    <cfRule type="expression" dxfId="355" priority="55">
      <formula>AND($H68 &gt; 0, ISNUMBER($H68))</formula>
    </cfRule>
    <cfRule type="expression" dxfId="354" priority="56">
      <formula>AND($H68 &lt; 0, ISNUMBER($H68))</formula>
    </cfRule>
    <cfRule type="expression" dxfId="353" priority="57">
      <formula>AND($E68 &gt; 0, ISNUMBER($E68))</formula>
    </cfRule>
    <cfRule type="expression" dxfId="352" priority="58">
      <formula>AND($E68 &lt; 0, ISNUMBER($E68))</formula>
    </cfRule>
  </conditionalFormatting>
  <conditionalFormatting sqref="D66:F67 E78:F78">
    <cfRule type="expression" dxfId="351" priority="49">
      <formula>$E$78&gt;0</formula>
    </cfRule>
    <cfRule type="expression" dxfId="350" priority="50">
      <formula>$E$78&lt;0</formula>
    </cfRule>
  </conditionalFormatting>
  <conditionalFormatting sqref="G66:I67 H78:I78">
    <cfRule type="expression" dxfId="349" priority="47">
      <formula>$H$78&gt;0</formula>
    </cfRule>
    <cfRule type="expression" dxfId="348" priority="48">
      <formula>$H$78&lt;0</formula>
    </cfRule>
  </conditionalFormatting>
  <conditionalFormatting sqref="J66:L67 K78:L78">
    <cfRule type="expression" dxfId="347" priority="45">
      <formula>$K$78&gt;0</formula>
    </cfRule>
    <cfRule type="expression" dxfId="346" priority="46">
      <formula>$K$78&lt;0</formula>
    </cfRule>
  </conditionalFormatting>
  <conditionalFormatting sqref="M66:O67 N78:O78">
    <cfRule type="expression" dxfId="345" priority="43">
      <formula>$N$78&gt;0</formula>
    </cfRule>
    <cfRule type="expression" dxfId="344" priority="44">
      <formula>$N$78&lt;0</formula>
    </cfRule>
  </conditionalFormatting>
  <conditionalFormatting sqref="A85:O94">
    <cfRule type="expression" dxfId="343" priority="35">
      <formula>AND($N85 &gt; 0, ISNUMBER($N85))</formula>
    </cfRule>
    <cfRule type="expression" dxfId="342" priority="36">
      <formula>AND($N85 &lt; 0, ISNUMBER($N85))</formula>
    </cfRule>
    <cfRule type="expression" dxfId="341" priority="37">
      <formula>AND($K85 &gt; 0, ISNUMBER($K85))</formula>
    </cfRule>
    <cfRule type="expression" dxfId="340" priority="38">
      <formula>AND($K85 &lt; 0, ISNUMBER($K85))</formula>
    </cfRule>
    <cfRule type="expression" dxfId="339" priority="39">
      <formula>AND($H85 &gt; 0, ISNUMBER($H85))</formula>
    </cfRule>
    <cfRule type="expression" dxfId="338" priority="40">
      <formula>AND($H85 &lt; 0, ISNUMBER($H85))</formula>
    </cfRule>
    <cfRule type="expression" dxfId="337" priority="41">
      <formula>AND($E85 &gt; 0, ISNUMBER($E85))</formula>
    </cfRule>
    <cfRule type="expression" dxfId="336" priority="42">
      <formula>AND($E85 &lt; 0, ISNUMBER($E85))</formula>
    </cfRule>
  </conditionalFormatting>
  <conditionalFormatting sqref="D83:F84 E95:F95">
    <cfRule type="expression" dxfId="335" priority="33">
      <formula>$E$95&gt;0</formula>
    </cfRule>
    <cfRule type="expression" dxfId="334" priority="34">
      <formula>$E$95&lt;0</formula>
    </cfRule>
  </conditionalFormatting>
  <conditionalFormatting sqref="G83:I84 H95:I95">
    <cfRule type="expression" dxfId="333" priority="31">
      <formula>$H$95&gt;0</formula>
    </cfRule>
    <cfRule type="expression" dxfId="332" priority="32">
      <formula>$H$95&lt;0</formula>
    </cfRule>
  </conditionalFormatting>
  <conditionalFormatting sqref="J83:L84 K95:L95">
    <cfRule type="expression" dxfId="331" priority="29">
      <formula>$K$95&gt;0</formula>
    </cfRule>
    <cfRule type="expression" dxfId="330" priority="30">
      <formula>$K$95&lt;0</formula>
    </cfRule>
  </conditionalFormatting>
  <conditionalFormatting sqref="M83:O84 N95:O95">
    <cfRule type="expression" dxfId="329" priority="27">
      <formula>$N$95&gt;0</formula>
    </cfRule>
    <cfRule type="expression" dxfId="328" priority="28">
      <formula>$N$95&lt;0</formula>
    </cfRule>
  </conditionalFormatting>
  <conditionalFormatting sqref="A102:O111">
    <cfRule type="expression" dxfId="327" priority="19">
      <formula>AND($N102 &gt; 0, ISNUMBER($N102))</formula>
    </cfRule>
    <cfRule type="expression" dxfId="326" priority="20">
      <formula>AND($N102 &lt; 0, ISNUMBER($N102))</formula>
    </cfRule>
    <cfRule type="expression" dxfId="325" priority="21">
      <formula>AND($K102 &gt; 0, ISNUMBER($K102))</formula>
    </cfRule>
    <cfRule type="expression" dxfId="324" priority="22">
      <formula>AND($K102 &lt; 0, ISNUMBER($K102))</formula>
    </cfRule>
    <cfRule type="expression" dxfId="323" priority="23">
      <formula>AND($H102 &gt; 0, ISNUMBER($H102))</formula>
    </cfRule>
    <cfRule type="expression" dxfId="322" priority="24">
      <formula>AND($H102 &lt; 0, ISNUMBER($H102))</formula>
    </cfRule>
    <cfRule type="expression" dxfId="321" priority="25">
      <formula>AND($E102 &gt; 0, ISNUMBER($E102))</formula>
    </cfRule>
    <cfRule type="expression" dxfId="320" priority="26">
      <formula>AND($E102 &lt; 0, ISNUMBER($E102))</formula>
    </cfRule>
  </conditionalFormatting>
  <conditionalFormatting sqref="D100:F101 E112:F112">
    <cfRule type="expression" dxfId="319" priority="17">
      <formula>$E$112&gt;0</formula>
    </cfRule>
    <cfRule type="expression" dxfId="318" priority="18">
      <formula>$E$112&lt;0</formula>
    </cfRule>
  </conditionalFormatting>
  <conditionalFormatting sqref="G100:I101 H112:I112">
    <cfRule type="expression" dxfId="317" priority="15">
      <formula>$H$112&gt;0</formula>
    </cfRule>
    <cfRule type="expression" dxfId="316" priority="16">
      <formula>$H$112&lt;0</formula>
    </cfRule>
  </conditionalFormatting>
  <conditionalFormatting sqref="J100:L101 K112:L112">
    <cfRule type="expression" dxfId="315" priority="13">
      <formula>$K$112&gt;0</formula>
    </cfRule>
    <cfRule type="expression" dxfId="314" priority="14">
      <formula>$K$112&lt;0</formula>
    </cfRule>
  </conditionalFormatting>
  <conditionalFormatting sqref="M100:O101 N112:O112">
    <cfRule type="expression" dxfId="313" priority="11">
      <formula>$N$112&gt;0</formula>
    </cfRule>
    <cfRule type="expression" dxfId="312" priority="12">
      <formula>$N$112&lt;0</formula>
    </cfRule>
  </conditionalFormatting>
  <conditionalFormatting sqref="G2:I3">
    <cfRule type="expression" dxfId="31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1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44287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24"/>
      <c r="I9" s="225"/>
      <c r="J9" s="1" t="s">
        <v>28</v>
      </c>
      <c r="K9" s="232" t="s">
        <v>225</v>
      </c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66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65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44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16"/>
      <c r="R16" s="217"/>
    </row>
    <row r="17" spans="1:18" ht="17.25" customHeight="1">
      <c r="A17" s="9" t="s">
        <v>122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14"/>
      <c r="R17" s="215"/>
    </row>
    <row r="18" spans="1:18" ht="17.25" customHeight="1">
      <c r="A18" s="11" t="s">
        <v>169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14"/>
      <c r="R18" s="215"/>
    </row>
    <row r="19" spans="1:18" ht="17.25" customHeight="1">
      <c r="A19" s="11" t="s">
        <v>152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14"/>
      <c r="R19" s="215"/>
    </row>
    <row r="20" spans="1:18" ht="17.25" customHeight="1">
      <c r="A20" s="40" t="s">
        <v>143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14"/>
      <c r="R20" s="215"/>
    </row>
    <row r="21" spans="1:18" ht="17.25" customHeight="1">
      <c r="A21" s="41" t="s">
        <v>139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14"/>
      <c r="R21" s="215"/>
    </row>
    <row r="22" spans="1:18" ht="17.25" customHeight="1">
      <c r="A22" s="40" t="s">
        <v>218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14"/>
      <c r="R22" s="215"/>
    </row>
    <row r="23" spans="1:18" ht="17.25" customHeight="1">
      <c r="A23" s="40" t="s">
        <v>149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14"/>
      <c r="R23" s="215"/>
    </row>
    <row r="24" spans="1:18" ht="17.25" customHeight="1">
      <c r="A24" s="40" t="s">
        <v>251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14"/>
      <c r="R24" s="215"/>
    </row>
    <row r="25" spans="1:18" ht="17.25" customHeight="1">
      <c r="A25" s="11" t="s">
        <v>135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16"/>
      <c r="R25" s="217"/>
    </row>
    <row r="26" spans="1:18" ht="17.25" customHeight="1" thickBot="1">
      <c r="A26" s="11" t="s">
        <v>181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65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188"/>
      <c r="R33" s="189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186"/>
      <c r="R34" s="187"/>
    </row>
    <row r="35" spans="1:18" ht="17.25" customHeight="1">
      <c r="A35" s="11" t="s">
        <v>147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186"/>
      <c r="R35" s="187"/>
    </row>
    <row r="36" spans="1:18" ht="17.25" customHeight="1">
      <c r="A36" s="11" t="s">
        <v>122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186"/>
      <c r="R36" s="187"/>
    </row>
    <row r="37" spans="1:18" ht="17.25" customHeight="1">
      <c r="A37" s="11" t="s">
        <v>169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186"/>
      <c r="R37" s="187"/>
    </row>
    <row r="38" spans="1:18" ht="17.25" customHeight="1">
      <c r="A38" s="8" t="s">
        <v>139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186"/>
      <c r="R38" s="187"/>
    </row>
    <row r="39" spans="1:18" ht="17.25" customHeight="1">
      <c r="A39" s="11" t="s">
        <v>149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186"/>
      <c r="R39" s="187"/>
    </row>
    <row r="40" spans="1:18" ht="17.25" customHeight="1">
      <c r="A40" s="11" t="s">
        <v>135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186"/>
      <c r="R40" s="187"/>
    </row>
    <row r="41" spans="1:18" ht="17.25" customHeight="1">
      <c r="A41" s="11" t="s">
        <v>137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186"/>
      <c r="R41" s="187"/>
    </row>
    <row r="42" spans="1:18" ht="17.25" customHeight="1">
      <c r="A42" s="11" t="s">
        <v>161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188"/>
      <c r="R42" s="189"/>
    </row>
    <row r="43" spans="1:18" ht="17.25" customHeight="1" thickBot="1">
      <c r="A43" s="13" t="s">
        <v>126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188"/>
      <c r="R43" s="189"/>
    </row>
    <row r="44" spans="1:18" ht="17.25" customHeight="1" thickBot="1">
      <c r="A44" s="57" t="s">
        <v>32</v>
      </c>
      <c r="B44" s="192">
        <v>300000</v>
      </c>
      <c r="C44" s="193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65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188"/>
      <c r="R50" s="189"/>
    </row>
    <row r="51" spans="1:18" ht="17.25" customHeight="1">
      <c r="A51" s="9" t="s">
        <v>108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186"/>
      <c r="R51" s="187"/>
    </row>
    <row r="52" spans="1:18" ht="17.25" customHeight="1">
      <c r="A52" s="11" t="s">
        <v>164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186"/>
      <c r="R52" s="187"/>
    </row>
    <row r="53" spans="1:18" ht="17.25" customHeight="1">
      <c r="A53" s="11" t="s">
        <v>140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186"/>
      <c r="R53" s="187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186"/>
      <c r="R54" s="187"/>
    </row>
    <row r="55" spans="1:18" ht="17.25" customHeight="1">
      <c r="A55" s="8" t="s">
        <v>150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186"/>
      <c r="R55" s="18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300000</v>
      </c>
      <c r="C61" s="193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65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188"/>
      <c r="R67" s="189"/>
    </row>
    <row r="68" spans="1:18" ht="17.25" customHeight="1">
      <c r="A68" s="9" t="s">
        <v>152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186"/>
      <c r="R68" s="187"/>
    </row>
    <row r="69" spans="1:18" ht="17.25" customHeight="1">
      <c r="A69" s="11" t="s">
        <v>125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186"/>
      <c r="R69" s="187"/>
    </row>
    <row r="70" spans="1:18" ht="17.25" customHeight="1">
      <c r="A70" s="11" t="s">
        <v>181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186"/>
      <c r="R70" s="187"/>
    </row>
    <row r="71" spans="1:18" ht="17.25" customHeight="1">
      <c r="A71" s="11" t="s">
        <v>166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186"/>
      <c r="R71" s="187"/>
    </row>
    <row r="72" spans="1:18" ht="17.25" customHeight="1">
      <c r="A72" s="8" t="s">
        <v>132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186"/>
      <c r="R72" s="187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186"/>
      <c r="R73" s="187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186"/>
      <c r="R74" s="187"/>
    </row>
    <row r="75" spans="1:18" ht="17.25" customHeight="1">
      <c r="A75" s="11" t="s">
        <v>116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186"/>
      <c r="R75" s="187"/>
    </row>
    <row r="76" spans="1:18" ht="17.25" customHeight="1">
      <c r="A76" s="11" t="s">
        <v>114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188"/>
      <c r="R76" s="189"/>
    </row>
    <row r="77" spans="1:18" ht="17.25" customHeight="1" thickBot="1">
      <c r="A77" s="13" t="s">
        <v>121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188"/>
      <c r="R77" s="189"/>
    </row>
    <row r="78" spans="1:18" ht="17.25" customHeight="1" thickBot="1">
      <c r="A78" s="57" t="s">
        <v>32</v>
      </c>
      <c r="B78" s="192">
        <v>300000</v>
      </c>
      <c r="C78" s="193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65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188"/>
      <c r="R84" s="189"/>
    </row>
    <row r="85" spans="1:18" ht="17.25" customHeight="1">
      <c r="A85" s="9" t="s">
        <v>146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186"/>
      <c r="R85" s="187"/>
    </row>
    <row r="86" spans="1:18" ht="17.25" customHeight="1">
      <c r="A86" s="11" t="s">
        <v>158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186"/>
      <c r="R86" s="187"/>
    </row>
    <row r="87" spans="1:18" ht="17.25" customHeight="1">
      <c r="A87" s="11" t="s">
        <v>142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186"/>
      <c r="R87" s="187"/>
    </row>
    <row r="88" spans="1:18" ht="17.25" customHeight="1">
      <c r="A88" s="11" t="s">
        <v>120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186"/>
      <c r="R88" s="187"/>
    </row>
    <row r="89" spans="1:18" ht="17.25" customHeight="1">
      <c r="A89" s="8" t="s">
        <v>119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186"/>
      <c r="R89" s="187"/>
    </row>
    <row r="90" spans="1:18" ht="17.25" customHeight="1">
      <c r="A90" s="11" t="s">
        <v>178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186"/>
      <c r="R90" s="187"/>
    </row>
    <row r="91" spans="1:18" ht="17.25" customHeight="1">
      <c r="A91" s="11" t="s">
        <v>241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186"/>
      <c r="R91" s="187"/>
    </row>
    <row r="92" spans="1:18" ht="17.25" customHeight="1">
      <c r="A92" s="11" t="s">
        <v>172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186"/>
      <c r="R92" s="187"/>
    </row>
    <row r="93" spans="1:18" ht="17.25" customHeight="1">
      <c r="A93" s="11" t="s">
        <v>131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188"/>
      <c r="R93" s="189"/>
    </row>
    <row r="94" spans="1:18" ht="17.25" customHeight="1" thickBot="1">
      <c r="A94" s="13" t="s">
        <v>141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188"/>
      <c r="R94" s="189"/>
    </row>
    <row r="95" spans="1:18" ht="17.25" customHeight="1" thickBot="1">
      <c r="A95" s="57" t="s">
        <v>32</v>
      </c>
      <c r="B95" s="192">
        <v>300000</v>
      </c>
      <c r="C95" s="193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65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188"/>
      <c r="R101" s="189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186"/>
      <c r="R102" s="187"/>
    </row>
    <row r="103" spans="1:18" ht="17.25" customHeight="1">
      <c r="A103" s="11" t="s">
        <v>147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186"/>
      <c r="R103" s="187"/>
    </row>
    <row r="104" spans="1:18" ht="17.25" customHeight="1">
      <c r="A104" s="11" t="s">
        <v>122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186"/>
      <c r="R104" s="187"/>
    </row>
    <row r="105" spans="1:18" ht="17.25" customHeight="1">
      <c r="A105" s="11" t="s">
        <v>169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186"/>
      <c r="R105" s="187"/>
    </row>
    <row r="106" spans="1:18" ht="17.25" customHeight="1">
      <c r="A106" s="8" t="s">
        <v>152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186"/>
      <c r="R106" s="187"/>
    </row>
    <row r="107" spans="1:18" ht="17.25" customHeight="1">
      <c r="A107" s="11" t="s">
        <v>143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186"/>
      <c r="R107" s="187"/>
    </row>
    <row r="108" spans="1:18" ht="17.25" customHeight="1">
      <c r="A108" s="11" t="s">
        <v>139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186"/>
      <c r="R108" s="187"/>
    </row>
    <row r="109" spans="1:18" ht="17.25" customHeight="1">
      <c r="A109" s="11" t="s">
        <v>218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186"/>
      <c r="R109" s="187"/>
    </row>
    <row r="110" spans="1:18" ht="17.25" customHeight="1">
      <c r="A110" s="11" t="s">
        <v>149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188"/>
      <c r="R110" s="189"/>
    </row>
    <row r="111" spans="1:18" ht="17.25" customHeight="1" thickBot="1">
      <c r="A111" s="13" t="s">
        <v>251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188"/>
      <c r="R111" s="189"/>
    </row>
    <row r="112" spans="1:18" ht="17.25" customHeight="1" thickBot="1">
      <c r="A112" s="57" t="s">
        <v>32</v>
      </c>
      <c r="B112" s="192">
        <v>300000</v>
      </c>
      <c r="C112" s="193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190"/>
      <c r="R112" s="19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01" priority="97">
      <formula>$E$27&gt;0</formula>
    </cfRule>
    <cfRule type="expression" dxfId="300" priority="98">
      <formula>$E$27&lt;0</formula>
    </cfRule>
  </conditionalFormatting>
  <conditionalFormatting sqref="G15:I16 H27:I27">
    <cfRule type="expression" dxfId="299" priority="95">
      <formula>$H$27&gt;0</formula>
    </cfRule>
    <cfRule type="expression" dxfId="298" priority="96">
      <formula>$H$27&lt;0</formula>
    </cfRule>
  </conditionalFormatting>
  <conditionalFormatting sqref="J15:L16 K27:L27">
    <cfRule type="expression" dxfId="297" priority="93">
      <formula>$K$27&gt;0</formula>
    </cfRule>
    <cfRule type="expression" dxfId="296" priority="94">
      <formula>$K$27&lt;0</formula>
    </cfRule>
  </conditionalFormatting>
  <conditionalFormatting sqref="M15:O16 N27:O27">
    <cfRule type="expression" dxfId="295" priority="91">
      <formula>$N$27&gt;0</formula>
    </cfRule>
    <cfRule type="expression" dxfId="294" priority="92">
      <formula>$N$27&lt;0</formula>
    </cfRule>
  </conditionalFormatting>
  <conditionalFormatting sqref="A34:O43 A17:O25 B26:O26">
    <cfRule type="expression" dxfId="293" priority="99">
      <formula>AND($N17 &gt; 0, ISNUMBER($N17))</formula>
    </cfRule>
    <cfRule type="expression" dxfId="292" priority="100">
      <formula>AND($N17 &lt; 0, ISNUMBER($N17))</formula>
    </cfRule>
    <cfRule type="expression" dxfId="291" priority="101">
      <formula>AND($K17 &gt; 0, ISNUMBER($K17))</formula>
    </cfRule>
    <cfRule type="expression" dxfId="290" priority="102">
      <formula>AND($K17 &lt; 0, ISNUMBER($K17))</formula>
    </cfRule>
    <cfRule type="expression" dxfId="289" priority="103">
      <formula>AND($H17 &gt; 0, ISNUMBER($H17))</formula>
    </cfRule>
    <cfRule type="expression" dxfId="288" priority="104">
      <formula>AND($H17 &lt; 0, ISNUMBER($H17))</formula>
    </cfRule>
    <cfRule type="expression" dxfId="287" priority="105">
      <formula>AND($E17 &gt; 0, ISNUMBER($E17))</formula>
    </cfRule>
    <cfRule type="expression" dxfId="286" priority="106">
      <formula>AND($E17 &lt; 0, ISNUMBER($E17))</formula>
    </cfRule>
  </conditionalFormatting>
  <conditionalFormatting sqref="D32:F33 E44:F44">
    <cfRule type="expression" dxfId="285" priority="89">
      <formula>$E$44&gt;0</formula>
    </cfRule>
    <cfRule type="expression" dxfId="284" priority="90">
      <formula>$E$44&lt;0</formula>
    </cfRule>
  </conditionalFormatting>
  <conditionalFormatting sqref="G32:I33 H44:I44">
    <cfRule type="expression" dxfId="283" priority="87">
      <formula>$H$44&gt;0</formula>
    </cfRule>
    <cfRule type="expression" dxfId="282" priority="88">
      <formula>$H$44&lt;0</formula>
    </cfRule>
  </conditionalFormatting>
  <conditionalFormatting sqref="J32:L33 K44:L44">
    <cfRule type="expression" dxfId="281" priority="85">
      <formula>$K$44&gt;0</formula>
    </cfRule>
    <cfRule type="expression" dxfId="280" priority="86">
      <formula>$K$44&lt;0</formula>
    </cfRule>
  </conditionalFormatting>
  <conditionalFormatting sqref="M32:O33 N44:O44">
    <cfRule type="expression" dxfId="279" priority="83">
      <formula>$N$44&gt;0</formula>
    </cfRule>
    <cfRule type="expression" dxfId="278" priority="84">
      <formula>$N$44&lt;0</formula>
    </cfRule>
  </conditionalFormatting>
  <conditionalFormatting sqref="A51:O60">
    <cfRule type="expression" dxfId="277" priority="75">
      <formula>AND($N51 &gt; 0, ISNUMBER($N51))</formula>
    </cfRule>
    <cfRule type="expression" dxfId="276" priority="76">
      <formula>AND($N51 &lt; 0, ISNUMBER($N51))</formula>
    </cfRule>
    <cfRule type="expression" dxfId="275" priority="77">
      <formula>AND($K51 &gt; 0, ISNUMBER($K51))</formula>
    </cfRule>
    <cfRule type="expression" dxfId="274" priority="78">
      <formula>AND($K51 &lt; 0, ISNUMBER($K51))</formula>
    </cfRule>
    <cfRule type="expression" dxfId="273" priority="79">
      <formula>AND($H51 &gt; 0, ISNUMBER($H51))</formula>
    </cfRule>
    <cfRule type="expression" dxfId="272" priority="80">
      <formula>AND($H51 &lt; 0, ISNUMBER($H51))</formula>
    </cfRule>
    <cfRule type="expression" dxfId="271" priority="81">
      <formula>AND($E51 &gt; 0, ISNUMBER($E51))</formula>
    </cfRule>
    <cfRule type="expression" dxfId="270" priority="82">
      <formula>AND($E51 &lt; 0, ISNUMBER($E51))</formula>
    </cfRule>
  </conditionalFormatting>
  <conditionalFormatting sqref="D49:F50 E61:F61">
    <cfRule type="expression" dxfId="269" priority="73">
      <formula>$E$61&gt;0</formula>
    </cfRule>
    <cfRule type="expression" dxfId="268" priority="74">
      <formula>$E$61&lt;0</formula>
    </cfRule>
  </conditionalFormatting>
  <conditionalFormatting sqref="G49:I50 H61:I61">
    <cfRule type="expression" dxfId="267" priority="71">
      <formula>$H$61&gt;0</formula>
    </cfRule>
    <cfRule type="expression" dxfId="266" priority="72">
      <formula>$H$61&lt;0</formula>
    </cfRule>
  </conditionalFormatting>
  <conditionalFormatting sqref="J49:L50 K61:L61">
    <cfRule type="expression" dxfId="265" priority="69">
      <formula>$K$61&gt;0</formula>
    </cfRule>
    <cfRule type="expression" dxfId="264" priority="70">
      <formula>$K$61&lt;0</formula>
    </cfRule>
  </conditionalFormatting>
  <conditionalFormatting sqref="M49:O50 N61:O61">
    <cfRule type="expression" dxfId="263" priority="67">
      <formula>$N$61&gt;0</formula>
    </cfRule>
    <cfRule type="expression" dxfId="262" priority="68">
      <formula>$N$61&lt;0</formula>
    </cfRule>
  </conditionalFormatting>
  <conditionalFormatting sqref="A68:O77">
    <cfRule type="expression" dxfId="261" priority="59">
      <formula>AND($N68 &gt; 0, ISNUMBER($N68))</formula>
    </cfRule>
    <cfRule type="expression" dxfId="260" priority="60">
      <formula>AND($N68 &lt; 0, ISNUMBER($N68))</formula>
    </cfRule>
    <cfRule type="expression" dxfId="259" priority="61">
      <formula>AND($K68 &gt; 0, ISNUMBER($K68))</formula>
    </cfRule>
    <cfRule type="expression" dxfId="258" priority="62">
      <formula>AND($K68 &lt; 0, ISNUMBER($K68))</formula>
    </cfRule>
    <cfRule type="expression" dxfId="257" priority="63">
      <formula>AND($H68 &gt; 0, ISNUMBER($H68))</formula>
    </cfRule>
    <cfRule type="expression" dxfId="256" priority="64">
      <formula>AND($H68 &lt; 0, ISNUMBER($H68))</formula>
    </cfRule>
    <cfRule type="expression" dxfId="255" priority="65">
      <formula>AND($E68 &gt; 0, ISNUMBER($E68))</formula>
    </cfRule>
    <cfRule type="expression" dxfId="254" priority="66">
      <formula>AND($E68 &lt; 0, ISNUMBER($E68))</formula>
    </cfRule>
  </conditionalFormatting>
  <conditionalFormatting sqref="D66:F67 E78:F78">
    <cfRule type="expression" dxfId="253" priority="57">
      <formula>$E$78&gt;0</formula>
    </cfRule>
    <cfRule type="expression" dxfId="252" priority="58">
      <formula>$E$78&lt;0</formula>
    </cfRule>
  </conditionalFormatting>
  <conditionalFormatting sqref="G66:I67 H78:I78">
    <cfRule type="expression" dxfId="251" priority="55">
      <formula>$H$78&gt;0</formula>
    </cfRule>
    <cfRule type="expression" dxfId="250" priority="56">
      <formula>$H$78&lt;0</formula>
    </cfRule>
  </conditionalFormatting>
  <conditionalFormatting sqref="J66:L67 K78:L78">
    <cfRule type="expression" dxfId="249" priority="53">
      <formula>$K$78&gt;0</formula>
    </cfRule>
    <cfRule type="expression" dxfId="248" priority="54">
      <formula>$K$78&lt;0</formula>
    </cfRule>
  </conditionalFormatting>
  <conditionalFormatting sqref="M66:O67 N78:O78">
    <cfRule type="expression" dxfId="247" priority="51">
      <formula>$N$78&gt;0</formula>
    </cfRule>
    <cfRule type="expression" dxfId="246" priority="52">
      <formula>$N$78&lt;0</formula>
    </cfRule>
  </conditionalFormatting>
  <conditionalFormatting sqref="A85:O94">
    <cfRule type="expression" dxfId="245" priority="43">
      <formula>AND($N85 &gt; 0, ISNUMBER($N85))</formula>
    </cfRule>
    <cfRule type="expression" dxfId="244" priority="44">
      <formula>AND($N85 &lt; 0, ISNUMBER($N85))</formula>
    </cfRule>
    <cfRule type="expression" dxfId="243" priority="45">
      <formula>AND($K85 &gt; 0, ISNUMBER($K85))</formula>
    </cfRule>
    <cfRule type="expression" dxfId="242" priority="46">
      <formula>AND($K85 &lt; 0, ISNUMBER($K85))</formula>
    </cfRule>
    <cfRule type="expression" dxfId="241" priority="47">
      <formula>AND($H85 &gt; 0, ISNUMBER($H85))</formula>
    </cfRule>
    <cfRule type="expression" dxfId="240" priority="48">
      <formula>AND($H85 &lt; 0, ISNUMBER($H85))</formula>
    </cfRule>
    <cfRule type="expression" dxfId="239" priority="49">
      <formula>AND($E85 &gt; 0, ISNUMBER($E85))</formula>
    </cfRule>
    <cfRule type="expression" dxfId="238" priority="50">
      <formula>AND($E85 &lt; 0, ISNUMBER($E85))</formula>
    </cfRule>
  </conditionalFormatting>
  <conditionalFormatting sqref="D83:F84 E95:F95">
    <cfRule type="expression" dxfId="237" priority="41">
      <formula>$E$95&gt;0</formula>
    </cfRule>
    <cfRule type="expression" dxfId="236" priority="42">
      <formula>$E$95&lt;0</formula>
    </cfRule>
  </conditionalFormatting>
  <conditionalFormatting sqref="G83:I84 H95:I95">
    <cfRule type="expression" dxfId="235" priority="39">
      <formula>$H$95&gt;0</formula>
    </cfRule>
    <cfRule type="expression" dxfId="234" priority="40">
      <formula>$H$95&lt;0</formula>
    </cfRule>
  </conditionalFormatting>
  <conditionalFormatting sqref="J83:L84 K95:L95">
    <cfRule type="expression" dxfId="233" priority="37">
      <formula>$K$95&gt;0</formula>
    </cfRule>
    <cfRule type="expression" dxfId="232" priority="38">
      <formula>$K$95&lt;0</formula>
    </cfRule>
  </conditionalFormatting>
  <conditionalFormatting sqref="M83:O84 N95:O95">
    <cfRule type="expression" dxfId="231" priority="35">
      <formula>$N$95&gt;0</formula>
    </cfRule>
    <cfRule type="expression" dxfId="230" priority="36">
      <formula>$N$95&lt;0</formula>
    </cfRule>
  </conditionalFormatting>
  <conditionalFormatting sqref="A102:O111">
    <cfRule type="expression" dxfId="229" priority="27">
      <formula>AND($N102 &gt; 0, ISNUMBER($N102))</formula>
    </cfRule>
    <cfRule type="expression" dxfId="228" priority="28">
      <formula>AND($N102 &lt; 0, ISNUMBER($N102))</formula>
    </cfRule>
    <cfRule type="expression" dxfId="227" priority="29">
      <formula>AND($K102 &gt; 0, ISNUMBER($K102))</formula>
    </cfRule>
    <cfRule type="expression" dxfId="226" priority="30">
      <formula>AND($K102 &lt; 0, ISNUMBER($K102))</formula>
    </cfRule>
    <cfRule type="expression" dxfId="225" priority="31">
      <formula>AND($H102 &gt; 0, ISNUMBER($H102))</formula>
    </cfRule>
    <cfRule type="expression" dxfId="224" priority="32">
      <formula>AND($H102 &lt; 0, ISNUMBER($H102))</formula>
    </cfRule>
    <cfRule type="expression" dxfId="223" priority="33">
      <formula>AND($E102 &gt; 0, ISNUMBER($E102))</formula>
    </cfRule>
    <cfRule type="expression" dxfId="222" priority="34">
      <formula>AND($E102 &lt; 0, ISNUMBER($E102))</formula>
    </cfRule>
  </conditionalFormatting>
  <conditionalFormatting sqref="D100:F101 E112:F112">
    <cfRule type="expression" dxfId="221" priority="25">
      <formula>$E$112&gt;0</formula>
    </cfRule>
    <cfRule type="expression" dxfId="220" priority="26">
      <formula>$E$112&lt;0</formula>
    </cfRule>
  </conditionalFormatting>
  <conditionalFormatting sqref="G100:I101 H112:I112">
    <cfRule type="expression" dxfId="219" priority="23">
      <formula>$H$112&gt;0</formula>
    </cfRule>
    <cfRule type="expression" dxfId="218" priority="24">
      <formula>$H$112&lt;0</formula>
    </cfRule>
  </conditionalFormatting>
  <conditionalFormatting sqref="J100:L101 K112:L112">
    <cfRule type="expression" dxfId="217" priority="21">
      <formula>$K$112&gt;0</formula>
    </cfRule>
    <cfRule type="expression" dxfId="216" priority="22">
      <formula>$K$112&lt;0</formula>
    </cfRule>
  </conditionalFormatting>
  <conditionalFormatting sqref="M100:O101 N112:O112">
    <cfRule type="expression" dxfId="215" priority="19">
      <formula>$N$112&gt;0</formula>
    </cfRule>
    <cfRule type="expression" dxfId="214" priority="20">
      <formula>$N$112&lt;0</formula>
    </cfRule>
  </conditionalFormatting>
  <conditionalFormatting sqref="G2:I3">
    <cfRule type="expression" dxfId="213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2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1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0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9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8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7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5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4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203" priority="1">
      <formula>AND($N26 &gt; 0, ISNUMBER($N26))</formula>
    </cfRule>
    <cfRule type="expression" dxfId="202" priority="2">
      <formula>AND($N26 &lt; 0, ISNUMBER($N26))</formula>
    </cfRule>
    <cfRule type="expression" dxfId="201" priority="3">
      <formula>AND($K26 &gt; 0, ISNUMBER($K26))</formula>
    </cfRule>
    <cfRule type="expression" dxfId="200" priority="4">
      <formula>AND($K26 &lt; 0, ISNUMBER($K26))</formula>
    </cfRule>
    <cfRule type="expression" dxfId="199" priority="5">
      <formula>AND($H26 &gt; 0, ISNUMBER($H26))</formula>
    </cfRule>
    <cfRule type="expression" dxfId="198" priority="6">
      <formula>AND($H26 &lt; 0, ISNUMBER($H26))</formula>
    </cfRule>
    <cfRule type="expression" dxfId="197" priority="7">
      <formula>AND($E26 &gt; 0, ISNUMBER($E26))</formula>
    </cfRule>
    <cfRule type="expression" dxfId="196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tabSelected="1" zoomScaleNormal="100" workbookViewId="0">
      <selection activeCell="J102" sqref="J102:J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44287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-20,992 KRW (-2.10%)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-10,235 KRW (-1.28%)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45,679 KRW (4.57%)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10,873 KRW (1.09%)</v>
      </c>
      <c r="H9" s="224"/>
      <c r="I9" s="225"/>
      <c r="J9" s="1" t="s">
        <v>28</v>
      </c>
      <c r="K9" s="232" t="s">
        <v>225</v>
      </c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44,898 KRW (4.49%)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73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72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16"/>
      <c r="R16" s="217"/>
    </row>
    <row r="17" spans="1:18" ht="17.25" customHeight="1">
      <c r="A17" s="39" t="s">
        <v>150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-576.70126874279129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-8304.4982698961958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-4036.9088811995384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14"/>
      <c r="R17" s="215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604.22960725074233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-6948.6404833836878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-2719.0332326283947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14"/>
      <c r="R18" s="215"/>
    </row>
    <row r="19" spans="1:18" ht="17.25" customHeight="1">
      <c r="A19" s="40" t="s">
        <v>164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-7067.1378091872793</v>
      </c>
      <c r="J19" s="36">
        <f t="shared" si="8"/>
        <v>27.5</v>
      </c>
      <c r="K19" s="5">
        <f t="shared" si="9"/>
        <v>-2.8268551236749141E-2</v>
      </c>
      <c r="L19" s="59">
        <f t="shared" si="10"/>
        <v>-2826.855123674914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14"/>
      <c r="R19" s="215"/>
    </row>
    <row r="20" spans="1:18" ht="17.25" customHeight="1">
      <c r="A20" s="40" t="s">
        <v>108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813.0081300813124</v>
      </c>
      <c r="G20" s="36">
        <f t="shared" si="0"/>
        <v>35</v>
      </c>
      <c r="H20" s="5">
        <f t="shared" si="6"/>
        <v>-5.1490514905149012E-2</v>
      </c>
      <c r="I20" s="59">
        <f t="shared" si="7"/>
        <v>-5149.0514905149012</v>
      </c>
      <c r="J20" s="36">
        <f t="shared" si="8"/>
        <v>36.1</v>
      </c>
      <c r="K20" s="5">
        <f t="shared" si="9"/>
        <v>-2.1680216802167945E-2</v>
      </c>
      <c r="L20" s="59">
        <f t="shared" si="10"/>
        <v>-2168.0216802167947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14"/>
      <c r="R20" s="215"/>
    </row>
    <row r="21" spans="1:18" ht="17.25" customHeight="1">
      <c r="A21" s="41" t="s">
        <v>137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432.9004329004236</v>
      </c>
      <c r="G21" s="37">
        <f t="shared" si="0"/>
        <v>22</v>
      </c>
      <c r="H21" s="24">
        <f t="shared" si="6"/>
        <v>-4.7619047619047679E-2</v>
      </c>
      <c r="I21" s="60">
        <f t="shared" si="7"/>
        <v>-4761.9047619047678</v>
      </c>
      <c r="J21" s="37">
        <f t="shared" si="8"/>
        <v>22.6</v>
      </c>
      <c r="K21" s="24">
        <f t="shared" si="9"/>
        <v>-2.1645021645021644E-2</v>
      </c>
      <c r="L21" s="60">
        <f t="shared" si="10"/>
        <v>-2164.5021645021643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14"/>
      <c r="R21" s="215"/>
    </row>
    <row r="22" spans="1:18" ht="17.25" customHeight="1">
      <c r="A22" s="40" t="s">
        <v>126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974.93036211699564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-5431.7548746517987</v>
      </c>
      <c r="J22" s="36">
        <f t="shared" si="8"/>
        <v>70</v>
      </c>
      <c r="K22" s="5">
        <f t="shared" si="9"/>
        <v>-2.5069637883008318E-2</v>
      </c>
      <c r="L22" s="59">
        <f t="shared" si="10"/>
        <v>-2506.9637883008318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14"/>
      <c r="R22" s="215"/>
    </row>
    <row r="23" spans="1:18" ht="17.25" customHeight="1">
      <c r="A23" s="40" t="s">
        <v>139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354.60992907801926</v>
      </c>
      <c r="G23" s="36">
        <f t="shared" si="0"/>
        <v>27</v>
      </c>
      <c r="H23" s="5">
        <f t="shared" si="6"/>
        <v>-4.255319148936168E-2</v>
      </c>
      <c r="I23" s="59">
        <f t="shared" si="7"/>
        <v>-4255.3191489361679</v>
      </c>
      <c r="J23" s="36">
        <f t="shared" si="8"/>
        <v>27.8</v>
      </c>
      <c r="K23" s="5">
        <f t="shared" si="9"/>
        <v>-1.4184397163120517E-2</v>
      </c>
      <c r="L23" s="59">
        <f t="shared" si="10"/>
        <v>-1418.4397163120516</v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14"/>
      <c r="R23" s="215"/>
    </row>
    <row r="24" spans="1:18" ht="17.25" customHeight="1">
      <c r="A24" s="40" t="s">
        <v>149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3863.6363636363699</v>
      </c>
      <c r="G24" s="36">
        <f t="shared" si="0"/>
        <v>43.9</v>
      </c>
      <c r="H24" s="5">
        <f t="shared" si="6"/>
        <v>-2.2727272727273051E-3</v>
      </c>
      <c r="I24" s="59">
        <f t="shared" si="7"/>
        <v>-227.27272727273052</v>
      </c>
      <c r="J24" s="36">
        <f t="shared" si="8"/>
        <v>45.2</v>
      </c>
      <c r="K24" s="5">
        <f t="shared" si="9"/>
        <v>2.7272727272727337E-2</v>
      </c>
      <c r="L24" s="59">
        <f t="shared" si="10"/>
        <v>2727.2727272727338</v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4"/>
      <c r="R24" s="215"/>
    </row>
    <row r="25" spans="1:18" ht="17.25" customHeight="1">
      <c r="A25" s="40" t="s">
        <v>169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9574.4680851063804</v>
      </c>
      <c r="G25" s="36">
        <f t="shared" si="0"/>
        <v>57.9</v>
      </c>
      <c r="H25" s="5">
        <f t="shared" si="6"/>
        <v>2.6595744680851064E-2</v>
      </c>
      <c r="I25" s="59">
        <f t="shared" si="7"/>
        <v>2659.5744680851062</v>
      </c>
      <c r="J25" s="36">
        <f t="shared" si="8"/>
        <v>59.2</v>
      </c>
      <c r="K25" s="5">
        <f t="shared" si="9"/>
        <v>4.9645390070922064E-2</v>
      </c>
      <c r="L25" s="59">
        <f t="shared" si="10"/>
        <v>4964.5390070922067</v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16"/>
      <c r="R25" s="217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-4736.8421052631502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-11315.789473684203</v>
      </c>
      <c r="J26" s="38">
        <f t="shared" si="8"/>
        <v>35.4</v>
      </c>
      <c r="K26" s="16">
        <f t="shared" si="9"/>
        <v>-6.842105263157898E-2</v>
      </c>
      <c r="L26" s="61">
        <f t="shared" si="10"/>
        <v>-6842.1052631578978</v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1.2560266151293667E-2</v>
      </c>
      <c r="F27" s="47">
        <f>SUM(F17:F26)</f>
        <v>11304.239536164303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-50801.794571346618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-16991.018115627649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72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188"/>
      <c r="R33" s="189"/>
    </row>
    <row r="34" spans="1:18" ht="17.25" customHeight="1">
      <c r="A34" s="9" t="s">
        <v>122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-11888.111888111895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-16783.216783216783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-15034.965034965036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86"/>
      <c r="R34" s="187"/>
    </row>
    <row r="35" spans="1:18" ht="17.25" customHeight="1">
      <c r="A35" s="11" t="s">
        <v>152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6540.0843881856572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316.45569620252866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2848.1012658227878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6"/>
      <c r="R35" s="187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4830.4213771839704</v>
      </c>
      <c r="G36" s="36">
        <v>95.7</v>
      </c>
      <c r="H36" s="5">
        <f t="shared" si="15"/>
        <v>-1.6443987667009191E-2</v>
      </c>
      <c r="I36" s="44">
        <f>IF(ISNUMBER(G36), $B44 * H36, "")</f>
        <v>-1644.3987667009192</v>
      </c>
      <c r="J36" s="36">
        <v>100</v>
      </c>
      <c r="K36" s="5">
        <f t="shared" si="16"/>
        <v>2.774922918807814E-2</v>
      </c>
      <c r="L36" s="44">
        <f>IF(ISNUMBER(J36), $B44 * K36, "")</f>
        <v>2774.9229188078139</v>
      </c>
      <c r="M36" s="36"/>
      <c r="N36" s="5" t="str">
        <f t="shared" si="17"/>
        <v/>
      </c>
      <c r="O36" s="44" t="str">
        <f>IF(ISNUMBER(M36), $B44 * N36, "")</f>
        <v/>
      </c>
      <c r="Q36" s="186"/>
      <c r="R36" s="187"/>
    </row>
    <row r="37" spans="1:18" ht="17.25" customHeight="1">
      <c r="A37" s="11" t="s">
        <v>131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2541.4364640883946</v>
      </c>
      <c r="G37" s="36">
        <v>88.6</v>
      </c>
      <c r="H37" s="5">
        <f t="shared" si="15"/>
        <v>-2.099447513812161E-2</v>
      </c>
      <c r="I37" s="44">
        <f>IF(ISNUMBER(G37), $B44 * H37, "")</f>
        <v>-2099.4475138121611</v>
      </c>
      <c r="J37" s="36">
        <v>91.7</v>
      </c>
      <c r="K37" s="5">
        <f t="shared" si="16"/>
        <v>1.3259668508287324E-2</v>
      </c>
      <c r="L37" s="44">
        <f>IF(ISNUMBER(J37), $B44 * K37, "")</f>
        <v>1325.9668508287325</v>
      </c>
      <c r="M37" s="36"/>
      <c r="N37" s="5" t="str">
        <f t="shared" si="17"/>
        <v/>
      </c>
      <c r="O37" s="44" t="str">
        <f>IF(ISNUMBER(M37), $B44 * N37, "")</f>
        <v/>
      </c>
      <c r="Q37" s="186"/>
      <c r="R37" s="187"/>
    </row>
    <row r="38" spans="1:18" ht="17.25" customHeight="1">
      <c r="A38" s="8" t="s">
        <v>147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961.53846153845814</v>
      </c>
      <c r="G38" s="37">
        <v>10.1</v>
      </c>
      <c r="H38" s="24">
        <f t="shared" si="15"/>
        <v>-2.8846153846153914E-2</v>
      </c>
      <c r="I38" s="44">
        <f>IF(ISNUMBER(G38), $B44 * H38, "")</f>
        <v>-2884.6153846153916</v>
      </c>
      <c r="J38" s="37">
        <v>10.3</v>
      </c>
      <c r="K38" s="24">
        <f t="shared" si="16"/>
        <v>-9.6153846153845812E-3</v>
      </c>
      <c r="L38" s="44">
        <f>IF(ISNUMBER(J38), $B44 * K38, "")</f>
        <v>-961.53846153845814</v>
      </c>
      <c r="M38" s="37"/>
      <c r="N38" s="24" t="str">
        <f t="shared" si="17"/>
        <v/>
      </c>
      <c r="O38" s="44" t="str">
        <f>IF(ISNUMBER(M38), $B44 * N38, "")</f>
        <v/>
      </c>
      <c r="Q38" s="186"/>
      <c r="R38" s="187"/>
    </row>
    <row r="39" spans="1:18" ht="17.25" customHeight="1">
      <c r="A39" s="11" t="s">
        <v>161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-1632.653061224484</v>
      </c>
      <c r="G39" s="36">
        <v>22.8</v>
      </c>
      <c r="H39" s="5">
        <f t="shared" si="15"/>
        <v>-6.9387755102040788E-2</v>
      </c>
      <c r="I39" s="48">
        <f>IF(ISNUMBER(G39), $B44 * H39, "")</f>
        <v>-6938.7755102040792</v>
      </c>
      <c r="J39" s="36">
        <v>23.5</v>
      </c>
      <c r="K39" s="5">
        <f t="shared" si="16"/>
        <v>-4.0816326530612242E-2</v>
      </c>
      <c r="L39" s="48">
        <f>IF(ISNUMBER(J39), $B44 * K39, "")</f>
        <v>-4081.6326530612241</v>
      </c>
      <c r="M39" s="36"/>
      <c r="N39" s="5" t="str">
        <f t="shared" si="17"/>
        <v/>
      </c>
      <c r="O39" s="48" t="str">
        <f>IF(ISNUMBER(M39), $B44 * N39, "")</f>
        <v/>
      </c>
      <c r="Q39" s="186"/>
      <c r="R39" s="187"/>
    </row>
    <row r="40" spans="1:18" ht="17.25" customHeight="1">
      <c r="A40" s="11" t="s">
        <v>140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1574.8031496063079</v>
      </c>
      <c r="G40" s="36">
        <v>24.4</v>
      </c>
      <c r="H40" s="5">
        <f t="shared" si="15"/>
        <v>-3.937007874015748E-2</v>
      </c>
      <c r="I40" s="44">
        <f>IF(ISNUMBER(G40), $B44 * H40, "")</f>
        <v>-3937.0078740157478</v>
      </c>
      <c r="J40" s="36">
        <v>25.2</v>
      </c>
      <c r="K40" s="5">
        <f t="shared" si="16"/>
        <v>-7.8740157480314682E-3</v>
      </c>
      <c r="L40" s="44">
        <f>IF(ISNUMBER(J40), $B44 * K40, "")</f>
        <v>-787.40157480314679</v>
      </c>
      <c r="M40" s="36"/>
      <c r="N40" s="5" t="str">
        <f t="shared" si="17"/>
        <v/>
      </c>
      <c r="O40" s="44" t="str">
        <f>IF(ISNUMBER(M40), $B44 * N40, "")</f>
        <v/>
      </c>
      <c r="Q40" s="186"/>
      <c r="R40" s="187"/>
    </row>
    <row r="41" spans="1:18" ht="17.25" customHeight="1">
      <c r="A41" s="11" t="s">
        <v>135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638.97763578274532</v>
      </c>
      <c r="G41" s="36">
        <v>30</v>
      </c>
      <c r="H41" s="5">
        <f t="shared" si="15"/>
        <v>-4.1533546325878613E-2</v>
      </c>
      <c r="I41" s="44">
        <f>IF(ISNUMBER(G41), $B44 * H41, "")</f>
        <v>-4153.3546325878615</v>
      </c>
      <c r="J41" s="36">
        <v>31.2</v>
      </c>
      <c r="K41" s="5">
        <f t="shared" si="16"/>
        <v>-3.1948881789137834E-3</v>
      </c>
      <c r="L41" s="44">
        <f>IF(ISNUMBER(J41), $B44 * K41, "")</f>
        <v>-319.48881789137835</v>
      </c>
      <c r="M41" s="36"/>
      <c r="N41" s="5" t="str">
        <f t="shared" si="17"/>
        <v/>
      </c>
      <c r="O41" s="44" t="str">
        <f>IF(ISNUMBER(M41), $B44 * N41, "")</f>
        <v/>
      </c>
      <c r="Q41" s="186"/>
      <c r="R41" s="187"/>
    </row>
    <row r="42" spans="1:18" ht="17.25" customHeight="1">
      <c r="A42" s="11" t="s">
        <v>150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-576.70126874279129</v>
      </c>
      <c r="G42" s="36">
        <v>79.5</v>
      </c>
      <c r="H42" s="5">
        <f t="shared" si="15"/>
        <v>-8.3044982698961961E-2</v>
      </c>
      <c r="I42" s="44">
        <f>IF(ISNUMBER(G42), $B44 * H42, "")</f>
        <v>-8304.4982698961958</v>
      </c>
      <c r="J42" s="36">
        <v>83.2</v>
      </c>
      <c r="K42" s="5">
        <f t="shared" si="16"/>
        <v>-4.0369088811995385E-2</v>
      </c>
      <c r="L42" s="44">
        <f>IF(ISNUMBER(J42), $B44 * K42, "")</f>
        <v>-4036.9088811995384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8"/>
      <c r="R42" s="189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604.22960725074233</v>
      </c>
      <c r="G43" s="38">
        <v>30.8</v>
      </c>
      <c r="H43" s="16">
        <f t="shared" si="15"/>
        <v>-6.9486404833836876E-2</v>
      </c>
      <c r="I43" s="45">
        <f>IF(ISNUMBER(G43), $B44 * H43, "")</f>
        <v>-6948.6404833836878</v>
      </c>
      <c r="J43" s="38">
        <v>32.200000000000003</v>
      </c>
      <c r="K43" s="16">
        <f t="shared" si="16"/>
        <v>-2.7190332326283945E-2</v>
      </c>
      <c r="L43" s="45">
        <f>IF(ISNUMBER(J43), $B44 * K43, "")</f>
        <v>-2719.0332326283947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3.5940248655571055E-3</v>
      </c>
      <c r="F44" s="47">
        <f>SUM(F34:F43)</f>
        <v>3594.0248655571063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-53377.499522230304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-20991.97762062784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72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188"/>
      <c r="R50" s="189"/>
    </row>
    <row r="51" spans="1:18" ht="17.25" customHeight="1">
      <c r="A51" s="9" t="s">
        <v>164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-7067.1378091872793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-2826.855123674914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86"/>
      <c r="R51" s="187"/>
    </row>
    <row r="52" spans="1:18" ht="17.25" customHeight="1">
      <c r="A52" s="11" t="s">
        <v>108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813.0081300813124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-5149.0514905149012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-2168.0216802167947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6"/>
      <c r="R52" s="187"/>
    </row>
    <row r="53" spans="1:18" ht="17.25" customHeight="1">
      <c r="A53" s="11" t="s">
        <v>137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432.9004329004236</v>
      </c>
      <c r="G53" s="36">
        <v>22</v>
      </c>
      <c r="H53" s="5">
        <f t="shared" si="19"/>
        <v>-4.7619047619047679E-2</v>
      </c>
      <c r="I53" s="44">
        <f>IF(ISNUMBER(G53), $B61 * H53, "")</f>
        <v>-4761.9047619047678</v>
      </c>
      <c r="J53" s="36">
        <v>22.6</v>
      </c>
      <c r="K53" s="5">
        <f t="shared" si="20"/>
        <v>-2.1645021645021644E-2</v>
      </c>
      <c r="L53" s="44">
        <f>IF(ISNUMBER(J53), $B61 * K53, "")</f>
        <v>-2164.5021645021643</v>
      </c>
      <c r="M53" s="36"/>
      <c r="N53" s="5" t="str">
        <f t="shared" si="21"/>
        <v/>
      </c>
      <c r="O53" s="44" t="str">
        <f>IF(ISNUMBER(M53), $B61 * N53, "")</f>
        <v/>
      </c>
      <c r="Q53" s="186"/>
      <c r="R53" s="187"/>
    </row>
    <row r="54" spans="1:18" ht="17.25" customHeight="1">
      <c r="A54" s="11" t="s">
        <v>126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974.93036211699564</v>
      </c>
      <c r="G54" s="36">
        <v>67.900000000000006</v>
      </c>
      <c r="H54" s="5">
        <f t="shared" si="19"/>
        <v>-5.4317548746517987E-2</v>
      </c>
      <c r="I54" s="44">
        <f>IF(ISNUMBER(G54), $B61 * H54, "")</f>
        <v>-5431.7548746517987</v>
      </c>
      <c r="J54" s="36">
        <v>70</v>
      </c>
      <c r="K54" s="5">
        <f t="shared" si="20"/>
        <v>-2.5069637883008318E-2</v>
      </c>
      <c r="L54" s="44">
        <f>IF(ISNUMBER(J54), $B61 * K54, "")</f>
        <v>-2506.9637883008318</v>
      </c>
      <c r="M54" s="36"/>
      <c r="N54" s="5" t="str">
        <f t="shared" si="21"/>
        <v/>
      </c>
      <c r="O54" s="44" t="str">
        <f>IF(ISNUMBER(M54), $B61 * N54, "")</f>
        <v/>
      </c>
      <c r="Q54" s="186"/>
      <c r="R54" s="187"/>
    </row>
    <row r="55" spans="1:18" ht="17.25" customHeight="1">
      <c r="A55" s="8" t="s">
        <v>139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354.60992907801926</v>
      </c>
      <c r="G55" s="37">
        <v>27</v>
      </c>
      <c r="H55" s="24">
        <f t="shared" si="19"/>
        <v>-4.255319148936168E-2</v>
      </c>
      <c r="I55" s="44">
        <f>IF(ISNUMBER(G55), $B61 * H55, "")</f>
        <v>-4255.3191489361679</v>
      </c>
      <c r="J55" s="37">
        <v>27.8</v>
      </c>
      <c r="K55" s="24">
        <f t="shared" si="20"/>
        <v>-1.4184397163120517E-2</v>
      </c>
      <c r="L55" s="44">
        <f>IF(ISNUMBER(J55), $B61 * K55, "")</f>
        <v>-1418.4397163120516</v>
      </c>
      <c r="M55" s="37"/>
      <c r="N55" s="24" t="str">
        <f t="shared" si="21"/>
        <v/>
      </c>
      <c r="O55" s="44" t="str">
        <f>IF(ISNUMBER(M55), $B61 * N55, "")</f>
        <v/>
      </c>
      <c r="Q55" s="186"/>
      <c r="R55" s="187"/>
    </row>
    <row r="56" spans="1:18" ht="17.25" customHeight="1">
      <c r="A56" s="11" t="s">
        <v>149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3863.6363636363699</v>
      </c>
      <c r="G56" s="36">
        <v>43.9</v>
      </c>
      <c r="H56" s="5">
        <f t="shared" si="19"/>
        <v>-2.2727272727273051E-3</v>
      </c>
      <c r="I56" s="48">
        <f>IF(ISNUMBER(G56), $B61 * H56, "")</f>
        <v>-227.27272727273052</v>
      </c>
      <c r="J56" s="36">
        <v>45.2</v>
      </c>
      <c r="K56" s="5">
        <f t="shared" si="20"/>
        <v>2.7272727272727337E-2</v>
      </c>
      <c r="L56" s="48">
        <f>IF(ISNUMBER(J56), $B61 * K56, "")</f>
        <v>2727.2727272727338</v>
      </c>
      <c r="M56" s="36"/>
      <c r="N56" s="5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 t="s">
        <v>169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9574.4680851063804</v>
      </c>
      <c r="G57" s="36">
        <v>57.9</v>
      </c>
      <c r="H57" s="5">
        <f t="shared" si="19"/>
        <v>2.6595744680851064E-2</v>
      </c>
      <c r="I57" s="44">
        <f>IF(ISNUMBER(G57), $B61 * H57, "")</f>
        <v>2659.5744680851062</v>
      </c>
      <c r="J57" s="36">
        <v>59.2</v>
      </c>
      <c r="K57" s="5">
        <f t="shared" si="20"/>
        <v>4.9645390070922064E-2</v>
      </c>
      <c r="L57" s="44">
        <f>IF(ISNUMBER(J57), $B61 * K57, "")</f>
        <v>4964.5390070922067</v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-4736.8421052631502</v>
      </c>
      <c r="G58" s="36">
        <v>33.700000000000003</v>
      </c>
      <c r="H58" s="5">
        <f t="shared" si="19"/>
        <v>-0.11315789473684203</v>
      </c>
      <c r="I58" s="44">
        <f>IF(ISNUMBER(G58), $B61 * H58, "")</f>
        <v>-11315.789473684203</v>
      </c>
      <c r="J58" s="36">
        <v>35.4</v>
      </c>
      <c r="K58" s="5">
        <f t="shared" si="20"/>
        <v>-6.842105263157898E-2</v>
      </c>
      <c r="L58" s="44">
        <f>IF(ISNUMBER(J58), $B61 * K58, "")</f>
        <v>-6842.1052631578978</v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1.4095888997070437E-2</v>
      </c>
      <c r="F61" s="47">
        <f>SUM(F51:F60)</f>
        <v>11276.71119765635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-35548.655818066749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-10235.076001799715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72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188"/>
      <c r="R67" s="189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3818.6157517899765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26491.646778042959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23627.684964200478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86"/>
      <c r="R68" s="187"/>
    </row>
    <row r="69" spans="1:18" ht="17.25" customHeight="1">
      <c r="A69" s="11" t="s">
        <v>146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-6926.4069264069267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-11255.411255411256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-7792.2077922077924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6"/>
      <c r="R69" s="187"/>
    </row>
    <row r="70" spans="1:18" ht="17.25" customHeight="1">
      <c r="A70" s="11" t="s">
        <v>129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18772.563176895306</v>
      </c>
      <c r="G70" s="36">
        <v>313</v>
      </c>
      <c r="H70" s="5">
        <f t="shared" si="23"/>
        <v>0.1299638989169675</v>
      </c>
      <c r="I70" s="44">
        <f>IF(ISNUMBER(G70), $B78 * H70, "")</f>
        <v>12996.38989169675</v>
      </c>
      <c r="J70" s="36">
        <v>322</v>
      </c>
      <c r="K70" s="5">
        <f t="shared" si="24"/>
        <v>0.16245487364620939</v>
      </c>
      <c r="L70" s="44">
        <f>IF(ISNUMBER(J70), $B78 * K70, "")</f>
        <v>16245.48736462094</v>
      </c>
      <c r="M70" s="36"/>
      <c r="N70" s="5" t="str">
        <f t="shared" si="25"/>
        <v/>
      </c>
      <c r="O70" s="44" t="str">
        <f>IF(ISNUMBER(M70), $B78 * N70, "")</f>
        <v/>
      </c>
      <c r="Q70" s="186"/>
      <c r="R70" s="187"/>
    </row>
    <row r="71" spans="1:18" ht="17.25" customHeight="1">
      <c r="A71" s="11" t="s">
        <v>125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7638.8888888888896</v>
      </c>
      <c r="G71" s="36">
        <v>325</v>
      </c>
      <c r="H71" s="5">
        <f t="shared" si="23"/>
        <v>0.12847222222222221</v>
      </c>
      <c r="I71" s="44">
        <f>IF(ISNUMBER(G71), $B78 * H71, "")</f>
        <v>12847.222222222221</v>
      </c>
      <c r="J71" s="36">
        <v>310</v>
      </c>
      <c r="K71" s="5">
        <f t="shared" si="24"/>
        <v>7.6388888888888895E-2</v>
      </c>
      <c r="L71" s="44">
        <f>IF(ISNUMBER(J71), $B78 * K71, "")</f>
        <v>7638.8888888888896</v>
      </c>
      <c r="M71" s="36"/>
      <c r="N71" s="5" t="str">
        <f t="shared" si="25"/>
        <v/>
      </c>
      <c r="O71" s="44" t="str">
        <f>IF(ISNUMBER(M71), $B78 * N71, "")</f>
        <v/>
      </c>
      <c r="Q71" s="186"/>
      <c r="R71" s="187"/>
    </row>
    <row r="72" spans="1:18" ht="17.25" customHeight="1">
      <c r="A72" s="8" t="s">
        <v>130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500</v>
      </c>
      <c r="G72" s="37">
        <v>194</v>
      </c>
      <c r="H72" s="24">
        <f t="shared" si="23"/>
        <v>-0.03</v>
      </c>
      <c r="I72" s="44">
        <f>IF(ISNUMBER(G72), $B78 * H72, "")</f>
        <v>-3000</v>
      </c>
      <c r="J72" s="37">
        <v>199</v>
      </c>
      <c r="K72" s="24">
        <f t="shared" si="24"/>
        <v>-5.0000000000000001E-3</v>
      </c>
      <c r="L72" s="44">
        <f>IF(ISNUMBER(J72), $B78 * K72, "")</f>
        <v>-500</v>
      </c>
      <c r="M72" s="37"/>
      <c r="N72" s="24" t="str">
        <f t="shared" si="25"/>
        <v/>
      </c>
      <c r="O72" s="44" t="str">
        <f>IF(ISNUMBER(M72), $B78 * N72, "")</f>
        <v/>
      </c>
      <c r="Q72" s="186"/>
      <c r="R72" s="187"/>
    </row>
    <row r="73" spans="1:18" ht="17.25" customHeight="1">
      <c r="A73" s="11" t="s">
        <v>121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2006.6889632107025</v>
      </c>
      <c r="G73" s="36">
        <v>308</v>
      </c>
      <c r="H73" s="5">
        <f t="shared" si="23"/>
        <v>3.0100334448160536E-2</v>
      </c>
      <c r="I73" s="48">
        <f>IF(ISNUMBER(G73), $B78 * H73, "")</f>
        <v>3010.0334448160534</v>
      </c>
      <c r="J73" s="36">
        <v>309</v>
      </c>
      <c r="K73" s="5">
        <f t="shared" si="24"/>
        <v>3.3444816053511704E-2</v>
      </c>
      <c r="L73" s="48">
        <f>IF(ISNUMBER(J73), $B78 * K73, "")</f>
        <v>3344.4816053511704</v>
      </c>
      <c r="M73" s="36"/>
      <c r="N73" s="5" t="str">
        <f t="shared" si="25"/>
        <v/>
      </c>
      <c r="O73" s="48" t="str">
        <f>IF(ISNUMBER(M73), $B78 * N73, "")</f>
        <v/>
      </c>
      <c r="Q73" s="186"/>
      <c r="R73" s="187"/>
    </row>
    <row r="74" spans="1:18" ht="17.25" customHeight="1">
      <c r="A74" s="11" t="s">
        <v>144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2905.5690072639227</v>
      </c>
      <c r="G74" s="36">
        <v>408</v>
      </c>
      <c r="H74" s="5">
        <f t="shared" si="23"/>
        <v>-1.2106537530266344E-2</v>
      </c>
      <c r="I74" s="44">
        <f>IF(ISNUMBER(G74), $B78 * H74, "")</f>
        <v>-1210.6537530266344</v>
      </c>
      <c r="J74" s="36">
        <v>420</v>
      </c>
      <c r="K74" s="5">
        <f t="shared" si="24"/>
        <v>1.6949152542372881E-2</v>
      </c>
      <c r="L74" s="44">
        <f>IF(ISNUMBER(J74), $B78 * K74, "")</f>
        <v>1694.9152542372881</v>
      </c>
      <c r="M74" s="36"/>
      <c r="N74" s="5" t="str">
        <f t="shared" si="25"/>
        <v/>
      </c>
      <c r="O74" s="44" t="str">
        <f>IF(ISNUMBER(M74), $B78 * N74, "")</f>
        <v/>
      </c>
      <c r="Q74" s="186"/>
      <c r="R74" s="187"/>
    </row>
    <row r="75" spans="1:18" ht="17.25" customHeight="1">
      <c r="A75" s="11" t="s">
        <v>133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2020.2020202020203</v>
      </c>
      <c r="G75" s="36">
        <v>385</v>
      </c>
      <c r="H75" s="5">
        <f t="shared" si="23"/>
        <v>-2.7777777777777776E-2</v>
      </c>
      <c r="I75" s="44">
        <f>IF(ISNUMBER(G75), $B78 * H75, "")</f>
        <v>-2777.7777777777778</v>
      </c>
      <c r="J75" s="36">
        <v>395</v>
      </c>
      <c r="K75" s="5">
        <f t="shared" si="24"/>
        <v>-2.5252525252525255E-3</v>
      </c>
      <c r="L75" s="44">
        <f>IF(ISNUMBER(J75), $B78 * K75, "")</f>
        <v>-252.52525252525254</v>
      </c>
      <c r="M75" s="36"/>
      <c r="N75" s="5" t="str">
        <f t="shared" si="25"/>
        <v/>
      </c>
      <c r="O75" s="44" t="str">
        <f>IF(ISNUMBER(M75), $B78 * N75, "")</f>
        <v/>
      </c>
      <c r="Q75" s="186"/>
      <c r="R75" s="187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1294.4983818770227</v>
      </c>
      <c r="G76" s="36">
        <v>592</v>
      </c>
      <c r="H76" s="5">
        <f t="shared" si="23"/>
        <v>-4.2071197411003236E-2</v>
      </c>
      <c r="I76" s="44">
        <f>IF(ISNUMBER(G76), $B78 * H76, "")</f>
        <v>-4207.1197411003232</v>
      </c>
      <c r="J76" s="36">
        <v>637</v>
      </c>
      <c r="K76" s="5">
        <f t="shared" si="24"/>
        <v>3.0744336569579287E-2</v>
      </c>
      <c r="L76" s="44">
        <f>IF(ISNUMBER(J76), $B78 * K76, "")</f>
        <v>3074.4336569579286</v>
      </c>
      <c r="M76" s="36"/>
      <c r="N76" s="5" t="str">
        <f t="shared" si="25"/>
        <v/>
      </c>
      <c r="O76" s="44" t="str">
        <f>IF(ISNUMBER(M76), $B78 * N76, "")</f>
        <v/>
      </c>
      <c r="Q76" s="188"/>
      <c r="R76" s="189"/>
    </row>
    <row r="77" spans="1:18" ht="17.25" customHeight="1" thickBot="1">
      <c r="A77" s="13" t="s">
        <v>142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467.28971962616816</v>
      </c>
      <c r="G77" s="38">
        <v>203</v>
      </c>
      <c r="H77" s="16">
        <f t="shared" si="23"/>
        <v>-5.1401869158878503E-2</v>
      </c>
      <c r="I77" s="45">
        <f>IF(ISNUMBER(G77), $B78 * H77, "")</f>
        <v>-5140.1869158878508</v>
      </c>
      <c r="J77" s="38">
        <v>211</v>
      </c>
      <c r="K77" s="16">
        <f t="shared" si="24"/>
        <v>-1.4018691588785047E-2</v>
      </c>
      <c r="L77" s="45">
        <f>IF(ISNUMBER(J77), $B78 * K77, "")</f>
        <v>-1401.8691588785045</v>
      </c>
      <c r="M77" s="38"/>
      <c r="N77" s="16" t="str">
        <f t="shared" si="25"/>
        <v/>
      </c>
      <c r="O77" s="45" t="str">
        <f>IF(ISNUMBER(M77), $B78 * N77, "")</f>
        <v/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3.249790898334709E-2</v>
      </c>
      <c r="F78" s="47">
        <f>SUM(F68:F77)</f>
        <v>32497.908983347083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27754.142893574131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45679.289530645146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72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188"/>
      <c r="R84" s="189"/>
    </row>
    <row r="85" spans="1:18" ht="17.25" customHeight="1">
      <c r="A85" s="9" t="s">
        <v>154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5158.7301587301581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396.82539682539681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2777.7777777777778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86"/>
      <c r="R85" s="187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4035.8744394618834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-896.86098654708519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2242.1524663677128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6"/>
      <c r="R86" s="187"/>
    </row>
    <row r="87" spans="1:18" ht="17.25" customHeight="1">
      <c r="A87" s="11" t="s">
        <v>170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6250</v>
      </c>
      <c r="G87" s="36">
        <v>179</v>
      </c>
      <c r="H87" s="5">
        <f t="shared" si="27"/>
        <v>1.7045454545454544E-2</v>
      </c>
      <c r="I87" s="44">
        <f>IF(ISNUMBER(G87), $B95 * H87, "")</f>
        <v>1704.5454545454545</v>
      </c>
      <c r="J87" s="36">
        <v>182</v>
      </c>
      <c r="K87" s="5">
        <f t="shared" si="28"/>
        <v>3.4090909090909088E-2</v>
      </c>
      <c r="L87" s="44">
        <f>IF(ISNUMBER(J87), $B95 * K87, "")</f>
        <v>3409.090909090909</v>
      </c>
      <c r="M87" s="36"/>
      <c r="N87" s="5" t="str">
        <f t="shared" si="29"/>
        <v/>
      </c>
      <c r="O87" s="44" t="str">
        <f>IF(ISNUMBER(M87), $B95 * N87, "")</f>
        <v/>
      </c>
      <c r="Q87" s="186"/>
      <c r="R87" s="187"/>
    </row>
    <row r="88" spans="1:18" ht="17.25" customHeight="1">
      <c r="A88" s="11" t="s">
        <v>112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2072.538860103627</v>
      </c>
      <c r="G88" s="36">
        <v>556</v>
      </c>
      <c r="H88" s="5">
        <f t="shared" si="27"/>
        <v>-3.9723661485319514E-2</v>
      </c>
      <c r="I88" s="44">
        <f>IF(ISNUMBER(G88), $B95 * H88, "")</f>
        <v>-3972.3661485319512</v>
      </c>
      <c r="J88" s="36">
        <v>578</v>
      </c>
      <c r="K88" s="5">
        <f t="shared" si="28"/>
        <v>-1.7271157167530224E-3</v>
      </c>
      <c r="L88" s="44">
        <f>IF(ISNUMBER(J88), $B95 * K88, "")</f>
        <v>-172.71157167530222</v>
      </c>
      <c r="M88" s="36"/>
      <c r="N88" s="5" t="str">
        <f t="shared" si="29"/>
        <v/>
      </c>
      <c r="O88" s="44" t="str">
        <f>IF(ISNUMBER(M88), $B95 * N88, "")</f>
        <v/>
      </c>
      <c r="Q88" s="186"/>
      <c r="R88" s="187"/>
    </row>
    <row r="89" spans="1:18" ht="17.25" customHeight="1">
      <c r="A89" s="8" t="s">
        <v>167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1008.0645161290322</v>
      </c>
      <c r="G89" s="37">
        <v>473</v>
      </c>
      <c r="H89" s="24">
        <f t="shared" si="27"/>
        <v>-4.6370967741935484E-2</v>
      </c>
      <c r="I89" s="44">
        <f>IF(ISNUMBER(G89), $B95 * H89, "")</f>
        <v>-4637.0967741935483</v>
      </c>
      <c r="J89" s="37">
        <v>492</v>
      </c>
      <c r="K89" s="24">
        <f t="shared" si="28"/>
        <v>-8.0645161290322578E-3</v>
      </c>
      <c r="L89" s="44">
        <f>IF(ISNUMBER(J89), $B95 * K89, "")</f>
        <v>-806.45161290322574</v>
      </c>
      <c r="M89" s="37"/>
      <c r="N89" s="24" t="str">
        <f t="shared" si="29"/>
        <v/>
      </c>
      <c r="O89" s="44" t="str">
        <f>IF(ISNUMBER(M89), $B95 * N89, "")</f>
        <v/>
      </c>
      <c r="Q89" s="186"/>
      <c r="R89" s="187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1339.2857142857142</v>
      </c>
      <c r="G90" s="36">
        <v>210</v>
      </c>
      <c r="H90" s="5">
        <f t="shared" si="27"/>
        <v>-6.25E-2</v>
      </c>
      <c r="I90" s="48">
        <f>IF(ISNUMBER(G90), $B95 * H90, "")</f>
        <v>-6250</v>
      </c>
      <c r="J90" s="36">
        <v>223</v>
      </c>
      <c r="K90" s="5">
        <f t="shared" si="28"/>
        <v>-4.464285714285714E-3</v>
      </c>
      <c r="L90" s="48">
        <f>IF(ISNUMBER(J90), $B95 * K90, "")</f>
        <v>-446.42857142857139</v>
      </c>
      <c r="M90" s="36"/>
      <c r="N90" s="5" t="str">
        <f t="shared" si="29"/>
        <v/>
      </c>
      <c r="O90" s="48" t="str">
        <f>IF(ISNUMBER(M90), $B95 * N90, "")</f>
        <v/>
      </c>
      <c r="Q90" s="186"/>
      <c r="R90" s="187"/>
    </row>
    <row r="91" spans="1:18" ht="17.25" customHeight="1">
      <c r="A91" s="11" t="s">
        <v>172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3472.2222222222222</v>
      </c>
      <c r="G91" s="36">
        <v>559</v>
      </c>
      <c r="H91" s="5">
        <f t="shared" si="27"/>
        <v>-2.9513888888888888E-2</v>
      </c>
      <c r="I91" s="44">
        <f>IF(ISNUMBER(G91), $B95 * H91, "")</f>
        <v>-2951.3888888888887</v>
      </c>
      <c r="J91" s="36">
        <v>589</v>
      </c>
      <c r="K91" s="5">
        <f t="shared" si="28"/>
        <v>2.2569444444444444E-2</v>
      </c>
      <c r="L91" s="44">
        <f>IF(ISNUMBER(J91), $B95 * K91, "")</f>
        <v>2256.9444444444443</v>
      </c>
      <c r="M91" s="36"/>
      <c r="N91" s="5" t="str">
        <f t="shared" si="29"/>
        <v/>
      </c>
      <c r="O91" s="44" t="str">
        <f>IF(ISNUMBER(M91), $B95 * N91, "")</f>
        <v/>
      </c>
      <c r="Q91" s="186"/>
      <c r="R91" s="187"/>
    </row>
    <row r="92" spans="1:18" ht="17.25" customHeight="1">
      <c r="A92" s="11" t="s">
        <v>177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-200</v>
      </c>
      <c r="G92" s="36">
        <v>465</v>
      </c>
      <c r="H92" s="5">
        <f t="shared" si="27"/>
        <v>-7.0000000000000007E-2</v>
      </c>
      <c r="I92" s="44">
        <f>IF(ISNUMBER(G92), $B95 * H92, "")</f>
        <v>-7000.0000000000009</v>
      </c>
      <c r="J92" s="36">
        <v>493</v>
      </c>
      <c r="K92" s="5">
        <f t="shared" si="28"/>
        <v>-1.4E-2</v>
      </c>
      <c r="L92" s="44">
        <f>IF(ISNUMBER(J92), $B95 * K92, "")</f>
        <v>-1400</v>
      </c>
      <c r="M92" s="36"/>
      <c r="N92" s="5" t="str">
        <f t="shared" si="29"/>
        <v/>
      </c>
      <c r="O92" s="44" t="str">
        <f>IF(ISNUMBER(M92), $B95 * N92, "")</f>
        <v/>
      </c>
      <c r="Q92" s="186"/>
      <c r="R92" s="187"/>
    </row>
    <row r="93" spans="1:18" ht="17.25" customHeight="1">
      <c r="A93" s="11" t="s">
        <v>138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4081.6326530612241</v>
      </c>
      <c r="G93" s="36">
        <v>337</v>
      </c>
      <c r="H93" s="5">
        <f t="shared" si="27"/>
        <v>-1.7492711370262391E-2</v>
      </c>
      <c r="I93" s="44">
        <f>IF(ISNUMBER(G93), $B95 * H93, "")</f>
        <v>-1749.2711370262391</v>
      </c>
      <c r="J93" s="36">
        <v>351</v>
      </c>
      <c r="K93" s="5">
        <f t="shared" si="28"/>
        <v>2.3323615160349854E-2</v>
      </c>
      <c r="L93" s="44">
        <f>IF(ISNUMBER(J93), $B95 * K93, "")</f>
        <v>2332.3615160349855</v>
      </c>
      <c r="M93" s="36"/>
      <c r="N93" s="5" t="str">
        <f t="shared" si="29"/>
        <v/>
      </c>
      <c r="O93" s="44" t="str">
        <f>IF(ISNUMBER(M93), $B95 * N93, "")</f>
        <v/>
      </c>
      <c r="Q93" s="188"/>
      <c r="R93" s="189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1360.5442176870747</v>
      </c>
      <c r="G94" s="38">
        <v>142</v>
      </c>
      <c r="H94" s="16">
        <f t="shared" si="27"/>
        <v>-3.4013605442176874E-2</v>
      </c>
      <c r="I94" s="45">
        <f>IF(ISNUMBER(G94), $B95 * H94, "")</f>
        <v>-3401.3605442176872</v>
      </c>
      <c r="J94" s="38">
        <v>148</v>
      </c>
      <c r="K94" s="16">
        <f t="shared" si="28"/>
        <v>6.8027210884353739E-3</v>
      </c>
      <c r="L94" s="45">
        <f>IF(ISNUMBER(J94), $B95 * K94, "")</f>
        <v>680.27210884353735</v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2.8578892781680937E-2</v>
      </c>
      <c r="F95" s="47">
        <f>SUM(F85:F94)</f>
        <v>28578.892781680937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-28756.97362803455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10873.00746655227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72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188"/>
      <c r="R101" s="189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3818.6157517899765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26491.646778042959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23627.684964200478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86"/>
      <c r="R102" s="187"/>
    </row>
    <row r="103" spans="1:18" ht="17.25" customHeight="1">
      <c r="A103" s="11" t="s">
        <v>122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-11888.111888111895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-16783.216783216783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-15034.965034965036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86"/>
      <c r="R103" s="187"/>
    </row>
    <row r="104" spans="1:18" ht="17.25" customHeight="1">
      <c r="A104" s="11" t="s">
        <v>146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-6926.4069264069267</v>
      </c>
      <c r="G104" s="36">
        <v>205</v>
      </c>
      <c r="H104" s="5">
        <f t="shared" si="31"/>
        <v>-0.11255411255411256</v>
      </c>
      <c r="I104" s="44">
        <f>IF(ISNUMBER(G104), $B112 * H104, "")</f>
        <v>-11255.411255411256</v>
      </c>
      <c r="J104" s="36">
        <v>213</v>
      </c>
      <c r="K104" s="5">
        <f t="shared" si="32"/>
        <v>-7.792207792207792E-2</v>
      </c>
      <c r="L104" s="44">
        <f>IF(ISNUMBER(J104), $B112 * K104, "")</f>
        <v>-7792.2077922077924</v>
      </c>
      <c r="M104" s="36"/>
      <c r="N104" s="5" t="str">
        <f t="shared" si="33"/>
        <v/>
      </c>
      <c r="O104" s="44" t="str">
        <f>IF(ISNUMBER(M104), $B112 * N104, "")</f>
        <v/>
      </c>
      <c r="Q104" s="186"/>
      <c r="R104" s="187"/>
    </row>
    <row r="105" spans="1:18" ht="17.25" customHeight="1">
      <c r="A105" s="11" t="s">
        <v>262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9628.0087527352298</v>
      </c>
      <c r="G105" s="36">
        <v>23920</v>
      </c>
      <c r="H105" s="5">
        <f t="shared" si="31"/>
        <v>4.6827133479212253E-2</v>
      </c>
      <c r="I105" s="44">
        <f>IF(ISNUMBER(G105), $B112 * H105, "")</f>
        <v>4682.7133479212252</v>
      </c>
      <c r="J105" s="36">
        <v>24510</v>
      </c>
      <c r="K105" s="5">
        <f t="shared" si="32"/>
        <v>7.264770240700219E-2</v>
      </c>
      <c r="L105" s="44">
        <f>IF(ISNUMBER(J105), $B112 * K105, "")</f>
        <v>7264.7702407002189</v>
      </c>
      <c r="M105" s="36"/>
      <c r="N105" s="5" t="str">
        <f t="shared" si="33"/>
        <v/>
      </c>
      <c r="O105" s="44" t="str">
        <f>IF(ISNUMBER(M105), $B112 * N105, "")</f>
        <v/>
      </c>
      <c r="Q105" s="186"/>
      <c r="R105" s="187"/>
    </row>
    <row r="106" spans="1:18" ht="17.25" customHeight="1">
      <c r="A106" s="8" t="s">
        <v>218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3511.4174924601461</v>
      </c>
      <c r="G106" s="37">
        <v>46010</v>
      </c>
      <c r="H106" s="24">
        <f t="shared" si="31"/>
        <v>-8.8323998276604917E-3</v>
      </c>
      <c r="I106" s="44">
        <f>IF(ISNUMBER(G106), $B112 * H106, "")</f>
        <v>-883.23998276604914</v>
      </c>
      <c r="J106" s="37">
        <v>47000</v>
      </c>
      <c r="K106" s="24">
        <f t="shared" si="32"/>
        <v>1.2494614390348987E-2</v>
      </c>
      <c r="L106" s="44">
        <f>IF(ISNUMBER(J106), $B112 * K106, "")</f>
        <v>1249.4614390348986</v>
      </c>
      <c r="M106" s="37"/>
      <c r="N106" s="24" t="str">
        <f t="shared" si="33"/>
        <v/>
      </c>
      <c r="O106" s="44" t="str">
        <f>IF(ISNUMBER(M106), $B112 * N106, "")</f>
        <v/>
      </c>
      <c r="Q106" s="186"/>
      <c r="R106" s="187"/>
    </row>
    <row r="107" spans="1:18" ht="17.25" customHeight="1">
      <c r="A107" s="11" t="s">
        <v>129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18772.563176895306</v>
      </c>
      <c r="G107" s="36">
        <v>313</v>
      </c>
      <c r="H107" s="5">
        <f t="shared" si="31"/>
        <v>0.1299638989169675</v>
      </c>
      <c r="I107" s="48">
        <f>IF(ISNUMBER(G107), $B112 * H107, "")</f>
        <v>12996.38989169675</v>
      </c>
      <c r="J107" s="36">
        <v>322</v>
      </c>
      <c r="K107" s="5">
        <f t="shared" si="32"/>
        <v>0.16245487364620939</v>
      </c>
      <c r="L107" s="48">
        <f>IF(ISNUMBER(J107), $B112 * K107, "")</f>
        <v>16245.48736462094</v>
      </c>
      <c r="M107" s="36"/>
      <c r="N107" s="5" t="str">
        <f t="shared" si="33"/>
        <v/>
      </c>
      <c r="O107" s="48" t="str">
        <f>IF(ISNUMBER(M107), $B112 * N107, "")</f>
        <v/>
      </c>
      <c r="Q107" s="186"/>
      <c r="R107" s="187"/>
    </row>
    <row r="108" spans="1:18" ht="17.25" customHeight="1">
      <c r="A108" s="11" t="s">
        <v>152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6540.0843881856572</v>
      </c>
      <c r="G108" s="36">
        <v>95.1</v>
      </c>
      <c r="H108" s="5">
        <f t="shared" si="31"/>
        <v>3.1645569620252865E-3</v>
      </c>
      <c r="I108" s="44">
        <f>IF(ISNUMBER(G108), $B112 * H108, "")</f>
        <v>316.45569620252866</v>
      </c>
      <c r="J108" s="36">
        <v>97.5</v>
      </c>
      <c r="K108" s="5">
        <f t="shared" si="32"/>
        <v>2.8481012658227878E-2</v>
      </c>
      <c r="L108" s="44">
        <f>IF(ISNUMBER(J108), $B112 * K108, "")</f>
        <v>2848.1012658227878</v>
      </c>
      <c r="M108" s="36"/>
      <c r="N108" s="5" t="str">
        <f t="shared" si="33"/>
        <v/>
      </c>
      <c r="O108" s="44" t="str">
        <f>IF(ISNUMBER(M108), $B112 * N108, "")</f>
        <v/>
      </c>
      <c r="Q108" s="186"/>
      <c r="R108" s="187"/>
    </row>
    <row r="109" spans="1:18" ht="17.25" customHeight="1">
      <c r="A109" s="11" t="s">
        <v>228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3649.893692416726</v>
      </c>
      <c r="G109" s="36">
        <v>2871000</v>
      </c>
      <c r="H109" s="5">
        <f t="shared" si="31"/>
        <v>1.7363571934798015E-2</v>
      </c>
      <c r="I109" s="44">
        <f>IF(ISNUMBER(G109), $B112 * H109, "")</f>
        <v>1736.3571934798015</v>
      </c>
      <c r="J109" s="36">
        <v>2897000</v>
      </c>
      <c r="K109" s="5">
        <f t="shared" si="32"/>
        <v>2.657689581856839E-2</v>
      </c>
      <c r="L109" s="44">
        <f>IF(ISNUMBER(J109), $B112 * K109, "")</f>
        <v>2657.6895818568391</v>
      </c>
      <c r="M109" s="36"/>
      <c r="N109" s="5" t="str">
        <f t="shared" si="33"/>
        <v/>
      </c>
      <c r="O109" s="44" t="str">
        <f>IF(ISNUMBER(M109), $B112 * N109, "")</f>
        <v/>
      </c>
      <c r="Q109" s="186"/>
      <c r="R109" s="187"/>
    </row>
    <row r="110" spans="1:18" ht="17.25" customHeight="1">
      <c r="A110" s="11" t="s">
        <v>240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8533.5542667771333</v>
      </c>
      <c r="G110" s="36">
        <v>50330</v>
      </c>
      <c r="H110" s="5">
        <f t="shared" si="31"/>
        <v>4.2460646230323112E-2</v>
      </c>
      <c r="I110" s="44">
        <f>IF(ISNUMBER(G110), $B112 * H110, "")</f>
        <v>4246.0646230323109</v>
      </c>
      <c r="J110" s="36">
        <v>51270</v>
      </c>
      <c r="K110" s="5">
        <f t="shared" si="32"/>
        <v>6.1930405965202981E-2</v>
      </c>
      <c r="L110" s="44">
        <f>IF(ISNUMBER(J110), $B112 * K110, "")</f>
        <v>6193.0405965202981</v>
      </c>
      <c r="M110" s="36"/>
      <c r="N110" s="5" t="str">
        <f t="shared" si="33"/>
        <v/>
      </c>
      <c r="O110" s="44" t="str">
        <f>IF(ISNUMBER(M110), $B112 * N110, "")</f>
        <v/>
      </c>
      <c r="Q110" s="188"/>
      <c r="R110" s="189"/>
    </row>
    <row r="111" spans="1:18" ht="17.25" customHeight="1" thickBot="1">
      <c r="A111" s="13" t="s">
        <v>125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7638.8888888888896</v>
      </c>
      <c r="G111" s="38">
        <v>325</v>
      </c>
      <c r="H111" s="16">
        <f t="shared" si="31"/>
        <v>0.12847222222222221</v>
      </c>
      <c r="I111" s="45">
        <f>IF(ISNUMBER(G111), $B112 * H111, "")</f>
        <v>12847.222222222221</v>
      </c>
      <c r="J111" s="38">
        <v>310</v>
      </c>
      <c r="K111" s="16">
        <f t="shared" si="32"/>
        <v>7.6388888888888895E-2</v>
      </c>
      <c r="L111" s="45">
        <f>IF(ISNUMBER(J111), $B112 * K111, "")</f>
        <v>7638.8888888888896</v>
      </c>
      <c r="M111" s="38"/>
      <c r="N111" s="16" t="str">
        <f t="shared" si="33"/>
        <v/>
      </c>
      <c r="O111" s="45" t="str">
        <f>IF(ISNUMBER(M111), $B112 * N111, "")</f>
        <v/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43278.507595630246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34394.981731203705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44897.951514472523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0"/>
      <c r="R112" s="19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A22" sqref="A2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94" t="s">
        <v>0</v>
      </c>
      <c r="B1" s="195"/>
      <c r="C1" s="195"/>
      <c r="D1" s="195"/>
      <c r="E1" s="195"/>
      <c r="F1" s="196"/>
      <c r="G1" s="238">
        <v>44287</v>
      </c>
      <c r="H1" s="239"/>
      <c r="I1" s="240"/>
      <c r="J1" s="194" t="s">
        <v>33</v>
      </c>
      <c r="K1" s="195"/>
      <c r="L1" s="195"/>
      <c r="M1" s="195"/>
      <c r="N1" s="195"/>
      <c r="O1" s="196"/>
      <c r="Q1" s="194" t="s">
        <v>1</v>
      </c>
      <c r="R1" s="196"/>
    </row>
    <row r="2" spans="1:18" ht="17.25" customHeight="1">
      <c r="A2" s="3" t="s">
        <v>22</v>
      </c>
      <c r="B2" s="241" t="s">
        <v>31</v>
      </c>
      <c r="C2" s="242"/>
      <c r="D2" s="242"/>
      <c r="E2" s="242"/>
      <c r="F2" s="243"/>
      <c r="G2" s="235" t="s">
        <v>83</v>
      </c>
      <c r="H2" s="236"/>
      <c r="I2" s="237"/>
      <c r="J2" s="3" t="s">
        <v>22</v>
      </c>
      <c r="K2" s="241" t="s">
        <v>61</v>
      </c>
      <c r="L2" s="242"/>
      <c r="M2" s="242"/>
      <c r="N2" s="242"/>
      <c r="O2" s="243"/>
      <c r="Q2" s="18" t="s">
        <v>89</v>
      </c>
      <c r="R2" s="49">
        <v>0.375</v>
      </c>
    </row>
    <row r="3" spans="1:18" ht="17.25" customHeight="1" thickBot="1">
      <c r="A3" s="1" t="s">
        <v>23</v>
      </c>
      <c r="B3" s="232" t="s">
        <v>55</v>
      </c>
      <c r="C3" s="233"/>
      <c r="D3" s="233"/>
      <c r="E3" s="233"/>
      <c r="F3" s="234"/>
      <c r="G3" s="22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24"/>
      <c r="I3" s="225"/>
      <c r="J3" s="1" t="s">
        <v>23</v>
      </c>
      <c r="K3" s="232" t="s">
        <v>59</v>
      </c>
      <c r="L3" s="233"/>
      <c r="M3" s="233"/>
      <c r="N3" s="233"/>
      <c r="O3" s="23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2" t="s">
        <v>56</v>
      </c>
      <c r="C4" s="233"/>
      <c r="D4" s="233"/>
      <c r="E4" s="233"/>
      <c r="F4" s="234"/>
      <c r="G4" s="235" t="s">
        <v>84</v>
      </c>
      <c r="H4" s="236"/>
      <c r="I4" s="237"/>
      <c r="J4" s="1" t="s">
        <v>30</v>
      </c>
      <c r="K4" s="232" t="s">
        <v>60</v>
      </c>
      <c r="L4" s="233"/>
      <c r="M4" s="233"/>
      <c r="N4" s="233"/>
      <c r="O4" s="234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32" t="s">
        <v>57</v>
      </c>
      <c r="C5" s="233"/>
      <c r="D5" s="233"/>
      <c r="E5" s="233"/>
      <c r="F5" s="234"/>
      <c r="G5" s="22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24"/>
      <c r="I5" s="225"/>
      <c r="J5" s="1" t="s">
        <v>24</v>
      </c>
      <c r="K5" s="232" t="s">
        <v>62</v>
      </c>
      <c r="L5" s="233"/>
      <c r="M5" s="233"/>
      <c r="N5" s="233"/>
      <c r="O5" s="234"/>
    </row>
    <row r="6" spans="1:18">
      <c r="A6" s="1" t="s">
        <v>25</v>
      </c>
      <c r="B6" s="232" t="s">
        <v>58</v>
      </c>
      <c r="C6" s="233"/>
      <c r="D6" s="233"/>
      <c r="E6" s="233"/>
      <c r="F6" s="234"/>
      <c r="G6" s="235" t="s">
        <v>85</v>
      </c>
      <c r="H6" s="236"/>
      <c r="I6" s="237"/>
      <c r="J6" s="1" t="s">
        <v>25</v>
      </c>
      <c r="K6" s="232" t="s">
        <v>63</v>
      </c>
      <c r="L6" s="233"/>
      <c r="M6" s="233"/>
      <c r="N6" s="233"/>
      <c r="O6" s="234"/>
    </row>
    <row r="7" spans="1:18" ht="17.25" thickBot="1">
      <c r="A7" s="1" t="s">
        <v>26</v>
      </c>
      <c r="B7" s="232" t="s">
        <v>64</v>
      </c>
      <c r="C7" s="233"/>
      <c r="D7" s="233"/>
      <c r="E7" s="233"/>
      <c r="F7" s="234"/>
      <c r="G7" s="22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24"/>
      <c r="I7" s="225"/>
      <c r="J7" s="1" t="s">
        <v>26</v>
      </c>
      <c r="K7" s="232" t="s">
        <v>65</v>
      </c>
      <c r="L7" s="233"/>
      <c r="M7" s="233"/>
      <c r="N7" s="233"/>
      <c r="O7" s="234"/>
    </row>
    <row r="8" spans="1:18" ht="17.25" thickBot="1">
      <c r="A8" s="1" t="s">
        <v>27</v>
      </c>
      <c r="B8" s="232" t="s">
        <v>66</v>
      </c>
      <c r="C8" s="233"/>
      <c r="D8" s="233"/>
      <c r="E8" s="233"/>
      <c r="F8" s="234"/>
      <c r="G8" s="235" t="s">
        <v>86</v>
      </c>
      <c r="H8" s="236"/>
      <c r="I8" s="237"/>
      <c r="J8" s="1" t="s">
        <v>27</v>
      </c>
      <c r="K8" s="232" t="s">
        <v>88</v>
      </c>
      <c r="L8" s="233"/>
      <c r="M8" s="233"/>
      <c r="N8" s="233"/>
      <c r="O8" s="234"/>
      <c r="Q8" s="194" t="s">
        <v>16</v>
      </c>
      <c r="R8" s="196"/>
    </row>
    <row r="9" spans="1:18" ht="17.25" thickBot="1">
      <c r="A9" s="1" t="s">
        <v>28</v>
      </c>
      <c r="B9" s="232"/>
      <c r="C9" s="233"/>
      <c r="D9" s="233"/>
      <c r="E9" s="233"/>
      <c r="F9" s="234"/>
      <c r="G9" s="22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4"/>
      <c r="I9" s="225"/>
      <c r="J9" s="1" t="s">
        <v>28</v>
      </c>
      <c r="K9" s="232" t="s">
        <v>225</v>
      </c>
      <c r="L9" s="233"/>
      <c r="M9" s="233"/>
      <c r="N9" s="233"/>
      <c r="O9" s="234"/>
      <c r="Q9" s="18" t="s">
        <v>2</v>
      </c>
      <c r="R9" s="51">
        <v>10</v>
      </c>
    </row>
    <row r="10" spans="1:18">
      <c r="A10" s="1" t="s">
        <v>29</v>
      </c>
      <c r="B10" s="232"/>
      <c r="C10" s="233"/>
      <c r="D10" s="233"/>
      <c r="E10" s="233"/>
      <c r="F10" s="234"/>
      <c r="G10" s="235" t="s">
        <v>81</v>
      </c>
      <c r="H10" s="236"/>
      <c r="I10" s="237"/>
      <c r="J10" s="1" t="s">
        <v>29</v>
      </c>
      <c r="K10" s="232"/>
      <c r="L10" s="233"/>
      <c r="M10" s="233"/>
      <c r="N10" s="233"/>
      <c r="O10" s="234"/>
      <c r="Q10" s="18" t="s">
        <v>3</v>
      </c>
      <c r="R10" s="51">
        <v>100</v>
      </c>
    </row>
    <row r="11" spans="1:18" ht="17.25" thickBot="1">
      <c r="A11" s="2" t="s">
        <v>21</v>
      </c>
      <c r="B11" s="220"/>
      <c r="C11" s="221"/>
      <c r="D11" s="221"/>
      <c r="E11" s="221"/>
      <c r="F11" s="222"/>
      <c r="G11" s="22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24"/>
      <c r="I11" s="225"/>
      <c r="J11" s="2" t="s">
        <v>21</v>
      </c>
      <c r="K11" s="220"/>
      <c r="L11" s="221"/>
      <c r="M11" s="221"/>
      <c r="N11" s="221"/>
      <c r="O11" s="222"/>
      <c r="Q11" s="180" t="s">
        <v>17</v>
      </c>
      <c r="R11" s="52">
        <v>1000</v>
      </c>
    </row>
    <row r="12" spans="1:18" ht="17.25" thickBot="1"/>
    <row r="13" spans="1:18" ht="17.25" customHeight="1" thickBot="1">
      <c r="A13" s="194" t="s">
        <v>87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26"/>
      <c r="R13" s="227"/>
    </row>
    <row r="14" spans="1:18" ht="17.25" customHeight="1" thickBot="1">
      <c r="A14" s="179" t="s">
        <v>194</v>
      </c>
      <c r="B14" s="194" t="s">
        <v>193</v>
      </c>
      <c r="C14" s="196"/>
      <c r="D14" s="194" t="s">
        <v>67</v>
      </c>
      <c r="E14" s="195"/>
      <c r="F14" s="196"/>
      <c r="G14" s="208">
        <f>_xlfn.IFNA(VLOOKUP(B14, 현재가테이블!$B$1:$D$200, 2, FALSE), "-")</f>
        <v>73722000</v>
      </c>
      <c r="H14" s="209"/>
      <c r="I14" s="210"/>
      <c r="J14" s="194" t="s">
        <v>69</v>
      </c>
      <c r="K14" s="195"/>
      <c r="L14" s="196"/>
      <c r="M14" s="211">
        <f>_xlfn.IFNA(VLOOKUP(B14, 현재가테이블!$B$1:$D$200, 3, FALSE), "-")</f>
        <v>-2.5395608300000001E-2</v>
      </c>
      <c r="N14" s="212"/>
      <c r="O14" s="213"/>
      <c r="Q14" s="228"/>
      <c r="R14" s="229"/>
    </row>
    <row r="15" spans="1:18" ht="17.25" customHeight="1" thickBot="1">
      <c r="A15" s="201" t="s">
        <v>18</v>
      </c>
      <c r="B15" s="202" t="s">
        <v>54</v>
      </c>
      <c r="C15" s="203"/>
      <c r="D15" s="230" t="s">
        <v>20</v>
      </c>
      <c r="E15" s="207"/>
      <c r="F15" s="231"/>
      <c r="G15" s="230" t="s">
        <v>15</v>
      </c>
      <c r="H15" s="207"/>
      <c r="I15" s="231"/>
      <c r="J15" s="207" t="s">
        <v>34</v>
      </c>
      <c r="K15" s="207"/>
      <c r="L15" s="207"/>
      <c r="M15" s="230" t="s">
        <v>54</v>
      </c>
      <c r="N15" s="207"/>
      <c r="O15" s="231"/>
      <c r="Q15" s="216"/>
      <c r="R15" s="217"/>
    </row>
    <row r="16" spans="1:18" ht="17.25" customHeight="1" thickBot="1">
      <c r="A16" s="2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16"/>
      <c r="R16" s="217"/>
    </row>
    <row r="17" spans="1:18" ht="17.25" customHeight="1">
      <c r="A17" s="39" t="s">
        <v>202</v>
      </c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14"/>
      <c r="R17" s="215"/>
    </row>
    <row r="18" spans="1:18" ht="17.25" customHeight="1">
      <c r="A18" s="40" t="s">
        <v>199</v>
      </c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14"/>
      <c r="R18" s="215"/>
    </row>
    <row r="19" spans="1:18" ht="17.25" customHeight="1">
      <c r="A19" s="40" t="s">
        <v>80</v>
      </c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14"/>
      <c r="R19" s="215"/>
    </row>
    <row r="20" spans="1:18" ht="17.25" customHeight="1">
      <c r="A20" s="40" t="s">
        <v>76</v>
      </c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14"/>
      <c r="R20" s="215"/>
    </row>
    <row r="21" spans="1:18" ht="17.25" customHeight="1">
      <c r="A21" s="41" t="s">
        <v>359</v>
      </c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14"/>
      <c r="R21" s="215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14"/>
      <c r="R22" s="215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14"/>
      <c r="R23" s="21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14"/>
      <c r="R24" s="21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16"/>
      <c r="R25" s="21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16"/>
      <c r="R26" s="217"/>
    </row>
    <row r="27" spans="1:18" ht="17.25" customHeight="1" thickBot="1">
      <c r="A27" s="57" t="s">
        <v>32</v>
      </c>
      <c r="B27" s="192">
        <v>100000</v>
      </c>
      <c r="C27" s="193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18"/>
      <c r="R27" s="21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94" t="s">
        <v>83</v>
      </c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6"/>
      <c r="Q30" s="197"/>
      <c r="R30" s="198"/>
    </row>
    <row r="31" spans="1:18" ht="17.25" customHeight="1" thickBot="1">
      <c r="A31" s="179" t="s">
        <v>194</v>
      </c>
      <c r="B31" s="194" t="s">
        <v>193</v>
      </c>
      <c r="C31" s="196"/>
      <c r="D31" s="194" t="s">
        <v>67</v>
      </c>
      <c r="E31" s="195"/>
      <c r="F31" s="196"/>
      <c r="G31" s="208">
        <f>_xlfn.IFNA(VLOOKUP(B31, 현재가테이블!$B$1:$D$200, 2, FALSE), "-")</f>
        <v>73722000</v>
      </c>
      <c r="H31" s="209"/>
      <c r="I31" s="210"/>
      <c r="J31" s="194" t="s">
        <v>69</v>
      </c>
      <c r="K31" s="195"/>
      <c r="L31" s="196"/>
      <c r="M31" s="211">
        <f>_xlfn.IFNA(VLOOKUP(B31, 현재가테이블!$B$1:$D$200, 3, FALSE), "-")</f>
        <v>-2.5395608300000001E-2</v>
      </c>
      <c r="N31" s="212"/>
      <c r="O31" s="213"/>
      <c r="Q31" s="199"/>
      <c r="R31" s="200"/>
    </row>
    <row r="32" spans="1:18" ht="17.25" customHeight="1" thickBot="1">
      <c r="A32" s="201" t="s">
        <v>18</v>
      </c>
      <c r="B32" s="202" t="s">
        <v>54</v>
      </c>
      <c r="C32" s="203"/>
      <c r="D32" s="204" t="s">
        <v>20</v>
      </c>
      <c r="E32" s="205"/>
      <c r="F32" s="206"/>
      <c r="G32" s="204" t="s">
        <v>15</v>
      </c>
      <c r="H32" s="205"/>
      <c r="I32" s="206"/>
      <c r="J32" s="207" t="s">
        <v>34</v>
      </c>
      <c r="K32" s="207"/>
      <c r="L32" s="207"/>
      <c r="M32" s="204" t="s">
        <v>54</v>
      </c>
      <c r="N32" s="205"/>
      <c r="O32" s="206"/>
      <c r="Q32" s="188"/>
      <c r="R32" s="189"/>
    </row>
    <row r="33" spans="1:18" ht="17.25" customHeight="1" thickBot="1">
      <c r="A33" s="20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188"/>
      <c r="R33" s="189"/>
    </row>
    <row r="34" spans="1:18" ht="17.25" customHeight="1">
      <c r="A34" s="9"/>
      <c r="B34" s="31"/>
      <c r="C34" s="22"/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86"/>
      <c r="R34" s="18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6"/>
      <c r="R35" s="18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6"/>
      <c r="R36" s="18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6"/>
      <c r="R37" s="18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6"/>
      <c r="R38" s="18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6"/>
      <c r="R39" s="18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6"/>
      <c r="R40" s="18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6"/>
      <c r="R41" s="18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8"/>
      <c r="R42" s="18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8"/>
      <c r="R43" s="189"/>
    </row>
    <row r="44" spans="1:18" ht="17.25" customHeight="1" thickBot="1">
      <c r="A44" s="57" t="s">
        <v>32</v>
      </c>
      <c r="B44" s="192">
        <v>100000</v>
      </c>
      <c r="C44" s="193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0"/>
      <c r="R44" s="19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94" t="s">
        <v>84</v>
      </c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6"/>
      <c r="Q47" s="197"/>
      <c r="R47" s="198"/>
    </row>
    <row r="48" spans="1:18" ht="17.25" customHeight="1" thickBot="1">
      <c r="A48" s="179" t="s">
        <v>194</v>
      </c>
      <c r="B48" s="194" t="s">
        <v>193</v>
      </c>
      <c r="C48" s="196"/>
      <c r="D48" s="194" t="s">
        <v>67</v>
      </c>
      <c r="E48" s="195"/>
      <c r="F48" s="196"/>
      <c r="G48" s="208">
        <f>_xlfn.IFNA(VLOOKUP(B48, 현재가테이블!$B$1:$D$200, 2, FALSE), "-")</f>
        <v>73722000</v>
      </c>
      <c r="H48" s="209"/>
      <c r="I48" s="210"/>
      <c r="J48" s="194" t="s">
        <v>69</v>
      </c>
      <c r="K48" s="195"/>
      <c r="L48" s="196"/>
      <c r="M48" s="211">
        <f>_xlfn.IFNA(VLOOKUP(B48, 현재가테이블!$B$1:$D$200, 3, FALSE), "-")</f>
        <v>-2.5395608300000001E-2</v>
      </c>
      <c r="N48" s="212"/>
      <c r="O48" s="213"/>
      <c r="Q48" s="199"/>
      <c r="R48" s="200"/>
    </row>
    <row r="49" spans="1:18" ht="17.25" customHeight="1" thickBot="1">
      <c r="A49" s="201" t="s">
        <v>18</v>
      </c>
      <c r="B49" s="202" t="s">
        <v>54</v>
      </c>
      <c r="C49" s="203"/>
      <c r="D49" s="204" t="s">
        <v>20</v>
      </c>
      <c r="E49" s="205"/>
      <c r="F49" s="206"/>
      <c r="G49" s="204" t="s">
        <v>15</v>
      </c>
      <c r="H49" s="205"/>
      <c r="I49" s="206"/>
      <c r="J49" s="207" t="s">
        <v>34</v>
      </c>
      <c r="K49" s="207"/>
      <c r="L49" s="207"/>
      <c r="M49" s="204" t="s">
        <v>54</v>
      </c>
      <c r="N49" s="205"/>
      <c r="O49" s="206"/>
      <c r="Q49" s="188"/>
      <c r="R49" s="189"/>
    </row>
    <row r="50" spans="1:18" ht="17.25" customHeight="1" thickBot="1">
      <c r="A50" s="20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188"/>
      <c r="R50" s="189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86"/>
      <c r="R51" s="18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6"/>
      <c r="R52" s="18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6"/>
      <c r="R53" s="18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6"/>
      <c r="R54" s="18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6"/>
      <c r="R55" s="18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6"/>
      <c r="R56" s="18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6"/>
      <c r="R57" s="18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6"/>
      <c r="R58" s="18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8"/>
      <c r="R59" s="18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8"/>
      <c r="R60" s="189"/>
    </row>
    <row r="61" spans="1:18" ht="17.25" customHeight="1" thickBot="1">
      <c r="A61" s="57" t="s">
        <v>32</v>
      </c>
      <c r="B61" s="192">
        <v>100000</v>
      </c>
      <c r="C61" s="193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0"/>
      <c r="R61" s="191"/>
    </row>
    <row r="62" spans="1:18" ht="17.25" customHeight="1"/>
    <row r="63" spans="1:18" ht="17.25" customHeight="1" thickBot="1"/>
    <row r="64" spans="1:18" ht="17.25" customHeight="1" thickBot="1">
      <c r="A64" s="194" t="s">
        <v>85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6"/>
      <c r="Q64" s="197"/>
      <c r="R64" s="198"/>
    </row>
    <row r="65" spans="1:18" ht="17.25" customHeight="1" thickBot="1">
      <c r="A65" s="179" t="s">
        <v>194</v>
      </c>
      <c r="B65" s="194" t="s">
        <v>193</v>
      </c>
      <c r="C65" s="196"/>
      <c r="D65" s="194" t="s">
        <v>67</v>
      </c>
      <c r="E65" s="195"/>
      <c r="F65" s="196"/>
      <c r="G65" s="208">
        <f>_xlfn.IFNA(VLOOKUP(B65, 현재가테이블!$B$1:$D$200, 2, FALSE), "-")</f>
        <v>73722000</v>
      </c>
      <c r="H65" s="209"/>
      <c r="I65" s="210"/>
      <c r="J65" s="194" t="s">
        <v>69</v>
      </c>
      <c r="K65" s="195"/>
      <c r="L65" s="196"/>
      <c r="M65" s="211">
        <f>_xlfn.IFNA(VLOOKUP(B65, 현재가테이블!$B$1:$D$200, 3, FALSE), "-")</f>
        <v>-2.5395608300000001E-2</v>
      </c>
      <c r="N65" s="212"/>
      <c r="O65" s="213"/>
      <c r="Q65" s="199"/>
      <c r="R65" s="200"/>
    </row>
    <row r="66" spans="1:18" ht="17.25" customHeight="1" thickBot="1">
      <c r="A66" s="201" t="s">
        <v>18</v>
      </c>
      <c r="B66" s="202" t="s">
        <v>54</v>
      </c>
      <c r="C66" s="203"/>
      <c r="D66" s="204" t="s">
        <v>20</v>
      </c>
      <c r="E66" s="205"/>
      <c r="F66" s="206"/>
      <c r="G66" s="204" t="s">
        <v>15</v>
      </c>
      <c r="H66" s="205"/>
      <c r="I66" s="206"/>
      <c r="J66" s="207" t="s">
        <v>34</v>
      </c>
      <c r="K66" s="207"/>
      <c r="L66" s="207"/>
      <c r="M66" s="204" t="s">
        <v>54</v>
      </c>
      <c r="N66" s="205"/>
      <c r="O66" s="206"/>
      <c r="Q66" s="188"/>
      <c r="R66" s="189"/>
    </row>
    <row r="67" spans="1:18" ht="17.25" customHeight="1" thickBot="1">
      <c r="A67" s="20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188"/>
      <c r="R67" s="189"/>
    </row>
    <row r="68" spans="1:18" ht="17.25" customHeight="1">
      <c r="A68" s="9"/>
      <c r="B68" s="31"/>
      <c r="C68" s="22"/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86"/>
      <c r="R68" s="187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6"/>
      <c r="R69" s="187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6"/>
      <c r="R70" s="18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6"/>
      <c r="R71" s="18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6"/>
      <c r="R72" s="18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6"/>
      <c r="R73" s="18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6"/>
      <c r="R74" s="18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6"/>
      <c r="R75" s="18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8"/>
      <c r="R76" s="18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8"/>
      <c r="R77" s="189"/>
    </row>
    <row r="78" spans="1:18" ht="17.25" customHeight="1" thickBot="1">
      <c r="A78" s="57" t="s">
        <v>32</v>
      </c>
      <c r="B78" s="192">
        <v>100000</v>
      </c>
      <c r="C78" s="19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0"/>
      <c r="R78" s="19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94" t="s">
        <v>86</v>
      </c>
      <c r="B81" s="195"/>
      <c r="C81" s="195"/>
      <c r="D81" s="195"/>
      <c r="E81" s="195"/>
      <c r="F81" s="195"/>
      <c r="G81" s="195"/>
      <c r="H81" s="195"/>
      <c r="I81" s="195"/>
      <c r="J81" s="195"/>
      <c r="K81" s="195"/>
      <c r="L81" s="195"/>
      <c r="M81" s="195"/>
      <c r="N81" s="195"/>
      <c r="O81" s="196"/>
      <c r="Q81" s="197"/>
      <c r="R81" s="198"/>
    </row>
    <row r="82" spans="1:18" ht="17.25" customHeight="1" thickBot="1">
      <c r="A82" s="179" t="s">
        <v>194</v>
      </c>
      <c r="B82" s="194" t="s">
        <v>193</v>
      </c>
      <c r="C82" s="196"/>
      <c r="D82" s="194" t="s">
        <v>67</v>
      </c>
      <c r="E82" s="195"/>
      <c r="F82" s="196"/>
      <c r="G82" s="208">
        <f>_xlfn.IFNA(VLOOKUP(B82, 현재가테이블!$B$1:$D$200, 2, FALSE), "-")</f>
        <v>73722000</v>
      </c>
      <c r="H82" s="209"/>
      <c r="I82" s="210"/>
      <c r="J82" s="194" t="s">
        <v>69</v>
      </c>
      <c r="K82" s="195"/>
      <c r="L82" s="196"/>
      <c r="M82" s="211">
        <f>_xlfn.IFNA(VLOOKUP(B82, 현재가테이블!$B$1:$D$200, 3, FALSE), "-")</f>
        <v>-2.5395608300000001E-2</v>
      </c>
      <c r="N82" s="212"/>
      <c r="O82" s="213"/>
      <c r="Q82" s="199"/>
      <c r="R82" s="200"/>
    </row>
    <row r="83" spans="1:18" ht="17.25" customHeight="1" thickBot="1">
      <c r="A83" s="201" t="s">
        <v>18</v>
      </c>
      <c r="B83" s="202" t="s">
        <v>54</v>
      </c>
      <c r="C83" s="203"/>
      <c r="D83" s="204" t="s">
        <v>20</v>
      </c>
      <c r="E83" s="205"/>
      <c r="F83" s="206"/>
      <c r="G83" s="204" t="s">
        <v>15</v>
      </c>
      <c r="H83" s="205"/>
      <c r="I83" s="206"/>
      <c r="J83" s="207" t="s">
        <v>34</v>
      </c>
      <c r="K83" s="207"/>
      <c r="L83" s="207"/>
      <c r="M83" s="204" t="s">
        <v>54</v>
      </c>
      <c r="N83" s="205"/>
      <c r="O83" s="206"/>
      <c r="Q83" s="188"/>
      <c r="R83" s="189"/>
    </row>
    <row r="84" spans="1:18" ht="17.25" customHeight="1" thickBot="1">
      <c r="A84" s="20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188"/>
      <c r="R84" s="189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86"/>
      <c r="R85" s="187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6"/>
      <c r="R86" s="187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6"/>
      <c r="R87" s="187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6"/>
      <c r="R88" s="18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6"/>
      <c r="R89" s="18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6"/>
      <c r="R90" s="18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6"/>
      <c r="R91" s="18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6"/>
      <c r="R92" s="18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8"/>
      <c r="R93" s="18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8"/>
      <c r="R94" s="189"/>
    </row>
    <row r="95" spans="1:18" ht="17.25" customHeight="1" thickBot="1">
      <c r="A95" s="57" t="s">
        <v>32</v>
      </c>
      <c r="B95" s="192">
        <v>100000</v>
      </c>
      <c r="C95" s="19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0"/>
      <c r="R95" s="191"/>
    </row>
    <row r="96" spans="1:18" ht="17.25" customHeight="1"/>
    <row r="97" spans="1:18" ht="17.25" customHeight="1" thickBot="1"/>
    <row r="98" spans="1:18" ht="17.25" customHeight="1" thickBot="1">
      <c r="A98" s="194" t="s">
        <v>81</v>
      </c>
      <c r="B98" s="195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6"/>
      <c r="Q98" s="197"/>
      <c r="R98" s="198"/>
    </row>
    <row r="99" spans="1:18" ht="17.25" customHeight="1" thickBot="1">
      <c r="A99" s="179" t="s">
        <v>194</v>
      </c>
      <c r="B99" s="194" t="s">
        <v>193</v>
      </c>
      <c r="C99" s="196"/>
      <c r="D99" s="194" t="s">
        <v>67</v>
      </c>
      <c r="E99" s="195"/>
      <c r="F99" s="196"/>
      <c r="G99" s="208">
        <f>_xlfn.IFNA(VLOOKUP(B99, 현재가테이블!$B$1:$D$200, 2, FALSE), "-")</f>
        <v>73722000</v>
      </c>
      <c r="H99" s="209"/>
      <c r="I99" s="210"/>
      <c r="J99" s="194" t="s">
        <v>69</v>
      </c>
      <c r="K99" s="195"/>
      <c r="L99" s="196"/>
      <c r="M99" s="211">
        <f>_xlfn.IFNA(VLOOKUP(B99, 현재가테이블!$B$1:$D$200, 3, FALSE), "-")</f>
        <v>-2.5395608300000001E-2</v>
      </c>
      <c r="N99" s="212"/>
      <c r="O99" s="213"/>
      <c r="Q99" s="199"/>
      <c r="R99" s="200"/>
    </row>
    <row r="100" spans="1:18" ht="17.25" customHeight="1" thickBot="1">
      <c r="A100" s="201" t="s">
        <v>18</v>
      </c>
      <c r="B100" s="202" t="s">
        <v>54</v>
      </c>
      <c r="C100" s="203"/>
      <c r="D100" s="204" t="s">
        <v>20</v>
      </c>
      <c r="E100" s="205"/>
      <c r="F100" s="206"/>
      <c r="G100" s="204" t="s">
        <v>15</v>
      </c>
      <c r="H100" s="205"/>
      <c r="I100" s="206"/>
      <c r="J100" s="207" t="s">
        <v>34</v>
      </c>
      <c r="K100" s="207"/>
      <c r="L100" s="207"/>
      <c r="M100" s="204" t="s">
        <v>54</v>
      </c>
      <c r="N100" s="205"/>
      <c r="O100" s="206"/>
      <c r="Q100" s="188"/>
      <c r="R100" s="189"/>
    </row>
    <row r="101" spans="1:18" ht="17.25" customHeight="1" thickBot="1">
      <c r="A101" s="20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188"/>
      <c r="R101" s="189"/>
    </row>
    <row r="102" spans="1:18" ht="17.25" customHeight="1">
      <c r="A102" s="9"/>
      <c r="B102" s="31"/>
      <c r="C102" s="22"/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86"/>
      <c r="R102" s="187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86"/>
      <c r="R103" s="187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86"/>
      <c r="R104" s="187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86"/>
      <c r="R105" s="187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86"/>
      <c r="R106" s="187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86"/>
      <c r="R107" s="187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86"/>
      <c r="R108" s="187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86"/>
      <c r="R109" s="187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88"/>
      <c r="R110" s="189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88"/>
      <c r="R111" s="189"/>
    </row>
    <row r="112" spans="1:18" ht="17.25" customHeight="1" thickBot="1">
      <c r="A112" s="57" t="s">
        <v>32</v>
      </c>
      <c r="B112" s="192">
        <v>100000</v>
      </c>
      <c r="C112" s="193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0"/>
      <c r="R112" s="19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213</v>
      </c>
      <c r="B1" t="s">
        <v>214</v>
      </c>
      <c r="C1">
        <v>73722000</v>
      </c>
      <c r="D1" s="90">
        <v>-2.5395608300000001E-2</v>
      </c>
      <c r="E1" s="67"/>
      <c r="F1" s="67"/>
      <c r="G1" s="67"/>
      <c r="H1" s="67"/>
      <c r="I1" s="67"/>
    </row>
    <row r="2" spans="1:17" ht="17.25" thickBot="1">
      <c r="A2" t="s">
        <v>227</v>
      </c>
      <c r="B2" t="s">
        <v>228</v>
      </c>
      <c r="C2">
        <v>2897000</v>
      </c>
      <c r="D2" s="90">
        <v>-3.7861175699999999E-2</v>
      </c>
      <c r="E2" s="67"/>
      <c r="F2" s="67"/>
      <c r="G2" s="67"/>
      <c r="H2" s="67"/>
      <c r="I2" s="67"/>
    </row>
    <row r="3" spans="1:17" ht="17.25" thickBot="1">
      <c r="A3" t="s">
        <v>274</v>
      </c>
      <c r="B3" t="s">
        <v>215</v>
      </c>
      <c r="C3">
        <v>152250</v>
      </c>
      <c r="D3" s="90">
        <v>-7.5591985400000006E-2</v>
      </c>
      <c r="E3" s="67"/>
      <c r="F3" s="67"/>
      <c r="G3" s="194" t="s">
        <v>209</v>
      </c>
      <c r="H3" s="195"/>
      <c r="I3" s="196"/>
      <c r="K3" s="194" t="s">
        <v>205</v>
      </c>
      <c r="L3" s="195"/>
      <c r="M3" s="196"/>
      <c r="O3" s="194" t="s">
        <v>84</v>
      </c>
      <c r="P3" s="195"/>
      <c r="Q3" s="196"/>
    </row>
    <row r="4" spans="1:17" ht="17.25" thickBot="1">
      <c r="A4" t="s">
        <v>229</v>
      </c>
      <c r="B4" t="s">
        <v>216</v>
      </c>
      <c r="C4">
        <v>5055</v>
      </c>
      <c r="D4" s="90">
        <v>3.4800409400000003E-2</v>
      </c>
      <c r="E4" s="67"/>
      <c r="F4" s="67"/>
      <c r="G4" s="235" t="s">
        <v>211</v>
      </c>
      <c r="H4" s="236"/>
      <c r="I4" s="237"/>
      <c r="K4" s="235" t="s">
        <v>208</v>
      </c>
      <c r="L4" s="194" t="s">
        <v>360</v>
      </c>
      <c r="M4" s="196"/>
      <c r="O4" s="235" t="s">
        <v>208</v>
      </c>
      <c r="P4" s="194" t="s">
        <v>360</v>
      </c>
      <c r="Q4" s="196"/>
    </row>
    <row r="5" spans="1:17" ht="17.25" thickBot="1">
      <c r="A5" t="s">
        <v>275</v>
      </c>
      <c r="B5" t="s">
        <v>230</v>
      </c>
      <c r="C5">
        <v>351400</v>
      </c>
      <c r="D5" s="90">
        <v>-4.5627376400000003E-2</v>
      </c>
      <c r="E5" s="67"/>
      <c r="F5" s="67"/>
      <c r="G5" s="223"/>
      <c r="H5" s="224"/>
      <c r="I5" s="225"/>
      <c r="K5" s="223"/>
      <c r="L5" s="75" t="s">
        <v>206</v>
      </c>
      <c r="M5" s="76" t="s">
        <v>207</v>
      </c>
      <c r="O5" s="223"/>
      <c r="P5" s="75" t="s">
        <v>206</v>
      </c>
      <c r="Q5" s="76" t="s">
        <v>207</v>
      </c>
    </row>
    <row r="6" spans="1:17" ht="17.25" thickBot="1">
      <c r="A6" t="s">
        <v>276</v>
      </c>
      <c r="B6" t="s">
        <v>212</v>
      </c>
      <c r="C6">
        <v>1825</v>
      </c>
      <c r="D6" s="90">
        <v>-3.6939314000000001E-2</v>
      </c>
      <c r="E6" s="67"/>
      <c r="F6" s="67"/>
      <c r="G6" s="105" t="s">
        <v>69</v>
      </c>
      <c r="H6" s="195" t="s">
        <v>67</v>
      </c>
      <c r="I6" s="196"/>
      <c r="K6" s="107" t="s">
        <v>122</v>
      </c>
      <c r="L6" s="77">
        <f t="shared" ref="L6:L15" si="0">_xlfn.IFNA(VLOOKUP(K6, $B$1:$D$200, 2, FALSE), "")</f>
        <v>24.3</v>
      </c>
      <c r="M6" s="78">
        <f t="shared" ref="M6:M15" si="1">_xlfn.IFNA(VLOOKUP(K6, $B$1:$D$200, 3, FALSE), "")</f>
        <v>-0.13523131669999999</v>
      </c>
      <c r="O6" s="108" t="s">
        <v>164</v>
      </c>
      <c r="P6" s="77">
        <f>_xlfn.IFNA(VLOOKUP(O6, $B$1:$D$200, 2, FALSE), "")</f>
        <v>27.5</v>
      </c>
      <c r="Q6" s="78">
        <f>_xlfn.IFNA(VLOOKUP(O6, $B$1:$D$200, 3, FALSE), "")</f>
        <v>-6.4625850299999996E-2</v>
      </c>
    </row>
    <row r="7" spans="1:17">
      <c r="A7" t="s">
        <v>217</v>
      </c>
      <c r="B7" t="s">
        <v>218</v>
      </c>
      <c r="C7">
        <v>47000</v>
      </c>
      <c r="D7" s="90">
        <v>-7.2612470400000004E-2</v>
      </c>
      <c r="E7" s="67"/>
      <c r="F7" s="67"/>
      <c r="G7" s="246">
        <f>_xlfn.IFNA(VLOOKUP(G4, $B$1:$D$200, 3, FALSE), "-")</f>
        <v>-2.5395608300000001E-2</v>
      </c>
      <c r="H7" s="248">
        <f>_xlfn.IFNA(VLOOKUP(G4, $B$1:$D$200, 2, FALSE), "-")</f>
        <v>73722000</v>
      </c>
      <c r="I7" s="249"/>
      <c r="K7" s="108" t="s">
        <v>152</v>
      </c>
      <c r="L7" s="77">
        <f t="shared" si="0"/>
        <v>97.5</v>
      </c>
      <c r="M7" s="78">
        <f t="shared" si="1"/>
        <v>-8.0188679200000001E-2</v>
      </c>
      <c r="O7" s="108" t="s">
        <v>108</v>
      </c>
      <c r="P7" s="77">
        <f t="shared" ref="P7:P15" si="2">_xlfn.IFNA(VLOOKUP(O7, $B$1:$D$200, 2, FALSE), "")</f>
        <v>36.1</v>
      </c>
      <c r="Q7" s="78">
        <f t="shared" ref="Q7:Q15" si="3">_xlfn.IFNA(VLOOKUP(O7, $B$1:$D$200, 3, FALSE), "")</f>
        <v>-0.05</v>
      </c>
    </row>
    <row r="8" spans="1:17" ht="17.25" thickBot="1">
      <c r="A8" t="s">
        <v>277</v>
      </c>
      <c r="B8" t="s">
        <v>219</v>
      </c>
      <c r="C8">
        <v>11320</v>
      </c>
      <c r="D8" s="90">
        <v>-4.3975374000000001E-3</v>
      </c>
      <c r="E8" s="67"/>
      <c r="F8" s="67"/>
      <c r="G8" s="247"/>
      <c r="H8" s="250"/>
      <c r="I8" s="251"/>
      <c r="K8" s="108" t="s">
        <v>103</v>
      </c>
      <c r="L8" s="77">
        <f t="shared" si="0"/>
        <v>100</v>
      </c>
      <c r="M8" s="78">
        <f t="shared" si="1"/>
        <v>-9.9009900999999997E-3</v>
      </c>
      <c r="O8" s="108" t="s">
        <v>137</v>
      </c>
      <c r="P8" s="77">
        <f t="shared" si="2"/>
        <v>22.6</v>
      </c>
      <c r="Q8" s="78">
        <f t="shared" si="3"/>
        <v>-6.22406639E-2</v>
      </c>
    </row>
    <row r="9" spans="1:17" ht="17.25" thickBot="1">
      <c r="A9" t="s">
        <v>278</v>
      </c>
      <c r="B9" t="s">
        <v>220</v>
      </c>
      <c r="C9">
        <v>261</v>
      </c>
      <c r="D9" s="90">
        <v>-8.4210526300000005E-2</v>
      </c>
      <c r="E9" s="67"/>
      <c r="F9" s="67"/>
      <c r="K9" s="108" t="s">
        <v>131</v>
      </c>
      <c r="L9" s="77">
        <f t="shared" si="0"/>
        <v>91.7</v>
      </c>
      <c r="M9" s="78">
        <f t="shared" si="1"/>
        <v>-6.2372188100000003E-2</v>
      </c>
      <c r="O9" s="108" t="s">
        <v>126</v>
      </c>
      <c r="P9" s="77">
        <f t="shared" si="2"/>
        <v>70</v>
      </c>
      <c r="Q9" s="78">
        <f t="shared" si="3"/>
        <v>-7.6517150399999997E-2</v>
      </c>
    </row>
    <row r="10" spans="1:17" ht="17.25" thickBot="1">
      <c r="A10" t="s">
        <v>279</v>
      </c>
      <c r="B10" t="s">
        <v>182</v>
      </c>
      <c r="C10">
        <v>17280</v>
      </c>
      <c r="D10" s="90">
        <v>-5.5737704899999997E-2</v>
      </c>
      <c r="E10" s="67"/>
      <c r="F10" s="67"/>
      <c r="G10" s="194" t="s">
        <v>210</v>
      </c>
      <c r="H10" s="195"/>
      <c r="I10" s="196"/>
      <c r="K10" s="108" t="s">
        <v>147</v>
      </c>
      <c r="L10" s="77">
        <f t="shared" si="0"/>
        <v>10.3</v>
      </c>
      <c r="M10" s="78">
        <f t="shared" si="1"/>
        <v>-5.5045871599999997E-2</v>
      </c>
      <c r="O10" s="108" t="s">
        <v>139</v>
      </c>
      <c r="P10" s="77">
        <f t="shared" si="2"/>
        <v>27.8</v>
      </c>
      <c r="Q10" s="78">
        <f t="shared" si="3"/>
        <v>-7.0234113700000003E-2</v>
      </c>
    </row>
    <row r="11" spans="1:17">
      <c r="A11" t="s">
        <v>244</v>
      </c>
      <c r="B11" t="s">
        <v>181</v>
      </c>
      <c r="C11">
        <v>516</v>
      </c>
      <c r="D11" s="90">
        <v>-4.9723756899999999E-2</v>
      </c>
      <c r="E11" s="67"/>
      <c r="F11" s="67"/>
      <c r="G11" s="235" t="s">
        <v>211</v>
      </c>
      <c r="H11" s="236"/>
      <c r="I11" s="237"/>
      <c r="K11" s="108" t="s">
        <v>161</v>
      </c>
      <c r="L11" s="77">
        <f t="shared" si="0"/>
        <v>23.5</v>
      </c>
      <c r="M11" s="78">
        <f t="shared" si="1"/>
        <v>-6.3745019900000005E-2</v>
      </c>
      <c r="O11" s="108" t="s">
        <v>149</v>
      </c>
      <c r="P11" s="77">
        <f t="shared" si="2"/>
        <v>45.2</v>
      </c>
      <c r="Q11" s="78">
        <f t="shared" si="3"/>
        <v>-7.5664621700000004E-2</v>
      </c>
    </row>
    <row r="12" spans="1:17" ht="17.25" thickBot="1">
      <c r="A12" t="s">
        <v>280</v>
      </c>
      <c r="B12" t="s">
        <v>180</v>
      </c>
      <c r="C12">
        <v>25320</v>
      </c>
      <c r="D12" s="90">
        <v>1.6459253300000001E-2</v>
      </c>
      <c r="E12" s="67"/>
      <c r="F12" s="67"/>
      <c r="G12" s="223"/>
      <c r="H12" s="224"/>
      <c r="I12" s="225"/>
      <c r="K12" s="108" t="s">
        <v>140</v>
      </c>
      <c r="L12" s="77">
        <f t="shared" si="0"/>
        <v>25.2</v>
      </c>
      <c r="M12" s="78">
        <f t="shared" si="1"/>
        <v>-6.6666666700000002E-2</v>
      </c>
      <c r="O12" s="108" t="s">
        <v>169</v>
      </c>
      <c r="P12" s="77">
        <f t="shared" si="2"/>
        <v>59.2</v>
      </c>
      <c r="Q12" s="78">
        <f t="shared" si="3"/>
        <v>-0.1084337349</v>
      </c>
    </row>
    <row r="13" spans="1:17" ht="17.25" thickBot="1">
      <c r="A13" t="s">
        <v>281</v>
      </c>
      <c r="B13" t="s">
        <v>282</v>
      </c>
      <c r="C13">
        <v>7365</v>
      </c>
      <c r="D13" s="90">
        <v>-4.0390879499999997E-2</v>
      </c>
      <c r="E13" s="67"/>
      <c r="F13" s="67"/>
      <c r="G13" s="105" t="s">
        <v>69</v>
      </c>
      <c r="H13" s="195" t="s">
        <v>67</v>
      </c>
      <c r="I13" s="196"/>
      <c r="K13" s="108" t="s">
        <v>135</v>
      </c>
      <c r="L13" s="77">
        <f t="shared" si="0"/>
        <v>31.2</v>
      </c>
      <c r="M13" s="78">
        <f t="shared" si="1"/>
        <v>-7.1428571400000002E-2</v>
      </c>
      <c r="O13" s="108" t="s">
        <v>95</v>
      </c>
      <c r="P13" s="77">
        <f t="shared" si="2"/>
        <v>35.4</v>
      </c>
      <c r="Q13" s="78">
        <f t="shared" si="3"/>
        <v>-0.1386861314</v>
      </c>
    </row>
    <row r="14" spans="1:17">
      <c r="A14" t="s">
        <v>245</v>
      </c>
      <c r="B14" t="s">
        <v>179</v>
      </c>
      <c r="C14">
        <v>1355</v>
      </c>
      <c r="D14" s="90">
        <v>-3.55871886E-2</v>
      </c>
      <c r="E14" s="67"/>
      <c r="F14" s="67"/>
      <c r="G14" s="246">
        <f>_xlfn.IFNA(VLOOKUP(G11, $B$1:$D$200, 3, FALSE), "-")</f>
        <v>-2.5395608300000001E-2</v>
      </c>
      <c r="H14" s="248">
        <f>_xlfn.IFNA(VLOOKUP(G11, $B$1:$D$200, 2, FALSE), "-")</f>
        <v>73722000</v>
      </c>
      <c r="I14" s="249"/>
      <c r="K14" s="108" t="s">
        <v>150</v>
      </c>
      <c r="L14" s="77">
        <f t="shared" si="0"/>
        <v>83.2</v>
      </c>
      <c r="M14" s="78">
        <f t="shared" si="1"/>
        <v>-6.9351230400000005E-2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283</v>
      </c>
      <c r="B15" t="s">
        <v>178</v>
      </c>
      <c r="C15">
        <v>673</v>
      </c>
      <c r="D15" s="90">
        <v>-5.6100981799999998E-2</v>
      </c>
      <c r="E15" s="67"/>
      <c r="F15" s="67"/>
      <c r="G15" s="247"/>
      <c r="H15" s="250"/>
      <c r="I15" s="251"/>
      <c r="K15" s="106" t="s">
        <v>100</v>
      </c>
      <c r="L15" s="79">
        <f t="shared" si="0"/>
        <v>32.200000000000003</v>
      </c>
      <c r="M15" s="80">
        <f t="shared" si="1"/>
        <v>-6.6666666700000002E-2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246</v>
      </c>
      <c r="B16" t="s">
        <v>177</v>
      </c>
      <c r="C16">
        <v>493</v>
      </c>
      <c r="D16" s="90">
        <v>-4.8262548299999999E-2</v>
      </c>
      <c r="E16" s="67"/>
      <c r="F16" s="67"/>
      <c r="G16" s="67"/>
      <c r="H16" s="67"/>
      <c r="I16" s="67"/>
    </row>
    <row r="17" spans="1:17" ht="17.25" thickBot="1">
      <c r="A17" t="s">
        <v>247</v>
      </c>
      <c r="B17" t="s">
        <v>176</v>
      </c>
      <c r="C17">
        <v>3800</v>
      </c>
      <c r="D17" s="90">
        <v>-3.0612244899999998E-2</v>
      </c>
      <c r="E17" s="67"/>
      <c r="F17" s="67"/>
      <c r="G17" s="67"/>
      <c r="H17" s="67"/>
      <c r="I17" s="67"/>
    </row>
    <row r="18" spans="1:17" ht="17.25" thickBot="1">
      <c r="A18" t="s">
        <v>284</v>
      </c>
      <c r="B18" t="s">
        <v>285</v>
      </c>
      <c r="C18">
        <v>2775</v>
      </c>
      <c r="D18" s="90">
        <v>-1.9434628999999998E-2</v>
      </c>
      <c r="E18" s="67"/>
      <c r="F18" s="67"/>
      <c r="G18" s="194" t="s">
        <v>81</v>
      </c>
      <c r="H18" s="195"/>
      <c r="I18" s="196"/>
      <c r="K18" s="194" t="s">
        <v>85</v>
      </c>
      <c r="L18" s="195"/>
      <c r="M18" s="196"/>
      <c r="O18" s="194" t="s">
        <v>86</v>
      </c>
      <c r="P18" s="195"/>
      <c r="Q18" s="196"/>
    </row>
    <row r="19" spans="1:17" ht="17.25" thickBot="1">
      <c r="A19" t="s">
        <v>286</v>
      </c>
      <c r="B19" t="s">
        <v>287</v>
      </c>
      <c r="C19">
        <v>2600</v>
      </c>
      <c r="D19" s="90">
        <v>-5.1094890499999997E-2</v>
      </c>
      <c r="E19" s="67"/>
      <c r="F19" s="67"/>
      <c r="G19" s="235" t="s">
        <v>208</v>
      </c>
      <c r="H19" s="194" t="s">
        <v>360</v>
      </c>
      <c r="I19" s="196"/>
      <c r="K19" s="235" t="s">
        <v>208</v>
      </c>
      <c r="L19" s="194" t="s">
        <v>360</v>
      </c>
      <c r="M19" s="196"/>
      <c r="O19" s="235" t="s">
        <v>208</v>
      </c>
      <c r="P19" s="194" t="s">
        <v>360</v>
      </c>
      <c r="Q19" s="196"/>
    </row>
    <row r="20" spans="1:17" ht="17.25" thickBot="1">
      <c r="A20" t="s">
        <v>248</v>
      </c>
      <c r="B20" t="s">
        <v>175</v>
      </c>
      <c r="C20">
        <v>1865</v>
      </c>
      <c r="D20" s="90">
        <v>1.9125683099999999E-2</v>
      </c>
      <c r="E20" s="67"/>
      <c r="F20" s="67"/>
      <c r="G20" s="223"/>
      <c r="H20" s="75" t="s">
        <v>206</v>
      </c>
      <c r="I20" s="76" t="s">
        <v>207</v>
      </c>
      <c r="K20" s="223"/>
      <c r="L20" s="75" t="s">
        <v>206</v>
      </c>
      <c r="M20" s="76" t="s">
        <v>207</v>
      </c>
      <c r="O20" s="223"/>
      <c r="P20" s="75" t="s">
        <v>206</v>
      </c>
      <c r="Q20" s="76" t="s">
        <v>207</v>
      </c>
    </row>
    <row r="21" spans="1:17">
      <c r="A21" t="s">
        <v>288</v>
      </c>
      <c r="B21" t="s">
        <v>289</v>
      </c>
      <c r="C21">
        <v>57210</v>
      </c>
      <c r="D21" s="90">
        <v>-6.5043307699999997E-2</v>
      </c>
      <c r="E21" s="67"/>
      <c r="F21" s="67"/>
      <c r="G21" s="107" t="s">
        <v>94</v>
      </c>
      <c r="H21" s="77">
        <f t="shared" ref="H21:H30" si="4">_xlfn.IFNA(VLOOKUP(G21, $B$1:$D$200, 2, FALSE), "")</f>
        <v>518</v>
      </c>
      <c r="I21" s="78">
        <f t="shared" ref="I21:I30" si="5">_xlfn.IFNA(VLOOKUP(G21, $B$1:$D$200, 3, FALSE), "")</f>
        <v>0.1935483871</v>
      </c>
      <c r="K21" s="107" t="s">
        <v>94</v>
      </c>
      <c r="L21" s="77">
        <f t="shared" ref="L21:L30" si="6">_xlfn.IFNA(VLOOKUP(K21, $B$1:$D$200, 2, FALSE), "")</f>
        <v>518</v>
      </c>
      <c r="M21" s="78">
        <f t="shared" ref="M21:M30" si="7">_xlfn.IFNA(VLOOKUP(K21, $B$1:$D$200, 3, FALSE), "")</f>
        <v>0.1935483871</v>
      </c>
      <c r="O21" s="108" t="s">
        <v>154</v>
      </c>
      <c r="P21" s="77">
        <f>_xlfn.IFNA(VLOOKUP(O21, $B$1:$D$200, 2, FALSE), "")</f>
        <v>259</v>
      </c>
      <c r="Q21" s="78">
        <f>_xlfn.IFNA(VLOOKUP(O21, $B$1:$D$200, 3, FALSE), "")</f>
        <v>-4.7794117599999998E-2</v>
      </c>
    </row>
    <row r="22" spans="1:17">
      <c r="A22" t="s">
        <v>249</v>
      </c>
      <c r="B22" t="s">
        <v>174</v>
      </c>
      <c r="C22">
        <v>581</v>
      </c>
      <c r="D22" s="90">
        <v>-6.1389337600000003E-2</v>
      </c>
      <c r="E22" s="67"/>
      <c r="F22" s="67"/>
      <c r="G22" s="108" t="s">
        <v>122</v>
      </c>
      <c r="H22" s="77">
        <f t="shared" si="4"/>
        <v>24.3</v>
      </c>
      <c r="I22" s="78">
        <f t="shared" si="5"/>
        <v>-0.13523131669999999</v>
      </c>
      <c r="K22" s="108" t="s">
        <v>146</v>
      </c>
      <c r="L22" s="77">
        <f t="shared" si="6"/>
        <v>213</v>
      </c>
      <c r="M22" s="78">
        <f t="shared" si="7"/>
        <v>-8.5836909899999994E-2</v>
      </c>
      <c r="O22" s="108" t="s">
        <v>101</v>
      </c>
      <c r="P22" s="77">
        <f t="shared" ref="P22:P30" si="8">_xlfn.IFNA(VLOOKUP(O22, $B$1:$D$200, 2, FALSE), "")</f>
        <v>228</v>
      </c>
      <c r="Q22" s="78">
        <f t="shared" ref="Q22:Q30" si="9">_xlfn.IFNA(VLOOKUP(O22, $B$1:$D$200, 3, FALSE), "")</f>
        <v>4.4052863000000001E-3</v>
      </c>
    </row>
    <row r="23" spans="1:17">
      <c r="A23" t="s">
        <v>290</v>
      </c>
      <c r="B23" t="s">
        <v>291</v>
      </c>
      <c r="C23">
        <v>1640</v>
      </c>
      <c r="D23" s="90">
        <v>-4.3731778399999997E-2</v>
      </c>
      <c r="E23" s="67"/>
      <c r="F23" s="67"/>
      <c r="G23" s="108" t="s">
        <v>146</v>
      </c>
      <c r="H23" s="77">
        <f t="shared" si="4"/>
        <v>213</v>
      </c>
      <c r="I23" s="78">
        <f t="shared" si="5"/>
        <v>-8.5836909899999994E-2</v>
      </c>
      <c r="K23" s="108" t="s">
        <v>129</v>
      </c>
      <c r="L23" s="77">
        <f t="shared" si="6"/>
        <v>322</v>
      </c>
      <c r="M23" s="78">
        <f t="shared" si="7"/>
        <v>-6.6666666700000002E-2</v>
      </c>
      <c r="O23" s="108" t="s">
        <v>170</v>
      </c>
      <c r="P23" s="77">
        <f t="shared" si="8"/>
        <v>182</v>
      </c>
      <c r="Q23" s="78">
        <f t="shared" si="9"/>
        <v>-6.1855670100000003E-2</v>
      </c>
    </row>
    <row r="24" spans="1:17">
      <c r="A24" t="s">
        <v>250</v>
      </c>
      <c r="B24" t="s">
        <v>173</v>
      </c>
      <c r="C24">
        <v>10750</v>
      </c>
      <c r="D24" s="90">
        <v>-3.5874439500000001E-2</v>
      </c>
      <c r="E24" s="67"/>
      <c r="F24" s="67"/>
      <c r="G24" s="108" t="s">
        <v>262</v>
      </c>
      <c r="H24" s="77">
        <f t="shared" si="4"/>
        <v>24510</v>
      </c>
      <c r="I24" s="78">
        <f t="shared" si="5"/>
        <v>-8.8169642899999998E-2</v>
      </c>
      <c r="K24" s="108" t="s">
        <v>125</v>
      </c>
      <c r="L24" s="77">
        <f t="shared" si="6"/>
        <v>310</v>
      </c>
      <c r="M24" s="78">
        <f t="shared" si="7"/>
        <v>3.3333333299999997E-2</v>
      </c>
      <c r="O24" s="108" t="s">
        <v>112</v>
      </c>
      <c r="P24" s="77">
        <f t="shared" si="8"/>
        <v>578</v>
      </c>
      <c r="Q24" s="78">
        <f t="shared" si="9"/>
        <v>-3.8269550700000002E-2</v>
      </c>
    </row>
    <row r="25" spans="1:17">
      <c r="A25" t="s">
        <v>292</v>
      </c>
      <c r="B25" t="s">
        <v>172</v>
      </c>
      <c r="C25">
        <v>589</v>
      </c>
      <c r="D25" s="90">
        <v>-2.1594684400000001E-2</v>
      </c>
      <c r="E25" s="67"/>
      <c r="F25" s="67"/>
      <c r="G25" s="108" t="s">
        <v>218</v>
      </c>
      <c r="H25" s="77">
        <f t="shared" si="4"/>
        <v>47000</v>
      </c>
      <c r="I25" s="78">
        <f t="shared" si="5"/>
        <v>-7.2612470400000004E-2</v>
      </c>
      <c r="K25" s="108" t="s">
        <v>130</v>
      </c>
      <c r="L25" s="77">
        <f t="shared" si="6"/>
        <v>199</v>
      </c>
      <c r="M25" s="78">
        <f t="shared" si="7"/>
        <v>-2.92682927E-2</v>
      </c>
      <c r="O25" s="108" t="s">
        <v>167</v>
      </c>
      <c r="P25" s="77">
        <f t="shared" si="8"/>
        <v>492</v>
      </c>
      <c r="Q25" s="78">
        <f t="shared" si="9"/>
        <v>-2.95857988E-2</v>
      </c>
    </row>
    <row r="26" spans="1:17">
      <c r="A26" t="s">
        <v>293</v>
      </c>
      <c r="B26" t="s">
        <v>171</v>
      </c>
      <c r="C26">
        <v>121900</v>
      </c>
      <c r="D26" s="90">
        <v>-7.0175438600000001E-2</v>
      </c>
      <c r="E26" s="67"/>
      <c r="F26" s="67"/>
      <c r="G26" s="108" t="s">
        <v>129</v>
      </c>
      <c r="H26" s="77">
        <f t="shared" si="4"/>
        <v>322</v>
      </c>
      <c r="I26" s="78">
        <f t="shared" si="5"/>
        <v>-6.6666666700000002E-2</v>
      </c>
      <c r="K26" s="108" t="s">
        <v>121</v>
      </c>
      <c r="L26" s="77">
        <f t="shared" si="6"/>
        <v>309</v>
      </c>
      <c r="M26" s="78">
        <f t="shared" si="7"/>
        <v>1.3114754100000001E-2</v>
      </c>
      <c r="O26" s="108" t="s">
        <v>99</v>
      </c>
      <c r="P26" s="77">
        <f t="shared" si="8"/>
        <v>223</v>
      </c>
      <c r="Q26" s="78">
        <f t="shared" si="9"/>
        <v>-3.46320346E-2</v>
      </c>
    </row>
    <row r="27" spans="1:17">
      <c r="A27" t="s">
        <v>294</v>
      </c>
      <c r="B27" t="s">
        <v>251</v>
      </c>
      <c r="C27">
        <v>3085</v>
      </c>
      <c r="D27" s="90">
        <v>-2.68138801E-2</v>
      </c>
      <c r="E27" s="67"/>
      <c r="F27" s="67"/>
      <c r="G27" s="108" t="s">
        <v>152</v>
      </c>
      <c r="H27" s="77">
        <f t="shared" si="4"/>
        <v>97.5</v>
      </c>
      <c r="I27" s="78">
        <f t="shared" si="5"/>
        <v>-8.0188679200000001E-2</v>
      </c>
      <c r="K27" s="108" t="s">
        <v>144</v>
      </c>
      <c r="L27" s="77">
        <f t="shared" si="6"/>
        <v>420</v>
      </c>
      <c r="M27" s="78">
        <f t="shared" si="7"/>
        <v>-1.8691588799999999E-2</v>
      </c>
      <c r="O27" s="108" t="s">
        <v>172</v>
      </c>
      <c r="P27" s="77">
        <f t="shared" si="8"/>
        <v>589</v>
      </c>
      <c r="Q27" s="78">
        <f t="shared" si="9"/>
        <v>-2.1594684400000001E-2</v>
      </c>
    </row>
    <row r="28" spans="1:17">
      <c r="A28" t="s">
        <v>295</v>
      </c>
      <c r="B28" t="s">
        <v>231</v>
      </c>
      <c r="C28">
        <v>9150</v>
      </c>
      <c r="D28" s="90">
        <v>-8.5000000000000006E-2</v>
      </c>
      <c r="E28" s="67"/>
      <c r="F28" s="67"/>
      <c r="G28" s="108" t="s">
        <v>228</v>
      </c>
      <c r="H28" s="77">
        <f t="shared" si="4"/>
        <v>2897000</v>
      </c>
      <c r="I28" s="78">
        <f t="shared" si="5"/>
        <v>-3.7861175699999999E-2</v>
      </c>
      <c r="K28" s="108" t="s">
        <v>133</v>
      </c>
      <c r="L28" s="77">
        <f t="shared" si="6"/>
        <v>395</v>
      </c>
      <c r="M28" s="78">
        <f t="shared" si="7"/>
        <v>-5.2757793800000001E-2</v>
      </c>
      <c r="O28" s="108" t="s">
        <v>177</v>
      </c>
      <c r="P28" s="77">
        <f t="shared" si="8"/>
        <v>493</v>
      </c>
      <c r="Q28" s="78">
        <f t="shared" si="9"/>
        <v>-4.8262548299999999E-2</v>
      </c>
    </row>
    <row r="29" spans="1:17">
      <c r="A29" t="s">
        <v>296</v>
      </c>
      <c r="B29" t="s">
        <v>170</v>
      </c>
      <c r="C29">
        <v>182</v>
      </c>
      <c r="D29" s="90">
        <v>-6.1855670100000003E-2</v>
      </c>
      <c r="E29" s="67"/>
      <c r="F29" s="67"/>
      <c r="G29" s="108" t="s">
        <v>240</v>
      </c>
      <c r="H29" s="77">
        <f t="shared" si="4"/>
        <v>51270</v>
      </c>
      <c r="I29" s="78">
        <f t="shared" si="5"/>
        <v>-2.8793332099999999E-2</v>
      </c>
      <c r="K29" s="108" t="s">
        <v>104</v>
      </c>
      <c r="L29" s="77">
        <f t="shared" si="6"/>
        <v>637</v>
      </c>
      <c r="M29" s="78">
        <f t="shared" si="7"/>
        <v>3.1496063000000002E-3</v>
      </c>
      <c r="O29" s="108" t="s">
        <v>138</v>
      </c>
      <c r="P29" s="77">
        <f t="shared" si="8"/>
        <v>351</v>
      </c>
      <c r="Q29" s="78">
        <f t="shared" si="9"/>
        <v>5.7306589999999999E-3</v>
      </c>
    </row>
    <row r="30" spans="1:17" ht="17.25" thickBot="1">
      <c r="A30" t="s">
        <v>297</v>
      </c>
      <c r="B30" t="s">
        <v>169</v>
      </c>
      <c r="C30">
        <v>59.2</v>
      </c>
      <c r="D30" s="90">
        <v>-0.1084337349</v>
      </c>
      <c r="E30" s="67"/>
      <c r="F30" s="67"/>
      <c r="G30" s="106" t="s">
        <v>125</v>
      </c>
      <c r="H30" s="79">
        <f t="shared" si="4"/>
        <v>310</v>
      </c>
      <c r="I30" s="80">
        <f t="shared" si="5"/>
        <v>3.3333333299999997E-2</v>
      </c>
      <c r="K30" s="106" t="s">
        <v>142</v>
      </c>
      <c r="L30" s="79">
        <f t="shared" si="6"/>
        <v>211</v>
      </c>
      <c r="M30" s="80">
        <f t="shared" si="7"/>
        <v>-4.9549549499999998E-2</v>
      </c>
      <c r="O30" s="106" t="s">
        <v>102</v>
      </c>
      <c r="P30" s="79">
        <f t="shared" si="8"/>
        <v>148</v>
      </c>
      <c r="Q30" s="80">
        <f t="shared" si="9"/>
        <v>-2.6315789499999999E-2</v>
      </c>
    </row>
    <row r="31" spans="1:17">
      <c r="A31" t="s">
        <v>298</v>
      </c>
      <c r="B31" t="s">
        <v>168</v>
      </c>
      <c r="C31">
        <v>194</v>
      </c>
      <c r="D31" s="90">
        <v>-5.8252427199999998E-2</v>
      </c>
      <c r="E31" s="67"/>
      <c r="F31" s="67"/>
      <c r="G31" s="67"/>
      <c r="H31" s="67"/>
      <c r="I31" s="67"/>
    </row>
    <row r="32" spans="1:17">
      <c r="A32" t="s">
        <v>252</v>
      </c>
      <c r="B32" t="s">
        <v>253</v>
      </c>
      <c r="C32">
        <v>2955</v>
      </c>
      <c r="D32" s="90">
        <v>-8.0870917599999995E-2</v>
      </c>
      <c r="E32" s="67"/>
      <c r="F32" s="67"/>
      <c r="G32" s="67"/>
      <c r="H32" s="67"/>
      <c r="I32" s="67"/>
    </row>
    <row r="33" spans="1:9">
      <c r="A33" t="s">
        <v>254</v>
      </c>
      <c r="B33" t="s">
        <v>154</v>
      </c>
      <c r="C33">
        <v>259</v>
      </c>
      <c r="D33" s="90">
        <v>-4.7794117599999998E-2</v>
      </c>
      <c r="E33" s="67"/>
      <c r="F33" s="67"/>
      <c r="G33" s="67"/>
      <c r="H33" s="67"/>
      <c r="I33" s="67"/>
    </row>
    <row r="34" spans="1:9">
      <c r="A34" t="s">
        <v>299</v>
      </c>
      <c r="B34" t="s">
        <v>167</v>
      </c>
      <c r="C34">
        <v>492</v>
      </c>
      <c r="D34" s="90">
        <v>-2.95857988E-2</v>
      </c>
      <c r="E34" s="67"/>
      <c r="F34" s="67"/>
      <c r="G34" s="67"/>
      <c r="H34" s="67"/>
      <c r="I34" s="67"/>
    </row>
    <row r="35" spans="1:9">
      <c r="A35" t="s">
        <v>255</v>
      </c>
      <c r="B35" t="s">
        <v>156</v>
      </c>
      <c r="C35">
        <v>2315</v>
      </c>
      <c r="D35" s="90">
        <v>-1.6985138E-2</v>
      </c>
      <c r="E35" s="67"/>
      <c r="F35" s="67"/>
      <c r="G35" s="67"/>
      <c r="H35" s="67"/>
      <c r="I35" s="67"/>
    </row>
    <row r="36" spans="1:9">
      <c r="A36" t="s">
        <v>256</v>
      </c>
      <c r="B36" t="s">
        <v>166</v>
      </c>
      <c r="C36">
        <v>205</v>
      </c>
      <c r="D36" s="90">
        <v>-9.6618356999999995E-3</v>
      </c>
      <c r="E36" s="67"/>
      <c r="F36" s="67"/>
      <c r="G36" s="67"/>
      <c r="H36" s="67"/>
      <c r="I36" s="67"/>
    </row>
    <row r="37" spans="1:9">
      <c r="A37" t="s">
        <v>300</v>
      </c>
      <c r="B37" t="s">
        <v>232</v>
      </c>
      <c r="C37">
        <v>1235500</v>
      </c>
      <c r="D37" s="90">
        <v>-5.6870229000000001E-2</v>
      </c>
      <c r="E37" s="67"/>
      <c r="F37" s="67"/>
      <c r="G37" s="67"/>
      <c r="H37" s="67"/>
      <c r="I37" s="67"/>
    </row>
    <row r="38" spans="1:9">
      <c r="A38" t="s">
        <v>301</v>
      </c>
      <c r="B38" t="s">
        <v>302</v>
      </c>
      <c r="C38">
        <v>1595</v>
      </c>
      <c r="D38" s="90">
        <v>-5.3412462899999999E-2</v>
      </c>
      <c r="E38" s="67"/>
      <c r="F38" s="67"/>
      <c r="G38" s="67"/>
      <c r="H38" s="67"/>
      <c r="I38" s="67"/>
    </row>
    <row r="39" spans="1:9">
      <c r="A39" t="s">
        <v>303</v>
      </c>
      <c r="B39" t="s">
        <v>304</v>
      </c>
      <c r="C39">
        <v>1700</v>
      </c>
      <c r="D39" s="90">
        <v>-6.3360881499999994E-2</v>
      </c>
      <c r="E39" s="67"/>
      <c r="F39" s="67"/>
      <c r="G39" s="67"/>
      <c r="H39" s="67"/>
      <c r="I39" s="67"/>
    </row>
    <row r="40" spans="1:9">
      <c r="A40" t="s">
        <v>257</v>
      </c>
      <c r="B40" t="s">
        <v>152</v>
      </c>
      <c r="C40">
        <v>97.5</v>
      </c>
      <c r="D40" s="90">
        <v>-8.0188679200000001E-2</v>
      </c>
      <c r="E40" s="67"/>
      <c r="F40" s="67"/>
      <c r="G40" s="67"/>
      <c r="H40" s="67"/>
      <c r="I40" s="67"/>
    </row>
    <row r="41" spans="1:9">
      <c r="A41" t="s">
        <v>233</v>
      </c>
      <c r="B41" t="s">
        <v>165</v>
      </c>
      <c r="C41">
        <v>1435</v>
      </c>
      <c r="D41" s="90">
        <v>-2.3809523799999999E-2</v>
      </c>
      <c r="E41" s="67"/>
      <c r="F41" s="67"/>
      <c r="G41" s="67"/>
      <c r="H41" s="67"/>
      <c r="I41" s="67"/>
    </row>
    <row r="42" spans="1:9">
      <c r="A42" t="s">
        <v>258</v>
      </c>
      <c r="B42" t="s">
        <v>164</v>
      </c>
      <c r="C42">
        <v>27.5</v>
      </c>
      <c r="D42" s="90">
        <v>-6.4625850299999996E-2</v>
      </c>
      <c r="E42" s="67"/>
      <c r="F42" s="67"/>
      <c r="G42" s="67"/>
      <c r="H42" s="67"/>
      <c r="I42" s="67"/>
    </row>
    <row r="43" spans="1:9">
      <c r="A43" t="s">
        <v>234</v>
      </c>
      <c r="B43" t="s">
        <v>163</v>
      </c>
      <c r="C43">
        <v>729</v>
      </c>
      <c r="D43" s="90">
        <v>-4.3307086600000003E-2</v>
      </c>
      <c r="E43" s="67"/>
      <c r="F43" s="67"/>
      <c r="G43" s="67"/>
      <c r="H43" s="67"/>
      <c r="I43" s="67"/>
    </row>
    <row r="44" spans="1:9">
      <c r="A44" t="s">
        <v>259</v>
      </c>
      <c r="B44" t="s">
        <v>95</v>
      </c>
      <c r="C44">
        <v>35.4</v>
      </c>
      <c r="D44" s="90">
        <v>-0.1386861314</v>
      </c>
      <c r="E44" s="67"/>
      <c r="F44" s="67"/>
      <c r="G44" s="67"/>
      <c r="H44" s="67"/>
      <c r="I44" s="67"/>
    </row>
    <row r="45" spans="1:9">
      <c r="A45" t="s">
        <v>260</v>
      </c>
      <c r="B45" t="s">
        <v>162</v>
      </c>
      <c r="C45">
        <v>3135</v>
      </c>
      <c r="D45" s="90">
        <v>-4.5662100499999997E-2</v>
      </c>
      <c r="E45" s="67"/>
      <c r="F45" s="67"/>
      <c r="G45" s="67"/>
      <c r="H45" s="67"/>
      <c r="I45" s="67"/>
    </row>
    <row r="46" spans="1:9">
      <c r="A46" t="s">
        <v>305</v>
      </c>
      <c r="B46" t="s">
        <v>161</v>
      </c>
      <c r="C46">
        <v>23.5</v>
      </c>
      <c r="D46" s="90">
        <v>-6.3745019900000005E-2</v>
      </c>
      <c r="E46" s="67"/>
      <c r="F46" s="67"/>
      <c r="G46" s="67"/>
      <c r="H46" s="67"/>
      <c r="I46" s="67"/>
    </row>
    <row r="47" spans="1:9">
      <c r="A47" t="s">
        <v>160</v>
      </c>
      <c r="B47" t="s">
        <v>159</v>
      </c>
      <c r="C47">
        <v>1560</v>
      </c>
      <c r="D47" s="90">
        <v>-0.10086455330000001</v>
      </c>
      <c r="E47" s="67"/>
      <c r="F47" s="67"/>
      <c r="G47" s="67"/>
      <c r="H47" s="67"/>
      <c r="I47" s="67"/>
    </row>
    <row r="48" spans="1:9">
      <c r="A48" t="s">
        <v>261</v>
      </c>
      <c r="B48" t="s">
        <v>262</v>
      </c>
      <c r="C48">
        <v>24510</v>
      </c>
      <c r="D48" s="90">
        <v>-8.8169642899999998E-2</v>
      </c>
      <c r="E48" s="67"/>
      <c r="F48" s="67"/>
      <c r="G48" s="67"/>
      <c r="H48" s="67"/>
      <c r="I48" s="67"/>
    </row>
    <row r="49" spans="1:9">
      <c r="A49" t="s">
        <v>306</v>
      </c>
      <c r="B49" t="s">
        <v>158</v>
      </c>
      <c r="C49">
        <v>204</v>
      </c>
      <c r="D49" s="90">
        <v>-4.6728972000000001E-2</v>
      </c>
      <c r="E49" s="67"/>
      <c r="F49" s="67"/>
      <c r="G49" s="67"/>
      <c r="H49" s="67"/>
      <c r="I49" s="67"/>
    </row>
    <row r="50" spans="1:9">
      <c r="A50" t="s">
        <v>157</v>
      </c>
      <c r="B50" t="s">
        <v>148</v>
      </c>
      <c r="C50">
        <v>605</v>
      </c>
      <c r="D50" s="90">
        <v>-5.3208137699999998E-2</v>
      </c>
      <c r="E50" s="67"/>
      <c r="F50" s="67"/>
      <c r="G50" s="67"/>
      <c r="H50" s="67"/>
      <c r="I50" s="67"/>
    </row>
    <row r="51" spans="1:9">
      <c r="A51" t="s">
        <v>263</v>
      </c>
      <c r="B51" t="s">
        <v>155</v>
      </c>
      <c r="C51">
        <v>3840</v>
      </c>
      <c r="D51" s="90">
        <v>-5.8823529399999998E-2</v>
      </c>
      <c r="E51" s="67"/>
      <c r="F51" s="67"/>
      <c r="G51" s="67"/>
      <c r="H51" s="67"/>
      <c r="I51" s="67"/>
    </row>
    <row r="52" spans="1:9">
      <c r="A52" t="s">
        <v>307</v>
      </c>
      <c r="B52" t="s">
        <v>153</v>
      </c>
      <c r="C52">
        <v>408550</v>
      </c>
      <c r="D52" s="90">
        <v>-9.6827677700000003E-2</v>
      </c>
      <c r="E52" s="67"/>
      <c r="F52" s="67"/>
      <c r="G52" s="67"/>
      <c r="H52" s="67"/>
      <c r="I52" s="67"/>
    </row>
    <row r="53" spans="1:9">
      <c r="A53" t="s">
        <v>308</v>
      </c>
      <c r="B53" t="s">
        <v>151</v>
      </c>
      <c r="C53">
        <v>14830</v>
      </c>
      <c r="D53" s="90">
        <v>-6.3171193900000006E-2</v>
      </c>
      <c r="E53" s="67"/>
      <c r="F53" s="67"/>
      <c r="G53" s="67"/>
      <c r="H53" s="67"/>
      <c r="I53" s="67"/>
    </row>
    <row r="54" spans="1:9">
      <c r="A54" t="s">
        <v>264</v>
      </c>
      <c r="B54" t="s">
        <v>150</v>
      </c>
      <c r="C54">
        <v>83.2</v>
      </c>
      <c r="D54" s="90">
        <v>-6.9351230400000005E-2</v>
      </c>
      <c r="E54" s="67"/>
      <c r="F54" s="67"/>
      <c r="G54" s="67"/>
      <c r="H54" s="67"/>
      <c r="I54" s="67"/>
    </row>
    <row r="55" spans="1:9">
      <c r="A55" t="s">
        <v>265</v>
      </c>
      <c r="B55" t="s">
        <v>149</v>
      </c>
      <c r="C55">
        <v>45.2</v>
      </c>
      <c r="D55" s="90">
        <v>-7.5664621700000004E-2</v>
      </c>
      <c r="E55" s="67"/>
      <c r="F55" s="67"/>
      <c r="G55" s="67"/>
      <c r="H55" s="67"/>
      <c r="I55" s="67"/>
    </row>
    <row r="56" spans="1:9">
      <c r="A56" t="s">
        <v>309</v>
      </c>
      <c r="B56" t="s">
        <v>147</v>
      </c>
      <c r="C56">
        <v>10.3</v>
      </c>
      <c r="D56" s="90">
        <v>-5.5045871599999997E-2</v>
      </c>
      <c r="E56" s="67"/>
      <c r="F56" s="67"/>
      <c r="G56" s="67"/>
      <c r="H56" s="67"/>
      <c r="I56" s="67"/>
    </row>
    <row r="57" spans="1:9">
      <c r="A57" t="s">
        <v>310</v>
      </c>
      <c r="B57" t="s">
        <v>146</v>
      </c>
      <c r="C57">
        <v>213</v>
      </c>
      <c r="D57" s="90">
        <v>-8.5836909899999994E-2</v>
      </c>
      <c r="E57" s="67"/>
      <c r="F57" s="67"/>
      <c r="G57" s="67"/>
      <c r="H57" s="67"/>
      <c r="I57" s="67"/>
    </row>
    <row r="58" spans="1:9">
      <c r="A58" t="s">
        <v>235</v>
      </c>
      <c r="B58" t="s">
        <v>145</v>
      </c>
      <c r="C58">
        <v>3435</v>
      </c>
      <c r="D58" s="90">
        <v>-5.1104972399999997E-2</v>
      </c>
      <c r="E58" s="67"/>
      <c r="F58" s="67"/>
      <c r="G58" s="67"/>
      <c r="H58" s="67"/>
      <c r="I58" s="67"/>
    </row>
    <row r="59" spans="1:9">
      <c r="A59" t="s">
        <v>311</v>
      </c>
      <c r="B59" t="s">
        <v>144</v>
      </c>
      <c r="C59">
        <v>420</v>
      </c>
      <c r="D59" s="90">
        <v>-1.8691588799999999E-2</v>
      </c>
      <c r="E59" s="67"/>
      <c r="F59" s="67"/>
      <c r="G59" s="67"/>
      <c r="H59" s="67"/>
      <c r="I59" s="67"/>
    </row>
    <row r="60" spans="1:9">
      <c r="A60" t="s">
        <v>312</v>
      </c>
      <c r="B60" t="s">
        <v>143</v>
      </c>
      <c r="C60">
        <v>1665</v>
      </c>
      <c r="D60" s="90">
        <v>-8.5164835199999997E-2</v>
      </c>
      <c r="E60" s="67"/>
      <c r="F60" s="67"/>
      <c r="G60" s="67"/>
      <c r="H60" s="67"/>
      <c r="I60" s="67"/>
    </row>
    <row r="61" spans="1:9">
      <c r="A61" t="s">
        <v>266</v>
      </c>
      <c r="B61" t="s">
        <v>142</v>
      </c>
      <c r="C61">
        <v>211</v>
      </c>
      <c r="D61" s="90">
        <v>-4.9549549499999998E-2</v>
      </c>
      <c r="E61" s="67"/>
      <c r="F61" s="67"/>
      <c r="G61" s="67"/>
      <c r="H61" s="67"/>
      <c r="I61" s="67"/>
    </row>
    <row r="62" spans="1:9">
      <c r="A62" t="s">
        <v>313</v>
      </c>
      <c r="B62" t="s">
        <v>141</v>
      </c>
      <c r="C62">
        <v>437</v>
      </c>
      <c r="D62" s="90">
        <v>4.0476190500000002E-2</v>
      </c>
      <c r="E62" s="67"/>
      <c r="F62" s="67"/>
      <c r="G62" s="67"/>
      <c r="H62" s="67"/>
      <c r="I62" s="67"/>
    </row>
    <row r="63" spans="1:9">
      <c r="A63" t="s">
        <v>314</v>
      </c>
      <c r="B63" t="s">
        <v>315</v>
      </c>
      <c r="C63">
        <v>27130</v>
      </c>
      <c r="D63" s="90">
        <v>-6.0595567900000001E-2</v>
      </c>
      <c r="E63" s="67"/>
      <c r="F63" s="67"/>
      <c r="G63" s="67"/>
      <c r="H63" s="67"/>
      <c r="I63" s="67"/>
    </row>
    <row r="64" spans="1:9">
      <c r="A64" t="s">
        <v>316</v>
      </c>
      <c r="B64" t="s">
        <v>140</v>
      </c>
      <c r="C64">
        <v>25.2</v>
      </c>
      <c r="D64" s="90">
        <v>-6.6666666700000002E-2</v>
      </c>
      <c r="E64" s="67"/>
      <c r="F64" s="67"/>
      <c r="G64" s="67"/>
      <c r="H64" s="67"/>
      <c r="I64" s="67"/>
    </row>
    <row r="65" spans="1:9">
      <c r="A65" t="s">
        <v>317</v>
      </c>
      <c r="B65" t="s">
        <v>139</v>
      </c>
      <c r="C65">
        <v>27.8</v>
      </c>
      <c r="D65" s="90">
        <v>-7.0234113700000003E-2</v>
      </c>
      <c r="E65" s="67"/>
      <c r="F65" s="67"/>
      <c r="G65" s="67"/>
      <c r="H65" s="67"/>
      <c r="I65" s="67"/>
    </row>
    <row r="66" spans="1:9">
      <c r="A66" t="s">
        <v>318</v>
      </c>
      <c r="B66" t="s">
        <v>138</v>
      </c>
      <c r="C66">
        <v>351</v>
      </c>
      <c r="D66" s="90">
        <v>5.7306589999999999E-3</v>
      </c>
      <c r="E66" s="67"/>
      <c r="F66" s="67"/>
      <c r="G66" s="67"/>
      <c r="H66" s="67"/>
      <c r="I66" s="67"/>
    </row>
    <row r="67" spans="1:9">
      <c r="A67" t="s">
        <v>236</v>
      </c>
      <c r="B67" t="s">
        <v>137</v>
      </c>
      <c r="C67">
        <v>22.6</v>
      </c>
      <c r="D67" s="90">
        <v>-6.22406639E-2</v>
      </c>
      <c r="E67" s="67"/>
      <c r="F67" s="67"/>
      <c r="G67" s="67"/>
      <c r="H67" s="67"/>
      <c r="I67" s="67"/>
    </row>
    <row r="68" spans="1:9">
      <c r="A68" t="s">
        <v>136</v>
      </c>
      <c r="B68" t="s">
        <v>135</v>
      </c>
      <c r="C68">
        <v>31.2</v>
      </c>
      <c r="D68" s="90">
        <v>-7.1428571400000002E-2</v>
      </c>
      <c r="E68" s="67"/>
      <c r="F68" s="67"/>
      <c r="G68" s="67"/>
      <c r="H68" s="67"/>
      <c r="I68" s="67"/>
    </row>
    <row r="69" spans="1:9">
      <c r="A69" t="s">
        <v>319</v>
      </c>
      <c r="B69" t="s">
        <v>134</v>
      </c>
      <c r="C69">
        <v>269</v>
      </c>
      <c r="D69" s="90">
        <v>-3.9285714300000003E-2</v>
      </c>
      <c r="E69" s="67"/>
      <c r="F69" s="67"/>
      <c r="G69" s="67"/>
      <c r="H69" s="67"/>
      <c r="I69" s="67"/>
    </row>
    <row r="70" spans="1:9">
      <c r="A70" t="s">
        <v>320</v>
      </c>
      <c r="B70" t="s">
        <v>133</v>
      </c>
      <c r="C70">
        <v>395</v>
      </c>
      <c r="D70" s="90">
        <v>-5.2757793800000001E-2</v>
      </c>
      <c r="E70" s="67"/>
      <c r="F70" s="67"/>
      <c r="G70" s="67"/>
      <c r="H70" s="67"/>
      <c r="I70" s="67"/>
    </row>
    <row r="71" spans="1:9">
      <c r="A71" t="s">
        <v>321</v>
      </c>
      <c r="B71" t="s">
        <v>132</v>
      </c>
      <c r="C71">
        <v>155</v>
      </c>
      <c r="D71" s="90">
        <v>-3.7267080700000003E-2</v>
      </c>
      <c r="E71" s="67"/>
      <c r="F71" s="67"/>
      <c r="G71" s="67"/>
      <c r="H71" s="67"/>
      <c r="I71" s="67"/>
    </row>
    <row r="72" spans="1:9">
      <c r="A72" t="s">
        <v>322</v>
      </c>
      <c r="B72" t="s">
        <v>323</v>
      </c>
      <c r="C72">
        <v>2330</v>
      </c>
      <c r="D72" s="90">
        <v>-3.5196687400000003E-2</v>
      </c>
      <c r="E72" s="67"/>
      <c r="F72" s="67"/>
      <c r="G72" s="67"/>
      <c r="H72" s="67"/>
      <c r="I72" s="67"/>
    </row>
    <row r="73" spans="1:9">
      <c r="A73" t="s">
        <v>324</v>
      </c>
      <c r="B73" t="s">
        <v>131</v>
      </c>
      <c r="C73">
        <v>91.7</v>
      </c>
      <c r="D73" s="90">
        <v>-6.2372188100000003E-2</v>
      </c>
      <c r="E73" s="67"/>
      <c r="F73" s="67"/>
      <c r="G73" s="67"/>
      <c r="H73" s="67"/>
      <c r="I73" s="67"/>
    </row>
    <row r="74" spans="1:9">
      <c r="A74" t="s">
        <v>325</v>
      </c>
      <c r="B74" t="s">
        <v>130</v>
      </c>
      <c r="C74">
        <v>199</v>
      </c>
      <c r="D74" s="90">
        <v>-2.92682927E-2</v>
      </c>
      <c r="E74" s="67"/>
      <c r="F74" s="67"/>
      <c r="G74" s="67"/>
      <c r="H74" s="67"/>
      <c r="I74" s="67"/>
    </row>
    <row r="75" spans="1:9">
      <c r="A75" t="s">
        <v>237</v>
      </c>
      <c r="B75" t="s">
        <v>129</v>
      </c>
      <c r="C75">
        <v>322</v>
      </c>
      <c r="D75" s="90">
        <v>-6.6666666700000002E-2</v>
      </c>
      <c r="E75" s="67"/>
      <c r="F75" s="67"/>
      <c r="G75" s="67"/>
      <c r="H75" s="67"/>
      <c r="I75" s="67"/>
    </row>
    <row r="76" spans="1:9">
      <c r="A76" t="s">
        <v>326</v>
      </c>
      <c r="B76" t="s">
        <v>128</v>
      </c>
      <c r="C76">
        <v>690</v>
      </c>
      <c r="D76" s="90">
        <v>-6.8825910899999995E-2</v>
      </c>
      <c r="E76" s="67"/>
      <c r="F76" s="67"/>
      <c r="G76" s="67"/>
      <c r="H76" s="67"/>
      <c r="I76" s="67"/>
    </row>
    <row r="77" spans="1:9">
      <c r="A77" t="s">
        <v>238</v>
      </c>
      <c r="B77" t="s">
        <v>127</v>
      </c>
      <c r="C77">
        <v>134</v>
      </c>
      <c r="D77" s="90">
        <v>7.5187969999999998E-3</v>
      </c>
      <c r="E77" s="67"/>
      <c r="F77" s="67"/>
      <c r="G77" s="67"/>
      <c r="H77" s="67"/>
      <c r="I77" s="67"/>
    </row>
    <row r="78" spans="1:9">
      <c r="A78" t="s">
        <v>327</v>
      </c>
      <c r="B78" t="s">
        <v>126</v>
      </c>
      <c r="C78">
        <v>70</v>
      </c>
      <c r="D78" s="90">
        <v>-7.6517150399999997E-2</v>
      </c>
      <c r="E78" s="67"/>
      <c r="F78" s="67"/>
      <c r="G78" s="67"/>
      <c r="H78" s="67"/>
      <c r="I78" s="67"/>
    </row>
    <row r="79" spans="1:9">
      <c r="A79" t="s">
        <v>328</v>
      </c>
      <c r="B79" t="s">
        <v>125</v>
      </c>
      <c r="C79">
        <v>310</v>
      </c>
      <c r="D79" s="90">
        <v>3.3333333299999997E-2</v>
      </c>
      <c r="E79" s="67"/>
      <c r="F79" s="67"/>
      <c r="G79" s="67"/>
      <c r="H79" s="67"/>
      <c r="I79" s="67"/>
    </row>
    <row r="80" spans="1:9">
      <c r="A80" t="s">
        <v>329</v>
      </c>
      <c r="B80" t="s">
        <v>124</v>
      </c>
      <c r="C80">
        <v>735</v>
      </c>
      <c r="D80" s="90">
        <v>3.5211267599999999E-2</v>
      </c>
      <c r="E80" s="67"/>
      <c r="F80" s="67"/>
      <c r="G80" s="67"/>
      <c r="H80" s="67"/>
      <c r="I80" s="67"/>
    </row>
    <row r="81" spans="1:9">
      <c r="A81" t="s">
        <v>267</v>
      </c>
      <c r="B81" t="s">
        <v>123</v>
      </c>
      <c r="C81">
        <v>6980</v>
      </c>
      <c r="D81" s="90">
        <v>-5.3559321999999999E-2</v>
      </c>
      <c r="E81" s="67"/>
      <c r="F81" s="67"/>
      <c r="G81" s="67"/>
      <c r="H81" s="67"/>
      <c r="I81" s="67"/>
    </row>
    <row r="82" spans="1:9">
      <c r="A82" t="s">
        <v>330</v>
      </c>
      <c r="B82" t="s">
        <v>122</v>
      </c>
      <c r="C82">
        <v>24.3</v>
      </c>
      <c r="D82" s="90">
        <v>-0.13523131669999999</v>
      </c>
      <c r="E82" s="67"/>
      <c r="F82" s="67"/>
      <c r="G82" s="67"/>
      <c r="H82" s="67"/>
      <c r="I82" s="67"/>
    </row>
    <row r="83" spans="1:9">
      <c r="A83" t="s">
        <v>239</v>
      </c>
      <c r="B83" t="s">
        <v>240</v>
      </c>
      <c r="C83">
        <v>51270</v>
      </c>
      <c r="D83" s="90">
        <v>-2.8793332099999999E-2</v>
      </c>
      <c r="E83" s="67"/>
      <c r="F83" s="67"/>
      <c r="G83" s="67"/>
      <c r="H83" s="67"/>
      <c r="I83" s="67"/>
    </row>
    <row r="84" spans="1:9">
      <c r="A84" t="s">
        <v>331</v>
      </c>
      <c r="B84" t="s">
        <v>332</v>
      </c>
      <c r="C84">
        <v>7925</v>
      </c>
      <c r="D84" s="90">
        <v>-5.4859868800000003E-2</v>
      </c>
      <c r="E84" s="67"/>
      <c r="F84" s="67"/>
      <c r="G84" s="67"/>
      <c r="H84" s="67"/>
      <c r="I84" s="67"/>
    </row>
    <row r="85" spans="1:9">
      <c r="A85" t="s">
        <v>333</v>
      </c>
      <c r="B85" t="s">
        <v>121</v>
      </c>
      <c r="C85">
        <v>309</v>
      </c>
      <c r="D85" s="90">
        <v>1.3114754100000001E-2</v>
      </c>
      <c r="E85" s="67"/>
      <c r="F85" s="67"/>
      <c r="G85" s="67"/>
      <c r="H85" s="67"/>
      <c r="I85" s="67"/>
    </row>
    <row r="86" spans="1:9">
      <c r="A86" t="s">
        <v>334</v>
      </c>
      <c r="B86" t="s">
        <v>120</v>
      </c>
      <c r="C86">
        <v>193</v>
      </c>
      <c r="D86" s="90">
        <v>-0.1023255814</v>
      </c>
      <c r="E86" s="67"/>
      <c r="F86" s="67"/>
      <c r="G86" s="67"/>
      <c r="H86" s="67"/>
      <c r="I86" s="67"/>
    </row>
    <row r="87" spans="1:9">
      <c r="A87" t="s">
        <v>335</v>
      </c>
      <c r="B87" t="s">
        <v>119</v>
      </c>
      <c r="C87">
        <v>263</v>
      </c>
      <c r="D87" s="90">
        <v>-5.0541516199999997E-2</v>
      </c>
      <c r="E87" s="67"/>
      <c r="F87" s="67"/>
      <c r="G87" s="67"/>
      <c r="H87" s="67"/>
      <c r="I87" s="67"/>
    </row>
    <row r="88" spans="1:9">
      <c r="A88" t="s">
        <v>336</v>
      </c>
      <c r="B88" t="s">
        <v>118</v>
      </c>
      <c r="C88">
        <v>15550</v>
      </c>
      <c r="D88" s="90">
        <v>-3.7747524800000001E-2</v>
      </c>
      <c r="E88" s="67"/>
      <c r="F88" s="67"/>
      <c r="G88" s="67"/>
      <c r="H88" s="67"/>
      <c r="I88" s="67"/>
    </row>
    <row r="89" spans="1:9">
      <c r="A89" t="s">
        <v>337</v>
      </c>
      <c r="B89" t="s">
        <v>117</v>
      </c>
      <c r="C89">
        <v>5230</v>
      </c>
      <c r="D89" s="90">
        <v>-5.7657657700000003E-2</v>
      </c>
      <c r="E89" s="67"/>
      <c r="F89" s="67"/>
      <c r="G89" s="67"/>
      <c r="H89" s="67"/>
      <c r="I89" s="67"/>
    </row>
    <row r="90" spans="1:9">
      <c r="A90" t="s">
        <v>338</v>
      </c>
      <c r="B90" t="s">
        <v>116</v>
      </c>
      <c r="C90">
        <v>108</v>
      </c>
      <c r="D90" s="90">
        <v>-5.2631578900000003E-2</v>
      </c>
      <c r="E90" s="67"/>
      <c r="F90" s="67"/>
      <c r="G90" s="67"/>
      <c r="H90" s="67"/>
      <c r="I90" s="67"/>
    </row>
    <row r="91" spans="1:9">
      <c r="A91" t="s">
        <v>339</v>
      </c>
      <c r="B91" t="s">
        <v>115</v>
      </c>
      <c r="C91">
        <v>466</v>
      </c>
      <c r="D91" s="90">
        <v>-2.91666667E-2</v>
      </c>
      <c r="E91" s="67"/>
      <c r="F91" s="67"/>
      <c r="G91" s="67"/>
      <c r="H91" s="67"/>
      <c r="I91" s="67"/>
    </row>
    <row r="92" spans="1:9">
      <c r="A92" t="s">
        <v>340</v>
      </c>
      <c r="B92" t="s">
        <v>114</v>
      </c>
      <c r="C92">
        <v>540</v>
      </c>
      <c r="D92" s="90">
        <v>5.5865921999999997E-3</v>
      </c>
      <c r="E92" s="67"/>
      <c r="F92" s="67"/>
      <c r="G92" s="67"/>
      <c r="H92" s="67"/>
      <c r="I92" s="67"/>
    </row>
    <row r="93" spans="1:9">
      <c r="A93" t="s">
        <v>113</v>
      </c>
      <c r="B93" t="s">
        <v>112</v>
      </c>
      <c r="C93">
        <v>578</v>
      </c>
      <c r="D93" s="90">
        <v>-3.8269550700000002E-2</v>
      </c>
      <c r="E93" s="67"/>
      <c r="F93" s="67"/>
      <c r="G93" s="67"/>
      <c r="H93" s="67"/>
      <c r="I93" s="67"/>
    </row>
    <row r="94" spans="1:9">
      <c r="A94" t="s">
        <v>341</v>
      </c>
      <c r="B94" t="s">
        <v>342</v>
      </c>
      <c r="C94">
        <v>47500</v>
      </c>
      <c r="D94" s="90">
        <v>-5.6791104100000003E-2</v>
      </c>
      <c r="E94" s="67"/>
      <c r="F94" s="67"/>
      <c r="G94" s="67"/>
      <c r="H94" s="67"/>
      <c r="I94" s="67"/>
    </row>
    <row r="95" spans="1:9">
      <c r="A95" t="s">
        <v>111</v>
      </c>
      <c r="B95" t="s">
        <v>110</v>
      </c>
      <c r="C95">
        <v>8330</v>
      </c>
      <c r="D95" s="90">
        <v>-1.06888361E-2</v>
      </c>
      <c r="E95" s="67"/>
      <c r="F95" s="67"/>
      <c r="G95" s="67"/>
      <c r="H95" s="67"/>
      <c r="I95" s="67"/>
    </row>
    <row r="96" spans="1:9">
      <c r="A96" t="s">
        <v>109</v>
      </c>
      <c r="B96" t="s">
        <v>108</v>
      </c>
      <c r="C96">
        <v>36.1</v>
      </c>
      <c r="D96" s="90">
        <v>-0.05</v>
      </c>
      <c r="E96" s="67"/>
      <c r="F96" s="67"/>
      <c r="G96" s="67"/>
      <c r="H96" s="67"/>
      <c r="I96" s="67"/>
    </row>
    <row r="97" spans="1:9">
      <c r="A97" t="s">
        <v>268</v>
      </c>
      <c r="B97" t="s">
        <v>269</v>
      </c>
      <c r="C97">
        <v>2315</v>
      </c>
      <c r="D97" s="90">
        <v>4.27927928E-2</v>
      </c>
      <c r="E97" s="67"/>
      <c r="F97" s="67"/>
      <c r="G97" s="67"/>
      <c r="H97" s="67"/>
      <c r="I97" s="67"/>
    </row>
    <row r="98" spans="1:9">
      <c r="A98" t="s">
        <v>270</v>
      </c>
      <c r="B98" t="s">
        <v>107</v>
      </c>
      <c r="C98">
        <v>5100</v>
      </c>
      <c r="D98" s="90">
        <v>8.8580576300000005E-2</v>
      </c>
      <c r="E98" s="67"/>
      <c r="F98" s="67"/>
      <c r="G98" s="67"/>
      <c r="H98" s="67"/>
      <c r="I98" s="67"/>
    </row>
    <row r="99" spans="1:9">
      <c r="A99" t="s">
        <v>343</v>
      </c>
      <c r="B99" t="s">
        <v>344</v>
      </c>
      <c r="C99">
        <v>8715</v>
      </c>
      <c r="D99" s="90">
        <v>5.7405279999999997E-4</v>
      </c>
      <c r="E99" s="67"/>
      <c r="F99" s="67"/>
      <c r="G99" s="67"/>
      <c r="H99" s="67"/>
      <c r="I99" s="67"/>
    </row>
    <row r="100" spans="1:9">
      <c r="A100" t="s">
        <v>106</v>
      </c>
      <c r="B100" t="s">
        <v>105</v>
      </c>
      <c r="C100">
        <v>57000</v>
      </c>
      <c r="D100" s="90">
        <v>-7.3170731700000005E-2</v>
      </c>
      <c r="E100" s="67"/>
      <c r="F100" s="67"/>
      <c r="G100" s="67"/>
      <c r="H100" s="67"/>
      <c r="I100" s="67"/>
    </row>
    <row r="101" spans="1:9">
      <c r="A101" t="s">
        <v>345</v>
      </c>
      <c r="B101" t="s">
        <v>104</v>
      </c>
      <c r="C101">
        <v>637</v>
      </c>
      <c r="D101" s="90">
        <v>3.1496063000000002E-3</v>
      </c>
      <c r="E101" s="67"/>
      <c r="F101" s="67"/>
      <c r="G101" s="67"/>
      <c r="H101" s="67"/>
      <c r="I101" s="67"/>
    </row>
    <row r="102" spans="1:9">
      <c r="A102" t="s">
        <v>346</v>
      </c>
      <c r="B102" t="s">
        <v>103</v>
      </c>
      <c r="C102">
        <v>100</v>
      </c>
      <c r="D102" s="90">
        <v>-9.9009900999999997E-3</v>
      </c>
      <c r="E102" s="67"/>
      <c r="F102" s="67"/>
      <c r="G102" s="67"/>
      <c r="H102" s="67"/>
      <c r="I102" s="67"/>
    </row>
    <row r="103" spans="1:9">
      <c r="A103" t="s">
        <v>271</v>
      </c>
      <c r="B103" t="s">
        <v>102</v>
      </c>
      <c r="C103">
        <v>148</v>
      </c>
      <c r="D103" s="90">
        <v>-2.6315789499999999E-2</v>
      </c>
      <c r="E103" s="67"/>
      <c r="F103" s="67"/>
      <c r="G103" s="67"/>
      <c r="H103" s="67"/>
      <c r="I103" s="67"/>
    </row>
    <row r="104" spans="1:9">
      <c r="A104" t="s">
        <v>272</v>
      </c>
      <c r="B104" t="s">
        <v>101</v>
      </c>
      <c r="C104">
        <v>228</v>
      </c>
      <c r="D104" s="90">
        <v>4.4052863000000001E-3</v>
      </c>
      <c r="E104" s="67"/>
      <c r="F104" s="67"/>
      <c r="G104" s="67"/>
      <c r="H104" s="67"/>
      <c r="I104" s="67"/>
    </row>
    <row r="105" spans="1:9">
      <c r="A105" t="s">
        <v>347</v>
      </c>
      <c r="B105" t="s">
        <v>100</v>
      </c>
      <c r="C105">
        <v>32.200000000000003</v>
      </c>
      <c r="D105" s="90">
        <v>-6.6666666700000002E-2</v>
      </c>
      <c r="E105" s="67"/>
      <c r="F105" s="67"/>
      <c r="G105" s="67"/>
      <c r="H105" s="67"/>
      <c r="I105" s="67"/>
    </row>
    <row r="106" spans="1:9">
      <c r="A106" t="s">
        <v>348</v>
      </c>
      <c r="B106" t="s">
        <v>99</v>
      </c>
      <c r="C106">
        <v>223</v>
      </c>
      <c r="D106" s="90">
        <v>-3.46320346E-2</v>
      </c>
      <c r="E106" s="67"/>
      <c r="F106" s="67"/>
      <c r="G106" s="67"/>
      <c r="H106" s="67"/>
      <c r="I106" s="67"/>
    </row>
    <row r="107" spans="1:9">
      <c r="A107" t="s">
        <v>349</v>
      </c>
      <c r="B107" t="s">
        <v>98</v>
      </c>
      <c r="C107">
        <v>252</v>
      </c>
      <c r="D107" s="90">
        <v>-2.7027026999999999E-2</v>
      </c>
      <c r="E107" s="67"/>
      <c r="F107" s="67"/>
      <c r="G107" s="67"/>
      <c r="H107" s="67"/>
      <c r="I107" s="67"/>
    </row>
    <row r="108" spans="1:9">
      <c r="A108" t="s">
        <v>273</v>
      </c>
      <c r="B108" t="s">
        <v>97</v>
      </c>
      <c r="C108">
        <v>9055</v>
      </c>
      <c r="D108" s="90">
        <v>9.4921402700000004E-2</v>
      </c>
      <c r="E108" s="67"/>
      <c r="F108" s="67"/>
      <c r="G108" s="67"/>
      <c r="H108" s="67"/>
      <c r="I108" s="67"/>
    </row>
    <row r="109" spans="1:9">
      <c r="A109" t="s">
        <v>350</v>
      </c>
      <c r="B109" t="s">
        <v>96</v>
      </c>
      <c r="C109">
        <v>714</v>
      </c>
      <c r="D109" s="90">
        <v>-6.0526315800000001E-2</v>
      </c>
    </row>
    <row r="110" spans="1:9">
      <c r="A110" t="s">
        <v>351</v>
      </c>
      <c r="B110" t="s">
        <v>241</v>
      </c>
      <c r="C110">
        <v>204</v>
      </c>
      <c r="D110" s="90">
        <v>-2.3923445000000002E-2</v>
      </c>
    </row>
    <row r="111" spans="1:9">
      <c r="A111" t="s">
        <v>352</v>
      </c>
      <c r="B111" t="s">
        <v>94</v>
      </c>
      <c r="C111">
        <v>518</v>
      </c>
      <c r="D111" s="90">
        <v>0.1935483871</v>
      </c>
    </row>
    <row r="112" spans="1:9">
      <c r="A112" t="s">
        <v>353</v>
      </c>
      <c r="B112" t="s">
        <v>93</v>
      </c>
      <c r="C112">
        <v>64720</v>
      </c>
      <c r="D112" s="90">
        <v>-4.6693180100000002E-2</v>
      </c>
    </row>
    <row r="113" spans="1:4">
      <c r="A113" t="s">
        <v>354</v>
      </c>
      <c r="B113" t="s">
        <v>92</v>
      </c>
      <c r="C113">
        <v>4270</v>
      </c>
      <c r="D113" s="90">
        <v>-7.0729053299999997E-2</v>
      </c>
    </row>
    <row r="114" spans="1:4">
      <c r="A114" t="s">
        <v>355</v>
      </c>
      <c r="B114" t="s">
        <v>195</v>
      </c>
      <c r="C114">
        <v>44390</v>
      </c>
      <c r="D114" s="90">
        <v>1.7885806000000001E-2</v>
      </c>
    </row>
    <row r="115" spans="1:4">
      <c r="A115" t="s">
        <v>356</v>
      </c>
      <c r="B115" t="s">
        <v>196</v>
      </c>
      <c r="C115">
        <v>6360</v>
      </c>
      <c r="D115" s="90">
        <v>0.36774193550000001</v>
      </c>
    </row>
    <row r="116" spans="1:4">
      <c r="A116" t="s">
        <v>357</v>
      </c>
      <c r="B116" t="s">
        <v>197</v>
      </c>
      <c r="C116">
        <v>9580</v>
      </c>
      <c r="D116" s="90">
        <v>6.0908084199999997E-2</v>
      </c>
    </row>
    <row r="117" spans="1:4">
      <c r="A117" t="s">
        <v>358</v>
      </c>
      <c r="B117" t="s">
        <v>198</v>
      </c>
      <c r="C117">
        <v>2805</v>
      </c>
      <c r="D117" s="90">
        <v>4.4692737400000002E-2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2021-04-19T12:03:22Z</dcterms:modified>
</cp:coreProperties>
</file>