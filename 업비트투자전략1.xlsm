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YJ\Desktop\Researchers\조시훈\Upbit\"/>
    </mc:Choice>
  </mc:AlternateContent>
  <xr:revisionPtr revIDLastSave="0" documentId="13_ncr:1_{CF25E5E5-95D7-4DC2-9321-E1D72F8AF1CD}" xr6:coauthVersionLast="46" xr6:coauthVersionMax="46" xr10:uidLastSave="{00000000-0000-0000-0000-000000000000}"/>
  <bookViews>
    <workbookView xWindow="28680" yWindow="-60" windowWidth="29040" windowHeight="15840" firstSheet="7" activeTab="12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현재가테이블" sheetId="37" r:id="rId14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0" hidden="1">투자전략1!#REF!</definedName>
    <definedName name="_xlnm._FilterDatabase" localSheetId="13" hidden="1">현재가테이블!$A$1:$D$200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4" i="47" l="1"/>
  <c r="K70" i="47"/>
  <c r="K24" i="47" s="1"/>
  <c r="E43" i="47"/>
  <c r="E39" i="47"/>
  <c r="E35" i="47"/>
  <c r="O111" i="47"/>
  <c r="N111" i="47"/>
  <c r="O110" i="47"/>
  <c r="N110" i="47"/>
  <c r="O109" i="47"/>
  <c r="N109" i="47"/>
  <c r="O108" i="47"/>
  <c r="N108" i="47"/>
  <c r="O107" i="47"/>
  <c r="N107" i="47"/>
  <c r="O106" i="47"/>
  <c r="N106" i="47"/>
  <c r="O105" i="47"/>
  <c r="N105" i="47"/>
  <c r="O104" i="47"/>
  <c r="N104" i="47"/>
  <c r="O103" i="47"/>
  <c r="N103" i="47"/>
  <c r="O102" i="47"/>
  <c r="O112" i="47" s="1"/>
  <c r="N102" i="47"/>
  <c r="N112" i="47" s="1"/>
  <c r="M99" i="47"/>
  <c r="G99" i="47"/>
  <c r="O94" i="47"/>
  <c r="N94" i="47"/>
  <c r="O93" i="47"/>
  <c r="N93" i="47"/>
  <c r="O92" i="47"/>
  <c r="N92" i="47"/>
  <c r="O91" i="47"/>
  <c r="N91" i="47"/>
  <c r="O90" i="47"/>
  <c r="N90" i="47"/>
  <c r="O89" i="47"/>
  <c r="N89" i="47"/>
  <c r="O88" i="47"/>
  <c r="N88" i="47"/>
  <c r="O87" i="47"/>
  <c r="N87" i="47"/>
  <c r="O86" i="47"/>
  <c r="N86" i="47"/>
  <c r="O85" i="47"/>
  <c r="O95" i="47" s="1"/>
  <c r="N85" i="47"/>
  <c r="M82" i="47"/>
  <c r="G82" i="47"/>
  <c r="O77" i="47"/>
  <c r="N77" i="47"/>
  <c r="O76" i="47"/>
  <c r="N76" i="47"/>
  <c r="O75" i="47"/>
  <c r="N75" i="47"/>
  <c r="O74" i="47"/>
  <c r="N74" i="47"/>
  <c r="O73" i="47"/>
  <c r="N73" i="47"/>
  <c r="O72" i="47"/>
  <c r="N72" i="47"/>
  <c r="O71" i="47"/>
  <c r="N71" i="47"/>
  <c r="O70" i="47"/>
  <c r="N70" i="47"/>
  <c r="L70" i="47"/>
  <c r="L24" i="47" s="1"/>
  <c r="O69" i="47"/>
  <c r="N69" i="47"/>
  <c r="O68" i="47"/>
  <c r="O78" i="47" s="1"/>
  <c r="N68" i="47"/>
  <c r="N78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O56" i="47"/>
  <c r="N56" i="47"/>
  <c r="O55" i="47"/>
  <c r="N55" i="47"/>
  <c r="O54" i="47"/>
  <c r="N54" i="47"/>
  <c r="O53" i="47"/>
  <c r="N53" i="47"/>
  <c r="O52" i="47"/>
  <c r="N52" i="47"/>
  <c r="O51" i="47"/>
  <c r="O61" i="47" s="1"/>
  <c r="N51" i="47"/>
  <c r="N61" i="47" s="1"/>
  <c r="M48" i="47"/>
  <c r="G48" i="47"/>
  <c r="O43" i="47"/>
  <c r="N43" i="47"/>
  <c r="F43" i="47"/>
  <c r="O42" i="47"/>
  <c r="N42" i="47"/>
  <c r="O41" i="47"/>
  <c r="N41" i="47"/>
  <c r="O40" i="47"/>
  <c r="N40" i="47"/>
  <c r="O39" i="47"/>
  <c r="N39" i="47"/>
  <c r="F39" i="47"/>
  <c r="O38" i="47"/>
  <c r="N38" i="47"/>
  <c r="O37" i="47"/>
  <c r="N37" i="47"/>
  <c r="O36" i="47"/>
  <c r="N36" i="47"/>
  <c r="O35" i="47"/>
  <c r="N35" i="47"/>
  <c r="F35" i="47"/>
  <c r="O34" i="47"/>
  <c r="O44" i="47" s="1"/>
  <c r="N34" i="47"/>
  <c r="N44" i="47" s="1"/>
  <c r="M31" i="47"/>
  <c r="G31" i="47"/>
  <c r="O26" i="47"/>
  <c r="N26" i="47"/>
  <c r="M26" i="47"/>
  <c r="C26" i="47"/>
  <c r="B26" i="47"/>
  <c r="O25" i="47"/>
  <c r="N25" i="47"/>
  <c r="M25" i="47"/>
  <c r="C25" i="47"/>
  <c r="B25" i="47"/>
  <c r="O24" i="47"/>
  <c r="N24" i="47"/>
  <c r="M24" i="47"/>
  <c r="J24" i="47"/>
  <c r="C24" i="47"/>
  <c r="B24" i="47"/>
  <c r="O23" i="47"/>
  <c r="N23" i="47"/>
  <c r="M23" i="47"/>
  <c r="C23" i="47"/>
  <c r="B23" i="47"/>
  <c r="O22" i="47"/>
  <c r="N22" i="47"/>
  <c r="M22" i="47"/>
  <c r="C22" i="47"/>
  <c r="B22" i="47"/>
  <c r="O21" i="47"/>
  <c r="N21" i="47"/>
  <c r="M21" i="47"/>
  <c r="C21" i="47"/>
  <c r="B21" i="47"/>
  <c r="O20" i="47"/>
  <c r="N20" i="47"/>
  <c r="M20" i="47"/>
  <c r="C20" i="47"/>
  <c r="B20" i="47"/>
  <c r="O19" i="47"/>
  <c r="N19" i="47"/>
  <c r="M19" i="47"/>
  <c r="C19" i="47"/>
  <c r="B19" i="47"/>
  <c r="O18" i="47"/>
  <c r="N18" i="47"/>
  <c r="M18" i="47"/>
  <c r="C18" i="47"/>
  <c r="B18" i="47"/>
  <c r="O17" i="47"/>
  <c r="N17" i="47"/>
  <c r="M17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K20" i="36"/>
  <c r="J20" i="36"/>
  <c r="H20" i="36"/>
  <c r="G20" i="36"/>
  <c r="C20" i="36"/>
  <c r="B20" i="36"/>
  <c r="J19" i="36"/>
  <c r="H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E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E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K78" i="21" s="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E44" i="21" s="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K108" i="47" l="1"/>
  <c r="K21" i="47" s="1"/>
  <c r="J21" i="47"/>
  <c r="L108" i="47"/>
  <c r="L21" i="47" s="1"/>
  <c r="K111" i="47"/>
  <c r="L111" i="47" s="1"/>
  <c r="K91" i="47"/>
  <c r="L91" i="47"/>
  <c r="K94" i="47"/>
  <c r="L94" i="47" s="1"/>
  <c r="K77" i="47"/>
  <c r="L77" i="47"/>
  <c r="L74" i="47"/>
  <c r="K56" i="47"/>
  <c r="L56" i="47" s="1"/>
  <c r="K43" i="47"/>
  <c r="L43" i="47"/>
  <c r="H111" i="47"/>
  <c r="I111" i="47" s="1"/>
  <c r="H105" i="47"/>
  <c r="H18" i="47" s="1"/>
  <c r="G18" i="47"/>
  <c r="H108" i="47"/>
  <c r="H21" i="47" s="1"/>
  <c r="I108" i="47"/>
  <c r="I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F108" i="47"/>
  <c r="F21" i="47" s="1"/>
  <c r="E111" i="47"/>
  <c r="F111" i="47" s="1"/>
  <c r="E87" i="47"/>
  <c r="F87" i="47" s="1"/>
  <c r="E94" i="47"/>
  <c r="F94" i="47" s="1"/>
  <c r="E77" i="47"/>
  <c r="F77" i="47"/>
  <c r="E74" i="47"/>
  <c r="F74" i="47"/>
  <c r="E56" i="47"/>
  <c r="F56" i="47" s="1"/>
  <c r="E53" i="47"/>
  <c r="F53" i="47" s="1"/>
  <c r="E42" i="47"/>
  <c r="F42" i="47"/>
  <c r="N95" i="47"/>
  <c r="N43" i="45"/>
  <c r="O43" i="45" s="1"/>
  <c r="N56" i="45"/>
  <c r="O56" i="45" s="1"/>
  <c r="N74" i="45"/>
  <c r="O74" i="45" s="1"/>
  <c r="N77" i="45"/>
  <c r="O77" i="45"/>
  <c r="N94" i="45"/>
  <c r="O94" i="45" s="1"/>
  <c r="N87" i="45"/>
  <c r="O87" i="45" s="1"/>
  <c r="N111" i="45"/>
  <c r="O111" i="45"/>
  <c r="N108" i="45"/>
  <c r="O108" i="45" s="1"/>
  <c r="O27" i="47"/>
  <c r="N27" i="47"/>
  <c r="N23" i="21"/>
  <c r="N17" i="21"/>
  <c r="H21" i="22"/>
  <c r="O95" i="21"/>
  <c r="I78" i="21"/>
  <c r="K111" i="45"/>
  <c r="L111" i="45" s="1"/>
  <c r="K94" i="45"/>
  <c r="L94" i="45"/>
  <c r="K77" i="45"/>
  <c r="L77" i="45" s="1"/>
  <c r="K75" i="45"/>
  <c r="L75" i="45" s="1"/>
  <c r="K56" i="45"/>
  <c r="L56" i="45" s="1"/>
  <c r="L53" i="45"/>
  <c r="K53" i="45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F74" i="45"/>
  <c r="E74" i="45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I43" i="44"/>
  <c r="H43" i="44"/>
  <c r="D26" i="44"/>
  <c r="E111" i="44"/>
  <c r="E26" i="44" s="1"/>
  <c r="F108" i="44"/>
  <c r="F23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I51" i="43"/>
  <c r="I61" i="43" s="1"/>
  <c r="H35" i="43"/>
  <c r="I35" i="43" s="1"/>
  <c r="H39" i="43"/>
  <c r="I39" i="43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F77" i="43"/>
  <c r="E77" i="43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G7" i="30" s="1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G7" i="21"/>
  <c r="G9" i="2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J18" i="47" l="1"/>
  <c r="K105" i="47"/>
  <c r="K18" i="47" s="1"/>
  <c r="L105" i="47"/>
  <c r="L18" i="47" s="1"/>
  <c r="K102" i="47"/>
  <c r="L102" i="47" s="1"/>
  <c r="K109" i="47"/>
  <c r="K22" i="47" s="1"/>
  <c r="L109" i="47"/>
  <c r="L22" i="47" s="1"/>
  <c r="J22" i="47"/>
  <c r="K110" i="47"/>
  <c r="L110" i="47"/>
  <c r="J17" i="47"/>
  <c r="K104" i="47"/>
  <c r="K17" i="47" s="1"/>
  <c r="K103" i="47"/>
  <c r="L103" i="47"/>
  <c r="K107" i="47"/>
  <c r="L107" i="47" s="1"/>
  <c r="J19" i="47"/>
  <c r="K106" i="47"/>
  <c r="K19" i="47" s="1"/>
  <c r="L106" i="47"/>
  <c r="L19" i="47" s="1"/>
  <c r="K90" i="47"/>
  <c r="L90" i="47" s="1"/>
  <c r="K86" i="47"/>
  <c r="K25" i="47" s="1"/>
  <c r="J25" i="47"/>
  <c r="K87" i="47"/>
  <c r="L87" i="47"/>
  <c r="K85" i="47"/>
  <c r="L85" i="47"/>
  <c r="K93" i="47"/>
  <c r="L93" i="47"/>
  <c r="K92" i="47"/>
  <c r="L92" i="47"/>
  <c r="K89" i="47"/>
  <c r="L89" i="47"/>
  <c r="K88" i="47"/>
  <c r="K26" i="47" s="1"/>
  <c r="L88" i="47"/>
  <c r="L26" i="47" s="1"/>
  <c r="J26" i="47"/>
  <c r="K76" i="47"/>
  <c r="L76" i="47"/>
  <c r="K71" i="47"/>
  <c r="L71" i="47"/>
  <c r="K73" i="47"/>
  <c r="L73" i="47"/>
  <c r="K72" i="47"/>
  <c r="L72" i="47"/>
  <c r="K75" i="47"/>
  <c r="L75" i="47"/>
  <c r="K69" i="47"/>
  <c r="K23" i="47" s="1"/>
  <c r="L69" i="47"/>
  <c r="L23" i="47" s="1"/>
  <c r="J23" i="47"/>
  <c r="K68" i="47"/>
  <c r="L68" i="47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I106" i="47"/>
  <c r="I19" i="47" s="1"/>
  <c r="H107" i="47"/>
  <c r="I107" i="47" s="1"/>
  <c r="H102" i="47"/>
  <c r="I102" i="47"/>
  <c r="H103" i="47"/>
  <c r="I103" i="47" s="1"/>
  <c r="G22" i="47"/>
  <c r="I109" i="47"/>
  <c r="I22" i="47" s="1"/>
  <c r="H109" i="47"/>
  <c r="H22" i="47" s="1"/>
  <c r="H110" i="47"/>
  <c r="I110" i="47"/>
  <c r="H104" i="47"/>
  <c r="H17" i="47" s="1"/>
  <c r="G17" i="47"/>
  <c r="H90" i="47"/>
  <c r="I90" i="47"/>
  <c r="H85" i="47"/>
  <c r="I85" i="47" s="1"/>
  <c r="H86" i="47"/>
  <c r="H25" i="47" s="1"/>
  <c r="G25" i="47"/>
  <c r="I86" i="47"/>
  <c r="I25" i="47" s="1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/>
  <c r="H74" i="47"/>
  <c r="I74" i="47"/>
  <c r="H73" i="47"/>
  <c r="I73" i="47" s="1"/>
  <c r="H72" i="47"/>
  <c r="I72" i="47"/>
  <c r="H70" i="47"/>
  <c r="H24" i="47" s="1"/>
  <c r="G24" i="47"/>
  <c r="I70" i="47"/>
  <c r="I24" i="47" s="1"/>
  <c r="H69" i="47"/>
  <c r="H23" i="47" s="1"/>
  <c r="G23" i="47"/>
  <c r="H68" i="47"/>
  <c r="G20" i="47"/>
  <c r="I68" i="47"/>
  <c r="I71" i="47"/>
  <c r="H71" i="47"/>
  <c r="H75" i="47"/>
  <c r="I75" i="47" s="1"/>
  <c r="H54" i="47"/>
  <c r="I54" i="47"/>
  <c r="H52" i="47"/>
  <c r="I52" i="47"/>
  <c r="H53" i="47"/>
  <c r="I53" i="47" s="1"/>
  <c r="H55" i="47"/>
  <c r="I55" i="47" s="1"/>
  <c r="H51" i="47"/>
  <c r="I51" i="47" s="1"/>
  <c r="H38" i="47"/>
  <c r="I38" i="47" s="1"/>
  <c r="H37" i="47"/>
  <c r="I37" i="47"/>
  <c r="H39" i="47"/>
  <c r="I39" i="47"/>
  <c r="H34" i="47"/>
  <c r="I34" i="47" s="1"/>
  <c r="H40" i="47"/>
  <c r="I40" i="47" s="1"/>
  <c r="H35" i="47"/>
  <c r="I35" i="47"/>
  <c r="H36" i="47"/>
  <c r="I36" i="47" s="1"/>
  <c r="H42" i="47"/>
  <c r="I42" i="47" s="1"/>
  <c r="H41" i="47"/>
  <c r="I41" i="47"/>
  <c r="E104" i="47"/>
  <c r="E17" i="47" s="1"/>
  <c r="D17" i="47"/>
  <c r="F104" i="47"/>
  <c r="F17" i="47" s="1"/>
  <c r="E103" i="47"/>
  <c r="F103" i="47" s="1"/>
  <c r="E109" i="47"/>
  <c r="E22" i="47" s="1"/>
  <c r="D22" i="47"/>
  <c r="E106" i="47"/>
  <c r="E19" i="47" s="1"/>
  <c r="D19" i="47"/>
  <c r="F106" i="47"/>
  <c r="F19" i="47" s="1"/>
  <c r="E110" i="47"/>
  <c r="F110" i="47" s="1"/>
  <c r="E105" i="47"/>
  <c r="E18" i="47" s="1"/>
  <c r="D18" i="47"/>
  <c r="E107" i="47"/>
  <c r="F107" i="47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F88" i="47"/>
  <c r="F26" i="47" s="1"/>
  <c r="D26" i="47"/>
  <c r="E88" i="47"/>
  <c r="E26" i="47" s="1"/>
  <c r="F89" i="47"/>
  <c r="E89" i="47"/>
  <c r="F91" i="47"/>
  <c r="E91" i="47"/>
  <c r="E73" i="47"/>
  <c r="F73" i="47"/>
  <c r="E68" i="47"/>
  <c r="F68" i="47"/>
  <c r="D20" i="47"/>
  <c r="E69" i="47"/>
  <c r="E23" i="47" s="1"/>
  <c r="D23" i="47"/>
  <c r="F69" i="47"/>
  <c r="F23" i="47" s="1"/>
  <c r="E70" i="47"/>
  <c r="E24" i="47" s="1"/>
  <c r="D24" i="47"/>
  <c r="F70" i="47"/>
  <c r="F24" i="47" s="1"/>
  <c r="E76" i="47"/>
  <c r="F76" i="47" s="1"/>
  <c r="E75" i="47"/>
  <c r="F75" i="47"/>
  <c r="E72" i="47"/>
  <c r="F72" i="47" s="1"/>
  <c r="E71" i="47"/>
  <c r="F71" i="47"/>
  <c r="E52" i="47"/>
  <c r="F52" i="47" s="1"/>
  <c r="E55" i="47"/>
  <c r="F55" i="47" s="1"/>
  <c r="E51" i="47"/>
  <c r="F51" i="47" s="1"/>
  <c r="E54" i="47"/>
  <c r="F54" i="47" s="1"/>
  <c r="E40" i="47"/>
  <c r="F40" i="47"/>
  <c r="E34" i="47"/>
  <c r="F34" i="47"/>
  <c r="E36" i="47"/>
  <c r="F36" i="47"/>
  <c r="E38" i="47"/>
  <c r="F38" i="47"/>
  <c r="E41" i="47"/>
  <c r="F41" i="47"/>
  <c r="E37" i="47"/>
  <c r="F37" i="47"/>
  <c r="N37" i="45"/>
  <c r="O37" i="45"/>
  <c r="N39" i="45"/>
  <c r="O39" i="45" s="1"/>
  <c r="N34" i="45"/>
  <c r="O34" i="45" s="1"/>
  <c r="M17" i="45"/>
  <c r="N36" i="45"/>
  <c r="O36" i="45" s="1"/>
  <c r="O38" i="45"/>
  <c r="N38" i="45"/>
  <c r="M22" i="45"/>
  <c r="N35" i="45"/>
  <c r="N22" i="45" s="1"/>
  <c r="O35" i="45"/>
  <c r="O22" i="45" s="1"/>
  <c r="N40" i="45"/>
  <c r="O40" i="45" s="1"/>
  <c r="N42" i="45"/>
  <c r="O42" i="45" s="1"/>
  <c r="N41" i="45"/>
  <c r="O41" i="45"/>
  <c r="N52" i="45"/>
  <c r="O52" i="45" s="1"/>
  <c r="N54" i="45"/>
  <c r="O54" i="45" s="1"/>
  <c r="N53" i="45"/>
  <c r="O53" i="45"/>
  <c r="N55" i="45"/>
  <c r="O55" i="45"/>
  <c r="N51" i="45"/>
  <c r="O51" i="45" s="1"/>
  <c r="N73" i="45"/>
  <c r="O73" i="45" s="1"/>
  <c r="N68" i="45"/>
  <c r="O68" i="45" s="1"/>
  <c r="M18" i="45"/>
  <c r="N69" i="45"/>
  <c r="O69" i="45" s="1"/>
  <c r="O75" i="45"/>
  <c r="N75" i="45"/>
  <c r="N76" i="45"/>
  <c r="O76" i="45" s="1"/>
  <c r="N71" i="45"/>
  <c r="O71" i="45" s="1"/>
  <c r="N72" i="45"/>
  <c r="O72" i="45" s="1"/>
  <c r="O70" i="45"/>
  <c r="O19" i="45" s="1"/>
  <c r="N70" i="45"/>
  <c r="N19" i="45" s="1"/>
  <c r="M19" i="45"/>
  <c r="N89" i="45"/>
  <c r="N24" i="45" s="1"/>
  <c r="O89" i="45"/>
  <c r="O24" i="45" s="1"/>
  <c r="M24" i="45"/>
  <c r="O90" i="45"/>
  <c r="O25" i="45" s="1"/>
  <c r="N90" i="45"/>
  <c r="N25" i="45" s="1"/>
  <c r="M25" i="45"/>
  <c r="N86" i="45"/>
  <c r="O86" i="45" s="1"/>
  <c r="N92" i="45"/>
  <c r="O92" i="45" s="1"/>
  <c r="N85" i="45"/>
  <c r="O85" i="45"/>
  <c r="N93" i="45"/>
  <c r="O93" i="45"/>
  <c r="N88" i="45"/>
  <c r="N23" i="45" s="1"/>
  <c r="M23" i="45"/>
  <c r="M26" i="45"/>
  <c r="N91" i="45"/>
  <c r="N26" i="45" s="1"/>
  <c r="O91" i="45"/>
  <c r="O26" i="45" s="1"/>
  <c r="M20" i="45"/>
  <c r="N106" i="45"/>
  <c r="N20" i="45" s="1"/>
  <c r="N107" i="45"/>
  <c r="N21" i="45" s="1"/>
  <c r="M21" i="45"/>
  <c r="O107" i="45"/>
  <c r="O21" i="45" s="1"/>
  <c r="O102" i="45"/>
  <c r="N102" i="45"/>
  <c r="N105" i="45"/>
  <c r="O105" i="45"/>
  <c r="N109" i="45"/>
  <c r="O109" i="45" s="1"/>
  <c r="N103" i="45"/>
  <c r="O103" i="45"/>
  <c r="O110" i="45"/>
  <c r="N110" i="45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L93" i="45"/>
  <c r="K93" i="45"/>
  <c r="K87" i="45"/>
  <c r="L87" i="45" s="1"/>
  <c r="K91" i="45"/>
  <c r="K26" i="45" s="1"/>
  <c r="J26" i="45"/>
  <c r="K86" i="45"/>
  <c r="L86" i="45"/>
  <c r="K89" i="45"/>
  <c r="K24" i="45" s="1"/>
  <c r="J24" i="45"/>
  <c r="J23" i="45"/>
  <c r="L88" i="45"/>
  <c r="L23" i="45" s="1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L35" i="45"/>
  <c r="L22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I107" i="45"/>
  <c r="I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I92" i="45"/>
  <c r="H92" i="45"/>
  <c r="H93" i="45"/>
  <c r="I93" i="45"/>
  <c r="I88" i="45"/>
  <c r="I2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I35" i="45"/>
  <c r="I22" i="45" s="1"/>
  <c r="H35" i="45"/>
  <c r="H22" i="45" s="1"/>
  <c r="H42" i="45"/>
  <c r="I42" i="45" s="1"/>
  <c r="I37" i="45"/>
  <c r="H37" i="45"/>
  <c r="H34" i="45"/>
  <c r="I34" i="45" s="1"/>
  <c r="G17" i="45"/>
  <c r="I41" i="45"/>
  <c r="H41" i="45"/>
  <c r="H38" i="45"/>
  <c r="I38" i="45" s="1"/>
  <c r="I36" i="45"/>
  <c r="H36" i="45"/>
  <c r="E107" i="45"/>
  <c r="E21" i="45" s="1"/>
  <c r="D21" i="45"/>
  <c r="F102" i="45"/>
  <c r="E102" i="45"/>
  <c r="E104" i="45"/>
  <c r="F104" i="45" s="1"/>
  <c r="D20" i="45"/>
  <c r="E106" i="45"/>
  <c r="E20" i="45" s="1"/>
  <c r="F103" i="45"/>
  <c r="E103" i="45"/>
  <c r="E109" i="45"/>
  <c r="F109" i="45" s="1"/>
  <c r="F108" i="45"/>
  <c r="E108" i="45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F93" i="45"/>
  <c r="E93" i="45"/>
  <c r="E86" i="45"/>
  <c r="F86" i="45" s="1"/>
  <c r="E85" i="45"/>
  <c r="F85" i="45" s="1"/>
  <c r="D26" i="45"/>
  <c r="F91" i="45"/>
  <c r="F26" i="45" s="1"/>
  <c r="E91" i="45"/>
  <c r="E26" i="45" s="1"/>
  <c r="F87" i="45"/>
  <c r="E87" i="45"/>
  <c r="E69" i="45"/>
  <c r="F69" i="45" s="1"/>
  <c r="E75" i="45"/>
  <c r="F75" i="45" s="1"/>
  <c r="E76" i="45"/>
  <c r="F76" i="45" s="1"/>
  <c r="F70" i="45"/>
  <c r="F19" i="45" s="1"/>
  <c r="D19" i="45"/>
  <c r="E70" i="45"/>
  <c r="E19" i="45" s="1"/>
  <c r="E72" i="45"/>
  <c r="F72" i="45" s="1"/>
  <c r="F73" i="45"/>
  <c r="E73" i="45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/>
  <c r="N105" i="44"/>
  <c r="O105" i="44" s="1"/>
  <c r="N110" i="44"/>
  <c r="O110" i="44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O39" i="44"/>
  <c r="N39" i="44"/>
  <c r="N34" i="44"/>
  <c r="O34" i="44" s="1"/>
  <c r="O35" i="44"/>
  <c r="N35" i="44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L76" i="44"/>
  <c r="K76" i="44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L110" i="44"/>
  <c r="K110" i="44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I103" i="44"/>
  <c r="H103" i="44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/>
  <c r="H68" i="44"/>
  <c r="I68" i="44" s="1"/>
  <c r="G25" i="44"/>
  <c r="H69" i="44"/>
  <c r="I69" i="44" s="1"/>
  <c r="H75" i="44"/>
  <c r="I75" i="44" s="1"/>
  <c r="H76" i="44"/>
  <c r="I76" i="44" s="1"/>
  <c r="H71" i="44"/>
  <c r="I71" i="44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M20" i="43"/>
  <c r="O85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O74" i="43"/>
  <c r="N74" i="43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L85" i="43"/>
  <c r="K85" i="43"/>
  <c r="K87" i="43"/>
  <c r="K24" i="43" s="1"/>
  <c r="J24" i="43"/>
  <c r="L88" i="43"/>
  <c r="L25" i="43" s="1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L75" i="43"/>
  <c r="K75" i="43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I75" i="43"/>
  <c r="H75" i="43"/>
  <c r="H68" i="43"/>
  <c r="I68" i="43" s="1"/>
  <c r="H38" i="43"/>
  <c r="I38" i="43"/>
  <c r="H34" i="43"/>
  <c r="I34" i="43" s="1"/>
  <c r="H37" i="43"/>
  <c r="I37" i="43" s="1"/>
  <c r="H36" i="43"/>
  <c r="I36" i="43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G5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F108" i="41"/>
  <c r="F22" i="41" s="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L104" i="47" l="1"/>
  <c r="L17" i="47" s="1"/>
  <c r="K112" i="47"/>
  <c r="L112" i="47"/>
  <c r="L86" i="47"/>
  <c r="L25" i="47" s="1"/>
  <c r="K95" i="47"/>
  <c r="L95" i="47"/>
  <c r="L78" i="47"/>
  <c r="L20" i="47"/>
  <c r="L27" i="47" s="1"/>
  <c r="K20" i="47"/>
  <c r="K27" i="47" s="1"/>
  <c r="K78" i="47"/>
  <c r="K61" i="47"/>
  <c r="L61" i="47"/>
  <c r="K44" i="47"/>
  <c r="L44" i="47"/>
  <c r="I104" i="47"/>
  <c r="I17" i="47" s="1"/>
  <c r="I112" i="47"/>
  <c r="H112" i="47"/>
  <c r="I88" i="47"/>
  <c r="I26" i="47" s="1"/>
  <c r="H95" i="47"/>
  <c r="I95" i="47"/>
  <c r="I69" i="47"/>
  <c r="I23" i="47" s="1"/>
  <c r="H78" i="47"/>
  <c r="H20" i="47"/>
  <c r="H27" i="47" s="1"/>
  <c r="I78" i="47"/>
  <c r="I20" i="47"/>
  <c r="H61" i="47"/>
  <c r="I61" i="47"/>
  <c r="H44" i="47"/>
  <c r="I44" i="47"/>
  <c r="F105" i="47"/>
  <c r="F18" i="47" s="1"/>
  <c r="F109" i="47"/>
  <c r="F22" i="47" s="1"/>
  <c r="E112" i="47"/>
  <c r="F112" i="47"/>
  <c r="G11" i="47" s="1"/>
  <c r="F86" i="47"/>
  <c r="F25" i="47" s="1"/>
  <c r="E95" i="47"/>
  <c r="F95" i="47"/>
  <c r="G9" i="47" s="1"/>
  <c r="F78" i="47"/>
  <c r="F20" i="47"/>
  <c r="E78" i="47"/>
  <c r="E20" i="47"/>
  <c r="E27" i="47" s="1"/>
  <c r="E61" i="47"/>
  <c r="F61" i="47"/>
  <c r="G5" i="47" s="1"/>
  <c r="F44" i="47"/>
  <c r="E44" i="47"/>
  <c r="G3" i="47" s="1"/>
  <c r="N44" i="45"/>
  <c r="N17" i="45"/>
  <c r="O44" i="45"/>
  <c r="O17" i="45"/>
  <c r="N61" i="45"/>
  <c r="O61" i="45"/>
  <c r="O18" i="45"/>
  <c r="O78" i="45"/>
  <c r="N18" i="45"/>
  <c r="N78" i="45"/>
  <c r="O88" i="45"/>
  <c r="O23" i="45" s="1"/>
  <c r="N95" i="45"/>
  <c r="O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44" i="45"/>
  <c r="L17" i="45"/>
  <c r="I106" i="45"/>
  <c r="I20" i="45" s="1"/>
  <c r="I112" i="45"/>
  <c r="H112" i="45"/>
  <c r="I90" i="45"/>
  <c r="I25" i="45" s="1"/>
  <c r="H95" i="45"/>
  <c r="I70" i="45"/>
  <c r="I19" i="45" s="1"/>
  <c r="H78" i="45"/>
  <c r="H18" i="45"/>
  <c r="I78" i="45"/>
  <c r="I18" i="45"/>
  <c r="I61" i="45"/>
  <c r="H61" i="45"/>
  <c r="H44" i="45"/>
  <c r="H17" i="45"/>
  <c r="I44" i="45"/>
  <c r="I17" i="45"/>
  <c r="F106" i="45"/>
  <c r="F20" i="45" s="1"/>
  <c r="F107" i="45"/>
  <c r="F21" i="45" s="1"/>
  <c r="F112" i="45"/>
  <c r="E112" i="45"/>
  <c r="F88" i="45"/>
  <c r="F23" i="45" s="1"/>
  <c r="F89" i="45"/>
  <c r="F24" i="45" s="1"/>
  <c r="E95" i="45"/>
  <c r="E78" i="45"/>
  <c r="E18" i="45"/>
  <c r="F7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N95" i="44"/>
  <c r="O19" i="44"/>
  <c r="O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F95" i="44"/>
  <c r="E25" i="44"/>
  <c r="E78" i="44"/>
  <c r="F78" i="44"/>
  <c r="G7" i="44" s="1"/>
  <c r="F25" i="44"/>
  <c r="E61" i="44"/>
  <c r="F61" i="44"/>
  <c r="E44" i="44"/>
  <c r="F44" i="44"/>
  <c r="G3" i="44" s="1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95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112" i="43" s="1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I27" i="47" l="1"/>
  <c r="G7" i="47"/>
  <c r="F27" i="47"/>
  <c r="N27" i="45"/>
  <c r="O27" i="45"/>
  <c r="O112" i="45"/>
  <c r="G11" i="45" s="1"/>
  <c r="I95" i="44"/>
  <c r="F44" i="45"/>
  <c r="G5" i="45"/>
  <c r="L78" i="45"/>
  <c r="G7" i="45" s="1"/>
  <c r="I95" i="45"/>
  <c r="L95" i="45"/>
  <c r="L112" i="45"/>
  <c r="G5" i="36"/>
  <c r="F112" i="44"/>
  <c r="L112" i="44"/>
  <c r="O112" i="44"/>
  <c r="F95" i="45"/>
  <c r="K27" i="45"/>
  <c r="G9" i="45"/>
  <c r="L27" i="45"/>
  <c r="H27" i="45"/>
  <c r="I27" i="45"/>
  <c r="G3" i="45"/>
  <c r="F27" i="45"/>
  <c r="E27" i="45"/>
  <c r="N27" i="44"/>
  <c r="O27" i="44"/>
  <c r="G5" i="44"/>
  <c r="O112" i="41"/>
  <c r="I112" i="44"/>
  <c r="L95" i="44"/>
  <c r="G9" i="44" s="1"/>
  <c r="K27" i="44"/>
  <c r="L27" i="44"/>
  <c r="I27" i="44"/>
  <c r="H27" i="44"/>
  <c r="F27" i="44"/>
  <c r="E27" i="44"/>
  <c r="G11" i="44"/>
  <c r="O112" i="43"/>
  <c r="G11" i="43" s="1"/>
  <c r="O27" i="43"/>
  <c r="O78" i="43"/>
  <c r="G7" i="43"/>
  <c r="F61" i="41"/>
  <c r="O61" i="41"/>
  <c r="G3" i="43"/>
  <c r="L112" i="43"/>
  <c r="F95" i="43"/>
  <c r="G9" i="43" s="1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G11" i="40" s="1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9" i="36" s="1"/>
  <c r="G11" i="36" l="1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<sst xmlns="http://schemas.openxmlformats.org/spreadsheetml/2006/main" count="3774" uniqueCount="358">
  <si>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</si>
  <si>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</si>
  <si>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</si>
  <si>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</si>
  <si>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</si>
  <si>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</si>
  <si>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</si>
  <si>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</si>
  <si>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</si>
  <si>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</si>
  <si>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</si>
  <si>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</si>
  <si>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</si>
  <si>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</si>
  <si>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</si>
  <si>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</si>
  <si>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</si>
  <si>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</si>
  <si>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</si>
  <si>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</si>
  <si>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</si>
  <si>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</si>
  <si>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</si>
  <si>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</si>
  <si>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</si>
  <si>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</si>
  <si>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</si>
  <si>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</si>
  <si>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</si>
  <si>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</si>
  <si>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</si>
  <si>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</si>
  <si>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</si>
  <si>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</si>
  <si>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</si>
  <si>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</si>
  <si>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</si>
  <si>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</si>
  <si>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</si>
  <si>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</si>
  <si>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</si>
  <si>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</si>
  <si>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</si>
  <si>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</si>
  <si>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</si>
  <si>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</si>
  <si>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</si>
  <si>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</si>
  <si>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</si>
  <si>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</si>
  <si>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</si>
  <si>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</si>
  <si>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</si>
  <si>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</si>
  <si>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</si>
  <si>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</si>
  <si>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</si>
  <si>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</si>
  <si>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</si>
  <si>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</si>
  <si>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</si>
  <si>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</si>
  <si>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</si>
  <si>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</si>
  <si>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</si>
  <si>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</si>
  <si>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</si>
  <si>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</si>
  <si>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</si>
  <si>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</si>
  <si>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</si>
  <si>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</si>
  <si>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</si>
  <si>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</si>
  <si>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</si>
  <si>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</si>
  <si>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</si>
  <si>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</si>
  <si>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</si>
  <si>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</si>
  <si>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</si>
  <si>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</si>
  <si>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</si>
  <si>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</si>
  <si>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</si>
  <si>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</si>
  <si>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</si>
  <si>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</si>
  <si>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</si>
  <si>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</si>
  <si>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</si>
  <si>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</si>
  <si>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</si>
  <si>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</si>
  <si>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</si>
  <si>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</si>
  <si>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</si>
  <si>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KRW-SAND</t>
  </si>
  <si>
    <t>코박토큰</t>
  </si>
  <si>
    <t>KRW-CBK</t>
  </si>
  <si>
    <t>엘비알와이크레딧</t>
  </si>
  <si>
    <t>피르마체인</t>
  </si>
  <si>
    <t>KRW-FCT2</t>
  </si>
  <si>
    <t>옵저버</t>
  </si>
  <si>
    <t>메타디움</t>
  </si>
  <si>
    <t>썸씽</t>
  </si>
  <si>
    <t>KRW-SSX</t>
  </si>
  <si>
    <t>퀴즈톡</t>
  </si>
  <si>
    <t>KRW-QTCON</t>
  </si>
  <si>
    <t>골렘</t>
  </si>
  <si>
    <t>KRW-GLM</t>
  </si>
  <si>
    <t>비트코인캐시에이비씨</t>
  </si>
  <si>
    <t>KRW-BCHA</t>
  </si>
  <si>
    <t>스트라티스</t>
  </si>
  <si>
    <t>페이코인</t>
  </si>
  <si>
    <t>KRW-PCI</t>
  </si>
  <si>
    <t>엠블</t>
  </si>
  <si>
    <t>KRW-MVL</t>
  </si>
  <si>
    <t>세럼</t>
  </si>
  <si>
    <t>KRW-SRM</t>
  </si>
  <si>
    <t>폴카닷</t>
  </si>
  <si>
    <t>KRW-DOT</t>
  </si>
  <si>
    <t>플레이댑</t>
  </si>
  <si>
    <t>KRW-PLA</t>
  </si>
  <si>
    <t>마로</t>
  </si>
  <si>
    <t>헌트</t>
  </si>
  <si>
    <t>람다</t>
  </si>
  <si>
    <t>KRW-LAMB</t>
  </si>
  <si>
    <t>스와이프</t>
  </si>
  <si>
    <t>톤</t>
  </si>
  <si>
    <t>크립토닷컴체인</t>
  </si>
  <si>
    <t>KRW-CRO</t>
  </si>
  <si>
    <t>저스트</t>
  </si>
  <si>
    <t>KRW-JST</t>
  </si>
  <si>
    <t>보라</t>
  </si>
  <si>
    <t>아하토큰</t>
  </si>
  <si>
    <t>카바</t>
  </si>
  <si>
    <t>하이브</t>
  </si>
  <si>
    <t>디카르고</t>
  </si>
  <si>
    <t>KRW-DKA</t>
  </si>
  <si>
    <t>스톰엑스</t>
  </si>
  <si>
    <t>KRW-STMX</t>
  </si>
  <si>
    <t>픽셀</t>
  </si>
  <si>
    <t>칠리즈</t>
  </si>
  <si>
    <t>KRW-CHZ</t>
  </si>
  <si>
    <t>비체인</t>
  </si>
  <si>
    <t>오브스</t>
  </si>
  <si>
    <t>에스티피</t>
  </si>
  <si>
    <t>메디블록</t>
  </si>
  <si>
    <t>헤데라해시그래프</t>
  </si>
  <si>
    <t>KRW-HBAR</t>
  </si>
  <si>
    <t>왁스</t>
  </si>
  <si>
    <t>KRW-WAXP</t>
  </si>
  <si>
    <t>트웰브쉽스</t>
  </si>
  <si>
    <t>KRW-TSHP</t>
  </si>
  <si>
    <t>무비블록</t>
  </si>
  <si>
    <t>솔브케어</t>
  </si>
  <si>
    <t>KRW-SOLVE</t>
  </si>
  <si>
    <t>캐리프로토콜</t>
  </si>
  <si>
    <t>썬더토큰</t>
  </si>
  <si>
    <t>아르고</t>
  </si>
  <si>
    <t>앵커</t>
  </si>
  <si>
    <t>KRW-ANKR</t>
  </si>
  <si>
    <t>디센트럴랜드</t>
  </si>
  <si>
    <t>쎄타퓨엘</t>
  </si>
  <si>
    <t>KRW-TFUEL</t>
  </si>
  <si>
    <t>엔진코인</t>
  </si>
  <si>
    <t>모스코인</t>
  </si>
  <si>
    <t>비트토렌트</t>
  </si>
  <si>
    <t>KRW-BTT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</si>
  <si>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</si>
  <si>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</si>
  <si>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</si>
  <si>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</si>
  <si>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</si>
  <si>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</si>
  <si>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</si>
  <si>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</si>
  <si>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</si>
  <si>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KRW-ELF</t>
  </si>
  <si>
    <t>센티넬프로토콜</t>
  </si>
  <si>
    <t>온톨로지가스</t>
  </si>
  <si>
    <t>KRW-ONG</t>
  </si>
  <si>
    <t>메인프레임</t>
  </si>
  <si>
    <t>아이오타</t>
  </si>
  <si>
    <t>시빅</t>
  </si>
  <si>
    <t>리퍼리움</t>
  </si>
  <si>
    <t>디마켓</t>
  </si>
  <si>
    <t>KRW-IOST</t>
  </si>
  <si>
    <t>애드엑스</t>
  </si>
  <si>
    <t>KRW-ADX</t>
  </si>
  <si>
    <t>룸네트워크</t>
  </si>
  <si>
    <t>KRW-LOOM</t>
  </si>
  <si>
    <t>폴리매쓰</t>
  </si>
  <si>
    <t>KRW-POLY</t>
  </si>
  <si>
    <t>온톨로지</t>
  </si>
  <si>
    <t>KRW-ONT</t>
  </si>
  <si>
    <t>이그니스</t>
  </si>
  <si>
    <t>KRW-IGNIS</t>
  </si>
  <si>
    <t>시아코인</t>
  </si>
  <si>
    <t>트론</t>
  </si>
  <si>
    <t>비트코인골드</t>
  </si>
  <si>
    <t>KRW-BTG</t>
  </si>
  <si>
    <t>파워렛저</t>
  </si>
  <si>
    <t>KRW-POWR</t>
  </si>
  <si>
    <t>스팀달러</t>
  </si>
  <si>
    <t>KRW-SBD</t>
  </si>
  <si>
    <t>아인스타이늄</t>
  </si>
  <si>
    <t>KRW-EMC2</t>
  </si>
  <si>
    <t>그로스톨코인</t>
  </si>
  <si>
    <t>스토리지</t>
  </si>
  <si>
    <t>KRW-STORJ</t>
  </si>
  <si>
    <t>코모도</t>
  </si>
  <si>
    <t>KRW-KMD</t>
  </si>
  <si>
    <t>아더</t>
  </si>
  <si>
    <t>스텔라루멘</t>
  </si>
  <si>
    <t>KRW-XLM</t>
  </si>
  <si>
    <t>스팀</t>
  </si>
  <si>
    <t>리스크</t>
  </si>
  <si>
    <t>KRW-LSK</t>
  </si>
  <si>
    <t>퀀텀</t>
  </si>
  <si>
    <t>넴</t>
  </si>
  <si>
    <t>KRW-XEM</t>
  </si>
  <si>
    <t>웨이브</t>
  </si>
  <si>
    <t>KRW-WAVES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</si>
  <si>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</si>
  <si>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</si>
  <si>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</si>
  <si>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</si>
  <si>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</si>
  <si>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</si>
  <si>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</si>
  <si>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</si>
  <si>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</si>
  <si>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</si>
  <si>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</si>
  <si>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</si>
  <si>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</si>
  <si>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</si>
  <si>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KRW-AXS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</si>
  <si>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</si>
  <si>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</si>
  <si>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</si>
  <si>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</si>
  <si>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</si>
  <si>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</si>
  <si>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</si>
  <si>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</si>
  <si>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</si>
  <si>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</si>
  <si>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</si>
  <si>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</si>
  <si>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</si>
  <si>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</si>
  <si>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</si>
  <si>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</si>
  <si>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</si>
  <si>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</si>
  <si>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</si>
  <si>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</si>
  <si>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KRW-ETC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</si>
  <si>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</si>
  <si>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</si>
  <si>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</si>
  <si>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</si>
  <si>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</si>
  <si>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</si>
  <si>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</si>
  <si>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</si>
  <si>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</si>
  <si>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KRW-ETH</t>
  </si>
  <si>
    <t>이더리움</t>
  </si>
  <si>
    <t>KRW-NEO</t>
  </si>
  <si>
    <t>KRW-MTL</t>
  </si>
  <si>
    <t>KRW-LTC</t>
  </si>
  <si>
    <t>라이트코인</t>
  </si>
  <si>
    <t>KRW-XRP</t>
  </si>
  <si>
    <t>KRW-OMG</t>
  </si>
  <si>
    <t>KRW-SNT</t>
  </si>
  <si>
    <t>KRW-QTUM</t>
  </si>
  <si>
    <t>KRW-STEEM</t>
  </si>
  <si>
    <t>KRW-ARDR</t>
  </si>
  <si>
    <t>KRW-ARK</t>
  </si>
  <si>
    <t>아크</t>
  </si>
  <si>
    <t>KRW-GRS</t>
  </si>
  <si>
    <t>KRW-REP</t>
  </si>
  <si>
    <t>어거</t>
  </si>
  <si>
    <t>KRW-ADA</t>
  </si>
  <si>
    <t>에이다</t>
  </si>
  <si>
    <t>KRW-ICX</t>
  </si>
  <si>
    <t>아이콘</t>
  </si>
  <si>
    <t>KRW-EOS</t>
  </si>
  <si>
    <t>이오스</t>
  </si>
  <si>
    <t>KRW-TRX</t>
  </si>
  <si>
    <t>KRW-SC</t>
  </si>
  <si>
    <t>KRW-ZIL</t>
  </si>
  <si>
    <t>KRW-ZRX</t>
  </si>
  <si>
    <t>KRW-BCH</t>
  </si>
  <si>
    <t>비트코인캐시</t>
  </si>
  <si>
    <t>KRW-BAT</t>
  </si>
  <si>
    <t>베이직어텐션토큰</t>
  </si>
  <si>
    <t>KRW-DMT</t>
  </si>
  <si>
    <t>KRW-RFR</t>
  </si>
  <si>
    <t>KRW-CVC</t>
  </si>
  <si>
    <t>KRW-IQ</t>
  </si>
  <si>
    <t>KRW-IOTA</t>
  </si>
  <si>
    <t>KRW-MFT</t>
  </si>
  <si>
    <t>KRW-GAS</t>
  </si>
  <si>
    <t>가스</t>
  </si>
  <si>
    <t>KRW-UPP</t>
  </si>
  <si>
    <t>KRW-KNC</t>
  </si>
  <si>
    <t>KRW-BSV</t>
  </si>
  <si>
    <t>KRW-THETA</t>
  </si>
  <si>
    <t>KRW-EDR</t>
  </si>
  <si>
    <t>KRW-QKC</t>
  </si>
  <si>
    <t>KRW-MOC</t>
  </si>
  <si>
    <t>KRW-ENJ</t>
  </si>
  <si>
    <t>KRW-MANA</t>
  </si>
  <si>
    <t>KRW-AERGO</t>
  </si>
  <si>
    <t>KRW-ATOM</t>
  </si>
  <si>
    <t>코스모스</t>
  </si>
  <si>
    <t>KRW-TT</t>
  </si>
  <si>
    <t>KRW-CRE</t>
  </si>
  <si>
    <t>KRW-MBL</t>
  </si>
  <si>
    <t>KRW-MED</t>
  </si>
  <si>
    <t>KRW-MLK</t>
  </si>
  <si>
    <t>밀크</t>
  </si>
  <si>
    <t>KRW-STPT</t>
  </si>
  <si>
    <t>KRW-ORBS</t>
  </si>
  <si>
    <t>KRW-VET</t>
  </si>
  <si>
    <t>KRW-PXL</t>
  </si>
  <si>
    <t>KRW-HIVE</t>
  </si>
  <si>
    <t>KRW-KAVA</t>
  </si>
  <si>
    <t>KRW-AHT</t>
  </si>
  <si>
    <t>KRW-LINK</t>
  </si>
  <si>
    <t>체인링크</t>
  </si>
  <si>
    <t>KRW-XTZ</t>
  </si>
  <si>
    <t>테조스</t>
  </si>
  <si>
    <t>KRW-BORA</t>
  </si>
  <si>
    <t>KRW-TON</t>
  </si>
  <si>
    <t>KRW-SXP</t>
  </si>
  <si>
    <t>KRW-HUNT</t>
  </si>
  <si>
    <t>KRW-MARO</t>
  </si>
  <si>
    <t>KRW-STRAX</t>
  </si>
  <si>
    <t>KRW-AQT</t>
  </si>
  <si>
    <t>알파쿼크</t>
  </si>
  <si>
    <t>KRW-META</t>
  </si>
  <si>
    <t>KRW-OBSR</t>
  </si>
  <si>
    <t>KRW-LBC</t>
  </si>
  <si>
    <t>KRW-HUM</t>
  </si>
  <si>
    <t>휴먼스케이프</t>
  </si>
  <si>
    <t>KRW-DOGE</t>
  </si>
  <si>
    <t>KRW-STRK</t>
  </si>
  <si>
    <t>KRW-PUNDIX</t>
  </si>
  <si>
    <t>KRW-FLOW</t>
  </si>
  <si>
    <t>KRW-DAWN</t>
  </si>
  <si>
    <t>KRW-STX</t>
  </si>
  <si>
    <t>오후 21:06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</si>
</sst>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01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27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45" t="s">
        <v>0</v>
      </c>
      <c r="B1" s="146"/>
      <c r="C1" s="146"/>
      <c r="D1" s="146"/>
      <c r="E1" s="146"/>
      <c r="F1" s="147"/>
      <c r="G1" s="189">
        <v>44287</v>
      </c>
      <c r="H1" s="190"/>
      <c r="I1" s="191"/>
      <c r="J1" s="145" t="s">
        <v>33</v>
      </c>
      <c r="K1" s="146"/>
      <c r="L1" s="146"/>
      <c r="M1" s="146"/>
      <c r="N1" s="146"/>
      <c r="O1" s="147"/>
      <c r="Q1" s="145" t="s">
        <v>1</v>
      </c>
      <c r="R1" s="147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86" t="s">
        <v>83</v>
      </c>
      <c r="H2" s="187"/>
      <c r="I2" s="188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83" t="s">
        <v>55</v>
      </c>
      <c r="C3" s="184"/>
      <c r="D3" s="184"/>
      <c r="E3" s="184"/>
      <c r="F3" s="185"/>
      <c r="G3" s="17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175"/>
      <c r="I3" s="176"/>
      <c r="J3" s="1" t="s">
        <v>23</v>
      </c>
      <c r="K3" s="183" t="s">
        <v>59</v>
      </c>
      <c r="L3" s="184"/>
      <c r="M3" s="184"/>
      <c r="N3" s="184"/>
      <c r="O3" s="18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3" t="s">
        <v>56</v>
      </c>
      <c r="C4" s="184"/>
      <c r="D4" s="184"/>
      <c r="E4" s="184"/>
      <c r="F4" s="185"/>
      <c r="G4" s="186" t="s">
        <v>84</v>
      </c>
      <c r="H4" s="187"/>
      <c r="I4" s="188"/>
      <c r="J4" s="1" t="s">
        <v>30</v>
      </c>
      <c r="K4" s="183" t="s">
        <v>60</v>
      </c>
      <c r="L4" s="184"/>
      <c r="M4" s="184"/>
      <c r="N4" s="184"/>
      <c r="O4" s="185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83" t="s">
        <v>57</v>
      </c>
      <c r="C5" s="184"/>
      <c r="D5" s="184"/>
      <c r="E5" s="184"/>
      <c r="F5" s="185"/>
      <c r="G5" s="17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75"/>
      <c r="I5" s="176"/>
      <c r="J5" s="1" t="s">
        <v>24</v>
      </c>
      <c r="K5" s="183" t="s">
        <v>62</v>
      </c>
      <c r="L5" s="184"/>
      <c r="M5" s="184"/>
      <c r="N5" s="184"/>
      <c r="O5" s="185"/>
    </row>
    <row r="6" spans="1:18">
      <c r="A6" s="1" t="s">
        <v>25</v>
      </c>
      <c r="B6" s="183" t="s">
        <v>58</v>
      </c>
      <c r="C6" s="184"/>
      <c r="D6" s="184"/>
      <c r="E6" s="184"/>
      <c r="F6" s="185"/>
      <c r="G6" s="186" t="s">
        <v>85</v>
      </c>
      <c r="H6" s="187"/>
      <c r="I6" s="188"/>
      <c r="J6" s="1" t="s">
        <v>25</v>
      </c>
      <c r="K6" s="183" t="s">
        <v>63</v>
      </c>
      <c r="L6" s="184"/>
      <c r="M6" s="184"/>
      <c r="N6" s="184"/>
      <c r="O6" s="185"/>
    </row>
    <row r="7" spans="1:18" ht="17.25" thickBot="1">
      <c r="A7" s="1" t="s">
        <v>26</v>
      </c>
      <c r="B7" s="183" t="s">
        <v>64</v>
      </c>
      <c r="C7" s="184"/>
      <c r="D7" s="184"/>
      <c r="E7" s="184"/>
      <c r="F7" s="185"/>
      <c r="G7" s="17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75"/>
      <c r="I7" s="176"/>
      <c r="J7" s="1" t="s">
        <v>26</v>
      </c>
      <c r="K7" s="183" t="s">
        <v>65</v>
      </c>
      <c r="L7" s="184"/>
      <c r="M7" s="184"/>
      <c r="N7" s="184"/>
      <c r="O7" s="185"/>
    </row>
    <row r="8" spans="1:18" ht="17.25" thickBot="1">
      <c r="A8" s="1" t="s">
        <v>27</v>
      </c>
      <c r="B8" s="183" t="s">
        <v>66</v>
      </c>
      <c r="C8" s="184"/>
      <c r="D8" s="184"/>
      <c r="E8" s="184"/>
      <c r="F8" s="185"/>
      <c r="G8" s="186" t="s">
        <v>86</v>
      </c>
      <c r="H8" s="187"/>
      <c r="I8" s="188"/>
      <c r="J8" s="1" t="s">
        <v>27</v>
      </c>
      <c r="K8" s="183" t="s">
        <v>88</v>
      </c>
      <c r="L8" s="184"/>
      <c r="M8" s="184"/>
      <c r="N8" s="184"/>
      <c r="O8" s="185"/>
      <c r="Q8" s="145" t="s">
        <v>16</v>
      </c>
      <c r="R8" s="147"/>
    </row>
    <row r="9" spans="1:18" ht="17.25" thickBot="1">
      <c r="A9" s="1" t="s">
        <v>28</v>
      </c>
      <c r="B9" s="183"/>
      <c r="C9" s="184"/>
      <c r="D9" s="184"/>
      <c r="E9" s="184"/>
      <c r="F9" s="185"/>
      <c r="G9" s="17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75"/>
      <c r="I9" s="176"/>
      <c r="J9" s="1" t="s">
        <v>28</v>
      </c>
      <c r="K9" s="183" t="s">
        <v>268</v>
      </c>
      <c r="L9" s="184"/>
      <c r="M9" s="184"/>
      <c r="N9" s="184"/>
      <c r="O9" s="185"/>
      <c r="Q9" s="18" t="s">
        <v>2</v>
      </c>
      <c r="R9" s="51">
        <v>10</v>
      </c>
    </row>
    <row r="10" spans="1:18">
      <c r="A10" s="1" t="s">
        <v>29</v>
      </c>
      <c r="B10" s="183"/>
      <c r="C10" s="184"/>
      <c r="D10" s="184"/>
      <c r="E10" s="184"/>
      <c r="F10" s="185"/>
      <c r="G10" s="186" t="s">
        <v>81</v>
      </c>
      <c r="H10" s="187"/>
      <c r="I10" s="188"/>
      <c r="J10" s="1" t="s">
        <v>29</v>
      </c>
      <c r="K10" s="183"/>
      <c r="L10" s="184"/>
      <c r="M10" s="184"/>
      <c r="N10" s="184"/>
      <c r="O10" s="185"/>
      <c r="Q10" s="18" t="s">
        <v>3</v>
      </c>
      <c r="R10" s="51">
        <v>100</v>
      </c>
    </row>
    <row r="11" spans="1:18" ht="17.25" thickBot="1">
      <c r="A11" s="2" t="s">
        <v>21</v>
      </c>
      <c r="B11" s="171"/>
      <c r="C11" s="172"/>
      <c r="D11" s="172"/>
      <c r="E11" s="172"/>
      <c r="F11" s="173"/>
      <c r="G11" s="17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175"/>
      <c r="I11" s="176"/>
      <c r="J11" s="2" t="s">
        <v>21</v>
      </c>
      <c r="K11" s="171"/>
      <c r="L11" s="172"/>
      <c r="M11" s="172"/>
      <c r="N11" s="172"/>
      <c r="O11" s="173"/>
      <c r="Q11" s="7" t="s">
        <v>17</v>
      </c>
      <c r="R11" s="52">
        <v>1000</v>
      </c>
    </row>
    <row r="12" spans="1:18" ht="17.25" thickBot="1"/>
    <row r="13" spans="1:18" ht="17.25" customHeight="1" thickBot="1">
      <c r="A13" s="145" t="s">
        <v>87</v>
      </c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Q13" s="177"/>
      <c r="R13" s="178"/>
    </row>
    <row r="14" spans="1:18" ht="17.25" customHeight="1" thickBot="1">
      <c r="A14" s="81" t="s">
        <v>236</v>
      </c>
      <c r="B14" s="145" t="s">
        <v>235</v>
      </c>
      <c r="C14" s="147"/>
      <c r="D14" s="145" t="s">
        <v>67</v>
      </c>
      <c r="E14" s="146"/>
      <c r="F14" s="147"/>
      <c r="G14" s="159">
        <f>_xlfn.IFNA(VLOOKUP(B14, 현재가테이블!$B$1:$D$200, 2, FALSE), "-")</f>
        <v>81224000</v>
      </c>
      <c r="H14" s="160"/>
      <c r="I14" s="161"/>
      <c r="J14" s="145" t="s">
        <v>69</v>
      </c>
      <c r="K14" s="146"/>
      <c r="L14" s="147"/>
      <c r="M14" s="162">
        <f>_xlfn.IFNA(VLOOKUP(B14, 현재가테이블!$B$1:$D$200, 3, FALSE), "-")</f>
        <v>3.8962367900000003E-2</v>
      </c>
      <c r="N14" s="163"/>
      <c r="O14" s="164"/>
      <c r="Q14" s="179"/>
      <c r="R14" s="180"/>
    </row>
    <row r="15" spans="1:18" ht="17.25" customHeight="1" thickBot="1">
      <c r="A15" s="152" t="s">
        <v>18</v>
      </c>
      <c r="B15" s="153" t="s">
        <v>54</v>
      </c>
      <c r="C15" s="154"/>
      <c r="D15" s="181" t="s">
        <v>20</v>
      </c>
      <c r="E15" s="158"/>
      <c r="F15" s="182"/>
      <c r="G15" s="181" t="s">
        <v>15</v>
      </c>
      <c r="H15" s="158"/>
      <c r="I15" s="182"/>
      <c r="J15" s="158" t="s">
        <v>34</v>
      </c>
      <c r="K15" s="158"/>
      <c r="L15" s="158"/>
      <c r="M15" s="181" t="s">
        <v>54</v>
      </c>
      <c r="N15" s="158"/>
      <c r="O15" s="182"/>
      <c r="Q15" s="167"/>
      <c r="R15" s="168"/>
    </row>
    <row r="16" spans="1:18" ht="17.25" customHeight="1" thickBot="1">
      <c r="A16" s="1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67"/>
      <c r="R16" s="168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65"/>
      <c r="R17" s="166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65"/>
      <c r="R18" s="166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65"/>
      <c r="R19" s="166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65"/>
      <c r="R20" s="166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65"/>
      <c r="R21" s="166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65"/>
      <c r="R22" s="166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65"/>
      <c r="R23" s="166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65"/>
      <c r="R24" s="166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67"/>
      <c r="R25" s="168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67"/>
      <c r="R26" s="168"/>
    </row>
    <row r="27" spans="1:18" ht="17.25" customHeight="1" thickBot="1">
      <c r="A27" s="57" t="s">
        <v>32</v>
      </c>
      <c r="B27" s="143">
        <v>100000</v>
      </c>
      <c r="C27" s="144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69"/>
      <c r="R27" s="17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5" t="s">
        <v>83</v>
      </c>
      <c r="B30" s="146"/>
      <c r="C30" s="146"/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7"/>
      <c r="Q30" s="148"/>
      <c r="R30" s="149"/>
    </row>
    <row r="31" spans="1:18" ht="17.25" customHeight="1" thickBot="1">
      <c r="A31" s="81" t="s">
        <v>236</v>
      </c>
      <c r="B31" s="145" t="s">
        <v>235</v>
      </c>
      <c r="C31" s="147"/>
      <c r="D31" s="145" t="s">
        <v>67</v>
      </c>
      <c r="E31" s="146"/>
      <c r="F31" s="147"/>
      <c r="G31" s="159">
        <f>_xlfn.IFNA(VLOOKUP(B31, 현재가테이블!$B$1:$D$200, 2, FALSE), "-")</f>
        <v>81224000</v>
      </c>
      <c r="H31" s="160"/>
      <c r="I31" s="161"/>
      <c r="J31" s="145" t="s">
        <v>69</v>
      </c>
      <c r="K31" s="146"/>
      <c r="L31" s="147"/>
      <c r="M31" s="162">
        <f>_xlfn.IFNA(VLOOKUP(B31, 현재가테이블!$B$1:$D$200, 3, FALSE), "-")</f>
        <v>3.8962367900000003E-2</v>
      </c>
      <c r="N31" s="163"/>
      <c r="O31" s="164"/>
      <c r="Q31" s="150"/>
      <c r="R31" s="151"/>
    </row>
    <row r="32" spans="1:18" ht="17.25" customHeight="1" thickBot="1">
      <c r="A32" s="152" t="s">
        <v>18</v>
      </c>
      <c r="B32" s="153" t="s">
        <v>54</v>
      </c>
      <c r="C32" s="154"/>
      <c r="D32" s="155" t="s">
        <v>20</v>
      </c>
      <c r="E32" s="156"/>
      <c r="F32" s="157"/>
      <c r="G32" s="155" t="s">
        <v>15</v>
      </c>
      <c r="H32" s="156"/>
      <c r="I32" s="157"/>
      <c r="J32" s="158" t="s">
        <v>34</v>
      </c>
      <c r="K32" s="158"/>
      <c r="L32" s="158"/>
      <c r="M32" s="155" t="s">
        <v>54</v>
      </c>
      <c r="N32" s="156"/>
      <c r="O32" s="157"/>
      <c r="Q32" s="139"/>
      <c r="R32" s="140"/>
    </row>
    <row r="33" spans="1:18" ht="17.25" customHeight="1" thickBot="1">
      <c r="A33" s="1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39"/>
      <c r="R33" s="140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137"/>
      <c r="R34" s="138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37"/>
      <c r="R35" s="138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37"/>
      <c r="R36" s="138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37"/>
      <c r="R37" s="138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37"/>
      <c r="R38" s="138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37"/>
      <c r="R39" s="138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37"/>
      <c r="R40" s="138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37"/>
      <c r="R41" s="13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39"/>
      <c r="R42" s="14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39"/>
      <c r="R43" s="140"/>
    </row>
    <row r="44" spans="1:18" ht="17.25" customHeight="1" thickBot="1">
      <c r="A44" s="57" t="s">
        <v>32</v>
      </c>
      <c r="B44" s="143">
        <v>100000</v>
      </c>
      <c r="C44" s="144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41"/>
      <c r="R44" s="14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5" t="s">
        <v>84</v>
      </c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7"/>
      <c r="Q47" s="148"/>
      <c r="R47" s="149"/>
    </row>
    <row r="48" spans="1:18" ht="17.25" customHeight="1" thickBot="1">
      <c r="A48" s="81" t="s">
        <v>236</v>
      </c>
      <c r="B48" s="145" t="s">
        <v>235</v>
      </c>
      <c r="C48" s="147"/>
      <c r="D48" s="145" t="s">
        <v>67</v>
      </c>
      <c r="E48" s="146"/>
      <c r="F48" s="147"/>
      <c r="G48" s="159">
        <f>_xlfn.IFNA(VLOOKUP(B48, 현재가테이블!$B$1:$D$200, 2, FALSE), "-")</f>
        <v>81224000</v>
      </c>
      <c r="H48" s="160"/>
      <c r="I48" s="161"/>
      <c r="J48" s="145" t="s">
        <v>69</v>
      </c>
      <c r="K48" s="146"/>
      <c r="L48" s="147"/>
      <c r="M48" s="162">
        <f>_xlfn.IFNA(VLOOKUP(B48, 현재가테이블!$B$1:$D$200, 3, FALSE), "-")</f>
        <v>3.8962367900000003E-2</v>
      </c>
      <c r="N48" s="163"/>
      <c r="O48" s="164"/>
      <c r="Q48" s="150"/>
      <c r="R48" s="151"/>
    </row>
    <row r="49" spans="1:18" ht="17.25" customHeight="1" thickBot="1">
      <c r="A49" s="152" t="s">
        <v>18</v>
      </c>
      <c r="B49" s="153" t="s">
        <v>54</v>
      </c>
      <c r="C49" s="154"/>
      <c r="D49" s="155" t="s">
        <v>20</v>
      </c>
      <c r="E49" s="156"/>
      <c r="F49" s="157"/>
      <c r="G49" s="155" t="s">
        <v>15</v>
      </c>
      <c r="H49" s="156"/>
      <c r="I49" s="157"/>
      <c r="J49" s="158" t="s">
        <v>34</v>
      </c>
      <c r="K49" s="158"/>
      <c r="L49" s="158"/>
      <c r="M49" s="155" t="s">
        <v>54</v>
      </c>
      <c r="N49" s="156"/>
      <c r="O49" s="157"/>
      <c r="Q49" s="139"/>
      <c r="R49" s="140"/>
    </row>
    <row r="50" spans="1:18" ht="17.25" customHeight="1" thickBot="1">
      <c r="A50" s="1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39"/>
      <c r="R50" s="140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37"/>
      <c r="R51" s="138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37"/>
      <c r="R52" s="138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37"/>
      <c r="R53" s="138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37"/>
      <c r="R54" s="138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37"/>
      <c r="R55" s="138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37"/>
      <c r="R56" s="13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37"/>
      <c r="R57" s="13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37"/>
      <c r="R58" s="13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39"/>
      <c r="R59" s="14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39"/>
      <c r="R60" s="140"/>
    </row>
    <row r="61" spans="1:18" ht="17.25" customHeight="1" thickBot="1">
      <c r="A61" s="57" t="s">
        <v>32</v>
      </c>
      <c r="B61" s="143">
        <v>100000</v>
      </c>
      <c r="C61" s="144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41"/>
      <c r="R61" s="142"/>
    </row>
    <row r="62" spans="1:18" ht="17.25" customHeight="1"/>
    <row r="63" spans="1:18" ht="17.25" customHeight="1" thickBot="1"/>
    <row r="64" spans="1:18" ht="17.25" customHeight="1" thickBot="1">
      <c r="A64" s="145" t="s">
        <v>85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7"/>
      <c r="Q64" s="148"/>
      <c r="R64" s="149"/>
    </row>
    <row r="65" spans="1:18" ht="17.25" customHeight="1" thickBot="1">
      <c r="A65" s="81" t="s">
        <v>236</v>
      </c>
      <c r="B65" s="145" t="s">
        <v>235</v>
      </c>
      <c r="C65" s="147"/>
      <c r="D65" s="145" t="s">
        <v>67</v>
      </c>
      <c r="E65" s="146"/>
      <c r="F65" s="147"/>
      <c r="G65" s="159">
        <f>_xlfn.IFNA(VLOOKUP(B65, 현재가테이블!$B$1:$D$200, 2, FALSE), "-")</f>
        <v>81224000</v>
      </c>
      <c r="H65" s="160"/>
      <c r="I65" s="161"/>
      <c r="J65" s="145" t="s">
        <v>69</v>
      </c>
      <c r="K65" s="146"/>
      <c r="L65" s="147"/>
      <c r="M65" s="162">
        <f>_xlfn.IFNA(VLOOKUP(B65, 현재가테이블!$B$1:$D$200, 3, FALSE), "-")</f>
        <v>3.8962367900000003E-2</v>
      </c>
      <c r="N65" s="163"/>
      <c r="O65" s="164"/>
      <c r="Q65" s="150"/>
      <c r="R65" s="151"/>
    </row>
    <row r="66" spans="1:18" ht="17.25" customHeight="1" thickBot="1">
      <c r="A66" s="152" t="s">
        <v>18</v>
      </c>
      <c r="B66" s="153" t="s">
        <v>54</v>
      </c>
      <c r="C66" s="154"/>
      <c r="D66" s="155" t="s">
        <v>20</v>
      </c>
      <c r="E66" s="156"/>
      <c r="F66" s="157"/>
      <c r="G66" s="155" t="s">
        <v>15</v>
      </c>
      <c r="H66" s="156"/>
      <c r="I66" s="157"/>
      <c r="J66" s="158" t="s">
        <v>34</v>
      </c>
      <c r="K66" s="158"/>
      <c r="L66" s="158"/>
      <c r="M66" s="155" t="s">
        <v>54</v>
      </c>
      <c r="N66" s="156"/>
      <c r="O66" s="157"/>
      <c r="Q66" s="139"/>
      <c r="R66" s="140"/>
    </row>
    <row r="67" spans="1:18" ht="17.25" customHeight="1" thickBot="1">
      <c r="A67" s="1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39"/>
      <c r="R67" s="140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37"/>
      <c r="R68" s="138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37"/>
      <c r="R69" s="138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37"/>
      <c r="R70" s="138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37"/>
      <c r="R71" s="138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37"/>
      <c r="R72" s="138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37"/>
      <c r="R73" s="138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37"/>
      <c r="R74" s="138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37"/>
      <c r="R75" s="138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39"/>
      <c r="R76" s="140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39"/>
      <c r="R77" s="140"/>
    </row>
    <row r="78" spans="1:18" ht="17.25" customHeight="1" thickBot="1">
      <c r="A78" s="57" t="s">
        <v>32</v>
      </c>
      <c r="B78" s="143">
        <v>100000</v>
      </c>
      <c r="C78" s="144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41"/>
      <c r="R78" s="14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5" t="s">
        <v>86</v>
      </c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7"/>
      <c r="Q81" s="148"/>
      <c r="R81" s="149"/>
    </row>
    <row r="82" spans="1:18" ht="17.25" customHeight="1" thickBot="1">
      <c r="A82" s="81" t="s">
        <v>236</v>
      </c>
      <c r="B82" s="145" t="s">
        <v>235</v>
      </c>
      <c r="C82" s="147"/>
      <c r="D82" s="145" t="s">
        <v>67</v>
      </c>
      <c r="E82" s="146"/>
      <c r="F82" s="147"/>
      <c r="G82" s="159">
        <f>_xlfn.IFNA(VLOOKUP(B82, 현재가테이블!$B$1:$D$200, 2, FALSE), "-")</f>
        <v>81224000</v>
      </c>
      <c r="H82" s="160"/>
      <c r="I82" s="161"/>
      <c r="J82" s="145" t="s">
        <v>69</v>
      </c>
      <c r="K82" s="146"/>
      <c r="L82" s="147"/>
      <c r="M82" s="162">
        <f>_xlfn.IFNA(VLOOKUP(B82, 현재가테이블!$B$1:$D$200, 3, FALSE), "-")</f>
        <v>3.8962367900000003E-2</v>
      </c>
      <c r="N82" s="163"/>
      <c r="O82" s="164"/>
      <c r="Q82" s="150"/>
      <c r="R82" s="151"/>
    </row>
    <row r="83" spans="1:18" ht="17.25" customHeight="1" thickBot="1">
      <c r="A83" s="152" t="s">
        <v>18</v>
      </c>
      <c r="B83" s="153" t="s">
        <v>54</v>
      </c>
      <c r="C83" s="154"/>
      <c r="D83" s="155" t="s">
        <v>20</v>
      </c>
      <c r="E83" s="156"/>
      <c r="F83" s="157"/>
      <c r="G83" s="155" t="s">
        <v>15</v>
      </c>
      <c r="H83" s="156"/>
      <c r="I83" s="157"/>
      <c r="J83" s="158" t="s">
        <v>34</v>
      </c>
      <c r="K83" s="158"/>
      <c r="L83" s="158"/>
      <c r="M83" s="155" t="s">
        <v>54</v>
      </c>
      <c r="N83" s="156"/>
      <c r="O83" s="157"/>
      <c r="Q83" s="139"/>
      <c r="R83" s="140"/>
    </row>
    <row r="84" spans="1:18" ht="17.25" customHeight="1" thickBot="1">
      <c r="A84" s="1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39"/>
      <c r="R84" s="140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37"/>
      <c r="R85" s="138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37"/>
      <c r="R86" s="138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37"/>
      <c r="R87" s="138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37"/>
      <c r="R88" s="13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37"/>
      <c r="R89" s="138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37"/>
      <c r="R90" s="138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37"/>
      <c r="R91" s="138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37"/>
      <c r="R92" s="138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39"/>
      <c r="R93" s="14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39"/>
      <c r="R94" s="140"/>
    </row>
    <row r="95" spans="1:18" ht="17.25" customHeight="1" thickBot="1">
      <c r="A95" s="57" t="s">
        <v>32</v>
      </c>
      <c r="B95" s="143">
        <v>100000</v>
      </c>
      <c r="C95" s="144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41"/>
      <c r="R95" s="142"/>
    </row>
    <row r="96" spans="1:18" ht="17.25" customHeight="1"/>
    <row r="97" spans="1:18" ht="17.25" customHeight="1" thickBot="1"/>
    <row r="98" spans="1:18" ht="17.25" customHeight="1" thickBot="1">
      <c r="A98" s="145" t="s">
        <v>81</v>
      </c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7"/>
      <c r="Q98" s="148"/>
      <c r="R98" s="149"/>
    </row>
    <row r="99" spans="1:18" ht="17.25" customHeight="1" thickBot="1">
      <c r="A99" s="81" t="s">
        <v>236</v>
      </c>
      <c r="B99" s="145" t="s">
        <v>235</v>
      </c>
      <c r="C99" s="147"/>
      <c r="D99" s="145" t="s">
        <v>67</v>
      </c>
      <c r="E99" s="146"/>
      <c r="F99" s="147"/>
      <c r="G99" s="159">
        <f>_xlfn.IFNA(VLOOKUP(B99, 현재가테이블!$B$1:$D$200, 2, FALSE), "-")</f>
        <v>81224000</v>
      </c>
      <c r="H99" s="160"/>
      <c r="I99" s="161"/>
      <c r="J99" s="145" t="s">
        <v>69</v>
      </c>
      <c r="K99" s="146"/>
      <c r="L99" s="147"/>
      <c r="M99" s="162">
        <f>_xlfn.IFNA(VLOOKUP(B99, 현재가테이블!$B$1:$D$200, 3, FALSE), "-")</f>
        <v>3.8962367900000003E-2</v>
      </c>
      <c r="N99" s="163"/>
      <c r="O99" s="164"/>
      <c r="Q99" s="150"/>
      <c r="R99" s="151"/>
    </row>
    <row r="100" spans="1:18" ht="17.25" customHeight="1" thickBot="1">
      <c r="A100" s="152" t="s">
        <v>18</v>
      </c>
      <c r="B100" s="153" t="s">
        <v>54</v>
      </c>
      <c r="C100" s="154"/>
      <c r="D100" s="155" t="s">
        <v>20</v>
      </c>
      <c r="E100" s="156"/>
      <c r="F100" s="157"/>
      <c r="G100" s="155" t="s">
        <v>15</v>
      </c>
      <c r="H100" s="156"/>
      <c r="I100" s="157"/>
      <c r="J100" s="158" t="s">
        <v>34</v>
      </c>
      <c r="K100" s="158"/>
      <c r="L100" s="158"/>
      <c r="M100" s="155" t="s">
        <v>54</v>
      </c>
      <c r="N100" s="156"/>
      <c r="O100" s="157"/>
      <c r="Q100" s="139"/>
      <c r="R100" s="140"/>
    </row>
    <row r="101" spans="1:18" ht="17.25" customHeight="1" thickBot="1">
      <c r="A101" s="1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39"/>
      <c r="R101" s="140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137"/>
      <c r="R102" s="138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37"/>
      <c r="R103" s="138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37"/>
      <c r="R104" s="138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37"/>
      <c r="R105" s="138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37"/>
      <c r="R106" s="138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37"/>
      <c r="R107" s="138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37"/>
      <c r="R108" s="138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37"/>
      <c r="R109" s="138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39"/>
      <c r="R110" s="140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39"/>
      <c r="R111" s="140"/>
    </row>
    <row r="112" spans="1:18" ht="17.25" customHeight="1" thickBot="1">
      <c r="A112" s="57" t="s">
        <v>32</v>
      </c>
      <c r="B112" s="143">
        <v>100000</v>
      </c>
      <c r="C112" s="144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41"/>
      <c r="R112" s="14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273" priority="89">
      <formula>$E$27&gt;0</formula>
    </cfRule>
    <cfRule type="expression" dxfId="1272" priority="90">
      <formula>$E$27&lt;0</formula>
    </cfRule>
  </conditionalFormatting>
  <conditionalFormatting sqref="G15:I16 H27:I27">
    <cfRule type="expression" dxfId="1271" priority="87">
      <formula>$H$27&gt;0</formula>
    </cfRule>
    <cfRule type="expression" dxfId="1270" priority="88">
      <formula>$H$27&lt;0</formula>
    </cfRule>
  </conditionalFormatting>
  <conditionalFormatting sqref="J15:L16 K27:L27">
    <cfRule type="expression" dxfId="1269" priority="85">
      <formula>$K$27&gt;0</formula>
    </cfRule>
    <cfRule type="expression" dxfId="1268" priority="86">
      <formula>$K$27&lt;0</formula>
    </cfRule>
  </conditionalFormatting>
  <conditionalFormatting sqref="M15:O16 N27:O27">
    <cfRule type="expression" dxfId="1267" priority="83">
      <formula>$N$27&gt;0</formula>
    </cfRule>
    <cfRule type="expression" dxfId="1266" priority="84">
      <formula>$N$27&lt;0</formula>
    </cfRule>
  </conditionalFormatting>
  <conditionalFormatting sqref="A17:O26 A34:O43">
    <cfRule type="expression" dxfId="1265" priority="91">
      <formula>AND($N17 &gt; 0, ISNUMBER($N17))</formula>
    </cfRule>
    <cfRule type="expression" dxfId="1264" priority="92">
      <formula>AND($N17 &lt; 0, ISNUMBER($N17))</formula>
    </cfRule>
    <cfRule type="expression" dxfId="1263" priority="93">
      <formula>AND($K17 &gt; 0, ISNUMBER($K17))</formula>
    </cfRule>
    <cfRule type="expression" dxfId="1262" priority="94">
      <formula>AND($K17 &lt; 0, ISNUMBER($K17))</formula>
    </cfRule>
    <cfRule type="expression" dxfId="1261" priority="95">
      <formula>AND($H17 &gt; 0, ISNUMBER($H17))</formula>
    </cfRule>
    <cfRule type="expression" dxfId="1260" priority="96">
      <formula>AND($H17 &lt; 0, ISNUMBER($H17))</formula>
    </cfRule>
    <cfRule type="expression" dxfId="1259" priority="97">
      <formula>AND($E17 &gt; 0, ISNUMBER($E17))</formula>
    </cfRule>
    <cfRule type="expression" dxfId="1258" priority="98">
      <formula>AND($E17 &lt; 0, ISNUMBER($E17))</formula>
    </cfRule>
  </conditionalFormatting>
  <conditionalFormatting sqref="D32:F33 E44:F44">
    <cfRule type="expression" dxfId="1257" priority="81">
      <formula>$E$44&gt;0</formula>
    </cfRule>
    <cfRule type="expression" dxfId="1256" priority="82">
      <formula>$E$44&lt;0</formula>
    </cfRule>
  </conditionalFormatting>
  <conditionalFormatting sqref="G32:I33 H44:I44">
    <cfRule type="expression" dxfId="1255" priority="79">
      <formula>$H$44&gt;0</formula>
    </cfRule>
    <cfRule type="expression" dxfId="1254" priority="80">
      <formula>$H$44&lt;0</formula>
    </cfRule>
  </conditionalFormatting>
  <conditionalFormatting sqref="J32:L33 K44:L44">
    <cfRule type="expression" dxfId="1253" priority="77">
      <formula>$K$44&gt;0</formula>
    </cfRule>
    <cfRule type="expression" dxfId="1252" priority="78">
      <formula>$K$44&lt;0</formula>
    </cfRule>
  </conditionalFormatting>
  <conditionalFormatting sqref="M32:O33 N44:O44">
    <cfRule type="expression" dxfId="1251" priority="75">
      <formula>$N$44&gt;0</formula>
    </cfRule>
    <cfRule type="expression" dxfId="1250" priority="76">
      <formula>$N$44&lt;0</formula>
    </cfRule>
  </conditionalFormatting>
  <conditionalFormatting sqref="A51:O60">
    <cfRule type="expression" dxfId="1249" priority="67">
      <formula>AND($N51 &gt; 0, ISNUMBER($N51))</formula>
    </cfRule>
    <cfRule type="expression" dxfId="1248" priority="68">
      <formula>AND($N51 &lt; 0, ISNUMBER($N51))</formula>
    </cfRule>
    <cfRule type="expression" dxfId="1247" priority="69">
      <formula>AND($K51 &gt; 0, ISNUMBER($K51))</formula>
    </cfRule>
    <cfRule type="expression" dxfId="1246" priority="70">
      <formula>AND($K51 &lt; 0, ISNUMBER($K51))</formula>
    </cfRule>
    <cfRule type="expression" dxfId="1245" priority="71">
      <formula>AND($H51 &gt; 0, ISNUMBER($H51))</formula>
    </cfRule>
    <cfRule type="expression" dxfId="1244" priority="72">
      <formula>AND($H51 &lt; 0, ISNUMBER($H51))</formula>
    </cfRule>
    <cfRule type="expression" dxfId="1243" priority="73">
      <formula>AND($E51 &gt; 0, ISNUMBER($E51))</formula>
    </cfRule>
    <cfRule type="expression" dxfId="1242" priority="74">
      <formula>AND($E51 &lt; 0, ISNUMBER($E51))</formula>
    </cfRule>
  </conditionalFormatting>
  <conditionalFormatting sqref="D49:F50 E61:F61">
    <cfRule type="expression" dxfId="1241" priority="65">
      <formula>$E$61&gt;0</formula>
    </cfRule>
    <cfRule type="expression" dxfId="1240" priority="66">
      <formula>$E$61&lt;0</formula>
    </cfRule>
  </conditionalFormatting>
  <conditionalFormatting sqref="G49:I50 H61:I61">
    <cfRule type="expression" dxfId="1239" priority="63">
      <formula>$H$61&gt;0</formula>
    </cfRule>
    <cfRule type="expression" dxfId="1238" priority="64">
      <formula>$H$61&lt;0</formula>
    </cfRule>
  </conditionalFormatting>
  <conditionalFormatting sqref="J49:L50 K61:L61">
    <cfRule type="expression" dxfId="1237" priority="61">
      <formula>$K$61&gt;0</formula>
    </cfRule>
    <cfRule type="expression" dxfId="1236" priority="62">
      <formula>$K$61&lt;0</formula>
    </cfRule>
  </conditionalFormatting>
  <conditionalFormatting sqref="M49:O50 N61:O61">
    <cfRule type="expression" dxfId="1235" priority="59">
      <formula>$N$61&gt;0</formula>
    </cfRule>
    <cfRule type="expression" dxfId="1234" priority="60">
      <formula>$N$61&lt;0</formula>
    </cfRule>
  </conditionalFormatting>
  <conditionalFormatting sqref="A68:O77">
    <cfRule type="expression" dxfId="1233" priority="51">
      <formula>AND($N68 &gt; 0, ISNUMBER($N68))</formula>
    </cfRule>
    <cfRule type="expression" dxfId="1232" priority="52">
      <formula>AND($N68 &lt; 0, ISNUMBER($N68))</formula>
    </cfRule>
    <cfRule type="expression" dxfId="1231" priority="53">
      <formula>AND($K68 &gt; 0, ISNUMBER($K68))</formula>
    </cfRule>
    <cfRule type="expression" dxfId="1230" priority="54">
      <formula>AND($K68 &lt; 0, ISNUMBER($K68))</formula>
    </cfRule>
    <cfRule type="expression" dxfId="1229" priority="55">
      <formula>AND($H68 &gt; 0, ISNUMBER($H68))</formula>
    </cfRule>
    <cfRule type="expression" dxfId="1228" priority="56">
      <formula>AND($H68 &lt; 0, ISNUMBER($H68))</formula>
    </cfRule>
    <cfRule type="expression" dxfId="1227" priority="57">
      <formula>AND($E68 &gt; 0, ISNUMBER($E68))</formula>
    </cfRule>
    <cfRule type="expression" dxfId="1226" priority="58">
      <formula>AND($E68 &lt; 0, ISNUMBER($E68))</formula>
    </cfRule>
  </conditionalFormatting>
  <conditionalFormatting sqref="D66:F67 E78:F78">
    <cfRule type="expression" dxfId="1225" priority="49">
      <formula>$E$78&gt;0</formula>
    </cfRule>
    <cfRule type="expression" dxfId="1224" priority="50">
      <formula>$E$78&lt;0</formula>
    </cfRule>
  </conditionalFormatting>
  <conditionalFormatting sqref="G66:I67 H78:I78">
    <cfRule type="expression" dxfId="1223" priority="47">
      <formula>$H$78&gt;0</formula>
    </cfRule>
    <cfRule type="expression" dxfId="1222" priority="48">
      <formula>$H$78&lt;0</formula>
    </cfRule>
  </conditionalFormatting>
  <conditionalFormatting sqref="J66:L67 K78:L78">
    <cfRule type="expression" dxfId="1221" priority="45">
      <formula>$K$78&gt;0</formula>
    </cfRule>
    <cfRule type="expression" dxfId="1220" priority="46">
      <formula>$K$78&lt;0</formula>
    </cfRule>
  </conditionalFormatting>
  <conditionalFormatting sqref="M66:O67 N78:O78">
    <cfRule type="expression" dxfId="1219" priority="43">
      <formula>$N$78&gt;0</formula>
    </cfRule>
    <cfRule type="expression" dxfId="1218" priority="44">
      <formula>$N$78&lt;0</formula>
    </cfRule>
  </conditionalFormatting>
  <conditionalFormatting sqref="A85:O94">
    <cfRule type="expression" dxfId="1217" priority="35">
      <formula>AND($N85 &gt; 0, ISNUMBER($N85))</formula>
    </cfRule>
    <cfRule type="expression" dxfId="1216" priority="36">
      <formula>AND($N85 &lt; 0, ISNUMBER($N85))</formula>
    </cfRule>
    <cfRule type="expression" dxfId="1215" priority="37">
      <formula>AND($K85 &gt; 0, ISNUMBER($K85))</formula>
    </cfRule>
    <cfRule type="expression" dxfId="1214" priority="38">
      <formula>AND($K85 &lt; 0, ISNUMBER($K85))</formula>
    </cfRule>
    <cfRule type="expression" dxfId="1213" priority="39">
      <formula>AND($H85 &gt; 0, ISNUMBER($H85))</formula>
    </cfRule>
    <cfRule type="expression" dxfId="1212" priority="40">
      <formula>AND($H85 &lt; 0, ISNUMBER($H85))</formula>
    </cfRule>
    <cfRule type="expression" dxfId="1211" priority="41">
      <formula>AND($E85 &gt; 0, ISNUMBER($E85))</formula>
    </cfRule>
    <cfRule type="expression" dxfId="1210" priority="42">
      <formula>AND($E85 &lt; 0, ISNUMBER($E85))</formula>
    </cfRule>
  </conditionalFormatting>
  <conditionalFormatting sqref="D83:F84 E95:F95">
    <cfRule type="expression" dxfId="1209" priority="33">
      <formula>$E$95&gt;0</formula>
    </cfRule>
    <cfRule type="expression" dxfId="1208" priority="34">
      <formula>$E$95&lt;0</formula>
    </cfRule>
  </conditionalFormatting>
  <conditionalFormatting sqref="G83:I84 H95:I95">
    <cfRule type="expression" dxfId="1207" priority="31">
      <formula>$H$95&gt;0</formula>
    </cfRule>
    <cfRule type="expression" dxfId="1206" priority="32">
      <formula>$H$95&lt;0</formula>
    </cfRule>
  </conditionalFormatting>
  <conditionalFormatting sqref="J83:L84 K95:L95">
    <cfRule type="expression" dxfId="1205" priority="29">
      <formula>$K$95&gt;0</formula>
    </cfRule>
    <cfRule type="expression" dxfId="1204" priority="30">
      <formula>$K$95&lt;0</formula>
    </cfRule>
  </conditionalFormatting>
  <conditionalFormatting sqref="M83:O84 N95:O95">
    <cfRule type="expression" dxfId="1203" priority="27">
      <formula>$N$95&gt;0</formula>
    </cfRule>
    <cfRule type="expression" dxfId="1202" priority="28">
      <formula>$N$95&lt;0</formula>
    </cfRule>
  </conditionalFormatting>
  <conditionalFormatting sqref="A102:O111">
    <cfRule type="expression" dxfId="1201" priority="19">
      <formula>AND($N102 &gt; 0, ISNUMBER($N102))</formula>
    </cfRule>
    <cfRule type="expression" dxfId="1200" priority="20">
      <formula>AND($N102 &lt; 0, ISNUMBER($N102))</formula>
    </cfRule>
    <cfRule type="expression" dxfId="1199" priority="21">
      <formula>AND($K102 &gt; 0, ISNUMBER($K102))</formula>
    </cfRule>
    <cfRule type="expression" dxfId="1198" priority="22">
      <formula>AND($K102 &lt; 0, ISNUMBER($K102))</formula>
    </cfRule>
    <cfRule type="expression" dxfId="1197" priority="23">
      <formula>AND($H102 &gt; 0, ISNUMBER($H102))</formula>
    </cfRule>
    <cfRule type="expression" dxfId="1196" priority="24">
      <formula>AND($H102 &lt; 0, ISNUMBER($H102))</formula>
    </cfRule>
    <cfRule type="expression" dxfId="1195" priority="25">
      <formula>AND($E102 &gt; 0, ISNUMBER($E102))</formula>
    </cfRule>
    <cfRule type="expression" dxfId="1194" priority="26">
      <formula>AND($E102 &lt; 0, ISNUMBER($E102))</formula>
    </cfRule>
  </conditionalFormatting>
  <conditionalFormatting sqref="D100:F101 E112:F112">
    <cfRule type="expression" dxfId="1193" priority="17">
      <formula>$E$112&gt;0</formula>
    </cfRule>
    <cfRule type="expression" dxfId="1192" priority="18">
      <formula>$E$112&lt;0</formula>
    </cfRule>
  </conditionalFormatting>
  <conditionalFormatting sqref="G100:I101 H112:I112">
    <cfRule type="expression" dxfId="1191" priority="15">
      <formula>$H$112&gt;0</formula>
    </cfRule>
    <cfRule type="expression" dxfId="1190" priority="16">
      <formula>$H$112&lt;0</formula>
    </cfRule>
  </conditionalFormatting>
  <conditionalFormatting sqref="J100:L101 K112:L112">
    <cfRule type="expression" dxfId="1189" priority="13">
      <formula>$K$112&gt;0</formula>
    </cfRule>
    <cfRule type="expression" dxfId="1188" priority="14">
      <formula>$K$112&lt;0</formula>
    </cfRule>
  </conditionalFormatting>
  <conditionalFormatting sqref="M100:O101 N112:O112">
    <cfRule type="expression" dxfId="1187" priority="11">
      <formula>$N$112&gt;0</formula>
    </cfRule>
    <cfRule type="expression" dxfId="1186" priority="12">
      <formula>$N$112&lt;0</formula>
    </cfRule>
  </conditionalFormatting>
  <conditionalFormatting sqref="G2:I3">
    <cfRule type="expression" dxfId="118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8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8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8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8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8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7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7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7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7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45" t="s">
        <v>0</v>
      </c>
      <c r="B1" s="146"/>
      <c r="C1" s="146"/>
      <c r="D1" s="146"/>
      <c r="E1" s="146"/>
      <c r="F1" s="147"/>
      <c r="G1" s="189">
        <v>44288</v>
      </c>
      <c r="H1" s="190"/>
      <c r="I1" s="191"/>
      <c r="J1" s="145" t="s">
        <v>33</v>
      </c>
      <c r="K1" s="146"/>
      <c r="L1" s="146"/>
      <c r="M1" s="146"/>
      <c r="N1" s="146"/>
      <c r="O1" s="147"/>
      <c r="Q1" s="145" t="s">
        <v>1</v>
      </c>
      <c r="R1" s="147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86" t="s">
        <v>83</v>
      </c>
      <c r="H2" s="187"/>
      <c r="I2" s="188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83" t="s">
        <v>55</v>
      </c>
      <c r="C3" s="184"/>
      <c r="D3" s="184"/>
      <c r="E3" s="184"/>
      <c r="F3" s="185"/>
      <c r="G3" s="17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175"/>
      <c r="I3" s="176"/>
      <c r="J3" s="1" t="s">
        <v>23</v>
      </c>
      <c r="K3" s="183" t="s">
        <v>59</v>
      </c>
      <c r="L3" s="184"/>
      <c r="M3" s="184"/>
      <c r="N3" s="184"/>
      <c r="O3" s="18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3" t="s">
        <v>56</v>
      </c>
      <c r="C4" s="184"/>
      <c r="D4" s="184"/>
      <c r="E4" s="184"/>
      <c r="F4" s="185"/>
      <c r="G4" s="186" t="s">
        <v>84</v>
      </c>
      <c r="H4" s="187"/>
      <c r="I4" s="188"/>
      <c r="J4" s="1" t="s">
        <v>30</v>
      </c>
      <c r="K4" s="183" t="s">
        <v>60</v>
      </c>
      <c r="L4" s="184"/>
      <c r="M4" s="184"/>
      <c r="N4" s="184"/>
      <c r="O4" s="185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83" t="s">
        <v>57</v>
      </c>
      <c r="C5" s="184"/>
      <c r="D5" s="184"/>
      <c r="E5" s="184"/>
      <c r="F5" s="185"/>
      <c r="G5" s="17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175"/>
      <c r="I5" s="176"/>
      <c r="J5" s="1" t="s">
        <v>24</v>
      </c>
      <c r="K5" s="183" t="s">
        <v>62</v>
      </c>
      <c r="L5" s="184"/>
      <c r="M5" s="184"/>
      <c r="N5" s="184"/>
      <c r="O5" s="185"/>
    </row>
    <row r="6" spans="1:18">
      <c r="A6" s="1" t="s">
        <v>25</v>
      </c>
      <c r="B6" s="183" t="s">
        <v>58</v>
      </c>
      <c r="C6" s="184"/>
      <c r="D6" s="184"/>
      <c r="E6" s="184"/>
      <c r="F6" s="185"/>
      <c r="G6" s="186" t="s">
        <v>85</v>
      </c>
      <c r="H6" s="187"/>
      <c r="I6" s="188"/>
      <c r="J6" s="1" t="s">
        <v>25</v>
      </c>
      <c r="K6" s="183" t="s">
        <v>63</v>
      </c>
      <c r="L6" s="184"/>
      <c r="M6" s="184"/>
      <c r="N6" s="184"/>
      <c r="O6" s="185"/>
    </row>
    <row r="7" spans="1:18" ht="17.25" thickBot="1">
      <c r="A7" s="1" t="s">
        <v>26</v>
      </c>
      <c r="B7" s="183" t="s">
        <v>64</v>
      </c>
      <c r="C7" s="184"/>
      <c r="D7" s="184"/>
      <c r="E7" s="184"/>
      <c r="F7" s="185"/>
      <c r="G7" s="17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75"/>
      <c r="I7" s="176"/>
      <c r="J7" s="1" t="s">
        <v>26</v>
      </c>
      <c r="K7" s="183" t="s">
        <v>65</v>
      </c>
      <c r="L7" s="184"/>
      <c r="M7" s="184"/>
      <c r="N7" s="184"/>
      <c r="O7" s="185"/>
    </row>
    <row r="8" spans="1:18" ht="17.25" thickBot="1">
      <c r="A8" s="1" t="s">
        <v>27</v>
      </c>
      <c r="B8" s="183" t="s">
        <v>66</v>
      </c>
      <c r="C8" s="184"/>
      <c r="D8" s="184"/>
      <c r="E8" s="184"/>
      <c r="F8" s="185"/>
      <c r="G8" s="186" t="s">
        <v>86</v>
      </c>
      <c r="H8" s="187"/>
      <c r="I8" s="188"/>
      <c r="J8" s="1" t="s">
        <v>27</v>
      </c>
      <c r="K8" s="183" t="s">
        <v>88</v>
      </c>
      <c r="L8" s="184"/>
      <c r="M8" s="184"/>
      <c r="N8" s="184"/>
      <c r="O8" s="185"/>
      <c r="Q8" s="145" t="s">
        <v>16</v>
      </c>
      <c r="R8" s="147"/>
    </row>
    <row r="9" spans="1:18" ht="17.25" thickBot="1">
      <c r="A9" s="1" t="s">
        <v>28</v>
      </c>
      <c r="B9" s="183"/>
      <c r="C9" s="184"/>
      <c r="D9" s="184"/>
      <c r="E9" s="184"/>
      <c r="F9" s="185"/>
      <c r="G9" s="17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75"/>
      <c r="I9" s="176"/>
      <c r="J9" s="1" t="s">
        <v>28</v>
      </c>
      <c r="K9" s="183"/>
      <c r="L9" s="184"/>
      <c r="M9" s="184"/>
      <c r="N9" s="184"/>
      <c r="O9" s="185"/>
      <c r="Q9" s="18" t="s">
        <v>2</v>
      </c>
      <c r="R9" s="51">
        <v>10</v>
      </c>
    </row>
    <row r="10" spans="1:18">
      <c r="A10" s="1" t="s">
        <v>29</v>
      </c>
      <c r="B10" s="183"/>
      <c r="C10" s="184"/>
      <c r="D10" s="184"/>
      <c r="E10" s="184"/>
      <c r="F10" s="185"/>
      <c r="G10" s="186" t="s">
        <v>81</v>
      </c>
      <c r="H10" s="187"/>
      <c r="I10" s="188"/>
      <c r="J10" s="1" t="s">
        <v>29</v>
      </c>
      <c r="K10" s="183"/>
      <c r="L10" s="184"/>
      <c r="M10" s="184"/>
      <c r="N10" s="184"/>
      <c r="O10" s="185"/>
      <c r="Q10" s="18" t="s">
        <v>3</v>
      </c>
      <c r="R10" s="51">
        <v>100</v>
      </c>
    </row>
    <row r="11" spans="1:18" ht="17.25" thickBot="1">
      <c r="A11" s="2" t="s">
        <v>21</v>
      </c>
      <c r="B11" s="171"/>
      <c r="C11" s="172"/>
      <c r="D11" s="172"/>
      <c r="E11" s="172"/>
      <c r="F11" s="173"/>
      <c r="G11" s="17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175"/>
      <c r="I11" s="176"/>
      <c r="J11" s="2" t="s">
        <v>21</v>
      </c>
      <c r="K11" s="171"/>
      <c r="L11" s="172"/>
      <c r="M11" s="172"/>
      <c r="N11" s="172"/>
      <c r="O11" s="173"/>
      <c r="Q11" s="7" t="s">
        <v>17</v>
      </c>
      <c r="R11" s="52">
        <v>1000</v>
      </c>
    </row>
    <row r="12" spans="1:18" ht="17.25" thickBot="1"/>
    <row r="13" spans="1:18" ht="17.25" customHeight="1" thickBot="1">
      <c r="A13" s="145" t="s">
        <v>87</v>
      </c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Q13" s="177"/>
      <c r="R13" s="178"/>
    </row>
    <row r="14" spans="1:18" ht="17.25" customHeight="1" thickBot="1">
      <c r="A14" s="82" t="s">
        <v>236</v>
      </c>
      <c r="B14" s="145" t="s">
        <v>235</v>
      </c>
      <c r="C14" s="147"/>
      <c r="D14" s="145" t="s">
        <v>67</v>
      </c>
      <c r="E14" s="146"/>
      <c r="F14" s="147"/>
      <c r="G14" s="159">
        <f>_xlfn.IFNA(VLOOKUP(B14, 현재가테이블!$B$1:$D$200, 2, FALSE), "-")</f>
        <v>81224000</v>
      </c>
      <c r="H14" s="160"/>
      <c r="I14" s="161"/>
      <c r="J14" s="145" t="s">
        <v>69</v>
      </c>
      <c r="K14" s="146"/>
      <c r="L14" s="147"/>
      <c r="M14" s="162">
        <f>_xlfn.IFNA(VLOOKUP(B14, 현재가테이블!$B$1:$D$200, 3, FALSE), "-")</f>
        <v>3.8962367900000003E-2</v>
      </c>
      <c r="N14" s="163"/>
      <c r="O14" s="164"/>
      <c r="Q14" s="179"/>
      <c r="R14" s="180"/>
    </row>
    <row r="15" spans="1:18" ht="17.25" customHeight="1" thickBot="1">
      <c r="A15" s="152" t="s">
        <v>18</v>
      </c>
      <c r="B15" s="153" t="s">
        <v>54</v>
      </c>
      <c r="C15" s="154"/>
      <c r="D15" s="155" t="s">
        <v>20</v>
      </c>
      <c r="E15" s="156"/>
      <c r="F15" s="157"/>
      <c r="G15" s="155" t="s">
        <v>15</v>
      </c>
      <c r="H15" s="156"/>
      <c r="I15" s="157"/>
      <c r="J15" s="158" t="s">
        <v>34</v>
      </c>
      <c r="K15" s="158"/>
      <c r="L15" s="158"/>
      <c r="M15" s="155" t="s">
        <v>54</v>
      </c>
      <c r="N15" s="156"/>
      <c r="O15" s="157"/>
      <c r="Q15" s="167"/>
      <c r="R15" s="168"/>
    </row>
    <row r="16" spans="1:18" ht="17.25" customHeight="1" thickBot="1">
      <c r="A16" s="152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67"/>
      <c r="R16" s="168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65"/>
      <c r="R17" s="166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65"/>
      <c r="R18" s="166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65"/>
      <c r="R19" s="166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65"/>
      <c r="R20" s="166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65"/>
      <c r="R21" s="166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65"/>
      <c r="R22" s="166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65"/>
      <c r="R23" s="166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65"/>
      <c r="R24" s="166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67"/>
      <c r="R25" s="168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67"/>
      <c r="R26" s="168"/>
    </row>
    <row r="27" spans="1:18" ht="17.25" customHeight="1" thickBot="1">
      <c r="A27" s="57" t="s">
        <v>32</v>
      </c>
      <c r="B27" s="143">
        <v>100000</v>
      </c>
      <c r="C27" s="144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69"/>
      <c r="R27" s="170"/>
    </row>
    <row r="28" spans="1:18" ht="17.25" customHeight="1"/>
    <row r="29" spans="1:18" ht="17.25" customHeight="1" thickBot="1"/>
    <row r="30" spans="1:18" ht="17.25" customHeight="1" thickBot="1">
      <c r="A30" s="145" t="s">
        <v>83</v>
      </c>
      <c r="B30" s="146"/>
      <c r="C30" s="146"/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7"/>
      <c r="Q30" s="148"/>
      <c r="R30" s="149"/>
    </row>
    <row r="31" spans="1:18" ht="17.25" customHeight="1" thickBot="1">
      <c r="A31" s="82" t="s">
        <v>236</v>
      </c>
      <c r="B31" s="145" t="s">
        <v>235</v>
      </c>
      <c r="C31" s="147"/>
      <c r="D31" s="145" t="s">
        <v>67</v>
      </c>
      <c r="E31" s="146"/>
      <c r="F31" s="147"/>
      <c r="G31" s="159">
        <f>_xlfn.IFNA(VLOOKUP(B31, 현재가테이블!$B$1:$D$200, 2, FALSE), "-")</f>
        <v>81224000</v>
      </c>
      <c r="H31" s="160"/>
      <c r="I31" s="161"/>
      <c r="J31" s="145" t="s">
        <v>69</v>
      </c>
      <c r="K31" s="146"/>
      <c r="L31" s="147"/>
      <c r="M31" s="162">
        <f>_xlfn.IFNA(VLOOKUP(B31, 현재가테이블!$B$1:$D$200, 3, FALSE), "-")</f>
        <v>3.8962367900000003E-2</v>
      </c>
      <c r="N31" s="163"/>
      <c r="O31" s="164"/>
      <c r="Q31" s="150"/>
      <c r="R31" s="151"/>
    </row>
    <row r="32" spans="1:18" ht="17.25" customHeight="1" thickBot="1">
      <c r="A32" s="152" t="s">
        <v>18</v>
      </c>
      <c r="B32" s="153" t="s">
        <v>54</v>
      </c>
      <c r="C32" s="154"/>
      <c r="D32" s="155" t="s">
        <v>20</v>
      </c>
      <c r="E32" s="156"/>
      <c r="F32" s="157"/>
      <c r="G32" s="155" t="s">
        <v>15</v>
      </c>
      <c r="H32" s="156"/>
      <c r="I32" s="157"/>
      <c r="J32" s="158" t="s">
        <v>34</v>
      </c>
      <c r="K32" s="158"/>
      <c r="L32" s="158"/>
      <c r="M32" s="155" t="s">
        <v>54</v>
      </c>
      <c r="N32" s="156"/>
      <c r="O32" s="157"/>
      <c r="Q32" s="139"/>
      <c r="R32" s="140"/>
    </row>
    <row r="33" spans="1:18" ht="17.25" customHeight="1" thickBot="1">
      <c r="A33" s="152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39"/>
      <c r="R33" s="140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37"/>
      <c r="R34" s="138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137"/>
      <c r="R35" s="138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137"/>
      <c r="R36" s="138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137"/>
      <c r="R37" s="138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137"/>
      <c r="R38" s="138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137"/>
      <c r="R39" s="138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137"/>
      <c r="R40" s="138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37"/>
      <c r="R41" s="138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39"/>
      <c r="R42" s="14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39"/>
      <c r="R43" s="140"/>
    </row>
    <row r="44" spans="1:18" ht="17.25" customHeight="1" thickBot="1">
      <c r="A44" s="57" t="s">
        <v>32</v>
      </c>
      <c r="B44" s="143">
        <v>100000</v>
      </c>
      <c r="C44" s="144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41"/>
      <c r="R44" s="142"/>
    </row>
    <row r="45" spans="1:18" ht="17.25" customHeight="1"/>
    <row r="46" spans="1:18" ht="17.25" customHeight="1" thickBot="1"/>
    <row r="47" spans="1:18" ht="17.25" customHeight="1" thickBot="1">
      <c r="A47" s="145" t="s">
        <v>84</v>
      </c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7"/>
      <c r="Q47" s="148"/>
      <c r="R47" s="149"/>
    </row>
    <row r="48" spans="1:18" ht="17.25" customHeight="1" thickBot="1">
      <c r="A48" s="82" t="s">
        <v>236</v>
      </c>
      <c r="B48" s="145" t="s">
        <v>235</v>
      </c>
      <c r="C48" s="147"/>
      <c r="D48" s="145" t="s">
        <v>67</v>
      </c>
      <c r="E48" s="146"/>
      <c r="F48" s="147"/>
      <c r="G48" s="159">
        <f>_xlfn.IFNA(VLOOKUP(B48, 현재가테이블!$B$1:$D$200, 2, FALSE), "-")</f>
        <v>81224000</v>
      </c>
      <c r="H48" s="160"/>
      <c r="I48" s="161"/>
      <c r="J48" s="145" t="s">
        <v>69</v>
      </c>
      <c r="K48" s="146"/>
      <c r="L48" s="147"/>
      <c r="M48" s="162">
        <f>_xlfn.IFNA(VLOOKUP(B48, 현재가테이블!$B$1:$D$200, 3, FALSE), "-")</f>
        <v>3.8962367900000003E-2</v>
      </c>
      <c r="N48" s="163"/>
      <c r="O48" s="164"/>
      <c r="Q48" s="150"/>
      <c r="R48" s="151"/>
    </row>
    <row r="49" spans="1:18" ht="17.25" customHeight="1" thickBot="1">
      <c r="A49" s="152" t="s">
        <v>18</v>
      </c>
      <c r="B49" s="153" t="s">
        <v>54</v>
      </c>
      <c r="C49" s="154"/>
      <c r="D49" s="155" t="s">
        <v>20</v>
      </c>
      <c r="E49" s="156"/>
      <c r="F49" s="157"/>
      <c r="G49" s="155" t="s">
        <v>15</v>
      </c>
      <c r="H49" s="156"/>
      <c r="I49" s="157"/>
      <c r="J49" s="158" t="s">
        <v>34</v>
      </c>
      <c r="K49" s="158"/>
      <c r="L49" s="158"/>
      <c r="M49" s="155" t="s">
        <v>54</v>
      </c>
      <c r="N49" s="156"/>
      <c r="O49" s="157"/>
      <c r="Q49" s="139"/>
      <c r="R49" s="140"/>
    </row>
    <row r="50" spans="1:18" ht="17.25" customHeight="1" thickBot="1">
      <c r="A50" s="152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39"/>
      <c r="R50" s="140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37"/>
      <c r="R51" s="138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137"/>
      <c r="R52" s="138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137"/>
      <c r="R53" s="138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137"/>
      <c r="R54" s="138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137"/>
      <c r="R55" s="138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137"/>
      <c r="R56" s="138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137"/>
      <c r="R57" s="138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137"/>
      <c r="R58" s="138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39"/>
      <c r="R59" s="14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39"/>
      <c r="R60" s="140"/>
    </row>
    <row r="61" spans="1:18" ht="17.25" customHeight="1" thickBot="1">
      <c r="A61" s="57" t="s">
        <v>32</v>
      </c>
      <c r="B61" s="143">
        <v>100000</v>
      </c>
      <c r="C61" s="144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41"/>
      <c r="R61" s="142"/>
    </row>
    <row r="62" spans="1:18" ht="17.25" customHeight="1"/>
    <row r="63" spans="1:18" ht="17.25" customHeight="1" thickBot="1"/>
    <row r="64" spans="1:18" ht="17.25" customHeight="1" thickBot="1">
      <c r="A64" s="145" t="s">
        <v>85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7"/>
      <c r="Q64" s="148"/>
      <c r="R64" s="149"/>
    </row>
    <row r="65" spans="1:18" ht="17.25" customHeight="1" thickBot="1">
      <c r="A65" s="82" t="s">
        <v>236</v>
      </c>
      <c r="B65" s="145" t="s">
        <v>235</v>
      </c>
      <c r="C65" s="147"/>
      <c r="D65" s="145" t="s">
        <v>67</v>
      </c>
      <c r="E65" s="146"/>
      <c r="F65" s="147"/>
      <c r="G65" s="159">
        <f>_xlfn.IFNA(VLOOKUP(B65, 현재가테이블!$B$1:$D$200, 2, FALSE), "-")</f>
        <v>81224000</v>
      </c>
      <c r="H65" s="160"/>
      <c r="I65" s="161"/>
      <c r="J65" s="145" t="s">
        <v>69</v>
      </c>
      <c r="K65" s="146"/>
      <c r="L65" s="147"/>
      <c r="M65" s="162">
        <f>_xlfn.IFNA(VLOOKUP(B65, 현재가테이블!$B$1:$D$200, 3, FALSE), "-")</f>
        <v>3.8962367900000003E-2</v>
      </c>
      <c r="N65" s="163"/>
      <c r="O65" s="164"/>
      <c r="Q65" s="150"/>
      <c r="R65" s="151"/>
    </row>
    <row r="66" spans="1:18" ht="17.25" customHeight="1" thickBot="1">
      <c r="A66" s="152" t="s">
        <v>18</v>
      </c>
      <c r="B66" s="153" t="s">
        <v>54</v>
      </c>
      <c r="C66" s="154"/>
      <c r="D66" s="155" t="s">
        <v>20</v>
      </c>
      <c r="E66" s="156"/>
      <c r="F66" s="157"/>
      <c r="G66" s="155" t="s">
        <v>15</v>
      </c>
      <c r="H66" s="156"/>
      <c r="I66" s="157"/>
      <c r="J66" s="158" t="s">
        <v>34</v>
      </c>
      <c r="K66" s="158"/>
      <c r="L66" s="158"/>
      <c r="M66" s="155" t="s">
        <v>54</v>
      </c>
      <c r="N66" s="156"/>
      <c r="O66" s="157"/>
      <c r="Q66" s="139"/>
      <c r="R66" s="140"/>
    </row>
    <row r="67" spans="1:18" ht="17.25" customHeight="1" thickBot="1">
      <c r="A67" s="152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39"/>
      <c r="R67" s="140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37"/>
      <c r="R68" s="138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37"/>
      <c r="R69" s="138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37"/>
      <c r="R70" s="138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37"/>
      <c r="R71" s="138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37"/>
      <c r="R72" s="138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37"/>
      <c r="R73" s="138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37"/>
      <c r="R74" s="138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37"/>
      <c r="R75" s="138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39"/>
      <c r="R76" s="140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39"/>
      <c r="R77" s="140"/>
    </row>
    <row r="78" spans="1:18" ht="17.25" customHeight="1" thickBot="1">
      <c r="A78" s="57" t="s">
        <v>32</v>
      </c>
      <c r="B78" s="143">
        <v>100000</v>
      </c>
      <c r="C78" s="144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41"/>
      <c r="R78" s="142"/>
    </row>
    <row r="79" spans="1:18" ht="17.25" customHeight="1"/>
    <row r="80" spans="1:18" ht="17.25" customHeight="1" thickBot="1"/>
    <row r="81" spans="1:18" ht="17.25" customHeight="1" thickBot="1">
      <c r="A81" s="145" t="s">
        <v>86</v>
      </c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7"/>
      <c r="Q81" s="148"/>
      <c r="R81" s="149"/>
    </row>
    <row r="82" spans="1:18" ht="17.25" customHeight="1" thickBot="1">
      <c r="A82" s="82" t="s">
        <v>236</v>
      </c>
      <c r="B82" s="145" t="s">
        <v>235</v>
      </c>
      <c r="C82" s="147"/>
      <c r="D82" s="145" t="s">
        <v>67</v>
      </c>
      <c r="E82" s="146"/>
      <c r="F82" s="147"/>
      <c r="G82" s="159">
        <f>_xlfn.IFNA(VLOOKUP(B82, 현재가테이블!$B$1:$D$200, 2, FALSE), "-")</f>
        <v>81224000</v>
      </c>
      <c r="H82" s="160"/>
      <c r="I82" s="161"/>
      <c r="J82" s="145" t="s">
        <v>69</v>
      </c>
      <c r="K82" s="146"/>
      <c r="L82" s="147"/>
      <c r="M82" s="162">
        <f>_xlfn.IFNA(VLOOKUP(B82, 현재가테이블!$B$1:$D$200, 3, FALSE), "-")</f>
        <v>3.8962367900000003E-2</v>
      </c>
      <c r="N82" s="163"/>
      <c r="O82" s="164"/>
      <c r="Q82" s="150"/>
      <c r="R82" s="151"/>
    </row>
    <row r="83" spans="1:18" ht="17.25" customHeight="1" thickBot="1">
      <c r="A83" s="152" t="s">
        <v>18</v>
      </c>
      <c r="B83" s="153" t="s">
        <v>54</v>
      </c>
      <c r="C83" s="154"/>
      <c r="D83" s="155" t="s">
        <v>20</v>
      </c>
      <c r="E83" s="156"/>
      <c r="F83" s="157"/>
      <c r="G83" s="155" t="s">
        <v>15</v>
      </c>
      <c r="H83" s="156"/>
      <c r="I83" s="157"/>
      <c r="J83" s="158" t="s">
        <v>34</v>
      </c>
      <c r="K83" s="158"/>
      <c r="L83" s="158"/>
      <c r="M83" s="155" t="s">
        <v>54</v>
      </c>
      <c r="N83" s="156"/>
      <c r="O83" s="157"/>
      <c r="Q83" s="139"/>
      <c r="R83" s="140"/>
    </row>
    <row r="84" spans="1:18" ht="17.25" customHeight="1" thickBot="1">
      <c r="A84" s="152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39"/>
      <c r="R84" s="140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37"/>
      <c r="R85" s="138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37"/>
      <c r="R86" s="138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37"/>
      <c r="R87" s="138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37"/>
      <c r="R88" s="13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37"/>
      <c r="R89" s="138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37"/>
      <c r="R90" s="138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37"/>
      <c r="R91" s="138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37"/>
      <c r="R92" s="138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39"/>
      <c r="R93" s="14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39"/>
      <c r="R94" s="140"/>
    </row>
    <row r="95" spans="1:18" ht="17.25" customHeight="1" thickBot="1">
      <c r="A95" s="57" t="s">
        <v>32</v>
      </c>
      <c r="B95" s="143">
        <v>100000</v>
      </c>
      <c r="C95" s="144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41"/>
      <c r="R95" s="142"/>
    </row>
    <row r="96" spans="1:18" ht="17.25" customHeight="1"/>
    <row r="97" spans="1:18" ht="17.25" customHeight="1" thickBot="1"/>
    <row r="98" spans="1:18" ht="17.25" customHeight="1" thickBot="1">
      <c r="A98" s="145" t="s">
        <v>81</v>
      </c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7"/>
      <c r="Q98" s="148"/>
      <c r="R98" s="149"/>
    </row>
    <row r="99" spans="1:18" ht="17.25" customHeight="1" thickBot="1">
      <c r="A99" s="82" t="s">
        <v>236</v>
      </c>
      <c r="B99" s="145" t="s">
        <v>235</v>
      </c>
      <c r="C99" s="147"/>
      <c r="D99" s="145" t="s">
        <v>67</v>
      </c>
      <c r="E99" s="146"/>
      <c r="F99" s="147"/>
      <c r="G99" s="159">
        <f>_xlfn.IFNA(VLOOKUP(B99, 현재가테이블!$B$1:$D$200, 2, FALSE), "-")</f>
        <v>81224000</v>
      </c>
      <c r="H99" s="160"/>
      <c r="I99" s="161"/>
      <c r="J99" s="145" t="s">
        <v>69</v>
      </c>
      <c r="K99" s="146"/>
      <c r="L99" s="147"/>
      <c r="M99" s="162">
        <f>_xlfn.IFNA(VLOOKUP(B99, 현재가테이블!$B$1:$D$200, 3, FALSE), "-")</f>
        <v>3.8962367900000003E-2</v>
      </c>
      <c r="N99" s="163"/>
      <c r="O99" s="164"/>
      <c r="Q99" s="150"/>
      <c r="R99" s="151"/>
    </row>
    <row r="100" spans="1:18" ht="17.25" customHeight="1" thickBot="1">
      <c r="A100" s="152" t="s">
        <v>18</v>
      </c>
      <c r="B100" s="153" t="s">
        <v>54</v>
      </c>
      <c r="C100" s="154"/>
      <c r="D100" s="155" t="s">
        <v>20</v>
      </c>
      <c r="E100" s="156"/>
      <c r="F100" s="157"/>
      <c r="G100" s="155" t="s">
        <v>15</v>
      </c>
      <c r="H100" s="156"/>
      <c r="I100" s="157"/>
      <c r="J100" s="158" t="s">
        <v>34</v>
      </c>
      <c r="K100" s="158"/>
      <c r="L100" s="158"/>
      <c r="M100" s="155" t="s">
        <v>54</v>
      </c>
      <c r="N100" s="156"/>
      <c r="O100" s="157"/>
      <c r="Q100" s="139"/>
      <c r="R100" s="140"/>
    </row>
    <row r="101" spans="1:18" ht="17.25" customHeight="1" thickBot="1">
      <c r="A101" s="152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39"/>
      <c r="R101" s="140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37"/>
      <c r="R102" s="138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137"/>
      <c r="R103" s="138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137"/>
      <c r="R104" s="138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137"/>
      <c r="R105" s="138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137"/>
      <c r="R106" s="138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137"/>
      <c r="R107" s="138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137"/>
      <c r="R108" s="138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137"/>
      <c r="R109" s="138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139"/>
      <c r="R110" s="140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139"/>
      <c r="R111" s="140"/>
    </row>
    <row r="112" spans="1:18" ht="17.25" customHeight="1" thickBot="1">
      <c r="A112" s="57" t="s">
        <v>32</v>
      </c>
      <c r="B112" s="143">
        <v>100000</v>
      </c>
      <c r="C112" s="144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41"/>
      <c r="R112" s="14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175" priority="89">
      <formula>$E$27&gt;0</formula>
    </cfRule>
    <cfRule type="expression" dxfId="1174" priority="90">
      <formula>$E$27&lt;0</formula>
    </cfRule>
  </conditionalFormatting>
  <conditionalFormatting sqref="G15:I16 H27:I27">
    <cfRule type="expression" dxfId="1173" priority="87">
      <formula>$H$27&gt;0</formula>
    </cfRule>
    <cfRule type="expression" dxfId="1172" priority="88">
      <formula>$H$27&lt;0</formula>
    </cfRule>
  </conditionalFormatting>
  <conditionalFormatting sqref="J15:L16 K27:L27">
    <cfRule type="expression" dxfId="1171" priority="85">
      <formula>$K$27&gt;0</formula>
    </cfRule>
    <cfRule type="expression" dxfId="1170" priority="86">
      <formula>$K$27&lt;0</formula>
    </cfRule>
  </conditionalFormatting>
  <conditionalFormatting sqref="M15:O16 N27:O27">
    <cfRule type="expression" dxfId="1169" priority="83">
      <formula>$N$27&gt;0</formula>
    </cfRule>
    <cfRule type="expression" dxfId="1168" priority="84">
      <formula>$N$27&lt;0</formula>
    </cfRule>
  </conditionalFormatting>
  <conditionalFormatting sqref="A17:O26 A34:O43">
    <cfRule type="expression" dxfId="1167" priority="91">
      <formula>AND($N17 &gt; 0, ISNUMBER($N17))</formula>
    </cfRule>
    <cfRule type="expression" dxfId="1166" priority="92">
      <formula>AND($N17 &lt; 0, ISNUMBER($N17))</formula>
    </cfRule>
    <cfRule type="expression" dxfId="1165" priority="93">
      <formula>AND($K17 &gt; 0, ISNUMBER($K17))</formula>
    </cfRule>
    <cfRule type="expression" dxfId="1164" priority="94">
      <formula>AND($K17 &lt; 0, ISNUMBER($K17))</formula>
    </cfRule>
    <cfRule type="expression" dxfId="1163" priority="95">
      <formula>AND($H17 &gt; 0, ISNUMBER($H17))</formula>
    </cfRule>
    <cfRule type="expression" dxfId="1162" priority="96">
      <formula>AND($H17 &lt; 0, ISNUMBER($H17))</formula>
    </cfRule>
    <cfRule type="expression" dxfId="1161" priority="97">
      <formula>AND($E17 &gt; 0, ISNUMBER($E17))</formula>
    </cfRule>
    <cfRule type="expression" dxfId="1160" priority="98">
      <formula>AND($E17 &lt; 0, ISNUMBER($E17))</formula>
    </cfRule>
  </conditionalFormatting>
  <conditionalFormatting sqref="D32:F33 E44:F44">
    <cfRule type="expression" dxfId="1159" priority="81">
      <formula>$E$44&gt;0</formula>
    </cfRule>
    <cfRule type="expression" dxfId="1158" priority="82">
      <formula>$E$44&lt;0</formula>
    </cfRule>
  </conditionalFormatting>
  <conditionalFormatting sqref="G32:I33 H44:I44">
    <cfRule type="expression" dxfId="1157" priority="79">
      <formula>$H$44&gt;0</formula>
    </cfRule>
    <cfRule type="expression" dxfId="1156" priority="80">
      <formula>$H$44&lt;0</formula>
    </cfRule>
  </conditionalFormatting>
  <conditionalFormatting sqref="J32:L33 K44:L44">
    <cfRule type="expression" dxfId="1155" priority="77">
      <formula>$K$44&gt;0</formula>
    </cfRule>
    <cfRule type="expression" dxfId="1154" priority="78">
      <formula>$K$44&lt;0</formula>
    </cfRule>
  </conditionalFormatting>
  <conditionalFormatting sqref="M32:O33 N44:O44">
    <cfRule type="expression" dxfId="1153" priority="75">
      <formula>$N$44&gt;0</formula>
    </cfRule>
    <cfRule type="expression" dxfId="1152" priority="76">
      <formula>$N$44&lt;0</formula>
    </cfRule>
  </conditionalFormatting>
  <conditionalFormatting sqref="A51:O60">
    <cfRule type="expression" dxfId="1151" priority="67">
      <formula>AND($N51 &gt; 0, ISNUMBER($N51))</formula>
    </cfRule>
    <cfRule type="expression" dxfId="1150" priority="68">
      <formula>AND($N51 &lt; 0, ISNUMBER($N51))</formula>
    </cfRule>
    <cfRule type="expression" dxfId="1149" priority="69">
      <formula>AND($K51 &gt; 0, ISNUMBER($K51))</formula>
    </cfRule>
    <cfRule type="expression" dxfId="1148" priority="70">
      <formula>AND($K51 &lt; 0, ISNUMBER($K51))</formula>
    </cfRule>
    <cfRule type="expression" dxfId="1147" priority="71">
      <formula>AND($H51 &gt; 0, ISNUMBER($H51))</formula>
    </cfRule>
    <cfRule type="expression" dxfId="1146" priority="72">
      <formula>AND($H51 &lt; 0, ISNUMBER($H51))</formula>
    </cfRule>
    <cfRule type="expression" dxfId="1145" priority="73">
      <formula>AND($E51 &gt; 0, ISNUMBER($E51))</formula>
    </cfRule>
    <cfRule type="expression" dxfId="1144" priority="74">
      <formula>AND($E51 &lt; 0, ISNUMBER($E51))</formula>
    </cfRule>
  </conditionalFormatting>
  <conditionalFormatting sqref="D49:F50 E61:F61">
    <cfRule type="expression" dxfId="1143" priority="65">
      <formula>$E$61&gt;0</formula>
    </cfRule>
    <cfRule type="expression" dxfId="1142" priority="66">
      <formula>$E$61&lt;0</formula>
    </cfRule>
  </conditionalFormatting>
  <conditionalFormatting sqref="G49:I50 H61:I61">
    <cfRule type="expression" dxfId="1141" priority="63">
      <formula>$H$61&gt;0</formula>
    </cfRule>
    <cfRule type="expression" dxfId="1140" priority="64">
      <formula>$H$61&lt;0</formula>
    </cfRule>
  </conditionalFormatting>
  <conditionalFormatting sqref="J49:L50 K61:L61">
    <cfRule type="expression" dxfId="1139" priority="61">
      <formula>$K$61&gt;0</formula>
    </cfRule>
    <cfRule type="expression" dxfId="1138" priority="62">
      <formula>$K$61&lt;0</formula>
    </cfRule>
  </conditionalFormatting>
  <conditionalFormatting sqref="M49:O50 N61:O61">
    <cfRule type="expression" dxfId="1137" priority="59">
      <formula>$N$61&gt;0</formula>
    </cfRule>
    <cfRule type="expression" dxfId="1136" priority="60">
      <formula>$N$61&lt;0</formula>
    </cfRule>
  </conditionalFormatting>
  <conditionalFormatting sqref="A68:O77">
    <cfRule type="expression" dxfId="1135" priority="51">
      <formula>AND($N68 &gt; 0, ISNUMBER($N68))</formula>
    </cfRule>
    <cfRule type="expression" dxfId="1134" priority="52">
      <formula>AND($N68 &lt; 0, ISNUMBER($N68))</formula>
    </cfRule>
    <cfRule type="expression" dxfId="1133" priority="53">
      <formula>AND($K68 &gt; 0, ISNUMBER($K68))</formula>
    </cfRule>
    <cfRule type="expression" dxfId="1132" priority="54">
      <formula>AND($K68 &lt; 0, ISNUMBER($K68))</formula>
    </cfRule>
    <cfRule type="expression" dxfId="1131" priority="55">
      <formula>AND($H68 &gt; 0, ISNUMBER($H68))</formula>
    </cfRule>
    <cfRule type="expression" dxfId="1130" priority="56">
      <formula>AND($H68 &lt; 0, ISNUMBER($H68))</formula>
    </cfRule>
    <cfRule type="expression" dxfId="1129" priority="57">
      <formula>AND($E68 &gt; 0, ISNUMBER($E68))</formula>
    </cfRule>
    <cfRule type="expression" dxfId="1128" priority="58">
      <formula>AND($E68 &lt; 0, ISNUMBER($E68))</formula>
    </cfRule>
  </conditionalFormatting>
  <conditionalFormatting sqref="D66:F67 E78:F78">
    <cfRule type="expression" dxfId="1127" priority="49">
      <formula>$E$78&gt;0</formula>
    </cfRule>
    <cfRule type="expression" dxfId="1126" priority="50">
      <formula>$E$78&lt;0</formula>
    </cfRule>
  </conditionalFormatting>
  <conditionalFormatting sqref="G66:I67 H78:I78">
    <cfRule type="expression" dxfId="1125" priority="47">
      <formula>$H$78&gt;0</formula>
    </cfRule>
    <cfRule type="expression" dxfId="1124" priority="48">
      <formula>$H$78&lt;0</formula>
    </cfRule>
  </conditionalFormatting>
  <conditionalFormatting sqref="J66:L67 K78:L78">
    <cfRule type="expression" dxfId="1123" priority="45">
      <formula>$K$78&gt;0</formula>
    </cfRule>
    <cfRule type="expression" dxfId="1122" priority="46">
      <formula>$K$78&lt;0</formula>
    </cfRule>
  </conditionalFormatting>
  <conditionalFormatting sqref="M66:O67 N78:O78">
    <cfRule type="expression" dxfId="1121" priority="43">
      <formula>$N$78&gt;0</formula>
    </cfRule>
    <cfRule type="expression" dxfId="1120" priority="44">
      <formula>$N$78&lt;0</formula>
    </cfRule>
  </conditionalFormatting>
  <conditionalFormatting sqref="A85:O94">
    <cfRule type="expression" dxfId="1119" priority="35">
      <formula>AND($N85 &gt; 0, ISNUMBER($N85))</formula>
    </cfRule>
    <cfRule type="expression" dxfId="1118" priority="36">
      <formula>AND($N85 &lt; 0, ISNUMBER($N85))</formula>
    </cfRule>
    <cfRule type="expression" dxfId="1117" priority="37">
      <formula>AND($K85 &gt; 0, ISNUMBER($K85))</formula>
    </cfRule>
    <cfRule type="expression" dxfId="1116" priority="38">
      <formula>AND($K85 &lt; 0, ISNUMBER($K85))</formula>
    </cfRule>
    <cfRule type="expression" dxfId="1115" priority="39">
      <formula>AND($H85 &gt; 0, ISNUMBER($H85))</formula>
    </cfRule>
    <cfRule type="expression" dxfId="1114" priority="40">
      <formula>AND($H85 &lt; 0, ISNUMBER($H85))</formula>
    </cfRule>
    <cfRule type="expression" dxfId="1113" priority="41">
      <formula>AND($E85 &gt; 0, ISNUMBER($E85))</formula>
    </cfRule>
    <cfRule type="expression" dxfId="1112" priority="42">
      <formula>AND($E85 &lt; 0, ISNUMBER($E85))</formula>
    </cfRule>
  </conditionalFormatting>
  <conditionalFormatting sqref="D83:F84 E95:F95">
    <cfRule type="expression" dxfId="1111" priority="33">
      <formula>$E$95&gt;0</formula>
    </cfRule>
    <cfRule type="expression" dxfId="1110" priority="34">
      <formula>$E$95&lt;0</formula>
    </cfRule>
  </conditionalFormatting>
  <conditionalFormatting sqref="G83:I84 H95:I95">
    <cfRule type="expression" dxfId="1109" priority="31">
      <formula>$H$95&gt;0</formula>
    </cfRule>
    <cfRule type="expression" dxfId="1108" priority="32">
      <formula>$H$95&lt;0</formula>
    </cfRule>
  </conditionalFormatting>
  <conditionalFormatting sqref="J83:L84 K95:L95">
    <cfRule type="expression" dxfId="1107" priority="29">
      <formula>$K$95&gt;0</formula>
    </cfRule>
    <cfRule type="expression" dxfId="1106" priority="30">
      <formula>$K$95&lt;0</formula>
    </cfRule>
  </conditionalFormatting>
  <conditionalFormatting sqref="M83:O84 N95:O95">
    <cfRule type="expression" dxfId="1105" priority="27">
      <formula>$N$95&gt;0</formula>
    </cfRule>
    <cfRule type="expression" dxfId="1104" priority="28">
      <formula>$N$95&lt;0</formula>
    </cfRule>
  </conditionalFormatting>
  <conditionalFormatting sqref="A102:O111">
    <cfRule type="expression" dxfId="1103" priority="19">
      <formula>AND($N102 &gt; 0, ISNUMBER($N102))</formula>
    </cfRule>
    <cfRule type="expression" dxfId="1102" priority="20">
      <formula>AND($N102 &lt; 0, ISNUMBER($N102))</formula>
    </cfRule>
    <cfRule type="expression" dxfId="1101" priority="21">
      <formula>AND($K102 &gt; 0, ISNUMBER($K102))</formula>
    </cfRule>
    <cfRule type="expression" dxfId="1100" priority="22">
      <formula>AND($K102 &lt; 0, ISNUMBER($K102))</formula>
    </cfRule>
    <cfRule type="expression" dxfId="1099" priority="23">
      <formula>AND($H102 &gt; 0, ISNUMBER($H102))</formula>
    </cfRule>
    <cfRule type="expression" dxfId="1098" priority="24">
      <formula>AND($H102 &lt; 0, ISNUMBER($H102))</formula>
    </cfRule>
    <cfRule type="expression" dxfId="1097" priority="25">
      <formula>AND($E102 &gt; 0, ISNUMBER($E102))</formula>
    </cfRule>
    <cfRule type="expression" dxfId="1096" priority="26">
      <formula>AND($E102 &lt; 0, ISNUMBER($E102))</formula>
    </cfRule>
  </conditionalFormatting>
  <conditionalFormatting sqref="D100:F101 E112:F112">
    <cfRule type="expression" dxfId="1095" priority="17">
      <formula>$E$112&gt;0</formula>
    </cfRule>
    <cfRule type="expression" dxfId="1094" priority="18">
      <formula>$E$112&lt;0</formula>
    </cfRule>
  </conditionalFormatting>
  <conditionalFormatting sqref="G100:I101 H112:I112">
    <cfRule type="expression" dxfId="1093" priority="15">
      <formula>$H$112&gt;0</formula>
    </cfRule>
    <cfRule type="expression" dxfId="1092" priority="16">
      <formula>$H$112&lt;0</formula>
    </cfRule>
  </conditionalFormatting>
  <conditionalFormatting sqref="J100:L101 K112:L112">
    <cfRule type="expression" dxfId="1091" priority="13">
      <formula>$K$112&gt;0</formula>
    </cfRule>
    <cfRule type="expression" dxfId="1090" priority="14">
      <formula>$K$112&lt;0</formula>
    </cfRule>
  </conditionalFormatting>
  <conditionalFormatting sqref="M100:O101 N112:O112">
    <cfRule type="expression" dxfId="1089" priority="11">
      <formula>$N$112&gt;0</formula>
    </cfRule>
    <cfRule type="expression" dxfId="1088" priority="12">
      <formula>$N$112&lt;0</formula>
    </cfRule>
  </conditionalFormatting>
  <conditionalFormatting sqref="G2:I3">
    <cfRule type="expression" dxfId="108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8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8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8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8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8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8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8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7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7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45" t="s">
        <v>0</v>
      </c>
      <c r="B1" s="146"/>
      <c r="C1" s="146"/>
      <c r="D1" s="146"/>
      <c r="E1" s="146"/>
      <c r="F1" s="147"/>
      <c r="G1" s="189">
        <v>44289</v>
      </c>
      <c r="H1" s="190"/>
      <c r="I1" s="191"/>
      <c r="J1" s="145" t="s">
        <v>33</v>
      </c>
      <c r="K1" s="146"/>
      <c r="L1" s="146"/>
      <c r="M1" s="146"/>
      <c r="N1" s="146"/>
      <c r="O1" s="147"/>
      <c r="Q1" s="145" t="s">
        <v>1</v>
      </c>
      <c r="R1" s="147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86" t="s">
        <v>83</v>
      </c>
      <c r="H2" s="187"/>
      <c r="I2" s="188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83" t="s">
        <v>55</v>
      </c>
      <c r="C3" s="184"/>
      <c r="D3" s="184"/>
      <c r="E3" s="184"/>
      <c r="F3" s="185"/>
      <c r="G3" s="17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175"/>
      <c r="I3" s="176"/>
      <c r="J3" s="1" t="s">
        <v>23</v>
      </c>
      <c r="K3" s="183" t="s">
        <v>59</v>
      </c>
      <c r="L3" s="184"/>
      <c r="M3" s="184"/>
      <c r="N3" s="184"/>
      <c r="O3" s="18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3" t="s">
        <v>56</v>
      </c>
      <c r="C4" s="184"/>
      <c r="D4" s="184"/>
      <c r="E4" s="184"/>
      <c r="F4" s="185"/>
      <c r="G4" s="186" t="s">
        <v>84</v>
      </c>
      <c r="H4" s="187"/>
      <c r="I4" s="188"/>
      <c r="J4" s="1" t="s">
        <v>30</v>
      </c>
      <c r="K4" s="183" t="s">
        <v>60</v>
      </c>
      <c r="L4" s="184"/>
      <c r="M4" s="184"/>
      <c r="N4" s="184"/>
      <c r="O4" s="185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83" t="s">
        <v>57</v>
      </c>
      <c r="C5" s="184"/>
      <c r="D5" s="184"/>
      <c r="E5" s="184"/>
      <c r="F5" s="185"/>
      <c r="G5" s="17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175"/>
      <c r="I5" s="176"/>
      <c r="J5" s="1" t="s">
        <v>24</v>
      </c>
      <c r="K5" s="183" t="s">
        <v>62</v>
      </c>
      <c r="L5" s="184"/>
      <c r="M5" s="184"/>
      <c r="N5" s="184"/>
      <c r="O5" s="185"/>
    </row>
    <row r="6" spans="1:18">
      <c r="A6" s="1" t="s">
        <v>25</v>
      </c>
      <c r="B6" s="183" t="s">
        <v>58</v>
      </c>
      <c r="C6" s="184"/>
      <c r="D6" s="184"/>
      <c r="E6" s="184"/>
      <c r="F6" s="185"/>
      <c r="G6" s="186" t="s">
        <v>85</v>
      </c>
      <c r="H6" s="187"/>
      <c r="I6" s="188"/>
      <c r="J6" s="1" t="s">
        <v>25</v>
      </c>
      <c r="K6" s="183" t="s">
        <v>63</v>
      </c>
      <c r="L6" s="184"/>
      <c r="M6" s="184"/>
      <c r="N6" s="184"/>
      <c r="O6" s="185"/>
    </row>
    <row r="7" spans="1:18" ht="17.25" thickBot="1">
      <c r="A7" s="1" t="s">
        <v>26</v>
      </c>
      <c r="B7" s="183" t="s">
        <v>64</v>
      </c>
      <c r="C7" s="184"/>
      <c r="D7" s="184"/>
      <c r="E7" s="184"/>
      <c r="F7" s="185"/>
      <c r="G7" s="17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75"/>
      <c r="I7" s="176"/>
      <c r="J7" s="1" t="s">
        <v>26</v>
      </c>
      <c r="K7" s="183" t="s">
        <v>65</v>
      </c>
      <c r="L7" s="184"/>
      <c r="M7" s="184"/>
      <c r="N7" s="184"/>
      <c r="O7" s="185"/>
    </row>
    <row r="8" spans="1:18" ht="17.25" thickBot="1">
      <c r="A8" s="1" t="s">
        <v>27</v>
      </c>
      <c r="B8" s="183" t="s">
        <v>66</v>
      </c>
      <c r="C8" s="184"/>
      <c r="D8" s="184"/>
      <c r="E8" s="184"/>
      <c r="F8" s="185"/>
      <c r="G8" s="186" t="s">
        <v>86</v>
      </c>
      <c r="H8" s="187"/>
      <c r="I8" s="188"/>
      <c r="J8" s="1" t="s">
        <v>27</v>
      </c>
      <c r="K8" s="183" t="s">
        <v>88</v>
      </c>
      <c r="L8" s="184"/>
      <c r="M8" s="184"/>
      <c r="N8" s="184"/>
      <c r="O8" s="185"/>
      <c r="Q8" s="145" t="s">
        <v>16</v>
      </c>
      <c r="R8" s="147"/>
    </row>
    <row r="9" spans="1:18" ht="17.25" thickBot="1">
      <c r="A9" s="1" t="s">
        <v>28</v>
      </c>
      <c r="B9" s="183"/>
      <c r="C9" s="184"/>
      <c r="D9" s="184"/>
      <c r="E9" s="184"/>
      <c r="F9" s="185"/>
      <c r="G9" s="17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75"/>
      <c r="I9" s="176"/>
      <c r="J9" s="1" t="s">
        <v>28</v>
      </c>
      <c r="K9" s="183"/>
      <c r="L9" s="184"/>
      <c r="M9" s="184"/>
      <c r="N9" s="184"/>
      <c r="O9" s="185"/>
      <c r="Q9" s="18" t="s">
        <v>2</v>
      </c>
      <c r="R9" s="51">
        <v>10</v>
      </c>
    </row>
    <row r="10" spans="1:18">
      <c r="A10" s="1" t="s">
        <v>29</v>
      </c>
      <c r="B10" s="183"/>
      <c r="C10" s="184"/>
      <c r="D10" s="184"/>
      <c r="E10" s="184"/>
      <c r="F10" s="185"/>
      <c r="G10" s="186" t="s">
        <v>81</v>
      </c>
      <c r="H10" s="187"/>
      <c r="I10" s="188"/>
      <c r="J10" s="1" t="s">
        <v>29</v>
      </c>
      <c r="K10" s="183"/>
      <c r="L10" s="184"/>
      <c r="M10" s="184"/>
      <c r="N10" s="184"/>
      <c r="O10" s="185"/>
      <c r="Q10" s="18" t="s">
        <v>3</v>
      </c>
      <c r="R10" s="51">
        <v>100</v>
      </c>
    </row>
    <row r="11" spans="1:18" ht="17.25" thickBot="1">
      <c r="A11" s="2" t="s">
        <v>21</v>
      </c>
      <c r="B11" s="171"/>
      <c r="C11" s="172"/>
      <c r="D11" s="172"/>
      <c r="E11" s="172"/>
      <c r="F11" s="173"/>
      <c r="G11" s="17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175"/>
      <c r="I11" s="176"/>
      <c r="J11" s="2" t="s">
        <v>21</v>
      </c>
      <c r="K11" s="171"/>
      <c r="L11" s="172"/>
      <c r="M11" s="172"/>
      <c r="N11" s="172"/>
      <c r="O11" s="173"/>
      <c r="Q11" s="7" t="s">
        <v>17</v>
      </c>
      <c r="R11" s="52">
        <v>1000</v>
      </c>
    </row>
    <row r="12" spans="1:18" ht="17.25" thickBot="1"/>
    <row r="13" spans="1:18" ht="17.25" customHeight="1" thickBot="1">
      <c r="A13" s="145" t="s">
        <v>87</v>
      </c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Q13" s="177"/>
      <c r="R13" s="178"/>
    </row>
    <row r="14" spans="1:18" ht="17.25" customHeight="1" thickBot="1">
      <c r="A14" s="82" t="s">
        <v>236</v>
      </c>
      <c r="B14" s="145" t="s">
        <v>235</v>
      </c>
      <c r="C14" s="147"/>
      <c r="D14" s="145" t="s">
        <v>67</v>
      </c>
      <c r="E14" s="146"/>
      <c r="F14" s="147"/>
      <c r="G14" s="159">
        <f>_xlfn.IFNA(VLOOKUP(B14, 현재가테이블!$B$1:$D$200, 2, FALSE), "-")</f>
        <v>81224000</v>
      </c>
      <c r="H14" s="160"/>
      <c r="I14" s="161"/>
      <c r="J14" s="145" t="s">
        <v>69</v>
      </c>
      <c r="K14" s="146"/>
      <c r="L14" s="147"/>
      <c r="M14" s="162">
        <f>_xlfn.IFNA(VLOOKUP(B14, 현재가테이블!$B$1:$D$200, 3, FALSE), "-")</f>
        <v>3.8962367900000003E-2</v>
      </c>
      <c r="N14" s="163"/>
      <c r="O14" s="164"/>
      <c r="Q14" s="179"/>
      <c r="R14" s="180"/>
    </row>
    <row r="15" spans="1:18" ht="17.25" customHeight="1" thickBot="1">
      <c r="A15" s="152" t="s">
        <v>18</v>
      </c>
      <c r="B15" s="153" t="s">
        <v>54</v>
      </c>
      <c r="C15" s="154"/>
      <c r="D15" s="155" t="s">
        <v>20</v>
      </c>
      <c r="E15" s="156"/>
      <c r="F15" s="157"/>
      <c r="G15" s="155" t="s">
        <v>15</v>
      </c>
      <c r="H15" s="156"/>
      <c r="I15" s="157"/>
      <c r="J15" s="158" t="s">
        <v>34</v>
      </c>
      <c r="K15" s="158"/>
      <c r="L15" s="158"/>
      <c r="M15" s="155" t="s">
        <v>54</v>
      </c>
      <c r="N15" s="156"/>
      <c r="O15" s="157"/>
      <c r="Q15" s="167"/>
      <c r="R15" s="168"/>
    </row>
    <row r="16" spans="1:18" ht="17.25" customHeight="1" thickBot="1">
      <c r="A16" s="152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67"/>
      <c r="R16" s="168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65"/>
      <c r="R17" s="166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65"/>
      <c r="R18" s="166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65"/>
      <c r="R19" s="166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65"/>
      <c r="R20" s="166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65"/>
      <c r="R21" s="166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65"/>
      <c r="R22" s="166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65"/>
      <c r="R23" s="166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65"/>
      <c r="R24" s="166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67"/>
      <c r="R25" s="168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67"/>
      <c r="R26" s="168"/>
    </row>
    <row r="27" spans="1:18" ht="17.25" customHeight="1" thickBot="1">
      <c r="A27" s="57" t="s">
        <v>32</v>
      </c>
      <c r="B27" s="143">
        <v>100000</v>
      </c>
      <c r="C27" s="144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69"/>
      <c r="R27" s="170"/>
    </row>
    <row r="28" spans="1:18" ht="17.25" customHeight="1"/>
    <row r="29" spans="1:18" ht="17.25" customHeight="1" thickBot="1"/>
    <row r="30" spans="1:18" ht="17.25" customHeight="1" thickBot="1">
      <c r="A30" s="145" t="s">
        <v>83</v>
      </c>
      <c r="B30" s="146"/>
      <c r="C30" s="146"/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7"/>
      <c r="Q30" s="148"/>
      <c r="R30" s="149"/>
    </row>
    <row r="31" spans="1:18" ht="17.25" customHeight="1" thickBot="1">
      <c r="A31" s="82" t="s">
        <v>236</v>
      </c>
      <c r="B31" s="145" t="s">
        <v>235</v>
      </c>
      <c r="C31" s="147"/>
      <c r="D31" s="145" t="s">
        <v>67</v>
      </c>
      <c r="E31" s="146"/>
      <c r="F31" s="147"/>
      <c r="G31" s="159">
        <f>_xlfn.IFNA(VLOOKUP(B31, 현재가테이블!$B$1:$D$200, 2, FALSE), "-")</f>
        <v>81224000</v>
      </c>
      <c r="H31" s="160"/>
      <c r="I31" s="161"/>
      <c r="J31" s="145" t="s">
        <v>69</v>
      </c>
      <c r="K31" s="146"/>
      <c r="L31" s="147"/>
      <c r="M31" s="162">
        <f>_xlfn.IFNA(VLOOKUP(B31, 현재가테이블!$B$1:$D$200, 3, FALSE), "-")</f>
        <v>3.8962367900000003E-2</v>
      </c>
      <c r="N31" s="163"/>
      <c r="O31" s="164"/>
      <c r="Q31" s="150"/>
      <c r="R31" s="151"/>
    </row>
    <row r="32" spans="1:18" ht="17.25" customHeight="1" thickBot="1">
      <c r="A32" s="152" t="s">
        <v>18</v>
      </c>
      <c r="B32" s="153" t="s">
        <v>54</v>
      </c>
      <c r="C32" s="154"/>
      <c r="D32" s="155" t="s">
        <v>20</v>
      </c>
      <c r="E32" s="156"/>
      <c r="F32" s="157"/>
      <c r="G32" s="155" t="s">
        <v>15</v>
      </c>
      <c r="H32" s="156"/>
      <c r="I32" s="157"/>
      <c r="J32" s="158" t="s">
        <v>34</v>
      </c>
      <c r="K32" s="158"/>
      <c r="L32" s="158"/>
      <c r="M32" s="155" t="s">
        <v>54</v>
      </c>
      <c r="N32" s="156"/>
      <c r="O32" s="157"/>
      <c r="Q32" s="139"/>
      <c r="R32" s="140"/>
    </row>
    <row r="33" spans="1:18" ht="17.25" customHeight="1" thickBot="1">
      <c r="A33" s="152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39"/>
      <c r="R33" s="140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37"/>
      <c r="R34" s="138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137"/>
      <c r="R35" s="138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137"/>
      <c r="R36" s="138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137"/>
      <c r="R37" s="138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37"/>
      <c r="R38" s="138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137"/>
      <c r="R39" s="138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137"/>
      <c r="R40" s="138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37"/>
      <c r="R41" s="138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39"/>
      <c r="R42" s="14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39"/>
      <c r="R43" s="140"/>
    </row>
    <row r="44" spans="1:18" ht="17.25" customHeight="1" thickBot="1">
      <c r="A44" s="57" t="s">
        <v>32</v>
      </c>
      <c r="B44" s="143">
        <v>100000</v>
      </c>
      <c r="C44" s="144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41"/>
      <c r="R44" s="142"/>
    </row>
    <row r="45" spans="1:18" ht="17.25" customHeight="1"/>
    <row r="46" spans="1:18" ht="17.25" customHeight="1" thickBot="1"/>
    <row r="47" spans="1:18" ht="17.25" customHeight="1" thickBot="1">
      <c r="A47" s="145" t="s">
        <v>84</v>
      </c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7"/>
      <c r="Q47" s="148"/>
      <c r="R47" s="149"/>
    </row>
    <row r="48" spans="1:18" ht="17.25" customHeight="1" thickBot="1">
      <c r="A48" s="82" t="s">
        <v>236</v>
      </c>
      <c r="B48" s="145" t="s">
        <v>235</v>
      </c>
      <c r="C48" s="147"/>
      <c r="D48" s="145" t="s">
        <v>67</v>
      </c>
      <c r="E48" s="146"/>
      <c r="F48" s="147"/>
      <c r="G48" s="159">
        <f>_xlfn.IFNA(VLOOKUP(B48, 현재가테이블!$B$1:$D$200, 2, FALSE), "-")</f>
        <v>81224000</v>
      </c>
      <c r="H48" s="160"/>
      <c r="I48" s="161"/>
      <c r="J48" s="145" t="s">
        <v>69</v>
      </c>
      <c r="K48" s="146"/>
      <c r="L48" s="147"/>
      <c r="M48" s="162">
        <f>_xlfn.IFNA(VLOOKUP(B48, 현재가테이블!$B$1:$D$200, 3, FALSE), "-")</f>
        <v>3.8962367900000003E-2</v>
      </c>
      <c r="N48" s="163"/>
      <c r="O48" s="164"/>
      <c r="Q48" s="150"/>
      <c r="R48" s="151"/>
    </row>
    <row r="49" spans="1:18" ht="17.25" customHeight="1" thickBot="1">
      <c r="A49" s="152" t="s">
        <v>18</v>
      </c>
      <c r="B49" s="153" t="s">
        <v>54</v>
      </c>
      <c r="C49" s="154"/>
      <c r="D49" s="155" t="s">
        <v>20</v>
      </c>
      <c r="E49" s="156"/>
      <c r="F49" s="157"/>
      <c r="G49" s="155" t="s">
        <v>15</v>
      </c>
      <c r="H49" s="156"/>
      <c r="I49" s="157"/>
      <c r="J49" s="158" t="s">
        <v>34</v>
      </c>
      <c r="K49" s="158"/>
      <c r="L49" s="158"/>
      <c r="M49" s="155" t="s">
        <v>54</v>
      </c>
      <c r="N49" s="156"/>
      <c r="O49" s="157"/>
      <c r="Q49" s="139"/>
      <c r="R49" s="140"/>
    </row>
    <row r="50" spans="1:18" ht="17.25" customHeight="1" thickBot="1">
      <c r="A50" s="152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39"/>
      <c r="R50" s="140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37"/>
      <c r="R51" s="138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137"/>
      <c r="R52" s="138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137"/>
      <c r="R53" s="138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137"/>
      <c r="R54" s="138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137"/>
      <c r="R55" s="138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137"/>
      <c r="R56" s="138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137"/>
      <c r="R57" s="138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137"/>
      <c r="R58" s="138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39"/>
      <c r="R59" s="14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39"/>
      <c r="R60" s="140"/>
    </row>
    <row r="61" spans="1:18" ht="17.25" customHeight="1" thickBot="1">
      <c r="A61" s="57" t="s">
        <v>32</v>
      </c>
      <c r="B61" s="143">
        <v>100000</v>
      </c>
      <c r="C61" s="144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41"/>
      <c r="R61" s="142"/>
    </row>
    <row r="62" spans="1:18" ht="17.25" customHeight="1"/>
    <row r="63" spans="1:18" ht="17.25" customHeight="1" thickBot="1"/>
    <row r="64" spans="1:18" ht="17.25" customHeight="1" thickBot="1">
      <c r="A64" s="145" t="s">
        <v>85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7"/>
      <c r="Q64" s="148"/>
      <c r="R64" s="149"/>
    </row>
    <row r="65" spans="1:18" ht="17.25" customHeight="1" thickBot="1">
      <c r="A65" s="82" t="s">
        <v>236</v>
      </c>
      <c r="B65" s="145" t="s">
        <v>235</v>
      </c>
      <c r="C65" s="147"/>
      <c r="D65" s="145" t="s">
        <v>67</v>
      </c>
      <c r="E65" s="146"/>
      <c r="F65" s="147"/>
      <c r="G65" s="159">
        <f>_xlfn.IFNA(VLOOKUP(B65, 현재가테이블!$B$1:$D$200, 2, FALSE), "-")</f>
        <v>81224000</v>
      </c>
      <c r="H65" s="160"/>
      <c r="I65" s="161"/>
      <c r="J65" s="145" t="s">
        <v>69</v>
      </c>
      <c r="K65" s="146"/>
      <c r="L65" s="147"/>
      <c r="M65" s="162">
        <f>_xlfn.IFNA(VLOOKUP(B65, 현재가테이블!$B$1:$D$200, 3, FALSE), "-")</f>
        <v>3.8962367900000003E-2</v>
      </c>
      <c r="N65" s="163"/>
      <c r="O65" s="164"/>
      <c r="Q65" s="150"/>
      <c r="R65" s="151"/>
    </row>
    <row r="66" spans="1:18" ht="17.25" customHeight="1" thickBot="1">
      <c r="A66" s="152" t="s">
        <v>18</v>
      </c>
      <c r="B66" s="153" t="s">
        <v>54</v>
      </c>
      <c r="C66" s="154"/>
      <c r="D66" s="155" t="s">
        <v>20</v>
      </c>
      <c r="E66" s="156"/>
      <c r="F66" s="157"/>
      <c r="G66" s="155" t="s">
        <v>15</v>
      </c>
      <c r="H66" s="156"/>
      <c r="I66" s="157"/>
      <c r="J66" s="158" t="s">
        <v>34</v>
      </c>
      <c r="K66" s="158"/>
      <c r="L66" s="158"/>
      <c r="M66" s="155" t="s">
        <v>54</v>
      </c>
      <c r="N66" s="156"/>
      <c r="O66" s="157"/>
      <c r="Q66" s="139"/>
      <c r="R66" s="140"/>
    </row>
    <row r="67" spans="1:18" ht="17.25" customHeight="1" thickBot="1">
      <c r="A67" s="152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39"/>
      <c r="R67" s="140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37"/>
      <c r="R68" s="138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37"/>
      <c r="R69" s="138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37"/>
      <c r="R70" s="138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37"/>
      <c r="R71" s="138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37"/>
      <c r="R72" s="138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37"/>
      <c r="R73" s="138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37"/>
      <c r="R74" s="138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37"/>
      <c r="R75" s="138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39"/>
      <c r="R76" s="140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39"/>
      <c r="R77" s="140"/>
    </row>
    <row r="78" spans="1:18" ht="17.25" customHeight="1" thickBot="1">
      <c r="A78" s="57" t="s">
        <v>32</v>
      </c>
      <c r="B78" s="143">
        <v>100000</v>
      </c>
      <c r="C78" s="144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41"/>
      <c r="R78" s="142"/>
    </row>
    <row r="79" spans="1:18" ht="17.25" customHeight="1"/>
    <row r="80" spans="1:18" ht="17.25" customHeight="1" thickBot="1"/>
    <row r="81" spans="1:18" ht="17.25" customHeight="1" thickBot="1">
      <c r="A81" s="145" t="s">
        <v>86</v>
      </c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7"/>
      <c r="Q81" s="148"/>
      <c r="R81" s="149"/>
    </row>
    <row r="82" spans="1:18" ht="17.25" customHeight="1" thickBot="1">
      <c r="A82" s="82" t="s">
        <v>236</v>
      </c>
      <c r="B82" s="145" t="s">
        <v>235</v>
      </c>
      <c r="C82" s="147"/>
      <c r="D82" s="145" t="s">
        <v>67</v>
      </c>
      <c r="E82" s="146"/>
      <c r="F82" s="147"/>
      <c r="G82" s="159">
        <f>_xlfn.IFNA(VLOOKUP(B82, 현재가테이블!$B$1:$D$200, 2, FALSE), "-")</f>
        <v>81224000</v>
      </c>
      <c r="H82" s="160"/>
      <c r="I82" s="161"/>
      <c r="J82" s="145" t="s">
        <v>69</v>
      </c>
      <c r="K82" s="146"/>
      <c r="L82" s="147"/>
      <c r="M82" s="162">
        <f>_xlfn.IFNA(VLOOKUP(B82, 현재가테이블!$B$1:$D$200, 3, FALSE), "-")</f>
        <v>3.8962367900000003E-2</v>
      </c>
      <c r="N82" s="163"/>
      <c r="O82" s="164"/>
      <c r="Q82" s="150"/>
      <c r="R82" s="151"/>
    </row>
    <row r="83" spans="1:18" ht="17.25" customHeight="1" thickBot="1">
      <c r="A83" s="152" t="s">
        <v>18</v>
      </c>
      <c r="B83" s="153" t="s">
        <v>54</v>
      </c>
      <c r="C83" s="154"/>
      <c r="D83" s="155" t="s">
        <v>20</v>
      </c>
      <c r="E83" s="156"/>
      <c r="F83" s="157"/>
      <c r="G83" s="155" t="s">
        <v>15</v>
      </c>
      <c r="H83" s="156"/>
      <c r="I83" s="157"/>
      <c r="J83" s="158" t="s">
        <v>34</v>
      </c>
      <c r="K83" s="158"/>
      <c r="L83" s="158"/>
      <c r="M83" s="155" t="s">
        <v>54</v>
      </c>
      <c r="N83" s="156"/>
      <c r="O83" s="157"/>
      <c r="Q83" s="139"/>
      <c r="R83" s="140"/>
    </row>
    <row r="84" spans="1:18" ht="17.25" customHeight="1" thickBot="1">
      <c r="A84" s="152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39"/>
      <c r="R84" s="140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37"/>
      <c r="R85" s="138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37"/>
      <c r="R86" s="138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37"/>
      <c r="R87" s="138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37"/>
      <c r="R88" s="13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37"/>
      <c r="R89" s="138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37"/>
      <c r="R90" s="138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37"/>
      <c r="R91" s="138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37"/>
      <c r="R92" s="138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39"/>
      <c r="R93" s="14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39"/>
      <c r="R94" s="140"/>
    </row>
    <row r="95" spans="1:18" ht="17.25" customHeight="1" thickBot="1">
      <c r="A95" s="57" t="s">
        <v>32</v>
      </c>
      <c r="B95" s="143">
        <v>100000</v>
      </c>
      <c r="C95" s="144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41"/>
      <c r="R95" s="142"/>
    </row>
    <row r="96" spans="1:18" ht="17.25" customHeight="1"/>
    <row r="97" spans="1:18" ht="17.25" customHeight="1" thickBot="1"/>
    <row r="98" spans="1:18" ht="17.25" customHeight="1" thickBot="1">
      <c r="A98" s="145" t="s">
        <v>81</v>
      </c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7"/>
      <c r="Q98" s="148"/>
      <c r="R98" s="149"/>
    </row>
    <row r="99" spans="1:18" ht="17.25" customHeight="1" thickBot="1">
      <c r="A99" s="82" t="s">
        <v>236</v>
      </c>
      <c r="B99" s="145" t="s">
        <v>235</v>
      </c>
      <c r="C99" s="147"/>
      <c r="D99" s="145" t="s">
        <v>67</v>
      </c>
      <c r="E99" s="146"/>
      <c r="F99" s="147"/>
      <c r="G99" s="159">
        <f>_xlfn.IFNA(VLOOKUP(B99, 현재가테이블!$B$1:$D$200, 2, FALSE), "-")</f>
        <v>81224000</v>
      </c>
      <c r="H99" s="160"/>
      <c r="I99" s="161"/>
      <c r="J99" s="145" t="s">
        <v>69</v>
      </c>
      <c r="K99" s="146"/>
      <c r="L99" s="147"/>
      <c r="M99" s="162">
        <f>_xlfn.IFNA(VLOOKUP(B99, 현재가테이블!$B$1:$D$200, 3, FALSE), "-")</f>
        <v>3.8962367900000003E-2</v>
      </c>
      <c r="N99" s="163"/>
      <c r="O99" s="164"/>
      <c r="Q99" s="150"/>
      <c r="R99" s="151"/>
    </row>
    <row r="100" spans="1:18" ht="17.25" customHeight="1" thickBot="1">
      <c r="A100" s="152" t="s">
        <v>18</v>
      </c>
      <c r="B100" s="153" t="s">
        <v>54</v>
      </c>
      <c r="C100" s="154"/>
      <c r="D100" s="155" t="s">
        <v>20</v>
      </c>
      <c r="E100" s="156"/>
      <c r="F100" s="157"/>
      <c r="G100" s="155" t="s">
        <v>15</v>
      </c>
      <c r="H100" s="156"/>
      <c r="I100" s="157"/>
      <c r="J100" s="158" t="s">
        <v>34</v>
      </c>
      <c r="K100" s="158"/>
      <c r="L100" s="158"/>
      <c r="M100" s="155" t="s">
        <v>54</v>
      </c>
      <c r="N100" s="156"/>
      <c r="O100" s="157"/>
      <c r="Q100" s="139"/>
      <c r="R100" s="140"/>
    </row>
    <row r="101" spans="1:18" ht="17.25" customHeight="1" thickBot="1">
      <c r="A101" s="152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39"/>
      <c r="R101" s="140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37"/>
      <c r="R102" s="138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137"/>
      <c r="R103" s="138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137"/>
      <c r="R104" s="138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137"/>
      <c r="R105" s="138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137"/>
      <c r="R106" s="138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137"/>
      <c r="R107" s="138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137"/>
      <c r="R108" s="138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137"/>
      <c r="R109" s="138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139"/>
      <c r="R110" s="140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139"/>
      <c r="R111" s="140"/>
    </row>
    <row r="112" spans="1:18" ht="17.25" customHeight="1" thickBot="1">
      <c r="A112" s="57" t="s">
        <v>32</v>
      </c>
      <c r="B112" s="143">
        <v>100000</v>
      </c>
      <c r="C112" s="144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41"/>
      <c r="R112" s="142"/>
    </row>
  </sheetData>
  <mergeCells count="149"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</mergeCells>
  <phoneticPr fontId="1" type="noConversion"/>
  <conditionalFormatting sqref="D15:F16 E27:F27">
    <cfRule type="expression" dxfId="1077" priority="89">
      <formula>$E$27&gt;0</formula>
    </cfRule>
    <cfRule type="expression" dxfId="1076" priority="90">
      <formula>$E$27&lt;0</formula>
    </cfRule>
  </conditionalFormatting>
  <conditionalFormatting sqref="G15:I16 H27:I27">
    <cfRule type="expression" dxfId="1075" priority="87">
      <formula>$H$27&gt;0</formula>
    </cfRule>
    <cfRule type="expression" dxfId="1074" priority="88">
      <formula>$H$27&lt;0</formula>
    </cfRule>
  </conditionalFormatting>
  <conditionalFormatting sqref="J15:L16 K27:L27">
    <cfRule type="expression" dxfId="1073" priority="85">
      <formula>$K$27&gt;0</formula>
    </cfRule>
    <cfRule type="expression" dxfId="1072" priority="86">
      <formula>$K$27&lt;0</formula>
    </cfRule>
  </conditionalFormatting>
  <conditionalFormatting sqref="M15:O16 N27:O27">
    <cfRule type="expression" dxfId="1071" priority="83">
      <formula>$N$27&gt;0</formula>
    </cfRule>
    <cfRule type="expression" dxfId="1070" priority="84">
      <formula>$N$27&lt;0</formula>
    </cfRule>
  </conditionalFormatting>
  <conditionalFormatting sqref="A17:O26 A34:O43">
    <cfRule type="expression" dxfId="1069" priority="91">
      <formula>AND($N17 &gt; 0, ISNUMBER($N17))</formula>
    </cfRule>
    <cfRule type="expression" dxfId="1068" priority="92">
      <formula>AND($N17 &lt; 0, ISNUMBER($N17))</formula>
    </cfRule>
    <cfRule type="expression" dxfId="1067" priority="93">
      <formula>AND($K17 &gt; 0, ISNUMBER($K17))</formula>
    </cfRule>
    <cfRule type="expression" dxfId="1066" priority="94">
      <formula>AND($K17 &lt; 0, ISNUMBER($K17))</formula>
    </cfRule>
    <cfRule type="expression" dxfId="1065" priority="95">
      <formula>AND($H17 &gt; 0, ISNUMBER($H17))</formula>
    </cfRule>
    <cfRule type="expression" dxfId="1064" priority="96">
      <formula>AND($H17 &lt; 0, ISNUMBER($H17))</formula>
    </cfRule>
    <cfRule type="expression" dxfId="1063" priority="97">
      <formula>AND($E17 &gt; 0, ISNUMBER($E17))</formula>
    </cfRule>
    <cfRule type="expression" dxfId="1062" priority="98">
      <formula>AND($E17 &lt; 0, ISNUMBER($E17))</formula>
    </cfRule>
  </conditionalFormatting>
  <conditionalFormatting sqref="D32:F33 E44:F44">
    <cfRule type="expression" dxfId="1061" priority="81">
      <formula>$E$44&gt;0</formula>
    </cfRule>
    <cfRule type="expression" dxfId="1060" priority="82">
      <formula>$E$44&lt;0</formula>
    </cfRule>
  </conditionalFormatting>
  <conditionalFormatting sqref="G32:I33 H44:I44">
    <cfRule type="expression" dxfId="1059" priority="79">
      <formula>$H$44&gt;0</formula>
    </cfRule>
    <cfRule type="expression" dxfId="1058" priority="80">
      <formula>$H$44&lt;0</formula>
    </cfRule>
  </conditionalFormatting>
  <conditionalFormatting sqref="J32:L33 K44:L44">
    <cfRule type="expression" dxfId="1057" priority="77">
      <formula>$K$44&gt;0</formula>
    </cfRule>
    <cfRule type="expression" dxfId="1056" priority="78">
      <formula>$K$44&lt;0</formula>
    </cfRule>
  </conditionalFormatting>
  <conditionalFormatting sqref="M32:O33 N44:O44">
    <cfRule type="expression" dxfId="1055" priority="75">
      <formula>$N$44&gt;0</formula>
    </cfRule>
    <cfRule type="expression" dxfId="1054" priority="76">
      <formula>$N$44&lt;0</formula>
    </cfRule>
  </conditionalFormatting>
  <conditionalFormatting sqref="A51:O60">
    <cfRule type="expression" dxfId="1053" priority="67">
      <formula>AND($N51 &gt; 0, ISNUMBER($N51))</formula>
    </cfRule>
    <cfRule type="expression" dxfId="1052" priority="68">
      <formula>AND($N51 &lt; 0, ISNUMBER($N51))</formula>
    </cfRule>
    <cfRule type="expression" dxfId="1051" priority="69">
      <formula>AND($K51 &gt; 0, ISNUMBER($K51))</formula>
    </cfRule>
    <cfRule type="expression" dxfId="1050" priority="70">
      <formula>AND($K51 &lt; 0, ISNUMBER($K51))</formula>
    </cfRule>
    <cfRule type="expression" dxfId="1049" priority="71">
      <formula>AND($H51 &gt; 0, ISNUMBER($H51))</formula>
    </cfRule>
    <cfRule type="expression" dxfId="1048" priority="72">
      <formula>AND($H51 &lt; 0, ISNUMBER($H51))</formula>
    </cfRule>
    <cfRule type="expression" dxfId="1047" priority="73">
      <formula>AND($E51 &gt; 0, ISNUMBER($E51))</formula>
    </cfRule>
    <cfRule type="expression" dxfId="1046" priority="74">
      <formula>AND($E51 &lt; 0, ISNUMBER($E51))</formula>
    </cfRule>
  </conditionalFormatting>
  <conditionalFormatting sqref="D49:F50 E61:F61">
    <cfRule type="expression" dxfId="1045" priority="65">
      <formula>$E$61&gt;0</formula>
    </cfRule>
    <cfRule type="expression" dxfId="1044" priority="66">
      <formula>$E$61&lt;0</formula>
    </cfRule>
  </conditionalFormatting>
  <conditionalFormatting sqref="G49:I50 H61:I61">
    <cfRule type="expression" dxfId="1043" priority="63">
      <formula>$H$61&gt;0</formula>
    </cfRule>
    <cfRule type="expression" dxfId="1042" priority="64">
      <formula>$H$61&lt;0</formula>
    </cfRule>
  </conditionalFormatting>
  <conditionalFormatting sqref="J49:L50 K61:L61">
    <cfRule type="expression" dxfId="1041" priority="61">
      <formula>$K$61&gt;0</formula>
    </cfRule>
    <cfRule type="expression" dxfId="1040" priority="62">
      <formula>$K$61&lt;0</formula>
    </cfRule>
  </conditionalFormatting>
  <conditionalFormatting sqref="M49:O50 N61:O61">
    <cfRule type="expression" dxfId="1039" priority="59">
      <formula>$N$61&gt;0</formula>
    </cfRule>
    <cfRule type="expression" dxfId="1038" priority="60">
      <formula>$N$61&lt;0</formula>
    </cfRule>
  </conditionalFormatting>
  <conditionalFormatting sqref="A68:O77">
    <cfRule type="expression" dxfId="1037" priority="51">
      <formula>AND($N68 &gt; 0, ISNUMBER($N68))</formula>
    </cfRule>
    <cfRule type="expression" dxfId="1036" priority="52">
      <formula>AND($N68 &lt; 0, ISNUMBER($N68))</formula>
    </cfRule>
    <cfRule type="expression" dxfId="1035" priority="53">
      <formula>AND($K68 &gt; 0, ISNUMBER($K68))</formula>
    </cfRule>
    <cfRule type="expression" dxfId="1034" priority="54">
      <formula>AND($K68 &lt; 0, ISNUMBER($K68))</formula>
    </cfRule>
    <cfRule type="expression" dxfId="1033" priority="55">
      <formula>AND($H68 &gt; 0, ISNUMBER($H68))</formula>
    </cfRule>
    <cfRule type="expression" dxfId="1032" priority="56">
      <formula>AND($H68 &lt; 0, ISNUMBER($H68))</formula>
    </cfRule>
    <cfRule type="expression" dxfId="1031" priority="57">
      <formula>AND($E68 &gt; 0, ISNUMBER($E68))</formula>
    </cfRule>
    <cfRule type="expression" dxfId="1030" priority="58">
      <formula>AND($E68 &lt; 0, ISNUMBER($E68))</formula>
    </cfRule>
  </conditionalFormatting>
  <conditionalFormatting sqref="D66:F67 E78:F78">
    <cfRule type="expression" dxfId="1029" priority="49">
      <formula>$E$78&gt;0</formula>
    </cfRule>
    <cfRule type="expression" dxfId="1028" priority="50">
      <formula>$E$78&lt;0</formula>
    </cfRule>
  </conditionalFormatting>
  <conditionalFormatting sqref="G66:I67 H78:I78">
    <cfRule type="expression" dxfId="1027" priority="47">
      <formula>$H$78&gt;0</formula>
    </cfRule>
    <cfRule type="expression" dxfId="1026" priority="48">
      <formula>$H$78&lt;0</formula>
    </cfRule>
  </conditionalFormatting>
  <conditionalFormatting sqref="J66:L67 K78:L78">
    <cfRule type="expression" dxfId="1025" priority="45">
      <formula>$K$78&gt;0</formula>
    </cfRule>
    <cfRule type="expression" dxfId="1024" priority="46">
      <formula>$K$78&lt;0</formula>
    </cfRule>
  </conditionalFormatting>
  <conditionalFormatting sqref="M66:O67 N78:O78">
    <cfRule type="expression" dxfId="1023" priority="43">
      <formula>$N$78&gt;0</formula>
    </cfRule>
    <cfRule type="expression" dxfId="1022" priority="44">
      <formula>$N$78&lt;0</formula>
    </cfRule>
  </conditionalFormatting>
  <conditionalFormatting sqref="A85:O94">
    <cfRule type="expression" dxfId="1021" priority="35">
      <formula>AND($N85 &gt; 0, ISNUMBER($N85))</formula>
    </cfRule>
    <cfRule type="expression" dxfId="1020" priority="36">
      <formula>AND($N85 &lt; 0, ISNUMBER($N85))</formula>
    </cfRule>
    <cfRule type="expression" dxfId="1019" priority="37">
      <formula>AND($K85 &gt; 0, ISNUMBER($K85))</formula>
    </cfRule>
    <cfRule type="expression" dxfId="1018" priority="38">
      <formula>AND($K85 &lt; 0, ISNUMBER($K85))</formula>
    </cfRule>
    <cfRule type="expression" dxfId="1017" priority="39">
      <formula>AND($H85 &gt; 0, ISNUMBER($H85))</formula>
    </cfRule>
    <cfRule type="expression" dxfId="1016" priority="40">
      <formula>AND($H85 &lt; 0, ISNUMBER($H85))</formula>
    </cfRule>
    <cfRule type="expression" dxfId="1015" priority="41">
      <formula>AND($E85 &gt; 0, ISNUMBER($E85))</formula>
    </cfRule>
    <cfRule type="expression" dxfId="1014" priority="42">
      <formula>AND($E85 &lt; 0, ISNUMBER($E85))</formula>
    </cfRule>
  </conditionalFormatting>
  <conditionalFormatting sqref="D83:F84 E95:F95">
    <cfRule type="expression" dxfId="1013" priority="33">
      <formula>$E$95&gt;0</formula>
    </cfRule>
    <cfRule type="expression" dxfId="1012" priority="34">
      <formula>$E$95&lt;0</formula>
    </cfRule>
  </conditionalFormatting>
  <conditionalFormatting sqref="G83:I84 H95:I95">
    <cfRule type="expression" dxfId="1011" priority="31">
      <formula>$H$95&gt;0</formula>
    </cfRule>
    <cfRule type="expression" dxfId="1010" priority="32">
      <formula>$H$95&lt;0</formula>
    </cfRule>
  </conditionalFormatting>
  <conditionalFormatting sqref="J83:L84 K95:L95">
    <cfRule type="expression" dxfId="1009" priority="29">
      <formula>$K$95&gt;0</formula>
    </cfRule>
    <cfRule type="expression" dxfId="1008" priority="30">
      <formula>$K$95&lt;0</formula>
    </cfRule>
  </conditionalFormatting>
  <conditionalFormatting sqref="M83:O84 N95:O95">
    <cfRule type="expression" dxfId="1007" priority="27">
      <formula>$N$95&gt;0</formula>
    </cfRule>
    <cfRule type="expression" dxfId="1006" priority="28">
      <formula>$N$95&lt;0</formula>
    </cfRule>
  </conditionalFormatting>
  <conditionalFormatting sqref="A102:O111">
    <cfRule type="expression" dxfId="1005" priority="19">
      <formula>AND($N102 &gt; 0, ISNUMBER($N102))</formula>
    </cfRule>
    <cfRule type="expression" dxfId="1004" priority="20">
      <formula>AND($N102 &lt; 0, ISNUMBER($N102))</formula>
    </cfRule>
    <cfRule type="expression" dxfId="1003" priority="21">
      <formula>AND($K102 &gt; 0, ISNUMBER($K102))</formula>
    </cfRule>
    <cfRule type="expression" dxfId="1002" priority="22">
      <formula>AND($K102 &lt; 0, ISNUMBER($K102))</formula>
    </cfRule>
    <cfRule type="expression" dxfId="1001" priority="23">
      <formula>AND($H102 &gt; 0, ISNUMBER($H102))</formula>
    </cfRule>
    <cfRule type="expression" dxfId="1000" priority="24">
      <formula>AND($H102 &lt; 0, ISNUMBER($H102))</formula>
    </cfRule>
    <cfRule type="expression" dxfId="999" priority="25">
      <formula>AND($E102 &gt; 0, ISNUMBER($E102))</formula>
    </cfRule>
    <cfRule type="expression" dxfId="998" priority="26">
      <formula>AND($E102 &lt; 0, ISNUMBER($E102))</formula>
    </cfRule>
  </conditionalFormatting>
  <conditionalFormatting sqref="D100:F101 E112:F112">
    <cfRule type="expression" dxfId="997" priority="17">
      <formula>$E$112&gt;0</formula>
    </cfRule>
    <cfRule type="expression" dxfId="996" priority="18">
      <formula>$E$112&lt;0</formula>
    </cfRule>
  </conditionalFormatting>
  <conditionalFormatting sqref="G100:I101 H112:I112">
    <cfRule type="expression" dxfId="995" priority="15">
      <formula>$H$112&gt;0</formula>
    </cfRule>
    <cfRule type="expression" dxfId="994" priority="16">
      <formula>$H$112&lt;0</formula>
    </cfRule>
  </conditionalFormatting>
  <conditionalFormatting sqref="J100:L101 K112:L112">
    <cfRule type="expression" dxfId="993" priority="13">
      <formula>$K$112&gt;0</formula>
    </cfRule>
    <cfRule type="expression" dxfId="992" priority="14">
      <formula>$K$112&lt;0</formula>
    </cfRule>
  </conditionalFormatting>
  <conditionalFormatting sqref="M100:O101 N112:O112">
    <cfRule type="expression" dxfId="991" priority="11">
      <formula>$N$112&gt;0</formula>
    </cfRule>
    <cfRule type="expression" dxfId="990" priority="12">
      <formula>$N$112&lt;0</formula>
    </cfRule>
  </conditionalFormatting>
  <conditionalFormatting sqref="G2:I3">
    <cfRule type="expression" dxfId="98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8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8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8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8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8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8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8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8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45" t="s">
        <v>0</v>
      </c>
      <c r="B1" s="146"/>
      <c r="C1" s="146"/>
      <c r="D1" s="146"/>
      <c r="E1" s="146"/>
      <c r="F1" s="147"/>
      <c r="G1" s="189">
        <v>44290</v>
      </c>
      <c r="H1" s="190"/>
      <c r="I1" s="191"/>
      <c r="J1" s="145" t="s">
        <v>33</v>
      </c>
      <c r="K1" s="146"/>
      <c r="L1" s="146"/>
      <c r="M1" s="146"/>
      <c r="N1" s="146"/>
      <c r="O1" s="147"/>
      <c r="Q1" s="145" t="s">
        <v>1</v>
      </c>
      <c r="R1" s="147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86" t="s">
        <v>83</v>
      </c>
      <c r="H2" s="187"/>
      <c r="I2" s="188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83" t="s">
        <v>55</v>
      </c>
      <c r="C3" s="184"/>
      <c r="D3" s="184"/>
      <c r="E3" s="184"/>
      <c r="F3" s="185"/>
      <c r="G3" s="17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175"/>
      <c r="I3" s="176"/>
      <c r="J3" s="1" t="s">
        <v>23</v>
      </c>
      <c r="K3" s="183" t="s">
        <v>59</v>
      </c>
      <c r="L3" s="184"/>
      <c r="M3" s="184"/>
      <c r="N3" s="184"/>
      <c r="O3" s="18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3" t="s">
        <v>56</v>
      </c>
      <c r="C4" s="184"/>
      <c r="D4" s="184"/>
      <c r="E4" s="184"/>
      <c r="F4" s="185"/>
      <c r="G4" s="186" t="s">
        <v>84</v>
      </c>
      <c r="H4" s="187"/>
      <c r="I4" s="188"/>
      <c r="J4" s="1" t="s">
        <v>30</v>
      </c>
      <c r="K4" s="183" t="s">
        <v>60</v>
      </c>
      <c r="L4" s="184"/>
      <c r="M4" s="184"/>
      <c r="N4" s="184"/>
      <c r="O4" s="185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83" t="s">
        <v>57</v>
      </c>
      <c r="C5" s="184"/>
      <c r="D5" s="184"/>
      <c r="E5" s="184"/>
      <c r="F5" s="185"/>
      <c r="G5" s="17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75"/>
      <c r="I5" s="176"/>
      <c r="J5" s="1" t="s">
        <v>24</v>
      </c>
      <c r="K5" s="183" t="s">
        <v>62</v>
      </c>
      <c r="L5" s="184"/>
      <c r="M5" s="184"/>
      <c r="N5" s="184"/>
      <c r="O5" s="185"/>
    </row>
    <row r="6" spans="1:18">
      <c r="A6" s="1" t="s">
        <v>25</v>
      </c>
      <c r="B6" s="183" t="s">
        <v>58</v>
      </c>
      <c r="C6" s="184"/>
      <c r="D6" s="184"/>
      <c r="E6" s="184"/>
      <c r="F6" s="185"/>
      <c r="G6" s="186" t="s">
        <v>85</v>
      </c>
      <c r="H6" s="187"/>
      <c r="I6" s="188"/>
      <c r="J6" s="1" t="s">
        <v>25</v>
      </c>
      <c r="K6" s="183" t="s">
        <v>63</v>
      </c>
      <c r="L6" s="184"/>
      <c r="M6" s="184"/>
      <c r="N6" s="184"/>
      <c r="O6" s="185"/>
    </row>
    <row r="7" spans="1:18" ht="17.25" thickBot="1">
      <c r="A7" s="1" t="s">
        <v>26</v>
      </c>
      <c r="B7" s="183" t="s">
        <v>64</v>
      </c>
      <c r="C7" s="184"/>
      <c r="D7" s="184"/>
      <c r="E7" s="184"/>
      <c r="F7" s="185"/>
      <c r="G7" s="17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75"/>
      <c r="I7" s="176"/>
      <c r="J7" s="1" t="s">
        <v>26</v>
      </c>
      <c r="K7" s="183" t="s">
        <v>65</v>
      </c>
      <c r="L7" s="184"/>
      <c r="M7" s="184"/>
      <c r="N7" s="184"/>
      <c r="O7" s="185"/>
    </row>
    <row r="8" spans="1:18" ht="17.25" thickBot="1">
      <c r="A8" s="1" t="s">
        <v>27</v>
      </c>
      <c r="B8" s="183" t="s">
        <v>66</v>
      </c>
      <c r="C8" s="184"/>
      <c r="D8" s="184"/>
      <c r="E8" s="184"/>
      <c r="F8" s="185"/>
      <c r="G8" s="186" t="s">
        <v>86</v>
      </c>
      <c r="H8" s="187"/>
      <c r="I8" s="188"/>
      <c r="J8" s="1" t="s">
        <v>27</v>
      </c>
      <c r="K8" s="183" t="s">
        <v>88</v>
      </c>
      <c r="L8" s="184"/>
      <c r="M8" s="184"/>
      <c r="N8" s="184"/>
      <c r="O8" s="185"/>
      <c r="Q8" s="145" t="s">
        <v>16</v>
      </c>
      <c r="R8" s="147"/>
    </row>
    <row r="9" spans="1:18" ht="17.25" thickBot="1">
      <c r="A9" s="1" t="s">
        <v>28</v>
      </c>
      <c r="B9" s="183"/>
      <c r="C9" s="184"/>
      <c r="D9" s="184"/>
      <c r="E9" s="184"/>
      <c r="F9" s="185"/>
      <c r="G9" s="17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75"/>
      <c r="I9" s="176"/>
      <c r="J9" s="1" t="s">
        <v>28</v>
      </c>
      <c r="K9" s="183"/>
      <c r="L9" s="184"/>
      <c r="M9" s="184"/>
      <c r="N9" s="184"/>
      <c r="O9" s="185"/>
      <c r="Q9" s="18" t="s">
        <v>2</v>
      </c>
      <c r="R9" s="51">
        <v>10</v>
      </c>
    </row>
    <row r="10" spans="1:18">
      <c r="A10" s="1" t="s">
        <v>29</v>
      </c>
      <c r="B10" s="183"/>
      <c r="C10" s="184"/>
      <c r="D10" s="184"/>
      <c r="E10" s="184"/>
      <c r="F10" s="185"/>
      <c r="G10" s="186" t="s">
        <v>81</v>
      </c>
      <c r="H10" s="187"/>
      <c r="I10" s="188"/>
      <c r="J10" s="1" t="s">
        <v>29</v>
      </c>
      <c r="K10" s="183"/>
      <c r="L10" s="184"/>
      <c r="M10" s="184"/>
      <c r="N10" s="184"/>
      <c r="O10" s="185"/>
      <c r="Q10" s="18" t="s">
        <v>3</v>
      </c>
      <c r="R10" s="51">
        <v>100</v>
      </c>
    </row>
    <row r="11" spans="1:18" ht="17.25" thickBot="1">
      <c r="A11" s="2" t="s">
        <v>21</v>
      </c>
      <c r="B11" s="171"/>
      <c r="C11" s="172"/>
      <c r="D11" s="172"/>
      <c r="E11" s="172"/>
      <c r="F11" s="173"/>
      <c r="G11" s="17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175"/>
      <c r="I11" s="176"/>
      <c r="J11" s="2" t="s">
        <v>21</v>
      </c>
      <c r="K11" s="171"/>
      <c r="L11" s="172"/>
      <c r="M11" s="172"/>
      <c r="N11" s="172"/>
      <c r="O11" s="173"/>
      <c r="Q11" s="7" t="s">
        <v>17</v>
      </c>
      <c r="R11" s="52">
        <v>1000</v>
      </c>
    </row>
    <row r="12" spans="1:18" ht="17.25" thickBot="1"/>
    <row r="13" spans="1:18" ht="17.25" customHeight="1" thickBot="1">
      <c r="A13" s="145" t="s">
        <v>87</v>
      </c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Q13" s="177"/>
      <c r="R13" s="178"/>
    </row>
    <row r="14" spans="1:18" ht="17.25" customHeight="1" thickBot="1">
      <c r="A14" s="82" t="s">
        <v>236</v>
      </c>
      <c r="B14" s="145" t="s">
        <v>235</v>
      </c>
      <c r="C14" s="147"/>
      <c r="D14" s="145" t="s">
        <v>67</v>
      </c>
      <c r="E14" s="146"/>
      <c r="F14" s="147"/>
      <c r="G14" s="159">
        <f>_xlfn.IFNA(VLOOKUP(B14, 현재가테이블!$B$1:$D$200, 2, FALSE), "-")</f>
        <v>81224000</v>
      </c>
      <c r="H14" s="160"/>
      <c r="I14" s="161"/>
      <c r="J14" s="145" t="s">
        <v>69</v>
      </c>
      <c r="K14" s="146"/>
      <c r="L14" s="147"/>
      <c r="M14" s="162">
        <f>_xlfn.IFNA(VLOOKUP(B14, 현재가테이블!$B$1:$D$200, 3, FALSE), "-")</f>
        <v>3.8962367900000003E-2</v>
      </c>
      <c r="N14" s="163"/>
      <c r="O14" s="164"/>
      <c r="Q14" s="179"/>
      <c r="R14" s="180"/>
    </row>
    <row r="15" spans="1:18" ht="17.25" customHeight="1" thickBot="1">
      <c r="A15" s="152" t="s">
        <v>18</v>
      </c>
      <c r="B15" s="153" t="s">
        <v>54</v>
      </c>
      <c r="C15" s="154"/>
      <c r="D15" s="155" t="s">
        <v>20</v>
      </c>
      <c r="E15" s="156"/>
      <c r="F15" s="157"/>
      <c r="G15" s="155" t="s">
        <v>15</v>
      </c>
      <c r="H15" s="156"/>
      <c r="I15" s="157"/>
      <c r="J15" s="158" t="s">
        <v>34</v>
      </c>
      <c r="K15" s="158"/>
      <c r="L15" s="158"/>
      <c r="M15" s="155" t="s">
        <v>54</v>
      </c>
      <c r="N15" s="156"/>
      <c r="O15" s="157"/>
      <c r="Q15" s="167"/>
      <c r="R15" s="168"/>
    </row>
    <row r="16" spans="1:18" ht="17.25" customHeight="1" thickBot="1">
      <c r="A16" s="1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167"/>
      <c r="R16" s="168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165"/>
      <c r="R17" s="166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165"/>
      <c r="R18" s="166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165"/>
      <c r="R19" s="166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165"/>
      <c r="R20" s="166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165"/>
      <c r="R21" s="166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165"/>
      <c r="R22" s="166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165"/>
      <c r="R23" s="166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165"/>
      <c r="R24" s="166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167"/>
      <c r="R25" s="168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167"/>
      <c r="R26" s="168"/>
    </row>
    <row r="27" spans="1:18" ht="17.25" customHeight="1" thickBot="1">
      <c r="A27" s="29" t="s">
        <v>32</v>
      </c>
      <c r="B27" s="143">
        <v>100000</v>
      </c>
      <c r="C27" s="144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169"/>
      <c r="R27" s="17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5" t="s">
        <v>83</v>
      </c>
      <c r="B30" s="146"/>
      <c r="C30" s="146"/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7"/>
      <c r="Q30" s="148"/>
      <c r="R30" s="149"/>
    </row>
    <row r="31" spans="1:18" ht="17.25" customHeight="1" thickBot="1">
      <c r="A31" s="82" t="s">
        <v>236</v>
      </c>
      <c r="B31" s="145" t="s">
        <v>235</v>
      </c>
      <c r="C31" s="147"/>
      <c r="D31" s="145" t="s">
        <v>67</v>
      </c>
      <c r="E31" s="146"/>
      <c r="F31" s="147"/>
      <c r="G31" s="159">
        <f>_xlfn.IFNA(VLOOKUP(B31, 현재가테이블!$B$1:$D$200, 2, FALSE), "-")</f>
        <v>81224000</v>
      </c>
      <c r="H31" s="160"/>
      <c r="I31" s="161"/>
      <c r="J31" s="145" t="s">
        <v>69</v>
      </c>
      <c r="K31" s="146"/>
      <c r="L31" s="147"/>
      <c r="M31" s="162">
        <f>_xlfn.IFNA(VLOOKUP(B31, 현재가테이블!$B$1:$D$200, 3, FALSE), "-")</f>
        <v>3.8962367900000003E-2</v>
      </c>
      <c r="N31" s="163"/>
      <c r="O31" s="164"/>
      <c r="Q31" s="150"/>
      <c r="R31" s="151"/>
    </row>
    <row r="32" spans="1:18" ht="17.25" customHeight="1" thickBot="1">
      <c r="A32" s="152" t="s">
        <v>18</v>
      </c>
      <c r="B32" s="153" t="s">
        <v>54</v>
      </c>
      <c r="C32" s="154"/>
      <c r="D32" s="155" t="s">
        <v>20</v>
      </c>
      <c r="E32" s="156"/>
      <c r="F32" s="157"/>
      <c r="G32" s="155" t="s">
        <v>15</v>
      </c>
      <c r="H32" s="156"/>
      <c r="I32" s="157"/>
      <c r="J32" s="158" t="s">
        <v>34</v>
      </c>
      <c r="K32" s="158"/>
      <c r="L32" s="158"/>
      <c r="M32" s="155" t="s">
        <v>54</v>
      </c>
      <c r="N32" s="156"/>
      <c r="O32" s="157"/>
      <c r="Q32" s="139"/>
      <c r="R32" s="140"/>
    </row>
    <row r="33" spans="1:18" ht="17.25" customHeight="1" thickBot="1">
      <c r="A33" s="1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139"/>
      <c r="R33" s="140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137"/>
      <c r="R34" s="138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37"/>
      <c r="R35" s="138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37"/>
      <c r="R36" s="138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37"/>
      <c r="R37" s="138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37"/>
      <c r="R38" s="138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37"/>
      <c r="R39" s="138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37"/>
      <c r="R40" s="138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37"/>
      <c r="R41" s="13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39"/>
      <c r="R42" s="14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39"/>
      <c r="R43" s="140"/>
    </row>
    <row r="44" spans="1:18" ht="17.25" customHeight="1" thickBot="1">
      <c r="A44" s="29" t="s">
        <v>32</v>
      </c>
      <c r="B44" s="143">
        <v>100000</v>
      </c>
      <c r="C44" s="144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141"/>
      <c r="R44" s="14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5" t="s">
        <v>84</v>
      </c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7"/>
      <c r="Q47" s="148"/>
      <c r="R47" s="149"/>
    </row>
    <row r="48" spans="1:18" ht="17.25" customHeight="1" thickBot="1">
      <c r="A48" s="82" t="s">
        <v>236</v>
      </c>
      <c r="B48" s="145" t="s">
        <v>235</v>
      </c>
      <c r="C48" s="147"/>
      <c r="D48" s="145" t="s">
        <v>67</v>
      </c>
      <c r="E48" s="146"/>
      <c r="F48" s="147"/>
      <c r="G48" s="159">
        <f>_xlfn.IFNA(VLOOKUP(B48, 현재가테이블!$B$1:$D$200, 2, FALSE), "-")</f>
        <v>81224000</v>
      </c>
      <c r="H48" s="160"/>
      <c r="I48" s="161"/>
      <c r="J48" s="145" t="s">
        <v>69</v>
      </c>
      <c r="K48" s="146"/>
      <c r="L48" s="147"/>
      <c r="M48" s="162">
        <f>_xlfn.IFNA(VLOOKUP(B48, 현재가테이블!$B$1:$D$200, 3, FALSE), "-")</f>
        <v>3.8962367900000003E-2</v>
      </c>
      <c r="N48" s="163"/>
      <c r="O48" s="164"/>
      <c r="Q48" s="150"/>
      <c r="R48" s="151"/>
    </row>
    <row r="49" spans="1:18" ht="17.25" customHeight="1" thickBot="1">
      <c r="A49" s="152" t="s">
        <v>18</v>
      </c>
      <c r="B49" s="153" t="s">
        <v>54</v>
      </c>
      <c r="C49" s="154"/>
      <c r="D49" s="155" t="s">
        <v>20</v>
      </c>
      <c r="E49" s="156"/>
      <c r="F49" s="157"/>
      <c r="G49" s="155" t="s">
        <v>15</v>
      </c>
      <c r="H49" s="156"/>
      <c r="I49" s="157"/>
      <c r="J49" s="158" t="s">
        <v>34</v>
      </c>
      <c r="K49" s="158"/>
      <c r="L49" s="158"/>
      <c r="M49" s="155" t="s">
        <v>54</v>
      </c>
      <c r="N49" s="156"/>
      <c r="O49" s="157"/>
      <c r="Q49" s="139"/>
      <c r="R49" s="140"/>
    </row>
    <row r="50" spans="1:18" ht="17.25" customHeight="1" thickBot="1">
      <c r="A50" s="1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139"/>
      <c r="R50" s="140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37"/>
      <c r="R51" s="138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37"/>
      <c r="R52" s="138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37"/>
      <c r="R53" s="138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37"/>
      <c r="R54" s="138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37"/>
      <c r="R55" s="138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37"/>
      <c r="R56" s="13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37"/>
      <c r="R57" s="13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37"/>
      <c r="R58" s="13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39"/>
      <c r="R59" s="14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39"/>
      <c r="R60" s="140"/>
    </row>
    <row r="61" spans="1:18" ht="17.25" customHeight="1" thickBot="1">
      <c r="A61" s="29" t="s">
        <v>32</v>
      </c>
      <c r="B61" s="143">
        <v>100000</v>
      </c>
      <c r="C61" s="144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141"/>
      <c r="R61" s="142"/>
    </row>
    <row r="62" spans="1:18" ht="17.25" customHeight="1"/>
    <row r="63" spans="1:18" ht="17.25" customHeight="1" thickBot="1"/>
    <row r="64" spans="1:18" ht="17.25" customHeight="1" thickBot="1">
      <c r="A64" s="145" t="s">
        <v>85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7"/>
      <c r="Q64" s="148"/>
      <c r="R64" s="149"/>
    </row>
    <row r="65" spans="1:18" ht="17.25" customHeight="1" thickBot="1">
      <c r="A65" s="82" t="s">
        <v>236</v>
      </c>
      <c r="B65" s="145" t="s">
        <v>235</v>
      </c>
      <c r="C65" s="147"/>
      <c r="D65" s="145" t="s">
        <v>67</v>
      </c>
      <c r="E65" s="146"/>
      <c r="F65" s="147"/>
      <c r="G65" s="159">
        <f>_xlfn.IFNA(VLOOKUP(B65, 현재가테이블!$B$1:$D$200, 2, FALSE), "-")</f>
        <v>81224000</v>
      </c>
      <c r="H65" s="160"/>
      <c r="I65" s="161"/>
      <c r="J65" s="145" t="s">
        <v>69</v>
      </c>
      <c r="K65" s="146"/>
      <c r="L65" s="147"/>
      <c r="M65" s="162">
        <f>_xlfn.IFNA(VLOOKUP(B65, 현재가테이블!$B$1:$D$200, 3, FALSE), "-")</f>
        <v>3.8962367900000003E-2</v>
      </c>
      <c r="N65" s="163"/>
      <c r="O65" s="164"/>
      <c r="Q65" s="150"/>
      <c r="R65" s="151"/>
    </row>
    <row r="66" spans="1:18" ht="17.25" customHeight="1" thickBot="1">
      <c r="A66" s="152" t="s">
        <v>18</v>
      </c>
      <c r="B66" s="153" t="s">
        <v>54</v>
      </c>
      <c r="C66" s="154"/>
      <c r="D66" s="155" t="s">
        <v>20</v>
      </c>
      <c r="E66" s="156"/>
      <c r="F66" s="157"/>
      <c r="G66" s="155" t="s">
        <v>15</v>
      </c>
      <c r="H66" s="156"/>
      <c r="I66" s="157"/>
      <c r="J66" s="158" t="s">
        <v>34</v>
      </c>
      <c r="K66" s="158"/>
      <c r="L66" s="158"/>
      <c r="M66" s="155" t="s">
        <v>54</v>
      </c>
      <c r="N66" s="156"/>
      <c r="O66" s="157"/>
      <c r="Q66" s="139"/>
      <c r="R66" s="140"/>
    </row>
    <row r="67" spans="1:18" ht="17.25" customHeight="1" thickBot="1">
      <c r="A67" s="1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139"/>
      <c r="R67" s="140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37"/>
      <c r="R68" s="138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37"/>
      <c r="R69" s="138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37"/>
      <c r="R70" s="138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37"/>
      <c r="R71" s="138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37"/>
      <c r="R72" s="138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37"/>
      <c r="R73" s="138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37"/>
      <c r="R74" s="138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37"/>
      <c r="R75" s="138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39"/>
      <c r="R76" s="140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39"/>
      <c r="R77" s="140"/>
    </row>
    <row r="78" spans="1:18" ht="17.25" customHeight="1" thickBot="1">
      <c r="A78" s="29" t="s">
        <v>32</v>
      </c>
      <c r="B78" s="143">
        <v>100000</v>
      </c>
      <c r="C78" s="144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141"/>
      <c r="R78" s="14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5" t="s">
        <v>86</v>
      </c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7"/>
      <c r="Q81" s="148"/>
      <c r="R81" s="149"/>
    </row>
    <row r="82" spans="1:18" ht="17.25" customHeight="1" thickBot="1">
      <c r="A82" s="82" t="s">
        <v>236</v>
      </c>
      <c r="B82" s="145" t="s">
        <v>235</v>
      </c>
      <c r="C82" s="147"/>
      <c r="D82" s="145" t="s">
        <v>67</v>
      </c>
      <c r="E82" s="146"/>
      <c r="F82" s="147"/>
      <c r="G82" s="159">
        <f>_xlfn.IFNA(VLOOKUP(B82, 현재가테이블!$B$1:$D$200, 2, FALSE), "-")</f>
        <v>81224000</v>
      </c>
      <c r="H82" s="160"/>
      <c r="I82" s="161"/>
      <c r="J82" s="145" t="s">
        <v>69</v>
      </c>
      <c r="K82" s="146"/>
      <c r="L82" s="147"/>
      <c r="M82" s="162">
        <f>_xlfn.IFNA(VLOOKUP(B82, 현재가테이블!$B$1:$D$200, 3, FALSE), "-")</f>
        <v>3.8962367900000003E-2</v>
      </c>
      <c r="N82" s="163"/>
      <c r="O82" s="164"/>
      <c r="Q82" s="150"/>
      <c r="R82" s="151"/>
    </row>
    <row r="83" spans="1:18" ht="17.25" customHeight="1" thickBot="1">
      <c r="A83" s="152" t="s">
        <v>18</v>
      </c>
      <c r="B83" s="153" t="s">
        <v>54</v>
      </c>
      <c r="C83" s="154"/>
      <c r="D83" s="155" t="s">
        <v>20</v>
      </c>
      <c r="E83" s="156"/>
      <c r="F83" s="157"/>
      <c r="G83" s="155" t="s">
        <v>15</v>
      </c>
      <c r="H83" s="156"/>
      <c r="I83" s="157"/>
      <c r="J83" s="158" t="s">
        <v>34</v>
      </c>
      <c r="K83" s="158"/>
      <c r="L83" s="158"/>
      <c r="M83" s="155" t="s">
        <v>54</v>
      </c>
      <c r="N83" s="156"/>
      <c r="O83" s="157"/>
      <c r="Q83" s="139"/>
      <c r="R83" s="140"/>
    </row>
    <row r="84" spans="1:18" ht="17.25" customHeight="1" thickBot="1">
      <c r="A84" s="1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139"/>
      <c r="R84" s="140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37"/>
      <c r="R85" s="138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37"/>
      <c r="R86" s="138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37"/>
      <c r="R87" s="138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37"/>
      <c r="R88" s="13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37"/>
      <c r="R89" s="138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37"/>
      <c r="R90" s="138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37"/>
      <c r="R91" s="138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37"/>
      <c r="R92" s="138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39"/>
      <c r="R93" s="14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39"/>
      <c r="R94" s="140"/>
    </row>
    <row r="95" spans="1:18" ht="17.25" customHeight="1" thickBot="1">
      <c r="A95" s="29" t="s">
        <v>32</v>
      </c>
      <c r="B95" s="143">
        <v>100000</v>
      </c>
      <c r="C95" s="144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141"/>
      <c r="R95" s="142"/>
    </row>
    <row r="96" spans="1:18" ht="17.25" customHeight="1"/>
    <row r="97" spans="1:18" ht="17.25" customHeight="1" thickBot="1"/>
    <row r="98" spans="1:18" ht="17.25" customHeight="1" thickBot="1">
      <c r="A98" s="145" t="s">
        <v>81</v>
      </c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7"/>
      <c r="Q98" s="148"/>
      <c r="R98" s="149"/>
    </row>
    <row r="99" spans="1:18" ht="17.25" customHeight="1" thickBot="1">
      <c r="A99" s="82" t="s">
        <v>236</v>
      </c>
      <c r="B99" s="145" t="s">
        <v>235</v>
      </c>
      <c r="C99" s="147"/>
      <c r="D99" s="145" t="s">
        <v>67</v>
      </c>
      <c r="E99" s="146"/>
      <c r="F99" s="147"/>
      <c r="G99" s="159">
        <f>_xlfn.IFNA(VLOOKUP(B99, 현재가테이블!$B$1:$D$200, 2, FALSE), "-")</f>
        <v>81224000</v>
      </c>
      <c r="H99" s="160"/>
      <c r="I99" s="161"/>
      <c r="J99" s="145" t="s">
        <v>69</v>
      </c>
      <c r="K99" s="146"/>
      <c r="L99" s="147"/>
      <c r="M99" s="162">
        <f>_xlfn.IFNA(VLOOKUP(B99, 현재가테이블!$B$1:$D$200, 3, FALSE), "-")</f>
        <v>3.8962367900000003E-2</v>
      </c>
      <c r="N99" s="163"/>
      <c r="O99" s="164"/>
      <c r="Q99" s="150"/>
      <c r="R99" s="151"/>
    </row>
    <row r="100" spans="1:18" ht="17.25" customHeight="1" thickBot="1">
      <c r="A100" s="152" t="s">
        <v>18</v>
      </c>
      <c r="B100" s="153" t="s">
        <v>54</v>
      </c>
      <c r="C100" s="154"/>
      <c r="D100" s="155" t="s">
        <v>20</v>
      </c>
      <c r="E100" s="156"/>
      <c r="F100" s="157"/>
      <c r="G100" s="155" t="s">
        <v>15</v>
      </c>
      <c r="H100" s="156"/>
      <c r="I100" s="157"/>
      <c r="J100" s="158" t="s">
        <v>34</v>
      </c>
      <c r="K100" s="158"/>
      <c r="L100" s="158"/>
      <c r="M100" s="155" t="s">
        <v>54</v>
      </c>
      <c r="N100" s="156"/>
      <c r="O100" s="157"/>
      <c r="Q100" s="139"/>
      <c r="R100" s="140"/>
    </row>
    <row r="101" spans="1:18" ht="17.25" customHeight="1" thickBot="1">
      <c r="A101" s="1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139"/>
      <c r="R101" s="140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137"/>
      <c r="R102" s="138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137"/>
      <c r="R103" s="138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137"/>
      <c r="R104" s="138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137"/>
      <c r="R105" s="138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137"/>
      <c r="R106" s="138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137"/>
      <c r="R107" s="138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137"/>
      <c r="R108" s="138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137"/>
      <c r="R109" s="138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139"/>
      <c r="R110" s="140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139"/>
      <c r="R111" s="140"/>
    </row>
    <row r="112" spans="1:18" ht="17.25" customHeight="1" thickBot="1">
      <c r="A112" s="29" t="s">
        <v>32</v>
      </c>
      <c r="B112" s="143">
        <v>100000</v>
      </c>
      <c r="C112" s="144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141"/>
      <c r="R112" s="142"/>
    </row>
  </sheetData>
  <mergeCells count="149"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</mergeCells>
  <phoneticPr fontId="1" type="noConversion"/>
  <conditionalFormatting sqref="D15:F16 E27:F27">
    <cfRule type="expression" dxfId="979" priority="93">
      <formula>$E$27&gt;0</formula>
    </cfRule>
    <cfRule type="expression" dxfId="978" priority="94">
      <formula>$E$27&lt;0</formula>
    </cfRule>
  </conditionalFormatting>
  <conditionalFormatting sqref="G15:I16 H27:I27">
    <cfRule type="expression" dxfId="977" priority="91">
      <formula>$H$27&gt;0</formula>
    </cfRule>
    <cfRule type="expression" dxfId="976" priority="92">
      <formula>$H$27&lt;0</formula>
    </cfRule>
  </conditionalFormatting>
  <conditionalFormatting sqref="J15:L16 K27:L27">
    <cfRule type="expression" dxfId="975" priority="89">
      <formula>$K$27&gt;0</formula>
    </cfRule>
    <cfRule type="expression" dxfId="974" priority="90">
      <formula>$K$27&lt;0</formula>
    </cfRule>
  </conditionalFormatting>
  <conditionalFormatting sqref="M15:O16 N27:O27">
    <cfRule type="expression" dxfId="973" priority="87">
      <formula>$N$27&gt;0</formula>
    </cfRule>
    <cfRule type="expression" dxfId="972" priority="88">
      <formula>$N$27&lt;0</formula>
    </cfRule>
  </conditionalFormatting>
  <conditionalFormatting sqref="A17:O26 A34:O43">
    <cfRule type="expression" dxfId="971" priority="95">
      <formula>AND($N17 &gt; 0, ISNUMBER($N17))</formula>
    </cfRule>
    <cfRule type="expression" dxfId="970" priority="96">
      <formula>AND($N17 &lt; 0, ISNUMBER($N17))</formula>
    </cfRule>
    <cfRule type="expression" dxfId="969" priority="97">
      <formula>AND($K17 &gt; 0, ISNUMBER($K17))</formula>
    </cfRule>
    <cfRule type="expression" dxfId="968" priority="98">
      <formula>AND($K17 &lt; 0, ISNUMBER($K17))</formula>
    </cfRule>
    <cfRule type="expression" dxfId="967" priority="99">
      <formula>AND($H17 &gt; 0, ISNUMBER($H17))</formula>
    </cfRule>
    <cfRule type="expression" dxfId="966" priority="100">
      <formula>AND($H17 &lt; 0, ISNUMBER($H17))</formula>
    </cfRule>
    <cfRule type="expression" dxfId="965" priority="101">
      <formula>AND($E17 &gt; 0, ISNUMBER($E17))</formula>
    </cfRule>
    <cfRule type="expression" dxfId="964" priority="102">
      <formula>AND($E17 &lt; 0, ISNUMBER($E17))</formula>
    </cfRule>
  </conditionalFormatting>
  <conditionalFormatting sqref="D32:F33 E44:F44">
    <cfRule type="expression" dxfId="963" priority="85">
      <formula>$E$44&gt;0</formula>
    </cfRule>
    <cfRule type="expression" dxfId="962" priority="86">
      <formula>$E$44&lt;0</formula>
    </cfRule>
  </conditionalFormatting>
  <conditionalFormatting sqref="G32:I33 H44:I44">
    <cfRule type="expression" dxfId="961" priority="83">
      <formula>$H$44&gt;0</formula>
    </cfRule>
    <cfRule type="expression" dxfId="960" priority="84">
      <formula>$H$44&lt;0</formula>
    </cfRule>
  </conditionalFormatting>
  <conditionalFormatting sqref="J32:L33 K44:L44">
    <cfRule type="expression" dxfId="959" priority="81">
      <formula>$K$44&gt;0</formula>
    </cfRule>
    <cfRule type="expression" dxfId="958" priority="82">
      <formula>$K$44&lt;0</formula>
    </cfRule>
  </conditionalFormatting>
  <conditionalFormatting sqref="M32:O33 N44:O44">
    <cfRule type="expression" dxfId="957" priority="79">
      <formula>$N$44&gt;0</formula>
    </cfRule>
    <cfRule type="expression" dxfId="956" priority="80">
      <formula>$N$44&lt;0</formula>
    </cfRule>
  </conditionalFormatting>
  <conditionalFormatting sqref="A51:O60">
    <cfRule type="expression" dxfId="955" priority="71">
      <formula>AND($N51 &gt; 0, ISNUMBER($N51))</formula>
    </cfRule>
    <cfRule type="expression" dxfId="954" priority="72">
      <formula>AND($N51 &lt; 0, ISNUMBER($N51))</formula>
    </cfRule>
    <cfRule type="expression" dxfId="953" priority="73">
      <formula>AND($K51 &gt; 0, ISNUMBER($K51))</formula>
    </cfRule>
    <cfRule type="expression" dxfId="952" priority="74">
      <formula>AND($K51 &lt; 0, ISNUMBER($K51))</formula>
    </cfRule>
    <cfRule type="expression" dxfId="951" priority="75">
      <formula>AND($H51 &gt; 0, ISNUMBER($H51))</formula>
    </cfRule>
    <cfRule type="expression" dxfId="950" priority="76">
      <formula>AND($H51 &lt; 0, ISNUMBER($H51))</formula>
    </cfRule>
    <cfRule type="expression" dxfId="949" priority="77">
      <formula>AND($E51 &gt; 0, ISNUMBER($E51))</formula>
    </cfRule>
    <cfRule type="expression" dxfId="948" priority="78">
      <formula>AND($E51 &lt; 0, ISNUMBER($E51))</formula>
    </cfRule>
  </conditionalFormatting>
  <conditionalFormatting sqref="D49:F50 E61:F61">
    <cfRule type="expression" dxfId="947" priority="69">
      <formula>$E$61&gt;0</formula>
    </cfRule>
    <cfRule type="expression" dxfId="946" priority="70">
      <formula>$E$61&lt;0</formula>
    </cfRule>
  </conditionalFormatting>
  <conditionalFormatting sqref="G49:I50 H61:I61">
    <cfRule type="expression" dxfId="945" priority="67">
      <formula>$H$61&gt;0</formula>
    </cfRule>
    <cfRule type="expression" dxfId="944" priority="68">
      <formula>$H$61&lt;0</formula>
    </cfRule>
  </conditionalFormatting>
  <conditionalFormatting sqref="J49:L50 K61:L61">
    <cfRule type="expression" dxfId="943" priority="65">
      <formula>$K$61&gt;0</formula>
    </cfRule>
    <cfRule type="expression" dxfId="942" priority="66">
      <formula>$K$61&lt;0</formula>
    </cfRule>
  </conditionalFormatting>
  <conditionalFormatting sqref="M49:O50 N61:O61">
    <cfRule type="expression" dxfId="941" priority="63">
      <formula>$N$61&gt;0</formula>
    </cfRule>
    <cfRule type="expression" dxfId="940" priority="64">
      <formula>$N$61&lt;0</formula>
    </cfRule>
  </conditionalFormatting>
  <conditionalFormatting sqref="A68:O77">
    <cfRule type="expression" dxfId="939" priority="55">
      <formula>AND($N68 &gt; 0, ISNUMBER($N68))</formula>
    </cfRule>
    <cfRule type="expression" dxfId="938" priority="56">
      <formula>AND($N68 &lt; 0, ISNUMBER($N68))</formula>
    </cfRule>
    <cfRule type="expression" dxfId="937" priority="57">
      <formula>AND($K68 &gt; 0, ISNUMBER($K68))</formula>
    </cfRule>
    <cfRule type="expression" dxfId="936" priority="58">
      <formula>AND($K68 &lt; 0, ISNUMBER($K68))</formula>
    </cfRule>
    <cfRule type="expression" dxfId="935" priority="59">
      <formula>AND($H68 &gt; 0, ISNUMBER($H68))</formula>
    </cfRule>
    <cfRule type="expression" dxfId="934" priority="60">
      <formula>AND($H68 &lt; 0, ISNUMBER($H68))</formula>
    </cfRule>
    <cfRule type="expression" dxfId="933" priority="61">
      <formula>AND($E68 &gt; 0, ISNUMBER($E68))</formula>
    </cfRule>
    <cfRule type="expression" dxfId="932" priority="62">
      <formula>AND($E68 &lt; 0, ISNUMBER($E68))</formula>
    </cfRule>
  </conditionalFormatting>
  <conditionalFormatting sqref="D66:F67 E78:F78">
    <cfRule type="expression" dxfId="931" priority="53">
      <formula>$E$78&gt;0</formula>
    </cfRule>
    <cfRule type="expression" dxfId="930" priority="54">
      <formula>$E$78&lt;0</formula>
    </cfRule>
  </conditionalFormatting>
  <conditionalFormatting sqref="G66:I67 H78:I78">
    <cfRule type="expression" dxfId="929" priority="51">
      <formula>$H$78&gt;0</formula>
    </cfRule>
    <cfRule type="expression" dxfId="928" priority="52">
      <formula>$H$78&lt;0</formula>
    </cfRule>
  </conditionalFormatting>
  <conditionalFormatting sqref="J66:L67 K78:L78">
    <cfRule type="expression" dxfId="927" priority="49">
      <formula>$K$78&gt;0</formula>
    </cfRule>
    <cfRule type="expression" dxfId="926" priority="50">
      <formula>$K$78&lt;0</formula>
    </cfRule>
  </conditionalFormatting>
  <conditionalFormatting sqref="M66:O67 N78:O78">
    <cfRule type="expression" dxfId="925" priority="47">
      <formula>$N$78&gt;0</formula>
    </cfRule>
    <cfRule type="expression" dxfId="924" priority="48">
      <formula>$N$78&lt;0</formula>
    </cfRule>
  </conditionalFormatting>
  <conditionalFormatting sqref="A85:O94">
    <cfRule type="expression" dxfId="923" priority="39">
      <formula>AND($N85 &gt; 0, ISNUMBER($N85))</formula>
    </cfRule>
    <cfRule type="expression" dxfId="922" priority="40">
      <formula>AND($N85 &lt; 0, ISNUMBER($N85))</formula>
    </cfRule>
    <cfRule type="expression" dxfId="921" priority="41">
      <formula>AND($K85 &gt; 0, ISNUMBER($K85))</formula>
    </cfRule>
    <cfRule type="expression" dxfId="920" priority="42">
      <formula>AND($K85 &lt; 0, ISNUMBER($K85))</formula>
    </cfRule>
    <cfRule type="expression" dxfId="919" priority="43">
      <formula>AND($H85 &gt; 0, ISNUMBER($H85))</formula>
    </cfRule>
    <cfRule type="expression" dxfId="918" priority="44">
      <formula>AND($H85 &lt; 0, ISNUMBER($H85))</formula>
    </cfRule>
    <cfRule type="expression" dxfId="917" priority="45">
      <formula>AND($E85 &gt; 0, ISNUMBER($E85))</formula>
    </cfRule>
    <cfRule type="expression" dxfId="916" priority="46">
      <formula>AND($E85 &lt; 0, ISNUMBER($E85))</formula>
    </cfRule>
  </conditionalFormatting>
  <conditionalFormatting sqref="D83:F84 E95:F95">
    <cfRule type="expression" dxfId="915" priority="37">
      <formula>$E$95&gt;0</formula>
    </cfRule>
    <cfRule type="expression" dxfId="914" priority="38">
      <formula>$E$95&lt;0</formula>
    </cfRule>
  </conditionalFormatting>
  <conditionalFormatting sqref="G83:I84 H95:I95">
    <cfRule type="expression" dxfId="913" priority="35">
      <formula>$H$95&gt;0</formula>
    </cfRule>
    <cfRule type="expression" dxfId="912" priority="36">
      <formula>$H$95&lt;0</formula>
    </cfRule>
  </conditionalFormatting>
  <conditionalFormatting sqref="J83:L84 K95:L95">
    <cfRule type="expression" dxfId="911" priority="33">
      <formula>$K$95&gt;0</formula>
    </cfRule>
    <cfRule type="expression" dxfId="910" priority="34">
      <formula>$K$95&lt;0</formula>
    </cfRule>
  </conditionalFormatting>
  <conditionalFormatting sqref="M83:O84 N95:O95">
    <cfRule type="expression" dxfId="909" priority="31">
      <formula>$N$95&gt;0</formula>
    </cfRule>
    <cfRule type="expression" dxfId="908" priority="32">
      <formula>$N$95&lt;0</formula>
    </cfRule>
  </conditionalFormatting>
  <conditionalFormatting sqref="A102:O111">
    <cfRule type="expression" dxfId="907" priority="23">
      <formula>AND($N102 &gt; 0, ISNUMBER($N102))</formula>
    </cfRule>
    <cfRule type="expression" dxfId="906" priority="24">
      <formula>AND($N102 &lt; 0, ISNUMBER($N102))</formula>
    </cfRule>
    <cfRule type="expression" dxfId="905" priority="25">
      <formula>AND($K102 &gt; 0, ISNUMBER($K102))</formula>
    </cfRule>
    <cfRule type="expression" dxfId="904" priority="26">
      <formula>AND($K102 &lt; 0, ISNUMBER($K102))</formula>
    </cfRule>
    <cfRule type="expression" dxfId="903" priority="27">
      <formula>AND($H102 &gt; 0, ISNUMBER($H102))</formula>
    </cfRule>
    <cfRule type="expression" dxfId="902" priority="28">
      <formula>AND($H102 &lt; 0, ISNUMBER($H102))</formula>
    </cfRule>
    <cfRule type="expression" dxfId="901" priority="29">
      <formula>AND($E102 &gt; 0, ISNUMBER($E102))</formula>
    </cfRule>
    <cfRule type="expression" dxfId="900" priority="30">
      <formula>AND($E102 &lt; 0, ISNUMBER($E102))</formula>
    </cfRule>
  </conditionalFormatting>
  <conditionalFormatting sqref="D100:F101 E112:F112">
    <cfRule type="expression" dxfId="899" priority="21">
      <formula>$E$112&gt;0</formula>
    </cfRule>
    <cfRule type="expression" dxfId="898" priority="22">
      <formula>$E$112&lt;0</formula>
    </cfRule>
  </conditionalFormatting>
  <conditionalFormatting sqref="G100:I101 H112:I112">
    <cfRule type="expression" dxfId="897" priority="19">
      <formula>$H$112&gt;0</formula>
    </cfRule>
    <cfRule type="expression" dxfId="896" priority="20">
      <formula>$H$112&lt;0</formula>
    </cfRule>
  </conditionalFormatting>
  <conditionalFormatting sqref="J100:L101 K112:L112">
    <cfRule type="expression" dxfId="895" priority="17">
      <formula>$K$112&gt;0</formula>
    </cfRule>
    <cfRule type="expression" dxfId="894" priority="18">
      <formula>$K$112&lt;0</formula>
    </cfRule>
  </conditionalFormatting>
  <conditionalFormatting sqref="M100:O101 N112:O112">
    <cfRule type="expression" dxfId="893" priority="15">
      <formula>$N$112&gt;0</formula>
    </cfRule>
    <cfRule type="expression" dxfId="892" priority="16">
      <formula>$N$112&lt;0</formula>
    </cfRule>
  </conditionalFormatting>
  <conditionalFormatting sqref="G2:I3">
    <cfRule type="expression" dxfId="891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90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8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8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8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8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8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8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8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8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45" t="s">
        <v>0</v>
      </c>
      <c r="B1" s="146"/>
      <c r="C1" s="146"/>
      <c r="D1" s="146"/>
      <c r="E1" s="146"/>
      <c r="F1" s="147"/>
      <c r="G1" s="189">
        <v>44291</v>
      </c>
      <c r="H1" s="190"/>
      <c r="I1" s="191"/>
      <c r="J1" s="145" t="s">
        <v>33</v>
      </c>
      <c r="K1" s="146"/>
      <c r="L1" s="146"/>
      <c r="M1" s="146"/>
      <c r="N1" s="146"/>
      <c r="O1" s="147"/>
      <c r="Q1" s="145" t="s">
        <v>1</v>
      </c>
      <c r="R1" s="147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86" t="s">
        <v>83</v>
      </c>
      <c r="H2" s="187"/>
      <c r="I2" s="188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83" t="s">
        <v>55</v>
      </c>
      <c r="C3" s="184"/>
      <c r="D3" s="184"/>
      <c r="E3" s="184"/>
      <c r="F3" s="185"/>
      <c r="G3" s="17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175"/>
      <c r="I3" s="176"/>
      <c r="J3" s="1" t="s">
        <v>23</v>
      </c>
      <c r="K3" s="183" t="s">
        <v>59</v>
      </c>
      <c r="L3" s="184"/>
      <c r="M3" s="184"/>
      <c r="N3" s="184"/>
      <c r="O3" s="18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3" t="s">
        <v>56</v>
      </c>
      <c r="C4" s="184"/>
      <c r="D4" s="184"/>
      <c r="E4" s="184"/>
      <c r="F4" s="185"/>
      <c r="G4" s="186" t="s">
        <v>84</v>
      </c>
      <c r="H4" s="187"/>
      <c r="I4" s="188"/>
      <c r="J4" s="1" t="s">
        <v>30</v>
      </c>
      <c r="K4" s="183" t="s">
        <v>60</v>
      </c>
      <c r="L4" s="184"/>
      <c r="M4" s="184"/>
      <c r="N4" s="184"/>
      <c r="O4" s="185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83" t="s">
        <v>57</v>
      </c>
      <c r="C5" s="184"/>
      <c r="D5" s="184"/>
      <c r="E5" s="184"/>
      <c r="F5" s="185"/>
      <c r="G5" s="17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175"/>
      <c r="I5" s="176"/>
      <c r="J5" s="1" t="s">
        <v>24</v>
      </c>
      <c r="K5" s="183" t="s">
        <v>62</v>
      </c>
      <c r="L5" s="184"/>
      <c r="M5" s="184"/>
      <c r="N5" s="184"/>
      <c r="O5" s="185"/>
    </row>
    <row r="6" spans="1:18">
      <c r="A6" s="1" t="s">
        <v>25</v>
      </c>
      <c r="B6" s="183" t="s">
        <v>58</v>
      </c>
      <c r="C6" s="184"/>
      <c r="D6" s="184"/>
      <c r="E6" s="184"/>
      <c r="F6" s="185"/>
      <c r="G6" s="186" t="s">
        <v>85</v>
      </c>
      <c r="H6" s="187"/>
      <c r="I6" s="188"/>
      <c r="J6" s="1" t="s">
        <v>25</v>
      </c>
      <c r="K6" s="183" t="s">
        <v>63</v>
      </c>
      <c r="L6" s="184"/>
      <c r="M6" s="184"/>
      <c r="N6" s="184"/>
      <c r="O6" s="185"/>
    </row>
    <row r="7" spans="1:18" ht="17.25" thickBot="1">
      <c r="A7" s="1" t="s">
        <v>26</v>
      </c>
      <c r="B7" s="183" t="s">
        <v>64</v>
      </c>
      <c r="C7" s="184"/>
      <c r="D7" s="184"/>
      <c r="E7" s="184"/>
      <c r="F7" s="185"/>
      <c r="G7" s="17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175"/>
      <c r="I7" s="176"/>
      <c r="J7" s="1" t="s">
        <v>26</v>
      </c>
      <c r="K7" s="183" t="s">
        <v>65</v>
      </c>
      <c r="L7" s="184"/>
      <c r="M7" s="184"/>
      <c r="N7" s="184"/>
      <c r="O7" s="185"/>
    </row>
    <row r="8" spans="1:18" ht="17.25" thickBot="1">
      <c r="A8" s="1" t="s">
        <v>27</v>
      </c>
      <c r="B8" s="183" t="s">
        <v>66</v>
      </c>
      <c r="C8" s="184"/>
      <c r="D8" s="184"/>
      <c r="E8" s="184"/>
      <c r="F8" s="185"/>
      <c r="G8" s="186" t="s">
        <v>86</v>
      </c>
      <c r="H8" s="187"/>
      <c r="I8" s="188"/>
      <c r="J8" s="1" t="s">
        <v>27</v>
      </c>
      <c r="K8" s="183" t="s">
        <v>88</v>
      </c>
      <c r="L8" s="184"/>
      <c r="M8" s="184"/>
      <c r="N8" s="184"/>
      <c r="O8" s="185"/>
      <c r="Q8" s="145" t="s">
        <v>16</v>
      </c>
      <c r="R8" s="147"/>
    </row>
    <row r="9" spans="1:18" ht="17.25" thickBot="1">
      <c r="A9" s="1" t="s">
        <v>28</v>
      </c>
      <c r="B9" s="183"/>
      <c r="C9" s="184"/>
      <c r="D9" s="184"/>
      <c r="E9" s="184"/>
      <c r="F9" s="185"/>
      <c r="G9" s="17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175"/>
      <c r="I9" s="176"/>
      <c r="J9" s="1" t="s">
        <v>28</v>
      </c>
      <c r="K9" s="183"/>
      <c r="L9" s="184"/>
      <c r="M9" s="184"/>
      <c r="N9" s="184"/>
      <c r="O9" s="185"/>
      <c r="Q9" s="18" t="s">
        <v>2</v>
      </c>
      <c r="R9" s="51">
        <v>10</v>
      </c>
    </row>
    <row r="10" spans="1:18">
      <c r="A10" s="1" t="s">
        <v>29</v>
      </c>
      <c r="B10" s="183"/>
      <c r="C10" s="184"/>
      <c r="D10" s="184"/>
      <c r="E10" s="184"/>
      <c r="F10" s="185"/>
      <c r="G10" s="186" t="s">
        <v>81</v>
      </c>
      <c r="H10" s="187"/>
      <c r="I10" s="188"/>
      <c r="J10" s="1" t="s">
        <v>29</v>
      </c>
      <c r="K10" s="183"/>
      <c r="L10" s="184"/>
      <c r="M10" s="184"/>
      <c r="N10" s="184"/>
      <c r="O10" s="185"/>
      <c r="Q10" s="18" t="s">
        <v>3</v>
      </c>
      <c r="R10" s="51">
        <v>100</v>
      </c>
    </row>
    <row r="11" spans="1:18" ht="17.25" thickBot="1">
      <c r="A11" s="2" t="s">
        <v>21</v>
      </c>
      <c r="B11" s="171"/>
      <c r="C11" s="172"/>
      <c r="D11" s="172"/>
      <c r="E11" s="172"/>
      <c r="F11" s="173"/>
      <c r="G11" s="17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175"/>
      <c r="I11" s="176"/>
      <c r="J11" s="2" t="s">
        <v>21</v>
      </c>
      <c r="K11" s="171"/>
      <c r="L11" s="172"/>
      <c r="M11" s="172"/>
      <c r="N11" s="172"/>
      <c r="O11" s="173"/>
      <c r="Q11" s="7" t="s">
        <v>17</v>
      </c>
      <c r="R11" s="52">
        <v>1000</v>
      </c>
    </row>
    <row r="12" spans="1:18" ht="17.25" thickBot="1"/>
    <row r="13" spans="1:18" ht="17.25" customHeight="1" thickBot="1">
      <c r="A13" s="145" t="s">
        <v>87</v>
      </c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Q13" s="177"/>
      <c r="R13" s="178"/>
    </row>
    <row r="14" spans="1:18" ht="17.25" customHeight="1" thickBot="1">
      <c r="A14" s="68" t="s">
        <v>236</v>
      </c>
      <c r="B14" s="145" t="s">
        <v>235</v>
      </c>
      <c r="C14" s="147"/>
      <c r="D14" s="145" t="s">
        <v>67</v>
      </c>
      <c r="E14" s="146"/>
      <c r="F14" s="147"/>
      <c r="G14" s="159" t="e">
        <f>_xlfn.IFNA(VLOOKUP(B14,#REF!, 2, FALSE), "-")</f>
        <v>#REF!</v>
      </c>
      <c r="H14" s="160"/>
      <c r="I14" s="161"/>
      <c r="J14" s="145" t="s">
        <v>69</v>
      </c>
      <c r="K14" s="146"/>
      <c r="L14" s="147"/>
      <c r="M14" s="162" t="e">
        <f>_xlfn.IFNA(VLOOKUP(B14,#REF!, 3, FALSE), "-")</f>
        <v>#REF!</v>
      </c>
      <c r="N14" s="163"/>
      <c r="O14" s="164"/>
      <c r="Q14" s="179"/>
      <c r="R14" s="180"/>
    </row>
    <row r="15" spans="1:18" ht="17.25" customHeight="1" thickBot="1">
      <c r="A15" s="152" t="s">
        <v>18</v>
      </c>
      <c r="B15" s="153" t="s">
        <v>54</v>
      </c>
      <c r="C15" s="154"/>
      <c r="D15" s="155" t="s">
        <v>20</v>
      </c>
      <c r="E15" s="156"/>
      <c r="F15" s="157"/>
      <c r="G15" s="155" t="s">
        <v>15</v>
      </c>
      <c r="H15" s="156"/>
      <c r="I15" s="157"/>
      <c r="J15" s="158" t="s">
        <v>34</v>
      </c>
      <c r="K15" s="158"/>
      <c r="L15" s="158"/>
      <c r="M15" s="155" t="s">
        <v>54</v>
      </c>
      <c r="N15" s="156"/>
      <c r="O15" s="157"/>
      <c r="Q15" s="167"/>
      <c r="R15" s="168"/>
    </row>
    <row r="16" spans="1:18" ht="17.25" customHeight="1" thickBot="1">
      <c r="A16" s="1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67"/>
      <c r="R16" s="168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165"/>
      <c r="R17" s="166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165"/>
      <c r="R18" s="166"/>
    </row>
    <row r="19" spans="1:18" ht="17.25" customHeight="1">
      <c r="A19" s="40" t="s">
        <v>227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165"/>
      <c r="R19" s="166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165"/>
      <c r="R20" s="166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165"/>
      <c r="R21" s="166"/>
    </row>
    <row r="22" spans="1:18" ht="17.25" customHeight="1">
      <c r="A22" s="40" t="s">
        <v>226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165"/>
      <c r="R22" s="166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165"/>
      <c r="R23" s="166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65"/>
      <c r="R24" s="166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67"/>
      <c r="R25" s="168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67"/>
      <c r="R26" s="168"/>
    </row>
    <row r="27" spans="1:18" ht="17.25" customHeight="1" thickBot="1">
      <c r="A27" s="57" t="s">
        <v>32</v>
      </c>
      <c r="B27" s="143">
        <v>100000</v>
      </c>
      <c r="C27" s="144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169"/>
      <c r="R27" s="17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5" t="s">
        <v>83</v>
      </c>
      <c r="B30" s="146"/>
      <c r="C30" s="146"/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7"/>
      <c r="Q30" s="148"/>
      <c r="R30" s="149"/>
    </row>
    <row r="31" spans="1:18" ht="17.25" customHeight="1" thickBot="1">
      <c r="A31" s="68" t="s">
        <v>236</v>
      </c>
      <c r="B31" s="145" t="s">
        <v>48</v>
      </c>
      <c r="C31" s="147"/>
      <c r="D31" s="145" t="s">
        <v>67</v>
      </c>
      <c r="E31" s="146"/>
      <c r="F31" s="147"/>
      <c r="G31" s="159" t="e">
        <f>_xlfn.IFNA(VLOOKUP(B31,#REF!, 2, FALSE), "-")</f>
        <v>#REF!</v>
      </c>
      <c r="H31" s="160"/>
      <c r="I31" s="161"/>
      <c r="J31" s="145" t="s">
        <v>69</v>
      </c>
      <c r="K31" s="146"/>
      <c r="L31" s="147"/>
      <c r="M31" s="162" t="e">
        <f>_xlfn.IFNA(VLOOKUP(B31,#REF!, 3, FALSE), "-")</f>
        <v>#REF!</v>
      </c>
      <c r="N31" s="163"/>
      <c r="O31" s="164"/>
      <c r="Q31" s="150"/>
      <c r="R31" s="151"/>
    </row>
    <row r="32" spans="1:18" ht="17.25" customHeight="1" thickBot="1">
      <c r="A32" s="152" t="s">
        <v>18</v>
      </c>
      <c r="B32" s="153" t="s">
        <v>54</v>
      </c>
      <c r="C32" s="154"/>
      <c r="D32" s="155" t="s">
        <v>20</v>
      </c>
      <c r="E32" s="156"/>
      <c r="F32" s="157"/>
      <c r="G32" s="155" t="s">
        <v>15</v>
      </c>
      <c r="H32" s="156"/>
      <c r="I32" s="157"/>
      <c r="J32" s="158" t="s">
        <v>34</v>
      </c>
      <c r="K32" s="158"/>
      <c r="L32" s="158"/>
      <c r="M32" s="155" t="s">
        <v>54</v>
      </c>
      <c r="N32" s="156"/>
      <c r="O32" s="157"/>
      <c r="Q32" s="139"/>
      <c r="R32" s="140"/>
    </row>
    <row r="33" spans="1:18" ht="17.25" customHeight="1" thickBot="1">
      <c r="A33" s="1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39"/>
      <c r="R33" s="140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137"/>
      <c r="R34" s="138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137"/>
      <c r="R35" s="138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137"/>
      <c r="R36" s="138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137"/>
      <c r="R37" s="138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137"/>
      <c r="R38" s="138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137"/>
      <c r="R39" s="138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137"/>
      <c r="R40" s="138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137"/>
      <c r="R41" s="13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39"/>
      <c r="R42" s="14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39"/>
      <c r="R43" s="140"/>
    </row>
    <row r="44" spans="1:18" ht="17.25" customHeight="1" thickBot="1">
      <c r="A44" s="57" t="s">
        <v>32</v>
      </c>
      <c r="B44" s="143">
        <v>100000</v>
      </c>
      <c r="C44" s="144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141"/>
      <c r="R44" s="14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5" t="s">
        <v>84</v>
      </c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7"/>
      <c r="Q47" s="148"/>
      <c r="R47" s="149"/>
    </row>
    <row r="48" spans="1:18" ht="17.25" customHeight="1" thickBot="1">
      <c r="A48" s="68" t="s">
        <v>236</v>
      </c>
      <c r="B48" s="145" t="s">
        <v>52</v>
      </c>
      <c r="C48" s="147"/>
      <c r="D48" s="145" t="s">
        <v>67</v>
      </c>
      <c r="E48" s="146"/>
      <c r="F48" s="147"/>
      <c r="G48" s="159" t="e">
        <f>_xlfn.IFNA(VLOOKUP(B48,#REF!, 2, FALSE), "-")</f>
        <v>#REF!</v>
      </c>
      <c r="H48" s="160"/>
      <c r="I48" s="161"/>
      <c r="J48" s="145" t="s">
        <v>69</v>
      </c>
      <c r="K48" s="146"/>
      <c r="L48" s="147"/>
      <c r="M48" s="162" t="e">
        <f>_xlfn.IFNA(VLOOKUP(B48,#REF!, 3, FALSE), "-")</f>
        <v>#REF!</v>
      </c>
      <c r="N48" s="163"/>
      <c r="O48" s="164"/>
      <c r="Q48" s="150"/>
      <c r="R48" s="151"/>
    </row>
    <row r="49" spans="1:18" ht="17.25" customHeight="1" thickBot="1">
      <c r="A49" s="152" t="s">
        <v>18</v>
      </c>
      <c r="B49" s="153" t="s">
        <v>54</v>
      </c>
      <c r="C49" s="154"/>
      <c r="D49" s="155" t="s">
        <v>20</v>
      </c>
      <c r="E49" s="156"/>
      <c r="F49" s="157"/>
      <c r="G49" s="155" t="s">
        <v>15</v>
      </c>
      <c r="H49" s="156"/>
      <c r="I49" s="157"/>
      <c r="J49" s="158" t="s">
        <v>34</v>
      </c>
      <c r="K49" s="158"/>
      <c r="L49" s="158"/>
      <c r="M49" s="155" t="s">
        <v>54</v>
      </c>
      <c r="N49" s="156"/>
      <c r="O49" s="157"/>
      <c r="Q49" s="139"/>
      <c r="R49" s="140"/>
    </row>
    <row r="50" spans="1:18" ht="17.25" customHeight="1" thickBot="1">
      <c r="A50" s="1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39"/>
      <c r="R50" s="140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137"/>
      <c r="R51" s="138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137"/>
      <c r="R52" s="138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37"/>
      <c r="R53" s="138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37"/>
      <c r="R54" s="138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37"/>
      <c r="R55" s="138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37"/>
      <c r="R56" s="13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37"/>
      <c r="R57" s="13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37"/>
      <c r="R58" s="13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39"/>
      <c r="R59" s="14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39"/>
      <c r="R60" s="140"/>
    </row>
    <row r="61" spans="1:18" ht="17.25" customHeight="1" thickBot="1">
      <c r="A61" s="57" t="s">
        <v>32</v>
      </c>
      <c r="B61" s="143">
        <v>100000</v>
      </c>
      <c r="C61" s="144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141"/>
      <c r="R61" s="142"/>
    </row>
    <row r="62" spans="1:18" ht="17.25" customHeight="1"/>
    <row r="63" spans="1:18" ht="17.25" customHeight="1" thickBot="1"/>
    <row r="64" spans="1:18" ht="17.25" customHeight="1" thickBot="1">
      <c r="A64" s="145" t="s">
        <v>85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7"/>
      <c r="Q64" s="148"/>
      <c r="R64" s="149"/>
    </row>
    <row r="65" spans="1:18" ht="17.25" customHeight="1" thickBot="1">
      <c r="A65" s="68" t="s">
        <v>236</v>
      </c>
      <c r="B65" s="145" t="s">
        <v>43</v>
      </c>
      <c r="C65" s="147"/>
      <c r="D65" s="145" t="s">
        <v>67</v>
      </c>
      <c r="E65" s="146"/>
      <c r="F65" s="147"/>
      <c r="G65" s="159" t="e">
        <f>_xlfn.IFNA(VLOOKUP(B65,#REF!, 2, FALSE), "-")</f>
        <v>#REF!</v>
      </c>
      <c r="H65" s="160"/>
      <c r="I65" s="161"/>
      <c r="J65" s="145" t="s">
        <v>69</v>
      </c>
      <c r="K65" s="146"/>
      <c r="L65" s="147"/>
      <c r="M65" s="162" t="e">
        <f>_xlfn.IFNA(VLOOKUP(B65,#REF!, 3, FALSE), "-")</f>
        <v>#REF!</v>
      </c>
      <c r="N65" s="163"/>
      <c r="O65" s="164"/>
      <c r="Q65" s="150"/>
      <c r="R65" s="151"/>
    </row>
    <row r="66" spans="1:18" ht="17.25" customHeight="1" thickBot="1">
      <c r="A66" s="152" t="s">
        <v>18</v>
      </c>
      <c r="B66" s="153" t="s">
        <v>54</v>
      </c>
      <c r="C66" s="154"/>
      <c r="D66" s="155" t="s">
        <v>20</v>
      </c>
      <c r="E66" s="156"/>
      <c r="F66" s="157"/>
      <c r="G66" s="155" t="s">
        <v>15</v>
      </c>
      <c r="H66" s="156"/>
      <c r="I66" s="157"/>
      <c r="J66" s="158" t="s">
        <v>34</v>
      </c>
      <c r="K66" s="158"/>
      <c r="L66" s="158"/>
      <c r="M66" s="155" t="s">
        <v>54</v>
      </c>
      <c r="N66" s="156"/>
      <c r="O66" s="157"/>
      <c r="Q66" s="139"/>
      <c r="R66" s="140"/>
    </row>
    <row r="67" spans="1:18" ht="17.25" customHeight="1" thickBot="1">
      <c r="A67" s="1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39"/>
      <c r="R67" s="140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137"/>
      <c r="R68" s="138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137"/>
      <c r="R69" s="138"/>
    </row>
    <row r="70" spans="1:18" ht="17.25" customHeight="1">
      <c r="A70" s="11" t="s">
        <v>231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137"/>
      <c r="R70" s="138"/>
    </row>
    <row r="71" spans="1:18" ht="17.25" customHeight="1">
      <c r="A71" s="11" t="s">
        <v>232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137"/>
      <c r="R71" s="138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137"/>
      <c r="R72" s="138"/>
    </row>
    <row r="73" spans="1:18" ht="17.25" customHeight="1">
      <c r="A73" s="11" t="s">
        <v>233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137"/>
      <c r="R73" s="138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137"/>
      <c r="R74" s="138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137"/>
      <c r="R75" s="138"/>
    </row>
    <row r="76" spans="1:18" ht="17.25" customHeight="1">
      <c r="A76" s="11" t="s">
        <v>234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139"/>
      <c r="R76" s="140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139"/>
      <c r="R77" s="140"/>
    </row>
    <row r="78" spans="1:18" ht="17.25" customHeight="1" thickBot="1">
      <c r="A78" s="57" t="s">
        <v>32</v>
      </c>
      <c r="B78" s="143">
        <v>100000</v>
      </c>
      <c r="C78" s="144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141"/>
      <c r="R78" s="14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5" t="s">
        <v>86</v>
      </c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7"/>
      <c r="Q81" s="148"/>
      <c r="R81" s="149"/>
    </row>
    <row r="82" spans="1:18" ht="17.25" customHeight="1" thickBot="1">
      <c r="A82" s="68" t="s">
        <v>236</v>
      </c>
      <c r="B82" s="145" t="s">
        <v>228</v>
      </c>
      <c r="C82" s="147"/>
      <c r="D82" s="145" t="s">
        <v>67</v>
      </c>
      <c r="E82" s="146"/>
      <c r="F82" s="147"/>
      <c r="G82" s="159" t="e">
        <f>_xlfn.IFNA(VLOOKUP(B82,#REF!, 2, FALSE), "-")</f>
        <v>#REF!</v>
      </c>
      <c r="H82" s="160"/>
      <c r="I82" s="161"/>
      <c r="J82" s="145" t="s">
        <v>69</v>
      </c>
      <c r="K82" s="146"/>
      <c r="L82" s="147"/>
      <c r="M82" s="162" t="e">
        <f>_xlfn.IFNA(VLOOKUP(B82,#REF!, 3, FALSE), "-")</f>
        <v>#REF!</v>
      </c>
      <c r="N82" s="163"/>
      <c r="O82" s="164"/>
      <c r="Q82" s="150"/>
      <c r="R82" s="151"/>
    </row>
    <row r="83" spans="1:18" ht="17.25" customHeight="1" thickBot="1">
      <c r="A83" s="152" t="s">
        <v>18</v>
      </c>
      <c r="B83" s="153" t="s">
        <v>54</v>
      </c>
      <c r="C83" s="154"/>
      <c r="D83" s="155" t="s">
        <v>20</v>
      </c>
      <c r="E83" s="156"/>
      <c r="F83" s="157"/>
      <c r="G83" s="155" t="s">
        <v>15</v>
      </c>
      <c r="H83" s="156"/>
      <c r="I83" s="157"/>
      <c r="J83" s="158" t="s">
        <v>34</v>
      </c>
      <c r="K83" s="158"/>
      <c r="L83" s="158"/>
      <c r="M83" s="155" t="s">
        <v>54</v>
      </c>
      <c r="N83" s="156"/>
      <c r="O83" s="157"/>
      <c r="Q83" s="139"/>
      <c r="R83" s="140"/>
    </row>
    <row r="84" spans="1:18" ht="17.25" customHeight="1" thickBot="1">
      <c r="A84" s="1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39"/>
      <c r="R84" s="140"/>
    </row>
    <row r="85" spans="1:18" ht="17.25" customHeight="1">
      <c r="A85" s="9" t="s">
        <v>225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137"/>
      <c r="R85" s="138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137"/>
      <c r="R86" s="138"/>
    </row>
    <row r="87" spans="1:18" ht="17.25" customHeight="1">
      <c r="A87" s="11" t="s">
        <v>226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137"/>
      <c r="R87" s="138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137"/>
      <c r="R88" s="138"/>
    </row>
    <row r="89" spans="1:18" ht="17.25" customHeight="1">
      <c r="A89" s="8" t="s">
        <v>227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137"/>
      <c r="R89" s="138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137"/>
      <c r="R90" s="138"/>
    </row>
    <row r="91" spans="1:18" ht="17.25" customHeight="1">
      <c r="A91" s="11" t="s">
        <v>228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137"/>
      <c r="R91" s="138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37"/>
      <c r="R92" s="138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39"/>
      <c r="R93" s="14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39"/>
      <c r="R94" s="140"/>
    </row>
    <row r="95" spans="1:18" ht="17.25" customHeight="1" thickBot="1">
      <c r="A95" s="57" t="s">
        <v>32</v>
      </c>
      <c r="B95" s="143">
        <v>100000</v>
      </c>
      <c r="C95" s="144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141"/>
      <c r="R95" s="142"/>
    </row>
    <row r="96" spans="1:18" ht="17.25" customHeight="1"/>
    <row r="97" spans="1:18" ht="17.25" customHeight="1" thickBot="1"/>
    <row r="98" spans="1:18" ht="17.25" customHeight="1" thickBot="1">
      <c r="A98" s="145" t="s">
        <v>81</v>
      </c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7"/>
      <c r="Q98" s="148"/>
      <c r="R98" s="149"/>
    </row>
    <row r="99" spans="1:18" ht="17.25" customHeight="1" thickBot="1">
      <c r="A99" s="68" t="s">
        <v>236</v>
      </c>
      <c r="B99" s="145" t="s">
        <v>230</v>
      </c>
      <c r="C99" s="147"/>
      <c r="D99" s="145" t="s">
        <v>67</v>
      </c>
      <c r="E99" s="146"/>
      <c r="F99" s="147"/>
      <c r="G99" s="159" t="e">
        <f>_xlfn.IFNA(VLOOKUP(B99,#REF!, 2, FALSE), "-")</f>
        <v>#REF!</v>
      </c>
      <c r="H99" s="160"/>
      <c r="I99" s="161"/>
      <c r="J99" s="145" t="s">
        <v>69</v>
      </c>
      <c r="K99" s="146"/>
      <c r="L99" s="147"/>
      <c r="M99" s="162" t="e">
        <f>_xlfn.IFNA(VLOOKUP(B99,#REF!, 3, FALSE), "-")</f>
        <v>#REF!</v>
      </c>
      <c r="N99" s="163"/>
      <c r="O99" s="164"/>
      <c r="Q99" s="150"/>
      <c r="R99" s="151"/>
    </row>
    <row r="100" spans="1:18" ht="17.25" customHeight="1" thickBot="1">
      <c r="A100" s="152" t="s">
        <v>18</v>
      </c>
      <c r="B100" s="153" t="s">
        <v>54</v>
      </c>
      <c r="C100" s="154"/>
      <c r="D100" s="155" t="s">
        <v>20</v>
      </c>
      <c r="E100" s="156"/>
      <c r="F100" s="157"/>
      <c r="G100" s="155" t="s">
        <v>15</v>
      </c>
      <c r="H100" s="156"/>
      <c r="I100" s="157"/>
      <c r="J100" s="158" t="s">
        <v>34</v>
      </c>
      <c r="K100" s="158"/>
      <c r="L100" s="158"/>
      <c r="M100" s="155" t="s">
        <v>54</v>
      </c>
      <c r="N100" s="156"/>
      <c r="O100" s="157"/>
      <c r="Q100" s="139"/>
      <c r="R100" s="140"/>
    </row>
    <row r="101" spans="1:18" ht="17.25" customHeight="1" thickBot="1">
      <c r="A101" s="1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39"/>
      <c r="R101" s="140"/>
    </row>
    <row r="102" spans="1:18" ht="17.25" customHeight="1">
      <c r="A102" s="9" t="s">
        <v>225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137"/>
      <c r="R102" s="138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137"/>
      <c r="R103" s="138"/>
    </row>
    <row r="104" spans="1:18" ht="17.25" customHeight="1">
      <c r="A104" s="11" t="s">
        <v>226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137"/>
      <c r="R104" s="138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137"/>
      <c r="R105" s="138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137"/>
      <c r="R106" s="138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137"/>
      <c r="R107" s="138"/>
    </row>
    <row r="108" spans="1:18" ht="17.25" customHeight="1">
      <c r="A108" s="11" t="s">
        <v>227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137"/>
      <c r="R108" s="138"/>
    </row>
    <row r="109" spans="1:18" ht="17.25" customHeight="1">
      <c r="A109" s="11" t="s">
        <v>228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137"/>
      <c r="R109" s="138"/>
    </row>
    <row r="110" spans="1:18" ht="17.25" customHeight="1">
      <c r="A110" s="11" t="s">
        <v>229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139"/>
      <c r="R110" s="140"/>
    </row>
    <row r="111" spans="1:18" ht="17.25" customHeight="1" thickBot="1">
      <c r="A111" s="13" t="s">
        <v>230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139"/>
      <c r="R111" s="140"/>
    </row>
    <row r="112" spans="1:18" ht="17.25" customHeight="1" thickBot="1">
      <c r="A112" s="57" t="s">
        <v>32</v>
      </c>
      <c r="B112" s="143">
        <v>100000</v>
      </c>
      <c r="C112" s="144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141"/>
      <c r="R112" s="14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881" priority="89">
      <formula>$E$27&gt;0</formula>
    </cfRule>
    <cfRule type="expression" dxfId="880" priority="90">
      <formula>$E$27&lt;0</formula>
    </cfRule>
  </conditionalFormatting>
  <conditionalFormatting sqref="G15:I16 H27:I27">
    <cfRule type="expression" dxfId="879" priority="87">
      <formula>$H$27&gt;0</formula>
    </cfRule>
    <cfRule type="expression" dxfId="878" priority="88">
      <formula>$H$27&lt;0</formula>
    </cfRule>
  </conditionalFormatting>
  <conditionalFormatting sqref="J15:L16 K27:L27">
    <cfRule type="expression" dxfId="877" priority="85">
      <formula>$K$27&gt;0</formula>
    </cfRule>
    <cfRule type="expression" dxfId="876" priority="86">
      <formula>$K$27&lt;0</formula>
    </cfRule>
  </conditionalFormatting>
  <conditionalFormatting sqref="M15:O16 N27:O27">
    <cfRule type="expression" dxfId="875" priority="83">
      <formula>$N$27&gt;0</formula>
    </cfRule>
    <cfRule type="expression" dxfId="874" priority="84">
      <formula>$N$27&lt;0</formula>
    </cfRule>
  </conditionalFormatting>
  <conditionalFormatting sqref="A17:O26 A34:O43">
    <cfRule type="expression" dxfId="873" priority="91">
      <formula>AND($N17 &gt; 0, ISNUMBER($N17))</formula>
    </cfRule>
    <cfRule type="expression" dxfId="872" priority="92">
      <formula>AND($N17 &lt; 0, ISNUMBER($N17))</formula>
    </cfRule>
    <cfRule type="expression" dxfId="871" priority="93">
      <formula>AND($K17 &gt; 0, ISNUMBER($K17))</formula>
    </cfRule>
    <cfRule type="expression" dxfId="870" priority="94">
      <formula>AND($K17 &lt; 0, ISNUMBER($K17))</formula>
    </cfRule>
    <cfRule type="expression" dxfId="869" priority="95">
      <formula>AND($H17 &gt; 0, ISNUMBER($H17))</formula>
    </cfRule>
    <cfRule type="expression" dxfId="868" priority="96">
      <formula>AND($H17 &lt; 0, ISNUMBER($H17))</formula>
    </cfRule>
    <cfRule type="expression" dxfId="867" priority="97">
      <formula>AND($E17 &gt; 0, ISNUMBER($E17))</formula>
    </cfRule>
    <cfRule type="expression" dxfId="866" priority="98">
      <formula>AND($E17 &lt; 0, ISNUMBER($E17))</formula>
    </cfRule>
  </conditionalFormatting>
  <conditionalFormatting sqref="D32:F33 E44:F44">
    <cfRule type="expression" dxfId="865" priority="81">
      <formula>$E$44&gt;0</formula>
    </cfRule>
    <cfRule type="expression" dxfId="864" priority="82">
      <formula>$E$44&lt;0</formula>
    </cfRule>
  </conditionalFormatting>
  <conditionalFormatting sqref="G32:I33 H44:I44">
    <cfRule type="expression" dxfId="863" priority="79">
      <formula>$H$44&gt;0</formula>
    </cfRule>
    <cfRule type="expression" dxfId="862" priority="80">
      <formula>$H$44&lt;0</formula>
    </cfRule>
  </conditionalFormatting>
  <conditionalFormatting sqref="J32:L33 K44:L44">
    <cfRule type="expression" dxfId="861" priority="77">
      <formula>$K$44&gt;0</formula>
    </cfRule>
    <cfRule type="expression" dxfId="860" priority="78">
      <formula>$K$44&lt;0</formula>
    </cfRule>
  </conditionalFormatting>
  <conditionalFormatting sqref="M32:O33 N44:O44">
    <cfRule type="expression" dxfId="859" priority="75">
      <formula>$N$44&gt;0</formula>
    </cfRule>
    <cfRule type="expression" dxfId="858" priority="76">
      <formula>$N$44&lt;0</formula>
    </cfRule>
  </conditionalFormatting>
  <conditionalFormatting sqref="A51:O60">
    <cfRule type="expression" dxfId="857" priority="67">
      <formula>AND($N51 &gt; 0, ISNUMBER($N51))</formula>
    </cfRule>
    <cfRule type="expression" dxfId="856" priority="68">
      <formula>AND($N51 &lt; 0, ISNUMBER($N51))</formula>
    </cfRule>
    <cfRule type="expression" dxfId="855" priority="69">
      <formula>AND($K51 &gt; 0, ISNUMBER($K51))</formula>
    </cfRule>
    <cfRule type="expression" dxfId="854" priority="70">
      <formula>AND($K51 &lt; 0, ISNUMBER($K51))</formula>
    </cfRule>
    <cfRule type="expression" dxfId="853" priority="71">
      <formula>AND($H51 &gt; 0, ISNUMBER($H51))</formula>
    </cfRule>
    <cfRule type="expression" dxfId="852" priority="72">
      <formula>AND($H51 &lt; 0, ISNUMBER($H51))</formula>
    </cfRule>
    <cfRule type="expression" dxfId="851" priority="73">
      <formula>AND($E51 &gt; 0, ISNUMBER($E51))</formula>
    </cfRule>
    <cfRule type="expression" dxfId="850" priority="74">
      <formula>AND($E51 &lt; 0, ISNUMBER($E51))</formula>
    </cfRule>
  </conditionalFormatting>
  <conditionalFormatting sqref="D49:F50 E61:F61">
    <cfRule type="expression" dxfId="849" priority="65">
      <formula>$E$61&gt;0</formula>
    </cfRule>
    <cfRule type="expression" dxfId="848" priority="66">
      <formula>$E$61&lt;0</formula>
    </cfRule>
  </conditionalFormatting>
  <conditionalFormatting sqref="G49:I50 H61:I61">
    <cfRule type="expression" dxfId="847" priority="63">
      <formula>$H$61&gt;0</formula>
    </cfRule>
    <cfRule type="expression" dxfId="846" priority="64">
      <formula>$H$61&lt;0</formula>
    </cfRule>
  </conditionalFormatting>
  <conditionalFormatting sqref="J49:L50 K61:L61">
    <cfRule type="expression" dxfId="845" priority="61">
      <formula>$K$61&gt;0</formula>
    </cfRule>
    <cfRule type="expression" dxfId="844" priority="62">
      <formula>$K$61&lt;0</formula>
    </cfRule>
  </conditionalFormatting>
  <conditionalFormatting sqref="M49:O50 N61:O61">
    <cfRule type="expression" dxfId="843" priority="59">
      <formula>$N$61&gt;0</formula>
    </cfRule>
    <cfRule type="expression" dxfId="842" priority="60">
      <formula>$N$61&lt;0</formula>
    </cfRule>
  </conditionalFormatting>
  <conditionalFormatting sqref="A68:O77">
    <cfRule type="expression" dxfId="841" priority="51">
      <formula>AND($N68 &gt; 0, ISNUMBER($N68))</formula>
    </cfRule>
    <cfRule type="expression" dxfId="840" priority="52">
      <formula>AND($N68 &lt; 0, ISNUMBER($N68))</formula>
    </cfRule>
    <cfRule type="expression" dxfId="839" priority="53">
      <formula>AND($K68 &gt; 0, ISNUMBER($K68))</formula>
    </cfRule>
    <cfRule type="expression" dxfId="838" priority="54">
      <formula>AND($K68 &lt; 0, ISNUMBER($K68))</formula>
    </cfRule>
    <cfRule type="expression" dxfId="837" priority="55">
      <formula>AND($H68 &gt; 0, ISNUMBER($H68))</formula>
    </cfRule>
    <cfRule type="expression" dxfId="836" priority="56">
      <formula>AND($H68 &lt; 0, ISNUMBER($H68))</formula>
    </cfRule>
    <cfRule type="expression" dxfId="835" priority="57">
      <formula>AND($E68 &gt; 0, ISNUMBER($E68))</formula>
    </cfRule>
    <cfRule type="expression" dxfId="834" priority="58">
      <formula>AND($E68 &lt; 0, ISNUMBER($E68))</formula>
    </cfRule>
  </conditionalFormatting>
  <conditionalFormatting sqref="D66:F67 E78:F78">
    <cfRule type="expression" dxfId="833" priority="49">
      <formula>$E$78&gt;0</formula>
    </cfRule>
    <cfRule type="expression" dxfId="832" priority="50">
      <formula>$E$78&lt;0</formula>
    </cfRule>
  </conditionalFormatting>
  <conditionalFormatting sqref="G66:I67 H78:I78">
    <cfRule type="expression" dxfId="831" priority="47">
      <formula>$H$78&gt;0</formula>
    </cfRule>
    <cfRule type="expression" dxfId="830" priority="48">
      <formula>$H$78&lt;0</formula>
    </cfRule>
  </conditionalFormatting>
  <conditionalFormatting sqref="J66:L67 K78:L78">
    <cfRule type="expression" dxfId="829" priority="45">
      <formula>$K$78&gt;0</formula>
    </cfRule>
    <cfRule type="expression" dxfId="828" priority="46">
      <formula>$K$78&lt;0</formula>
    </cfRule>
  </conditionalFormatting>
  <conditionalFormatting sqref="M66:O67 N78:O78">
    <cfRule type="expression" dxfId="827" priority="43">
      <formula>$N$78&gt;0</formula>
    </cfRule>
    <cfRule type="expression" dxfId="826" priority="44">
      <formula>$N$78&lt;0</formula>
    </cfRule>
  </conditionalFormatting>
  <conditionalFormatting sqref="A85:O94">
    <cfRule type="expression" dxfId="825" priority="35">
      <formula>AND($N85 &gt; 0, ISNUMBER($N85))</formula>
    </cfRule>
    <cfRule type="expression" dxfId="824" priority="36">
      <formula>AND($N85 &lt; 0, ISNUMBER($N85))</formula>
    </cfRule>
    <cfRule type="expression" dxfId="823" priority="37">
      <formula>AND($K85 &gt; 0, ISNUMBER($K85))</formula>
    </cfRule>
    <cfRule type="expression" dxfId="822" priority="38">
      <formula>AND($K85 &lt; 0, ISNUMBER($K85))</formula>
    </cfRule>
    <cfRule type="expression" dxfId="821" priority="39">
      <formula>AND($H85 &gt; 0, ISNUMBER($H85))</formula>
    </cfRule>
    <cfRule type="expression" dxfId="820" priority="40">
      <formula>AND($H85 &lt; 0, ISNUMBER($H85))</formula>
    </cfRule>
    <cfRule type="expression" dxfId="819" priority="41">
      <formula>AND($E85 &gt; 0, ISNUMBER($E85))</formula>
    </cfRule>
    <cfRule type="expression" dxfId="818" priority="42">
      <formula>AND($E85 &lt; 0, ISNUMBER($E85))</formula>
    </cfRule>
  </conditionalFormatting>
  <conditionalFormatting sqref="D83:F84 E95:F95">
    <cfRule type="expression" dxfId="817" priority="33">
      <formula>$E$95&gt;0</formula>
    </cfRule>
    <cfRule type="expression" dxfId="816" priority="34">
      <formula>$E$95&lt;0</formula>
    </cfRule>
  </conditionalFormatting>
  <conditionalFormatting sqref="G83:I84 H95:I95">
    <cfRule type="expression" dxfId="815" priority="31">
      <formula>$H$95&gt;0</formula>
    </cfRule>
    <cfRule type="expression" dxfId="814" priority="32">
      <formula>$H$95&lt;0</formula>
    </cfRule>
  </conditionalFormatting>
  <conditionalFormatting sqref="J83:L84 K95:L95">
    <cfRule type="expression" dxfId="813" priority="29">
      <formula>$K$95&gt;0</formula>
    </cfRule>
    <cfRule type="expression" dxfId="812" priority="30">
      <formula>$K$95&lt;0</formula>
    </cfRule>
  </conditionalFormatting>
  <conditionalFormatting sqref="M83:O84 N95:O95">
    <cfRule type="expression" dxfId="811" priority="27">
      <formula>$N$95&gt;0</formula>
    </cfRule>
    <cfRule type="expression" dxfId="810" priority="28">
      <formula>$N$95&lt;0</formula>
    </cfRule>
  </conditionalFormatting>
  <conditionalFormatting sqref="A102:O111">
    <cfRule type="expression" dxfId="809" priority="19">
      <formula>AND($N102 &gt; 0, ISNUMBER($N102))</formula>
    </cfRule>
    <cfRule type="expression" dxfId="808" priority="20">
      <formula>AND($N102 &lt; 0, ISNUMBER($N102))</formula>
    </cfRule>
    <cfRule type="expression" dxfId="807" priority="21">
      <formula>AND($K102 &gt; 0, ISNUMBER($K102))</formula>
    </cfRule>
    <cfRule type="expression" dxfId="806" priority="22">
      <formula>AND($K102 &lt; 0, ISNUMBER($K102))</formula>
    </cfRule>
    <cfRule type="expression" dxfId="805" priority="23">
      <formula>AND($H102 &gt; 0, ISNUMBER($H102))</formula>
    </cfRule>
    <cfRule type="expression" dxfId="804" priority="24">
      <formula>AND($H102 &lt; 0, ISNUMBER($H102))</formula>
    </cfRule>
    <cfRule type="expression" dxfId="803" priority="25">
      <formula>AND($E102 &gt; 0, ISNUMBER($E102))</formula>
    </cfRule>
    <cfRule type="expression" dxfId="802" priority="26">
      <formula>AND($E102 &lt; 0, ISNUMBER($E102))</formula>
    </cfRule>
  </conditionalFormatting>
  <conditionalFormatting sqref="D100:F101 E112:F112">
    <cfRule type="expression" dxfId="801" priority="17">
      <formula>$E$112&gt;0</formula>
    </cfRule>
    <cfRule type="expression" dxfId="800" priority="18">
      <formula>$E$112&lt;0</formula>
    </cfRule>
  </conditionalFormatting>
  <conditionalFormatting sqref="G100:I101 H112:I112">
    <cfRule type="expression" dxfId="799" priority="15">
      <formula>$H$112&gt;0</formula>
    </cfRule>
    <cfRule type="expression" dxfId="798" priority="16">
      <formula>$H$112&lt;0</formula>
    </cfRule>
  </conditionalFormatting>
  <conditionalFormatting sqref="J100:L101 K112:L112">
    <cfRule type="expression" dxfId="797" priority="13">
      <formula>$K$112&gt;0</formula>
    </cfRule>
    <cfRule type="expression" dxfId="796" priority="14">
      <formula>$K$112&lt;0</formula>
    </cfRule>
  </conditionalFormatting>
  <conditionalFormatting sqref="M100:O101 N112:O112">
    <cfRule type="expression" dxfId="795" priority="11">
      <formula>$N$112&gt;0</formula>
    </cfRule>
    <cfRule type="expression" dxfId="794" priority="12">
      <formula>$N$112&lt;0</formula>
    </cfRule>
  </conditionalFormatting>
  <conditionalFormatting sqref="G2:I3">
    <cfRule type="expression" dxfId="79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9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9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9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8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8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8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8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8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8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45" t="s">
        <v>0</v>
      </c>
      <c r="B1" s="146"/>
      <c r="C1" s="146"/>
      <c r="D1" s="146"/>
      <c r="E1" s="146"/>
      <c r="F1" s="147"/>
      <c r="G1" s="189">
        <v>44292</v>
      </c>
      <c r="H1" s="190"/>
      <c r="I1" s="191"/>
      <c r="J1" s="145" t="s">
        <v>33</v>
      </c>
      <c r="K1" s="146"/>
      <c r="L1" s="146"/>
      <c r="M1" s="146"/>
      <c r="N1" s="146"/>
      <c r="O1" s="147"/>
      <c r="Q1" s="145" t="s">
        <v>1</v>
      </c>
      <c r="R1" s="147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86" t="s">
        <v>83</v>
      </c>
      <c r="H2" s="187"/>
      <c r="I2" s="188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83" t="s">
        <v>55</v>
      </c>
      <c r="C3" s="184"/>
      <c r="D3" s="184"/>
      <c r="E3" s="184"/>
      <c r="F3" s="185"/>
      <c r="G3" s="17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175"/>
      <c r="I3" s="176"/>
      <c r="J3" s="1" t="s">
        <v>23</v>
      </c>
      <c r="K3" s="183" t="s">
        <v>59</v>
      </c>
      <c r="L3" s="184"/>
      <c r="M3" s="184"/>
      <c r="N3" s="184"/>
      <c r="O3" s="18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3" t="s">
        <v>56</v>
      </c>
      <c r="C4" s="184"/>
      <c r="D4" s="184"/>
      <c r="E4" s="184"/>
      <c r="F4" s="185"/>
      <c r="G4" s="186" t="s">
        <v>84</v>
      </c>
      <c r="H4" s="187"/>
      <c r="I4" s="188"/>
      <c r="J4" s="1" t="s">
        <v>30</v>
      </c>
      <c r="K4" s="183" t="s">
        <v>60</v>
      </c>
      <c r="L4" s="184"/>
      <c r="M4" s="184"/>
      <c r="N4" s="184"/>
      <c r="O4" s="185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183" t="s">
        <v>57</v>
      </c>
      <c r="C5" s="184"/>
      <c r="D5" s="184"/>
      <c r="E5" s="184"/>
      <c r="F5" s="185"/>
      <c r="G5" s="17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175"/>
      <c r="I5" s="176"/>
      <c r="J5" s="1" t="s">
        <v>24</v>
      </c>
      <c r="K5" s="183" t="s">
        <v>62</v>
      </c>
      <c r="L5" s="184"/>
      <c r="M5" s="184"/>
      <c r="N5" s="184"/>
      <c r="O5" s="185"/>
    </row>
    <row r="6" spans="1:18">
      <c r="A6" s="1" t="s">
        <v>25</v>
      </c>
      <c r="B6" s="183" t="s">
        <v>58</v>
      </c>
      <c r="C6" s="184"/>
      <c r="D6" s="184"/>
      <c r="E6" s="184"/>
      <c r="F6" s="185"/>
      <c r="G6" s="186" t="s">
        <v>85</v>
      </c>
      <c r="H6" s="187"/>
      <c r="I6" s="188"/>
      <c r="J6" s="1" t="s">
        <v>25</v>
      </c>
      <c r="K6" s="183" t="s">
        <v>63</v>
      </c>
      <c r="L6" s="184"/>
      <c r="M6" s="184"/>
      <c r="N6" s="184"/>
      <c r="O6" s="185"/>
    </row>
    <row r="7" spans="1:18" ht="17.25" thickBot="1">
      <c r="A7" s="1" t="s">
        <v>26</v>
      </c>
      <c r="B7" s="183" t="s">
        <v>64</v>
      </c>
      <c r="C7" s="184"/>
      <c r="D7" s="184"/>
      <c r="E7" s="184"/>
      <c r="F7" s="185"/>
      <c r="G7" s="17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175"/>
      <c r="I7" s="176"/>
      <c r="J7" s="1" t="s">
        <v>26</v>
      </c>
      <c r="K7" s="183" t="s">
        <v>65</v>
      </c>
      <c r="L7" s="184"/>
      <c r="M7" s="184"/>
      <c r="N7" s="184"/>
      <c r="O7" s="185"/>
    </row>
    <row r="8" spans="1:18" ht="17.25" thickBot="1">
      <c r="A8" s="1" t="s">
        <v>27</v>
      </c>
      <c r="B8" s="183" t="s">
        <v>66</v>
      </c>
      <c r="C8" s="184"/>
      <c r="D8" s="184"/>
      <c r="E8" s="184"/>
      <c r="F8" s="185"/>
      <c r="G8" s="186" t="s">
        <v>86</v>
      </c>
      <c r="H8" s="187"/>
      <c r="I8" s="188"/>
      <c r="J8" s="1" t="s">
        <v>27</v>
      </c>
      <c r="K8" s="183" t="s">
        <v>88</v>
      </c>
      <c r="L8" s="184"/>
      <c r="M8" s="184"/>
      <c r="N8" s="184"/>
      <c r="O8" s="185"/>
      <c r="Q8" s="145" t="s">
        <v>16</v>
      </c>
      <c r="R8" s="147"/>
    </row>
    <row r="9" spans="1:18" ht="17.25" thickBot="1">
      <c r="A9" s="1" t="s">
        <v>28</v>
      </c>
      <c r="B9" s="183"/>
      <c r="C9" s="184"/>
      <c r="D9" s="184"/>
      <c r="E9" s="184"/>
      <c r="F9" s="185"/>
      <c r="G9" s="17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175"/>
      <c r="I9" s="176"/>
      <c r="J9" s="1" t="s">
        <v>28</v>
      </c>
      <c r="K9" s="183"/>
      <c r="L9" s="184"/>
      <c r="M9" s="184"/>
      <c r="N9" s="184"/>
      <c r="O9" s="185"/>
      <c r="Q9" s="18" t="s">
        <v>2</v>
      </c>
      <c r="R9" s="51">
        <v>10</v>
      </c>
    </row>
    <row r="10" spans="1:18">
      <c r="A10" s="1" t="s">
        <v>29</v>
      </c>
      <c r="B10" s="183"/>
      <c r="C10" s="184"/>
      <c r="D10" s="184"/>
      <c r="E10" s="184"/>
      <c r="F10" s="185"/>
      <c r="G10" s="186" t="s">
        <v>81</v>
      </c>
      <c r="H10" s="187"/>
      <c r="I10" s="188"/>
      <c r="J10" s="1" t="s">
        <v>29</v>
      </c>
      <c r="K10" s="183"/>
      <c r="L10" s="184"/>
      <c r="M10" s="184"/>
      <c r="N10" s="184"/>
      <c r="O10" s="185"/>
      <c r="Q10" s="18" t="s">
        <v>3</v>
      </c>
      <c r="R10" s="51">
        <v>100</v>
      </c>
    </row>
    <row r="11" spans="1:18" ht="17.25" thickBot="1">
      <c r="A11" s="2" t="s">
        <v>21</v>
      </c>
      <c r="B11" s="171"/>
      <c r="C11" s="172"/>
      <c r="D11" s="172"/>
      <c r="E11" s="172"/>
      <c r="F11" s="173"/>
      <c r="G11" s="17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175"/>
      <c r="I11" s="176"/>
      <c r="J11" s="2" t="s">
        <v>21</v>
      </c>
      <c r="K11" s="171"/>
      <c r="L11" s="172"/>
      <c r="M11" s="172"/>
      <c r="N11" s="172"/>
      <c r="O11" s="173"/>
      <c r="Q11" s="73" t="s">
        <v>17</v>
      </c>
      <c r="R11" s="52">
        <v>1000</v>
      </c>
    </row>
    <row r="12" spans="1:18" ht="17.25" thickBot="1"/>
    <row r="13" spans="1:18" ht="17.25" customHeight="1" thickBot="1">
      <c r="A13" s="145" t="s">
        <v>87</v>
      </c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Q13" s="177"/>
      <c r="R13" s="178"/>
    </row>
    <row r="14" spans="1:18" ht="17.25" customHeight="1" thickBot="1">
      <c r="A14" s="68" t="s">
        <v>236</v>
      </c>
      <c r="B14" s="145" t="s">
        <v>235</v>
      </c>
      <c r="C14" s="147"/>
      <c r="D14" s="145" t="s">
        <v>67</v>
      </c>
      <c r="E14" s="146"/>
      <c r="F14" s="147"/>
      <c r="G14" s="159">
        <f>_xlfn.IFNA(VLOOKUP(B14, 현재가테이블!$B$1:$D$200, 2, FALSE), "-")</f>
        <v>81224000</v>
      </c>
      <c r="H14" s="160"/>
      <c r="I14" s="161"/>
      <c r="J14" s="145" t="s">
        <v>69</v>
      </c>
      <c r="K14" s="146"/>
      <c r="L14" s="147"/>
      <c r="M14" s="162">
        <f>_xlfn.IFNA(VLOOKUP(B14, 현재가테이블!$B$1:$D$200, 3, FALSE), "-")</f>
        <v>3.8962367900000003E-2</v>
      </c>
      <c r="N14" s="163"/>
      <c r="O14" s="164"/>
      <c r="Q14" s="179"/>
      <c r="R14" s="180"/>
    </row>
    <row r="15" spans="1:18" ht="17.25" customHeight="1" thickBot="1">
      <c r="A15" s="152" t="s">
        <v>18</v>
      </c>
      <c r="B15" s="153" t="s">
        <v>54</v>
      </c>
      <c r="C15" s="154"/>
      <c r="D15" s="181" t="s">
        <v>20</v>
      </c>
      <c r="E15" s="158"/>
      <c r="F15" s="182"/>
      <c r="G15" s="181" t="s">
        <v>15</v>
      </c>
      <c r="H15" s="158"/>
      <c r="I15" s="182"/>
      <c r="J15" s="158" t="s">
        <v>34</v>
      </c>
      <c r="K15" s="158"/>
      <c r="L15" s="158"/>
      <c r="M15" s="181" t="s">
        <v>54</v>
      </c>
      <c r="N15" s="158"/>
      <c r="O15" s="182"/>
      <c r="Q15" s="167"/>
      <c r="R15" s="168"/>
    </row>
    <row r="16" spans="1:18" ht="17.25" customHeight="1" thickBot="1">
      <c r="A16" s="1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167"/>
      <c r="R16" s="168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165"/>
      <c r="R17" s="166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165"/>
      <c r="R18" s="166"/>
    </row>
    <row r="19" spans="1:18" ht="17.25" customHeight="1">
      <c r="A19" s="40" t="s">
        <v>242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165"/>
      <c r="R19" s="166"/>
    </row>
    <row r="20" spans="1:18" ht="17.25" customHeight="1">
      <c r="A20" s="40" t="s">
        <v>243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165"/>
      <c r="R20" s="166"/>
    </row>
    <row r="21" spans="1:18" ht="17.25" customHeight="1">
      <c r="A21" s="41" t="s">
        <v>245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165"/>
      <c r="R21" s="166"/>
    </row>
    <row r="22" spans="1:18" ht="17.25" customHeight="1">
      <c r="A22" s="40" t="s">
        <v>229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165"/>
      <c r="R22" s="166"/>
    </row>
    <row r="23" spans="1:18" ht="17.25" customHeight="1">
      <c r="A23" s="40" t="s">
        <v>244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165"/>
      <c r="R23" s="166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65"/>
      <c r="R24" s="166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67"/>
      <c r="R25" s="168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67"/>
      <c r="R26" s="168"/>
    </row>
    <row r="27" spans="1:18" ht="17.25" customHeight="1" thickBot="1">
      <c r="A27" s="57" t="s">
        <v>32</v>
      </c>
      <c r="B27" s="143">
        <v>100000</v>
      </c>
      <c r="C27" s="144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169"/>
      <c r="R27" s="17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5" t="s">
        <v>83</v>
      </c>
      <c r="B30" s="146"/>
      <c r="C30" s="146"/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7"/>
      <c r="Q30" s="148"/>
      <c r="R30" s="149"/>
    </row>
    <row r="31" spans="1:18" ht="17.25" customHeight="1" thickBot="1">
      <c r="A31" s="81" t="s">
        <v>236</v>
      </c>
      <c r="B31" s="145" t="s">
        <v>235</v>
      </c>
      <c r="C31" s="147"/>
      <c r="D31" s="145" t="s">
        <v>67</v>
      </c>
      <c r="E31" s="146"/>
      <c r="F31" s="147"/>
      <c r="G31" s="159">
        <f>_xlfn.IFNA(VLOOKUP(B31, 현재가테이블!$B$1:$D$200, 2, FALSE), "-")</f>
        <v>81224000</v>
      </c>
      <c r="H31" s="160"/>
      <c r="I31" s="161"/>
      <c r="J31" s="145" t="s">
        <v>69</v>
      </c>
      <c r="K31" s="146"/>
      <c r="L31" s="147"/>
      <c r="M31" s="162">
        <f>_xlfn.IFNA(VLOOKUP(B31, 현재가테이블!$B$1:$D$200, 3, FALSE), "-")</f>
        <v>3.8962367900000003E-2</v>
      </c>
      <c r="N31" s="163"/>
      <c r="O31" s="164"/>
      <c r="Q31" s="150"/>
      <c r="R31" s="151"/>
    </row>
    <row r="32" spans="1:18" ht="17.25" customHeight="1" thickBot="1">
      <c r="A32" s="152" t="s">
        <v>18</v>
      </c>
      <c r="B32" s="153" t="s">
        <v>54</v>
      </c>
      <c r="C32" s="154"/>
      <c r="D32" s="155" t="s">
        <v>20</v>
      </c>
      <c r="E32" s="156"/>
      <c r="F32" s="157"/>
      <c r="G32" s="155" t="s">
        <v>15</v>
      </c>
      <c r="H32" s="156"/>
      <c r="I32" s="157"/>
      <c r="J32" s="158" t="s">
        <v>34</v>
      </c>
      <c r="K32" s="158"/>
      <c r="L32" s="158"/>
      <c r="M32" s="155" t="s">
        <v>54</v>
      </c>
      <c r="N32" s="156"/>
      <c r="O32" s="157"/>
      <c r="Q32" s="139"/>
      <c r="R32" s="140"/>
    </row>
    <row r="33" spans="1:18" ht="17.25" customHeight="1" thickBot="1">
      <c r="A33" s="1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139"/>
      <c r="R33" s="140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137"/>
      <c r="R34" s="138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37"/>
      <c r="R35" s="138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37"/>
      <c r="R36" s="138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37"/>
      <c r="R37" s="138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37"/>
      <c r="R38" s="138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37"/>
      <c r="R39" s="138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37"/>
      <c r="R40" s="138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37"/>
      <c r="R41" s="13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39"/>
      <c r="R42" s="14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39"/>
      <c r="R43" s="140"/>
    </row>
    <row r="44" spans="1:18" ht="17.25" customHeight="1" thickBot="1">
      <c r="A44" s="57" t="s">
        <v>32</v>
      </c>
      <c r="B44" s="143">
        <v>100000</v>
      </c>
      <c r="C44" s="144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141"/>
      <c r="R44" s="14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5" t="s">
        <v>84</v>
      </c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7"/>
      <c r="Q47" s="148"/>
      <c r="R47" s="149"/>
    </row>
    <row r="48" spans="1:18" ht="17.25" customHeight="1" thickBot="1">
      <c r="A48" s="81" t="s">
        <v>236</v>
      </c>
      <c r="B48" s="145" t="s">
        <v>235</v>
      </c>
      <c r="C48" s="147"/>
      <c r="D48" s="145" t="s">
        <v>67</v>
      </c>
      <c r="E48" s="146"/>
      <c r="F48" s="147"/>
      <c r="G48" s="159">
        <f>_xlfn.IFNA(VLOOKUP(B48, 현재가테이블!$B$1:$D$200, 2, FALSE), "-")</f>
        <v>81224000</v>
      </c>
      <c r="H48" s="160"/>
      <c r="I48" s="161"/>
      <c r="J48" s="145" t="s">
        <v>69</v>
      </c>
      <c r="K48" s="146"/>
      <c r="L48" s="147"/>
      <c r="M48" s="162">
        <f>_xlfn.IFNA(VLOOKUP(B48, 현재가테이블!$B$1:$D$200, 3, FALSE), "-")</f>
        <v>3.8962367900000003E-2</v>
      </c>
      <c r="N48" s="163"/>
      <c r="O48" s="164"/>
      <c r="Q48" s="150"/>
      <c r="R48" s="151"/>
    </row>
    <row r="49" spans="1:18" ht="17.25" customHeight="1" thickBot="1">
      <c r="A49" s="152" t="s">
        <v>18</v>
      </c>
      <c r="B49" s="153" t="s">
        <v>54</v>
      </c>
      <c r="C49" s="154"/>
      <c r="D49" s="155" t="s">
        <v>20</v>
      </c>
      <c r="E49" s="156"/>
      <c r="F49" s="157"/>
      <c r="G49" s="155" t="s">
        <v>15</v>
      </c>
      <c r="H49" s="156"/>
      <c r="I49" s="157"/>
      <c r="J49" s="158" t="s">
        <v>34</v>
      </c>
      <c r="K49" s="158"/>
      <c r="L49" s="158"/>
      <c r="M49" s="155" t="s">
        <v>54</v>
      </c>
      <c r="N49" s="156"/>
      <c r="O49" s="157"/>
      <c r="Q49" s="139"/>
      <c r="R49" s="140"/>
    </row>
    <row r="50" spans="1:18" ht="17.25" customHeight="1" thickBot="1">
      <c r="A50" s="1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139"/>
      <c r="R50" s="140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137"/>
      <c r="R51" s="138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137"/>
      <c r="R52" s="138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37"/>
      <c r="R53" s="138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37"/>
      <c r="R54" s="138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37"/>
      <c r="R55" s="138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37"/>
      <c r="R56" s="13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37"/>
      <c r="R57" s="13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37"/>
      <c r="R58" s="13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39"/>
      <c r="R59" s="14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39"/>
      <c r="R60" s="140"/>
    </row>
    <row r="61" spans="1:18" ht="17.25" customHeight="1" thickBot="1">
      <c r="A61" s="57" t="s">
        <v>32</v>
      </c>
      <c r="B61" s="143">
        <v>100000</v>
      </c>
      <c r="C61" s="144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141"/>
      <c r="R61" s="142"/>
    </row>
    <row r="62" spans="1:18" ht="17.25" customHeight="1"/>
    <row r="63" spans="1:18" ht="17.25" customHeight="1" thickBot="1"/>
    <row r="64" spans="1:18" ht="17.25" customHeight="1" thickBot="1">
      <c r="A64" s="145" t="s">
        <v>85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7"/>
      <c r="Q64" s="148"/>
      <c r="R64" s="149"/>
    </row>
    <row r="65" spans="1:18" ht="17.25" customHeight="1" thickBot="1">
      <c r="A65" s="81" t="s">
        <v>236</v>
      </c>
      <c r="B65" s="145" t="s">
        <v>235</v>
      </c>
      <c r="C65" s="147"/>
      <c r="D65" s="145" t="s">
        <v>67</v>
      </c>
      <c r="E65" s="146"/>
      <c r="F65" s="147"/>
      <c r="G65" s="159">
        <f>_xlfn.IFNA(VLOOKUP(B65, 현재가테이블!$B$1:$D$200, 2, FALSE), "-")</f>
        <v>81224000</v>
      </c>
      <c r="H65" s="160"/>
      <c r="I65" s="161"/>
      <c r="J65" s="145" t="s">
        <v>69</v>
      </c>
      <c r="K65" s="146"/>
      <c r="L65" s="147"/>
      <c r="M65" s="162">
        <f>_xlfn.IFNA(VLOOKUP(B65, 현재가테이블!$B$1:$D$200, 3, FALSE), "-")</f>
        <v>3.8962367900000003E-2</v>
      </c>
      <c r="N65" s="163"/>
      <c r="O65" s="164"/>
      <c r="Q65" s="150"/>
      <c r="R65" s="151"/>
    </row>
    <row r="66" spans="1:18" ht="17.25" customHeight="1" thickBot="1">
      <c r="A66" s="152" t="s">
        <v>18</v>
      </c>
      <c r="B66" s="153" t="s">
        <v>54</v>
      </c>
      <c r="C66" s="154"/>
      <c r="D66" s="155" t="s">
        <v>20</v>
      </c>
      <c r="E66" s="156"/>
      <c r="F66" s="157"/>
      <c r="G66" s="155" t="s">
        <v>15</v>
      </c>
      <c r="H66" s="156"/>
      <c r="I66" s="157"/>
      <c r="J66" s="158" t="s">
        <v>34</v>
      </c>
      <c r="K66" s="158"/>
      <c r="L66" s="158"/>
      <c r="M66" s="155" t="s">
        <v>54</v>
      </c>
      <c r="N66" s="156"/>
      <c r="O66" s="157"/>
      <c r="Q66" s="139"/>
      <c r="R66" s="140"/>
    </row>
    <row r="67" spans="1:18" ht="17.25" customHeight="1" thickBot="1">
      <c r="A67" s="1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139"/>
      <c r="R67" s="140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137"/>
      <c r="R68" s="138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137"/>
      <c r="R69" s="138"/>
    </row>
    <row r="70" spans="1:18" ht="17.25" customHeight="1">
      <c r="A70" s="11" t="s">
        <v>234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137"/>
      <c r="R70" s="138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37"/>
      <c r="R71" s="138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37"/>
      <c r="R72" s="138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37"/>
      <c r="R73" s="138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37"/>
      <c r="R74" s="138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37"/>
      <c r="R75" s="138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39"/>
      <c r="R76" s="140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39"/>
      <c r="R77" s="140"/>
    </row>
    <row r="78" spans="1:18" ht="17.25" customHeight="1" thickBot="1">
      <c r="A78" s="57" t="s">
        <v>32</v>
      </c>
      <c r="B78" s="143">
        <v>100000</v>
      </c>
      <c r="C78" s="144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141"/>
      <c r="R78" s="14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5" t="s">
        <v>86</v>
      </c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7"/>
      <c r="Q81" s="148"/>
      <c r="R81" s="149"/>
    </row>
    <row r="82" spans="1:18" ht="17.25" customHeight="1" thickBot="1">
      <c r="A82" s="81" t="s">
        <v>236</v>
      </c>
      <c r="B82" s="145" t="s">
        <v>235</v>
      </c>
      <c r="C82" s="147"/>
      <c r="D82" s="145" t="s">
        <v>67</v>
      </c>
      <c r="E82" s="146"/>
      <c r="F82" s="147"/>
      <c r="G82" s="159">
        <f>_xlfn.IFNA(VLOOKUP(B82, 현재가테이블!$B$1:$D$200, 2, FALSE), "-")</f>
        <v>81224000</v>
      </c>
      <c r="H82" s="160"/>
      <c r="I82" s="161"/>
      <c r="J82" s="145" t="s">
        <v>69</v>
      </c>
      <c r="K82" s="146"/>
      <c r="L82" s="147"/>
      <c r="M82" s="162">
        <f>_xlfn.IFNA(VLOOKUP(B82, 현재가테이블!$B$1:$D$200, 3, FALSE), "-")</f>
        <v>3.8962367900000003E-2</v>
      </c>
      <c r="N82" s="163"/>
      <c r="O82" s="164"/>
      <c r="Q82" s="150"/>
      <c r="R82" s="151"/>
    </row>
    <row r="83" spans="1:18" ht="17.25" customHeight="1" thickBot="1">
      <c r="A83" s="152" t="s">
        <v>18</v>
      </c>
      <c r="B83" s="153" t="s">
        <v>54</v>
      </c>
      <c r="C83" s="154"/>
      <c r="D83" s="155" t="s">
        <v>20</v>
      </c>
      <c r="E83" s="156"/>
      <c r="F83" s="157"/>
      <c r="G83" s="155" t="s">
        <v>15</v>
      </c>
      <c r="H83" s="156"/>
      <c r="I83" s="157"/>
      <c r="J83" s="158" t="s">
        <v>34</v>
      </c>
      <c r="K83" s="158"/>
      <c r="L83" s="158"/>
      <c r="M83" s="155" t="s">
        <v>54</v>
      </c>
      <c r="N83" s="156"/>
      <c r="O83" s="157"/>
      <c r="Q83" s="139"/>
      <c r="R83" s="140"/>
    </row>
    <row r="84" spans="1:18" ht="17.25" customHeight="1" thickBot="1">
      <c r="A84" s="1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139"/>
      <c r="R84" s="140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137"/>
      <c r="R85" s="138"/>
    </row>
    <row r="86" spans="1:18" ht="17.25" customHeight="1">
      <c r="A86" s="11" t="s">
        <v>242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137"/>
      <c r="R86" s="138"/>
    </row>
    <row r="87" spans="1:18" ht="17.25" customHeight="1">
      <c r="A87" s="11" t="s">
        <v>243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137"/>
      <c r="R87" s="138"/>
    </row>
    <row r="88" spans="1:18" ht="17.25" customHeight="1">
      <c r="A88" s="11" t="s">
        <v>245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137"/>
      <c r="R88" s="13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37"/>
      <c r="R89" s="138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37"/>
      <c r="R90" s="138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37"/>
      <c r="R91" s="138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37"/>
      <c r="R92" s="138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39"/>
      <c r="R93" s="14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39"/>
      <c r="R94" s="140"/>
    </row>
    <row r="95" spans="1:18" ht="17.25" customHeight="1" thickBot="1">
      <c r="A95" s="57" t="s">
        <v>32</v>
      </c>
      <c r="B95" s="143">
        <v>100000</v>
      </c>
      <c r="C95" s="144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141"/>
      <c r="R95" s="142"/>
    </row>
    <row r="96" spans="1:18" ht="17.25" customHeight="1"/>
    <row r="97" spans="1:18" ht="17.25" customHeight="1" thickBot="1"/>
    <row r="98" spans="1:18" ht="17.25" customHeight="1" thickBot="1">
      <c r="A98" s="145" t="s">
        <v>81</v>
      </c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7"/>
      <c r="Q98" s="148"/>
      <c r="R98" s="149"/>
    </row>
    <row r="99" spans="1:18" ht="17.25" customHeight="1" thickBot="1">
      <c r="A99" s="81" t="s">
        <v>236</v>
      </c>
      <c r="B99" s="145" t="s">
        <v>235</v>
      </c>
      <c r="C99" s="147"/>
      <c r="D99" s="145" t="s">
        <v>67</v>
      </c>
      <c r="E99" s="146"/>
      <c r="F99" s="147"/>
      <c r="G99" s="159">
        <f>_xlfn.IFNA(VLOOKUP(B99, 현재가테이블!$B$1:$D$200, 2, FALSE), "-")</f>
        <v>81224000</v>
      </c>
      <c r="H99" s="160"/>
      <c r="I99" s="161"/>
      <c r="J99" s="145" t="s">
        <v>69</v>
      </c>
      <c r="K99" s="146"/>
      <c r="L99" s="147"/>
      <c r="M99" s="162">
        <f>_xlfn.IFNA(VLOOKUP(B99, 현재가테이블!$B$1:$D$200, 3, FALSE), "-")</f>
        <v>3.8962367900000003E-2</v>
      </c>
      <c r="N99" s="163"/>
      <c r="O99" s="164"/>
      <c r="Q99" s="150"/>
      <c r="R99" s="151"/>
    </row>
    <row r="100" spans="1:18" ht="17.25" customHeight="1" thickBot="1">
      <c r="A100" s="152" t="s">
        <v>18</v>
      </c>
      <c r="B100" s="153" t="s">
        <v>54</v>
      </c>
      <c r="C100" s="154"/>
      <c r="D100" s="155" t="s">
        <v>20</v>
      </c>
      <c r="E100" s="156"/>
      <c r="F100" s="157"/>
      <c r="G100" s="155" t="s">
        <v>15</v>
      </c>
      <c r="H100" s="156"/>
      <c r="I100" s="157"/>
      <c r="J100" s="158" t="s">
        <v>34</v>
      </c>
      <c r="K100" s="158"/>
      <c r="L100" s="158"/>
      <c r="M100" s="155" t="s">
        <v>54</v>
      </c>
      <c r="N100" s="156"/>
      <c r="O100" s="157"/>
      <c r="Q100" s="139"/>
      <c r="R100" s="140"/>
    </row>
    <row r="101" spans="1:18" ht="17.25" customHeight="1" thickBot="1">
      <c r="A101" s="1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139"/>
      <c r="R101" s="140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137"/>
      <c r="R102" s="138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137"/>
      <c r="R103" s="138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137"/>
      <c r="R104" s="138"/>
    </row>
    <row r="105" spans="1:18" ht="17.25" customHeight="1">
      <c r="A105" s="11" t="s">
        <v>242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137"/>
      <c r="R105" s="138"/>
    </row>
    <row r="106" spans="1:18" ht="17.25" customHeight="1">
      <c r="A106" s="8" t="s">
        <v>229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137"/>
      <c r="R106" s="138"/>
    </row>
    <row r="107" spans="1:18" ht="17.25" customHeight="1">
      <c r="A107" s="11" t="s">
        <v>243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137"/>
      <c r="R107" s="138"/>
    </row>
    <row r="108" spans="1:18" ht="17.25" customHeight="1">
      <c r="A108" s="11" t="s">
        <v>245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137"/>
      <c r="R108" s="138"/>
    </row>
    <row r="109" spans="1:18" ht="17.25" customHeight="1">
      <c r="A109" s="11" t="s">
        <v>244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137"/>
      <c r="R109" s="138"/>
    </row>
    <row r="110" spans="1:18" ht="17.25" customHeight="1">
      <c r="A110" s="11" t="s">
        <v>246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139"/>
      <c r="R110" s="140"/>
    </row>
    <row r="111" spans="1:18" ht="17.25" customHeight="1" thickBot="1">
      <c r="A111" s="13" t="s">
        <v>247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139"/>
      <c r="R111" s="140"/>
    </row>
    <row r="112" spans="1:18" ht="17.25" customHeight="1" thickBot="1">
      <c r="A112" s="57" t="s">
        <v>32</v>
      </c>
      <c r="B112" s="143">
        <v>100000</v>
      </c>
      <c r="C112" s="144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141"/>
      <c r="R112" s="14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783" priority="89">
      <formula>$E$27&gt;0</formula>
    </cfRule>
    <cfRule type="expression" dxfId="782" priority="90">
      <formula>$E$27&lt;0</formula>
    </cfRule>
  </conditionalFormatting>
  <conditionalFormatting sqref="G15:I16 H27:I27">
    <cfRule type="expression" dxfId="781" priority="87">
      <formula>$H$27&gt;0</formula>
    </cfRule>
    <cfRule type="expression" dxfId="780" priority="88">
      <formula>$H$27&lt;0</formula>
    </cfRule>
  </conditionalFormatting>
  <conditionalFormatting sqref="J15:L16 K27:L27">
    <cfRule type="expression" dxfId="779" priority="85">
      <formula>$K$27&gt;0</formula>
    </cfRule>
    <cfRule type="expression" dxfId="778" priority="86">
      <formula>$K$27&lt;0</formula>
    </cfRule>
  </conditionalFormatting>
  <conditionalFormatting sqref="M15:O16 N27:O27">
    <cfRule type="expression" dxfId="777" priority="83">
      <formula>$N$27&gt;0</formula>
    </cfRule>
    <cfRule type="expression" dxfId="776" priority="84">
      <formula>$N$27&lt;0</formula>
    </cfRule>
  </conditionalFormatting>
  <conditionalFormatting sqref="A17:O26 A34:O43">
    <cfRule type="expression" dxfId="775" priority="91">
      <formula>AND($N17 &gt; 0, ISNUMBER($N17))</formula>
    </cfRule>
    <cfRule type="expression" dxfId="774" priority="92">
      <formula>AND($N17 &lt; 0, ISNUMBER($N17))</formula>
    </cfRule>
    <cfRule type="expression" dxfId="773" priority="93">
      <formula>AND($K17 &gt; 0, ISNUMBER($K17))</formula>
    </cfRule>
    <cfRule type="expression" dxfId="772" priority="94">
      <formula>AND($K17 &lt; 0, ISNUMBER($K17))</formula>
    </cfRule>
    <cfRule type="expression" dxfId="771" priority="95">
      <formula>AND($H17 &gt; 0, ISNUMBER($H17))</formula>
    </cfRule>
    <cfRule type="expression" dxfId="770" priority="96">
      <formula>AND($H17 &lt; 0, ISNUMBER($H17))</formula>
    </cfRule>
    <cfRule type="expression" dxfId="769" priority="97">
      <formula>AND($E17 &gt; 0, ISNUMBER($E17))</formula>
    </cfRule>
    <cfRule type="expression" dxfId="768" priority="98">
      <formula>AND($E17 &lt; 0, ISNUMBER($E17))</formula>
    </cfRule>
  </conditionalFormatting>
  <conditionalFormatting sqref="D32:F33 E44:F44">
    <cfRule type="expression" dxfId="767" priority="81">
      <formula>$E$44&gt;0</formula>
    </cfRule>
    <cfRule type="expression" dxfId="766" priority="82">
      <formula>$E$44&lt;0</formula>
    </cfRule>
  </conditionalFormatting>
  <conditionalFormatting sqref="G32:I33 H44:I44">
    <cfRule type="expression" dxfId="765" priority="79">
      <formula>$H$44&gt;0</formula>
    </cfRule>
    <cfRule type="expression" dxfId="764" priority="80">
      <formula>$H$44&lt;0</formula>
    </cfRule>
  </conditionalFormatting>
  <conditionalFormatting sqref="J32:L33 K44:L44">
    <cfRule type="expression" dxfId="763" priority="77">
      <formula>$K$44&gt;0</formula>
    </cfRule>
    <cfRule type="expression" dxfId="762" priority="78">
      <formula>$K$44&lt;0</formula>
    </cfRule>
  </conditionalFormatting>
  <conditionalFormatting sqref="M32:O33 N44:O44">
    <cfRule type="expression" dxfId="761" priority="75">
      <formula>$N$44&gt;0</formula>
    </cfRule>
    <cfRule type="expression" dxfId="760" priority="76">
      <formula>$N$44&lt;0</formula>
    </cfRule>
  </conditionalFormatting>
  <conditionalFormatting sqref="A51:O60">
    <cfRule type="expression" dxfId="759" priority="67">
      <formula>AND($N51 &gt; 0, ISNUMBER($N51))</formula>
    </cfRule>
    <cfRule type="expression" dxfId="758" priority="68">
      <formula>AND($N51 &lt; 0, ISNUMBER($N51))</formula>
    </cfRule>
    <cfRule type="expression" dxfId="757" priority="69">
      <formula>AND($K51 &gt; 0, ISNUMBER($K51))</formula>
    </cfRule>
    <cfRule type="expression" dxfId="756" priority="70">
      <formula>AND($K51 &lt; 0, ISNUMBER($K51))</formula>
    </cfRule>
    <cfRule type="expression" dxfId="755" priority="71">
      <formula>AND($H51 &gt; 0, ISNUMBER($H51))</formula>
    </cfRule>
    <cfRule type="expression" dxfId="754" priority="72">
      <formula>AND($H51 &lt; 0, ISNUMBER($H51))</formula>
    </cfRule>
    <cfRule type="expression" dxfId="753" priority="73">
      <formula>AND($E51 &gt; 0, ISNUMBER($E51))</formula>
    </cfRule>
    <cfRule type="expression" dxfId="752" priority="74">
      <formula>AND($E51 &lt; 0, ISNUMBER($E51))</formula>
    </cfRule>
  </conditionalFormatting>
  <conditionalFormatting sqref="D49:F50 E61:F61">
    <cfRule type="expression" dxfId="751" priority="65">
      <formula>$E$61&gt;0</formula>
    </cfRule>
    <cfRule type="expression" dxfId="750" priority="66">
      <formula>$E$61&lt;0</formula>
    </cfRule>
  </conditionalFormatting>
  <conditionalFormatting sqref="G49:I50 H61:I61">
    <cfRule type="expression" dxfId="749" priority="63">
      <formula>$H$61&gt;0</formula>
    </cfRule>
    <cfRule type="expression" dxfId="748" priority="64">
      <formula>$H$61&lt;0</formula>
    </cfRule>
  </conditionalFormatting>
  <conditionalFormatting sqref="J49:L50 K61:L61">
    <cfRule type="expression" dxfId="747" priority="61">
      <formula>$K$61&gt;0</formula>
    </cfRule>
    <cfRule type="expression" dxfId="746" priority="62">
      <formula>$K$61&lt;0</formula>
    </cfRule>
  </conditionalFormatting>
  <conditionalFormatting sqref="M49:O50 N61:O61">
    <cfRule type="expression" dxfId="745" priority="59">
      <formula>$N$61&gt;0</formula>
    </cfRule>
    <cfRule type="expression" dxfId="744" priority="60">
      <formula>$N$61&lt;0</formula>
    </cfRule>
  </conditionalFormatting>
  <conditionalFormatting sqref="A68:O77">
    <cfRule type="expression" dxfId="743" priority="51">
      <formula>AND($N68 &gt; 0, ISNUMBER($N68))</formula>
    </cfRule>
    <cfRule type="expression" dxfId="742" priority="52">
      <formula>AND($N68 &lt; 0, ISNUMBER($N68))</formula>
    </cfRule>
    <cfRule type="expression" dxfId="741" priority="53">
      <formula>AND($K68 &gt; 0, ISNUMBER($K68))</formula>
    </cfRule>
    <cfRule type="expression" dxfId="740" priority="54">
      <formula>AND($K68 &lt; 0, ISNUMBER($K68))</formula>
    </cfRule>
    <cfRule type="expression" dxfId="739" priority="55">
      <formula>AND($H68 &gt; 0, ISNUMBER($H68))</formula>
    </cfRule>
    <cfRule type="expression" dxfId="738" priority="56">
      <formula>AND($H68 &lt; 0, ISNUMBER($H68))</formula>
    </cfRule>
    <cfRule type="expression" dxfId="737" priority="57">
      <formula>AND($E68 &gt; 0, ISNUMBER($E68))</formula>
    </cfRule>
    <cfRule type="expression" dxfId="736" priority="58">
      <formula>AND($E68 &lt; 0, ISNUMBER($E68))</formula>
    </cfRule>
  </conditionalFormatting>
  <conditionalFormatting sqref="D66:F67 E78:F78">
    <cfRule type="expression" dxfId="735" priority="49">
      <formula>$E$78&gt;0</formula>
    </cfRule>
    <cfRule type="expression" dxfId="734" priority="50">
      <formula>$E$78&lt;0</formula>
    </cfRule>
  </conditionalFormatting>
  <conditionalFormatting sqref="G66:I67 H78:I78">
    <cfRule type="expression" dxfId="733" priority="47">
      <formula>$H$78&gt;0</formula>
    </cfRule>
    <cfRule type="expression" dxfId="732" priority="48">
      <formula>$H$78&lt;0</formula>
    </cfRule>
  </conditionalFormatting>
  <conditionalFormatting sqref="J66:L67 K78:L78">
    <cfRule type="expression" dxfId="731" priority="45">
      <formula>$K$78&gt;0</formula>
    </cfRule>
    <cfRule type="expression" dxfId="730" priority="46">
      <formula>$K$78&lt;0</formula>
    </cfRule>
  </conditionalFormatting>
  <conditionalFormatting sqref="M66:O67 N78:O78">
    <cfRule type="expression" dxfId="729" priority="43">
      <formula>$N$78&gt;0</formula>
    </cfRule>
    <cfRule type="expression" dxfId="728" priority="44">
      <formula>$N$78&lt;0</formula>
    </cfRule>
  </conditionalFormatting>
  <conditionalFormatting sqref="A85:O94">
    <cfRule type="expression" dxfId="727" priority="35">
      <formula>AND($N85 &gt; 0, ISNUMBER($N85))</formula>
    </cfRule>
    <cfRule type="expression" dxfId="726" priority="36">
      <formula>AND($N85 &lt; 0, ISNUMBER($N85))</formula>
    </cfRule>
    <cfRule type="expression" dxfId="725" priority="37">
      <formula>AND($K85 &gt; 0, ISNUMBER($K85))</formula>
    </cfRule>
    <cfRule type="expression" dxfId="724" priority="38">
      <formula>AND($K85 &lt; 0, ISNUMBER($K85))</formula>
    </cfRule>
    <cfRule type="expression" dxfId="723" priority="39">
      <formula>AND($H85 &gt; 0, ISNUMBER($H85))</formula>
    </cfRule>
    <cfRule type="expression" dxfId="722" priority="40">
      <formula>AND($H85 &lt; 0, ISNUMBER($H85))</formula>
    </cfRule>
    <cfRule type="expression" dxfId="721" priority="41">
      <formula>AND($E85 &gt; 0, ISNUMBER($E85))</formula>
    </cfRule>
    <cfRule type="expression" dxfId="720" priority="42">
      <formula>AND($E85 &lt; 0, ISNUMBER($E85))</formula>
    </cfRule>
  </conditionalFormatting>
  <conditionalFormatting sqref="D83:F84 E95:F95">
    <cfRule type="expression" dxfId="719" priority="33">
      <formula>$E$95&gt;0</formula>
    </cfRule>
    <cfRule type="expression" dxfId="718" priority="34">
      <formula>$E$95&lt;0</formula>
    </cfRule>
  </conditionalFormatting>
  <conditionalFormatting sqref="G83:I84 H95:I95">
    <cfRule type="expression" dxfId="717" priority="31">
      <formula>$H$95&gt;0</formula>
    </cfRule>
    <cfRule type="expression" dxfId="716" priority="32">
      <formula>$H$95&lt;0</formula>
    </cfRule>
  </conditionalFormatting>
  <conditionalFormatting sqref="J83:L84 K95:L95">
    <cfRule type="expression" dxfId="715" priority="29">
      <formula>$K$95&gt;0</formula>
    </cfRule>
    <cfRule type="expression" dxfId="714" priority="30">
      <formula>$K$95&lt;0</formula>
    </cfRule>
  </conditionalFormatting>
  <conditionalFormatting sqref="M83:O84 N95:O95">
    <cfRule type="expression" dxfId="713" priority="27">
      <formula>$N$95&gt;0</formula>
    </cfRule>
    <cfRule type="expression" dxfId="712" priority="28">
      <formula>$N$95&lt;0</formula>
    </cfRule>
  </conditionalFormatting>
  <conditionalFormatting sqref="A102:O111">
    <cfRule type="expression" dxfId="711" priority="19">
      <formula>AND($N102 &gt; 0, ISNUMBER($N102))</formula>
    </cfRule>
    <cfRule type="expression" dxfId="710" priority="20">
      <formula>AND($N102 &lt; 0, ISNUMBER($N102))</formula>
    </cfRule>
    <cfRule type="expression" dxfId="709" priority="21">
      <formula>AND($K102 &gt; 0, ISNUMBER($K102))</formula>
    </cfRule>
    <cfRule type="expression" dxfId="708" priority="22">
      <formula>AND($K102 &lt; 0, ISNUMBER($K102))</formula>
    </cfRule>
    <cfRule type="expression" dxfId="707" priority="23">
      <formula>AND($H102 &gt; 0, ISNUMBER($H102))</formula>
    </cfRule>
    <cfRule type="expression" dxfId="706" priority="24">
      <formula>AND($H102 &lt; 0, ISNUMBER($H102))</formula>
    </cfRule>
    <cfRule type="expression" dxfId="705" priority="25">
      <formula>AND($E102 &gt; 0, ISNUMBER($E102))</formula>
    </cfRule>
    <cfRule type="expression" dxfId="704" priority="26">
      <formula>AND($E102 &lt; 0, ISNUMBER($E102))</formula>
    </cfRule>
  </conditionalFormatting>
  <conditionalFormatting sqref="D100:F101 E112:F112">
    <cfRule type="expression" dxfId="703" priority="17">
      <formula>$E$112&gt;0</formula>
    </cfRule>
    <cfRule type="expression" dxfId="702" priority="18">
      <formula>$E$112&lt;0</formula>
    </cfRule>
  </conditionalFormatting>
  <conditionalFormatting sqref="G100:I101 H112:I112">
    <cfRule type="expression" dxfId="701" priority="15">
      <formula>$H$112&gt;0</formula>
    </cfRule>
    <cfRule type="expression" dxfId="700" priority="16">
      <formula>$H$112&lt;0</formula>
    </cfRule>
  </conditionalFormatting>
  <conditionalFormatting sqref="J100:L101 K112:L112">
    <cfRule type="expression" dxfId="699" priority="13">
      <formula>$K$112&gt;0</formula>
    </cfRule>
    <cfRule type="expression" dxfId="698" priority="14">
      <formula>$K$112&lt;0</formula>
    </cfRule>
  </conditionalFormatting>
  <conditionalFormatting sqref="M100:O101 N112:O112">
    <cfRule type="expression" dxfId="697" priority="11">
      <formula>$N$112&gt;0</formula>
    </cfRule>
    <cfRule type="expression" dxfId="696" priority="12">
      <formula>$N$112&lt;0</formula>
    </cfRule>
  </conditionalFormatting>
  <conditionalFormatting sqref="G2:I3">
    <cfRule type="expression" dxfId="69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9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9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9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9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9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8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8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8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8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45" t="s">
        <v>0</v>
      </c>
      <c r="B1" s="146"/>
      <c r="C1" s="146"/>
      <c r="D1" s="146"/>
      <c r="E1" s="146"/>
      <c r="F1" s="147"/>
      <c r="G1" s="189">
        <v>44293</v>
      </c>
      <c r="H1" s="190"/>
      <c r="I1" s="191"/>
      <c r="J1" s="145" t="s">
        <v>33</v>
      </c>
      <c r="K1" s="146"/>
      <c r="L1" s="146"/>
      <c r="M1" s="146"/>
      <c r="N1" s="146"/>
      <c r="O1" s="147"/>
      <c r="Q1" s="145" t="s">
        <v>1</v>
      </c>
      <c r="R1" s="147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86" t="s">
        <v>83</v>
      </c>
      <c r="H2" s="187"/>
      <c r="I2" s="188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83" t="s">
        <v>55</v>
      </c>
      <c r="C3" s="184"/>
      <c r="D3" s="184"/>
      <c r="E3" s="184"/>
      <c r="F3" s="185"/>
      <c r="G3" s="17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175"/>
      <c r="I3" s="176"/>
      <c r="J3" s="1" t="s">
        <v>23</v>
      </c>
      <c r="K3" s="183" t="s">
        <v>59</v>
      </c>
      <c r="L3" s="184"/>
      <c r="M3" s="184"/>
      <c r="N3" s="184"/>
      <c r="O3" s="18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3" t="s">
        <v>56</v>
      </c>
      <c r="C4" s="184"/>
      <c r="D4" s="184"/>
      <c r="E4" s="184"/>
      <c r="F4" s="185"/>
      <c r="G4" s="186" t="s">
        <v>84</v>
      </c>
      <c r="H4" s="187"/>
      <c r="I4" s="188"/>
      <c r="J4" s="1" t="s">
        <v>30</v>
      </c>
      <c r="K4" s="183" t="s">
        <v>60</v>
      </c>
      <c r="L4" s="184"/>
      <c r="M4" s="184"/>
      <c r="N4" s="184"/>
      <c r="O4" s="185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183" t="s">
        <v>57</v>
      </c>
      <c r="C5" s="184"/>
      <c r="D5" s="184"/>
      <c r="E5" s="184"/>
      <c r="F5" s="185"/>
      <c r="G5" s="17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75"/>
      <c r="I5" s="176"/>
      <c r="J5" s="1" t="s">
        <v>24</v>
      </c>
      <c r="K5" s="183" t="s">
        <v>62</v>
      </c>
      <c r="L5" s="184"/>
      <c r="M5" s="184"/>
      <c r="N5" s="184"/>
      <c r="O5" s="185"/>
    </row>
    <row r="6" spans="1:18">
      <c r="A6" s="1" t="s">
        <v>25</v>
      </c>
      <c r="B6" s="183" t="s">
        <v>58</v>
      </c>
      <c r="C6" s="184"/>
      <c r="D6" s="184"/>
      <c r="E6" s="184"/>
      <c r="F6" s="185"/>
      <c r="G6" s="186" t="s">
        <v>85</v>
      </c>
      <c r="H6" s="187"/>
      <c r="I6" s="188"/>
      <c r="J6" s="1" t="s">
        <v>25</v>
      </c>
      <c r="K6" s="183" t="s">
        <v>63</v>
      </c>
      <c r="L6" s="184"/>
      <c r="M6" s="184"/>
      <c r="N6" s="184"/>
      <c r="O6" s="185"/>
    </row>
    <row r="7" spans="1:18" ht="17.25" thickBot="1">
      <c r="A7" s="1" t="s">
        <v>26</v>
      </c>
      <c r="B7" s="183" t="s">
        <v>64</v>
      </c>
      <c r="C7" s="184"/>
      <c r="D7" s="184"/>
      <c r="E7" s="184"/>
      <c r="F7" s="185"/>
      <c r="G7" s="17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175"/>
      <c r="I7" s="176"/>
      <c r="J7" s="1" t="s">
        <v>26</v>
      </c>
      <c r="K7" s="183" t="s">
        <v>65</v>
      </c>
      <c r="L7" s="184"/>
      <c r="M7" s="184"/>
      <c r="N7" s="184"/>
      <c r="O7" s="185"/>
    </row>
    <row r="8" spans="1:18" ht="17.25" thickBot="1">
      <c r="A8" s="1" t="s">
        <v>27</v>
      </c>
      <c r="B8" s="183" t="s">
        <v>66</v>
      </c>
      <c r="C8" s="184"/>
      <c r="D8" s="184"/>
      <c r="E8" s="184"/>
      <c r="F8" s="185"/>
      <c r="G8" s="186" t="s">
        <v>86</v>
      </c>
      <c r="H8" s="187"/>
      <c r="I8" s="188"/>
      <c r="J8" s="1" t="s">
        <v>27</v>
      </c>
      <c r="K8" s="183" t="s">
        <v>88</v>
      </c>
      <c r="L8" s="184"/>
      <c r="M8" s="184"/>
      <c r="N8" s="184"/>
      <c r="O8" s="185"/>
      <c r="Q8" s="145" t="s">
        <v>16</v>
      </c>
      <c r="R8" s="147"/>
    </row>
    <row r="9" spans="1:18" ht="17.25" thickBot="1">
      <c r="A9" s="1" t="s">
        <v>28</v>
      </c>
      <c r="B9" s="183"/>
      <c r="C9" s="184"/>
      <c r="D9" s="184"/>
      <c r="E9" s="184"/>
      <c r="F9" s="185"/>
      <c r="G9" s="17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75"/>
      <c r="I9" s="176"/>
      <c r="J9" s="1" t="s">
        <v>28</v>
      </c>
      <c r="K9" s="183"/>
      <c r="L9" s="184"/>
      <c r="M9" s="184"/>
      <c r="N9" s="184"/>
      <c r="O9" s="185"/>
      <c r="Q9" s="18" t="s">
        <v>2</v>
      </c>
      <c r="R9" s="51">
        <v>10</v>
      </c>
    </row>
    <row r="10" spans="1:18">
      <c r="A10" s="1" t="s">
        <v>29</v>
      </c>
      <c r="B10" s="183"/>
      <c r="C10" s="184"/>
      <c r="D10" s="184"/>
      <c r="E10" s="184"/>
      <c r="F10" s="185"/>
      <c r="G10" s="186" t="s">
        <v>81</v>
      </c>
      <c r="H10" s="187"/>
      <c r="I10" s="188"/>
      <c r="J10" s="1" t="s">
        <v>29</v>
      </c>
      <c r="K10" s="183"/>
      <c r="L10" s="184"/>
      <c r="M10" s="184"/>
      <c r="N10" s="184"/>
      <c r="O10" s="185"/>
      <c r="Q10" s="18" t="s">
        <v>3</v>
      </c>
      <c r="R10" s="51">
        <v>100</v>
      </c>
    </row>
    <row r="11" spans="1:18" ht="17.25" thickBot="1">
      <c r="A11" s="2" t="s">
        <v>21</v>
      </c>
      <c r="B11" s="171"/>
      <c r="C11" s="172"/>
      <c r="D11" s="172"/>
      <c r="E11" s="172"/>
      <c r="F11" s="173"/>
      <c r="G11" s="17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175"/>
      <c r="I11" s="176"/>
      <c r="J11" s="2" t="s">
        <v>21</v>
      </c>
      <c r="K11" s="171"/>
      <c r="L11" s="172"/>
      <c r="M11" s="172"/>
      <c r="N11" s="172"/>
      <c r="O11" s="173"/>
      <c r="Q11" s="83" t="s">
        <v>17</v>
      </c>
      <c r="R11" s="52">
        <v>1000</v>
      </c>
    </row>
    <row r="12" spans="1:18" ht="17.25" thickBot="1"/>
    <row r="13" spans="1:18" ht="17.25" customHeight="1" thickBot="1">
      <c r="A13" s="145" t="s">
        <v>87</v>
      </c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Q13" s="177"/>
      <c r="R13" s="178"/>
    </row>
    <row r="14" spans="1:18" ht="17.25" customHeight="1" thickBot="1">
      <c r="A14" s="82" t="s">
        <v>236</v>
      </c>
      <c r="B14" s="145" t="s">
        <v>235</v>
      </c>
      <c r="C14" s="147"/>
      <c r="D14" s="145" t="s">
        <v>67</v>
      </c>
      <c r="E14" s="146"/>
      <c r="F14" s="147"/>
      <c r="G14" s="159">
        <f>_xlfn.IFNA(VLOOKUP(B14, 현재가테이블!$B$1:$D$200, 2, FALSE), "-")</f>
        <v>81224000</v>
      </c>
      <c r="H14" s="160"/>
      <c r="I14" s="161"/>
      <c r="J14" s="145" t="s">
        <v>69</v>
      </c>
      <c r="K14" s="146"/>
      <c r="L14" s="147"/>
      <c r="M14" s="162">
        <f>_xlfn.IFNA(VLOOKUP(B14, 현재가테이블!$B$1:$D$200, 3, FALSE), "-")</f>
        <v>3.8962367900000003E-2</v>
      </c>
      <c r="N14" s="163"/>
      <c r="O14" s="164"/>
      <c r="Q14" s="179"/>
      <c r="R14" s="180"/>
    </row>
    <row r="15" spans="1:18" ht="17.25" customHeight="1" thickBot="1">
      <c r="A15" s="152" t="s">
        <v>18</v>
      </c>
      <c r="B15" s="153" t="s">
        <v>54</v>
      </c>
      <c r="C15" s="154"/>
      <c r="D15" s="181" t="s">
        <v>20</v>
      </c>
      <c r="E15" s="158"/>
      <c r="F15" s="182"/>
      <c r="G15" s="181" t="s">
        <v>15</v>
      </c>
      <c r="H15" s="158"/>
      <c r="I15" s="182"/>
      <c r="J15" s="158" t="s">
        <v>34</v>
      </c>
      <c r="K15" s="158"/>
      <c r="L15" s="158"/>
      <c r="M15" s="181" t="s">
        <v>54</v>
      </c>
      <c r="N15" s="158"/>
      <c r="O15" s="182"/>
      <c r="Q15" s="167"/>
      <c r="R15" s="168"/>
    </row>
    <row r="16" spans="1:18" ht="17.25" customHeight="1" thickBot="1">
      <c r="A16" s="1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167"/>
      <c r="R16" s="168"/>
    </row>
    <row r="17" spans="1:18" ht="17.25" customHeight="1">
      <c r="A17" s="39" t="s">
        <v>111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165"/>
      <c r="R17" s="166"/>
    </row>
    <row r="18" spans="1:18" ht="17.25" customHeight="1">
      <c r="A18" s="40" t="s">
        <v>220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165"/>
      <c r="R18" s="166"/>
    </row>
    <row r="19" spans="1:18" ht="17.25" customHeight="1">
      <c r="A19" s="40" t="s">
        <v>136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165"/>
      <c r="R19" s="166"/>
    </row>
    <row r="20" spans="1:18" ht="17.25" customHeight="1">
      <c r="A20" s="40" t="s">
        <v>124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165"/>
      <c r="R20" s="166"/>
    </row>
    <row r="21" spans="1:18" ht="17.25" customHeight="1">
      <c r="A21" s="41" t="s">
        <v>261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165"/>
      <c r="R21" s="166"/>
    </row>
    <row r="22" spans="1:18" ht="17.25" customHeight="1">
      <c r="A22" s="40" t="s">
        <v>177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165"/>
      <c r="R22" s="166"/>
    </row>
    <row r="23" spans="1:18" ht="17.25" customHeight="1">
      <c r="A23" s="40" t="s">
        <v>174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165"/>
      <c r="R23" s="166"/>
    </row>
    <row r="24" spans="1:18" ht="17.25" customHeight="1">
      <c r="A24" s="40" t="s">
        <v>175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165"/>
      <c r="R24" s="166"/>
    </row>
    <row r="25" spans="1:18" ht="17.25" customHeight="1">
      <c r="A25" s="40" t="s">
        <v>221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167"/>
      <c r="R25" s="168"/>
    </row>
    <row r="26" spans="1:18" ht="17.25" customHeight="1" thickBot="1">
      <c r="A26" s="42" t="s">
        <v>243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167"/>
      <c r="R26" s="168"/>
    </row>
    <row r="27" spans="1:18" ht="17.25" customHeight="1" thickBot="1">
      <c r="A27" s="57" t="s">
        <v>32</v>
      </c>
      <c r="B27" s="143">
        <v>100000</v>
      </c>
      <c r="C27" s="144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169"/>
      <c r="R27" s="17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5" t="s">
        <v>83</v>
      </c>
      <c r="B30" s="146"/>
      <c r="C30" s="146"/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7"/>
      <c r="Q30" s="148"/>
      <c r="R30" s="149"/>
    </row>
    <row r="31" spans="1:18" ht="17.25" customHeight="1" thickBot="1">
      <c r="A31" s="82" t="s">
        <v>236</v>
      </c>
      <c r="B31" s="145" t="s">
        <v>14</v>
      </c>
      <c r="C31" s="147"/>
      <c r="D31" s="145" t="s">
        <v>67</v>
      </c>
      <c r="E31" s="146"/>
      <c r="F31" s="147"/>
      <c r="G31" s="159">
        <f>_xlfn.IFNA(VLOOKUP(B31, 현재가테이블!$B$1:$D$200, 2, FALSE), "-")</f>
        <v>75.099999999999994</v>
      </c>
      <c r="H31" s="160"/>
      <c r="I31" s="161"/>
      <c r="J31" s="145" t="s">
        <v>69</v>
      </c>
      <c r="K31" s="146"/>
      <c r="L31" s="147"/>
      <c r="M31" s="162">
        <f>_xlfn.IFNA(VLOOKUP(B31, 현재가테이블!$B$1:$D$200, 3, FALSE), "-")</f>
        <v>-7.3982737399999998E-2</v>
      </c>
      <c r="N31" s="163"/>
      <c r="O31" s="164"/>
      <c r="Q31" s="150"/>
      <c r="R31" s="151"/>
    </row>
    <row r="32" spans="1:18" ht="17.25" customHeight="1" thickBot="1">
      <c r="A32" s="152" t="s">
        <v>18</v>
      </c>
      <c r="B32" s="153" t="s">
        <v>54</v>
      </c>
      <c r="C32" s="154"/>
      <c r="D32" s="155" t="s">
        <v>20</v>
      </c>
      <c r="E32" s="156"/>
      <c r="F32" s="157"/>
      <c r="G32" s="155" t="s">
        <v>15</v>
      </c>
      <c r="H32" s="156"/>
      <c r="I32" s="157"/>
      <c r="J32" s="158" t="s">
        <v>34</v>
      </c>
      <c r="K32" s="158"/>
      <c r="L32" s="158"/>
      <c r="M32" s="155" t="s">
        <v>54</v>
      </c>
      <c r="N32" s="156"/>
      <c r="O32" s="157"/>
      <c r="Q32" s="139"/>
      <c r="R32" s="140"/>
    </row>
    <row r="33" spans="1:18" ht="17.25" customHeight="1" thickBot="1">
      <c r="A33" s="1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139"/>
      <c r="R33" s="140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137"/>
      <c r="R34" s="138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37"/>
      <c r="R35" s="138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37"/>
      <c r="R36" s="138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37"/>
      <c r="R37" s="138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37"/>
      <c r="R38" s="138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37"/>
      <c r="R39" s="138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37"/>
      <c r="R40" s="138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37"/>
      <c r="R41" s="13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39"/>
      <c r="R42" s="14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39"/>
      <c r="R43" s="140"/>
    </row>
    <row r="44" spans="1:18" ht="17.25" customHeight="1" thickBot="1">
      <c r="A44" s="57" t="s">
        <v>32</v>
      </c>
      <c r="B44" s="143">
        <v>100000</v>
      </c>
      <c r="C44" s="144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141"/>
      <c r="R44" s="14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5" t="s">
        <v>84</v>
      </c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7"/>
      <c r="Q47" s="148"/>
      <c r="R47" s="149"/>
    </row>
    <row r="48" spans="1:18" ht="17.25" customHeight="1" thickBot="1">
      <c r="A48" s="82" t="s">
        <v>236</v>
      </c>
      <c r="B48" s="145" t="s">
        <v>235</v>
      </c>
      <c r="C48" s="147"/>
      <c r="D48" s="145" t="s">
        <v>67</v>
      </c>
      <c r="E48" s="146"/>
      <c r="F48" s="147"/>
      <c r="G48" s="159">
        <f>_xlfn.IFNA(VLOOKUP(B48, 현재가테이블!$B$1:$D$200, 2, FALSE), "-")</f>
        <v>81224000</v>
      </c>
      <c r="H48" s="160"/>
      <c r="I48" s="161"/>
      <c r="J48" s="145" t="s">
        <v>69</v>
      </c>
      <c r="K48" s="146"/>
      <c r="L48" s="147"/>
      <c r="M48" s="162">
        <f>_xlfn.IFNA(VLOOKUP(B48, 현재가테이블!$B$1:$D$200, 3, FALSE), "-")</f>
        <v>3.8962367900000003E-2</v>
      </c>
      <c r="N48" s="163"/>
      <c r="O48" s="164"/>
      <c r="Q48" s="150"/>
      <c r="R48" s="151"/>
    </row>
    <row r="49" spans="1:18" ht="17.25" customHeight="1" thickBot="1">
      <c r="A49" s="152" t="s">
        <v>18</v>
      </c>
      <c r="B49" s="153" t="s">
        <v>54</v>
      </c>
      <c r="C49" s="154"/>
      <c r="D49" s="155" t="s">
        <v>20</v>
      </c>
      <c r="E49" s="156"/>
      <c r="F49" s="157"/>
      <c r="G49" s="155" t="s">
        <v>15</v>
      </c>
      <c r="H49" s="156"/>
      <c r="I49" s="157"/>
      <c r="J49" s="158" t="s">
        <v>34</v>
      </c>
      <c r="K49" s="158"/>
      <c r="L49" s="158"/>
      <c r="M49" s="155" t="s">
        <v>54</v>
      </c>
      <c r="N49" s="156"/>
      <c r="O49" s="157"/>
      <c r="Q49" s="139"/>
      <c r="R49" s="140"/>
    </row>
    <row r="50" spans="1:18" ht="17.25" customHeight="1" thickBot="1">
      <c r="A50" s="1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139"/>
      <c r="R50" s="140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37"/>
      <c r="R51" s="138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37"/>
      <c r="R52" s="138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37"/>
      <c r="R53" s="138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37"/>
      <c r="R54" s="138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37"/>
      <c r="R55" s="138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37"/>
      <c r="R56" s="13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37"/>
      <c r="R57" s="13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37"/>
      <c r="R58" s="13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39"/>
      <c r="R59" s="14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39"/>
      <c r="R60" s="140"/>
    </row>
    <row r="61" spans="1:18" ht="17.25" customHeight="1" thickBot="1">
      <c r="A61" s="57" t="s">
        <v>32</v>
      </c>
      <c r="B61" s="143">
        <v>100000</v>
      </c>
      <c r="C61" s="144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41"/>
      <c r="R61" s="142"/>
    </row>
    <row r="62" spans="1:18" ht="17.25" customHeight="1"/>
    <row r="63" spans="1:18" ht="17.25" customHeight="1" thickBot="1"/>
    <row r="64" spans="1:18" ht="17.25" customHeight="1" thickBot="1">
      <c r="A64" s="145" t="s">
        <v>85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7"/>
      <c r="Q64" s="148"/>
      <c r="R64" s="149"/>
    </row>
    <row r="65" spans="1:18" ht="17.25" customHeight="1" thickBot="1">
      <c r="A65" s="82" t="s">
        <v>236</v>
      </c>
      <c r="B65" s="145" t="s">
        <v>243</v>
      </c>
      <c r="C65" s="147"/>
      <c r="D65" s="145" t="s">
        <v>67</v>
      </c>
      <c r="E65" s="146"/>
      <c r="F65" s="147"/>
      <c r="G65" s="159">
        <f>_xlfn.IFNA(VLOOKUP(B65, 현재가테이블!$B$1:$D$200, 2, FALSE), "-")</f>
        <v>175</v>
      </c>
      <c r="H65" s="160"/>
      <c r="I65" s="161"/>
      <c r="J65" s="145" t="s">
        <v>69</v>
      </c>
      <c r="K65" s="146"/>
      <c r="L65" s="147"/>
      <c r="M65" s="162">
        <f>_xlfn.IFNA(VLOOKUP(B65, 현재가테이블!$B$1:$D$200, 3, FALSE), "-")</f>
        <v>3.5502958600000002E-2</v>
      </c>
      <c r="N65" s="163"/>
      <c r="O65" s="164"/>
      <c r="Q65" s="150"/>
      <c r="R65" s="151"/>
    </row>
    <row r="66" spans="1:18" ht="17.25" customHeight="1" thickBot="1">
      <c r="A66" s="152" t="s">
        <v>18</v>
      </c>
      <c r="B66" s="153" t="s">
        <v>54</v>
      </c>
      <c r="C66" s="154"/>
      <c r="D66" s="155" t="s">
        <v>20</v>
      </c>
      <c r="E66" s="156"/>
      <c r="F66" s="157"/>
      <c r="G66" s="155" t="s">
        <v>15</v>
      </c>
      <c r="H66" s="156"/>
      <c r="I66" s="157"/>
      <c r="J66" s="158" t="s">
        <v>34</v>
      </c>
      <c r="K66" s="158"/>
      <c r="L66" s="158"/>
      <c r="M66" s="155" t="s">
        <v>54</v>
      </c>
      <c r="N66" s="156"/>
      <c r="O66" s="157"/>
      <c r="Q66" s="139"/>
      <c r="R66" s="140"/>
    </row>
    <row r="67" spans="1:18" ht="17.25" customHeight="1" thickBot="1">
      <c r="A67" s="1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139"/>
      <c r="R67" s="140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137"/>
      <c r="R68" s="138"/>
    </row>
    <row r="69" spans="1:18" ht="17.25" customHeight="1">
      <c r="A69" s="11" t="s">
        <v>264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137"/>
      <c r="R69" s="138"/>
    </row>
    <row r="70" spans="1:18" ht="17.25" customHeight="1">
      <c r="A70" s="11" t="s">
        <v>243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137"/>
      <c r="R70" s="138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37"/>
      <c r="R71" s="138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37"/>
      <c r="R72" s="138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37"/>
      <c r="R73" s="138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37"/>
      <c r="R74" s="138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37"/>
      <c r="R75" s="138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39"/>
      <c r="R76" s="140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39"/>
      <c r="R77" s="140"/>
    </row>
    <row r="78" spans="1:18" ht="17.25" customHeight="1" thickBot="1">
      <c r="A78" s="57" t="s">
        <v>32</v>
      </c>
      <c r="B78" s="143">
        <v>100000</v>
      </c>
      <c r="C78" s="144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141"/>
      <c r="R78" s="14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5" t="s">
        <v>86</v>
      </c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7"/>
      <c r="Q81" s="148"/>
      <c r="R81" s="149"/>
    </row>
    <row r="82" spans="1:18" ht="17.25" customHeight="1" thickBot="1">
      <c r="A82" s="82" t="s">
        <v>236</v>
      </c>
      <c r="B82" s="145" t="s">
        <v>235</v>
      </c>
      <c r="C82" s="147"/>
      <c r="D82" s="145" t="s">
        <v>67</v>
      </c>
      <c r="E82" s="146"/>
      <c r="F82" s="147"/>
      <c r="G82" s="159">
        <f>_xlfn.IFNA(VLOOKUP(B82, 현재가테이블!$B$1:$D$200, 2, FALSE), "-")</f>
        <v>81224000</v>
      </c>
      <c r="H82" s="160"/>
      <c r="I82" s="161"/>
      <c r="J82" s="145" t="s">
        <v>69</v>
      </c>
      <c r="K82" s="146"/>
      <c r="L82" s="147"/>
      <c r="M82" s="162">
        <f>_xlfn.IFNA(VLOOKUP(B82, 현재가테이블!$B$1:$D$200, 3, FALSE), "-")</f>
        <v>3.8962367900000003E-2</v>
      </c>
      <c r="N82" s="163"/>
      <c r="O82" s="164"/>
      <c r="Q82" s="150"/>
      <c r="R82" s="151"/>
    </row>
    <row r="83" spans="1:18" ht="17.25" customHeight="1" thickBot="1">
      <c r="A83" s="152" t="s">
        <v>18</v>
      </c>
      <c r="B83" s="153" t="s">
        <v>54</v>
      </c>
      <c r="C83" s="154"/>
      <c r="D83" s="155" t="s">
        <v>20</v>
      </c>
      <c r="E83" s="156"/>
      <c r="F83" s="157"/>
      <c r="G83" s="155" t="s">
        <v>15</v>
      </c>
      <c r="H83" s="156"/>
      <c r="I83" s="157"/>
      <c r="J83" s="158" t="s">
        <v>34</v>
      </c>
      <c r="K83" s="158"/>
      <c r="L83" s="158"/>
      <c r="M83" s="155" t="s">
        <v>54</v>
      </c>
      <c r="N83" s="156"/>
      <c r="O83" s="157"/>
      <c r="Q83" s="139"/>
      <c r="R83" s="140"/>
    </row>
    <row r="84" spans="1:18" ht="17.25" customHeight="1" thickBot="1">
      <c r="A84" s="1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139"/>
      <c r="R84" s="140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37"/>
      <c r="R85" s="138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37"/>
      <c r="R86" s="138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37"/>
      <c r="R87" s="138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37"/>
      <c r="R88" s="13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37"/>
      <c r="R89" s="138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37"/>
      <c r="R90" s="138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37"/>
      <c r="R91" s="138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37"/>
      <c r="R92" s="138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39"/>
      <c r="R93" s="14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39"/>
      <c r="R94" s="140"/>
    </row>
    <row r="95" spans="1:18" ht="17.25" customHeight="1" thickBot="1">
      <c r="A95" s="57" t="s">
        <v>32</v>
      </c>
      <c r="B95" s="143">
        <v>100000</v>
      </c>
      <c r="C95" s="144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41"/>
      <c r="R95" s="142"/>
    </row>
    <row r="96" spans="1:18" ht="17.25" customHeight="1"/>
    <row r="97" spans="1:18" ht="17.25" customHeight="1" thickBot="1"/>
    <row r="98" spans="1:18" ht="17.25" customHeight="1" thickBot="1">
      <c r="A98" s="145" t="s">
        <v>81</v>
      </c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7"/>
      <c r="Q98" s="148"/>
      <c r="R98" s="149"/>
    </row>
    <row r="99" spans="1:18" ht="17.25" customHeight="1" thickBot="1">
      <c r="A99" s="82" t="s">
        <v>236</v>
      </c>
      <c r="B99" s="145" t="s">
        <v>264</v>
      </c>
      <c r="C99" s="147"/>
      <c r="D99" s="145" t="s">
        <v>67</v>
      </c>
      <c r="E99" s="146"/>
      <c r="F99" s="147"/>
      <c r="G99" s="159">
        <f>_xlfn.IFNA(VLOOKUP(B99, 현재가테이블!$B$1:$D$200, 2, FALSE), "-")</f>
        <v>541</v>
      </c>
      <c r="H99" s="160"/>
      <c r="I99" s="161"/>
      <c r="J99" s="145" t="s">
        <v>69</v>
      </c>
      <c r="K99" s="146"/>
      <c r="L99" s="147"/>
      <c r="M99" s="162">
        <f>_xlfn.IFNA(VLOOKUP(B99, 현재가테이블!$B$1:$D$200, 3, FALSE), "-")</f>
        <v>-1.6363636399999999E-2</v>
      </c>
      <c r="N99" s="163"/>
      <c r="O99" s="164"/>
      <c r="Q99" s="150"/>
      <c r="R99" s="151"/>
    </row>
    <row r="100" spans="1:18" ht="17.25" customHeight="1" thickBot="1">
      <c r="A100" s="152" t="s">
        <v>18</v>
      </c>
      <c r="B100" s="153" t="s">
        <v>54</v>
      </c>
      <c r="C100" s="154"/>
      <c r="D100" s="155" t="s">
        <v>20</v>
      </c>
      <c r="E100" s="156"/>
      <c r="F100" s="157"/>
      <c r="G100" s="155" t="s">
        <v>15</v>
      </c>
      <c r="H100" s="156"/>
      <c r="I100" s="157"/>
      <c r="J100" s="158" t="s">
        <v>34</v>
      </c>
      <c r="K100" s="158"/>
      <c r="L100" s="158"/>
      <c r="M100" s="155" t="s">
        <v>54</v>
      </c>
      <c r="N100" s="156"/>
      <c r="O100" s="157"/>
      <c r="Q100" s="139"/>
      <c r="R100" s="140"/>
    </row>
    <row r="101" spans="1:18" ht="17.25" customHeight="1" thickBot="1">
      <c r="A101" s="1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139"/>
      <c r="R101" s="140"/>
    </row>
    <row r="102" spans="1:18" ht="17.25" customHeight="1">
      <c r="A102" s="9" t="s">
        <v>247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137"/>
      <c r="R102" s="138"/>
    </row>
    <row r="103" spans="1:18" ht="17.25" customHeight="1">
      <c r="A103" s="11" t="s">
        <v>265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137"/>
      <c r="R103" s="138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137"/>
      <c r="R104" s="138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137"/>
      <c r="R105" s="138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137"/>
      <c r="R106" s="138"/>
    </row>
    <row r="107" spans="1:18" ht="17.25" customHeight="1">
      <c r="A107" s="11" t="s">
        <v>266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137"/>
      <c r="R107" s="138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137"/>
      <c r="R108" s="138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137"/>
      <c r="R109" s="138"/>
    </row>
    <row r="110" spans="1:18" ht="17.25" customHeight="1">
      <c r="A110" s="11" t="s">
        <v>267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139"/>
      <c r="R110" s="140"/>
    </row>
    <row r="111" spans="1:18" ht="17.25" customHeight="1" thickBot="1">
      <c r="A111" s="13" t="s">
        <v>264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139"/>
      <c r="R111" s="140"/>
    </row>
    <row r="112" spans="1:18" ht="17.25" customHeight="1" thickBot="1">
      <c r="A112" s="57" t="s">
        <v>32</v>
      </c>
      <c r="B112" s="143">
        <v>100000</v>
      </c>
      <c r="C112" s="144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141"/>
      <c r="R112" s="142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685" priority="89">
      <formula>$E$27&gt;0</formula>
    </cfRule>
    <cfRule type="expression" dxfId="684" priority="90">
      <formula>$E$27&lt;0</formula>
    </cfRule>
  </conditionalFormatting>
  <conditionalFormatting sqref="G15:I16 H27:I27">
    <cfRule type="expression" dxfId="683" priority="87">
      <formula>$H$27&gt;0</formula>
    </cfRule>
    <cfRule type="expression" dxfId="682" priority="88">
      <formula>$H$27&lt;0</formula>
    </cfRule>
  </conditionalFormatting>
  <conditionalFormatting sqref="J15:L16 K27:L27">
    <cfRule type="expression" dxfId="681" priority="85">
      <formula>$K$27&gt;0</formula>
    </cfRule>
    <cfRule type="expression" dxfId="680" priority="86">
      <formula>$K$27&lt;0</formula>
    </cfRule>
  </conditionalFormatting>
  <conditionalFormatting sqref="M15:O16 N27:O27">
    <cfRule type="expression" dxfId="679" priority="83">
      <formula>$N$27&gt;0</formula>
    </cfRule>
    <cfRule type="expression" dxfId="678" priority="84">
      <formula>$N$27&lt;0</formula>
    </cfRule>
  </conditionalFormatting>
  <conditionalFormatting sqref="A17:O26 A34:O43">
    <cfRule type="expression" dxfId="677" priority="91">
      <formula>AND($N17 &gt; 0, ISNUMBER($N17))</formula>
    </cfRule>
    <cfRule type="expression" dxfId="676" priority="92">
      <formula>AND($N17 &lt; 0, ISNUMBER($N17))</formula>
    </cfRule>
    <cfRule type="expression" dxfId="675" priority="93">
      <formula>AND($K17 &gt; 0, ISNUMBER($K17))</formula>
    </cfRule>
    <cfRule type="expression" dxfId="674" priority="94">
      <formula>AND($K17 &lt; 0, ISNUMBER($K17))</formula>
    </cfRule>
    <cfRule type="expression" dxfId="673" priority="95">
      <formula>AND($H17 &gt; 0, ISNUMBER($H17))</formula>
    </cfRule>
    <cfRule type="expression" dxfId="672" priority="96">
      <formula>AND($H17 &lt; 0, ISNUMBER($H17))</formula>
    </cfRule>
    <cfRule type="expression" dxfId="671" priority="97">
      <formula>AND($E17 &gt; 0, ISNUMBER($E17))</formula>
    </cfRule>
    <cfRule type="expression" dxfId="670" priority="98">
      <formula>AND($E17 &lt; 0, ISNUMBER($E17))</formula>
    </cfRule>
  </conditionalFormatting>
  <conditionalFormatting sqref="D32:F33 E44:F44">
    <cfRule type="expression" dxfId="669" priority="81">
      <formula>$E$44&gt;0</formula>
    </cfRule>
    <cfRule type="expression" dxfId="668" priority="82">
      <formula>$E$44&lt;0</formula>
    </cfRule>
  </conditionalFormatting>
  <conditionalFormatting sqref="G32:I33 H44:I44">
    <cfRule type="expression" dxfId="667" priority="79">
      <formula>$H$44&gt;0</formula>
    </cfRule>
    <cfRule type="expression" dxfId="666" priority="80">
      <formula>$H$44&lt;0</formula>
    </cfRule>
  </conditionalFormatting>
  <conditionalFormatting sqref="J32:L33 K44:L44">
    <cfRule type="expression" dxfId="665" priority="77">
      <formula>$K$44&gt;0</formula>
    </cfRule>
    <cfRule type="expression" dxfId="664" priority="78">
      <formula>$K$44&lt;0</formula>
    </cfRule>
  </conditionalFormatting>
  <conditionalFormatting sqref="M32:O33 N44:O44">
    <cfRule type="expression" dxfId="663" priority="75">
      <formula>$N$44&gt;0</formula>
    </cfRule>
    <cfRule type="expression" dxfId="662" priority="76">
      <formula>$N$44&lt;0</formula>
    </cfRule>
  </conditionalFormatting>
  <conditionalFormatting sqref="A51:O60">
    <cfRule type="expression" dxfId="661" priority="67">
      <formula>AND($N51 &gt; 0, ISNUMBER($N51))</formula>
    </cfRule>
    <cfRule type="expression" dxfId="660" priority="68">
      <formula>AND($N51 &lt; 0, ISNUMBER($N51))</formula>
    </cfRule>
    <cfRule type="expression" dxfId="659" priority="69">
      <formula>AND($K51 &gt; 0, ISNUMBER($K51))</formula>
    </cfRule>
    <cfRule type="expression" dxfId="658" priority="70">
      <formula>AND($K51 &lt; 0, ISNUMBER($K51))</formula>
    </cfRule>
    <cfRule type="expression" dxfId="657" priority="71">
      <formula>AND($H51 &gt; 0, ISNUMBER($H51))</formula>
    </cfRule>
    <cfRule type="expression" dxfId="656" priority="72">
      <formula>AND($H51 &lt; 0, ISNUMBER($H51))</formula>
    </cfRule>
    <cfRule type="expression" dxfId="655" priority="73">
      <formula>AND($E51 &gt; 0, ISNUMBER($E51))</formula>
    </cfRule>
    <cfRule type="expression" dxfId="654" priority="74">
      <formula>AND($E51 &lt; 0, ISNUMBER($E51))</formula>
    </cfRule>
  </conditionalFormatting>
  <conditionalFormatting sqref="D49:F50 E61:F61">
    <cfRule type="expression" dxfId="653" priority="65">
      <formula>$E$61&gt;0</formula>
    </cfRule>
    <cfRule type="expression" dxfId="652" priority="66">
      <formula>$E$61&lt;0</formula>
    </cfRule>
  </conditionalFormatting>
  <conditionalFormatting sqref="G49:I50 H61:I61">
    <cfRule type="expression" dxfId="651" priority="63">
      <formula>$H$61&gt;0</formula>
    </cfRule>
    <cfRule type="expression" dxfId="650" priority="64">
      <formula>$H$61&lt;0</formula>
    </cfRule>
  </conditionalFormatting>
  <conditionalFormatting sqref="J49:L50 K61:L61">
    <cfRule type="expression" dxfId="649" priority="61">
      <formula>$K$61&gt;0</formula>
    </cfRule>
    <cfRule type="expression" dxfId="648" priority="62">
      <formula>$K$61&lt;0</formula>
    </cfRule>
  </conditionalFormatting>
  <conditionalFormatting sqref="M49:O50 N61:O61">
    <cfRule type="expression" dxfId="647" priority="59">
      <formula>$N$61&gt;0</formula>
    </cfRule>
    <cfRule type="expression" dxfId="646" priority="60">
      <formula>$N$61&lt;0</formula>
    </cfRule>
  </conditionalFormatting>
  <conditionalFormatting sqref="A68:O77">
    <cfRule type="expression" dxfId="645" priority="51">
      <formula>AND($N68 &gt; 0, ISNUMBER($N68))</formula>
    </cfRule>
    <cfRule type="expression" dxfId="644" priority="52">
      <formula>AND($N68 &lt; 0, ISNUMBER($N68))</formula>
    </cfRule>
    <cfRule type="expression" dxfId="643" priority="53">
      <formula>AND($K68 &gt; 0, ISNUMBER($K68))</formula>
    </cfRule>
    <cfRule type="expression" dxfId="642" priority="54">
      <formula>AND($K68 &lt; 0, ISNUMBER($K68))</formula>
    </cfRule>
    <cfRule type="expression" dxfId="641" priority="55">
      <formula>AND($H68 &gt; 0, ISNUMBER($H68))</formula>
    </cfRule>
    <cfRule type="expression" dxfId="640" priority="56">
      <formula>AND($H68 &lt; 0, ISNUMBER($H68))</formula>
    </cfRule>
    <cfRule type="expression" dxfId="639" priority="57">
      <formula>AND($E68 &gt; 0, ISNUMBER($E68))</formula>
    </cfRule>
    <cfRule type="expression" dxfId="638" priority="58">
      <formula>AND($E68 &lt; 0, ISNUMBER($E68))</formula>
    </cfRule>
  </conditionalFormatting>
  <conditionalFormatting sqref="D66:F67 E78:F78">
    <cfRule type="expression" dxfId="637" priority="49">
      <formula>$E$78&gt;0</formula>
    </cfRule>
    <cfRule type="expression" dxfId="636" priority="50">
      <formula>$E$78&lt;0</formula>
    </cfRule>
  </conditionalFormatting>
  <conditionalFormatting sqref="G66:I67 H78:I78">
    <cfRule type="expression" dxfId="635" priority="47">
      <formula>$H$78&gt;0</formula>
    </cfRule>
    <cfRule type="expression" dxfId="634" priority="48">
      <formula>$H$78&lt;0</formula>
    </cfRule>
  </conditionalFormatting>
  <conditionalFormatting sqref="J66:L67 K78:L78">
    <cfRule type="expression" dxfId="633" priority="45">
      <formula>$K$78&gt;0</formula>
    </cfRule>
    <cfRule type="expression" dxfId="632" priority="46">
      <formula>$K$78&lt;0</formula>
    </cfRule>
  </conditionalFormatting>
  <conditionalFormatting sqref="M66:O67 N78:O78">
    <cfRule type="expression" dxfId="631" priority="43">
      <formula>$N$78&gt;0</formula>
    </cfRule>
    <cfRule type="expression" dxfId="630" priority="44">
      <formula>$N$78&lt;0</formula>
    </cfRule>
  </conditionalFormatting>
  <conditionalFormatting sqref="A85:O94">
    <cfRule type="expression" dxfId="629" priority="35">
      <formula>AND($N85 &gt; 0, ISNUMBER($N85))</formula>
    </cfRule>
    <cfRule type="expression" dxfId="628" priority="36">
      <formula>AND($N85 &lt; 0, ISNUMBER($N85))</formula>
    </cfRule>
    <cfRule type="expression" dxfId="627" priority="37">
      <formula>AND($K85 &gt; 0, ISNUMBER($K85))</formula>
    </cfRule>
    <cfRule type="expression" dxfId="626" priority="38">
      <formula>AND($K85 &lt; 0, ISNUMBER($K85))</formula>
    </cfRule>
    <cfRule type="expression" dxfId="625" priority="39">
      <formula>AND($H85 &gt; 0, ISNUMBER($H85))</formula>
    </cfRule>
    <cfRule type="expression" dxfId="624" priority="40">
      <formula>AND($H85 &lt; 0, ISNUMBER($H85))</formula>
    </cfRule>
    <cfRule type="expression" dxfId="623" priority="41">
      <formula>AND($E85 &gt; 0, ISNUMBER($E85))</formula>
    </cfRule>
    <cfRule type="expression" dxfId="622" priority="42">
      <formula>AND($E85 &lt; 0, ISNUMBER($E85))</formula>
    </cfRule>
  </conditionalFormatting>
  <conditionalFormatting sqref="D83:F84 E95:F95">
    <cfRule type="expression" dxfId="621" priority="33">
      <formula>$E$95&gt;0</formula>
    </cfRule>
    <cfRule type="expression" dxfId="620" priority="34">
      <formula>$E$95&lt;0</formula>
    </cfRule>
  </conditionalFormatting>
  <conditionalFormatting sqref="G83:I84 H95:I95">
    <cfRule type="expression" dxfId="619" priority="31">
      <formula>$H$95&gt;0</formula>
    </cfRule>
    <cfRule type="expression" dxfId="618" priority="32">
      <formula>$H$95&lt;0</formula>
    </cfRule>
  </conditionalFormatting>
  <conditionalFormatting sqref="J83:L84 K95:L95">
    <cfRule type="expression" dxfId="617" priority="29">
      <formula>$K$95&gt;0</formula>
    </cfRule>
    <cfRule type="expression" dxfId="616" priority="30">
      <formula>$K$95&lt;0</formula>
    </cfRule>
  </conditionalFormatting>
  <conditionalFormatting sqref="M83:O84 N95:O95">
    <cfRule type="expression" dxfId="615" priority="27">
      <formula>$N$95&gt;0</formula>
    </cfRule>
    <cfRule type="expression" dxfId="614" priority="28">
      <formula>$N$95&lt;0</formula>
    </cfRule>
  </conditionalFormatting>
  <conditionalFormatting sqref="A102:O111">
    <cfRule type="expression" dxfId="613" priority="19">
      <formula>AND($N102 &gt; 0, ISNUMBER($N102))</formula>
    </cfRule>
    <cfRule type="expression" dxfId="612" priority="20">
      <formula>AND($N102 &lt; 0, ISNUMBER($N102))</formula>
    </cfRule>
    <cfRule type="expression" dxfId="611" priority="21">
      <formula>AND($K102 &gt; 0, ISNUMBER($K102))</formula>
    </cfRule>
    <cfRule type="expression" dxfId="610" priority="22">
      <formula>AND($K102 &lt; 0, ISNUMBER($K102))</formula>
    </cfRule>
    <cfRule type="expression" dxfId="609" priority="23">
      <formula>AND($H102 &gt; 0, ISNUMBER($H102))</formula>
    </cfRule>
    <cfRule type="expression" dxfId="608" priority="24">
      <formula>AND($H102 &lt; 0, ISNUMBER($H102))</formula>
    </cfRule>
    <cfRule type="expression" dxfId="607" priority="25">
      <formula>AND($E102 &gt; 0, ISNUMBER($E102))</formula>
    </cfRule>
    <cfRule type="expression" dxfId="606" priority="26">
      <formula>AND($E102 &lt; 0, ISNUMBER($E102))</formula>
    </cfRule>
  </conditionalFormatting>
  <conditionalFormatting sqref="D100:F101 E112:F112">
    <cfRule type="expression" dxfId="605" priority="17">
      <formula>$E$112&gt;0</formula>
    </cfRule>
    <cfRule type="expression" dxfId="604" priority="18">
      <formula>$E$112&lt;0</formula>
    </cfRule>
  </conditionalFormatting>
  <conditionalFormatting sqref="G100:I101 H112:I112">
    <cfRule type="expression" dxfId="603" priority="15">
      <formula>$H$112&gt;0</formula>
    </cfRule>
    <cfRule type="expression" dxfId="602" priority="16">
      <formula>$H$112&lt;0</formula>
    </cfRule>
  </conditionalFormatting>
  <conditionalFormatting sqref="J100:L101 K112:L112">
    <cfRule type="expression" dxfId="601" priority="13">
      <formula>$K$112&gt;0</formula>
    </cfRule>
    <cfRule type="expression" dxfId="600" priority="14">
      <formula>$K$112&lt;0</formula>
    </cfRule>
  </conditionalFormatting>
  <conditionalFormatting sqref="M100:O101 N112:O112">
    <cfRule type="expression" dxfId="599" priority="11">
      <formula>$N$112&gt;0</formula>
    </cfRule>
    <cfRule type="expression" dxfId="598" priority="12">
      <formula>$N$112&lt;0</formula>
    </cfRule>
  </conditionalFormatting>
  <conditionalFormatting sqref="G2:I3">
    <cfRule type="expression" dxfId="59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9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9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9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9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9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9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9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8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8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85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45" t="s">
        <v>0</v>
      </c>
      <c r="B1" s="146"/>
      <c r="C1" s="146"/>
      <c r="D1" s="146"/>
      <c r="E1" s="146"/>
      <c r="F1" s="147"/>
      <c r="G1" s="189">
        <v>44294</v>
      </c>
      <c r="H1" s="190"/>
      <c r="I1" s="191"/>
      <c r="J1" s="145" t="s">
        <v>33</v>
      </c>
      <c r="K1" s="146"/>
      <c r="L1" s="146"/>
      <c r="M1" s="146"/>
      <c r="N1" s="146"/>
      <c r="O1" s="147"/>
      <c r="Q1" s="145" t="s">
        <v>1</v>
      </c>
      <c r="R1" s="147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86" t="s">
        <v>83</v>
      </c>
      <c r="H2" s="187"/>
      <c r="I2" s="188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83" t="s">
        <v>55</v>
      </c>
      <c r="C3" s="184"/>
      <c r="D3" s="184"/>
      <c r="E3" s="184"/>
      <c r="F3" s="185"/>
      <c r="G3" s="17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175"/>
      <c r="I3" s="176"/>
      <c r="J3" s="1" t="s">
        <v>23</v>
      </c>
      <c r="K3" s="183" t="s">
        <v>59</v>
      </c>
      <c r="L3" s="184"/>
      <c r="M3" s="184"/>
      <c r="N3" s="184"/>
      <c r="O3" s="18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3" t="s">
        <v>56</v>
      </c>
      <c r="C4" s="184"/>
      <c r="D4" s="184"/>
      <c r="E4" s="184"/>
      <c r="F4" s="185"/>
      <c r="G4" s="186" t="s">
        <v>84</v>
      </c>
      <c r="H4" s="187"/>
      <c r="I4" s="188"/>
      <c r="J4" s="1" t="s">
        <v>30</v>
      </c>
      <c r="K4" s="183" t="s">
        <v>60</v>
      </c>
      <c r="L4" s="184"/>
      <c r="M4" s="184"/>
      <c r="N4" s="184"/>
      <c r="O4" s="185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183" t="s">
        <v>57</v>
      </c>
      <c r="C5" s="184"/>
      <c r="D5" s="184"/>
      <c r="E5" s="184"/>
      <c r="F5" s="185"/>
      <c r="G5" s="17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175"/>
      <c r="I5" s="176"/>
      <c r="J5" s="1" t="s">
        <v>24</v>
      </c>
      <c r="K5" s="183" t="s">
        <v>62</v>
      </c>
      <c r="L5" s="184"/>
      <c r="M5" s="184"/>
      <c r="N5" s="184"/>
      <c r="O5" s="185"/>
    </row>
    <row r="6" spans="1:18">
      <c r="A6" s="1" t="s">
        <v>25</v>
      </c>
      <c r="B6" s="183" t="s">
        <v>58</v>
      </c>
      <c r="C6" s="184"/>
      <c r="D6" s="184"/>
      <c r="E6" s="184"/>
      <c r="F6" s="185"/>
      <c r="G6" s="186" t="s">
        <v>85</v>
      </c>
      <c r="H6" s="187"/>
      <c r="I6" s="188"/>
      <c r="J6" s="1" t="s">
        <v>25</v>
      </c>
      <c r="K6" s="183" t="s">
        <v>63</v>
      </c>
      <c r="L6" s="184"/>
      <c r="M6" s="184"/>
      <c r="N6" s="184"/>
      <c r="O6" s="185"/>
    </row>
    <row r="7" spans="1:18" ht="17.25" thickBot="1">
      <c r="A7" s="1" t="s">
        <v>26</v>
      </c>
      <c r="B7" s="183" t="s">
        <v>64</v>
      </c>
      <c r="C7" s="184"/>
      <c r="D7" s="184"/>
      <c r="E7" s="184"/>
      <c r="F7" s="185"/>
      <c r="G7" s="17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175"/>
      <c r="I7" s="176"/>
      <c r="J7" s="1" t="s">
        <v>26</v>
      </c>
      <c r="K7" s="183" t="s">
        <v>65</v>
      </c>
      <c r="L7" s="184"/>
      <c r="M7" s="184"/>
      <c r="N7" s="184"/>
      <c r="O7" s="185"/>
    </row>
    <row r="8" spans="1:18" ht="17.25" thickBot="1">
      <c r="A8" s="1" t="s">
        <v>27</v>
      </c>
      <c r="B8" s="183" t="s">
        <v>66</v>
      </c>
      <c r="C8" s="184"/>
      <c r="D8" s="184"/>
      <c r="E8" s="184"/>
      <c r="F8" s="185"/>
      <c r="G8" s="186" t="s">
        <v>86</v>
      </c>
      <c r="H8" s="187"/>
      <c r="I8" s="188"/>
      <c r="J8" s="1" t="s">
        <v>27</v>
      </c>
      <c r="K8" s="183" t="s">
        <v>88</v>
      </c>
      <c r="L8" s="184"/>
      <c r="M8" s="184"/>
      <c r="N8" s="184"/>
      <c r="O8" s="185"/>
      <c r="Q8" s="145" t="s">
        <v>16</v>
      </c>
      <c r="R8" s="147"/>
    </row>
    <row r="9" spans="1:18" ht="17.25" thickBot="1">
      <c r="A9" s="1" t="s">
        <v>28</v>
      </c>
      <c r="B9" s="183"/>
      <c r="C9" s="184"/>
      <c r="D9" s="184"/>
      <c r="E9" s="184"/>
      <c r="F9" s="185"/>
      <c r="G9" s="17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175"/>
      <c r="I9" s="176"/>
      <c r="J9" s="1" t="s">
        <v>28</v>
      </c>
      <c r="K9" s="183"/>
      <c r="L9" s="184"/>
      <c r="M9" s="184"/>
      <c r="N9" s="184"/>
      <c r="O9" s="185"/>
      <c r="Q9" s="18" t="s">
        <v>2</v>
      </c>
      <c r="R9" s="51">
        <v>10</v>
      </c>
    </row>
    <row r="10" spans="1:18">
      <c r="A10" s="1" t="s">
        <v>29</v>
      </c>
      <c r="B10" s="183"/>
      <c r="C10" s="184"/>
      <c r="D10" s="184"/>
      <c r="E10" s="184"/>
      <c r="F10" s="185"/>
      <c r="G10" s="186" t="s">
        <v>81</v>
      </c>
      <c r="H10" s="187"/>
      <c r="I10" s="188"/>
      <c r="J10" s="1" t="s">
        <v>29</v>
      </c>
      <c r="K10" s="183"/>
      <c r="L10" s="184"/>
      <c r="M10" s="184"/>
      <c r="N10" s="184"/>
      <c r="O10" s="185"/>
      <c r="Q10" s="18" t="s">
        <v>3</v>
      </c>
      <c r="R10" s="51">
        <v>100</v>
      </c>
    </row>
    <row r="11" spans="1:18" ht="17.25" thickBot="1">
      <c r="A11" s="2" t="s">
        <v>21</v>
      </c>
      <c r="B11" s="171"/>
      <c r="C11" s="172"/>
      <c r="D11" s="172"/>
      <c r="E11" s="172"/>
      <c r="F11" s="173"/>
      <c r="G11" s="17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175"/>
      <c r="I11" s="176"/>
      <c r="J11" s="2" t="s">
        <v>21</v>
      </c>
      <c r="K11" s="171"/>
      <c r="L11" s="172"/>
      <c r="M11" s="172"/>
      <c r="N11" s="172"/>
      <c r="O11" s="173"/>
      <c r="Q11" s="96" t="s">
        <v>17</v>
      </c>
      <c r="R11" s="52">
        <v>1000</v>
      </c>
    </row>
    <row r="12" spans="1:18" ht="17.25" thickBot="1"/>
    <row r="13" spans="1:18" ht="17.25" customHeight="1" thickBot="1">
      <c r="A13" s="145" t="s">
        <v>87</v>
      </c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Q13" s="177"/>
      <c r="R13" s="178"/>
    </row>
    <row r="14" spans="1:18" ht="17.25" customHeight="1" thickBot="1">
      <c r="A14" s="91" t="s">
        <v>236</v>
      </c>
      <c r="B14" s="145" t="s">
        <v>235</v>
      </c>
      <c r="C14" s="147"/>
      <c r="D14" s="145" t="s">
        <v>67</v>
      </c>
      <c r="E14" s="146"/>
      <c r="F14" s="147"/>
      <c r="G14" s="159">
        <f>_xlfn.IFNA(VLOOKUP(B14, 현재가테이블!$B$1:$D$200, 2, FALSE), "-")</f>
        <v>81224000</v>
      </c>
      <c r="H14" s="160"/>
      <c r="I14" s="161"/>
      <c r="J14" s="145" t="s">
        <v>69</v>
      </c>
      <c r="K14" s="146"/>
      <c r="L14" s="147"/>
      <c r="M14" s="162">
        <f>_xlfn.IFNA(VLOOKUP(B14, 현재가테이블!$B$1:$D$200, 3, FALSE), "-")</f>
        <v>3.8962367900000003E-2</v>
      </c>
      <c r="N14" s="163"/>
      <c r="O14" s="164"/>
      <c r="Q14" s="179"/>
      <c r="R14" s="180"/>
    </row>
    <row r="15" spans="1:18" ht="17.25" customHeight="1" thickBot="1">
      <c r="A15" s="152" t="s">
        <v>18</v>
      </c>
      <c r="B15" s="153" t="s">
        <v>54</v>
      </c>
      <c r="C15" s="154"/>
      <c r="D15" s="181" t="s">
        <v>20</v>
      </c>
      <c r="E15" s="158"/>
      <c r="F15" s="182"/>
      <c r="G15" s="181" t="s">
        <v>15</v>
      </c>
      <c r="H15" s="158"/>
      <c r="I15" s="182"/>
      <c r="J15" s="158" t="s">
        <v>34</v>
      </c>
      <c r="K15" s="158"/>
      <c r="L15" s="158"/>
      <c r="M15" s="181" t="s">
        <v>54</v>
      </c>
      <c r="N15" s="158"/>
      <c r="O15" s="182"/>
      <c r="Q15" s="167"/>
      <c r="R15" s="168"/>
    </row>
    <row r="16" spans="1:18" ht="17.25" customHeight="1" thickBot="1">
      <c r="A16" s="1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167"/>
      <c r="R16" s="168"/>
    </row>
    <row r="17" spans="1:18" ht="17.25" customHeight="1">
      <c r="A17" s="39" t="s">
        <v>201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165"/>
      <c r="R17" s="166"/>
    </row>
    <row r="18" spans="1:18" ht="17.25" customHeight="1">
      <c r="A18" s="40" t="s">
        <v>237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165"/>
      <c r="R18" s="166"/>
    </row>
    <row r="19" spans="1:18" ht="17.25" customHeight="1">
      <c r="A19" s="40" t="s">
        <v>111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165"/>
      <c r="R19" s="166"/>
    </row>
    <row r="20" spans="1:18" ht="17.25" customHeight="1">
      <c r="A20" s="40" t="s">
        <v>212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165"/>
      <c r="R20" s="166"/>
    </row>
    <row r="21" spans="1:18" ht="17.25" customHeight="1">
      <c r="A21" s="41" t="s">
        <v>220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165"/>
      <c r="R21" s="166"/>
    </row>
    <row r="22" spans="1:18" ht="17.25" customHeight="1">
      <c r="A22" s="40" t="s">
        <v>261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165"/>
      <c r="R22" s="166"/>
    </row>
    <row r="23" spans="1:18" ht="17.25" customHeight="1">
      <c r="A23" s="40" t="s">
        <v>173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165"/>
      <c r="R23" s="166"/>
    </row>
    <row r="24" spans="1:18" ht="17.25" customHeight="1">
      <c r="A24" s="40" t="s">
        <v>262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165"/>
      <c r="R24" s="166"/>
    </row>
    <row r="25" spans="1:18" ht="17.25" customHeight="1">
      <c r="A25" s="40" t="s">
        <v>164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167"/>
      <c r="R25" s="168"/>
    </row>
    <row r="26" spans="1:18" ht="17.25" customHeight="1" thickBot="1">
      <c r="A26" s="42" t="s">
        <v>258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167"/>
      <c r="R26" s="168"/>
    </row>
    <row r="27" spans="1:18" ht="17.25" customHeight="1" thickBot="1">
      <c r="A27" s="57" t="s">
        <v>32</v>
      </c>
      <c r="B27" s="143">
        <v>100000</v>
      </c>
      <c r="C27" s="144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169"/>
      <c r="R27" s="17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5" t="s">
        <v>83</v>
      </c>
      <c r="B30" s="146"/>
      <c r="C30" s="146"/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7"/>
      <c r="Q30" s="148"/>
      <c r="R30" s="149"/>
    </row>
    <row r="31" spans="1:18" ht="17.25" customHeight="1" thickBot="1">
      <c r="A31" s="91" t="s">
        <v>236</v>
      </c>
      <c r="B31" s="145" t="s">
        <v>235</v>
      </c>
      <c r="C31" s="147"/>
      <c r="D31" s="145" t="s">
        <v>67</v>
      </c>
      <c r="E31" s="146"/>
      <c r="F31" s="147"/>
      <c r="G31" s="159">
        <f>_xlfn.IFNA(VLOOKUP(B31, 현재가테이블!$B$1:$D$200, 2, FALSE), "-")</f>
        <v>81224000</v>
      </c>
      <c r="H31" s="160"/>
      <c r="I31" s="161"/>
      <c r="J31" s="145" t="s">
        <v>69</v>
      </c>
      <c r="K31" s="146"/>
      <c r="L31" s="147"/>
      <c r="M31" s="162">
        <f>_xlfn.IFNA(VLOOKUP(B31, 현재가테이블!$B$1:$D$200, 3, FALSE), "-")</f>
        <v>3.8962367900000003E-2</v>
      </c>
      <c r="N31" s="163"/>
      <c r="O31" s="164"/>
      <c r="Q31" s="150"/>
      <c r="R31" s="151"/>
    </row>
    <row r="32" spans="1:18" ht="17.25" customHeight="1" thickBot="1">
      <c r="A32" s="152" t="s">
        <v>18</v>
      </c>
      <c r="B32" s="153" t="s">
        <v>54</v>
      </c>
      <c r="C32" s="154"/>
      <c r="D32" s="155" t="s">
        <v>20</v>
      </c>
      <c r="E32" s="156"/>
      <c r="F32" s="157"/>
      <c r="G32" s="155" t="s">
        <v>15</v>
      </c>
      <c r="H32" s="156"/>
      <c r="I32" s="157"/>
      <c r="J32" s="158" t="s">
        <v>34</v>
      </c>
      <c r="K32" s="158"/>
      <c r="L32" s="158"/>
      <c r="M32" s="155" t="s">
        <v>54</v>
      </c>
      <c r="N32" s="156"/>
      <c r="O32" s="157"/>
      <c r="Q32" s="139"/>
      <c r="R32" s="140"/>
    </row>
    <row r="33" spans="1:18" ht="17.25" customHeight="1" thickBot="1">
      <c r="A33" s="1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139"/>
      <c r="R33" s="140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137"/>
      <c r="R34" s="138"/>
    </row>
    <row r="35" spans="1:18" ht="17.25" customHeight="1">
      <c r="A35" s="11" t="s">
        <v>199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137"/>
      <c r="R35" s="138"/>
    </row>
    <row r="36" spans="1:18" ht="17.25" customHeight="1">
      <c r="A36" s="11" t="s">
        <v>168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137"/>
      <c r="R36" s="138"/>
    </row>
    <row r="37" spans="1:18" ht="17.25" customHeight="1">
      <c r="A37" s="11" t="s">
        <v>174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137"/>
      <c r="R37" s="138"/>
    </row>
    <row r="38" spans="1:18" ht="17.25" customHeight="1">
      <c r="A38" s="8" t="s">
        <v>171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137"/>
      <c r="R38" s="138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137"/>
      <c r="R39" s="138"/>
    </row>
    <row r="40" spans="1:18" ht="17.25" customHeight="1">
      <c r="A40" s="11" t="s">
        <v>183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137"/>
      <c r="R40" s="138"/>
    </row>
    <row r="41" spans="1:18" ht="17.25" customHeight="1">
      <c r="A41" s="11" t="s">
        <v>147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137"/>
      <c r="R41" s="138"/>
    </row>
    <row r="42" spans="1:18" ht="17.25" customHeight="1">
      <c r="A42" s="11" t="s">
        <v>140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139"/>
      <c r="R42" s="140"/>
    </row>
    <row r="43" spans="1:18" ht="17.25" customHeight="1" thickBot="1">
      <c r="A43" s="13" t="s">
        <v>107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139"/>
      <c r="R43" s="140"/>
    </row>
    <row r="44" spans="1:18" ht="17.25" customHeight="1" thickBot="1">
      <c r="A44" s="57" t="s">
        <v>32</v>
      </c>
      <c r="B44" s="143">
        <v>100000</v>
      </c>
      <c r="C44" s="144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141"/>
      <c r="R44" s="14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5" t="s">
        <v>84</v>
      </c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7"/>
      <c r="Q47" s="148"/>
      <c r="R47" s="149"/>
    </row>
    <row r="48" spans="1:18" ht="17.25" customHeight="1" thickBot="1">
      <c r="A48" s="91" t="s">
        <v>236</v>
      </c>
      <c r="B48" s="145" t="s">
        <v>235</v>
      </c>
      <c r="C48" s="147"/>
      <c r="D48" s="145" t="s">
        <v>67</v>
      </c>
      <c r="E48" s="146"/>
      <c r="F48" s="147"/>
      <c r="G48" s="159">
        <f>_xlfn.IFNA(VLOOKUP(B48, 현재가테이블!$B$1:$D$200, 2, FALSE), "-")</f>
        <v>81224000</v>
      </c>
      <c r="H48" s="160"/>
      <c r="I48" s="161"/>
      <c r="J48" s="145" t="s">
        <v>69</v>
      </c>
      <c r="K48" s="146"/>
      <c r="L48" s="147"/>
      <c r="M48" s="162">
        <f>_xlfn.IFNA(VLOOKUP(B48, 현재가테이블!$B$1:$D$200, 3, FALSE), "-")</f>
        <v>3.8962367900000003E-2</v>
      </c>
      <c r="N48" s="163"/>
      <c r="O48" s="164"/>
      <c r="Q48" s="150"/>
      <c r="R48" s="151"/>
    </row>
    <row r="49" spans="1:18" ht="17.25" customHeight="1" thickBot="1">
      <c r="A49" s="152" t="s">
        <v>18</v>
      </c>
      <c r="B49" s="153" t="s">
        <v>54</v>
      </c>
      <c r="C49" s="154"/>
      <c r="D49" s="155" t="s">
        <v>20</v>
      </c>
      <c r="E49" s="156"/>
      <c r="F49" s="157"/>
      <c r="G49" s="155" t="s">
        <v>15</v>
      </c>
      <c r="H49" s="156"/>
      <c r="I49" s="157"/>
      <c r="J49" s="158" t="s">
        <v>34</v>
      </c>
      <c r="K49" s="158"/>
      <c r="L49" s="158"/>
      <c r="M49" s="155" t="s">
        <v>54</v>
      </c>
      <c r="N49" s="156"/>
      <c r="O49" s="157"/>
      <c r="Q49" s="139"/>
      <c r="R49" s="140"/>
    </row>
    <row r="50" spans="1:18" ht="17.25" customHeight="1" thickBot="1">
      <c r="A50" s="1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139"/>
      <c r="R50" s="140"/>
    </row>
    <row r="51" spans="1:18" ht="17.25" customHeight="1">
      <c r="A51" s="9" t="s">
        <v>103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137"/>
      <c r="R51" s="138"/>
    </row>
    <row r="52" spans="1:18" ht="17.25" customHeight="1">
      <c r="A52" s="11" t="s">
        <v>159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137"/>
      <c r="R52" s="138"/>
    </row>
    <row r="53" spans="1:18" ht="17.25" customHeight="1">
      <c r="A53" s="11" t="s">
        <v>172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137"/>
      <c r="R53" s="138"/>
    </row>
    <row r="54" spans="1:18" ht="17.25" customHeight="1">
      <c r="A54" s="11" t="s">
        <v>158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137"/>
      <c r="R54" s="138"/>
    </row>
    <row r="55" spans="1:18" ht="17.25" customHeight="1">
      <c r="A55" s="8" t="s">
        <v>153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137"/>
      <c r="R55" s="138"/>
    </row>
    <row r="56" spans="1:18" ht="17.25" customHeight="1">
      <c r="A56" s="11" t="s">
        <v>116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137"/>
      <c r="R56" s="138"/>
    </row>
    <row r="57" spans="1:18" ht="17.25" customHeight="1">
      <c r="A57" s="11" t="s">
        <v>155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137"/>
      <c r="R57" s="138"/>
    </row>
    <row r="58" spans="1:18" ht="17.25" customHeight="1">
      <c r="A58" s="11" t="s">
        <v>186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137"/>
      <c r="R58" s="138"/>
    </row>
    <row r="59" spans="1:18" ht="17.25" customHeight="1">
      <c r="A59" s="11" t="s">
        <v>135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139"/>
      <c r="R59" s="14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39"/>
      <c r="R60" s="140"/>
    </row>
    <row r="61" spans="1:18" ht="17.25" customHeight="1" thickBot="1">
      <c r="A61" s="57" t="s">
        <v>32</v>
      </c>
      <c r="B61" s="143">
        <v>100000</v>
      </c>
      <c r="C61" s="144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141"/>
      <c r="R61" s="142"/>
    </row>
    <row r="62" spans="1:18" ht="17.25" customHeight="1"/>
    <row r="63" spans="1:18" ht="17.25" customHeight="1" thickBot="1"/>
    <row r="64" spans="1:18" ht="17.25" customHeight="1" thickBot="1">
      <c r="A64" s="145" t="s">
        <v>85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7"/>
      <c r="Q64" s="148"/>
      <c r="R64" s="149"/>
    </row>
    <row r="65" spans="1:18" ht="17.25" customHeight="1" thickBot="1">
      <c r="A65" s="91" t="s">
        <v>236</v>
      </c>
      <c r="B65" s="145" t="s">
        <v>235</v>
      </c>
      <c r="C65" s="147"/>
      <c r="D65" s="145" t="s">
        <v>67</v>
      </c>
      <c r="E65" s="146"/>
      <c r="F65" s="147"/>
      <c r="G65" s="159">
        <f>_xlfn.IFNA(VLOOKUP(B65, 현재가테이블!$B$1:$D$200, 2, FALSE), "-")</f>
        <v>81224000</v>
      </c>
      <c r="H65" s="160"/>
      <c r="I65" s="161"/>
      <c r="J65" s="145" t="s">
        <v>69</v>
      </c>
      <c r="K65" s="146"/>
      <c r="L65" s="147"/>
      <c r="M65" s="162">
        <f>_xlfn.IFNA(VLOOKUP(B65, 현재가테이블!$B$1:$D$200, 3, FALSE), "-")</f>
        <v>3.8962367900000003E-2</v>
      </c>
      <c r="N65" s="163"/>
      <c r="O65" s="164"/>
      <c r="Q65" s="150"/>
      <c r="R65" s="151"/>
    </row>
    <row r="66" spans="1:18" ht="17.25" customHeight="1" thickBot="1">
      <c r="A66" s="152" t="s">
        <v>18</v>
      </c>
      <c r="B66" s="153" t="s">
        <v>54</v>
      </c>
      <c r="C66" s="154"/>
      <c r="D66" s="155" t="s">
        <v>20</v>
      </c>
      <c r="E66" s="156"/>
      <c r="F66" s="157"/>
      <c r="G66" s="155" t="s">
        <v>15</v>
      </c>
      <c r="H66" s="156"/>
      <c r="I66" s="157"/>
      <c r="J66" s="158" t="s">
        <v>34</v>
      </c>
      <c r="K66" s="158"/>
      <c r="L66" s="158"/>
      <c r="M66" s="155" t="s">
        <v>54</v>
      </c>
      <c r="N66" s="156"/>
      <c r="O66" s="157"/>
      <c r="Q66" s="139"/>
      <c r="R66" s="140"/>
    </row>
    <row r="67" spans="1:18" ht="17.25" customHeight="1" thickBot="1">
      <c r="A67" s="1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139"/>
      <c r="R67" s="140"/>
    </row>
    <row r="68" spans="1:18" ht="17.25" customHeight="1">
      <c r="A68" s="9" t="s">
        <v>164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137"/>
      <c r="R68" s="138"/>
    </row>
    <row r="69" spans="1:18" ht="17.25" customHeight="1">
      <c r="A69" s="11" t="s">
        <v>145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137"/>
      <c r="R69" s="138"/>
    </row>
    <row r="70" spans="1:18" ht="17.25" customHeight="1">
      <c r="A70" s="11" t="s">
        <v>176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137"/>
      <c r="R70" s="138"/>
    </row>
    <row r="71" spans="1:18" ht="17.25" customHeight="1">
      <c r="A71" s="11" t="s">
        <v>149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137"/>
      <c r="R71" s="138"/>
    </row>
    <row r="72" spans="1:18" ht="17.25" customHeight="1">
      <c r="A72" s="8" t="s">
        <v>143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137"/>
      <c r="R72" s="138"/>
    </row>
    <row r="73" spans="1:18" ht="17.25" customHeight="1">
      <c r="A73" s="11" t="s">
        <v>200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137"/>
      <c r="R73" s="138"/>
    </row>
    <row r="74" spans="1:18" ht="17.25" customHeight="1">
      <c r="A74" s="11" t="s">
        <v>130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137"/>
      <c r="R74" s="138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137"/>
      <c r="R75" s="138"/>
    </row>
    <row r="76" spans="1:18" ht="17.25" customHeight="1">
      <c r="A76" s="11" t="s">
        <v>185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139"/>
      <c r="R76" s="140"/>
    </row>
    <row r="77" spans="1:18" ht="17.25" customHeight="1" thickBot="1">
      <c r="A77" s="13" t="s">
        <v>207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139"/>
      <c r="R77" s="140"/>
    </row>
    <row r="78" spans="1:18" ht="17.25" customHeight="1" thickBot="1">
      <c r="A78" s="57" t="s">
        <v>32</v>
      </c>
      <c r="B78" s="143">
        <v>100000</v>
      </c>
      <c r="C78" s="144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141"/>
      <c r="R78" s="14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5" t="s">
        <v>86</v>
      </c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7"/>
      <c r="Q81" s="148"/>
      <c r="R81" s="149"/>
    </row>
    <row r="82" spans="1:18" ht="17.25" customHeight="1" thickBot="1">
      <c r="A82" s="91" t="s">
        <v>236</v>
      </c>
      <c r="B82" s="145" t="s">
        <v>235</v>
      </c>
      <c r="C82" s="147"/>
      <c r="D82" s="145" t="s">
        <v>67</v>
      </c>
      <c r="E82" s="146"/>
      <c r="F82" s="147"/>
      <c r="G82" s="159">
        <f>_xlfn.IFNA(VLOOKUP(B82, 현재가테이블!$B$1:$D$200, 2, FALSE), "-")</f>
        <v>81224000</v>
      </c>
      <c r="H82" s="160"/>
      <c r="I82" s="161"/>
      <c r="J82" s="145" t="s">
        <v>69</v>
      </c>
      <c r="K82" s="146"/>
      <c r="L82" s="147"/>
      <c r="M82" s="162">
        <f>_xlfn.IFNA(VLOOKUP(B82, 현재가테이블!$B$1:$D$200, 3, FALSE), "-")</f>
        <v>3.8962367900000003E-2</v>
      </c>
      <c r="N82" s="163"/>
      <c r="O82" s="164"/>
      <c r="Q82" s="150"/>
      <c r="R82" s="151"/>
    </row>
    <row r="83" spans="1:18" ht="17.25" customHeight="1" thickBot="1">
      <c r="A83" s="152" t="s">
        <v>18</v>
      </c>
      <c r="B83" s="153" t="s">
        <v>54</v>
      </c>
      <c r="C83" s="154"/>
      <c r="D83" s="155" t="s">
        <v>20</v>
      </c>
      <c r="E83" s="156"/>
      <c r="F83" s="157"/>
      <c r="G83" s="155" t="s">
        <v>15</v>
      </c>
      <c r="H83" s="156"/>
      <c r="I83" s="157"/>
      <c r="J83" s="158" t="s">
        <v>34</v>
      </c>
      <c r="K83" s="158"/>
      <c r="L83" s="158"/>
      <c r="M83" s="155" t="s">
        <v>54</v>
      </c>
      <c r="N83" s="156"/>
      <c r="O83" s="157"/>
      <c r="Q83" s="139"/>
      <c r="R83" s="140"/>
    </row>
    <row r="84" spans="1:18" ht="17.25" customHeight="1" thickBot="1">
      <c r="A84" s="1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139"/>
      <c r="R84" s="140"/>
    </row>
    <row r="85" spans="1:18" ht="17.25" customHeight="1">
      <c r="A85" s="9" t="s">
        <v>161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137"/>
      <c r="R85" s="138"/>
    </row>
    <row r="86" spans="1:18" ht="17.25" customHeight="1">
      <c r="A86" s="11" t="s">
        <v>109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137"/>
      <c r="R86" s="138"/>
    </row>
    <row r="87" spans="1:18" ht="17.25" customHeight="1">
      <c r="A87" s="11" t="s">
        <v>137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137"/>
      <c r="R87" s="138"/>
    </row>
    <row r="88" spans="1:18" ht="17.25" customHeight="1">
      <c r="A88" s="11" t="s">
        <v>191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137"/>
      <c r="R88" s="138"/>
    </row>
    <row r="89" spans="1:18" ht="17.25" customHeight="1">
      <c r="A89" s="8" t="s">
        <v>215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137"/>
      <c r="R89" s="138"/>
    </row>
    <row r="90" spans="1:18" ht="17.25" customHeight="1">
      <c r="A90" s="11" t="s">
        <v>146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137"/>
      <c r="R90" s="138"/>
    </row>
    <row r="91" spans="1:18" ht="17.25" customHeight="1">
      <c r="A91" s="11" t="s">
        <v>124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137"/>
      <c r="R91" s="138"/>
    </row>
    <row r="92" spans="1:18" ht="17.25" customHeight="1">
      <c r="A92" s="11" t="s">
        <v>170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137"/>
      <c r="R92" s="138"/>
    </row>
    <row r="93" spans="1:18" ht="17.25" customHeight="1">
      <c r="A93" s="11" t="s">
        <v>132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139"/>
      <c r="R93" s="140"/>
    </row>
    <row r="94" spans="1:18" ht="17.25" customHeight="1" thickBot="1">
      <c r="A94" s="13" t="s">
        <v>221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139"/>
      <c r="R94" s="140"/>
    </row>
    <row r="95" spans="1:18" ht="17.25" customHeight="1" thickBot="1">
      <c r="A95" s="57" t="s">
        <v>32</v>
      </c>
      <c r="B95" s="143">
        <v>100000</v>
      </c>
      <c r="C95" s="144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141"/>
      <c r="R95" s="142"/>
    </row>
    <row r="96" spans="1:18" ht="17.25" customHeight="1"/>
    <row r="97" spans="1:18" ht="17.25" customHeight="1" thickBot="1"/>
    <row r="98" spans="1:18" ht="17.25" customHeight="1" thickBot="1">
      <c r="A98" s="145" t="s">
        <v>81</v>
      </c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7"/>
      <c r="Q98" s="148"/>
      <c r="R98" s="149"/>
    </row>
    <row r="99" spans="1:18" ht="17.25" customHeight="1" thickBot="1">
      <c r="A99" s="91" t="s">
        <v>236</v>
      </c>
      <c r="B99" s="145" t="s">
        <v>235</v>
      </c>
      <c r="C99" s="147"/>
      <c r="D99" s="145" t="s">
        <v>67</v>
      </c>
      <c r="E99" s="146"/>
      <c r="F99" s="147"/>
      <c r="G99" s="159">
        <f>_xlfn.IFNA(VLOOKUP(B99, 현재가테이블!$B$1:$D$200, 2, FALSE), "-")</f>
        <v>81224000</v>
      </c>
      <c r="H99" s="160"/>
      <c r="I99" s="161"/>
      <c r="J99" s="145" t="s">
        <v>69</v>
      </c>
      <c r="K99" s="146"/>
      <c r="L99" s="147"/>
      <c r="M99" s="162">
        <f>_xlfn.IFNA(VLOOKUP(B99, 현재가테이블!$B$1:$D$200, 3, FALSE), "-")</f>
        <v>3.8962367900000003E-2</v>
      </c>
      <c r="N99" s="163"/>
      <c r="O99" s="164"/>
      <c r="Q99" s="150"/>
      <c r="R99" s="151"/>
    </row>
    <row r="100" spans="1:18" ht="17.25" customHeight="1" thickBot="1">
      <c r="A100" s="152" t="s">
        <v>18</v>
      </c>
      <c r="B100" s="153" t="s">
        <v>54</v>
      </c>
      <c r="C100" s="154"/>
      <c r="D100" s="155" t="s">
        <v>20</v>
      </c>
      <c r="E100" s="156"/>
      <c r="F100" s="157"/>
      <c r="G100" s="155" t="s">
        <v>15</v>
      </c>
      <c r="H100" s="156"/>
      <c r="I100" s="157"/>
      <c r="J100" s="158" t="s">
        <v>34</v>
      </c>
      <c r="K100" s="158"/>
      <c r="L100" s="158"/>
      <c r="M100" s="155" t="s">
        <v>54</v>
      </c>
      <c r="N100" s="156"/>
      <c r="O100" s="157"/>
      <c r="Q100" s="139"/>
      <c r="R100" s="140"/>
    </row>
    <row r="101" spans="1:18" ht="17.25" customHeight="1" thickBot="1">
      <c r="A101" s="1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139"/>
      <c r="R101" s="140"/>
    </row>
    <row r="102" spans="1:18" ht="17.25" customHeight="1">
      <c r="A102" s="9" t="s">
        <v>201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137"/>
      <c r="R102" s="138"/>
    </row>
    <row r="103" spans="1:18" ht="17.25" customHeight="1">
      <c r="A103" s="11" t="s">
        <v>237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137"/>
      <c r="R103" s="138"/>
    </row>
    <row r="104" spans="1:18" ht="17.25" customHeight="1">
      <c r="A104" s="11" t="s">
        <v>111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137"/>
      <c r="R104" s="138"/>
    </row>
    <row r="105" spans="1:18" ht="17.25" customHeight="1">
      <c r="A105" s="11" t="s">
        <v>212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137"/>
      <c r="R105" s="138"/>
    </row>
    <row r="106" spans="1:18" ht="17.25" customHeight="1">
      <c r="A106" s="8" t="s">
        <v>220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137"/>
      <c r="R106" s="138"/>
    </row>
    <row r="107" spans="1:18" ht="17.25" customHeight="1">
      <c r="A107" s="11" t="s">
        <v>261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137"/>
      <c r="R107" s="138"/>
    </row>
    <row r="108" spans="1:18" ht="17.25" customHeight="1">
      <c r="A108" s="11" t="s">
        <v>173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137"/>
      <c r="R108" s="138"/>
    </row>
    <row r="109" spans="1:18" ht="17.25" customHeight="1">
      <c r="A109" s="11" t="s">
        <v>262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137"/>
      <c r="R109" s="138"/>
    </row>
    <row r="110" spans="1:18" ht="17.25" customHeight="1">
      <c r="A110" s="11" t="s">
        <v>164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139"/>
      <c r="R110" s="140"/>
    </row>
    <row r="111" spans="1:18" ht="17.25" customHeight="1" thickBot="1">
      <c r="A111" s="13" t="s">
        <v>258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139"/>
      <c r="R111" s="140"/>
    </row>
    <row r="112" spans="1:18" ht="17.25" customHeight="1" thickBot="1">
      <c r="A112" s="57" t="s">
        <v>32</v>
      </c>
      <c r="B112" s="143">
        <v>100000</v>
      </c>
      <c r="C112" s="144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141"/>
      <c r="R112" s="14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587" priority="89">
      <formula>$E$27&gt;0</formula>
    </cfRule>
    <cfRule type="expression" dxfId="586" priority="90">
      <formula>$E$27&lt;0</formula>
    </cfRule>
  </conditionalFormatting>
  <conditionalFormatting sqref="G15:I16 H27:I27">
    <cfRule type="expression" dxfId="585" priority="87">
      <formula>$H$27&gt;0</formula>
    </cfRule>
    <cfRule type="expression" dxfId="584" priority="88">
      <formula>$H$27&lt;0</formula>
    </cfRule>
  </conditionalFormatting>
  <conditionalFormatting sqref="J15:L16 K27:L27">
    <cfRule type="expression" dxfId="583" priority="85">
      <formula>$K$27&gt;0</formula>
    </cfRule>
    <cfRule type="expression" dxfId="582" priority="86">
      <formula>$K$27&lt;0</formula>
    </cfRule>
  </conditionalFormatting>
  <conditionalFormatting sqref="M15:O16 N27:O27">
    <cfRule type="expression" dxfId="581" priority="83">
      <formula>$N$27&gt;0</formula>
    </cfRule>
    <cfRule type="expression" dxfId="580" priority="84">
      <formula>$N$27&lt;0</formula>
    </cfRule>
  </conditionalFormatting>
  <conditionalFormatting sqref="A17:O26 A34:O43">
    <cfRule type="expression" dxfId="579" priority="91">
      <formula>AND($N17 &gt; 0, ISNUMBER($N17))</formula>
    </cfRule>
    <cfRule type="expression" dxfId="578" priority="92">
      <formula>AND($N17 &lt; 0, ISNUMBER($N17))</formula>
    </cfRule>
    <cfRule type="expression" dxfId="577" priority="93">
      <formula>AND($K17 &gt; 0, ISNUMBER($K17))</formula>
    </cfRule>
    <cfRule type="expression" dxfId="576" priority="94">
      <formula>AND($K17 &lt; 0, ISNUMBER($K17))</formula>
    </cfRule>
    <cfRule type="expression" dxfId="575" priority="95">
      <formula>AND($H17 &gt; 0, ISNUMBER($H17))</formula>
    </cfRule>
    <cfRule type="expression" dxfId="574" priority="96">
      <formula>AND($H17 &lt; 0, ISNUMBER($H17))</formula>
    </cfRule>
    <cfRule type="expression" dxfId="573" priority="97">
      <formula>AND($E17 &gt; 0, ISNUMBER($E17))</formula>
    </cfRule>
    <cfRule type="expression" dxfId="572" priority="98">
      <formula>AND($E17 &lt; 0, ISNUMBER($E17))</formula>
    </cfRule>
  </conditionalFormatting>
  <conditionalFormatting sqref="D32:F33 E44:F44">
    <cfRule type="expression" dxfId="571" priority="81">
      <formula>$E$44&gt;0</formula>
    </cfRule>
    <cfRule type="expression" dxfId="570" priority="82">
      <formula>$E$44&lt;0</formula>
    </cfRule>
  </conditionalFormatting>
  <conditionalFormatting sqref="G32:I33 H44:I44">
    <cfRule type="expression" dxfId="569" priority="79">
      <formula>$H$44&gt;0</formula>
    </cfRule>
    <cfRule type="expression" dxfId="568" priority="80">
      <formula>$H$44&lt;0</formula>
    </cfRule>
  </conditionalFormatting>
  <conditionalFormatting sqref="J32:L33 K44:L44">
    <cfRule type="expression" dxfId="567" priority="77">
      <formula>$K$44&gt;0</formula>
    </cfRule>
    <cfRule type="expression" dxfId="566" priority="78">
      <formula>$K$44&lt;0</formula>
    </cfRule>
  </conditionalFormatting>
  <conditionalFormatting sqref="M32:O33 N44:O44">
    <cfRule type="expression" dxfId="565" priority="75">
      <formula>$N$44&gt;0</formula>
    </cfRule>
    <cfRule type="expression" dxfId="564" priority="76">
      <formula>$N$44&lt;0</formula>
    </cfRule>
  </conditionalFormatting>
  <conditionalFormatting sqref="A51:O60">
    <cfRule type="expression" dxfId="563" priority="67">
      <formula>AND($N51 &gt; 0, ISNUMBER($N51))</formula>
    </cfRule>
    <cfRule type="expression" dxfId="562" priority="68">
      <formula>AND($N51 &lt; 0, ISNUMBER($N51))</formula>
    </cfRule>
    <cfRule type="expression" dxfId="561" priority="69">
      <formula>AND($K51 &gt; 0, ISNUMBER($K51))</formula>
    </cfRule>
    <cfRule type="expression" dxfId="560" priority="70">
      <formula>AND($K51 &lt; 0, ISNUMBER($K51))</formula>
    </cfRule>
    <cfRule type="expression" dxfId="559" priority="71">
      <formula>AND($H51 &gt; 0, ISNUMBER($H51))</formula>
    </cfRule>
    <cfRule type="expression" dxfId="558" priority="72">
      <formula>AND($H51 &lt; 0, ISNUMBER($H51))</formula>
    </cfRule>
    <cfRule type="expression" dxfId="557" priority="73">
      <formula>AND($E51 &gt; 0, ISNUMBER($E51))</formula>
    </cfRule>
    <cfRule type="expression" dxfId="556" priority="74">
      <formula>AND($E51 &lt; 0, ISNUMBER($E51))</formula>
    </cfRule>
  </conditionalFormatting>
  <conditionalFormatting sqref="D49:F50 E61:F61">
    <cfRule type="expression" dxfId="555" priority="65">
      <formula>$E$61&gt;0</formula>
    </cfRule>
    <cfRule type="expression" dxfId="554" priority="66">
      <formula>$E$61&lt;0</formula>
    </cfRule>
  </conditionalFormatting>
  <conditionalFormatting sqref="G49:I50 H61:I61">
    <cfRule type="expression" dxfId="553" priority="63">
      <formula>$H$61&gt;0</formula>
    </cfRule>
    <cfRule type="expression" dxfId="552" priority="64">
      <formula>$H$61&lt;0</formula>
    </cfRule>
  </conditionalFormatting>
  <conditionalFormatting sqref="J49:L50 K61:L61">
    <cfRule type="expression" dxfId="551" priority="61">
      <formula>$K$61&gt;0</formula>
    </cfRule>
    <cfRule type="expression" dxfId="550" priority="62">
      <formula>$K$61&lt;0</formula>
    </cfRule>
  </conditionalFormatting>
  <conditionalFormatting sqref="M49:O50 N61:O61">
    <cfRule type="expression" dxfId="549" priority="59">
      <formula>$N$61&gt;0</formula>
    </cfRule>
    <cfRule type="expression" dxfId="548" priority="60">
      <formula>$N$61&lt;0</formula>
    </cfRule>
  </conditionalFormatting>
  <conditionalFormatting sqref="A68:O77">
    <cfRule type="expression" dxfId="547" priority="51">
      <formula>AND($N68 &gt; 0, ISNUMBER($N68))</formula>
    </cfRule>
    <cfRule type="expression" dxfId="546" priority="52">
      <formula>AND($N68 &lt; 0, ISNUMBER($N68))</formula>
    </cfRule>
    <cfRule type="expression" dxfId="545" priority="53">
      <formula>AND($K68 &gt; 0, ISNUMBER($K68))</formula>
    </cfRule>
    <cfRule type="expression" dxfId="544" priority="54">
      <formula>AND($K68 &lt; 0, ISNUMBER($K68))</formula>
    </cfRule>
    <cfRule type="expression" dxfId="543" priority="55">
      <formula>AND($H68 &gt; 0, ISNUMBER($H68))</formula>
    </cfRule>
    <cfRule type="expression" dxfId="542" priority="56">
      <formula>AND($H68 &lt; 0, ISNUMBER($H68))</formula>
    </cfRule>
    <cfRule type="expression" dxfId="541" priority="57">
      <formula>AND($E68 &gt; 0, ISNUMBER($E68))</formula>
    </cfRule>
    <cfRule type="expression" dxfId="540" priority="58">
      <formula>AND($E68 &lt; 0, ISNUMBER($E68))</formula>
    </cfRule>
  </conditionalFormatting>
  <conditionalFormatting sqref="D66:F67 E78:F78">
    <cfRule type="expression" dxfId="539" priority="49">
      <formula>$E$78&gt;0</formula>
    </cfRule>
    <cfRule type="expression" dxfId="538" priority="50">
      <formula>$E$78&lt;0</formula>
    </cfRule>
  </conditionalFormatting>
  <conditionalFormatting sqref="G66:I67 H78:I78">
    <cfRule type="expression" dxfId="537" priority="47">
      <formula>$H$78&gt;0</formula>
    </cfRule>
    <cfRule type="expression" dxfId="536" priority="48">
      <formula>$H$78&lt;0</formula>
    </cfRule>
  </conditionalFormatting>
  <conditionalFormatting sqref="J66:L67 K78:L78">
    <cfRule type="expression" dxfId="535" priority="45">
      <formula>$K$78&gt;0</formula>
    </cfRule>
    <cfRule type="expression" dxfId="534" priority="46">
      <formula>$K$78&lt;0</formula>
    </cfRule>
  </conditionalFormatting>
  <conditionalFormatting sqref="M66:O67 N78:O78">
    <cfRule type="expression" dxfId="533" priority="43">
      <formula>$N$78&gt;0</formula>
    </cfRule>
    <cfRule type="expression" dxfId="532" priority="44">
      <formula>$N$78&lt;0</formula>
    </cfRule>
  </conditionalFormatting>
  <conditionalFormatting sqref="A85:O94">
    <cfRule type="expression" dxfId="531" priority="35">
      <formula>AND($N85 &gt; 0, ISNUMBER($N85))</formula>
    </cfRule>
    <cfRule type="expression" dxfId="530" priority="36">
      <formula>AND($N85 &lt; 0, ISNUMBER($N85))</formula>
    </cfRule>
    <cfRule type="expression" dxfId="529" priority="37">
      <formula>AND($K85 &gt; 0, ISNUMBER($K85))</formula>
    </cfRule>
    <cfRule type="expression" dxfId="528" priority="38">
      <formula>AND($K85 &lt; 0, ISNUMBER($K85))</formula>
    </cfRule>
    <cfRule type="expression" dxfId="527" priority="39">
      <formula>AND($H85 &gt; 0, ISNUMBER($H85))</formula>
    </cfRule>
    <cfRule type="expression" dxfId="526" priority="40">
      <formula>AND($H85 &lt; 0, ISNUMBER($H85))</formula>
    </cfRule>
    <cfRule type="expression" dxfId="525" priority="41">
      <formula>AND($E85 &gt; 0, ISNUMBER($E85))</formula>
    </cfRule>
    <cfRule type="expression" dxfId="524" priority="42">
      <formula>AND($E85 &lt; 0, ISNUMBER($E85))</formula>
    </cfRule>
  </conditionalFormatting>
  <conditionalFormatting sqref="D83:F84 E95:F95">
    <cfRule type="expression" dxfId="523" priority="33">
      <formula>$E$95&gt;0</formula>
    </cfRule>
    <cfRule type="expression" dxfId="522" priority="34">
      <formula>$E$95&lt;0</formula>
    </cfRule>
  </conditionalFormatting>
  <conditionalFormatting sqref="G83:I84 H95:I95">
    <cfRule type="expression" dxfId="521" priority="31">
      <formula>$H$95&gt;0</formula>
    </cfRule>
    <cfRule type="expression" dxfId="520" priority="32">
      <formula>$H$95&lt;0</formula>
    </cfRule>
  </conditionalFormatting>
  <conditionalFormatting sqref="J83:L84 K95:L95">
    <cfRule type="expression" dxfId="519" priority="29">
      <formula>$K$95&gt;0</formula>
    </cfRule>
    <cfRule type="expression" dxfId="518" priority="30">
      <formula>$K$95&lt;0</formula>
    </cfRule>
  </conditionalFormatting>
  <conditionalFormatting sqref="M83:O84 N95:O95">
    <cfRule type="expression" dxfId="517" priority="27">
      <formula>$N$95&gt;0</formula>
    </cfRule>
    <cfRule type="expression" dxfId="516" priority="28">
      <formula>$N$95&lt;0</formula>
    </cfRule>
  </conditionalFormatting>
  <conditionalFormatting sqref="A102:O111">
    <cfRule type="expression" dxfId="515" priority="19">
      <formula>AND($N102 &gt; 0, ISNUMBER($N102))</formula>
    </cfRule>
    <cfRule type="expression" dxfId="514" priority="20">
      <formula>AND($N102 &lt; 0, ISNUMBER($N102))</formula>
    </cfRule>
    <cfRule type="expression" dxfId="513" priority="21">
      <formula>AND($K102 &gt; 0, ISNUMBER($K102))</formula>
    </cfRule>
    <cfRule type="expression" dxfId="512" priority="22">
      <formula>AND($K102 &lt; 0, ISNUMBER($K102))</formula>
    </cfRule>
    <cfRule type="expression" dxfId="511" priority="23">
      <formula>AND($H102 &gt; 0, ISNUMBER($H102))</formula>
    </cfRule>
    <cfRule type="expression" dxfId="510" priority="24">
      <formula>AND($H102 &lt; 0, ISNUMBER($H102))</formula>
    </cfRule>
    <cfRule type="expression" dxfId="509" priority="25">
      <formula>AND($E102 &gt; 0, ISNUMBER($E102))</formula>
    </cfRule>
    <cfRule type="expression" dxfId="508" priority="26">
      <formula>AND($E102 &lt; 0, ISNUMBER($E102))</formula>
    </cfRule>
  </conditionalFormatting>
  <conditionalFormatting sqref="D100:F101 E112:F112">
    <cfRule type="expression" dxfId="507" priority="17">
      <formula>$E$112&gt;0</formula>
    </cfRule>
    <cfRule type="expression" dxfId="506" priority="18">
      <formula>$E$112&lt;0</formula>
    </cfRule>
  </conditionalFormatting>
  <conditionalFormatting sqref="G100:I101 H112:I112">
    <cfRule type="expression" dxfId="505" priority="15">
      <formula>$H$112&gt;0</formula>
    </cfRule>
    <cfRule type="expression" dxfId="504" priority="16">
      <formula>$H$112&lt;0</formula>
    </cfRule>
  </conditionalFormatting>
  <conditionalFormatting sqref="J100:L101 K112:L112">
    <cfRule type="expression" dxfId="503" priority="13">
      <formula>$K$112&gt;0</formula>
    </cfRule>
    <cfRule type="expression" dxfId="502" priority="14">
      <formula>$K$112&lt;0</formula>
    </cfRule>
  </conditionalFormatting>
  <conditionalFormatting sqref="M100:O101 N112:O112">
    <cfRule type="expression" dxfId="501" priority="11">
      <formula>$N$112&gt;0</formula>
    </cfRule>
    <cfRule type="expression" dxfId="500" priority="12">
      <formula>$N$112&lt;0</formula>
    </cfRule>
  </conditionalFormatting>
  <conditionalFormatting sqref="G2:I3">
    <cfRule type="expression" dxfId="49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9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9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9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9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9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9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9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9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9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45" t="s">
        <v>0</v>
      </c>
      <c r="B1" s="146"/>
      <c r="C1" s="146"/>
      <c r="D1" s="146"/>
      <c r="E1" s="146"/>
      <c r="F1" s="147"/>
      <c r="G1" s="189">
        <v>44295</v>
      </c>
      <c r="H1" s="190"/>
      <c r="I1" s="191"/>
      <c r="J1" s="145" t="s">
        <v>33</v>
      </c>
      <c r="K1" s="146"/>
      <c r="L1" s="146"/>
      <c r="M1" s="146"/>
      <c r="N1" s="146"/>
      <c r="O1" s="147"/>
      <c r="Q1" s="145" t="s">
        <v>1</v>
      </c>
      <c r="R1" s="147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86" t="s">
        <v>83</v>
      </c>
      <c r="H2" s="187"/>
      <c r="I2" s="188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83" t="s">
        <v>55</v>
      </c>
      <c r="C3" s="184"/>
      <c r="D3" s="184"/>
      <c r="E3" s="184"/>
      <c r="F3" s="185"/>
      <c r="G3" s="17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175"/>
      <c r="I3" s="176"/>
      <c r="J3" s="1" t="s">
        <v>23</v>
      </c>
      <c r="K3" s="183" t="s">
        <v>59</v>
      </c>
      <c r="L3" s="184"/>
      <c r="M3" s="184"/>
      <c r="N3" s="184"/>
      <c r="O3" s="18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3" t="s">
        <v>56</v>
      </c>
      <c r="C4" s="184"/>
      <c r="D4" s="184"/>
      <c r="E4" s="184"/>
      <c r="F4" s="185"/>
      <c r="G4" s="186" t="s">
        <v>84</v>
      </c>
      <c r="H4" s="187"/>
      <c r="I4" s="188"/>
      <c r="J4" s="1" t="s">
        <v>30</v>
      </c>
      <c r="K4" s="183" t="s">
        <v>60</v>
      </c>
      <c r="L4" s="184"/>
      <c r="M4" s="184"/>
      <c r="N4" s="184"/>
      <c r="O4" s="185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183" t="s">
        <v>57</v>
      </c>
      <c r="C5" s="184"/>
      <c r="D5" s="184"/>
      <c r="E5" s="184"/>
      <c r="F5" s="185"/>
      <c r="G5" s="17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175"/>
      <c r="I5" s="176"/>
      <c r="J5" s="1" t="s">
        <v>24</v>
      </c>
      <c r="K5" s="183" t="s">
        <v>62</v>
      </c>
      <c r="L5" s="184"/>
      <c r="M5" s="184"/>
      <c r="N5" s="184"/>
      <c r="O5" s="185"/>
    </row>
    <row r="6" spans="1:18">
      <c r="A6" s="1" t="s">
        <v>25</v>
      </c>
      <c r="B6" s="183" t="s">
        <v>58</v>
      </c>
      <c r="C6" s="184"/>
      <c r="D6" s="184"/>
      <c r="E6" s="184"/>
      <c r="F6" s="185"/>
      <c r="G6" s="186" t="s">
        <v>85</v>
      </c>
      <c r="H6" s="187"/>
      <c r="I6" s="188"/>
      <c r="J6" s="1" t="s">
        <v>25</v>
      </c>
      <c r="K6" s="183" t="s">
        <v>63</v>
      </c>
      <c r="L6" s="184"/>
      <c r="M6" s="184"/>
      <c r="N6" s="184"/>
      <c r="O6" s="185"/>
    </row>
    <row r="7" spans="1:18" ht="17.25" thickBot="1">
      <c r="A7" s="1" t="s">
        <v>26</v>
      </c>
      <c r="B7" s="183" t="s">
        <v>64</v>
      </c>
      <c r="C7" s="184"/>
      <c r="D7" s="184"/>
      <c r="E7" s="184"/>
      <c r="F7" s="185"/>
      <c r="G7" s="17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175"/>
      <c r="I7" s="176"/>
      <c r="J7" s="1" t="s">
        <v>26</v>
      </c>
      <c r="K7" s="183" t="s">
        <v>65</v>
      </c>
      <c r="L7" s="184"/>
      <c r="M7" s="184"/>
      <c r="N7" s="184"/>
      <c r="O7" s="185"/>
    </row>
    <row r="8" spans="1:18" ht="17.25" thickBot="1">
      <c r="A8" s="1" t="s">
        <v>27</v>
      </c>
      <c r="B8" s="183" t="s">
        <v>66</v>
      </c>
      <c r="C8" s="184"/>
      <c r="D8" s="184"/>
      <c r="E8" s="184"/>
      <c r="F8" s="185"/>
      <c r="G8" s="186" t="s">
        <v>86</v>
      </c>
      <c r="H8" s="187"/>
      <c r="I8" s="188"/>
      <c r="J8" s="1" t="s">
        <v>27</v>
      </c>
      <c r="K8" s="183" t="s">
        <v>88</v>
      </c>
      <c r="L8" s="184"/>
      <c r="M8" s="184"/>
      <c r="N8" s="184"/>
      <c r="O8" s="185"/>
      <c r="Q8" s="145" t="s">
        <v>16</v>
      </c>
      <c r="R8" s="147"/>
    </row>
    <row r="9" spans="1:18" ht="17.25" thickBot="1">
      <c r="A9" s="1" t="s">
        <v>28</v>
      </c>
      <c r="B9" s="183"/>
      <c r="C9" s="184"/>
      <c r="D9" s="184"/>
      <c r="E9" s="184"/>
      <c r="F9" s="185"/>
      <c r="G9" s="17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175"/>
      <c r="I9" s="176"/>
      <c r="J9" s="1" t="s">
        <v>28</v>
      </c>
      <c r="K9" s="183"/>
      <c r="L9" s="184"/>
      <c r="M9" s="184"/>
      <c r="N9" s="184"/>
      <c r="O9" s="185"/>
      <c r="Q9" s="18" t="s">
        <v>2</v>
      </c>
      <c r="R9" s="51">
        <v>10</v>
      </c>
    </row>
    <row r="10" spans="1:18">
      <c r="A10" s="1" t="s">
        <v>29</v>
      </c>
      <c r="B10" s="183"/>
      <c r="C10" s="184"/>
      <c r="D10" s="184"/>
      <c r="E10" s="184"/>
      <c r="F10" s="185"/>
      <c r="G10" s="186" t="s">
        <v>81</v>
      </c>
      <c r="H10" s="187"/>
      <c r="I10" s="188"/>
      <c r="J10" s="1" t="s">
        <v>29</v>
      </c>
      <c r="K10" s="183"/>
      <c r="L10" s="184"/>
      <c r="M10" s="184"/>
      <c r="N10" s="184"/>
      <c r="O10" s="185"/>
      <c r="Q10" s="18" t="s">
        <v>3</v>
      </c>
      <c r="R10" s="51">
        <v>100</v>
      </c>
    </row>
    <row r="11" spans="1:18" ht="17.25" thickBot="1">
      <c r="A11" s="2" t="s">
        <v>21</v>
      </c>
      <c r="B11" s="171"/>
      <c r="C11" s="172"/>
      <c r="D11" s="172"/>
      <c r="E11" s="172"/>
      <c r="F11" s="173"/>
      <c r="G11" s="17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175"/>
      <c r="I11" s="176"/>
      <c r="J11" s="2" t="s">
        <v>21</v>
      </c>
      <c r="K11" s="171"/>
      <c r="L11" s="172"/>
      <c r="M11" s="172"/>
      <c r="N11" s="172"/>
      <c r="O11" s="173"/>
      <c r="Q11" s="99" t="s">
        <v>17</v>
      </c>
      <c r="R11" s="52">
        <v>1000</v>
      </c>
    </row>
    <row r="12" spans="1:18" ht="17.25" thickBot="1"/>
    <row r="13" spans="1:18" ht="17.25" customHeight="1" thickBot="1">
      <c r="A13" s="145" t="s">
        <v>87</v>
      </c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Q13" s="177"/>
      <c r="R13" s="178"/>
    </row>
    <row r="14" spans="1:18" ht="17.25" customHeight="1" thickBot="1">
      <c r="A14" s="98" t="s">
        <v>236</v>
      </c>
      <c r="B14" s="145" t="s">
        <v>235</v>
      </c>
      <c r="C14" s="147"/>
      <c r="D14" s="145" t="s">
        <v>67</v>
      </c>
      <c r="E14" s="146"/>
      <c r="F14" s="147"/>
      <c r="G14" s="159">
        <f>_xlfn.IFNA(VLOOKUP(B14, 현재가테이블!$B$1:$D$200, 2, FALSE), "-")</f>
        <v>81224000</v>
      </c>
      <c r="H14" s="160"/>
      <c r="I14" s="161"/>
      <c r="J14" s="145" t="s">
        <v>69</v>
      </c>
      <c r="K14" s="146"/>
      <c r="L14" s="147"/>
      <c r="M14" s="162">
        <f>_xlfn.IFNA(VLOOKUP(B14, 현재가테이블!$B$1:$D$200, 3, FALSE), "-")</f>
        <v>3.8962367900000003E-2</v>
      </c>
      <c r="N14" s="163"/>
      <c r="O14" s="164"/>
      <c r="Q14" s="179"/>
      <c r="R14" s="180"/>
    </row>
    <row r="15" spans="1:18" ht="17.25" customHeight="1" thickBot="1">
      <c r="A15" s="152" t="s">
        <v>18</v>
      </c>
      <c r="B15" s="153" t="s">
        <v>54</v>
      </c>
      <c r="C15" s="154"/>
      <c r="D15" s="181" t="s">
        <v>20</v>
      </c>
      <c r="E15" s="158"/>
      <c r="F15" s="182"/>
      <c r="G15" s="181" t="s">
        <v>15</v>
      </c>
      <c r="H15" s="158"/>
      <c r="I15" s="182"/>
      <c r="J15" s="158" t="s">
        <v>34</v>
      </c>
      <c r="K15" s="158"/>
      <c r="L15" s="158"/>
      <c r="M15" s="181" t="s">
        <v>54</v>
      </c>
      <c r="N15" s="158"/>
      <c r="O15" s="182"/>
      <c r="Q15" s="167"/>
      <c r="R15" s="168"/>
    </row>
    <row r="16" spans="1:18" ht="17.25" customHeight="1" thickBot="1">
      <c r="A16" s="1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167"/>
      <c r="R16" s="168"/>
    </row>
    <row r="17" spans="1:18" ht="17.25" customHeight="1">
      <c r="A17" s="39" t="s">
        <v>172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165"/>
      <c r="R17" s="166"/>
    </row>
    <row r="18" spans="1:18" ht="17.25" customHeight="1">
      <c r="A18" s="40" t="s">
        <v>134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165"/>
      <c r="R18" s="166"/>
    </row>
    <row r="19" spans="1:18" ht="17.25" customHeight="1">
      <c r="A19" s="40" t="s">
        <v>104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165"/>
      <c r="R19" s="166"/>
    </row>
    <row r="20" spans="1:18" ht="17.25" customHeight="1">
      <c r="A20" s="40" t="s">
        <v>129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165"/>
      <c r="R20" s="166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165"/>
      <c r="R21" s="166"/>
    </row>
    <row r="22" spans="1:18" ht="17.25" customHeight="1">
      <c r="A22" s="40" t="s">
        <v>166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165"/>
      <c r="R22" s="166"/>
    </row>
    <row r="23" spans="1:18" ht="17.25" customHeight="1">
      <c r="A23" s="40" t="s">
        <v>140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165"/>
      <c r="R23" s="166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165"/>
      <c r="R24" s="166"/>
    </row>
    <row r="25" spans="1:18" ht="17.25" customHeight="1">
      <c r="A25" s="40" t="s">
        <v>155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167"/>
      <c r="R25" s="168"/>
    </row>
    <row r="26" spans="1:18" ht="17.25" customHeight="1" thickBot="1">
      <c r="A26" s="42" t="s">
        <v>146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167"/>
      <c r="R26" s="168"/>
    </row>
    <row r="27" spans="1:18" ht="17.25" customHeight="1" thickBot="1">
      <c r="A27" s="57" t="s">
        <v>32</v>
      </c>
      <c r="B27" s="143">
        <v>100000</v>
      </c>
      <c r="C27" s="144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169"/>
      <c r="R27" s="17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5" t="s">
        <v>83</v>
      </c>
      <c r="B30" s="146"/>
      <c r="C30" s="146"/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7"/>
      <c r="Q30" s="148"/>
      <c r="R30" s="149"/>
    </row>
    <row r="31" spans="1:18" ht="17.25" customHeight="1" thickBot="1">
      <c r="A31" s="98" t="s">
        <v>236</v>
      </c>
      <c r="B31" s="145" t="s">
        <v>235</v>
      </c>
      <c r="C31" s="147"/>
      <c r="D31" s="145" t="s">
        <v>67</v>
      </c>
      <c r="E31" s="146"/>
      <c r="F31" s="147"/>
      <c r="G31" s="159">
        <f>_xlfn.IFNA(VLOOKUP(B31, 현재가테이블!$B$1:$D$200, 2, FALSE), "-")</f>
        <v>81224000</v>
      </c>
      <c r="H31" s="160"/>
      <c r="I31" s="161"/>
      <c r="J31" s="145" t="s">
        <v>69</v>
      </c>
      <c r="K31" s="146"/>
      <c r="L31" s="147"/>
      <c r="M31" s="162">
        <f>_xlfn.IFNA(VLOOKUP(B31, 현재가테이블!$B$1:$D$200, 3, FALSE), "-")</f>
        <v>3.8962367900000003E-2</v>
      </c>
      <c r="N31" s="163"/>
      <c r="O31" s="164"/>
      <c r="Q31" s="150"/>
      <c r="R31" s="151"/>
    </row>
    <row r="32" spans="1:18" ht="17.25" customHeight="1" thickBot="1">
      <c r="A32" s="152" t="s">
        <v>18</v>
      </c>
      <c r="B32" s="153" t="s">
        <v>54</v>
      </c>
      <c r="C32" s="154"/>
      <c r="D32" s="155" t="s">
        <v>20</v>
      </c>
      <c r="E32" s="156"/>
      <c r="F32" s="157"/>
      <c r="G32" s="155" t="s">
        <v>15</v>
      </c>
      <c r="H32" s="156"/>
      <c r="I32" s="157"/>
      <c r="J32" s="158" t="s">
        <v>34</v>
      </c>
      <c r="K32" s="158"/>
      <c r="L32" s="158"/>
      <c r="M32" s="155" t="s">
        <v>54</v>
      </c>
      <c r="N32" s="156"/>
      <c r="O32" s="157"/>
      <c r="Q32" s="139"/>
      <c r="R32" s="140"/>
    </row>
    <row r="33" spans="1:18" ht="17.25" customHeight="1" thickBot="1">
      <c r="A33" s="1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139"/>
      <c r="R33" s="140"/>
    </row>
    <row r="34" spans="1:18" ht="17.25" customHeight="1">
      <c r="A34" s="9" t="s">
        <v>174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137"/>
      <c r="R34" s="138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137"/>
      <c r="R35" s="138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37"/>
      <c r="R36" s="138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37"/>
      <c r="R37" s="138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37"/>
      <c r="R38" s="138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37"/>
      <c r="R39" s="138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37"/>
      <c r="R40" s="138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37"/>
      <c r="R41" s="13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39"/>
      <c r="R42" s="14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39"/>
      <c r="R43" s="140"/>
    </row>
    <row r="44" spans="1:18" ht="17.25" customHeight="1" thickBot="1">
      <c r="A44" s="57" t="s">
        <v>32</v>
      </c>
      <c r="B44" s="143">
        <v>100000</v>
      </c>
      <c r="C44" s="144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141"/>
      <c r="R44" s="14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5" t="s">
        <v>84</v>
      </c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7"/>
      <c r="Q47" s="148"/>
      <c r="R47" s="149"/>
    </row>
    <row r="48" spans="1:18" ht="17.25" customHeight="1" thickBot="1">
      <c r="A48" s="98" t="s">
        <v>236</v>
      </c>
      <c r="B48" s="145" t="s">
        <v>235</v>
      </c>
      <c r="C48" s="147"/>
      <c r="D48" s="145" t="s">
        <v>67</v>
      </c>
      <c r="E48" s="146"/>
      <c r="F48" s="147"/>
      <c r="G48" s="159">
        <f>_xlfn.IFNA(VLOOKUP(B48, 현재가테이블!$B$1:$D$200, 2, FALSE), "-")</f>
        <v>81224000</v>
      </c>
      <c r="H48" s="160"/>
      <c r="I48" s="161"/>
      <c r="J48" s="145" t="s">
        <v>69</v>
      </c>
      <c r="K48" s="146"/>
      <c r="L48" s="147"/>
      <c r="M48" s="162">
        <f>_xlfn.IFNA(VLOOKUP(B48, 현재가테이블!$B$1:$D$200, 3, FALSE), "-")</f>
        <v>3.8962367900000003E-2</v>
      </c>
      <c r="N48" s="163"/>
      <c r="O48" s="164"/>
      <c r="Q48" s="150"/>
      <c r="R48" s="151"/>
    </row>
    <row r="49" spans="1:18" ht="17.25" customHeight="1" thickBot="1">
      <c r="A49" s="152" t="s">
        <v>18</v>
      </c>
      <c r="B49" s="153" t="s">
        <v>54</v>
      </c>
      <c r="C49" s="154"/>
      <c r="D49" s="155" t="s">
        <v>20</v>
      </c>
      <c r="E49" s="156"/>
      <c r="F49" s="157"/>
      <c r="G49" s="155" t="s">
        <v>15</v>
      </c>
      <c r="H49" s="156"/>
      <c r="I49" s="157"/>
      <c r="J49" s="158" t="s">
        <v>34</v>
      </c>
      <c r="K49" s="158"/>
      <c r="L49" s="158"/>
      <c r="M49" s="155" t="s">
        <v>54</v>
      </c>
      <c r="N49" s="156"/>
      <c r="O49" s="157"/>
      <c r="Q49" s="139"/>
      <c r="R49" s="140"/>
    </row>
    <row r="50" spans="1:18" ht="17.25" customHeight="1" thickBot="1">
      <c r="A50" s="1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139"/>
      <c r="R50" s="140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137"/>
      <c r="R51" s="138"/>
    </row>
    <row r="52" spans="1:18" ht="17.25" customHeight="1">
      <c r="A52" s="11" t="s">
        <v>140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137"/>
      <c r="R52" s="138"/>
    </row>
    <row r="53" spans="1:18" ht="17.25" customHeight="1">
      <c r="A53" s="11" t="s">
        <v>155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137"/>
      <c r="R53" s="138"/>
    </row>
    <row r="54" spans="1:18" ht="17.25" customHeight="1">
      <c r="A54" s="11" t="s">
        <v>153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137"/>
      <c r="R54" s="138"/>
    </row>
    <row r="55" spans="1:18" ht="17.25" customHeight="1">
      <c r="A55" s="8" t="s">
        <v>103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137"/>
      <c r="R55" s="138"/>
    </row>
    <row r="56" spans="1:18" ht="17.25" customHeight="1">
      <c r="A56" s="11" t="s">
        <v>158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137"/>
      <c r="R56" s="138"/>
    </row>
    <row r="57" spans="1:18" ht="17.25" customHeight="1">
      <c r="A57" s="11" t="s">
        <v>116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137"/>
      <c r="R57" s="138"/>
    </row>
    <row r="58" spans="1:18" ht="17.25" customHeight="1">
      <c r="A58" s="11" t="s">
        <v>135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137"/>
      <c r="R58" s="138"/>
    </row>
    <row r="59" spans="1:18" ht="17.25" customHeight="1">
      <c r="A59" s="11" t="s">
        <v>159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139"/>
      <c r="R59" s="140"/>
    </row>
    <row r="60" spans="1:18" ht="17.25" customHeight="1" thickBot="1">
      <c r="A60" s="13" t="s">
        <v>171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139"/>
      <c r="R60" s="140"/>
    </row>
    <row r="61" spans="1:18" ht="17.25" customHeight="1" thickBot="1">
      <c r="A61" s="57" t="s">
        <v>32</v>
      </c>
      <c r="B61" s="143">
        <v>100000</v>
      </c>
      <c r="C61" s="144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141"/>
      <c r="R61" s="142"/>
    </row>
    <row r="62" spans="1:18" ht="17.25" customHeight="1"/>
    <row r="63" spans="1:18" ht="17.25" customHeight="1" thickBot="1"/>
    <row r="64" spans="1:18" ht="17.25" customHeight="1" thickBot="1">
      <c r="A64" s="145" t="s">
        <v>85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7"/>
      <c r="Q64" s="148"/>
      <c r="R64" s="149"/>
    </row>
    <row r="65" spans="1:18" ht="17.25" customHeight="1" thickBot="1">
      <c r="A65" s="98" t="s">
        <v>236</v>
      </c>
      <c r="B65" s="145" t="s">
        <v>235</v>
      </c>
      <c r="C65" s="147"/>
      <c r="D65" s="145" t="s">
        <v>67</v>
      </c>
      <c r="E65" s="146"/>
      <c r="F65" s="147"/>
      <c r="G65" s="159">
        <f>_xlfn.IFNA(VLOOKUP(B65, 현재가테이블!$B$1:$D$200, 2, FALSE), "-")</f>
        <v>81224000</v>
      </c>
      <c r="H65" s="160"/>
      <c r="I65" s="161"/>
      <c r="J65" s="145" t="s">
        <v>69</v>
      </c>
      <c r="K65" s="146"/>
      <c r="L65" s="147"/>
      <c r="M65" s="162">
        <f>_xlfn.IFNA(VLOOKUP(B65, 현재가테이블!$B$1:$D$200, 3, FALSE), "-")</f>
        <v>3.8962367900000003E-2</v>
      </c>
      <c r="N65" s="163"/>
      <c r="O65" s="164"/>
      <c r="Q65" s="150"/>
      <c r="R65" s="151"/>
    </row>
    <row r="66" spans="1:18" ht="17.25" customHeight="1" thickBot="1">
      <c r="A66" s="152" t="s">
        <v>18</v>
      </c>
      <c r="B66" s="153" t="s">
        <v>54</v>
      </c>
      <c r="C66" s="154"/>
      <c r="D66" s="155" t="s">
        <v>20</v>
      </c>
      <c r="E66" s="156"/>
      <c r="F66" s="157"/>
      <c r="G66" s="155" t="s">
        <v>15</v>
      </c>
      <c r="H66" s="156"/>
      <c r="I66" s="157"/>
      <c r="J66" s="158" t="s">
        <v>34</v>
      </c>
      <c r="K66" s="158"/>
      <c r="L66" s="158"/>
      <c r="M66" s="155" t="s">
        <v>54</v>
      </c>
      <c r="N66" s="156"/>
      <c r="O66" s="157"/>
      <c r="Q66" s="139"/>
      <c r="R66" s="140"/>
    </row>
    <row r="67" spans="1:18" ht="17.25" customHeight="1" thickBot="1">
      <c r="A67" s="1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139"/>
      <c r="R67" s="140"/>
    </row>
    <row r="68" spans="1:18" ht="17.25" customHeight="1">
      <c r="A68" s="9" t="s">
        <v>124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137"/>
      <c r="R68" s="138"/>
    </row>
    <row r="69" spans="1:18" ht="17.25" customHeight="1">
      <c r="A69" s="11" t="s">
        <v>170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137"/>
      <c r="R69" s="138"/>
    </row>
    <row r="70" spans="1:18" ht="17.25" customHeight="1">
      <c r="A70" s="11" t="s">
        <v>143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137"/>
      <c r="R70" s="138"/>
    </row>
    <row r="71" spans="1:18" ht="17.25" customHeight="1">
      <c r="A71" s="11" t="s">
        <v>161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137"/>
      <c r="R71" s="138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137"/>
      <c r="R72" s="138"/>
    </row>
    <row r="73" spans="1:18" ht="17.25" customHeight="1">
      <c r="A73" s="11" t="s">
        <v>197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137"/>
      <c r="R73" s="138"/>
    </row>
    <row r="74" spans="1:18" ht="17.25" customHeight="1">
      <c r="A74" s="11" t="s">
        <v>200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137"/>
      <c r="R74" s="138"/>
    </row>
    <row r="75" spans="1:18" ht="17.25" customHeight="1">
      <c r="A75" s="11" t="s">
        <v>207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137"/>
      <c r="R75" s="138"/>
    </row>
    <row r="76" spans="1:18" ht="17.25" customHeight="1">
      <c r="A76" s="11" t="s">
        <v>132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139"/>
      <c r="R76" s="140"/>
    </row>
    <row r="77" spans="1:18" ht="17.25" customHeight="1" thickBot="1">
      <c r="A77" s="13" t="s">
        <v>214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139"/>
      <c r="R77" s="140"/>
    </row>
    <row r="78" spans="1:18" ht="17.25" customHeight="1" thickBot="1">
      <c r="A78" s="57" t="s">
        <v>32</v>
      </c>
      <c r="B78" s="143">
        <v>100000</v>
      </c>
      <c r="C78" s="144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141"/>
      <c r="R78" s="14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5" t="s">
        <v>86</v>
      </c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7"/>
      <c r="Q81" s="148"/>
      <c r="R81" s="149"/>
    </row>
    <row r="82" spans="1:18" ht="17.25" customHeight="1" thickBot="1">
      <c r="A82" s="98" t="s">
        <v>236</v>
      </c>
      <c r="B82" s="145" t="s">
        <v>235</v>
      </c>
      <c r="C82" s="147"/>
      <c r="D82" s="145" t="s">
        <v>67</v>
      </c>
      <c r="E82" s="146"/>
      <c r="F82" s="147"/>
      <c r="G82" s="159">
        <f>_xlfn.IFNA(VLOOKUP(B82, 현재가테이블!$B$1:$D$200, 2, FALSE), "-")</f>
        <v>81224000</v>
      </c>
      <c r="H82" s="160"/>
      <c r="I82" s="161"/>
      <c r="J82" s="145" t="s">
        <v>69</v>
      </c>
      <c r="K82" s="146"/>
      <c r="L82" s="147"/>
      <c r="M82" s="162">
        <f>_xlfn.IFNA(VLOOKUP(B82, 현재가테이블!$B$1:$D$200, 3, FALSE), "-")</f>
        <v>3.8962367900000003E-2</v>
      </c>
      <c r="N82" s="163"/>
      <c r="O82" s="164"/>
      <c r="Q82" s="150"/>
      <c r="R82" s="151"/>
    </row>
    <row r="83" spans="1:18" ht="17.25" customHeight="1" thickBot="1">
      <c r="A83" s="152" t="s">
        <v>18</v>
      </c>
      <c r="B83" s="153" t="s">
        <v>54</v>
      </c>
      <c r="C83" s="154"/>
      <c r="D83" s="155" t="s">
        <v>20</v>
      </c>
      <c r="E83" s="156"/>
      <c r="F83" s="157"/>
      <c r="G83" s="155" t="s">
        <v>15</v>
      </c>
      <c r="H83" s="156"/>
      <c r="I83" s="157"/>
      <c r="J83" s="158" t="s">
        <v>34</v>
      </c>
      <c r="K83" s="158"/>
      <c r="L83" s="158"/>
      <c r="M83" s="155" t="s">
        <v>54</v>
      </c>
      <c r="N83" s="156"/>
      <c r="O83" s="157"/>
      <c r="Q83" s="139"/>
      <c r="R83" s="140"/>
    </row>
    <row r="84" spans="1:18" ht="17.25" customHeight="1" thickBot="1">
      <c r="A84" s="1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139"/>
      <c r="R84" s="140"/>
    </row>
    <row r="85" spans="1:18" ht="17.25" customHeight="1">
      <c r="A85" s="9" t="s">
        <v>146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137"/>
      <c r="R85" s="138"/>
    </row>
    <row r="86" spans="1:18" ht="17.25" customHeight="1">
      <c r="A86" s="11" t="s">
        <v>126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137"/>
      <c r="R86" s="138"/>
    </row>
    <row r="87" spans="1:18" ht="17.25" customHeight="1">
      <c r="A87" s="11" t="s">
        <v>100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137"/>
      <c r="R87" s="138"/>
    </row>
    <row r="88" spans="1:18" ht="17.25" customHeight="1">
      <c r="A88" s="11" t="s">
        <v>105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137"/>
      <c r="R88" s="138"/>
    </row>
    <row r="89" spans="1:18" ht="17.25" customHeight="1">
      <c r="A89" s="8" t="s">
        <v>125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137"/>
      <c r="R89" s="138"/>
    </row>
    <row r="90" spans="1:18" ht="17.25" customHeight="1">
      <c r="A90" s="11" t="s">
        <v>193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137"/>
      <c r="R90" s="138"/>
    </row>
    <row r="91" spans="1:18" ht="17.25" customHeight="1">
      <c r="A91" s="11" t="s">
        <v>142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137"/>
      <c r="R91" s="138"/>
    </row>
    <row r="92" spans="1:18" ht="17.25" customHeight="1">
      <c r="A92" s="11" t="s">
        <v>138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137"/>
      <c r="R92" s="138"/>
    </row>
    <row r="93" spans="1:18" ht="17.25" customHeight="1">
      <c r="A93" s="11" t="s">
        <v>101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139"/>
      <c r="R93" s="140"/>
    </row>
    <row r="94" spans="1:18" ht="17.25" customHeight="1" thickBot="1">
      <c r="A94" s="13" t="s">
        <v>122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139"/>
      <c r="R94" s="140"/>
    </row>
    <row r="95" spans="1:18" ht="17.25" customHeight="1" thickBot="1">
      <c r="A95" s="57" t="s">
        <v>32</v>
      </c>
      <c r="B95" s="143">
        <v>100000</v>
      </c>
      <c r="C95" s="144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141"/>
      <c r="R95" s="142"/>
    </row>
    <row r="96" spans="1:18" ht="17.25" customHeight="1"/>
    <row r="97" spans="1:18" ht="17.25" customHeight="1" thickBot="1"/>
    <row r="98" spans="1:18" ht="17.25" customHeight="1" thickBot="1">
      <c r="A98" s="145" t="s">
        <v>81</v>
      </c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7"/>
      <c r="Q98" s="148"/>
      <c r="R98" s="149"/>
    </row>
    <row r="99" spans="1:18" ht="17.25" customHeight="1" thickBot="1">
      <c r="A99" s="98" t="s">
        <v>236</v>
      </c>
      <c r="B99" s="145" t="s">
        <v>235</v>
      </c>
      <c r="C99" s="147"/>
      <c r="D99" s="145" t="s">
        <v>67</v>
      </c>
      <c r="E99" s="146"/>
      <c r="F99" s="147"/>
      <c r="G99" s="159">
        <f>_xlfn.IFNA(VLOOKUP(B99, 현재가테이블!$B$1:$D$200, 2, FALSE), "-")</f>
        <v>81224000</v>
      </c>
      <c r="H99" s="160"/>
      <c r="I99" s="161"/>
      <c r="J99" s="145" t="s">
        <v>69</v>
      </c>
      <c r="K99" s="146"/>
      <c r="L99" s="147"/>
      <c r="M99" s="162">
        <f>_xlfn.IFNA(VLOOKUP(B99, 현재가테이블!$B$1:$D$200, 3, FALSE), "-")</f>
        <v>3.8962367900000003E-2</v>
      </c>
      <c r="N99" s="163"/>
      <c r="O99" s="164"/>
      <c r="Q99" s="150"/>
      <c r="R99" s="151"/>
    </row>
    <row r="100" spans="1:18" ht="17.25" customHeight="1" thickBot="1">
      <c r="A100" s="152" t="s">
        <v>18</v>
      </c>
      <c r="B100" s="153" t="s">
        <v>54</v>
      </c>
      <c r="C100" s="154"/>
      <c r="D100" s="155" t="s">
        <v>20</v>
      </c>
      <c r="E100" s="156"/>
      <c r="F100" s="157"/>
      <c r="G100" s="155" t="s">
        <v>15</v>
      </c>
      <c r="H100" s="156"/>
      <c r="I100" s="157"/>
      <c r="J100" s="158" t="s">
        <v>34</v>
      </c>
      <c r="K100" s="158"/>
      <c r="L100" s="158"/>
      <c r="M100" s="155" t="s">
        <v>54</v>
      </c>
      <c r="N100" s="156"/>
      <c r="O100" s="157"/>
      <c r="Q100" s="139"/>
      <c r="R100" s="140"/>
    </row>
    <row r="101" spans="1:18" ht="17.25" customHeight="1" thickBot="1">
      <c r="A101" s="1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139"/>
      <c r="R101" s="140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137"/>
      <c r="R102" s="138"/>
    </row>
    <row r="103" spans="1:18" ht="17.25" customHeight="1">
      <c r="A103" s="11" t="s">
        <v>172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137"/>
      <c r="R103" s="138"/>
    </row>
    <row r="104" spans="1:18" ht="17.25" customHeight="1">
      <c r="A104" s="11" t="s">
        <v>134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137"/>
      <c r="R104" s="138"/>
    </row>
    <row r="105" spans="1:18" ht="17.25" customHeight="1">
      <c r="A105" s="11" t="s">
        <v>104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137"/>
      <c r="R105" s="138"/>
    </row>
    <row r="106" spans="1:18" ht="17.25" customHeight="1">
      <c r="A106" s="8" t="s">
        <v>129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137"/>
      <c r="R106" s="138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137"/>
      <c r="R107" s="138"/>
    </row>
    <row r="108" spans="1:18" ht="17.25" customHeight="1">
      <c r="A108" s="11" t="s">
        <v>166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137"/>
      <c r="R108" s="138"/>
    </row>
    <row r="109" spans="1:18" ht="17.25" customHeight="1">
      <c r="A109" s="11" t="s">
        <v>140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137"/>
      <c r="R109" s="138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139"/>
      <c r="R110" s="140"/>
    </row>
    <row r="111" spans="1:18" ht="17.25" customHeight="1" thickBot="1">
      <c r="A111" s="13" t="s">
        <v>155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139"/>
      <c r="R111" s="140"/>
    </row>
    <row r="112" spans="1:18" ht="17.25" customHeight="1" thickBot="1">
      <c r="A112" s="57" t="s">
        <v>32</v>
      </c>
      <c r="B112" s="143">
        <v>100000</v>
      </c>
      <c r="C112" s="144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141"/>
      <c r="R112" s="142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489" priority="89">
      <formula>$E$27&gt;0</formula>
    </cfRule>
    <cfRule type="expression" dxfId="488" priority="90">
      <formula>$E$27&lt;0</formula>
    </cfRule>
  </conditionalFormatting>
  <conditionalFormatting sqref="G15:I16 H27:I27">
    <cfRule type="expression" dxfId="487" priority="87">
      <formula>$H$27&gt;0</formula>
    </cfRule>
    <cfRule type="expression" dxfId="486" priority="88">
      <formula>$H$27&lt;0</formula>
    </cfRule>
  </conditionalFormatting>
  <conditionalFormatting sqref="J15:L16 K27:L27">
    <cfRule type="expression" dxfId="485" priority="85">
      <formula>$K$27&gt;0</formula>
    </cfRule>
    <cfRule type="expression" dxfId="484" priority="86">
      <formula>$K$27&lt;0</formula>
    </cfRule>
  </conditionalFormatting>
  <conditionalFormatting sqref="M15:O16 N27:O27">
    <cfRule type="expression" dxfId="483" priority="83">
      <formula>$N$27&gt;0</formula>
    </cfRule>
    <cfRule type="expression" dxfId="482" priority="84">
      <formula>$N$27&lt;0</formula>
    </cfRule>
  </conditionalFormatting>
  <conditionalFormatting sqref="A17:O26 A34:O43">
    <cfRule type="expression" dxfId="481" priority="91">
      <formula>AND($N17 &gt; 0, ISNUMBER($N17))</formula>
    </cfRule>
    <cfRule type="expression" dxfId="480" priority="92">
      <formula>AND($N17 &lt; 0, ISNUMBER($N17))</formula>
    </cfRule>
    <cfRule type="expression" dxfId="479" priority="93">
      <formula>AND($K17 &gt; 0, ISNUMBER($K17))</formula>
    </cfRule>
    <cfRule type="expression" dxfId="478" priority="94">
      <formula>AND($K17 &lt; 0, ISNUMBER($K17))</formula>
    </cfRule>
    <cfRule type="expression" dxfId="477" priority="95">
      <formula>AND($H17 &gt; 0, ISNUMBER($H17))</formula>
    </cfRule>
    <cfRule type="expression" dxfId="476" priority="96">
      <formula>AND($H17 &lt; 0, ISNUMBER($H17))</formula>
    </cfRule>
    <cfRule type="expression" dxfId="475" priority="97">
      <formula>AND($E17 &gt; 0, ISNUMBER($E17))</formula>
    </cfRule>
    <cfRule type="expression" dxfId="474" priority="98">
      <formula>AND($E17 &lt; 0, ISNUMBER($E17))</formula>
    </cfRule>
  </conditionalFormatting>
  <conditionalFormatting sqref="D32:F33 E44:F44">
    <cfRule type="expression" dxfId="473" priority="81">
      <formula>$E$44&gt;0</formula>
    </cfRule>
    <cfRule type="expression" dxfId="472" priority="82">
      <formula>$E$44&lt;0</formula>
    </cfRule>
  </conditionalFormatting>
  <conditionalFormatting sqref="G32:I33 H44:I44">
    <cfRule type="expression" dxfId="471" priority="79">
      <formula>$H$44&gt;0</formula>
    </cfRule>
    <cfRule type="expression" dxfId="470" priority="80">
      <formula>$H$44&lt;0</formula>
    </cfRule>
  </conditionalFormatting>
  <conditionalFormatting sqref="J32:L33 K44:L44">
    <cfRule type="expression" dxfId="469" priority="77">
      <formula>$K$44&gt;0</formula>
    </cfRule>
    <cfRule type="expression" dxfId="468" priority="78">
      <formula>$K$44&lt;0</formula>
    </cfRule>
  </conditionalFormatting>
  <conditionalFormatting sqref="M32:O33 N44:O44">
    <cfRule type="expression" dxfId="467" priority="75">
      <formula>$N$44&gt;0</formula>
    </cfRule>
    <cfRule type="expression" dxfId="466" priority="76">
      <formula>$N$44&lt;0</formula>
    </cfRule>
  </conditionalFormatting>
  <conditionalFormatting sqref="A51:O60">
    <cfRule type="expression" dxfId="465" priority="67">
      <formula>AND($N51 &gt; 0, ISNUMBER($N51))</formula>
    </cfRule>
    <cfRule type="expression" dxfId="464" priority="68">
      <formula>AND($N51 &lt; 0, ISNUMBER($N51))</formula>
    </cfRule>
    <cfRule type="expression" dxfId="463" priority="69">
      <formula>AND($K51 &gt; 0, ISNUMBER($K51))</formula>
    </cfRule>
    <cfRule type="expression" dxfId="462" priority="70">
      <formula>AND($K51 &lt; 0, ISNUMBER($K51))</formula>
    </cfRule>
    <cfRule type="expression" dxfId="461" priority="71">
      <formula>AND($H51 &gt; 0, ISNUMBER($H51))</formula>
    </cfRule>
    <cfRule type="expression" dxfId="460" priority="72">
      <formula>AND($H51 &lt; 0, ISNUMBER($H51))</formula>
    </cfRule>
    <cfRule type="expression" dxfId="459" priority="73">
      <formula>AND($E51 &gt; 0, ISNUMBER($E51))</formula>
    </cfRule>
    <cfRule type="expression" dxfId="458" priority="74">
      <formula>AND($E51 &lt; 0, ISNUMBER($E51))</formula>
    </cfRule>
  </conditionalFormatting>
  <conditionalFormatting sqref="D49:F50 E61:F61">
    <cfRule type="expression" dxfId="457" priority="65">
      <formula>$E$61&gt;0</formula>
    </cfRule>
    <cfRule type="expression" dxfId="456" priority="66">
      <formula>$E$61&lt;0</formula>
    </cfRule>
  </conditionalFormatting>
  <conditionalFormatting sqref="G49:I50 H61:I61">
    <cfRule type="expression" dxfId="455" priority="63">
      <formula>$H$61&gt;0</formula>
    </cfRule>
    <cfRule type="expression" dxfId="454" priority="64">
      <formula>$H$61&lt;0</formula>
    </cfRule>
  </conditionalFormatting>
  <conditionalFormatting sqref="J49:L50 K61:L61">
    <cfRule type="expression" dxfId="453" priority="61">
      <formula>$K$61&gt;0</formula>
    </cfRule>
    <cfRule type="expression" dxfId="452" priority="62">
      <formula>$K$61&lt;0</formula>
    </cfRule>
  </conditionalFormatting>
  <conditionalFormatting sqref="M49:O50 N61:O61">
    <cfRule type="expression" dxfId="451" priority="59">
      <formula>$N$61&gt;0</formula>
    </cfRule>
    <cfRule type="expression" dxfId="450" priority="60">
      <formula>$N$61&lt;0</formula>
    </cfRule>
  </conditionalFormatting>
  <conditionalFormatting sqref="A68:O77">
    <cfRule type="expression" dxfId="449" priority="51">
      <formula>AND($N68 &gt; 0, ISNUMBER($N68))</formula>
    </cfRule>
    <cfRule type="expression" dxfId="448" priority="52">
      <formula>AND($N68 &lt; 0, ISNUMBER($N68))</formula>
    </cfRule>
    <cfRule type="expression" dxfId="447" priority="53">
      <formula>AND($K68 &gt; 0, ISNUMBER($K68))</formula>
    </cfRule>
    <cfRule type="expression" dxfId="446" priority="54">
      <formula>AND($K68 &lt; 0, ISNUMBER($K68))</formula>
    </cfRule>
    <cfRule type="expression" dxfId="445" priority="55">
      <formula>AND($H68 &gt; 0, ISNUMBER($H68))</formula>
    </cfRule>
    <cfRule type="expression" dxfId="444" priority="56">
      <formula>AND($H68 &lt; 0, ISNUMBER($H68))</formula>
    </cfRule>
    <cfRule type="expression" dxfId="443" priority="57">
      <formula>AND($E68 &gt; 0, ISNUMBER($E68))</formula>
    </cfRule>
    <cfRule type="expression" dxfId="442" priority="58">
      <formula>AND($E68 &lt; 0, ISNUMBER($E68))</formula>
    </cfRule>
  </conditionalFormatting>
  <conditionalFormatting sqref="D66:F67 E78:F78">
    <cfRule type="expression" dxfId="441" priority="49">
      <formula>$E$78&gt;0</formula>
    </cfRule>
    <cfRule type="expression" dxfId="440" priority="50">
      <formula>$E$78&lt;0</formula>
    </cfRule>
  </conditionalFormatting>
  <conditionalFormatting sqref="G66:I67 H78:I78">
    <cfRule type="expression" dxfId="439" priority="47">
      <formula>$H$78&gt;0</formula>
    </cfRule>
    <cfRule type="expression" dxfId="438" priority="48">
      <formula>$H$78&lt;0</formula>
    </cfRule>
  </conditionalFormatting>
  <conditionalFormatting sqref="J66:L67 K78:L78">
    <cfRule type="expression" dxfId="437" priority="45">
      <formula>$K$78&gt;0</formula>
    </cfRule>
    <cfRule type="expression" dxfId="436" priority="46">
      <formula>$K$78&lt;0</formula>
    </cfRule>
  </conditionalFormatting>
  <conditionalFormatting sqref="M66:O67 N78:O78">
    <cfRule type="expression" dxfId="435" priority="43">
      <formula>$N$78&gt;0</formula>
    </cfRule>
    <cfRule type="expression" dxfId="434" priority="44">
      <formula>$N$78&lt;0</formula>
    </cfRule>
  </conditionalFormatting>
  <conditionalFormatting sqref="A85:O94">
    <cfRule type="expression" dxfId="433" priority="35">
      <formula>AND($N85 &gt; 0, ISNUMBER($N85))</formula>
    </cfRule>
    <cfRule type="expression" dxfId="432" priority="36">
      <formula>AND($N85 &lt; 0, ISNUMBER($N85))</formula>
    </cfRule>
    <cfRule type="expression" dxfId="431" priority="37">
      <formula>AND($K85 &gt; 0, ISNUMBER($K85))</formula>
    </cfRule>
    <cfRule type="expression" dxfId="430" priority="38">
      <formula>AND($K85 &lt; 0, ISNUMBER($K85))</formula>
    </cfRule>
    <cfRule type="expression" dxfId="429" priority="39">
      <formula>AND($H85 &gt; 0, ISNUMBER($H85))</formula>
    </cfRule>
    <cfRule type="expression" dxfId="428" priority="40">
      <formula>AND($H85 &lt; 0, ISNUMBER($H85))</formula>
    </cfRule>
    <cfRule type="expression" dxfId="427" priority="41">
      <formula>AND($E85 &gt; 0, ISNUMBER($E85))</formula>
    </cfRule>
    <cfRule type="expression" dxfId="426" priority="42">
      <formula>AND($E85 &lt; 0, ISNUMBER($E85))</formula>
    </cfRule>
  </conditionalFormatting>
  <conditionalFormatting sqref="D83:F84 E95:F95">
    <cfRule type="expression" dxfId="425" priority="33">
      <formula>$E$95&gt;0</formula>
    </cfRule>
    <cfRule type="expression" dxfId="424" priority="34">
      <formula>$E$95&lt;0</formula>
    </cfRule>
  </conditionalFormatting>
  <conditionalFormatting sqref="G83:I84 H95:I95">
    <cfRule type="expression" dxfId="423" priority="31">
      <formula>$H$95&gt;0</formula>
    </cfRule>
    <cfRule type="expression" dxfId="422" priority="32">
      <formula>$H$95&lt;0</formula>
    </cfRule>
  </conditionalFormatting>
  <conditionalFormatting sqref="J83:L84 K95:L95">
    <cfRule type="expression" dxfId="421" priority="29">
      <formula>$K$95&gt;0</formula>
    </cfRule>
    <cfRule type="expression" dxfId="420" priority="30">
      <formula>$K$95&lt;0</formula>
    </cfRule>
  </conditionalFormatting>
  <conditionalFormatting sqref="M83:O84 N95:O95">
    <cfRule type="expression" dxfId="419" priority="27">
      <formula>$N$95&gt;0</formula>
    </cfRule>
    <cfRule type="expression" dxfId="418" priority="28">
      <formula>$N$95&lt;0</formula>
    </cfRule>
  </conditionalFormatting>
  <conditionalFormatting sqref="A102:O111">
    <cfRule type="expression" dxfId="417" priority="19">
      <formula>AND($N102 &gt; 0, ISNUMBER($N102))</formula>
    </cfRule>
    <cfRule type="expression" dxfId="416" priority="20">
      <formula>AND($N102 &lt; 0, ISNUMBER($N102))</formula>
    </cfRule>
    <cfRule type="expression" dxfId="415" priority="21">
      <formula>AND($K102 &gt; 0, ISNUMBER($K102))</formula>
    </cfRule>
    <cfRule type="expression" dxfId="414" priority="22">
      <formula>AND($K102 &lt; 0, ISNUMBER($K102))</formula>
    </cfRule>
    <cfRule type="expression" dxfId="413" priority="23">
      <formula>AND($H102 &gt; 0, ISNUMBER($H102))</formula>
    </cfRule>
    <cfRule type="expression" dxfId="412" priority="24">
      <formula>AND($H102 &lt; 0, ISNUMBER($H102))</formula>
    </cfRule>
    <cfRule type="expression" dxfId="411" priority="25">
      <formula>AND($E102 &gt; 0, ISNUMBER($E102))</formula>
    </cfRule>
    <cfRule type="expression" dxfId="410" priority="26">
      <formula>AND($E102 &lt; 0, ISNUMBER($E102))</formula>
    </cfRule>
  </conditionalFormatting>
  <conditionalFormatting sqref="D100:F101 E112:F112">
    <cfRule type="expression" dxfId="409" priority="17">
      <formula>$E$112&gt;0</formula>
    </cfRule>
    <cfRule type="expression" dxfId="408" priority="18">
      <formula>$E$112&lt;0</formula>
    </cfRule>
  </conditionalFormatting>
  <conditionalFormatting sqref="G100:I101 H112:I112">
    <cfRule type="expression" dxfId="407" priority="15">
      <formula>$H$112&gt;0</formula>
    </cfRule>
    <cfRule type="expression" dxfId="406" priority="16">
      <formula>$H$112&lt;0</formula>
    </cfRule>
  </conditionalFormatting>
  <conditionalFormatting sqref="J100:L101 K112:L112">
    <cfRule type="expression" dxfId="405" priority="13">
      <formula>$K$112&gt;0</formula>
    </cfRule>
    <cfRule type="expression" dxfId="404" priority="14">
      <formula>$K$112&lt;0</formula>
    </cfRule>
  </conditionalFormatting>
  <conditionalFormatting sqref="M100:O101 N112:O112">
    <cfRule type="expression" dxfId="403" priority="11">
      <formula>$N$112&gt;0</formula>
    </cfRule>
    <cfRule type="expression" dxfId="402" priority="12">
      <formula>$N$112&lt;0</formula>
    </cfRule>
  </conditionalFormatting>
  <conditionalFormatting sqref="G2:I3">
    <cfRule type="expression" dxfId="4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5" zoomScaleNormal="100" workbookViewId="0">
      <selection activeCell="G29" sqref="G2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45" t="s">
        <v>0</v>
      </c>
      <c r="B1" s="146"/>
      <c r="C1" s="146"/>
      <c r="D1" s="146"/>
      <c r="E1" s="146"/>
      <c r="F1" s="147"/>
      <c r="G1" s="189">
        <v>44296</v>
      </c>
      <c r="H1" s="190"/>
      <c r="I1" s="191"/>
      <c r="J1" s="145" t="s">
        <v>33</v>
      </c>
      <c r="K1" s="146"/>
      <c r="L1" s="146"/>
      <c r="M1" s="146"/>
      <c r="N1" s="146"/>
      <c r="O1" s="147"/>
      <c r="Q1" s="145" t="s">
        <v>1</v>
      </c>
      <c r="R1" s="147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86" t="s">
        <v>83</v>
      </c>
      <c r="H2" s="187"/>
      <c r="I2" s="188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83" t="s">
        <v>55</v>
      </c>
      <c r="C3" s="184"/>
      <c r="D3" s="184"/>
      <c r="E3" s="184"/>
      <c r="F3" s="185"/>
      <c r="G3" s="17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175"/>
      <c r="I3" s="176"/>
      <c r="J3" s="1" t="s">
        <v>23</v>
      </c>
      <c r="K3" s="183" t="s">
        <v>59</v>
      </c>
      <c r="L3" s="184"/>
      <c r="M3" s="184"/>
      <c r="N3" s="184"/>
      <c r="O3" s="18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3" t="s">
        <v>56</v>
      </c>
      <c r="C4" s="184"/>
      <c r="D4" s="184"/>
      <c r="E4" s="184"/>
      <c r="F4" s="185"/>
      <c r="G4" s="186" t="s">
        <v>84</v>
      </c>
      <c r="H4" s="187"/>
      <c r="I4" s="188"/>
      <c r="J4" s="1" t="s">
        <v>30</v>
      </c>
      <c r="K4" s="183" t="s">
        <v>60</v>
      </c>
      <c r="L4" s="184"/>
      <c r="M4" s="184"/>
      <c r="N4" s="184"/>
      <c r="O4" s="185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183" t="s">
        <v>57</v>
      </c>
      <c r="C5" s="184"/>
      <c r="D5" s="184"/>
      <c r="E5" s="184"/>
      <c r="F5" s="185"/>
      <c r="G5" s="17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175"/>
      <c r="I5" s="176"/>
      <c r="J5" s="1" t="s">
        <v>24</v>
      </c>
      <c r="K5" s="183" t="s">
        <v>62</v>
      </c>
      <c r="L5" s="184"/>
      <c r="M5" s="184"/>
      <c r="N5" s="184"/>
      <c r="O5" s="185"/>
    </row>
    <row r="6" spans="1:18">
      <c r="A6" s="1" t="s">
        <v>25</v>
      </c>
      <c r="B6" s="183" t="s">
        <v>58</v>
      </c>
      <c r="C6" s="184"/>
      <c r="D6" s="184"/>
      <c r="E6" s="184"/>
      <c r="F6" s="185"/>
      <c r="G6" s="186" t="s">
        <v>85</v>
      </c>
      <c r="H6" s="187"/>
      <c r="I6" s="188"/>
      <c r="J6" s="1" t="s">
        <v>25</v>
      </c>
      <c r="K6" s="183" t="s">
        <v>63</v>
      </c>
      <c r="L6" s="184"/>
      <c r="M6" s="184"/>
      <c r="N6" s="184"/>
      <c r="O6" s="185"/>
    </row>
    <row r="7" spans="1:18" ht="17.25" thickBot="1">
      <c r="A7" s="1" t="s">
        <v>26</v>
      </c>
      <c r="B7" s="183" t="s">
        <v>64</v>
      </c>
      <c r="C7" s="184"/>
      <c r="D7" s="184"/>
      <c r="E7" s="184"/>
      <c r="F7" s="185"/>
      <c r="G7" s="17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175"/>
      <c r="I7" s="176"/>
      <c r="J7" s="1" t="s">
        <v>26</v>
      </c>
      <c r="K7" s="183" t="s">
        <v>65</v>
      </c>
      <c r="L7" s="184"/>
      <c r="M7" s="184"/>
      <c r="N7" s="184"/>
      <c r="O7" s="185"/>
    </row>
    <row r="8" spans="1:18" ht="17.25" thickBot="1">
      <c r="A8" s="1" t="s">
        <v>27</v>
      </c>
      <c r="B8" s="183" t="s">
        <v>66</v>
      </c>
      <c r="C8" s="184"/>
      <c r="D8" s="184"/>
      <c r="E8" s="184"/>
      <c r="F8" s="185"/>
      <c r="G8" s="186" t="s">
        <v>86</v>
      </c>
      <c r="H8" s="187"/>
      <c r="I8" s="188"/>
      <c r="J8" s="1" t="s">
        <v>27</v>
      </c>
      <c r="K8" s="183" t="s">
        <v>88</v>
      </c>
      <c r="L8" s="184"/>
      <c r="M8" s="184"/>
      <c r="N8" s="184"/>
      <c r="O8" s="185"/>
      <c r="Q8" s="145" t="s">
        <v>16</v>
      </c>
      <c r="R8" s="147"/>
    </row>
    <row r="9" spans="1:18" ht="17.25" thickBot="1">
      <c r="A9" s="1" t="s">
        <v>28</v>
      </c>
      <c r="B9" s="183"/>
      <c r="C9" s="184"/>
      <c r="D9" s="184"/>
      <c r="E9" s="184"/>
      <c r="F9" s="185"/>
      <c r="G9" s="17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175"/>
      <c r="I9" s="176"/>
      <c r="J9" s="1" t="s">
        <v>28</v>
      </c>
      <c r="K9" s="183"/>
      <c r="L9" s="184"/>
      <c r="M9" s="184"/>
      <c r="N9" s="184"/>
      <c r="O9" s="185"/>
      <c r="Q9" s="18" t="s">
        <v>2</v>
      </c>
      <c r="R9" s="51">
        <v>10</v>
      </c>
    </row>
    <row r="10" spans="1:18">
      <c r="A10" s="1" t="s">
        <v>29</v>
      </c>
      <c r="B10" s="183"/>
      <c r="C10" s="184"/>
      <c r="D10" s="184"/>
      <c r="E10" s="184"/>
      <c r="F10" s="185"/>
      <c r="G10" s="186" t="s">
        <v>81</v>
      </c>
      <c r="H10" s="187"/>
      <c r="I10" s="188"/>
      <c r="J10" s="1" t="s">
        <v>29</v>
      </c>
      <c r="K10" s="183"/>
      <c r="L10" s="184"/>
      <c r="M10" s="184"/>
      <c r="N10" s="184"/>
      <c r="O10" s="185"/>
      <c r="Q10" s="18" t="s">
        <v>3</v>
      </c>
      <c r="R10" s="51">
        <v>100</v>
      </c>
    </row>
    <row r="11" spans="1:18" ht="17.25" thickBot="1">
      <c r="A11" s="2" t="s">
        <v>21</v>
      </c>
      <c r="B11" s="171"/>
      <c r="C11" s="172"/>
      <c r="D11" s="172"/>
      <c r="E11" s="172"/>
      <c r="F11" s="173"/>
      <c r="G11" s="17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175"/>
      <c r="I11" s="176"/>
      <c r="J11" s="2" t="s">
        <v>21</v>
      </c>
      <c r="K11" s="171"/>
      <c r="L11" s="172"/>
      <c r="M11" s="172"/>
      <c r="N11" s="172"/>
      <c r="O11" s="173"/>
      <c r="Q11" s="114" t="s">
        <v>17</v>
      </c>
      <c r="R11" s="52">
        <v>1000</v>
      </c>
    </row>
    <row r="12" spans="1:18" ht="17.25" thickBot="1"/>
    <row r="13" spans="1:18" ht="17.25" customHeight="1" thickBot="1">
      <c r="A13" s="145" t="s">
        <v>87</v>
      </c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Q13" s="177"/>
      <c r="R13" s="178"/>
    </row>
    <row r="14" spans="1:18" ht="17.25" customHeight="1" thickBot="1">
      <c r="A14" s="109" t="s">
        <v>236</v>
      </c>
      <c r="B14" s="145" t="s">
        <v>235</v>
      </c>
      <c r="C14" s="147"/>
      <c r="D14" s="145" t="s">
        <v>67</v>
      </c>
      <c r="E14" s="146"/>
      <c r="F14" s="147"/>
      <c r="G14" s="159">
        <f>_xlfn.IFNA(VLOOKUP(B14, 현재가테이블!$B$1:$D$200, 2, FALSE), "-")</f>
        <v>81224000</v>
      </c>
      <c r="H14" s="160"/>
      <c r="I14" s="161"/>
      <c r="J14" s="145" t="s">
        <v>69</v>
      </c>
      <c r="K14" s="146"/>
      <c r="L14" s="147"/>
      <c r="M14" s="162">
        <f>_xlfn.IFNA(VLOOKUP(B14, 현재가테이블!$B$1:$D$200, 3, FALSE), "-")</f>
        <v>3.8962367900000003E-2</v>
      </c>
      <c r="N14" s="163"/>
      <c r="O14" s="164"/>
      <c r="Q14" s="179"/>
      <c r="R14" s="180"/>
    </row>
    <row r="15" spans="1:18" ht="17.25" customHeight="1" thickBot="1">
      <c r="A15" s="152" t="s">
        <v>18</v>
      </c>
      <c r="B15" s="153" t="s">
        <v>54</v>
      </c>
      <c r="C15" s="154"/>
      <c r="D15" s="181" t="s">
        <v>20</v>
      </c>
      <c r="E15" s="158"/>
      <c r="F15" s="182"/>
      <c r="G15" s="181" t="s">
        <v>15</v>
      </c>
      <c r="H15" s="158"/>
      <c r="I15" s="182"/>
      <c r="J15" s="158" t="s">
        <v>34</v>
      </c>
      <c r="K15" s="158"/>
      <c r="L15" s="158"/>
      <c r="M15" s="181" t="s">
        <v>54</v>
      </c>
      <c r="N15" s="158"/>
      <c r="O15" s="182"/>
      <c r="Q15" s="167"/>
      <c r="R15" s="168"/>
    </row>
    <row r="16" spans="1:18" ht="17.25" customHeight="1" thickBot="1">
      <c r="A16" s="1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167"/>
      <c r="R16" s="168"/>
    </row>
    <row r="17" spans="1:18" ht="17.25" customHeight="1">
      <c r="A17" s="39" t="s">
        <v>160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165"/>
      <c r="R17" s="166"/>
    </row>
    <row r="18" spans="1:18" ht="17.25" customHeight="1">
      <c r="A18" s="40" t="s">
        <v>178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165"/>
      <c r="R18" s="166"/>
    </row>
    <row r="19" spans="1:18" ht="17.25" customHeight="1">
      <c r="A19" s="40" t="s">
        <v>214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165"/>
      <c r="R19" s="166"/>
    </row>
    <row r="20" spans="1:18" ht="17.25" customHeight="1">
      <c r="A20" s="40" t="s">
        <v>167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165"/>
      <c r="R20" s="166"/>
    </row>
    <row r="21" spans="1:18" ht="17.25" customHeight="1">
      <c r="A21" s="41" t="s">
        <v>217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165"/>
      <c r="R21" s="166"/>
    </row>
    <row r="22" spans="1:18" ht="17.25" customHeight="1">
      <c r="A22" s="40" t="s">
        <v>243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165"/>
      <c r="R22" s="166"/>
    </row>
    <row r="23" spans="1:18" ht="17.25" customHeight="1">
      <c r="A23" s="40" t="s">
        <v>203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165"/>
      <c r="R23" s="166"/>
    </row>
    <row r="24" spans="1:18" ht="17.25" customHeight="1">
      <c r="A24" s="40" t="s">
        <v>197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165"/>
      <c r="R24" s="166"/>
    </row>
    <row r="25" spans="1:18" ht="17.25" customHeight="1">
      <c r="A25" s="40" t="s">
        <v>101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167"/>
      <c r="R25" s="168"/>
    </row>
    <row r="26" spans="1:18" ht="17.25" customHeight="1" thickBot="1">
      <c r="A26" s="42" t="s">
        <v>156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167"/>
      <c r="R26" s="168"/>
    </row>
    <row r="27" spans="1:18" ht="17.25" customHeight="1" thickBot="1">
      <c r="A27" s="57" t="s">
        <v>32</v>
      </c>
      <c r="B27" s="143">
        <v>100000</v>
      </c>
      <c r="C27" s="144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169"/>
      <c r="R27" s="17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5" t="s">
        <v>83</v>
      </c>
      <c r="B30" s="146"/>
      <c r="C30" s="146"/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7"/>
      <c r="Q30" s="148"/>
      <c r="R30" s="149"/>
    </row>
    <row r="31" spans="1:18" ht="17.25" customHeight="1" thickBot="1">
      <c r="A31" s="109" t="s">
        <v>236</v>
      </c>
      <c r="B31" s="145" t="s">
        <v>235</v>
      </c>
      <c r="C31" s="147"/>
      <c r="D31" s="145" t="s">
        <v>67</v>
      </c>
      <c r="E31" s="146"/>
      <c r="F31" s="147"/>
      <c r="G31" s="159">
        <f>_xlfn.IFNA(VLOOKUP(B31, 현재가테이블!$B$1:$D$200, 2, FALSE), "-")</f>
        <v>81224000</v>
      </c>
      <c r="H31" s="160"/>
      <c r="I31" s="161"/>
      <c r="J31" s="145" t="s">
        <v>69</v>
      </c>
      <c r="K31" s="146"/>
      <c r="L31" s="147"/>
      <c r="M31" s="162">
        <f>_xlfn.IFNA(VLOOKUP(B31, 현재가테이블!$B$1:$D$200, 3, FALSE), "-")</f>
        <v>3.8962367900000003E-2</v>
      </c>
      <c r="N31" s="163"/>
      <c r="O31" s="164"/>
      <c r="Q31" s="150"/>
      <c r="R31" s="151"/>
    </row>
    <row r="32" spans="1:18" ht="17.25" customHeight="1" thickBot="1">
      <c r="A32" s="152" t="s">
        <v>18</v>
      </c>
      <c r="B32" s="153" t="s">
        <v>54</v>
      </c>
      <c r="C32" s="154"/>
      <c r="D32" s="155" t="s">
        <v>20</v>
      </c>
      <c r="E32" s="156"/>
      <c r="F32" s="157"/>
      <c r="G32" s="155" t="s">
        <v>15</v>
      </c>
      <c r="H32" s="156"/>
      <c r="I32" s="157"/>
      <c r="J32" s="158" t="s">
        <v>34</v>
      </c>
      <c r="K32" s="158"/>
      <c r="L32" s="158"/>
      <c r="M32" s="155" t="s">
        <v>54</v>
      </c>
      <c r="N32" s="156"/>
      <c r="O32" s="157"/>
      <c r="Q32" s="139"/>
      <c r="R32" s="140"/>
    </row>
    <row r="33" spans="1:18" ht="17.25" customHeight="1" thickBot="1">
      <c r="A33" s="1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139"/>
      <c r="R33" s="140"/>
    </row>
    <row r="34" spans="1:18" ht="17.25" customHeight="1">
      <c r="A34" s="9" t="s">
        <v>186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137"/>
      <c r="R34" s="138"/>
    </row>
    <row r="35" spans="1:18" ht="17.25" customHeight="1">
      <c r="A35" s="11" t="s">
        <v>158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137"/>
      <c r="R35" s="138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137"/>
      <c r="R36" s="138"/>
    </row>
    <row r="37" spans="1:18" ht="17.25" customHeight="1">
      <c r="A37" s="11" t="s">
        <v>103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137"/>
      <c r="R37" s="138"/>
    </row>
    <row r="38" spans="1:18" ht="17.25" customHeight="1">
      <c r="A38" s="8" t="s">
        <v>159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137"/>
      <c r="R38" s="138"/>
    </row>
    <row r="39" spans="1:18" ht="17.25" customHeight="1">
      <c r="A39" s="11" t="s">
        <v>171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137"/>
      <c r="R39" s="138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37"/>
      <c r="R40" s="138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37"/>
      <c r="R41" s="138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39"/>
      <c r="R42" s="140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39"/>
      <c r="R43" s="140"/>
    </row>
    <row r="44" spans="1:18" ht="17.25" customHeight="1" thickBot="1">
      <c r="A44" s="57" t="s">
        <v>32</v>
      </c>
      <c r="B44" s="143">
        <v>100000</v>
      </c>
      <c r="C44" s="144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141"/>
      <c r="R44" s="14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5" t="s">
        <v>84</v>
      </c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7"/>
      <c r="Q47" s="148"/>
      <c r="R47" s="149"/>
    </row>
    <row r="48" spans="1:18" ht="17.25" customHeight="1" thickBot="1">
      <c r="A48" s="109" t="s">
        <v>236</v>
      </c>
      <c r="B48" s="145" t="s">
        <v>235</v>
      </c>
      <c r="C48" s="147"/>
      <c r="D48" s="145" t="s">
        <v>67</v>
      </c>
      <c r="E48" s="146"/>
      <c r="F48" s="147"/>
      <c r="G48" s="159">
        <f>_xlfn.IFNA(VLOOKUP(B48, 현재가테이블!$B$1:$D$200, 2, FALSE), "-")</f>
        <v>81224000</v>
      </c>
      <c r="H48" s="160"/>
      <c r="I48" s="161"/>
      <c r="J48" s="145" t="s">
        <v>69</v>
      </c>
      <c r="K48" s="146"/>
      <c r="L48" s="147"/>
      <c r="M48" s="162">
        <f>_xlfn.IFNA(VLOOKUP(B48, 현재가테이블!$B$1:$D$200, 3, FALSE), "-")</f>
        <v>3.8962367900000003E-2</v>
      </c>
      <c r="N48" s="163"/>
      <c r="O48" s="164"/>
      <c r="Q48" s="150"/>
      <c r="R48" s="151"/>
    </row>
    <row r="49" spans="1:18" ht="17.25" customHeight="1" thickBot="1">
      <c r="A49" s="152" t="s">
        <v>18</v>
      </c>
      <c r="B49" s="153" t="s">
        <v>54</v>
      </c>
      <c r="C49" s="154"/>
      <c r="D49" s="155" t="s">
        <v>20</v>
      </c>
      <c r="E49" s="156"/>
      <c r="F49" s="157"/>
      <c r="G49" s="155" t="s">
        <v>15</v>
      </c>
      <c r="H49" s="156"/>
      <c r="I49" s="157"/>
      <c r="J49" s="158" t="s">
        <v>34</v>
      </c>
      <c r="K49" s="158"/>
      <c r="L49" s="158"/>
      <c r="M49" s="155" t="s">
        <v>54</v>
      </c>
      <c r="N49" s="156"/>
      <c r="O49" s="157"/>
      <c r="Q49" s="139"/>
      <c r="R49" s="140"/>
    </row>
    <row r="50" spans="1:18" ht="17.25" customHeight="1" thickBot="1">
      <c r="A50" s="1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139"/>
      <c r="R50" s="140"/>
    </row>
    <row r="51" spans="1:18" ht="17.25" customHeight="1">
      <c r="A51" s="9" t="s">
        <v>153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137"/>
      <c r="R51" s="138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37"/>
      <c r="R52" s="138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37"/>
      <c r="R53" s="138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37"/>
      <c r="R54" s="138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37"/>
      <c r="R55" s="138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37"/>
      <c r="R56" s="13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37"/>
      <c r="R57" s="13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37"/>
      <c r="R58" s="13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39"/>
      <c r="R59" s="14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39"/>
      <c r="R60" s="140"/>
    </row>
    <row r="61" spans="1:18" ht="17.25" customHeight="1" thickBot="1">
      <c r="A61" s="57" t="s">
        <v>32</v>
      </c>
      <c r="B61" s="143">
        <v>100000</v>
      </c>
      <c r="C61" s="144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141"/>
      <c r="R61" s="142"/>
    </row>
    <row r="62" spans="1:18" ht="17.25" customHeight="1"/>
    <row r="63" spans="1:18" ht="17.25" customHeight="1" thickBot="1"/>
    <row r="64" spans="1:18" ht="17.25" customHeight="1" thickBot="1">
      <c r="A64" s="145" t="s">
        <v>85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7"/>
      <c r="Q64" s="148"/>
      <c r="R64" s="149"/>
    </row>
    <row r="65" spans="1:18" ht="17.25" customHeight="1" thickBot="1">
      <c r="A65" s="109" t="s">
        <v>236</v>
      </c>
      <c r="B65" s="145" t="s">
        <v>235</v>
      </c>
      <c r="C65" s="147"/>
      <c r="D65" s="145" t="s">
        <v>67</v>
      </c>
      <c r="E65" s="146"/>
      <c r="F65" s="147"/>
      <c r="G65" s="159">
        <f>_xlfn.IFNA(VLOOKUP(B65, 현재가테이블!$B$1:$D$200, 2, FALSE), "-")</f>
        <v>81224000</v>
      </c>
      <c r="H65" s="160"/>
      <c r="I65" s="161"/>
      <c r="J65" s="145" t="s">
        <v>69</v>
      </c>
      <c r="K65" s="146"/>
      <c r="L65" s="147"/>
      <c r="M65" s="162">
        <f>_xlfn.IFNA(VLOOKUP(B65, 현재가테이블!$B$1:$D$200, 3, FALSE), "-")</f>
        <v>3.8962367900000003E-2</v>
      </c>
      <c r="N65" s="163"/>
      <c r="O65" s="164"/>
      <c r="Q65" s="150"/>
      <c r="R65" s="151"/>
    </row>
    <row r="66" spans="1:18" ht="17.25" customHeight="1" thickBot="1">
      <c r="A66" s="152" t="s">
        <v>18</v>
      </c>
      <c r="B66" s="153" t="s">
        <v>54</v>
      </c>
      <c r="C66" s="154"/>
      <c r="D66" s="155" t="s">
        <v>20</v>
      </c>
      <c r="E66" s="156"/>
      <c r="F66" s="157"/>
      <c r="G66" s="155" t="s">
        <v>15</v>
      </c>
      <c r="H66" s="156"/>
      <c r="I66" s="157"/>
      <c r="J66" s="158" t="s">
        <v>34</v>
      </c>
      <c r="K66" s="158"/>
      <c r="L66" s="158"/>
      <c r="M66" s="155" t="s">
        <v>54</v>
      </c>
      <c r="N66" s="156"/>
      <c r="O66" s="157"/>
      <c r="Q66" s="139"/>
      <c r="R66" s="140"/>
    </row>
    <row r="67" spans="1:18" ht="17.25" customHeight="1" thickBot="1">
      <c r="A67" s="1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139"/>
      <c r="R67" s="140"/>
    </row>
    <row r="68" spans="1:18" ht="17.25" customHeight="1">
      <c r="A68" s="9" t="s">
        <v>109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137"/>
      <c r="R68" s="138"/>
    </row>
    <row r="69" spans="1:18" ht="17.25" customHeight="1">
      <c r="A69" s="11" t="s">
        <v>126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137"/>
      <c r="R69" s="138"/>
    </row>
    <row r="70" spans="1:18" ht="17.25" customHeight="1">
      <c r="A70" s="11" t="s">
        <v>145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137"/>
      <c r="R70" s="138"/>
    </row>
    <row r="71" spans="1:18" ht="17.25" customHeight="1">
      <c r="A71" s="11" t="s">
        <v>137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137"/>
      <c r="R71" s="138"/>
    </row>
    <row r="72" spans="1:18" ht="17.25" customHeight="1">
      <c r="A72" s="8" t="s">
        <v>105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137"/>
      <c r="R72" s="138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137"/>
      <c r="R73" s="138"/>
    </row>
    <row r="74" spans="1:18" ht="17.25" customHeight="1">
      <c r="A74" s="11" t="s">
        <v>122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137"/>
      <c r="R74" s="138"/>
    </row>
    <row r="75" spans="1:18" ht="17.25" customHeight="1">
      <c r="A75" s="11" t="s">
        <v>142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137"/>
      <c r="R75" s="138"/>
    </row>
    <row r="76" spans="1:18" ht="17.25" customHeight="1">
      <c r="A76" s="11" t="s">
        <v>100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139"/>
      <c r="R76" s="140"/>
    </row>
    <row r="77" spans="1:18" ht="17.25" customHeight="1" thickBot="1">
      <c r="A77" s="13" t="s">
        <v>147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139"/>
      <c r="R77" s="140"/>
    </row>
    <row r="78" spans="1:18" ht="17.25" customHeight="1" thickBot="1">
      <c r="A78" s="57" t="s">
        <v>32</v>
      </c>
      <c r="B78" s="143">
        <v>100000</v>
      </c>
      <c r="C78" s="144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141"/>
      <c r="R78" s="14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5" t="s">
        <v>86</v>
      </c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7"/>
      <c r="Q81" s="148"/>
      <c r="R81" s="149"/>
    </row>
    <row r="82" spans="1:18" ht="17.25" customHeight="1" thickBot="1">
      <c r="A82" s="109" t="s">
        <v>236</v>
      </c>
      <c r="B82" s="145" t="s">
        <v>235</v>
      </c>
      <c r="C82" s="147"/>
      <c r="D82" s="145" t="s">
        <v>67</v>
      </c>
      <c r="E82" s="146"/>
      <c r="F82" s="147"/>
      <c r="G82" s="159">
        <f>_xlfn.IFNA(VLOOKUP(B82, 현재가테이블!$B$1:$D$200, 2, FALSE), "-")</f>
        <v>81224000</v>
      </c>
      <c r="H82" s="160"/>
      <c r="I82" s="161"/>
      <c r="J82" s="145" t="s">
        <v>69</v>
      </c>
      <c r="K82" s="146"/>
      <c r="L82" s="147"/>
      <c r="M82" s="162">
        <f>_xlfn.IFNA(VLOOKUP(B82, 현재가테이블!$B$1:$D$200, 3, FALSE), "-")</f>
        <v>3.8962367900000003E-2</v>
      </c>
      <c r="N82" s="163"/>
      <c r="O82" s="164"/>
      <c r="Q82" s="150"/>
      <c r="R82" s="151"/>
    </row>
    <row r="83" spans="1:18" ht="17.25" customHeight="1" thickBot="1">
      <c r="A83" s="152" t="s">
        <v>18</v>
      </c>
      <c r="B83" s="153" t="s">
        <v>54</v>
      </c>
      <c r="C83" s="154"/>
      <c r="D83" s="155" t="s">
        <v>20</v>
      </c>
      <c r="E83" s="156"/>
      <c r="F83" s="157"/>
      <c r="G83" s="155" t="s">
        <v>15</v>
      </c>
      <c r="H83" s="156"/>
      <c r="I83" s="157"/>
      <c r="J83" s="158" t="s">
        <v>34</v>
      </c>
      <c r="K83" s="158"/>
      <c r="L83" s="158"/>
      <c r="M83" s="155" t="s">
        <v>54</v>
      </c>
      <c r="N83" s="156"/>
      <c r="O83" s="157"/>
      <c r="Q83" s="139"/>
      <c r="R83" s="140"/>
    </row>
    <row r="84" spans="1:18" ht="17.25" customHeight="1" thickBot="1">
      <c r="A84" s="1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139"/>
      <c r="R84" s="140"/>
    </row>
    <row r="85" spans="1:18" ht="17.25" customHeight="1">
      <c r="A85" s="9" t="s">
        <v>167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137"/>
      <c r="R85" s="138"/>
    </row>
    <row r="86" spans="1:18" ht="17.25" customHeight="1">
      <c r="A86" s="11" t="s">
        <v>203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137"/>
      <c r="R86" s="138"/>
    </row>
    <row r="87" spans="1:18" ht="17.25" customHeight="1">
      <c r="A87" s="11" t="s">
        <v>197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137"/>
      <c r="R87" s="138"/>
    </row>
    <row r="88" spans="1:18" ht="17.25" customHeight="1">
      <c r="A88" s="11" t="s">
        <v>101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137"/>
      <c r="R88" s="138"/>
    </row>
    <row r="89" spans="1:18" ht="17.25" customHeight="1">
      <c r="A89" s="8" t="s">
        <v>156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137"/>
      <c r="R89" s="138"/>
    </row>
    <row r="90" spans="1:18" ht="17.25" customHeight="1">
      <c r="A90" s="11" t="s">
        <v>180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137"/>
      <c r="R90" s="138"/>
    </row>
    <row r="91" spans="1:18" ht="17.25" customHeight="1">
      <c r="A91" s="11" t="s">
        <v>193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137"/>
      <c r="R91" s="138"/>
    </row>
    <row r="92" spans="1:18" ht="17.25" customHeight="1">
      <c r="A92" s="11" t="s">
        <v>107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137"/>
      <c r="R92" s="138"/>
    </row>
    <row r="93" spans="1:18" ht="17.25" customHeight="1">
      <c r="A93" s="11" t="s">
        <v>125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139"/>
      <c r="R93" s="14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39"/>
      <c r="R94" s="140"/>
    </row>
    <row r="95" spans="1:18" ht="17.25" customHeight="1" thickBot="1">
      <c r="A95" s="57" t="s">
        <v>32</v>
      </c>
      <c r="B95" s="143">
        <v>100000</v>
      </c>
      <c r="C95" s="144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141"/>
      <c r="R95" s="142"/>
    </row>
    <row r="96" spans="1:18" ht="17.25" customHeight="1"/>
    <row r="97" spans="1:18" ht="17.25" customHeight="1" thickBot="1"/>
    <row r="98" spans="1:18" ht="17.25" customHeight="1" thickBot="1">
      <c r="A98" s="145" t="s">
        <v>81</v>
      </c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7"/>
      <c r="Q98" s="148"/>
      <c r="R98" s="149"/>
    </row>
    <row r="99" spans="1:18" ht="17.25" customHeight="1" thickBot="1">
      <c r="A99" s="109" t="s">
        <v>236</v>
      </c>
      <c r="B99" s="145" t="s">
        <v>235</v>
      </c>
      <c r="C99" s="147"/>
      <c r="D99" s="145" t="s">
        <v>67</v>
      </c>
      <c r="E99" s="146"/>
      <c r="F99" s="147"/>
      <c r="G99" s="159">
        <f>_xlfn.IFNA(VLOOKUP(B99, 현재가테이블!$B$1:$D$200, 2, FALSE), "-")</f>
        <v>81224000</v>
      </c>
      <c r="H99" s="160"/>
      <c r="I99" s="161"/>
      <c r="J99" s="145" t="s">
        <v>69</v>
      </c>
      <c r="K99" s="146"/>
      <c r="L99" s="147"/>
      <c r="M99" s="162">
        <f>_xlfn.IFNA(VLOOKUP(B99, 현재가테이블!$B$1:$D$200, 3, FALSE), "-")</f>
        <v>3.8962367900000003E-2</v>
      </c>
      <c r="N99" s="163"/>
      <c r="O99" s="164"/>
      <c r="Q99" s="150"/>
      <c r="R99" s="151"/>
    </row>
    <row r="100" spans="1:18" ht="17.25" customHeight="1" thickBot="1">
      <c r="A100" s="152" t="s">
        <v>18</v>
      </c>
      <c r="B100" s="153" t="s">
        <v>54</v>
      </c>
      <c r="C100" s="154"/>
      <c r="D100" s="155" t="s">
        <v>20</v>
      </c>
      <c r="E100" s="156"/>
      <c r="F100" s="157"/>
      <c r="G100" s="155" t="s">
        <v>15</v>
      </c>
      <c r="H100" s="156"/>
      <c r="I100" s="157"/>
      <c r="J100" s="158" t="s">
        <v>34</v>
      </c>
      <c r="K100" s="158"/>
      <c r="L100" s="158"/>
      <c r="M100" s="155" t="s">
        <v>54</v>
      </c>
      <c r="N100" s="156"/>
      <c r="O100" s="157"/>
      <c r="Q100" s="139"/>
      <c r="R100" s="140"/>
    </row>
    <row r="101" spans="1:18" ht="17.25" customHeight="1" thickBot="1">
      <c r="A101" s="1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139"/>
      <c r="R101" s="140"/>
    </row>
    <row r="102" spans="1:18" ht="17.25" customHeight="1">
      <c r="A102" s="9" t="s">
        <v>209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137"/>
      <c r="R102" s="138"/>
    </row>
    <row r="103" spans="1:18" ht="17.25" customHeight="1">
      <c r="A103" s="11" t="s">
        <v>207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137"/>
      <c r="R103" s="138"/>
    </row>
    <row r="104" spans="1:18" ht="17.25" customHeight="1">
      <c r="A104" s="11" t="s">
        <v>205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137"/>
      <c r="R104" s="138"/>
    </row>
    <row r="105" spans="1:18" ht="17.25" customHeight="1">
      <c r="A105" s="11" t="s">
        <v>223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137"/>
      <c r="R105" s="138"/>
    </row>
    <row r="106" spans="1:18" ht="17.25" customHeight="1">
      <c r="A106" s="8" t="s">
        <v>187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137"/>
      <c r="R106" s="138"/>
    </row>
    <row r="107" spans="1:18" ht="17.25" customHeight="1">
      <c r="A107" s="11" t="s">
        <v>160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137"/>
      <c r="R107" s="138"/>
    </row>
    <row r="108" spans="1:18" ht="17.25" customHeight="1">
      <c r="A108" s="11" t="s">
        <v>178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137"/>
      <c r="R108" s="138"/>
    </row>
    <row r="109" spans="1:18" ht="17.25" customHeight="1">
      <c r="A109" s="11" t="s">
        <v>214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137"/>
      <c r="R109" s="138"/>
    </row>
    <row r="110" spans="1:18" ht="17.25" customHeight="1">
      <c r="A110" s="11" t="s">
        <v>167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139"/>
      <c r="R110" s="140"/>
    </row>
    <row r="111" spans="1:18" ht="17.25" customHeight="1" thickBot="1">
      <c r="A111" s="13" t="s">
        <v>217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139"/>
      <c r="R111" s="140"/>
    </row>
    <row r="112" spans="1:18" ht="17.25" customHeight="1" thickBot="1">
      <c r="A112" s="57" t="s">
        <v>32</v>
      </c>
      <c r="B112" s="143">
        <v>100000</v>
      </c>
      <c r="C112" s="144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141"/>
      <c r="R112" s="14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391" priority="89">
      <formula>$E$27&gt;0</formula>
    </cfRule>
    <cfRule type="expression" dxfId="390" priority="90">
      <formula>$E$27&lt;0</formula>
    </cfRule>
  </conditionalFormatting>
  <conditionalFormatting sqref="G15:I16 H27:I27">
    <cfRule type="expression" dxfId="389" priority="87">
      <formula>$H$27&gt;0</formula>
    </cfRule>
    <cfRule type="expression" dxfId="388" priority="88">
      <formula>$H$27&lt;0</formula>
    </cfRule>
  </conditionalFormatting>
  <conditionalFormatting sqref="J15:L16 K27:L27">
    <cfRule type="expression" dxfId="387" priority="85">
      <formula>$K$27&gt;0</formula>
    </cfRule>
    <cfRule type="expression" dxfId="386" priority="86">
      <formula>$K$27&lt;0</formula>
    </cfRule>
  </conditionalFormatting>
  <conditionalFormatting sqref="M15:O16 N27:O27">
    <cfRule type="expression" dxfId="385" priority="83">
      <formula>$N$27&gt;0</formula>
    </cfRule>
    <cfRule type="expression" dxfId="384" priority="84">
      <formula>$N$27&lt;0</formula>
    </cfRule>
  </conditionalFormatting>
  <conditionalFormatting sqref="A17:O26 A34:O43">
    <cfRule type="expression" dxfId="383" priority="91">
      <formula>AND($N17 &gt; 0, ISNUMBER($N17))</formula>
    </cfRule>
    <cfRule type="expression" dxfId="382" priority="92">
      <formula>AND($N17 &lt; 0, ISNUMBER($N17))</formula>
    </cfRule>
    <cfRule type="expression" dxfId="381" priority="93">
      <formula>AND($K17 &gt; 0, ISNUMBER($K17))</formula>
    </cfRule>
    <cfRule type="expression" dxfId="380" priority="94">
      <formula>AND($K17 &lt; 0, ISNUMBER($K17))</formula>
    </cfRule>
    <cfRule type="expression" dxfId="379" priority="95">
      <formula>AND($H17 &gt; 0, ISNUMBER($H17))</formula>
    </cfRule>
    <cfRule type="expression" dxfId="378" priority="96">
      <formula>AND($H17 &lt; 0, ISNUMBER($H17))</formula>
    </cfRule>
    <cfRule type="expression" dxfId="377" priority="97">
      <formula>AND($E17 &gt; 0, ISNUMBER($E17))</formula>
    </cfRule>
    <cfRule type="expression" dxfId="376" priority="98">
      <formula>AND($E17 &lt; 0, ISNUMBER($E17))</formula>
    </cfRule>
  </conditionalFormatting>
  <conditionalFormatting sqref="D32:F33 E44:F44">
    <cfRule type="expression" dxfId="375" priority="81">
      <formula>$E$44&gt;0</formula>
    </cfRule>
    <cfRule type="expression" dxfId="374" priority="82">
      <formula>$E$44&lt;0</formula>
    </cfRule>
  </conditionalFormatting>
  <conditionalFormatting sqref="G32:I33 H44:I44">
    <cfRule type="expression" dxfId="373" priority="79">
      <formula>$H$44&gt;0</formula>
    </cfRule>
    <cfRule type="expression" dxfId="372" priority="80">
      <formula>$H$44&lt;0</formula>
    </cfRule>
  </conditionalFormatting>
  <conditionalFormatting sqref="J32:L33 K44:L44">
    <cfRule type="expression" dxfId="371" priority="77">
      <formula>$K$44&gt;0</formula>
    </cfRule>
    <cfRule type="expression" dxfId="370" priority="78">
      <formula>$K$44&lt;0</formula>
    </cfRule>
  </conditionalFormatting>
  <conditionalFormatting sqref="M32:O33 N44:O44">
    <cfRule type="expression" dxfId="369" priority="75">
      <formula>$N$44&gt;0</formula>
    </cfRule>
    <cfRule type="expression" dxfId="368" priority="76">
      <formula>$N$44&lt;0</formula>
    </cfRule>
  </conditionalFormatting>
  <conditionalFormatting sqref="A51:O60">
    <cfRule type="expression" dxfId="367" priority="67">
      <formula>AND($N51 &gt; 0, ISNUMBER($N51))</formula>
    </cfRule>
    <cfRule type="expression" dxfId="366" priority="68">
      <formula>AND($N51 &lt; 0, ISNUMBER($N51))</formula>
    </cfRule>
    <cfRule type="expression" dxfId="365" priority="69">
      <formula>AND($K51 &gt; 0, ISNUMBER($K51))</formula>
    </cfRule>
    <cfRule type="expression" dxfId="364" priority="70">
      <formula>AND($K51 &lt; 0, ISNUMBER($K51))</formula>
    </cfRule>
    <cfRule type="expression" dxfId="363" priority="71">
      <formula>AND($H51 &gt; 0, ISNUMBER($H51))</formula>
    </cfRule>
    <cfRule type="expression" dxfId="362" priority="72">
      <formula>AND($H51 &lt; 0, ISNUMBER($H51))</formula>
    </cfRule>
    <cfRule type="expression" dxfId="361" priority="73">
      <formula>AND($E51 &gt; 0, ISNUMBER($E51))</formula>
    </cfRule>
    <cfRule type="expression" dxfId="360" priority="74">
      <formula>AND($E51 &lt; 0, ISNUMBER($E51))</formula>
    </cfRule>
  </conditionalFormatting>
  <conditionalFormatting sqref="D49:F50 E61:F61">
    <cfRule type="expression" dxfId="359" priority="65">
      <formula>$E$61&gt;0</formula>
    </cfRule>
    <cfRule type="expression" dxfId="358" priority="66">
      <formula>$E$61&lt;0</formula>
    </cfRule>
  </conditionalFormatting>
  <conditionalFormatting sqref="G49:I50 H61:I61">
    <cfRule type="expression" dxfId="357" priority="63">
      <formula>$H$61&gt;0</formula>
    </cfRule>
    <cfRule type="expression" dxfId="356" priority="64">
      <formula>$H$61&lt;0</formula>
    </cfRule>
  </conditionalFormatting>
  <conditionalFormatting sqref="J49:L50 K61:L61">
    <cfRule type="expression" dxfId="355" priority="61">
      <formula>$K$61&gt;0</formula>
    </cfRule>
    <cfRule type="expression" dxfId="354" priority="62">
      <formula>$K$61&lt;0</formula>
    </cfRule>
  </conditionalFormatting>
  <conditionalFormatting sqref="M49:O50 N61:O61">
    <cfRule type="expression" dxfId="353" priority="59">
      <formula>$N$61&gt;0</formula>
    </cfRule>
    <cfRule type="expression" dxfId="352" priority="60">
      <formula>$N$61&lt;0</formula>
    </cfRule>
  </conditionalFormatting>
  <conditionalFormatting sqref="A68:O77">
    <cfRule type="expression" dxfId="351" priority="51">
      <formula>AND($N68 &gt; 0, ISNUMBER($N68))</formula>
    </cfRule>
    <cfRule type="expression" dxfId="350" priority="52">
      <formula>AND($N68 &lt; 0, ISNUMBER($N68))</formula>
    </cfRule>
    <cfRule type="expression" dxfId="349" priority="53">
      <formula>AND($K68 &gt; 0, ISNUMBER($K68))</formula>
    </cfRule>
    <cfRule type="expression" dxfId="348" priority="54">
      <formula>AND($K68 &lt; 0, ISNUMBER($K68))</formula>
    </cfRule>
    <cfRule type="expression" dxfId="347" priority="55">
      <formula>AND($H68 &gt; 0, ISNUMBER($H68))</formula>
    </cfRule>
    <cfRule type="expression" dxfId="346" priority="56">
      <formula>AND($H68 &lt; 0, ISNUMBER($H68))</formula>
    </cfRule>
    <cfRule type="expression" dxfId="345" priority="57">
      <formula>AND($E68 &gt; 0, ISNUMBER($E68))</formula>
    </cfRule>
    <cfRule type="expression" dxfId="344" priority="58">
      <formula>AND($E68 &lt; 0, ISNUMBER($E68))</formula>
    </cfRule>
  </conditionalFormatting>
  <conditionalFormatting sqref="D66:F67 E78:F78">
    <cfRule type="expression" dxfId="343" priority="49">
      <formula>$E$78&gt;0</formula>
    </cfRule>
    <cfRule type="expression" dxfId="342" priority="50">
      <formula>$E$78&lt;0</formula>
    </cfRule>
  </conditionalFormatting>
  <conditionalFormatting sqref="G66:I67 H78:I78">
    <cfRule type="expression" dxfId="341" priority="47">
      <formula>$H$78&gt;0</formula>
    </cfRule>
    <cfRule type="expression" dxfId="340" priority="48">
      <formula>$H$78&lt;0</formula>
    </cfRule>
  </conditionalFormatting>
  <conditionalFormatting sqref="J66:L67 K78:L78">
    <cfRule type="expression" dxfId="339" priority="45">
      <formula>$K$78&gt;0</formula>
    </cfRule>
    <cfRule type="expression" dxfId="338" priority="46">
      <formula>$K$78&lt;0</formula>
    </cfRule>
  </conditionalFormatting>
  <conditionalFormatting sqref="M66:O67 N78:O78">
    <cfRule type="expression" dxfId="337" priority="43">
      <formula>$N$78&gt;0</formula>
    </cfRule>
    <cfRule type="expression" dxfId="336" priority="44">
      <formula>$N$78&lt;0</formula>
    </cfRule>
  </conditionalFormatting>
  <conditionalFormatting sqref="A85:O94">
    <cfRule type="expression" dxfId="335" priority="35">
      <formula>AND($N85 &gt; 0, ISNUMBER($N85))</formula>
    </cfRule>
    <cfRule type="expression" dxfId="334" priority="36">
      <formula>AND($N85 &lt; 0, ISNUMBER($N85))</formula>
    </cfRule>
    <cfRule type="expression" dxfId="333" priority="37">
      <formula>AND($K85 &gt; 0, ISNUMBER($K85))</formula>
    </cfRule>
    <cfRule type="expression" dxfId="332" priority="38">
      <formula>AND($K85 &lt; 0, ISNUMBER($K85))</formula>
    </cfRule>
    <cfRule type="expression" dxfId="331" priority="39">
      <formula>AND($H85 &gt; 0, ISNUMBER($H85))</formula>
    </cfRule>
    <cfRule type="expression" dxfId="330" priority="40">
      <formula>AND($H85 &lt; 0, ISNUMBER($H85))</formula>
    </cfRule>
    <cfRule type="expression" dxfId="329" priority="41">
      <formula>AND($E85 &gt; 0, ISNUMBER($E85))</formula>
    </cfRule>
    <cfRule type="expression" dxfId="328" priority="42">
      <formula>AND($E85 &lt; 0, ISNUMBER($E85))</formula>
    </cfRule>
  </conditionalFormatting>
  <conditionalFormatting sqref="D83:F84 E95:F95">
    <cfRule type="expression" dxfId="327" priority="33">
      <formula>$E$95&gt;0</formula>
    </cfRule>
    <cfRule type="expression" dxfId="326" priority="34">
      <formula>$E$95&lt;0</formula>
    </cfRule>
  </conditionalFormatting>
  <conditionalFormatting sqref="G83:I84 H95:I95">
    <cfRule type="expression" dxfId="325" priority="31">
      <formula>$H$95&gt;0</formula>
    </cfRule>
    <cfRule type="expression" dxfId="324" priority="32">
      <formula>$H$95&lt;0</formula>
    </cfRule>
  </conditionalFormatting>
  <conditionalFormatting sqref="J83:L84 K95:L95">
    <cfRule type="expression" dxfId="323" priority="29">
      <formula>$K$95&gt;0</formula>
    </cfRule>
    <cfRule type="expression" dxfId="322" priority="30">
      <formula>$K$95&lt;0</formula>
    </cfRule>
  </conditionalFormatting>
  <conditionalFormatting sqref="M83:O84 N95:O95">
    <cfRule type="expression" dxfId="321" priority="27">
      <formula>$N$95&gt;0</formula>
    </cfRule>
    <cfRule type="expression" dxfId="320" priority="28">
      <formula>$N$95&lt;0</formula>
    </cfRule>
  </conditionalFormatting>
  <conditionalFormatting sqref="A102:O111">
    <cfRule type="expression" dxfId="319" priority="19">
      <formula>AND($N102 &gt; 0, ISNUMBER($N102))</formula>
    </cfRule>
    <cfRule type="expression" dxfId="318" priority="20">
      <formula>AND($N102 &lt; 0, ISNUMBER($N102))</formula>
    </cfRule>
    <cfRule type="expression" dxfId="317" priority="21">
      <formula>AND($K102 &gt; 0, ISNUMBER($K102))</formula>
    </cfRule>
    <cfRule type="expression" dxfId="316" priority="22">
      <formula>AND($K102 &lt; 0, ISNUMBER($K102))</formula>
    </cfRule>
    <cfRule type="expression" dxfId="315" priority="23">
      <formula>AND($H102 &gt; 0, ISNUMBER($H102))</formula>
    </cfRule>
    <cfRule type="expression" dxfId="314" priority="24">
      <formula>AND($H102 &lt; 0, ISNUMBER($H102))</formula>
    </cfRule>
    <cfRule type="expression" dxfId="313" priority="25">
      <formula>AND($E102 &gt; 0, ISNUMBER($E102))</formula>
    </cfRule>
    <cfRule type="expression" dxfId="312" priority="26">
      <formula>AND($E102 &lt; 0, ISNUMBER($E102))</formula>
    </cfRule>
  </conditionalFormatting>
  <conditionalFormatting sqref="D100:F101 E112:F112">
    <cfRule type="expression" dxfId="311" priority="17">
      <formula>$E$112&gt;0</formula>
    </cfRule>
    <cfRule type="expression" dxfId="310" priority="18">
      <formula>$E$112&lt;0</formula>
    </cfRule>
  </conditionalFormatting>
  <conditionalFormatting sqref="G100:I101 H112:I112">
    <cfRule type="expression" dxfId="309" priority="15">
      <formula>$H$112&gt;0</formula>
    </cfRule>
    <cfRule type="expression" dxfId="308" priority="16">
      <formula>$H$112&lt;0</formula>
    </cfRule>
  </conditionalFormatting>
  <conditionalFormatting sqref="J100:L101 K112:L112">
    <cfRule type="expression" dxfId="307" priority="13">
      <formula>$K$112&gt;0</formula>
    </cfRule>
    <cfRule type="expression" dxfId="306" priority="14">
      <formula>$K$112&lt;0</formula>
    </cfRule>
  </conditionalFormatting>
  <conditionalFormatting sqref="M100:O101 N112:O112">
    <cfRule type="expression" dxfId="305" priority="11">
      <formula>$N$112&gt;0</formula>
    </cfRule>
    <cfRule type="expression" dxfId="304" priority="12">
      <formula>$N$112&lt;0</formula>
    </cfRule>
  </conditionalFormatting>
  <conditionalFormatting sqref="G2:I3">
    <cfRule type="expression" dxfId="3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zoomScaleNormal="100" workbookViewId="0">
      <selection activeCell="A13" sqref="A13:O2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45" t="s">
        <v>0</v>
      </c>
      <c r="B1" s="146"/>
      <c r="C1" s="146"/>
      <c r="D1" s="146"/>
      <c r="E1" s="146"/>
      <c r="F1" s="147"/>
      <c r="G1" s="189">
        <v>44297</v>
      </c>
      <c r="H1" s="190"/>
      <c r="I1" s="191"/>
      <c r="J1" s="145" t="s">
        <v>33</v>
      </c>
      <c r="K1" s="146"/>
      <c r="L1" s="146"/>
      <c r="M1" s="146"/>
      <c r="N1" s="146"/>
      <c r="O1" s="147"/>
      <c r="Q1" s="145" t="s">
        <v>1</v>
      </c>
      <c r="R1" s="147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86" t="s">
        <v>83</v>
      </c>
      <c r="H2" s="187"/>
      <c r="I2" s="188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83" t="s">
        <v>55</v>
      </c>
      <c r="C3" s="184"/>
      <c r="D3" s="184"/>
      <c r="E3" s="184"/>
      <c r="F3" s="185"/>
      <c r="G3" s="17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175"/>
      <c r="I3" s="176"/>
      <c r="J3" s="1" t="s">
        <v>23</v>
      </c>
      <c r="K3" s="183" t="s">
        <v>59</v>
      </c>
      <c r="L3" s="184"/>
      <c r="M3" s="184"/>
      <c r="N3" s="184"/>
      <c r="O3" s="18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3" t="s">
        <v>56</v>
      </c>
      <c r="C4" s="184"/>
      <c r="D4" s="184"/>
      <c r="E4" s="184"/>
      <c r="F4" s="185"/>
      <c r="G4" s="186" t="s">
        <v>84</v>
      </c>
      <c r="H4" s="187"/>
      <c r="I4" s="188"/>
      <c r="J4" s="1" t="s">
        <v>30</v>
      </c>
      <c r="K4" s="183" t="s">
        <v>60</v>
      </c>
      <c r="L4" s="184"/>
      <c r="M4" s="184"/>
      <c r="N4" s="184"/>
      <c r="O4" s="185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183" t="s">
        <v>57</v>
      </c>
      <c r="C5" s="184"/>
      <c r="D5" s="184"/>
      <c r="E5" s="184"/>
      <c r="F5" s="185"/>
      <c r="G5" s="17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175"/>
      <c r="I5" s="176"/>
      <c r="J5" s="1" t="s">
        <v>24</v>
      </c>
      <c r="K5" s="183" t="s">
        <v>62</v>
      </c>
      <c r="L5" s="184"/>
      <c r="M5" s="184"/>
      <c r="N5" s="184"/>
      <c r="O5" s="185"/>
    </row>
    <row r="6" spans="1:18">
      <c r="A6" s="1" t="s">
        <v>25</v>
      </c>
      <c r="B6" s="183" t="s">
        <v>58</v>
      </c>
      <c r="C6" s="184"/>
      <c r="D6" s="184"/>
      <c r="E6" s="184"/>
      <c r="F6" s="185"/>
      <c r="G6" s="186" t="s">
        <v>85</v>
      </c>
      <c r="H6" s="187"/>
      <c r="I6" s="188"/>
      <c r="J6" s="1" t="s">
        <v>25</v>
      </c>
      <c r="K6" s="183" t="s">
        <v>63</v>
      </c>
      <c r="L6" s="184"/>
      <c r="M6" s="184"/>
      <c r="N6" s="184"/>
      <c r="O6" s="185"/>
    </row>
    <row r="7" spans="1:18" ht="17.25" thickBot="1">
      <c r="A7" s="1" t="s">
        <v>26</v>
      </c>
      <c r="B7" s="183" t="s">
        <v>64</v>
      </c>
      <c r="C7" s="184"/>
      <c r="D7" s="184"/>
      <c r="E7" s="184"/>
      <c r="F7" s="185"/>
      <c r="G7" s="17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175"/>
      <c r="I7" s="176"/>
      <c r="J7" s="1" t="s">
        <v>26</v>
      </c>
      <c r="K7" s="183" t="s">
        <v>65</v>
      </c>
      <c r="L7" s="184"/>
      <c r="M7" s="184"/>
      <c r="N7" s="184"/>
      <c r="O7" s="185"/>
    </row>
    <row r="8" spans="1:18" ht="17.25" thickBot="1">
      <c r="A8" s="1" t="s">
        <v>27</v>
      </c>
      <c r="B8" s="183" t="s">
        <v>66</v>
      </c>
      <c r="C8" s="184"/>
      <c r="D8" s="184"/>
      <c r="E8" s="184"/>
      <c r="F8" s="185"/>
      <c r="G8" s="186" t="s">
        <v>86</v>
      </c>
      <c r="H8" s="187"/>
      <c r="I8" s="188"/>
      <c r="J8" s="1" t="s">
        <v>27</v>
      </c>
      <c r="K8" s="183" t="s">
        <v>88</v>
      </c>
      <c r="L8" s="184"/>
      <c r="M8" s="184"/>
      <c r="N8" s="184"/>
      <c r="O8" s="185"/>
      <c r="Q8" s="145" t="s">
        <v>16</v>
      </c>
      <c r="R8" s="147"/>
    </row>
    <row r="9" spans="1:18" ht="17.25" thickBot="1">
      <c r="A9" s="1" t="s">
        <v>28</v>
      </c>
      <c r="B9" s="183"/>
      <c r="C9" s="184"/>
      <c r="D9" s="184"/>
      <c r="E9" s="184"/>
      <c r="F9" s="185"/>
      <c r="G9" s="17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175"/>
      <c r="I9" s="176"/>
      <c r="J9" s="1" t="s">
        <v>28</v>
      </c>
      <c r="K9" s="183"/>
      <c r="L9" s="184"/>
      <c r="M9" s="184"/>
      <c r="N9" s="184"/>
      <c r="O9" s="185"/>
      <c r="Q9" s="18" t="s">
        <v>2</v>
      </c>
      <c r="R9" s="51">
        <v>10</v>
      </c>
    </row>
    <row r="10" spans="1:18">
      <c r="A10" s="1" t="s">
        <v>29</v>
      </c>
      <c r="B10" s="183"/>
      <c r="C10" s="184"/>
      <c r="D10" s="184"/>
      <c r="E10" s="184"/>
      <c r="F10" s="185"/>
      <c r="G10" s="186" t="s">
        <v>81</v>
      </c>
      <c r="H10" s="187"/>
      <c r="I10" s="188"/>
      <c r="J10" s="1" t="s">
        <v>29</v>
      </c>
      <c r="K10" s="183"/>
      <c r="L10" s="184"/>
      <c r="M10" s="184"/>
      <c r="N10" s="184"/>
      <c r="O10" s="185"/>
      <c r="Q10" s="18" t="s">
        <v>3</v>
      </c>
      <c r="R10" s="51">
        <v>100</v>
      </c>
    </row>
    <row r="11" spans="1:18" ht="17.25" thickBot="1">
      <c r="A11" s="2" t="s">
        <v>21</v>
      </c>
      <c r="B11" s="171"/>
      <c r="C11" s="172"/>
      <c r="D11" s="172"/>
      <c r="E11" s="172"/>
      <c r="F11" s="173"/>
      <c r="G11" s="17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175"/>
      <c r="I11" s="176"/>
      <c r="J11" s="2" t="s">
        <v>21</v>
      </c>
      <c r="K11" s="171"/>
      <c r="L11" s="172"/>
      <c r="M11" s="172"/>
      <c r="N11" s="172"/>
      <c r="O11" s="173"/>
      <c r="Q11" s="121" t="s">
        <v>17</v>
      </c>
      <c r="R11" s="52">
        <v>1000</v>
      </c>
    </row>
    <row r="12" spans="1:18" ht="17.25" thickBot="1"/>
    <row r="13" spans="1:18" ht="17.25" customHeight="1" thickBot="1">
      <c r="A13" s="145" t="s">
        <v>87</v>
      </c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Q13" s="177"/>
      <c r="R13" s="178"/>
    </row>
    <row r="14" spans="1:18" ht="17.25" customHeight="1" thickBot="1">
      <c r="A14" s="116" t="s">
        <v>236</v>
      </c>
      <c r="B14" s="145" t="s">
        <v>235</v>
      </c>
      <c r="C14" s="147"/>
      <c r="D14" s="145" t="s">
        <v>67</v>
      </c>
      <c r="E14" s="146"/>
      <c r="F14" s="147"/>
      <c r="G14" s="159">
        <f>_xlfn.IFNA(VLOOKUP(B14, 현재가테이블!$B$1:$D$200, 2, FALSE), "-")</f>
        <v>81224000</v>
      </c>
      <c r="H14" s="160"/>
      <c r="I14" s="161"/>
      <c r="J14" s="145" t="s">
        <v>69</v>
      </c>
      <c r="K14" s="146"/>
      <c r="L14" s="147"/>
      <c r="M14" s="162">
        <f>_xlfn.IFNA(VLOOKUP(B14, 현재가테이블!$B$1:$D$200, 3, FALSE), "-")</f>
        <v>3.8962367900000003E-2</v>
      </c>
      <c r="N14" s="163"/>
      <c r="O14" s="164"/>
      <c r="Q14" s="179"/>
      <c r="R14" s="180"/>
    </row>
    <row r="15" spans="1:18" ht="17.25" customHeight="1" thickBot="1">
      <c r="A15" s="152" t="s">
        <v>18</v>
      </c>
      <c r="B15" s="153" t="s">
        <v>54</v>
      </c>
      <c r="C15" s="154"/>
      <c r="D15" s="181" t="s">
        <v>20</v>
      </c>
      <c r="E15" s="158"/>
      <c r="F15" s="182"/>
      <c r="G15" s="181" t="s">
        <v>15</v>
      </c>
      <c r="H15" s="158"/>
      <c r="I15" s="182"/>
      <c r="J15" s="158" t="s">
        <v>34</v>
      </c>
      <c r="K15" s="158"/>
      <c r="L15" s="158"/>
      <c r="M15" s="181" t="s">
        <v>54</v>
      </c>
      <c r="N15" s="158"/>
      <c r="O15" s="182"/>
      <c r="Q15" s="167"/>
      <c r="R15" s="168"/>
    </row>
    <row r="16" spans="1:18" ht="17.25" customHeight="1" thickBot="1">
      <c r="A16" s="1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167"/>
      <c r="R16" s="168"/>
    </row>
    <row r="17" spans="1:18" ht="17.25" customHeight="1">
      <c r="A17" s="39" t="s">
        <v>255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165"/>
      <c r="R17" s="166"/>
    </row>
    <row r="18" spans="1:18" ht="17.25" customHeight="1">
      <c r="A18" s="40" t="s">
        <v>214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165"/>
      <c r="R18" s="166"/>
    </row>
    <row r="19" spans="1:18" ht="17.25" customHeight="1">
      <c r="A19" s="40" t="s">
        <v>170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165"/>
      <c r="R19" s="166"/>
    </row>
    <row r="20" spans="1:18" ht="17.25" customHeight="1">
      <c r="A20" s="40" t="s">
        <v>145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165"/>
      <c r="R20" s="166"/>
    </row>
    <row r="21" spans="1:18" ht="17.25" customHeight="1">
      <c r="A21" s="41" t="s">
        <v>177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165"/>
      <c r="R21" s="166"/>
    </row>
    <row r="22" spans="1:18" ht="17.25" customHeight="1">
      <c r="A22" s="40" t="s">
        <v>197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165"/>
      <c r="R22" s="166"/>
    </row>
    <row r="23" spans="1:18" ht="17.25" customHeight="1">
      <c r="A23" s="40" t="s">
        <v>128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165"/>
      <c r="R23" s="166"/>
    </row>
    <row r="24" spans="1:18" ht="17.25" customHeight="1">
      <c r="A24" s="40" t="s">
        <v>184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165"/>
      <c r="R24" s="166"/>
    </row>
    <row r="25" spans="1:18" ht="17.25" customHeight="1">
      <c r="A25" s="40" t="s">
        <v>160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167"/>
      <c r="R25" s="168"/>
    </row>
    <row r="26" spans="1:18" ht="17.25" customHeight="1" thickBot="1">
      <c r="A26" s="42" t="s">
        <v>241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167"/>
      <c r="R26" s="168"/>
    </row>
    <row r="27" spans="1:18" ht="17.25" customHeight="1" thickBot="1">
      <c r="A27" s="57" t="s">
        <v>32</v>
      </c>
      <c r="B27" s="143">
        <v>100000</v>
      </c>
      <c r="C27" s="144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169"/>
      <c r="R27" s="17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5" t="s">
        <v>83</v>
      </c>
      <c r="B30" s="146"/>
      <c r="C30" s="146"/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7"/>
      <c r="Q30" s="148"/>
      <c r="R30" s="149"/>
    </row>
    <row r="31" spans="1:18" ht="17.25" customHeight="1" thickBot="1">
      <c r="A31" s="116" t="s">
        <v>236</v>
      </c>
      <c r="B31" s="145" t="s">
        <v>235</v>
      </c>
      <c r="C31" s="147"/>
      <c r="D31" s="145" t="s">
        <v>67</v>
      </c>
      <c r="E31" s="146"/>
      <c r="F31" s="147"/>
      <c r="G31" s="159">
        <f>_xlfn.IFNA(VLOOKUP(B31, 현재가테이블!$B$1:$D$200, 2, FALSE), "-")</f>
        <v>81224000</v>
      </c>
      <c r="H31" s="160"/>
      <c r="I31" s="161"/>
      <c r="J31" s="145" t="s">
        <v>69</v>
      </c>
      <c r="K31" s="146"/>
      <c r="L31" s="147"/>
      <c r="M31" s="162">
        <f>_xlfn.IFNA(VLOOKUP(B31, 현재가테이블!$B$1:$D$200, 3, FALSE), "-")</f>
        <v>3.8962367900000003E-2</v>
      </c>
      <c r="N31" s="163"/>
      <c r="O31" s="164"/>
      <c r="Q31" s="150"/>
      <c r="R31" s="151"/>
    </row>
    <row r="32" spans="1:18" ht="17.25" customHeight="1" thickBot="1">
      <c r="A32" s="152" t="s">
        <v>18</v>
      </c>
      <c r="B32" s="153" t="s">
        <v>54</v>
      </c>
      <c r="C32" s="154"/>
      <c r="D32" s="155" t="s">
        <v>20</v>
      </c>
      <c r="E32" s="156"/>
      <c r="F32" s="157"/>
      <c r="G32" s="155" t="s">
        <v>15</v>
      </c>
      <c r="H32" s="156"/>
      <c r="I32" s="157"/>
      <c r="J32" s="158" t="s">
        <v>34</v>
      </c>
      <c r="K32" s="158"/>
      <c r="L32" s="158"/>
      <c r="M32" s="155" t="s">
        <v>54</v>
      </c>
      <c r="N32" s="156"/>
      <c r="O32" s="157"/>
      <c r="Q32" s="139"/>
      <c r="R32" s="140"/>
    </row>
    <row r="33" spans="1:18" ht="17.25" customHeight="1" thickBot="1">
      <c r="A33" s="1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139"/>
      <c r="R33" s="140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137"/>
      <c r="R34" s="138"/>
    </row>
    <row r="35" spans="1:18" ht="17.25" customHeight="1">
      <c r="A35" s="11" t="s">
        <v>171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137"/>
      <c r="R35" s="138"/>
    </row>
    <row r="36" spans="1:18" ht="17.25" customHeight="1">
      <c r="A36" s="11" t="s">
        <v>153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137"/>
      <c r="R36" s="138"/>
    </row>
    <row r="37" spans="1:18" ht="17.25" customHeight="1">
      <c r="A37" s="11" t="s">
        <v>135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137"/>
      <c r="R37" s="138"/>
    </row>
    <row r="38" spans="1:18" ht="17.25" customHeight="1">
      <c r="A38" s="8" t="s">
        <v>174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137"/>
      <c r="R38" s="138"/>
    </row>
    <row r="39" spans="1:18" ht="17.25" customHeight="1">
      <c r="A39" s="11" t="s">
        <v>159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137"/>
      <c r="R39" s="138"/>
    </row>
    <row r="40" spans="1:18" ht="17.25" customHeight="1">
      <c r="A40" s="11" t="s">
        <v>158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137"/>
      <c r="R40" s="138"/>
    </row>
    <row r="41" spans="1:18" ht="17.25" customHeight="1">
      <c r="A41" s="11" t="s">
        <v>116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137"/>
      <c r="R41" s="138"/>
    </row>
    <row r="42" spans="1:18" ht="17.25" customHeight="1">
      <c r="A42" s="11" t="s">
        <v>140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139"/>
      <c r="R42" s="140"/>
    </row>
    <row r="43" spans="1:18" ht="17.25" customHeight="1" thickBot="1">
      <c r="A43" s="13" t="s">
        <v>199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139"/>
      <c r="R43" s="140"/>
    </row>
    <row r="44" spans="1:18" ht="17.25" customHeight="1" thickBot="1">
      <c r="A44" s="57" t="s">
        <v>32</v>
      </c>
      <c r="B44" s="143">
        <v>100000</v>
      </c>
      <c r="C44" s="144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141"/>
      <c r="R44" s="14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5" t="s">
        <v>84</v>
      </c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7"/>
      <c r="Q47" s="148"/>
      <c r="R47" s="149"/>
    </row>
    <row r="48" spans="1:18" ht="17.25" customHeight="1" thickBot="1">
      <c r="A48" s="116" t="s">
        <v>236</v>
      </c>
      <c r="B48" s="145" t="s">
        <v>235</v>
      </c>
      <c r="C48" s="147"/>
      <c r="D48" s="145" t="s">
        <v>67</v>
      </c>
      <c r="E48" s="146"/>
      <c r="F48" s="147"/>
      <c r="G48" s="159">
        <f>_xlfn.IFNA(VLOOKUP(B48, 현재가테이블!$B$1:$D$200, 2, FALSE), "-")</f>
        <v>81224000</v>
      </c>
      <c r="H48" s="160"/>
      <c r="I48" s="161"/>
      <c r="J48" s="145" t="s">
        <v>69</v>
      </c>
      <c r="K48" s="146"/>
      <c r="L48" s="147"/>
      <c r="M48" s="162">
        <f>_xlfn.IFNA(VLOOKUP(B48, 현재가테이블!$B$1:$D$200, 3, FALSE), "-")</f>
        <v>3.8962367900000003E-2</v>
      </c>
      <c r="N48" s="163"/>
      <c r="O48" s="164"/>
      <c r="Q48" s="150"/>
      <c r="R48" s="151"/>
    </row>
    <row r="49" spans="1:18" ht="17.25" customHeight="1" thickBot="1">
      <c r="A49" s="152" t="s">
        <v>18</v>
      </c>
      <c r="B49" s="153" t="s">
        <v>54</v>
      </c>
      <c r="C49" s="154"/>
      <c r="D49" s="155" t="s">
        <v>20</v>
      </c>
      <c r="E49" s="156"/>
      <c r="F49" s="157"/>
      <c r="G49" s="155" t="s">
        <v>15</v>
      </c>
      <c r="H49" s="156"/>
      <c r="I49" s="157"/>
      <c r="J49" s="158" t="s">
        <v>34</v>
      </c>
      <c r="K49" s="158"/>
      <c r="L49" s="158"/>
      <c r="M49" s="155" t="s">
        <v>54</v>
      </c>
      <c r="N49" s="156"/>
      <c r="O49" s="157"/>
      <c r="Q49" s="139"/>
      <c r="R49" s="140"/>
    </row>
    <row r="50" spans="1:18" ht="17.25" customHeight="1" thickBot="1">
      <c r="A50" s="1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139"/>
      <c r="R50" s="140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137"/>
      <c r="R51" s="138"/>
    </row>
    <row r="52" spans="1:18" ht="17.25" customHeight="1">
      <c r="A52" s="11" t="s">
        <v>183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137"/>
      <c r="R52" s="138"/>
    </row>
    <row r="53" spans="1:18" ht="17.25" customHeight="1">
      <c r="A53" s="11" t="s">
        <v>186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137"/>
      <c r="R53" s="138"/>
    </row>
    <row r="54" spans="1:18" ht="17.25" customHeight="1">
      <c r="A54" s="11" t="s">
        <v>103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137"/>
      <c r="R54" s="138"/>
    </row>
    <row r="55" spans="1:18" ht="17.25" customHeight="1">
      <c r="A55" s="8" t="s">
        <v>155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137"/>
      <c r="R55" s="138"/>
    </row>
    <row r="56" spans="1:18" ht="17.25" customHeight="1">
      <c r="A56" s="11" t="s">
        <v>168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137"/>
      <c r="R56" s="13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37"/>
      <c r="R57" s="13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37"/>
      <c r="R58" s="13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39"/>
      <c r="R59" s="14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39"/>
      <c r="R60" s="140"/>
    </row>
    <row r="61" spans="1:18" ht="17.25" customHeight="1" thickBot="1">
      <c r="A61" s="57" t="s">
        <v>32</v>
      </c>
      <c r="B61" s="143">
        <v>100000</v>
      </c>
      <c r="C61" s="144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141"/>
      <c r="R61" s="142"/>
    </row>
    <row r="62" spans="1:18" ht="17.25" customHeight="1"/>
    <row r="63" spans="1:18" ht="17.25" customHeight="1" thickBot="1"/>
    <row r="64" spans="1:18" ht="17.25" customHeight="1" thickBot="1">
      <c r="A64" s="145" t="s">
        <v>85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7"/>
      <c r="Q64" s="148"/>
      <c r="R64" s="149"/>
    </row>
    <row r="65" spans="1:18" ht="17.25" customHeight="1" thickBot="1">
      <c r="A65" s="116" t="s">
        <v>236</v>
      </c>
      <c r="B65" s="145" t="s">
        <v>235</v>
      </c>
      <c r="C65" s="147"/>
      <c r="D65" s="145" t="s">
        <v>67</v>
      </c>
      <c r="E65" s="146"/>
      <c r="F65" s="147"/>
      <c r="G65" s="159">
        <f>_xlfn.IFNA(VLOOKUP(B65, 현재가테이블!$B$1:$D$200, 2, FALSE), "-")</f>
        <v>81224000</v>
      </c>
      <c r="H65" s="160"/>
      <c r="I65" s="161"/>
      <c r="J65" s="145" t="s">
        <v>69</v>
      </c>
      <c r="K65" s="146"/>
      <c r="L65" s="147"/>
      <c r="M65" s="162">
        <f>_xlfn.IFNA(VLOOKUP(B65, 현재가테이블!$B$1:$D$200, 3, FALSE), "-")</f>
        <v>3.8962367900000003E-2</v>
      </c>
      <c r="N65" s="163"/>
      <c r="O65" s="164"/>
      <c r="Q65" s="150"/>
      <c r="R65" s="151"/>
    </row>
    <row r="66" spans="1:18" ht="17.25" customHeight="1" thickBot="1">
      <c r="A66" s="152" t="s">
        <v>18</v>
      </c>
      <c r="B66" s="153" t="s">
        <v>54</v>
      </c>
      <c r="C66" s="154"/>
      <c r="D66" s="155" t="s">
        <v>20</v>
      </c>
      <c r="E66" s="156"/>
      <c r="F66" s="157"/>
      <c r="G66" s="155" t="s">
        <v>15</v>
      </c>
      <c r="H66" s="156"/>
      <c r="I66" s="157"/>
      <c r="J66" s="158" t="s">
        <v>34</v>
      </c>
      <c r="K66" s="158"/>
      <c r="L66" s="158"/>
      <c r="M66" s="155" t="s">
        <v>54</v>
      </c>
      <c r="N66" s="156"/>
      <c r="O66" s="157"/>
      <c r="Q66" s="139"/>
      <c r="R66" s="140"/>
    </row>
    <row r="67" spans="1:18" ht="17.25" customHeight="1" thickBot="1">
      <c r="A67" s="1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139"/>
      <c r="R67" s="140"/>
    </row>
    <row r="68" spans="1:18" ht="17.25" customHeight="1">
      <c r="A68" s="9" t="s">
        <v>160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137"/>
      <c r="R68" s="138"/>
    </row>
    <row r="69" spans="1:18" ht="17.25" customHeight="1">
      <c r="A69" s="11" t="s">
        <v>263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137"/>
      <c r="R69" s="138"/>
    </row>
    <row r="70" spans="1:18" ht="17.25" customHeight="1">
      <c r="A70" s="11" t="s">
        <v>215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137"/>
      <c r="R70" s="138"/>
    </row>
    <row r="71" spans="1:18" ht="17.25" customHeight="1">
      <c r="A71" s="11" t="s">
        <v>151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137"/>
      <c r="R71" s="138"/>
    </row>
    <row r="72" spans="1:18" ht="17.25" customHeight="1">
      <c r="A72" s="8" t="s">
        <v>147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137"/>
      <c r="R72" s="138"/>
    </row>
    <row r="73" spans="1:18" ht="17.25" customHeight="1">
      <c r="A73" s="11" t="s">
        <v>126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137"/>
      <c r="R73" s="138"/>
    </row>
    <row r="74" spans="1:18" ht="17.25" customHeight="1">
      <c r="A74" s="11" t="s">
        <v>109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137"/>
      <c r="R74" s="138"/>
    </row>
    <row r="75" spans="1:18" ht="17.25" customHeight="1">
      <c r="A75" s="11" t="s">
        <v>100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137"/>
      <c r="R75" s="138"/>
    </row>
    <row r="76" spans="1:18" ht="17.25" customHeight="1">
      <c r="A76" s="11" t="s">
        <v>130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139"/>
      <c r="R76" s="140"/>
    </row>
    <row r="77" spans="1:18" ht="17.25" customHeight="1" thickBot="1">
      <c r="A77" s="13" t="s">
        <v>191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139"/>
      <c r="R77" s="140"/>
    </row>
    <row r="78" spans="1:18" ht="17.25" customHeight="1" thickBot="1">
      <c r="A78" s="57" t="s">
        <v>32</v>
      </c>
      <c r="B78" s="143">
        <v>100000</v>
      </c>
      <c r="C78" s="144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141"/>
      <c r="R78" s="14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5" t="s">
        <v>86</v>
      </c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7"/>
      <c r="Q81" s="148"/>
      <c r="R81" s="149"/>
    </row>
    <row r="82" spans="1:18" ht="17.25" customHeight="1" thickBot="1">
      <c r="A82" s="116" t="s">
        <v>236</v>
      </c>
      <c r="B82" s="145" t="s">
        <v>235</v>
      </c>
      <c r="C82" s="147"/>
      <c r="D82" s="145" t="s">
        <v>67</v>
      </c>
      <c r="E82" s="146"/>
      <c r="F82" s="147"/>
      <c r="G82" s="159">
        <f>_xlfn.IFNA(VLOOKUP(B82, 현재가테이블!$B$1:$D$200, 2, FALSE), "-")</f>
        <v>81224000</v>
      </c>
      <c r="H82" s="160"/>
      <c r="I82" s="161"/>
      <c r="J82" s="145" t="s">
        <v>69</v>
      </c>
      <c r="K82" s="146"/>
      <c r="L82" s="147"/>
      <c r="M82" s="162">
        <f>_xlfn.IFNA(VLOOKUP(B82, 현재가테이블!$B$1:$D$200, 3, FALSE), "-")</f>
        <v>3.8962367900000003E-2</v>
      </c>
      <c r="N82" s="163"/>
      <c r="O82" s="164"/>
      <c r="Q82" s="150"/>
      <c r="R82" s="151"/>
    </row>
    <row r="83" spans="1:18" ht="17.25" customHeight="1" thickBot="1">
      <c r="A83" s="152" t="s">
        <v>18</v>
      </c>
      <c r="B83" s="153" t="s">
        <v>54</v>
      </c>
      <c r="C83" s="154"/>
      <c r="D83" s="155" t="s">
        <v>20</v>
      </c>
      <c r="E83" s="156"/>
      <c r="F83" s="157"/>
      <c r="G83" s="155" t="s">
        <v>15</v>
      </c>
      <c r="H83" s="156"/>
      <c r="I83" s="157"/>
      <c r="J83" s="158" t="s">
        <v>34</v>
      </c>
      <c r="K83" s="158"/>
      <c r="L83" s="158"/>
      <c r="M83" s="155" t="s">
        <v>54</v>
      </c>
      <c r="N83" s="156"/>
      <c r="O83" s="157"/>
      <c r="Q83" s="139"/>
      <c r="R83" s="140"/>
    </row>
    <row r="84" spans="1:18" ht="17.25" customHeight="1" thickBot="1">
      <c r="A84" s="1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139"/>
      <c r="R84" s="140"/>
    </row>
    <row r="85" spans="1:18" ht="17.25" customHeight="1">
      <c r="A85" s="9" t="s">
        <v>214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137"/>
      <c r="R85" s="138"/>
    </row>
    <row r="86" spans="1:18" ht="17.25" customHeight="1">
      <c r="A86" s="11" t="s">
        <v>170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137"/>
      <c r="R86" s="138"/>
    </row>
    <row r="87" spans="1:18" ht="17.25" customHeight="1">
      <c r="A87" s="11" t="s">
        <v>145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137"/>
      <c r="R87" s="138"/>
    </row>
    <row r="88" spans="1:18" ht="17.25" customHeight="1">
      <c r="A88" s="11" t="s">
        <v>197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137"/>
      <c r="R88" s="138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37"/>
      <c r="R89" s="138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37"/>
      <c r="R90" s="138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37"/>
      <c r="R91" s="138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37"/>
      <c r="R92" s="138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39"/>
      <c r="R93" s="140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39"/>
      <c r="R94" s="140"/>
    </row>
    <row r="95" spans="1:18" ht="17.25" customHeight="1" thickBot="1">
      <c r="A95" s="57" t="s">
        <v>32</v>
      </c>
      <c r="B95" s="143">
        <v>100000</v>
      </c>
      <c r="C95" s="144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141"/>
      <c r="R95" s="142"/>
    </row>
    <row r="96" spans="1:18" ht="17.25" customHeight="1"/>
    <row r="97" spans="1:18" ht="17.25" customHeight="1" thickBot="1"/>
    <row r="98" spans="1:18" ht="17.25" customHeight="1" thickBot="1">
      <c r="A98" s="145" t="s">
        <v>81</v>
      </c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7"/>
      <c r="Q98" s="148"/>
      <c r="R98" s="149"/>
    </row>
    <row r="99" spans="1:18" ht="17.25" customHeight="1" thickBot="1">
      <c r="A99" s="116" t="s">
        <v>236</v>
      </c>
      <c r="B99" s="145" t="s">
        <v>235</v>
      </c>
      <c r="C99" s="147"/>
      <c r="D99" s="145" t="s">
        <v>67</v>
      </c>
      <c r="E99" s="146"/>
      <c r="F99" s="147"/>
      <c r="G99" s="159">
        <f>_xlfn.IFNA(VLOOKUP(B99, 현재가테이블!$B$1:$D$200, 2, FALSE), "-")</f>
        <v>81224000</v>
      </c>
      <c r="H99" s="160"/>
      <c r="I99" s="161"/>
      <c r="J99" s="145" t="s">
        <v>69</v>
      </c>
      <c r="K99" s="146"/>
      <c r="L99" s="147"/>
      <c r="M99" s="162">
        <f>_xlfn.IFNA(VLOOKUP(B99, 현재가테이블!$B$1:$D$200, 3, FALSE), "-")</f>
        <v>3.8962367900000003E-2</v>
      </c>
      <c r="N99" s="163"/>
      <c r="O99" s="164"/>
      <c r="Q99" s="150"/>
      <c r="R99" s="151"/>
    </row>
    <row r="100" spans="1:18" ht="17.25" customHeight="1" thickBot="1">
      <c r="A100" s="152" t="s">
        <v>18</v>
      </c>
      <c r="B100" s="153" t="s">
        <v>54</v>
      </c>
      <c r="C100" s="154"/>
      <c r="D100" s="155" t="s">
        <v>20</v>
      </c>
      <c r="E100" s="156"/>
      <c r="F100" s="157"/>
      <c r="G100" s="155" t="s">
        <v>15</v>
      </c>
      <c r="H100" s="156"/>
      <c r="I100" s="157"/>
      <c r="J100" s="158" t="s">
        <v>34</v>
      </c>
      <c r="K100" s="158"/>
      <c r="L100" s="158"/>
      <c r="M100" s="155" t="s">
        <v>54</v>
      </c>
      <c r="N100" s="156"/>
      <c r="O100" s="157"/>
      <c r="Q100" s="139"/>
      <c r="R100" s="140"/>
    </row>
    <row r="101" spans="1:18" ht="17.25" customHeight="1" thickBot="1">
      <c r="A101" s="1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139"/>
      <c r="R101" s="140"/>
    </row>
    <row r="102" spans="1:18" ht="17.25" customHeight="1">
      <c r="A102" s="9" t="s">
        <v>255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137"/>
      <c r="R102" s="138"/>
    </row>
    <row r="103" spans="1:18" ht="17.25" customHeight="1">
      <c r="A103" s="11" t="s">
        <v>214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137"/>
      <c r="R103" s="138"/>
    </row>
    <row r="104" spans="1:18" ht="17.25" customHeight="1">
      <c r="A104" s="11" t="s">
        <v>170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137"/>
      <c r="R104" s="138"/>
    </row>
    <row r="105" spans="1:18" ht="17.25" customHeight="1">
      <c r="A105" s="11" t="s">
        <v>145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137"/>
      <c r="R105" s="138"/>
    </row>
    <row r="106" spans="1:18" ht="17.25" customHeight="1">
      <c r="A106" s="8" t="s">
        <v>177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137"/>
      <c r="R106" s="138"/>
    </row>
    <row r="107" spans="1:18" ht="17.25" customHeight="1">
      <c r="A107" s="11" t="s">
        <v>197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137"/>
      <c r="R107" s="138"/>
    </row>
    <row r="108" spans="1:18" ht="17.25" customHeight="1">
      <c r="A108" s="11" t="s">
        <v>128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137"/>
      <c r="R108" s="138"/>
    </row>
    <row r="109" spans="1:18" ht="17.25" customHeight="1">
      <c r="A109" s="11" t="s">
        <v>184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137"/>
      <c r="R109" s="138"/>
    </row>
    <row r="110" spans="1:18" ht="17.25" customHeight="1">
      <c r="A110" s="11" t="s">
        <v>160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139"/>
      <c r="R110" s="140"/>
    </row>
    <row r="111" spans="1:18" ht="17.25" customHeight="1" thickBot="1">
      <c r="A111" s="13" t="s">
        <v>241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139"/>
      <c r="R111" s="140"/>
    </row>
    <row r="112" spans="1:18" ht="17.25" customHeight="1" thickBot="1">
      <c r="A112" s="57" t="s">
        <v>32</v>
      </c>
      <c r="B112" s="143">
        <v>100000</v>
      </c>
      <c r="C112" s="144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141"/>
      <c r="R112" s="14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293" priority="89">
      <formula>$E$27&gt;0</formula>
    </cfRule>
    <cfRule type="expression" dxfId="292" priority="90">
      <formula>$E$27&lt;0</formula>
    </cfRule>
  </conditionalFormatting>
  <conditionalFormatting sqref="G15:I16 H27:I27">
    <cfRule type="expression" dxfId="291" priority="87">
      <formula>$H$27&gt;0</formula>
    </cfRule>
    <cfRule type="expression" dxfId="290" priority="88">
      <formula>$H$27&lt;0</formula>
    </cfRule>
  </conditionalFormatting>
  <conditionalFormatting sqref="J15:L16 K27:L27">
    <cfRule type="expression" dxfId="289" priority="85">
      <formula>$K$27&gt;0</formula>
    </cfRule>
    <cfRule type="expression" dxfId="288" priority="86">
      <formula>$K$27&lt;0</formula>
    </cfRule>
  </conditionalFormatting>
  <conditionalFormatting sqref="M15:O16 N27:O27">
    <cfRule type="expression" dxfId="287" priority="83">
      <formula>$N$27&gt;0</formula>
    </cfRule>
    <cfRule type="expression" dxfId="286" priority="84">
      <formula>$N$27&lt;0</formula>
    </cfRule>
  </conditionalFormatting>
  <conditionalFormatting sqref="A17:O26 A34:O43">
    <cfRule type="expression" dxfId="285" priority="91">
      <formula>AND($N17 &gt; 0, ISNUMBER($N17))</formula>
    </cfRule>
    <cfRule type="expression" dxfId="284" priority="92">
      <formula>AND($N17 &lt; 0, ISNUMBER($N17))</formula>
    </cfRule>
    <cfRule type="expression" dxfId="283" priority="93">
      <formula>AND($K17 &gt; 0, ISNUMBER($K17))</formula>
    </cfRule>
    <cfRule type="expression" dxfId="282" priority="94">
      <formula>AND($K17 &lt; 0, ISNUMBER($K17))</formula>
    </cfRule>
    <cfRule type="expression" dxfId="281" priority="95">
      <formula>AND($H17 &gt; 0, ISNUMBER($H17))</formula>
    </cfRule>
    <cfRule type="expression" dxfId="280" priority="96">
      <formula>AND($H17 &lt; 0, ISNUMBER($H17))</formula>
    </cfRule>
    <cfRule type="expression" dxfId="279" priority="97">
      <formula>AND($E17 &gt; 0, ISNUMBER($E17))</formula>
    </cfRule>
    <cfRule type="expression" dxfId="278" priority="98">
      <formula>AND($E17 &lt; 0, ISNUMBER($E17))</formula>
    </cfRule>
  </conditionalFormatting>
  <conditionalFormatting sqref="D32:F33 E44:F44">
    <cfRule type="expression" dxfId="277" priority="81">
      <formula>$E$44&gt;0</formula>
    </cfRule>
    <cfRule type="expression" dxfId="276" priority="82">
      <formula>$E$44&lt;0</formula>
    </cfRule>
  </conditionalFormatting>
  <conditionalFormatting sqref="G32:I33 H44:I44">
    <cfRule type="expression" dxfId="275" priority="79">
      <formula>$H$44&gt;0</formula>
    </cfRule>
    <cfRule type="expression" dxfId="274" priority="80">
      <formula>$H$44&lt;0</formula>
    </cfRule>
  </conditionalFormatting>
  <conditionalFormatting sqref="J32:L33 K44:L44">
    <cfRule type="expression" dxfId="273" priority="77">
      <formula>$K$44&gt;0</formula>
    </cfRule>
    <cfRule type="expression" dxfId="272" priority="78">
      <formula>$K$44&lt;0</formula>
    </cfRule>
  </conditionalFormatting>
  <conditionalFormatting sqref="M32:O33 N44:O44">
    <cfRule type="expression" dxfId="271" priority="75">
      <formula>$N$44&gt;0</formula>
    </cfRule>
    <cfRule type="expression" dxfId="270" priority="76">
      <formula>$N$44&lt;0</formula>
    </cfRule>
  </conditionalFormatting>
  <conditionalFormatting sqref="A51:O60">
    <cfRule type="expression" dxfId="269" priority="67">
      <formula>AND($N51 &gt; 0, ISNUMBER($N51))</formula>
    </cfRule>
    <cfRule type="expression" dxfId="268" priority="68">
      <formula>AND($N51 &lt; 0, ISNUMBER($N51))</formula>
    </cfRule>
    <cfRule type="expression" dxfId="267" priority="69">
      <formula>AND($K51 &gt; 0, ISNUMBER($K51))</formula>
    </cfRule>
    <cfRule type="expression" dxfId="266" priority="70">
      <formula>AND($K51 &lt; 0, ISNUMBER($K51))</formula>
    </cfRule>
    <cfRule type="expression" dxfId="265" priority="71">
      <formula>AND($H51 &gt; 0, ISNUMBER($H51))</formula>
    </cfRule>
    <cfRule type="expression" dxfId="264" priority="72">
      <formula>AND($H51 &lt; 0, ISNUMBER($H51))</formula>
    </cfRule>
    <cfRule type="expression" dxfId="263" priority="73">
      <formula>AND($E51 &gt; 0, ISNUMBER($E51))</formula>
    </cfRule>
    <cfRule type="expression" dxfId="262" priority="74">
      <formula>AND($E51 &lt; 0, ISNUMBER($E51))</formula>
    </cfRule>
  </conditionalFormatting>
  <conditionalFormatting sqref="D49:F50 E61:F61">
    <cfRule type="expression" dxfId="261" priority="65">
      <formula>$E$61&gt;0</formula>
    </cfRule>
    <cfRule type="expression" dxfId="260" priority="66">
      <formula>$E$61&lt;0</formula>
    </cfRule>
  </conditionalFormatting>
  <conditionalFormatting sqref="G49:I50 H61:I61">
    <cfRule type="expression" dxfId="259" priority="63">
      <formula>$H$61&gt;0</formula>
    </cfRule>
    <cfRule type="expression" dxfId="258" priority="64">
      <formula>$H$61&lt;0</formula>
    </cfRule>
  </conditionalFormatting>
  <conditionalFormatting sqref="J49:L50 K61:L61">
    <cfRule type="expression" dxfId="257" priority="61">
      <formula>$K$61&gt;0</formula>
    </cfRule>
    <cfRule type="expression" dxfId="256" priority="62">
      <formula>$K$61&lt;0</formula>
    </cfRule>
  </conditionalFormatting>
  <conditionalFormatting sqref="M49:O50 N61:O61">
    <cfRule type="expression" dxfId="255" priority="59">
      <formula>$N$61&gt;0</formula>
    </cfRule>
    <cfRule type="expression" dxfId="254" priority="60">
      <formula>$N$61&lt;0</formula>
    </cfRule>
  </conditionalFormatting>
  <conditionalFormatting sqref="A68:O77">
    <cfRule type="expression" dxfId="253" priority="51">
      <formula>AND($N68 &gt; 0, ISNUMBER($N68))</formula>
    </cfRule>
    <cfRule type="expression" dxfId="252" priority="52">
      <formula>AND($N68 &lt; 0, ISNUMBER($N68))</formula>
    </cfRule>
    <cfRule type="expression" dxfId="251" priority="53">
      <formula>AND($K68 &gt; 0, ISNUMBER($K68))</formula>
    </cfRule>
    <cfRule type="expression" dxfId="250" priority="54">
      <formula>AND($K68 &lt; 0, ISNUMBER($K68))</formula>
    </cfRule>
    <cfRule type="expression" dxfId="249" priority="55">
      <formula>AND($H68 &gt; 0, ISNUMBER($H68))</formula>
    </cfRule>
    <cfRule type="expression" dxfId="248" priority="56">
      <formula>AND($H68 &lt; 0, ISNUMBER($H68))</formula>
    </cfRule>
    <cfRule type="expression" dxfId="247" priority="57">
      <formula>AND($E68 &gt; 0, ISNUMBER($E68))</formula>
    </cfRule>
    <cfRule type="expression" dxfId="246" priority="58">
      <formula>AND($E68 &lt; 0, ISNUMBER($E68))</formula>
    </cfRule>
  </conditionalFormatting>
  <conditionalFormatting sqref="D66:F67 E78:F78">
    <cfRule type="expression" dxfId="245" priority="49">
      <formula>$E$78&gt;0</formula>
    </cfRule>
    <cfRule type="expression" dxfId="244" priority="50">
      <formula>$E$78&lt;0</formula>
    </cfRule>
  </conditionalFormatting>
  <conditionalFormatting sqref="G66:I67 H78:I78">
    <cfRule type="expression" dxfId="243" priority="47">
      <formula>$H$78&gt;0</formula>
    </cfRule>
    <cfRule type="expression" dxfId="242" priority="48">
      <formula>$H$78&lt;0</formula>
    </cfRule>
  </conditionalFormatting>
  <conditionalFormatting sqref="J66:L67 K78:L78">
    <cfRule type="expression" dxfId="241" priority="45">
      <formula>$K$78&gt;0</formula>
    </cfRule>
    <cfRule type="expression" dxfId="240" priority="46">
      <formula>$K$78&lt;0</formula>
    </cfRule>
  </conditionalFormatting>
  <conditionalFormatting sqref="M66:O67 N78:O78">
    <cfRule type="expression" dxfId="239" priority="43">
      <formula>$N$78&gt;0</formula>
    </cfRule>
    <cfRule type="expression" dxfId="238" priority="44">
      <formula>$N$78&lt;0</formula>
    </cfRule>
  </conditionalFormatting>
  <conditionalFormatting sqref="A85:O94">
    <cfRule type="expression" dxfId="237" priority="35">
      <formula>AND($N85 &gt; 0, ISNUMBER($N85))</formula>
    </cfRule>
    <cfRule type="expression" dxfId="236" priority="36">
      <formula>AND($N85 &lt; 0, ISNUMBER($N85))</formula>
    </cfRule>
    <cfRule type="expression" dxfId="235" priority="37">
      <formula>AND($K85 &gt; 0, ISNUMBER($K85))</formula>
    </cfRule>
    <cfRule type="expression" dxfId="234" priority="38">
      <formula>AND($K85 &lt; 0, ISNUMBER($K85))</formula>
    </cfRule>
    <cfRule type="expression" dxfId="233" priority="39">
      <formula>AND($H85 &gt; 0, ISNUMBER($H85))</formula>
    </cfRule>
    <cfRule type="expression" dxfId="232" priority="40">
      <formula>AND($H85 &lt; 0, ISNUMBER($H85))</formula>
    </cfRule>
    <cfRule type="expression" dxfId="231" priority="41">
      <formula>AND($E85 &gt; 0, ISNUMBER($E85))</formula>
    </cfRule>
    <cfRule type="expression" dxfId="230" priority="42">
      <formula>AND($E85 &lt; 0, ISNUMBER($E85))</formula>
    </cfRule>
  </conditionalFormatting>
  <conditionalFormatting sqref="D83:F84 E95:F95">
    <cfRule type="expression" dxfId="229" priority="33">
      <formula>$E$95&gt;0</formula>
    </cfRule>
    <cfRule type="expression" dxfId="228" priority="34">
      <formula>$E$95&lt;0</formula>
    </cfRule>
  </conditionalFormatting>
  <conditionalFormatting sqref="G83:I84 H95:I95">
    <cfRule type="expression" dxfId="227" priority="31">
      <formula>$H$95&gt;0</formula>
    </cfRule>
    <cfRule type="expression" dxfId="226" priority="32">
      <formula>$H$95&lt;0</formula>
    </cfRule>
  </conditionalFormatting>
  <conditionalFormatting sqref="J83:L84 K95:L95">
    <cfRule type="expression" dxfId="225" priority="29">
      <formula>$K$95&gt;0</formula>
    </cfRule>
    <cfRule type="expression" dxfId="224" priority="30">
      <formula>$K$95&lt;0</formula>
    </cfRule>
  </conditionalFormatting>
  <conditionalFormatting sqref="M83:O84 N95:O95">
    <cfRule type="expression" dxfId="223" priority="27">
      <formula>$N$95&gt;0</formula>
    </cfRule>
    <cfRule type="expression" dxfId="222" priority="28">
      <formula>$N$95&lt;0</formula>
    </cfRule>
  </conditionalFormatting>
  <conditionalFormatting sqref="A102:O111">
    <cfRule type="expression" dxfId="221" priority="19">
      <formula>AND($N102 &gt; 0, ISNUMBER($N102))</formula>
    </cfRule>
    <cfRule type="expression" dxfId="220" priority="20">
      <formula>AND($N102 &lt; 0, ISNUMBER($N102))</formula>
    </cfRule>
    <cfRule type="expression" dxfId="219" priority="21">
      <formula>AND($K102 &gt; 0, ISNUMBER($K102))</formula>
    </cfRule>
    <cfRule type="expression" dxfId="218" priority="22">
      <formula>AND($K102 &lt; 0, ISNUMBER($K102))</formula>
    </cfRule>
    <cfRule type="expression" dxfId="217" priority="23">
      <formula>AND($H102 &gt; 0, ISNUMBER($H102))</formula>
    </cfRule>
    <cfRule type="expression" dxfId="216" priority="24">
      <formula>AND($H102 &lt; 0, ISNUMBER($H102))</formula>
    </cfRule>
    <cfRule type="expression" dxfId="215" priority="25">
      <formula>AND($E102 &gt; 0, ISNUMBER($E102))</formula>
    </cfRule>
    <cfRule type="expression" dxfId="214" priority="26">
      <formula>AND($E102 &lt; 0, ISNUMBER($E102))</formula>
    </cfRule>
  </conditionalFormatting>
  <conditionalFormatting sqref="D100:F101 E112:F112">
    <cfRule type="expression" dxfId="213" priority="17">
      <formula>$E$112&gt;0</formula>
    </cfRule>
    <cfRule type="expression" dxfId="212" priority="18">
      <formula>$E$112&lt;0</formula>
    </cfRule>
  </conditionalFormatting>
  <conditionalFormatting sqref="G100:I101 H112:I112">
    <cfRule type="expression" dxfId="211" priority="15">
      <formula>$H$112&gt;0</formula>
    </cfRule>
    <cfRule type="expression" dxfId="210" priority="16">
      <formula>$H$112&lt;0</formula>
    </cfRule>
  </conditionalFormatting>
  <conditionalFormatting sqref="J100:L101 K112:L112">
    <cfRule type="expression" dxfId="209" priority="13">
      <formula>$K$112&gt;0</formula>
    </cfRule>
    <cfRule type="expression" dxfId="208" priority="14">
      <formula>$K$112&lt;0</formula>
    </cfRule>
  </conditionalFormatting>
  <conditionalFormatting sqref="M100:O101 N112:O112">
    <cfRule type="expression" dxfId="207" priority="11">
      <formula>$N$112&gt;0</formula>
    </cfRule>
    <cfRule type="expression" dxfId="206" priority="12">
      <formula>$N$112&lt;0</formula>
    </cfRule>
  </conditionalFormatting>
  <conditionalFormatting sqref="G2:I3">
    <cfRule type="expression" dxfId="2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zoomScaleNormal="100" workbookViewId="0">
      <selection activeCell="H19" sqref="H1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45" t="s">
        <v>0</v>
      </c>
      <c r="B1" s="146"/>
      <c r="C1" s="146"/>
      <c r="D1" s="146"/>
      <c r="E1" s="146"/>
      <c r="F1" s="147"/>
      <c r="G1" s="189">
        <v>44298</v>
      </c>
      <c r="H1" s="190"/>
      <c r="I1" s="191"/>
      <c r="J1" s="145" t="s">
        <v>33</v>
      </c>
      <c r="K1" s="146"/>
      <c r="L1" s="146"/>
      <c r="M1" s="146"/>
      <c r="N1" s="146"/>
      <c r="O1" s="147"/>
      <c r="Q1" s="145" t="s">
        <v>1</v>
      </c>
      <c r="R1" s="147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86" t="s">
        <v>83</v>
      </c>
      <c r="H2" s="187"/>
      <c r="I2" s="188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83" t="s">
        <v>55</v>
      </c>
      <c r="C3" s="184"/>
      <c r="D3" s="184"/>
      <c r="E3" s="184"/>
      <c r="F3" s="185"/>
      <c r="G3" s="17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175"/>
      <c r="I3" s="176"/>
      <c r="J3" s="1" t="s">
        <v>23</v>
      </c>
      <c r="K3" s="183" t="s">
        <v>59</v>
      </c>
      <c r="L3" s="184"/>
      <c r="M3" s="184"/>
      <c r="N3" s="184"/>
      <c r="O3" s="18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3" t="s">
        <v>56</v>
      </c>
      <c r="C4" s="184"/>
      <c r="D4" s="184"/>
      <c r="E4" s="184"/>
      <c r="F4" s="185"/>
      <c r="G4" s="186" t="s">
        <v>84</v>
      </c>
      <c r="H4" s="187"/>
      <c r="I4" s="188"/>
      <c r="J4" s="1" t="s">
        <v>30</v>
      </c>
      <c r="K4" s="183" t="s">
        <v>60</v>
      </c>
      <c r="L4" s="184"/>
      <c r="M4" s="184"/>
      <c r="N4" s="184"/>
      <c r="O4" s="185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183" t="s">
        <v>57</v>
      </c>
      <c r="C5" s="184"/>
      <c r="D5" s="184"/>
      <c r="E5" s="184"/>
      <c r="F5" s="185"/>
      <c r="G5" s="17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175"/>
      <c r="I5" s="176"/>
      <c r="J5" s="1" t="s">
        <v>24</v>
      </c>
      <c r="K5" s="183" t="s">
        <v>62</v>
      </c>
      <c r="L5" s="184"/>
      <c r="M5" s="184"/>
      <c r="N5" s="184"/>
      <c r="O5" s="185"/>
    </row>
    <row r="6" spans="1:18">
      <c r="A6" s="1" t="s">
        <v>25</v>
      </c>
      <c r="B6" s="183" t="s">
        <v>58</v>
      </c>
      <c r="C6" s="184"/>
      <c r="D6" s="184"/>
      <c r="E6" s="184"/>
      <c r="F6" s="185"/>
      <c r="G6" s="186" t="s">
        <v>85</v>
      </c>
      <c r="H6" s="187"/>
      <c r="I6" s="188"/>
      <c r="J6" s="1" t="s">
        <v>25</v>
      </c>
      <c r="K6" s="183" t="s">
        <v>63</v>
      </c>
      <c r="L6" s="184"/>
      <c r="M6" s="184"/>
      <c r="N6" s="184"/>
      <c r="O6" s="185"/>
    </row>
    <row r="7" spans="1:18" ht="17.25" thickBot="1">
      <c r="A7" s="1" t="s">
        <v>26</v>
      </c>
      <c r="B7" s="183" t="s">
        <v>64</v>
      </c>
      <c r="C7" s="184"/>
      <c r="D7" s="184"/>
      <c r="E7" s="184"/>
      <c r="F7" s="185"/>
      <c r="G7" s="17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175"/>
      <c r="I7" s="176"/>
      <c r="J7" s="1" t="s">
        <v>26</v>
      </c>
      <c r="K7" s="183" t="s">
        <v>65</v>
      </c>
      <c r="L7" s="184"/>
      <c r="M7" s="184"/>
      <c r="N7" s="184"/>
      <c r="O7" s="185"/>
    </row>
    <row r="8" spans="1:18" ht="17.25" thickBot="1">
      <c r="A8" s="1" t="s">
        <v>27</v>
      </c>
      <c r="B8" s="183" t="s">
        <v>66</v>
      </c>
      <c r="C8" s="184"/>
      <c r="D8" s="184"/>
      <c r="E8" s="184"/>
      <c r="F8" s="185"/>
      <c r="G8" s="186" t="s">
        <v>86</v>
      </c>
      <c r="H8" s="187"/>
      <c r="I8" s="188"/>
      <c r="J8" s="1" t="s">
        <v>27</v>
      </c>
      <c r="K8" s="183" t="s">
        <v>88</v>
      </c>
      <c r="L8" s="184"/>
      <c r="M8" s="184"/>
      <c r="N8" s="184"/>
      <c r="O8" s="185"/>
      <c r="Q8" s="145" t="s">
        <v>16</v>
      </c>
      <c r="R8" s="147"/>
    </row>
    <row r="9" spans="1:18" ht="17.25" thickBot="1">
      <c r="A9" s="1" t="s">
        <v>28</v>
      </c>
      <c r="B9" s="183"/>
      <c r="C9" s="184"/>
      <c r="D9" s="184"/>
      <c r="E9" s="184"/>
      <c r="F9" s="185"/>
      <c r="G9" s="17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175"/>
      <c r="I9" s="176"/>
      <c r="J9" s="1" t="s">
        <v>28</v>
      </c>
      <c r="K9" s="183"/>
      <c r="L9" s="184"/>
      <c r="M9" s="184"/>
      <c r="N9" s="184"/>
      <c r="O9" s="185"/>
      <c r="Q9" s="18" t="s">
        <v>2</v>
      </c>
      <c r="R9" s="51">
        <v>10</v>
      </c>
    </row>
    <row r="10" spans="1:18">
      <c r="A10" s="1" t="s">
        <v>29</v>
      </c>
      <c r="B10" s="183"/>
      <c r="C10" s="184"/>
      <c r="D10" s="184"/>
      <c r="E10" s="184"/>
      <c r="F10" s="185"/>
      <c r="G10" s="186" t="s">
        <v>81</v>
      </c>
      <c r="H10" s="187"/>
      <c r="I10" s="188"/>
      <c r="J10" s="1" t="s">
        <v>29</v>
      </c>
      <c r="K10" s="183"/>
      <c r="L10" s="184"/>
      <c r="M10" s="184"/>
      <c r="N10" s="184"/>
      <c r="O10" s="185"/>
      <c r="Q10" s="18" t="s">
        <v>3</v>
      </c>
      <c r="R10" s="51">
        <v>100</v>
      </c>
    </row>
    <row r="11" spans="1:18" ht="17.25" thickBot="1">
      <c r="A11" s="2" t="s">
        <v>21</v>
      </c>
      <c r="B11" s="171"/>
      <c r="C11" s="172"/>
      <c r="D11" s="172"/>
      <c r="E11" s="172"/>
      <c r="F11" s="173"/>
      <c r="G11" s="17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175"/>
      <c r="I11" s="176"/>
      <c r="J11" s="2" t="s">
        <v>21</v>
      </c>
      <c r="K11" s="171"/>
      <c r="L11" s="172"/>
      <c r="M11" s="172"/>
      <c r="N11" s="172"/>
      <c r="O11" s="173"/>
      <c r="Q11" s="128" t="s">
        <v>17</v>
      </c>
      <c r="R11" s="52">
        <v>1000</v>
      </c>
    </row>
    <row r="12" spans="1:18" ht="17.25" thickBot="1"/>
    <row r="13" spans="1:18" ht="17.25" customHeight="1" thickBot="1">
      <c r="A13" s="145" t="s">
        <v>87</v>
      </c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Q13" s="177"/>
      <c r="R13" s="178"/>
    </row>
    <row r="14" spans="1:18" ht="17.25" customHeight="1" thickBot="1">
      <c r="A14" s="123" t="s">
        <v>236</v>
      </c>
      <c r="B14" s="145" t="s">
        <v>235</v>
      </c>
      <c r="C14" s="147"/>
      <c r="D14" s="145" t="s">
        <v>67</v>
      </c>
      <c r="E14" s="146"/>
      <c r="F14" s="147"/>
      <c r="G14" s="159">
        <f>_xlfn.IFNA(VLOOKUP(B14, 현재가테이블!$B$1:$D$200, 2, FALSE), "-")</f>
        <v>81224000</v>
      </c>
      <c r="H14" s="160"/>
      <c r="I14" s="161"/>
      <c r="J14" s="145" t="s">
        <v>69</v>
      </c>
      <c r="K14" s="146"/>
      <c r="L14" s="147"/>
      <c r="M14" s="162">
        <f>_xlfn.IFNA(VLOOKUP(B14, 현재가테이블!$B$1:$D$200, 3, FALSE), "-")</f>
        <v>3.8962367900000003E-2</v>
      </c>
      <c r="N14" s="163"/>
      <c r="O14" s="164"/>
      <c r="Q14" s="179"/>
      <c r="R14" s="180"/>
    </row>
    <row r="15" spans="1:18" ht="17.25" customHeight="1" thickBot="1">
      <c r="A15" s="152" t="s">
        <v>18</v>
      </c>
      <c r="B15" s="153" t="s">
        <v>54</v>
      </c>
      <c r="C15" s="154"/>
      <c r="D15" s="181" t="s">
        <v>20</v>
      </c>
      <c r="E15" s="158"/>
      <c r="F15" s="182"/>
      <c r="G15" s="181" t="s">
        <v>15</v>
      </c>
      <c r="H15" s="158"/>
      <c r="I15" s="182"/>
      <c r="J15" s="158" t="s">
        <v>34</v>
      </c>
      <c r="K15" s="158"/>
      <c r="L15" s="158"/>
      <c r="M15" s="181" t="s">
        <v>54</v>
      </c>
      <c r="N15" s="158"/>
      <c r="O15" s="182"/>
      <c r="Q15" s="167"/>
      <c r="R15" s="168"/>
    </row>
    <row r="16" spans="1:18" ht="17.25" customHeight="1" thickBot="1">
      <c r="A16" s="1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167"/>
      <c r="R16" s="168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165"/>
      <c r="R17" s="166"/>
    </row>
    <row r="18" spans="1:18" ht="17.25" customHeight="1">
      <c r="A18" s="40" t="s">
        <v>245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165"/>
      <c r="R18" s="166"/>
    </row>
    <row r="19" spans="1:18" ht="17.25" customHeight="1">
      <c r="A19" s="40" t="s">
        <v>221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165"/>
      <c r="R19" s="166"/>
    </row>
    <row r="20" spans="1:18" ht="17.25" customHeight="1">
      <c r="A20" s="40" t="s">
        <v>163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165"/>
      <c r="R20" s="166"/>
    </row>
    <row r="21" spans="1:18" ht="17.25" customHeight="1">
      <c r="A21" s="41" t="s">
        <v>258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165"/>
      <c r="R21" s="166"/>
    </row>
    <row r="22" spans="1:18" ht="17.25" customHeight="1">
      <c r="A22" s="40" t="s">
        <v>174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165"/>
      <c r="R22" s="166"/>
    </row>
    <row r="23" spans="1:18" ht="17.25" customHeight="1">
      <c r="A23" s="40" t="s">
        <v>161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165"/>
      <c r="R23" s="166"/>
    </row>
    <row r="24" spans="1:18" ht="17.25" customHeight="1">
      <c r="A24" s="40" t="s">
        <v>200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165"/>
      <c r="R24" s="166"/>
    </row>
    <row r="25" spans="1:18" ht="17.25" customHeight="1">
      <c r="A25" s="40" t="s">
        <v>263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167"/>
      <c r="R25" s="168"/>
    </row>
    <row r="26" spans="1:18" ht="17.25" customHeight="1" thickBot="1">
      <c r="A26" s="42" t="s">
        <v>170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167"/>
      <c r="R26" s="168"/>
    </row>
    <row r="27" spans="1:18" ht="17.25" customHeight="1" thickBot="1">
      <c r="A27" s="57" t="s">
        <v>32</v>
      </c>
      <c r="B27" s="143">
        <v>100000</v>
      </c>
      <c r="C27" s="144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169"/>
      <c r="R27" s="17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5" t="s">
        <v>83</v>
      </c>
      <c r="B30" s="146"/>
      <c r="C30" s="146"/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7"/>
      <c r="Q30" s="148"/>
      <c r="R30" s="149"/>
    </row>
    <row r="31" spans="1:18" ht="17.25" customHeight="1" thickBot="1">
      <c r="A31" s="123" t="s">
        <v>236</v>
      </c>
      <c r="B31" s="145" t="s">
        <v>235</v>
      </c>
      <c r="C31" s="147"/>
      <c r="D31" s="145" t="s">
        <v>67</v>
      </c>
      <c r="E31" s="146"/>
      <c r="F31" s="147"/>
      <c r="G31" s="159">
        <f>_xlfn.IFNA(VLOOKUP(B31, 현재가테이블!$B$1:$D$200, 2, FALSE), "-")</f>
        <v>81224000</v>
      </c>
      <c r="H31" s="160"/>
      <c r="I31" s="161"/>
      <c r="J31" s="145" t="s">
        <v>69</v>
      </c>
      <c r="K31" s="146"/>
      <c r="L31" s="147"/>
      <c r="M31" s="162">
        <f>_xlfn.IFNA(VLOOKUP(B31, 현재가테이블!$B$1:$D$200, 3, FALSE), "-")</f>
        <v>3.8962367900000003E-2</v>
      </c>
      <c r="N31" s="163"/>
      <c r="O31" s="164"/>
      <c r="Q31" s="150"/>
      <c r="R31" s="151"/>
    </row>
    <row r="32" spans="1:18" ht="17.25" customHeight="1" thickBot="1">
      <c r="A32" s="152" t="s">
        <v>18</v>
      </c>
      <c r="B32" s="153" t="s">
        <v>54</v>
      </c>
      <c r="C32" s="154"/>
      <c r="D32" s="155" t="s">
        <v>20</v>
      </c>
      <c r="E32" s="156"/>
      <c r="F32" s="157"/>
      <c r="G32" s="155" t="s">
        <v>15</v>
      </c>
      <c r="H32" s="156"/>
      <c r="I32" s="157"/>
      <c r="J32" s="158" t="s">
        <v>34</v>
      </c>
      <c r="K32" s="158"/>
      <c r="L32" s="158"/>
      <c r="M32" s="155" t="s">
        <v>54</v>
      </c>
      <c r="N32" s="156"/>
      <c r="O32" s="157"/>
      <c r="Q32" s="139"/>
      <c r="R32" s="140"/>
    </row>
    <row r="33" spans="1:18" ht="17.25" customHeight="1" thickBot="1">
      <c r="A33" s="1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139"/>
      <c r="R33" s="140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137"/>
      <c r="R34" s="138"/>
    </row>
    <row r="35" spans="1:18" ht="17.25" customHeight="1">
      <c r="A35" s="11" t="s">
        <v>174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137"/>
      <c r="R35" s="138"/>
    </row>
    <row r="36" spans="1:18" ht="17.25" customHeight="1">
      <c r="A36" s="11" t="s">
        <v>171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137"/>
      <c r="R36" s="138"/>
    </row>
    <row r="37" spans="1:18" ht="17.25" customHeight="1">
      <c r="A37" s="11" t="s">
        <v>168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137"/>
      <c r="R37" s="138"/>
    </row>
    <row r="38" spans="1:18" ht="17.25" customHeight="1">
      <c r="A38" s="8" t="s">
        <v>140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137"/>
      <c r="R38" s="138"/>
    </row>
    <row r="39" spans="1:18" ht="17.25" customHeight="1">
      <c r="A39" s="11" t="s">
        <v>199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137"/>
      <c r="R39" s="138"/>
    </row>
    <row r="40" spans="1:18" ht="17.25" customHeight="1">
      <c r="A40" s="11" t="s">
        <v>158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137"/>
      <c r="R40" s="138"/>
    </row>
    <row r="41" spans="1:18" ht="17.25" customHeight="1">
      <c r="A41" s="11" t="s">
        <v>153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137"/>
      <c r="R41" s="138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139"/>
      <c r="R42" s="140"/>
    </row>
    <row r="43" spans="1:18" ht="17.25" customHeight="1" thickBot="1">
      <c r="A43" s="13" t="s">
        <v>159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139"/>
      <c r="R43" s="140"/>
    </row>
    <row r="44" spans="1:18" ht="17.25" customHeight="1" thickBot="1">
      <c r="A44" s="57" t="s">
        <v>32</v>
      </c>
      <c r="B44" s="143">
        <v>100000</v>
      </c>
      <c r="C44" s="144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141"/>
      <c r="R44" s="14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5" t="s">
        <v>84</v>
      </c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7"/>
      <c r="Q47" s="148"/>
      <c r="R47" s="149"/>
    </row>
    <row r="48" spans="1:18" ht="17.25" customHeight="1" thickBot="1">
      <c r="A48" s="123" t="s">
        <v>236</v>
      </c>
      <c r="B48" s="145" t="s">
        <v>235</v>
      </c>
      <c r="C48" s="147"/>
      <c r="D48" s="145" t="s">
        <v>67</v>
      </c>
      <c r="E48" s="146"/>
      <c r="F48" s="147"/>
      <c r="G48" s="159">
        <f>_xlfn.IFNA(VLOOKUP(B48, 현재가테이블!$B$1:$D$200, 2, FALSE), "-")</f>
        <v>81224000</v>
      </c>
      <c r="H48" s="160"/>
      <c r="I48" s="161"/>
      <c r="J48" s="145" t="s">
        <v>69</v>
      </c>
      <c r="K48" s="146"/>
      <c r="L48" s="147"/>
      <c r="M48" s="162">
        <f>_xlfn.IFNA(VLOOKUP(B48, 현재가테이블!$B$1:$D$200, 3, FALSE), "-")</f>
        <v>3.8962367900000003E-2</v>
      </c>
      <c r="N48" s="163"/>
      <c r="O48" s="164"/>
      <c r="Q48" s="150"/>
      <c r="R48" s="151"/>
    </row>
    <row r="49" spans="1:18" ht="17.25" customHeight="1" thickBot="1">
      <c r="A49" s="152" t="s">
        <v>18</v>
      </c>
      <c r="B49" s="153" t="s">
        <v>54</v>
      </c>
      <c r="C49" s="154"/>
      <c r="D49" s="155" t="s">
        <v>20</v>
      </c>
      <c r="E49" s="156"/>
      <c r="F49" s="157"/>
      <c r="G49" s="155" t="s">
        <v>15</v>
      </c>
      <c r="H49" s="156"/>
      <c r="I49" s="157"/>
      <c r="J49" s="158" t="s">
        <v>34</v>
      </c>
      <c r="K49" s="158"/>
      <c r="L49" s="158"/>
      <c r="M49" s="155" t="s">
        <v>54</v>
      </c>
      <c r="N49" s="156"/>
      <c r="O49" s="157"/>
      <c r="Q49" s="139"/>
      <c r="R49" s="140"/>
    </row>
    <row r="50" spans="1:18" ht="17.25" customHeight="1" thickBot="1">
      <c r="A50" s="1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139"/>
      <c r="R50" s="140"/>
    </row>
    <row r="51" spans="1:18" ht="17.25" customHeight="1">
      <c r="A51" s="9" t="s">
        <v>116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137"/>
      <c r="R51" s="138"/>
    </row>
    <row r="52" spans="1:18" ht="17.25" customHeight="1">
      <c r="A52" s="11" t="s">
        <v>186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137"/>
      <c r="R52" s="138"/>
    </row>
    <row r="53" spans="1:18" ht="17.25" customHeight="1">
      <c r="A53" s="11" t="s">
        <v>103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137"/>
      <c r="R53" s="138"/>
    </row>
    <row r="54" spans="1:18" ht="17.25" customHeight="1">
      <c r="A54" s="11" t="s">
        <v>183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137"/>
      <c r="R54" s="138"/>
    </row>
    <row r="55" spans="1:18" ht="17.25" customHeight="1">
      <c r="A55" s="8" t="s">
        <v>135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137"/>
      <c r="R55" s="138"/>
    </row>
    <row r="56" spans="1:18" ht="17.25" customHeight="1">
      <c r="A56" s="11" t="s">
        <v>155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137"/>
      <c r="R56" s="13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37"/>
      <c r="R57" s="13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37"/>
      <c r="R58" s="13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39"/>
      <c r="R59" s="14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39"/>
      <c r="R60" s="140"/>
    </row>
    <row r="61" spans="1:18" ht="17.25" customHeight="1" thickBot="1">
      <c r="A61" s="57" t="s">
        <v>32</v>
      </c>
      <c r="B61" s="143">
        <v>100000</v>
      </c>
      <c r="C61" s="144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141"/>
      <c r="R61" s="142"/>
    </row>
    <row r="62" spans="1:18" ht="17.25" customHeight="1"/>
    <row r="63" spans="1:18" ht="17.25" customHeight="1" thickBot="1"/>
    <row r="64" spans="1:18" ht="17.25" customHeight="1" thickBot="1">
      <c r="A64" s="145" t="s">
        <v>85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7"/>
      <c r="Q64" s="148"/>
      <c r="R64" s="149"/>
    </row>
    <row r="65" spans="1:18" ht="17.25" customHeight="1" thickBot="1">
      <c r="A65" s="123" t="s">
        <v>236</v>
      </c>
      <c r="B65" s="145" t="s">
        <v>235</v>
      </c>
      <c r="C65" s="147"/>
      <c r="D65" s="145" t="s">
        <v>67</v>
      </c>
      <c r="E65" s="146"/>
      <c r="F65" s="147"/>
      <c r="G65" s="159">
        <f>_xlfn.IFNA(VLOOKUP(B65, 현재가테이블!$B$1:$D$200, 2, FALSE), "-")</f>
        <v>81224000</v>
      </c>
      <c r="H65" s="160"/>
      <c r="I65" s="161"/>
      <c r="J65" s="145" t="s">
        <v>69</v>
      </c>
      <c r="K65" s="146"/>
      <c r="L65" s="147"/>
      <c r="M65" s="162">
        <f>_xlfn.IFNA(VLOOKUP(B65, 현재가테이블!$B$1:$D$200, 3, FALSE), "-")</f>
        <v>3.8962367900000003E-2</v>
      </c>
      <c r="N65" s="163"/>
      <c r="O65" s="164"/>
      <c r="Q65" s="150"/>
      <c r="R65" s="151"/>
    </row>
    <row r="66" spans="1:18" ht="17.25" customHeight="1" thickBot="1">
      <c r="A66" s="152" t="s">
        <v>18</v>
      </c>
      <c r="B66" s="153" t="s">
        <v>54</v>
      </c>
      <c r="C66" s="154"/>
      <c r="D66" s="155" t="s">
        <v>20</v>
      </c>
      <c r="E66" s="156"/>
      <c r="F66" s="157"/>
      <c r="G66" s="155" t="s">
        <v>15</v>
      </c>
      <c r="H66" s="156"/>
      <c r="I66" s="157"/>
      <c r="J66" s="158" t="s">
        <v>34</v>
      </c>
      <c r="K66" s="158"/>
      <c r="L66" s="158"/>
      <c r="M66" s="155" t="s">
        <v>54</v>
      </c>
      <c r="N66" s="156"/>
      <c r="O66" s="157"/>
      <c r="Q66" s="139"/>
      <c r="R66" s="140"/>
    </row>
    <row r="67" spans="1:18" ht="17.25" customHeight="1" thickBot="1">
      <c r="A67" s="1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139"/>
      <c r="R67" s="140"/>
    </row>
    <row r="68" spans="1:18" ht="17.25" customHeight="1">
      <c r="A68" s="9" t="s">
        <v>215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137"/>
      <c r="R68" s="138"/>
    </row>
    <row r="69" spans="1:18" ht="17.25" customHeight="1">
      <c r="A69" s="11" t="s">
        <v>149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137"/>
      <c r="R69" s="138"/>
    </row>
    <row r="70" spans="1:18" ht="17.25" customHeight="1">
      <c r="A70" s="11" t="s">
        <v>221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137"/>
      <c r="R70" s="138"/>
    </row>
    <row r="71" spans="1:18" ht="17.25" customHeight="1">
      <c r="A71" s="11" t="s">
        <v>143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137"/>
      <c r="R71" s="138"/>
    </row>
    <row r="72" spans="1:18" ht="17.25" customHeight="1">
      <c r="A72" s="8" t="s">
        <v>138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137"/>
      <c r="R72" s="138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137"/>
      <c r="R73" s="138"/>
    </row>
    <row r="74" spans="1:18" ht="17.25" customHeight="1">
      <c r="A74" s="11" t="s">
        <v>130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137"/>
      <c r="R74" s="138"/>
    </row>
    <row r="75" spans="1:18" ht="17.25" customHeight="1">
      <c r="A75" s="11" t="s">
        <v>142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137"/>
      <c r="R75" s="138"/>
    </row>
    <row r="76" spans="1:18" ht="17.25" customHeight="1">
      <c r="A76" s="11" t="s">
        <v>185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139"/>
      <c r="R76" s="140"/>
    </row>
    <row r="77" spans="1:18" ht="17.25" customHeight="1" thickBot="1">
      <c r="A77" s="13" t="s">
        <v>145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139"/>
      <c r="R77" s="140"/>
    </row>
    <row r="78" spans="1:18" ht="17.25" customHeight="1" thickBot="1">
      <c r="A78" s="57" t="s">
        <v>32</v>
      </c>
      <c r="B78" s="143">
        <v>100000</v>
      </c>
      <c r="C78" s="144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141"/>
      <c r="R78" s="14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5" t="s">
        <v>86</v>
      </c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7"/>
      <c r="Q81" s="148"/>
      <c r="R81" s="149"/>
    </row>
    <row r="82" spans="1:18" ht="17.25" customHeight="1" thickBot="1">
      <c r="A82" s="123" t="s">
        <v>236</v>
      </c>
      <c r="B82" s="145" t="s">
        <v>235</v>
      </c>
      <c r="C82" s="147"/>
      <c r="D82" s="145" t="s">
        <v>67</v>
      </c>
      <c r="E82" s="146"/>
      <c r="F82" s="147"/>
      <c r="G82" s="159">
        <f>_xlfn.IFNA(VLOOKUP(B82, 현재가테이블!$B$1:$D$200, 2, FALSE), "-")</f>
        <v>81224000</v>
      </c>
      <c r="H82" s="160"/>
      <c r="I82" s="161"/>
      <c r="J82" s="145" t="s">
        <v>69</v>
      </c>
      <c r="K82" s="146"/>
      <c r="L82" s="147"/>
      <c r="M82" s="162">
        <f>_xlfn.IFNA(VLOOKUP(B82, 현재가테이블!$B$1:$D$200, 3, FALSE), "-")</f>
        <v>3.8962367900000003E-2</v>
      </c>
      <c r="N82" s="163"/>
      <c r="O82" s="164"/>
      <c r="Q82" s="150"/>
      <c r="R82" s="151"/>
    </row>
    <row r="83" spans="1:18" ht="17.25" customHeight="1" thickBot="1">
      <c r="A83" s="152" t="s">
        <v>18</v>
      </c>
      <c r="B83" s="153" t="s">
        <v>54</v>
      </c>
      <c r="C83" s="154"/>
      <c r="D83" s="155" t="s">
        <v>20</v>
      </c>
      <c r="E83" s="156"/>
      <c r="F83" s="157"/>
      <c r="G83" s="155" t="s">
        <v>15</v>
      </c>
      <c r="H83" s="156"/>
      <c r="I83" s="157"/>
      <c r="J83" s="158" t="s">
        <v>34</v>
      </c>
      <c r="K83" s="158"/>
      <c r="L83" s="158"/>
      <c r="M83" s="155" t="s">
        <v>54</v>
      </c>
      <c r="N83" s="156"/>
      <c r="O83" s="157"/>
      <c r="Q83" s="139"/>
      <c r="R83" s="140"/>
    </row>
    <row r="84" spans="1:18" ht="17.25" customHeight="1" thickBot="1">
      <c r="A84" s="1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139"/>
      <c r="R84" s="140"/>
    </row>
    <row r="85" spans="1:18" ht="17.25" customHeight="1">
      <c r="A85" s="9" t="s">
        <v>146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137"/>
      <c r="R85" s="138"/>
    </row>
    <row r="86" spans="1:18" ht="17.25" customHeight="1">
      <c r="A86" s="11" t="s">
        <v>176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137"/>
      <c r="R86" s="138"/>
    </row>
    <row r="87" spans="1:18" ht="17.25" customHeight="1">
      <c r="A87" s="11" t="s">
        <v>164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137"/>
      <c r="R87" s="138"/>
    </row>
    <row r="88" spans="1:18" ht="17.25" customHeight="1">
      <c r="A88" s="11" t="s">
        <v>161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137"/>
      <c r="R88" s="138"/>
    </row>
    <row r="89" spans="1:18" ht="17.25" customHeight="1">
      <c r="A89" s="8" t="s">
        <v>200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137"/>
      <c r="R89" s="138"/>
    </row>
    <row r="90" spans="1:18" ht="17.25" customHeight="1">
      <c r="A90" s="11" t="s">
        <v>263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137"/>
      <c r="R90" s="138"/>
    </row>
    <row r="91" spans="1:18" ht="17.25" customHeight="1">
      <c r="A91" s="11" t="s">
        <v>170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137"/>
      <c r="R91" s="138"/>
    </row>
    <row r="92" spans="1:18" ht="17.25" customHeight="1">
      <c r="A92" s="11" t="s">
        <v>134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137"/>
      <c r="R92" s="138"/>
    </row>
    <row r="93" spans="1:18" ht="17.25" customHeight="1">
      <c r="A93" s="11" t="s">
        <v>203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139"/>
      <c r="R93" s="140"/>
    </row>
    <row r="94" spans="1:18" ht="17.25" customHeight="1" thickBot="1">
      <c r="A94" s="13" t="s">
        <v>160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139"/>
      <c r="R94" s="140"/>
    </row>
    <row r="95" spans="1:18" ht="17.25" customHeight="1" thickBot="1">
      <c r="A95" s="57" t="s">
        <v>32</v>
      </c>
      <c r="B95" s="143">
        <v>100000</v>
      </c>
      <c r="C95" s="144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141"/>
      <c r="R95" s="142"/>
    </row>
    <row r="96" spans="1:18" ht="17.25" customHeight="1"/>
    <row r="97" spans="1:18" ht="17.25" customHeight="1" thickBot="1"/>
    <row r="98" spans="1:18" ht="17.25" customHeight="1" thickBot="1">
      <c r="A98" s="145" t="s">
        <v>81</v>
      </c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7"/>
      <c r="Q98" s="148"/>
      <c r="R98" s="149"/>
    </row>
    <row r="99" spans="1:18" ht="17.25" customHeight="1" thickBot="1">
      <c r="A99" s="123" t="s">
        <v>236</v>
      </c>
      <c r="B99" s="145" t="s">
        <v>235</v>
      </c>
      <c r="C99" s="147"/>
      <c r="D99" s="145" t="s">
        <v>67</v>
      </c>
      <c r="E99" s="146"/>
      <c r="F99" s="147"/>
      <c r="G99" s="159">
        <f>_xlfn.IFNA(VLOOKUP(B99, 현재가테이블!$B$1:$D$200, 2, FALSE), "-")</f>
        <v>81224000</v>
      </c>
      <c r="H99" s="160"/>
      <c r="I99" s="161"/>
      <c r="J99" s="145" t="s">
        <v>69</v>
      </c>
      <c r="K99" s="146"/>
      <c r="L99" s="147"/>
      <c r="M99" s="162">
        <f>_xlfn.IFNA(VLOOKUP(B99, 현재가테이블!$B$1:$D$200, 3, FALSE), "-")</f>
        <v>3.8962367900000003E-2</v>
      </c>
      <c r="N99" s="163"/>
      <c r="O99" s="164"/>
      <c r="Q99" s="150"/>
      <c r="R99" s="151"/>
    </row>
    <row r="100" spans="1:18" ht="17.25" customHeight="1" thickBot="1">
      <c r="A100" s="152" t="s">
        <v>18</v>
      </c>
      <c r="B100" s="153" t="s">
        <v>54</v>
      </c>
      <c r="C100" s="154"/>
      <c r="D100" s="155" t="s">
        <v>20</v>
      </c>
      <c r="E100" s="156"/>
      <c r="F100" s="157"/>
      <c r="G100" s="155" t="s">
        <v>15</v>
      </c>
      <c r="H100" s="156"/>
      <c r="I100" s="157"/>
      <c r="J100" s="158" t="s">
        <v>34</v>
      </c>
      <c r="K100" s="158"/>
      <c r="L100" s="158"/>
      <c r="M100" s="155" t="s">
        <v>54</v>
      </c>
      <c r="N100" s="156"/>
      <c r="O100" s="157"/>
      <c r="Q100" s="139"/>
      <c r="R100" s="140"/>
    </row>
    <row r="101" spans="1:18" ht="17.25" customHeight="1" thickBot="1">
      <c r="A101" s="1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139"/>
      <c r="R101" s="140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137"/>
      <c r="R102" s="138"/>
    </row>
    <row r="103" spans="1:18" ht="17.25" customHeight="1">
      <c r="A103" s="11" t="s">
        <v>215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137"/>
      <c r="R103" s="138"/>
    </row>
    <row r="104" spans="1:18" ht="17.25" customHeight="1">
      <c r="A104" s="11" t="s">
        <v>149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137"/>
      <c r="R104" s="138"/>
    </row>
    <row r="105" spans="1:18" ht="17.25" customHeight="1">
      <c r="A105" s="11" t="s">
        <v>221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137"/>
      <c r="R105" s="138"/>
    </row>
    <row r="106" spans="1:18" ht="17.25" customHeight="1">
      <c r="A106" s="8" t="s">
        <v>163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137"/>
      <c r="R106" s="138"/>
    </row>
    <row r="107" spans="1:18" ht="17.25" customHeight="1">
      <c r="A107" s="11" t="s">
        <v>258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137"/>
      <c r="R107" s="138"/>
    </row>
    <row r="108" spans="1:18" ht="17.25" customHeight="1">
      <c r="A108" s="11" t="s">
        <v>174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137"/>
      <c r="R108" s="138"/>
    </row>
    <row r="109" spans="1:18" ht="17.25" customHeight="1">
      <c r="A109" s="11" t="s">
        <v>98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137"/>
      <c r="R109" s="138"/>
    </row>
    <row r="110" spans="1:18" ht="17.25" customHeight="1">
      <c r="A110" s="11" t="s">
        <v>118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139"/>
      <c r="R110" s="140"/>
    </row>
    <row r="111" spans="1:18" ht="17.25" customHeight="1" thickBot="1">
      <c r="A111" s="13" t="s">
        <v>171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139"/>
      <c r="R111" s="140"/>
    </row>
    <row r="112" spans="1:18" ht="17.25" customHeight="1" thickBot="1">
      <c r="A112" s="57" t="s">
        <v>32</v>
      </c>
      <c r="B112" s="143">
        <v>100000</v>
      </c>
      <c r="C112" s="144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141"/>
      <c r="R112" s="14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95" priority="89">
      <formula>$E$27&gt;0</formula>
    </cfRule>
    <cfRule type="expression" dxfId="194" priority="90">
      <formula>$E$27&lt;0</formula>
    </cfRule>
  </conditionalFormatting>
  <conditionalFormatting sqref="G15:I16 H27:I27">
    <cfRule type="expression" dxfId="193" priority="87">
      <formula>$H$27&gt;0</formula>
    </cfRule>
    <cfRule type="expression" dxfId="192" priority="88">
      <formula>$H$27&lt;0</formula>
    </cfRule>
  </conditionalFormatting>
  <conditionalFormatting sqref="J15:L16 K27:L27">
    <cfRule type="expression" dxfId="191" priority="85">
      <formula>$K$27&gt;0</formula>
    </cfRule>
    <cfRule type="expression" dxfId="190" priority="86">
      <formula>$K$27&lt;0</formula>
    </cfRule>
  </conditionalFormatting>
  <conditionalFormatting sqref="M15:O16 N27:O27">
    <cfRule type="expression" dxfId="189" priority="83">
      <formula>$N$27&gt;0</formula>
    </cfRule>
    <cfRule type="expression" dxfId="188" priority="84">
      <formula>$N$27&lt;0</formula>
    </cfRule>
  </conditionalFormatting>
  <conditionalFormatting sqref="A17:O26 A34:O43">
    <cfRule type="expression" dxfId="187" priority="91">
      <formula>AND($N17 &gt; 0, ISNUMBER($N17))</formula>
    </cfRule>
    <cfRule type="expression" dxfId="186" priority="92">
      <formula>AND($N17 &lt; 0, ISNUMBER($N17))</formula>
    </cfRule>
    <cfRule type="expression" dxfId="185" priority="93">
      <formula>AND($K17 &gt; 0, ISNUMBER($K17))</formula>
    </cfRule>
    <cfRule type="expression" dxfId="184" priority="94">
      <formula>AND($K17 &lt; 0, ISNUMBER($K17))</formula>
    </cfRule>
    <cfRule type="expression" dxfId="183" priority="95">
      <formula>AND($H17 &gt; 0, ISNUMBER($H17))</formula>
    </cfRule>
    <cfRule type="expression" dxfId="182" priority="96">
      <formula>AND($H17 &lt; 0, ISNUMBER($H17))</formula>
    </cfRule>
    <cfRule type="expression" dxfId="181" priority="97">
      <formula>AND($E17 &gt; 0, ISNUMBER($E17))</formula>
    </cfRule>
    <cfRule type="expression" dxfId="180" priority="98">
      <formula>AND($E17 &lt; 0, ISNUMBER($E17))</formula>
    </cfRule>
  </conditionalFormatting>
  <conditionalFormatting sqref="D32:F33 E44:F44">
    <cfRule type="expression" dxfId="179" priority="81">
      <formula>$E$44&gt;0</formula>
    </cfRule>
    <cfRule type="expression" dxfId="178" priority="82">
      <formula>$E$44&lt;0</formula>
    </cfRule>
  </conditionalFormatting>
  <conditionalFormatting sqref="G32:I33 H44:I44">
    <cfRule type="expression" dxfId="177" priority="79">
      <formula>$H$44&gt;0</formula>
    </cfRule>
    <cfRule type="expression" dxfId="176" priority="80">
      <formula>$H$44&lt;0</formula>
    </cfRule>
  </conditionalFormatting>
  <conditionalFormatting sqref="J32:L33 K44:L44">
    <cfRule type="expression" dxfId="175" priority="77">
      <formula>$K$44&gt;0</formula>
    </cfRule>
    <cfRule type="expression" dxfId="174" priority="78">
      <formula>$K$44&lt;0</formula>
    </cfRule>
  </conditionalFormatting>
  <conditionalFormatting sqref="M32:O33 N44:O44">
    <cfRule type="expression" dxfId="173" priority="75">
      <formula>$N$44&gt;0</formula>
    </cfRule>
    <cfRule type="expression" dxfId="172" priority="76">
      <formula>$N$44&lt;0</formula>
    </cfRule>
  </conditionalFormatting>
  <conditionalFormatting sqref="A51:O60">
    <cfRule type="expression" dxfId="171" priority="67">
      <formula>AND($N51 &gt; 0, ISNUMBER($N51))</formula>
    </cfRule>
    <cfRule type="expression" dxfId="170" priority="68">
      <formula>AND($N51 &lt; 0, ISNUMBER($N51))</formula>
    </cfRule>
    <cfRule type="expression" dxfId="169" priority="69">
      <formula>AND($K51 &gt; 0, ISNUMBER($K51))</formula>
    </cfRule>
    <cfRule type="expression" dxfId="168" priority="70">
      <formula>AND($K51 &lt; 0, ISNUMBER($K51))</formula>
    </cfRule>
    <cfRule type="expression" dxfId="167" priority="71">
      <formula>AND($H51 &gt; 0, ISNUMBER($H51))</formula>
    </cfRule>
    <cfRule type="expression" dxfId="166" priority="72">
      <formula>AND($H51 &lt; 0, ISNUMBER($H51))</formula>
    </cfRule>
    <cfRule type="expression" dxfId="165" priority="73">
      <formula>AND($E51 &gt; 0, ISNUMBER($E51))</formula>
    </cfRule>
    <cfRule type="expression" dxfId="164" priority="74">
      <formula>AND($E51 &lt; 0, ISNUMBER($E51))</formula>
    </cfRule>
  </conditionalFormatting>
  <conditionalFormatting sqref="D49:F50 E61:F61">
    <cfRule type="expression" dxfId="163" priority="65">
      <formula>$E$61&gt;0</formula>
    </cfRule>
    <cfRule type="expression" dxfId="162" priority="66">
      <formula>$E$61&lt;0</formula>
    </cfRule>
  </conditionalFormatting>
  <conditionalFormatting sqref="G49:I50 H61:I61">
    <cfRule type="expression" dxfId="161" priority="63">
      <formula>$H$61&gt;0</formula>
    </cfRule>
    <cfRule type="expression" dxfId="160" priority="64">
      <formula>$H$61&lt;0</formula>
    </cfRule>
  </conditionalFormatting>
  <conditionalFormatting sqref="J49:L50 K61:L61">
    <cfRule type="expression" dxfId="159" priority="61">
      <formula>$K$61&gt;0</formula>
    </cfRule>
    <cfRule type="expression" dxfId="158" priority="62">
      <formula>$K$61&lt;0</formula>
    </cfRule>
  </conditionalFormatting>
  <conditionalFormatting sqref="M49:O50 N61:O61">
    <cfRule type="expression" dxfId="157" priority="59">
      <formula>$N$61&gt;0</formula>
    </cfRule>
    <cfRule type="expression" dxfId="156" priority="60">
      <formula>$N$61&lt;0</formula>
    </cfRule>
  </conditionalFormatting>
  <conditionalFormatting sqref="A68:O77">
    <cfRule type="expression" dxfId="155" priority="51">
      <formula>AND($N68 &gt; 0, ISNUMBER($N68))</formula>
    </cfRule>
    <cfRule type="expression" dxfId="154" priority="52">
      <formula>AND($N68 &lt; 0, ISNUMBER($N68))</formula>
    </cfRule>
    <cfRule type="expression" dxfId="153" priority="53">
      <formula>AND($K68 &gt; 0, ISNUMBER($K68))</formula>
    </cfRule>
    <cfRule type="expression" dxfId="152" priority="54">
      <formula>AND($K68 &lt; 0, ISNUMBER($K68))</formula>
    </cfRule>
    <cfRule type="expression" dxfId="151" priority="55">
      <formula>AND($H68 &gt; 0, ISNUMBER($H68))</formula>
    </cfRule>
    <cfRule type="expression" dxfId="150" priority="56">
      <formula>AND($H68 &lt; 0, ISNUMBER($H68))</formula>
    </cfRule>
    <cfRule type="expression" dxfId="149" priority="57">
      <formula>AND($E68 &gt; 0, ISNUMBER($E68))</formula>
    </cfRule>
    <cfRule type="expression" dxfId="148" priority="58">
      <formula>AND($E68 &lt; 0, ISNUMBER($E68))</formula>
    </cfRule>
  </conditionalFormatting>
  <conditionalFormatting sqref="D66:F67 E78:F78">
    <cfRule type="expression" dxfId="147" priority="49">
      <formula>$E$78&gt;0</formula>
    </cfRule>
    <cfRule type="expression" dxfId="146" priority="50">
      <formula>$E$78&lt;0</formula>
    </cfRule>
  </conditionalFormatting>
  <conditionalFormatting sqref="G66:I67 H78:I78">
    <cfRule type="expression" dxfId="145" priority="47">
      <formula>$H$78&gt;0</formula>
    </cfRule>
    <cfRule type="expression" dxfId="144" priority="48">
      <formula>$H$78&lt;0</formula>
    </cfRule>
  </conditionalFormatting>
  <conditionalFormatting sqref="J66:L67 K78:L78">
    <cfRule type="expression" dxfId="143" priority="45">
      <formula>$K$78&gt;0</formula>
    </cfRule>
    <cfRule type="expression" dxfId="142" priority="46">
      <formula>$K$78&lt;0</formula>
    </cfRule>
  </conditionalFormatting>
  <conditionalFormatting sqref="M66:O67 N78:O78">
    <cfRule type="expression" dxfId="141" priority="43">
      <formula>$N$78&gt;0</formula>
    </cfRule>
    <cfRule type="expression" dxfId="140" priority="44">
      <formula>$N$78&lt;0</formula>
    </cfRule>
  </conditionalFormatting>
  <conditionalFormatting sqref="A85:O94">
    <cfRule type="expression" dxfId="139" priority="35">
      <formula>AND($N85 &gt; 0, ISNUMBER($N85))</formula>
    </cfRule>
    <cfRule type="expression" dxfId="138" priority="36">
      <formula>AND($N85 &lt; 0, ISNUMBER($N85))</formula>
    </cfRule>
    <cfRule type="expression" dxfId="137" priority="37">
      <formula>AND($K85 &gt; 0, ISNUMBER($K85))</formula>
    </cfRule>
    <cfRule type="expression" dxfId="136" priority="38">
      <formula>AND($K85 &lt; 0, ISNUMBER($K85))</formula>
    </cfRule>
    <cfRule type="expression" dxfId="135" priority="39">
      <formula>AND($H85 &gt; 0, ISNUMBER($H85))</formula>
    </cfRule>
    <cfRule type="expression" dxfId="134" priority="40">
      <formula>AND($H85 &lt; 0, ISNUMBER($H85))</formula>
    </cfRule>
    <cfRule type="expression" dxfId="133" priority="41">
      <formula>AND($E85 &gt; 0, ISNUMBER($E85))</formula>
    </cfRule>
    <cfRule type="expression" dxfId="132" priority="42">
      <formula>AND($E85 &lt; 0, ISNUMBER($E85))</formula>
    </cfRule>
  </conditionalFormatting>
  <conditionalFormatting sqref="D83:F84 E95:F95">
    <cfRule type="expression" dxfId="131" priority="33">
      <formula>$E$95&gt;0</formula>
    </cfRule>
    <cfRule type="expression" dxfId="130" priority="34">
      <formula>$E$95&lt;0</formula>
    </cfRule>
  </conditionalFormatting>
  <conditionalFormatting sqref="G83:I84 H95:I95">
    <cfRule type="expression" dxfId="129" priority="31">
      <formula>$H$95&gt;0</formula>
    </cfRule>
    <cfRule type="expression" dxfId="128" priority="32">
      <formula>$H$95&lt;0</formula>
    </cfRule>
  </conditionalFormatting>
  <conditionalFormatting sqref="J83:L84 K95:L95">
    <cfRule type="expression" dxfId="127" priority="29">
      <formula>$K$95&gt;0</formula>
    </cfRule>
    <cfRule type="expression" dxfId="126" priority="30">
      <formula>$K$95&lt;0</formula>
    </cfRule>
  </conditionalFormatting>
  <conditionalFormatting sqref="M83:O84 N95:O95">
    <cfRule type="expression" dxfId="125" priority="27">
      <formula>$N$95&gt;0</formula>
    </cfRule>
    <cfRule type="expression" dxfId="124" priority="28">
      <formula>$N$95&lt;0</formula>
    </cfRule>
  </conditionalFormatting>
  <conditionalFormatting sqref="A102:O111">
    <cfRule type="expression" dxfId="123" priority="19">
      <formula>AND($N102 &gt; 0, ISNUMBER($N102))</formula>
    </cfRule>
    <cfRule type="expression" dxfId="122" priority="20">
      <formula>AND($N102 &lt; 0, ISNUMBER($N102))</formula>
    </cfRule>
    <cfRule type="expression" dxfId="121" priority="21">
      <formula>AND($K102 &gt; 0, ISNUMBER($K102))</formula>
    </cfRule>
    <cfRule type="expression" dxfId="120" priority="22">
      <formula>AND($K102 &lt; 0, ISNUMBER($K102))</formula>
    </cfRule>
    <cfRule type="expression" dxfId="119" priority="23">
      <formula>AND($H102 &gt; 0, ISNUMBER($H102))</formula>
    </cfRule>
    <cfRule type="expression" dxfId="118" priority="24">
      <formula>AND($H102 &lt; 0, ISNUMBER($H102))</formula>
    </cfRule>
    <cfRule type="expression" dxfId="117" priority="25">
      <formula>AND($E102 &gt; 0, ISNUMBER($E102))</formula>
    </cfRule>
    <cfRule type="expression" dxfId="116" priority="26">
      <formula>AND($E102 &lt; 0, ISNUMBER($E102))</formula>
    </cfRule>
  </conditionalFormatting>
  <conditionalFormatting sqref="D100:F101 E112:F112">
    <cfRule type="expression" dxfId="115" priority="17">
      <formula>$E$112&gt;0</formula>
    </cfRule>
    <cfRule type="expression" dxfId="114" priority="18">
      <formula>$E$112&lt;0</formula>
    </cfRule>
  </conditionalFormatting>
  <conditionalFormatting sqref="G100:I101 H112:I112">
    <cfRule type="expression" dxfId="113" priority="15">
      <formula>$H$112&gt;0</formula>
    </cfRule>
    <cfRule type="expression" dxfId="112" priority="16">
      <formula>$H$112&lt;0</formula>
    </cfRule>
  </conditionalFormatting>
  <conditionalFormatting sqref="J100:L101 K112:L112">
    <cfRule type="expression" dxfId="111" priority="13">
      <formula>$K$112&gt;0</formula>
    </cfRule>
    <cfRule type="expression" dxfId="110" priority="14">
      <formula>$K$112&lt;0</formula>
    </cfRule>
  </conditionalFormatting>
  <conditionalFormatting sqref="M100:O101 N112:O112">
    <cfRule type="expression" dxfId="109" priority="11">
      <formula>$N$112&gt;0</formula>
    </cfRule>
    <cfRule type="expression" dxfId="108" priority="12">
      <formula>$N$112&lt;0</formula>
    </cfRule>
  </conditionalFormatting>
  <conditionalFormatting sqref="G2:I3">
    <cfRule type="expression" dxfId="1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tabSelected="1" zoomScaleNormal="100" workbookViewId="0">
      <selection activeCell="J102" sqref="J102:J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45" t="s">
        <v>0</v>
      </c>
      <c r="B1" s="146"/>
      <c r="C1" s="146"/>
      <c r="D1" s="146"/>
      <c r="E1" s="146"/>
      <c r="F1" s="147"/>
      <c r="G1" s="189">
        <v>44287</v>
      </c>
      <c r="H1" s="190"/>
      <c r="I1" s="191"/>
      <c r="J1" s="145" t="s">
        <v>33</v>
      </c>
      <c r="K1" s="146"/>
      <c r="L1" s="146"/>
      <c r="M1" s="146"/>
      <c r="N1" s="146"/>
      <c r="O1" s="147"/>
      <c r="Q1" s="145" t="s">
        <v>1</v>
      </c>
      <c r="R1" s="147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86" t="s">
        <v>83</v>
      </c>
      <c r="H2" s="187"/>
      <c r="I2" s="188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83" t="s">
        <v>55</v>
      </c>
      <c r="C3" s="184"/>
      <c r="D3" s="184"/>
      <c r="E3" s="184"/>
      <c r="F3" s="185"/>
      <c r="G3" s="174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-16,428 KRW (-1.64%)</v>
      </c>
      <c r="H3" s="175"/>
      <c r="I3" s="176"/>
      <c r="J3" s="1" t="s">
        <v>23</v>
      </c>
      <c r="K3" s="183" t="s">
        <v>59</v>
      </c>
      <c r="L3" s="184"/>
      <c r="M3" s="184"/>
      <c r="N3" s="184"/>
      <c r="O3" s="185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83" t="s">
        <v>56</v>
      </c>
      <c r="C4" s="184"/>
      <c r="D4" s="184"/>
      <c r="E4" s="184"/>
      <c r="F4" s="185"/>
      <c r="G4" s="186" t="s">
        <v>84</v>
      </c>
      <c r="H4" s="187"/>
      <c r="I4" s="188"/>
      <c r="J4" s="1" t="s">
        <v>30</v>
      </c>
      <c r="K4" s="183" t="s">
        <v>60</v>
      </c>
      <c r="L4" s="184"/>
      <c r="M4" s="184"/>
      <c r="N4" s="184"/>
      <c r="O4" s="185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183" t="s">
        <v>57</v>
      </c>
      <c r="C5" s="184"/>
      <c r="D5" s="184"/>
      <c r="E5" s="184"/>
      <c r="F5" s="185"/>
      <c r="G5" s="174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-27,116 KRW (-4.52%)</v>
      </c>
      <c r="H5" s="175"/>
      <c r="I5" s="176"/>
      <c r="J5" s="1" t="s">
        <v>24</v>
      </c>
      <c r="K5" s="183" t="s">
        <v>62</v>
      </c>
      <c r="L5" s="184"/>
      <c r="M5" s="184"/>
      <c r="N5" s="184"/>
      <c r="O5" s="185"/>
    </row>
    <row r="6" spans="1:18">
      <c r="A6" s="1" t="s">
        <v>25</v>
      </c>
      <c r="B6" s="183" t="s">
        <v>58</v>
      </c>
      <c r="C6" s="184"/>
      <c r="D6" s="184"/>
      <c r="E6" s="184"/>
      <c r="F6" s="185"/>
      <c r="G6" s="186" t="s">
        <v>85</v>
      </c>
      <c r="H6" s="187"/>
      <c r="I6" s="188"/>
      <c r="J6" s="1" t="s">
        <v>25</v>
      </c>
      <c r="K6" s="183" t="s">
        <v>63</v>
      </c>
      <c r="L6" s="184"/>
      <c r="M6" s="184"/>
      <c r="N6" s="184"/>
      <c r="O6" s="185"/>
    </row>
    <row r="7" spans="1:18" ht="17.25" thickBot="1">
      <c r="A7" s="1" t="s">
        <v>26</v>
      </c>
      <c r="B7" s="183" t="s">
        <v>64</v>
      </c>
      <c r="C7" s="184"/>
      <c r="D7" s="184"/>
      <c r="E7" s="184"/>
      <c r="F7" s="185"/>
      <c r="G7" s="174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-12,758 KRW (-1.28%)</v>
      </c>
      <c r="H7" s="175"/>
      <c r="I7" s="176"/>
      <c r="J7" s="1" t="s">
        <v>26</v>
      </c>
      <c r="K7" s="183" t="s">
        <v>65</v>
      </c>
      <c r="L7" s="184"/>
      <c r="M7" s="184"/>
      <c r="N7" s="184"/>
      <c r="O7" s="185"/>
    </row>
    <row r="8" spans="1:18" ht="17.25" thickBot="1">
      <c r="A8" s="1" t="s">
        <v>27</v>
      </c>
      <c r="B8" s="183" t="s">
        <v>66</v>
      </c>
      <c r="C8" s="184"/>
      <c r="D8" s="184"/>
      <c r="E8" s="184"/>
      <c r="F8" s="185"/>
      <c r="G8" s="186" t="s">
        <v>86</v>
      </c>
      <c r="H8" s="187"/>
      <c r="I8" s="188"/>
      <c r="J8" s="1" t="s">
        <v>27</v>
      </c>
      <c r="K8" s="183" t="s">
        <v>88</v>
      </c>
      <c r="L8" s="184"/>
      <c r="M8" s="184"/>
      <c r="N8" s="184"/>
      <c r="O8" s="185"/>
      <c r="Q8" s="145" t="s">
        <v>16</v>
      </c>
      <c r="R8" s="147"/>
    </row>
    <row r="9" spans="1:18" ht="17.25" thickBot="1">
      <c r="A9" s="1" t="s">
        <v>28</v>
      </c>
      <c r="B9" s="183"/>
      <c r="C9" s="184"/>
      <c r="D9" s="184"/>
      <c r="E9" s="184"/>
      <c r="F9" s="185"/>
      <c r="G9" s="174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-6,360 KRW (-0.64%)</v>
      </c>
      <c r="H9" s="175"/>
      <c r="I9" s="176"/>
      <c r="J9" s="1" t="s">
        <v>28</v>
      </c>
      <c r="K9" s="183" t="s">
        <v>268</v>
      </c>
      <c r="L9" s="184"/>
      <c r="M9" s="184"/>
      <c r="N9" s="184"/>
      <c r="O9" s="185"/>
      <c r="Q9" s="18" t="s">
        <v>2</v>
      </c>
      <c r="R9" s="51">
        <v>10</v>
      </c>
    </row>
    <row r="10" spans="1:18">
      <c r="A10" s="1" t="s">
        <v>29</v>
      </c>
      <c r="B10" s="183"/>
      <c r="C10" s="184"/>
      <c r="D10" s="184"/>
      <c r="E10" s="184"/>
      <c r="F10" s="185"/>
      <c r="G10" s="186" t="s">
        <v>81</v>
      </c>
      <c r="H10" s="187"/>
      <c r="I10" s="188"/>
      <c r="J10" s="1" t="s">
        <v>29</v>
      </c>
      <c r="K10" s="183"/>
      <c r="L10" s="184"/>
      <c r="M10" s="184"/>
      <c r="N10" s="184"/>
      <c r="O10" s="185"/>
      <c r="Q10" s="18" t="s">
        <v>3</v>
      </c>
      <c r="R10" s="51">
        <v>100</v>
      </c>
    </row>
    <row r="11" spans="1:18" ht="17.25" thickBot="1">
      <c r="A11" s="2" t="s">
        <v>21</v>
      </c>
      <c r="B11" s="171"/>
      <c r="C11" s="172"/>
      <c r="D11" s="172"/>
      <c r="E11" s="172"/>
      <c r="F11" s="173"/>
      <c r="G11" s="174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-31,011 KRW (-3.10%)</v>
      </c>
      <c r="H11" s="175"/>
      <c r="I11" s="176"/>
      <c r="J11" s="2" t="s">
        <v>21</v>
      </c>
      <c r="K11" s="171"/>
      <c r="L11" s="172"/>
      <c r="M11" s="172"/>
      <c r="N11" s="172"/>
      <c r="O11" s="173"/>
      <c r="Q11" s="135" t="s">
        <v>17</v>
      </c>
      <c r="R11" s="52">
        <v>1000</v>
      </c>
    </row>
    <row r="12" spans="1:18" ht="17.25" thickBot="1"/>
    <row r="13" spans="1:18" ht="17.25" customHeight="1" thickBot="1">
      <c r="A13" s="145" t="s">
        <v>87</v>
      </c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Q13" s="177"/>
      <c r="R13" s="178"/>
    </row>
    <row r="14" spans="1:18" ht="17.25" customHeight="1" thickBot="1">
      <c r="A14" s="130" t="s">
        <v>236</v>
      </c>
      <c r="B14" s="145" t="s">
        <v>235</v>
      </c>
      <c r="C14" s="147"/>
      <c r="D14" s="145" t="s">
        <v>67</v>
      </c>
      <c r="E14" s="146"/>
      <c r="F14" s="147"/>
      <c r="G14" s="159">
        <f>_xlfn.IFNA(VLOOKUP(B14, 현재가테이블!$B$1:$D$200, 2, FALSE), "-")</f>
        <v>81224000</v>
      </c>
      <c r="H14" s="160"/>
      <c r="I14" s="161"/>
      <c r="J14" s="145" t="s">
        <v>69</v>
      </c>
      <c r="K14" s="146"/>
      <c r="L14" s="147"/>
      <c r="M14" s="162">
        <f>_xlfn.IFNA(VLOOKUP(B14, 현재가테이블!$B$1:$D$200, 3, FALSE), "-")</f>
        <v>3.8962367900000003E-2</v>
      </c>
      <c r="N14" s="163"/>
      <c r="O14" s="164"/>
      <c r="Q14" s="179"/>
      <c r="R14" s="180"/>
    </row>
    <row r="15" spans="1:18" ht="17.25" customHeight="1" thickBot="1">
      <c r="A15" s="152" t="s">
        <v>18</v>
      </c>
      <c r="B15" s="153" t="s">
        <v>54</v>
      </c>
      <c r="C15" s="154"/>
      <c r="D15" s="181" t="s">
        <v>20</v>
      </c>
      <c r="E15" s="158"/>
      <c r="F15" s="182"/>
      <c r="G15" s="181" t="s">
        <v>15</v>
      </c>
      <c r="H15" s="158"/>
      <c r="I15" s="182"/>
      <c r="J15" s="158" t="s">
        <v>34</v>
      </c>
      <c r="K15" s="158"/>
      <c r="L15" s="158"/>
      <c r="M15" s="181" t="s">
        <v>54</v>
      </c>
      <c r="N15" s="158"/>
      <c r="O15" s="182"/>
      <c r="Q15" s="167"/>
      <c r="R15" s="168"/>
    </row>
    <row r="16" spans="1:18" ht="17.25" customHeight="1" thickBot="1">
      <c r="A16" s="152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167"/>
      <c r="R16" s="168"/>
    </row>
    <row r="17" spans="1:18" ht="17.25" customHeight="1">
      <c r="A17" s="39" t="s">
        <v>241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65"/>
      <c r="R17" s="166"/>
    </row>
    <row r="18" spans="1:18" ht="17.25" customHeight="1">
      <c r="A18" s="40" t="s">
        <v>240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65"/>
      <c r="R18" s="166"/>
    </row>
    <row r="19" spans="1:18" ht="17.25" customHeight="1">
      <c r="A19" s="40" t="s">
        <v>259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65"/>
      <c r="R19" s="166"/>
    </row>
    <row r="20" spans="1:18" ht="17.25" customHeight="1">
      <c r="A20" s="40" t="s">
        <v>200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65"/>
      <c r="R20" s="166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65"/>
      <c r="R21" s="166"/>
    </row>
    <row r="22" spans="1:18" ht="17.25" customHeight="1">
      <c r="A22" s="40" t="s">
        <v>238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65"/>
      <c r="R22" s="166"/>
    </row>
    <row r="23" spans="1:18" ht="17.25" customHeight="1">
      <c r="A23" s="40" t="s">
        <v>161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65"/>
      <c r="R23" s="166"/>
    </row>
    <row r="24" spans="1:18" ht="17.25" customHeight="1">
      <c r="A24" s="40" t="s">
        <v>143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65"/>
      <c r="R24" s="166"/>
    </row>
    <row r="25" spans="1:18" ht="17.25" customHeight="1">
      <c r="A25" s="40" t="s">
        <v>245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67"/>
      <c r="R25" s="168"/>
    </row>
    <row r="26" spans="1:18" ht="17.25" customHeight="1" thickBot="1">
      <c r="A26" s="42" t="s">
        <v>269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67"/>
      <c r="R26" s="168"/>
    </row>
    <row r="27" spans="1:18" ht="17.25" customHeight="1" thickBot="1">
      <c r="A27" s="57" t="s">
        <v>32</v>
      </c>
      <c r="B27" s="143">
        <v>100000</v>
      </c>
      <c r="C27" s="144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69"/>
      <c r="R27" s="170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45" t="s">
        <v>83</v>
      </c>
      <c r="B30" s="146"/>
      <c r="C30" s="146"/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7"/>
      <c r="Q30" s="148"/>
      <c r="R30" s="149"/>
    </row>
    <row r="31" spans="1:18" ht="17.25" customHeight="1" thickBot="1">
      <c r="A31" s="130" t="s">
        <v>236</v>
      </c>
      <c r="B31" s="145" t="s">
        <v>235</v>
      </c>
      <c r="C31" s="147"/>
      <c r="D31" s="145" t="s">
        <v>67</v>
      </c>
      <c r="E31" s="146"/>
      <c r="F31" s="147"/>
      <c r="G31" s="159">
        <f>_xlfn.IFNA(VLOOKUP(B31, 현재가테이블!$B$1:$D$200, 2, FALSE), "-")</f>
        <v>81224000</v>
      </c>
      <c r="H31" s="160"/>
      <c r="I31" s="161"/>
      <c r="J31" s="145" t="s">
        <v>69</v>
      </c>
      <c r="K31" s="146"/>
      <c r="L31" s="147"/>
      <c r="M31" s="162">
        <f>_xlfn.IFNA(VLOOKUP(B31, 현재가테이블!$B$1:$D$200, 3, FALSE), "-")</f>
        <v>3.8962367900000003E-2</v>
      </c>
      <c r="N31" s="163"/>
      <c r="O31" s="164"/>
      <c r="Q31" s="150"/>
      <c r="R31" s="151"/>
    </row>
    <row r="32" spans="1:18" ht="17.25" customHeight="1" thickBot="1">
      <c r="A32" s="152" t="s">
        <v>18</v>
      </c>
      <c r="B32" s="153" t="s">
        <v>54</v>
      </c>
      <c r="C32" s="154"/>
      <c r="D32" s="155" t="s">
        <v>20</v>
      </c>
      <c r="E32" s="156"/>
      <c r="F32" s="157"/>
      <c r="G32" s="155" t="s">
        <v>15</v>
      </c>
      <c r="H32" s="156"/>
      <c r="I32" s="157"/>
      <c r="J32" s="158" t="s">
        <v>34</v>
      </c>
      <c r="K32" s="158"/>
      <c r="L32" s="158"/>
      <c r="M32" s="155" t="s">
        <v>54</v>
      </c>
      <c r="N32" s="156"/>
      <c r="O32" s="157"/>
      <c r="Q32" s="139"/>
      <c r="R32" s="140"/>
    </row>
    <row r="33" spans="1:18" ht="17.25" customHeight="1" thickBot="1">
      <c r="A33" s="152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139"/>
      <c r="R33" s="140"/>
    </row>
    <row r="34" spans="1:18" ht="17.25" customHeight="1">
      <c r="A34" s="9" t="s">
        <v>174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137"/>
      <c r="R34" s="138"/>
    </row>
    <row r="35" spans="1:18" ht="17.25" customHeight="1">
      <c r="A35" s="11" t="s">
        <v>168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37"/>
      <c r="R35" s="138"/>
    </row>
    <row r="36" spans="1:18" ht="17.25" customHeight="1">
      <c r="A36" s="11" t="s">
        <v>116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/>
      <c r="N36" s="5" t="str">
        <f t="shared" si="17"/>
        <v/>
      </c>
      <c r="O36" s="44" t="str">
        <f>IF(ISNUMBER(M36), $B44 * N36, "")</f>
        <v/>
      </c>
      <c r="Q36" s="137"/>
      <c r="R36" s="138"/>
    </row>
    <row r="37" spans="1:18" ht="17.25" customHeight="1">
      <c r="A37" s="11" t="s">
        <v>199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/>
      <c r="N37" s="5" t="str">
        <f t="shared" si="17"/>
        <v/>
      </c>
      <c r="O37" s="44" t="str">
        <f>IF(ISNUMBER(M37), $B44 * N37, "")</f>
        <v/>
      </c>
      <c r="Q37" s="137"/>
      <c r="R37" s="138"/>
    </row>
    <row r="38" spans="1:18" ht="17.25" customHeight="1">
      <c r="A38" s="8" t="s">
        <v>183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/>
      <c r="N38" s="24" t="str">
        <f t="shared" si="17"/>
        <v/>
      </c>
      <c r="O38" s="44" t="str">
        <f>IF(ISNUMBER(M38), $B44 * N38, "")</f>
        <v/>
      </c>
      <c r="Q38" s="137"/>
      <c r="R38" s="138"/>
    </row>
    <row r="39" spans="1:18" ht="17.25" customHeight="1">
      <c r="A39" s="11" t="s">
        <v>159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/>
      <c r="N39" s="5" t="str">
        <f t="shared" si="17"/>
        <v/>
      </c>
      <c r="O39" s="48" t="str">
        <f>IF(ISNUMBER(M39), $B44 * N39, "")</f>
        <v/>
      </c>
      <c r="Q39" s="137"/>
      <c r="R39" s="138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/>
      <c r="N40" s="5" t="str">
        <f t="shared" si="17"/>
        <v/>
      </c>
      <c r="O40" s="44" t="str">
        <f>IF(ISNUMBER(M40), $B44 * N40, "")</f>
        <v/>
      </c>
      <c r="Q40" s="137"/>
      <c r="R40" s="138"/>
    </row>
    <row r="41" spans="1:18" ht="17.25" customHeight="1">
      <c r="A41" s="11" t="s">
        <v>103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/>
      <c r="N41" s="5" t="str">
        <f t="shared" si="17"/>
        <v/>
      </c>
      <c r="O41" s="44" t="str">
        <f>IF(ISNUMBER(M41), $B44 * N41, "")</f>
        <v/>
      </c>
      <c r="Q41" s="137"/>
      <c r="R41" s="138"/>
    </row>
    <row r="42" spans="1:18" ht="17.25" customHeight="1">
      <c r="A42" s="11" t="s">
        <v>155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39"/>
      <c r="R42" s="140"/>
    </row>
    <row r="43" spans="1:18" ht="17.25" customHeight="1" thickBot="1">
      <c r="A43" s="13" t="s">
        <v>135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39"/>
      <c r="R43" s="140"/>
    </row>
    <row r="44" spans="1:18" ht="17.25" customHeight="1" thickBot="1">
      <c r="A44" s="57" t="s">
        <v>32</v>
      </c>
      <c r="B44" s="143">
        <v>100000</v>
      </c>
      <c r="C44" s="144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41"/>
      <c r="R44" s="142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45" t="s">
        <v>84</v>
      </c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7"/>
      <c r="Q47" s="148"/>
      <c r="R47" s="149"/>
    </row>
    <row r="48" spans="1:18" ht="17.25" customHeight="1" thickBot="1">
      <c r="A48" s="130" t="s">
        <v>236</v>
      </c>
      <c r="B48" s="145" t="s">
        <v>235</v>
      </c>
      <c r="C48" s="147"/>
      <c r="D48" s="145" t="s">
        <v>67</v>
      </c>
      <c r="E48" s="146"/>
      <c r="F48" s="147"/>
      <c r="G48" s="159">
        <f>_xlfn.IFNA(VLOOKUP(B48, 현재가테이블!$B$1:$D$200, 2, FALSE), "-")</f>
        <v>81224000</v>
      </c>
      <c r="H48" s="160"/>
      <c r="I48" s="161"/>
      <c r="J48" s="145" t="s">
        <v>69</v>
      </c>
      <c r="K48" s="146"/>
      <c r="L48" s="147"/>
      <c r="M48" s="162">
        <f>_xlfn.IFNA(VLOOKUP(B48, 현재가테이블!$B$1:$D$200, 3, FALSE), "-")</f>
        <v>3.8962367900000003E-2</v>
      </c>
      <c r="N48" s="163"/>
      <c r="O48" s="164"/>
      <c r="Q48" s="150"/>
      <c r="R48" s="151"/>
    </row>
    <row r="49" spans="1:18" ht="17.25" customHeight="1" thickBot="1">
      <c r="A49" s="152" t="s">
        <v>18</v>
      </c>
      <c r="B49" s="153" t="s">
        <v>54</v>
      </c>
      <c r="C49" s="154"/>
      <c r="D49" s="155" t="s">
        <v>20</v>
      </c>
      <c r="E49" s="156"/>
      <c r="F49" s="157"/>
      <c r="G49" s="155" t="s">
        <v>15</v>
      </c>
      <c r="H49" s="156"/>
      <c r="I49" s="157"/>
      <c r="J49" s="158" t="s">
        <v>34</v>
      </c>
      <c r="K49" s="158"/>
      <c r="L49" s="158"/>
      <c r="M49" s="155" t="s">
        <v>54</v>
      </c>
      <c r="N49" s="156"/>
      <c r="O49" s="157"/>
      <c r="Q49" s="139"/>
      <c r="R49" s="140"/>
    </row>
    <row r="50" spans="1:18" ht="17.25" customHeight="1" thickBot="1">
      <c r="A50" s="152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139"/>
      <c r="R50" s="140"/>
    </row>
    <row r="51" spans="1:18" ht="17.25" customHeight="1">
      <c r="A51" s="9" t="s">
        <v>158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37"/>
      <c r="R51" s="138"/>
    </row>
    <row r="52" spans="1:18" ht="17.25" customHeight="1">
      <c r="A52" s="11" t="s">
        <v>140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37"/>
      <c r="R52" s="138"/>
    </row>
    <row r="53" spans="1:18" ht="17.25" customHeight="1">
      <c r="A53" s="11" t="s">
        <v>171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/>
      <c r="N53" s="5" t="str">
        <f t="shared" si="21"/>
        <v/>
      </c>
      <c r="O53" s="44" t="str">
        <f>IF(ISNUMBER(M53), $B61 * N53, "")</f>
        <v/>
      </c>
      <c r="Q53" s="137"/>
      <c r="R53" s="138"/>
    </row>
    <row r="54" spans="1:18" ht="17.25" customHeight="1">
      <c r="A54" s="11" t="s">
        <v>186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/>
      <c r="N54" s="5" t="str">
        <f t="shared" si="21"/>
        <v/>
      </c>
      <c r="O54" s="44" t="str">
        <f>IF(ISNUMBER(M54), $B61 * N54, "")</f>
        <v/>
      </c>
      <c r="Q54" s="137"/>
      <c r="R54" s="138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/>
      <c r="N55" s="24" t="str">
        <f t="shared" si="21"/>
        <v/>
      </c>
      <c r="O55" s="44" t="str">
        <f>IF(ISNUMBER(M55), $B61 * N55, "")</f>
        <v/>
      </c>
      <c r="Q55" s="137"/>
      <c r="R55" s="138"/>
    </row>
    <row r="56" spans="1:18" ht="17.25" customHeight="1">
      <c r="A56" s="11" t="s">
        <v>153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/>
      <c r="N56" s="5" t="str">
        <f t="shared" si="21"/>
        <v/>
      </c>
      <c r="O56" s="48" t="str">
        <f>IF(ISNUMBER(M56), $B61 * N56, "")</f>
        <v/>
      </c>
      <c r="Q56" s="137"/>
      <c r="R56" s="138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37"/>
      <c r="R57" s="138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37"/>
      <c r="R58" s="138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39"/>
      <c r="R59" s="140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39"/>
      <c r="R60" s="140"/>
    </row>
    <row r="61" spans="1:18" ht="17.25" customHeight="1" thickBot="1">
      <c r="A61" s="57" t="s">
        <v>32</v>
      </c>
      <c r="B61" s="143">
        <v>100000</v>
      </c>
      <c r="C61" s="144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41"/>
      <c r="R61" s="142"/>
    </row>
    <row r="62" spans="1:18" ht="17.25" customHeight="1"/>
    <row r="63" spans="1:18" ht="17.25" customHeight="1" thickBot="1"/>
    <row r="64" spans="1:18" ht="17.25" customHeight="1" thickBot="1">
      <c r="A64" s="145" t="s">
        <v>85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7"/>
      <c r="Q64" s="148"/>
      <c r="R64" s="149"/>
    </row>
    <row r="65" spans="1:18" ht="17.25" customHeight="1" thickBot="1">
      <c r="A65" s="130" t="s">
        <v>236</v>
      </c>
      <c r="B65" s="145" t="s">
        <v>235</v>
      </c>
      <c r="C65" s="147"/>
      <c r="D65" s="145" t="s">
        <v>67</v>
      </c>
      <c r="E65" s="146"/>
      <c r="F65" s="147"/>
      <c r="G65" s="159">
        <f>_xlfn.IFNA(VLOOKUP(B65, 현재가테이블!$B$1:$D$200, 2, FALSE), "-")</f>
        <v>81224000</v>
      </c>
      <c r="H65" s="160"/>
      <c r="I65" s="161"/>
      <c r="J65" s="145" t="s">
        <v>69</v>
      </c>
      <c r="K65" s="146"/>
      <c r="L65" s="147"/>
      <c r="M65" s="162">
        <f>_xlfn.IFNA(VLOOKUP(B65, 현재가테이블!$B$1:$D$200, 3, FALSE), "-")</f>
        <v>3.8962367900000003E-2</v>
      </c>
      <c r="N65" s="163"/>
      <c r="O65" s="164"/>
      <c r="Q65" s="150"/>
      <c r="R65" s="151"/>
    </row>
    <row r="66" spans="1:18" ht="17.25" customHeight="1" thickBot="1">
      <c r="A66" s="152" t="s">
        <v>18</v>
      </c>
      <c r="B66" s="153" t="s">
        <v>54</v>
      </c>
      <c r="C66" s="154"/>
      <c r="D66" s="155" t="s">
        <v>20</v>
      </c>
      <c r="E66" s="156"/>
      <c r="F66" s="157"/>
      <c r="G66" s="155" t="s">
        <v>15</v>
      </c>
      <c r="H66" s="156"/>
      <c r="I66" s="157"/>
      <c r="J66" s="158" t="s">
        <v>34</v>
      </c>
      <c r="K66" s="158"/>
      <c r="L66" s="158"/>
      <c r="M66" s="155" t="s">
        <v>54</v>
      </c>
      <c r="N66" s="156"/>
      <c r="O66" s="157"/>
      <c r="Q66" s="139"/>
      <c r="R66" s="140"/>
    </row>
    <row r="67" spans="1:18" ht="17.25" customHeight="1" thickBot="1">
      <c r="A67" s="152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139"/>
      <c r="R67" s="140"/>
    </row>
    <row r="68" spans="1:18" ht="17.25" customHeight="1">
      <c r="A68" s="9" t="s">
        <v>200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137"/>
      <c r="R68" s="138"/>
    </row>
    <row r="69" spans="1:18" ht="17.25" customHeight="1">
      <c r="A69" s="11" t="s">
        <v>161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37"/>
      <c r="R69" s="138"/>
    </row>
    <row r="70" spans="1:18" ht="17.25" customHeight="1">
      <c r="A70" s="11" t="s">
        <v>143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/>
      <c r="N70" s="5" t="str">
        <f t="shared" si="25"/>
        <v/>
      </c>
      <c r="O70" s="44" t="str">
        <f>IF(ISNUMBER(M70), $B78 * N70, "")</f>
        <v/>
      </c>
      <c r="Q70" s="137"/>
      <c r="R70" s="138"/>
    </row>
    <row r="71" spans="1:18" ht="17.25" customHeight="1">
      <c r="A71" s="11" t="s">
        <v>151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/>
      <c r="N71" s="5" t="str">
        <f t="shared" si="25"/>
        <v/>
      </c>
      <c r="O71" s="44" t="str">
        <f>IF(ISNUMBER(M71), $B78 * N71, "")</f>
        <v/>
      </c>
      <c r="Q71" s="137"/>
      <c r="R71" s="138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/>
      <c r="N72" s="24" t="str">
        <f t="shared" si="25"/>
        <v/>
      </c>
      <c r="O72" s="44" t="str">
        <f>IF(ISNUMBER(M72), $B78 * N72, "")</f>
        <v/>
      </c>
      <c r="Q72" s="137"/>
      <c r="R72" s="138"/>
    </row>
    <row r="73" spans="1:18" ht="17.25" customHeight="1">
      <c r="A73" s="11" t="s">
        <v>146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/>
      <c r="N73" s="5" t="str">
        <f t="shared" si="25"/>
        <v/>
      </c>
      <c r="O73" s="48" t="str">
        <f>IF(ISNUMBER(M73), $B78 * N73, "")</f>
        <v/>
      </c>
      <c r="Q73" s="137"/>
      <c r="R73" s="138"/>
    </row>
    <row r="74" spans="1:18" ht="17.25" customHeight="1">
      <c r="A74" s="11" t="s">
        <v>132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/>
      <c r="N74" s="5" t="str">
        <f t="shared" si="25"/>
        <v/>
      </c>
      <c r="O74" s="44" t="str">
        <f>IF(ISNUMBER(M74), $B78 * N74, "")</f>
        <v/>
      </c>
      <c r="Q74" s="137"/>
      <c r="R74" s="138"/>
    </row>
    <row r="75" spans="1:18" ht="17.25" customHeight="1">
      <c r="A75" s="11" t="s">
        <v>172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/>
      <c r="N75" s="5" t="str">
        <f t="shared" si="25"/>
        <v/>
      </c>
      <c r="O75" s="44" t="str">
        <f>IF(ISNUMBER(M75), $B78 * N75, "")</f>
        <v/>
      </c>
      <c r="Q75" s="137"/>
      <c r="R75" s="138"/>
    </row>
    <row r="76" spans="1:18" ht="17.25" customHeight="1">
      <c r="A76" s="11" t="s">
        <v>142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/>
      <c r="N76" s="5" t="str">
        <f t="shared" si="25"/>
        <v/>
      </c>
      <c r="O76" s="44" t="str">
        <f>IF(ISNUMBER(M76), $B78 * N76, "")</f>
        <v/>
      </c>
      <c r="Q76" s="139"/>
      <c r="R76" s="140"/>
    </row>
    <row r="77" spans="1:18" ht="17.25" customHeight="1" thickBot="1">
      <c r="A77" s="13" t="s">
        <v>148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/>
      <c r="N77" s="16" t="str">
        <f t="shared" si="25"/>
        <v/>
      </c>
      <c r="O77" s="45" t="str">
        <f>IF(ISNUMBER(M77), $B78 * N77, "")</f>
        <v/>
      </c>
      <c r="Q77" s="139"/>
      <c r="R77" s="140"/>
    </row>
    <row r="78" spans="1:18" ht="17.25" customHeight="1" thickBot="1">
      <c r="A78" s="57" t="s">
        <v>32</v>
      </c>
      <c r="B78" s="143">
        <v>100000</v>
      </c>
      <c r="C78" s="144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41"/>
      <c r="R78" s="142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45" t="s">
        <v>86</v>
      </c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7"/>
      <c r="Q81" s="148"/>
      <c r="R81" s="149"/>
    </row>
    <row r="82" spans="1:18" ht="17.25" customHeight="1" thickBot="1">
      <c r="A82" s="130" t="s">
        <v>236</v>
      </c>
      <c r="B82" s="145" t="s">
        <v>235</v>
      </c>
      <c r="C82" s="147"/>
      <c r="D82" s="145" t="s">
        <v>67</v>
      </c>
      <c r="E82" s="146"/>
      <c r="F82" s="147"/>
      <c r="G82" s="159">
        <f>_xlfn.IFNA(VLOOKUP(B82, 현재가테이블!$B$1:$D$200, 2, FALSE), "-")</f>
        <v>81224000</v>
      </c>
      <c r="H82" s="160"/>
      <c r="I82" s="161"/>
      <c r="J82" s="145" t="s">
        <v>69</v>
      </c>
      <c r="K82" s="146"/>
      <c r="L82" s="147"/>
      <c r="M82" s="162">
        <f>_xlfn.IFNA(VLOOKUP(B82, 현재가테이블!$B$1:$D$200, 3, FALSE), "-")</f>
        <v>3.8962367900000003E-2</v>
      </c>
      <c r="N82" s="163"/>
      <c r="O82" s="164"/>
      <c r="Q82" s="150"/>
      <c r="R82" s="151"/>
    </row>
    <row r="83" spans="1:18" ht="17.25" customHeight="1" thickBot="1">
      <c r="A83" s="152" t="s">
        <v>18</v>
      </c>
      <c r="B83" s="153" t="s">
        <v>54</v>
      </c>
      <c r="C83" s="154"/>
      <c r="D83" s="155" t="s">
        <v>20</v>
      </c>
      <c r="E83" s="156"/>
      <c r="F83" s="157"/>
      <c r="G83" s="155" t="s">
        <v>15</v>
      </c>
      <c r="H83" s="156"/>
      <c r="I83" s="157"/>
      <c r="J83" s="158" t="s">
        <v>34</v>
      </c>
      <c r="K83" s="158"/>
      <c r="L83" s="158"/>
      <c r="M83" s="155" t="s">
        <v>54</v>
      </c>
      <c r="N83" s="156"/>
      <c r="O83" s="157"/>
      <c r="Q83" s="139"/>
      <c r="R83" s="140"/>
    </row>
    <row r="84" spans="1:18" ht="17.25" customHeight="1" thickBot="1">
      <c r="A84" s="152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139"/>
      <c r="R84" s="140"/>
    </row>
    <row r="85" spans="1:18" ht="17.25" customHeight="1">
      <c r="A85" s="9" t="s">
        <v>138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37"/>
      <c r="R85" s="138"/>
    </row>
    <row r="86" spans="1:18" ht="17.25" customHeight="1">
      <c r="A86" s="11" t="s">
        <v>215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37"/>
      <c r="R86" s="138"/>
    </row>
    <row r="87" spans="1:18" ht="17.25" customHeight="1">
      <c r="A87" s="11" t="s">
        <v>156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/>
      <c r="N87" s="5" t="str">
        <f t="shared" si="29"/>
        <v/>
      </c>
      <c r="O87" s="44" t="str">
        <f>IF(ISNUMBER(M87), $B95 * N87, "")</f>
        <v/>
      </c>
      <c r="Q87" s="137"/>
      <c r="R87" s="138"/>
    </row>
    <row r="88" spans="1:18" ht="17.25" customHeight="1">
      <c r="A88" s="11" t="s">
        <v>149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/>
      <c r="N88" s="5" t="str">
        <f t="shared" si="29"/>
        <v/>
      </c>
      <c r="O88" s="44" t="str">
        <f>IF(ISNUMBER(M88), $B95 * N88, "")</f>
        <v/>
      </c>
      <c r="Q88" s="137"/>
      <c r="R88" s="138"/>
    </row>
    <row r="89" spans="1:18" ht="17.25" customHeight="1">
      <c r="A89" s="8" t="s">
        <v>134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/>
      <c r="N89" s="24" t="str">
        <f t="shared" si="29"/>
        <v/>
      </c>
      <c r="O89" s="44" t="str">
        <f>IF(ISNUMBER(M89), $B95 * N89, "")</f>
        <v/>
      </c>
      <c r="Q89" s="137"/>
      <c r="R89" s="138"/>
    </row>
    <row r="90" spans="1:18" ht="17.25" customHeight="1">
      <c r="A90" s="11" t="s">
        <v>164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/>
      <c r="N90" s="5" t="str">
        <f t="shared" si="29"/>
        <v/>
      </c>
      <c r="O90" s="48" t="str">
        <f>IF(ISNUMBER(M90), $B95 * N90, "")</f>
        <v/>
      </c>
      <c r="Q90" s="137"/>
      <c r="R90" s="138"/>
    </row>
    <row r="91" spans="1:18" ht="17.25" customHeight="1">
      <c r="A91" s="11" t="s">
        <v>167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/>
      <c r="N91" s="5" t="str">
        <f t="shared" si="29"/>
        <v/>
      </c>
      <c r="O91" s="44" t="str">
        <f>IF(ISNUMBER(M91), $B95 * N91, "")</f>
        <v/>
      </c>
      <c r="Q91" s="137"/>
      <c r="R91" s="138"/>
    </row>
    <row r="92" spans="1:18" ht="17.25" customHeight="1">
      <c r="A92" s="11" t="s">
        <v>122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/>
      <c r="N92" s="5" t="str">
        <f t="shared" si="29"/>
        <v/>
      </c>
      <c r="O92" s="44" t="str">
        <f>IF(ISNUMBER(M92), $B95 * N92, "")</f>
        <v/>
      </c>
      <c r="Q92" s="137"/>
      <c r="R92" s="138"/>
    </row>
    <row r="93" spans="1:18" ht="17.25" customHeight="1">
      <c r="A93" s="11" t="s">
        <v>124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/>
      <c r="N93" s="5" t="str">
        <f t="shared" si="29"/>
        <v/>
      </c>
      <c r="O93" s="44" t="str">
        <f>IF(ISNUMBER(M93), $B95 * N93, "")</f>
        <v/>
      </c>
      <c r="Q93" s="139"/>
      <c r="R93" s="140"/>
    </row>
    <row r="94" spans="1:18" ht="17.25" customHeight="1" thickBot="1">
      <c r="A94" s="13" t="s">
        <v>203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/>
      <c r="N94" s="16" t="str">
        <f t="shared" si="29"/>
        <v/>
      </c>
      <c r="O94" s="45" t="str">
        <f>IF(ISNUMBER(M94), $B95 * N94, "")</f>
        <v/>
      </c>
      <c r="Q94" s="139"/>
      <c r="R94" s="140"/>
    </row>
    <row r="95" spans="1:18" ht="17.25" customHeight="1" thickBot="1">
      <c r="A95" s="57" t="s">
        <v>32</v>
      </c>
      <c r="B95" s="143">
        <v>100000</v>
      </c>
      <c r="C95" s="144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41"/>
      <c r="R95" s="142"/>
    </row>
    <row r="96" spans="1:18" ht="17.25" customHeight="1"/>
    <row r="97" spans="1:18" ht="17.25" customHeight="1" thickBot="1"/>
    <row r="98" spans="1:18" ht="17.25" customHeight="1" thickBot="1">
      <c r="A98" s="145" t="s">
        <v>81</v>
      </c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7"/>
      <c r="Q98" s="148"/>
      <c r="R98" s="149"/>
    </row>
    <row r="99" spans="1:18" ht="17.25" customHeight="1" thickBot="1">
      <c r="A99" s="130" t="s">
        <v>236</v>
      </c>
      <c r="B99" s="145" t="s">
        <v>235</v>
      </c>
      <c r="C99" s="147"/>
      <c r="D99" s="145" t="s">
        <v>67</v>
      </c>
      <c r="E99" s="146"/>
      <c r="F99" s="147"/>
      <c r="G99" s="159">
        <f>_xlfn.IFNA(VLOOKUP(B99, 현재가테이블!$B$1:$D$200, 2, FALSE), "-")</f>
        <v>81224000</v>
      </c>
      <c r="H99" s="160"/>
      <c r="I99" s="161"/>
      <c r="J99" s="145" t="s">
        <v>69</v>
      </c>
      <c r="K99" s="146"/>
      <c r="L99" s="147"/>
      <c r="M99" s="162">
        <f>_xlfn.IFNA(VLOOKUP(B99, 현재가테이블!$B$1:$D$200, 3, FALSE), "-")</f>
        <v>3.8962367900000003E-2</v>
      </c>
      <c r="N99" s="163"/>
      <c r="O99" s="164"/>
      <c r="Q99" s="150"/>
      <c r="R99" s="151"/>
    </row>
    <row r="100" spans="1:18" ht="17.25" customHeight="1" thickBot="1">
      <c r="A100" s="152" t="s">
        <v>18</v>
      </c>
      <c r="B100" s="153" t="s">
        <v>54</v>
      </c>
      <c r="C100" s="154"/>
      <c r="D100" s="155" t="s">
        <v>20</v>
      </c>
      <c r="E100" s="156"/>
      <c r="F100" s="157"/>
      <c r="G100" s="155" t="s">
        <v>15</v>
      </c>
      <c r="H100" s="156"/>
      <c r="I100" s="157"/>
      <c r="J100" s="158" t="s">
        <v>34</v>
      </c>
      <c r="K100" s="158"/>
      <c r="L100" s="158"/>
      <c r="M100" s="155" t="s">
        <v>54</v>
      </c>
      <c r="N100" s="156"/>
      <c r="O100" s="157"/>
      <c r="Q100" s="139"/>
      <c r="R100" s="140"/>
    </row>
    <row r="101" spans="1:18" ht="17.25" customHeight="1" thickBot="1">
      <c r="A101" s="152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139"/>
      <c r="R101" s="140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137"/>
      <c r="R102" s="138"/>
    </row>
    <row r="103" spans="1:18" ht="17.25" customHeight="1">
      <c r="A103" s="11" t="s">
        <v>113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37"/>
      <c r="R103" s="138"/>
    </row>
    <row r="104" spans="1:18" ht="17.25" customHeight="1">
      <c r="A104" s="11" t="s">
        <v>241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/>
      <c r="N104" s="5" t="str">
        <f t="shared" si="33"/>
        <v/>
      </c>
      <c r="O104" s="44" t="str">
        <f>IF(ISNUMBER(M104), $B112 * N104, "")</f>
        <v/>
      </c>
      <c r="Q104" s="137"/>
      <c r="R104" s="138"/>
    </row>
    <row r="105" spans="1:18" ht="17.25" customHeight="1">
      <c r="A105" s="11" t="s">
        <v>240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/>
      <c r="N105" s="5" t="str">
        <f t="shared" si="33"/>
        <v/>
      </c>
      <c r="O105" s="44" t="str">
        <f>IF(ISNUMBER(M105), $B112 * N105, "")</f>
        <v/>
      </c>
      <c r="Q105" s="137"/>
      <c r="R105" s="138"/>
    </row>
    <row r="106" spans="1:18" ht="17.25" customHeight="1">
      <c r="A106" s="8" t="s">
        <v>259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/>
      <c r="N106" s="24" t="str">
        <f t="shared" si="33"/>
        <v/>
      </c>
      <c r="O106" s="44" t="str">
        <f>IF(ISNUMBER(M106), $B112 * N106, "")</f>
        <v/>
      </c>
      <c r="Q106" s="137"/>
      <c r="R106" s="138"/>
    </row>
    <row r="107" spans="1:18" ht="17.25" customHeight="1">
      <c r="A107" s="11" t="s">
        <v>200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/>
      <c r="N107" s="5" t="str">
        <f t="shared" si="33"/>
        <v/>
      </c>
      <c r="O107" s="48" t="str">
        <f>IF(ISNUMBER(M107), $B112 * N107, "")</f>
        <v/>
      </c>
      <c r="Q107" s="137"/>
      <c r="R107" s="138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/>
      <c r="N108" s="5" t="str">
        <f t="shared" si="33"/>
        <v/>
      </c>
      <c r="O108" s="44" t="str">
        <f>IF(ISNUMBER(M108), $B112 * N108, "")</f>
        <v/>
      </c>
      <c r="Q108" s="137"/>
      <c r="R108" s="138"/>
    </row>
    <row r="109" spans="1:18" ht="17.25" customHeight="1">
      <c r="A109" s="11" t="s">
        <v>238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/>
      <c r="N109" s="5" t="str">
        <f t="shared" si="33"/>
        <v/>
      </c>
      <c r="O109" s="44" t="str">
        <f>IF(ISNUMBER(M109), $B112 * N109, "")</f>
        <v/>
      </c>
      <c r="Q109" s="137"/>
      <c r="R109" s="138"/>
    </row>
    <row r="110" spans="1:18" ht="17.25" customHeight="1">
      <c r="A110" s="11" t="s">
        <v>161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/>
      <c r="N110" s="5" t="str">
        <f t="shared" si="33"/>
        <v/>
      </c>
      <c r="O110" s="44" t="str">
        <f>IF(ISNUMBER(M110), $B112 * N110, "")</f>
        <v/>
      </c>
      <c r="Q110" s="139"/>
      <c r="R110" s="140"/>
    </row>
    <row r="111" spans="1:18" ht="17.25" customHeight="1" thickBot="1">
      <c r="A111" s="13" t="s">
        <v>143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/>
      <c r="N111" s="16" t="str">
        <f t="shared" si="33"/>
        <v/>
      </c>
      <c r="O111" s="45" t="str">
        <f>IF(ISNUMBER(M111), $B112 * N111, "")</f>
        <v/>
      </c>
      <c r="Q111" s="139"/>
      <c r="R111" s="140"/>
    </row>
    <row r="112" spans="1:18" ht="17.25" customHeight="1" thickBot="1">
      <c r="A112" s="57" t="s">
        <v>32</v>
      </c>
      <c r="B112" s="143">
        <v>100000</v>
      </c>
      <c r="C112" s="144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41"/>
      <c r="R112" s="142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97" priority="89">
      <formula>$E$27&gt;0</formula>
    </cfRule>
    <cfRule type="expression" dxfId="96" priority="90">
      <formula>$E$27&lt;0</formula>
    </cfRule>
  </conditionalFormatting>
  <conditionalFormatting sqref="G15:I16 H27:I27">
    <cfRule type="expression" dxfId="95" priority="87">
      <formula>$H$27&gt;0</formula>
    </cfRule>
    <cfRule type="expression" dxfId="94" priority="88">
      <formula>$H$27&lt;0</formula>
    </cfRule>
  </conditionalFormatting>
  <conditionalFormatting sqref="J15:L16 K27:L27">
    <cfRule type="expression" dxfId="93" priority="85">
      <formula>$K$27&gt;0</formula>
    </cfRule>
    <cfRule type="expression" dxfId="92" priority="86">
      <formula>$K$27&lt;0</formula>
    </cfRule>
  </conditionalFormatting>
  <conditionalFormatting sqref="M15:O16 N27:O27">
    <cfRule type="expression" dxfId="91" priority="83">
      <formula>$N$27&gt;0</formula>
    </cfRule>
    <cfRule type="expression" dxfId="90" priority="84">
      <formula>$N$27&lt;0</formula>
    </cfRule>
  </conditionalFormatting>
  <conditionalFormatting sqref="A17:O26 A34:O43">
    <cfRule type="expression" dxfId="89" priority="91">
      <formula>AND($N17 &gt; 0, ISNUMBER($N17))</formula>
    </cfRule>
    <cfRule type="expression" dxfId="88" priority="92">
      <formula>AND($N17 &lt; 0, ISNUMBER($N17))</formula>
    </cfRule>
    <cfRule type="expression" dxfId="87" priority="93">
      <formula>AND($K17 &gt; 0, ISNUMBER($K17))</formula>
    </cfRule>
    <cfRule type="expression" dxfId="86" priority="94">
      <formula>AND($K17 &lt; 0, ISNUMBER($K17))</formula>
    </cfRule>
    <cfRule type="expression" dxfId="85" priority="95">
      <formula>AND($H17 &gt; 0, ISNUMBER($H17))</formula>
    </cfRule>
    <cfRule type="expression" dxfId="84" priority="96">
      <formula>AND($H17 &lt; 0, ISNUMBER($H17))</formula>
    </cfRule>
    <cfRule type="expression" dxfId="83" priority="97">
      <formula>AND($E17 &gt; 0, ISNUMBER($E17))</formula>
    </cfRule>
    <cfRule type="expression" dxfId="82" priority="98">
      <formula>AND($E17 &lt; 0, ISNUMBER($E17))</formula>
    </cfRule>
  </conditionalFormatting>
  <conditionalFormatting sqref="D32:F33 E44:F44">
    <cfRule type="expression" dxfId="81" priority="81">
      <formula>$E$44&gt;0</formula>
    </cfRule>
    <cfRule type="expression" dxfId="80" priority="82">
      <formula>$E$44&lt;0</formula>
    </cfRule>
  </conditionalFormatting>
  <conditionalFormatting sqref="G32:I33 H44:I44">
    <cfRule type="expression" dxfId="79" priority="79">
      <formula>$H$44&gt;0</formula>
    </cfRule>
    <cfRule type="expression" dxfId="78" priority="80">
      <formula>$H$44&lt;0</formula>
    </cfRule>
  </conditionalFormatting>
  <conditionalFormatting sqref="J32:L33 K44:L44">
    <cfRule type="expression" dxfId="77" priority="77">
      <formula>$K$44&gt;0</formula>
    </cfRule>
    <cfRule type="expression" dxfId="76" priority="78">
      <formula>$K$44&lt;0</formula>
    </cfRule>
  </conditionalFormatting>
  <conditionalFormatting sqref="M32:O33 N44:O44">
    <cfRule type="expression" dxfId="75" priority="75">
      <formula>$N$44&gt;0</formula>
    </cfRule>
    <cfRule type="expression" dxfId="74" priority="76">
      <formula>$N$44&lt;0</formula>
    </cfRule>
  </conditionalFormatting>
  <conditionalFormatting sqref="A51:O60">
    <cfRule type="expression" dxfId="73" priority="67">
      <formula>AND($N51 &gt; 0, ISNUMBER($N51))</formula>
    </cfRule>
    <cfRule type="expression" dxfId="72" priority="68">
      <formula>AND($N51 &lt; 0, ISNUMBER($N51))</formula>
    </cfRule>
    <cfRule type="expression" dxfId="71" priority="69">
      <formula>AND($K51 &gt; 0, ISNUMBER($K51))</formula>
    </cfRule>
    <cfRule type="expression" dxfId="70" priority="70">
      <formula>AND($K51 &lt; 0, ISNUMBER($K51))</formula>
    </cfRule>
    <cfRule type="expression" dxfId="69" priority="71">
      <formula>AND($H51 &gt; 0, ISNUMBER($H51))</formula>
    </cfRule>
    <cfRule type="expression" dxfId="68" priority="72">
      <formula>AND($H51 &lt; 0, ISNUMBER($H51))</formula>
    </cfRule>
    <cfRule type="expression" dxfId="67" priority="73">
      <formula>AND($E51 &gt; 0, ISNUMBER($E51))</formula>
    </cfRule>
    <cfRule type="expression" dxfId="66" priority="74">
      <formula>AND($E51 &lt; 0, ISNUMBER($E51))</formula>
    </cfRule>
  </conditionalFormatting>
  <conditionalFormatting sqref="D49:F50 E61:F61">
    <cfRule type="expression" dxfId="65" priority="65">
      <formula>$E$61&gt;0</formula>
    </cfRule>
    <cfRule type="expression" dxfId="64" priority="66">
      <formula>$E$61&lt;0</formula>
    </cfRule>
  </conditionalFormatting>
  <conditionalFormatting sqref="G49:I50 H61:I61">
    <cfRule type="expression" dxfId="63" priority="63">
      <formula>$H$61&gt;0</formula>
    </cfRule>
    <cfRule type="expression" dxfId="62" priority="64">
      <formula>$H$61&lt;0</formula>
    </cfRule>
  </conditionalFormatting>
  <conditionalFormatting sqref="J49:L50 K61:L61">
    <cfRule type="expression" dxfId="61" priority="61">
      <formula>$K$61&gt;0</formula>
    </cfRule>
    <cfRule type="expression" dxfId="60" priority="62">
      <formula>$K$61&lt;0</formula>
    </cfRule>
  </conditionalFormatting>
  <conditionalFormatting sqref="M49:O50 N61:O61">
    <cfRule type="expression" dxfId="59" priority="59">
      <formula>$N$61&gt;0</formula>
    </cfRule>
    <cfRule type="expression" dxfId="58" priority="60">
      <formula>$N$61&lt;0</formula>
    </cfRule>
  </conditionalFormatting>
  <conditionalFormatting sqref="A68:O77">
    <cfRule type="expression" dxfId="57" priority="51">
      <formula>AND($N68 &gt; 0, ISNUMBER($N68))</formula>
    </cfRule>
    <cfRule type="expression" dxfId="56" priority="52">
      <formula>AND($N68 &lt; 0, ISNUMBER($N68))</formula>
    </cfRule>
    <cfRule type="expression" dxfId="55" priority="53">
      <formula>AND($K68 &gt; 0, ISNUMBER($K68))</formula>
    </cfRule>
    <cfRule type="expression" dxfId="54" priority="54">
      <formula>AND($K68 &lt; 0, ISNUMBER($K68))</formula>
    </cfRule>
    <cfRule type="expression" dxfId="53" priority="55">
      <formula>AND($H68 &gt; 0, ISNUMBER($H68))</formula>
    </cfRule>
    <cfRule type="expression" dxfId="52" priority="56">
      <formula>AND($H68 &lt; 0, ISNUMBER($H68))</formula>
    </cfRule>
    <cfRule type="expression" dxfId="51" priority="57">
      <formula>AND($E68 &gt; 0, ISNUMBER($E68))</formula>
    </cfRule>
    <cfRule type="expression" dxfId="50" priority="58">
      <formula>AND($E68 &lt; 0, ISNUMBER($E68))</formula>
    </cfRule>
  </conditionalFormatting>
  <conditionalFormatting sqref="D66:F67 E78:F78">
    <cfRule type="expression" dxfId="49" priority="49">
      <formula>$E$78&gt;0</formula>
    </cfRule>
    <cfRule type="expression" dxfId="48" priority="50">
      <formula>$E$78&lt;0</formula>
    </cfRule>
  </conditionalFormatting>
  <conditionalFormatting sqref="G66:I67 H78:I78">
    <cfRule type="expression" dxfId="47" priority="47">
      <formula>$H$78&gt;0</formula>
    </cfRule>
    <cfRule type="expression" dxfId="46" priority="48">
      <formula>$H$78&lt;0</formula>
    </cfRule>
  </conditionalFormatting>
  <conditionalFormatting sqref="J66:L67 K78:L78">
    <cfRule type="expression" dxfId="45" priority="45">
      <formula>$K$78&gt;0</formula>
    </cfRule>
    <cfRule type="expression" dxfId="44" priority="46">
      <formula>$K$78&lt;0</formula>
    </cfRule>
  </conditionalFormatting>
  <conditionalFormatting sqref="M66:O67 N78:O78">
    <cfRule type="expression" dxfId="43" priority="43">
      <formula>$N$78&gt;0</formula>
    </cfRule>
    <cfRule type="expression" dxfId="42" priority="44">
      <formula>$N$78&lt;0</formula>
    </cfRule>
  </conditionalFormatting>
  <conditionalFormatting sqref="A85:O94">
    <cfRule type="expression" dxfId="41" priority="35">
      <formula>AND($N85 &gt; 0, ISNUMBER($N85))</formula>
    </cfRule>
    <cfRule type="expression" dxfId="40" priority="36">
      <formula>AND($N85 &lt; 0, ISNUMBER($N85))</formula>
    </cfRule>
    <cfRule type="expression" dxfId="39" priority="37">
      <formula>AND($K85 &gt; 0, ISNUMBER($K85))</formula>
    </cfRule>
    <cfRule type="expression" dxfId="38" priority="38">
      <formula>AND($K85 &lt; 0, ISNUMBER($K85))</formula>
    </cfRule>
    <cfRule type="expression" dxfId="37" priority="39">
      <formula>AND($H85 &gt; 0, ISNUMBER($H85))</formula>
    </cfRule>
    <cfRule type="expression" dxfId="36" priority="40">
      <formula>AND($H85 &lt; 0, ISNUMBER($H85))</formula>
    </cfRule>
    <cfRule type="expression" dxfId="35" priority="41">
      <formula>AND($E85 &gt; 0, ISNUMBER($E85))</formula>
    </cfRule>
    <cfRule type="expression" dxfId="34" priority="42">
      <formula>AND($E85 &lt; 0, ISNUMBER($E85))</formula>
    </cfRule>
  </conditionalFormatting>
  <conditionalFormatting sqref="D83:F84 E95:F95">
    <cfRule type="expression" dxfId="33" priority="33">
      <formula>$E$95&gt;0</formula>
    </cfRule>
    <cfRule type="expression" dxfId="32" priority="34">
      <formula>$E$95&lt;0</formula>
    </cfRule>
  </conditionalFormatting>
  <conditionalFormatting sqref="G83:I84 H95:I95">
    <cfRule type="expression" dxfId="31" priority="31">
      <formula>$H$95&gt;0</formula>
    </cfRule>
    <cfRule type="expression" dxfId="30" priority="32">
      <formula>$H$95&lt;0</formula>
    </cfRule>
  </conditionalFormatting>
  <conditionalFormatting sqref="J83:L84 K95:L95">
    <cfRule type="expression" dxfId="29" priority="29">
      <formula>$K$95&gt;0</formula>
    </cfRule>
    <cfRule type="expression" dxfId="28" priority="30">
      <formula>$K$95&lt;0</formula>
    </cfRule>
  </conditionalFormatting>
  <conditionalFormatting sqref="M83:O84 N95:O95">
    <cfRule type="expression" dxfId="27" priority="27">
      <formula>$N$95&gt;0</formula>
    </cfRule>
    <cfRule type="expression" dxfId="26" priority="28">
      <formula>$N$95&lt;0</formula>
    </cfRule>
  </conditionalFormatting>
  <conditionalFormatting sqref="A102:O111">
    <cfRule type="expression" dxfId="25" priority="19">
      <formula>AND($N102 &gt; 0, ISNUMBER($N102))</formula>
    </cfRule>
    <cfRule type="expression" dxfId="24" priority="20">
      <formula>AND($N102 &lt; 0, ISNUMBER($N102))</formula>
    </cfRule>
    <cfRule type="expression" dxfId="23" priority="21">
      <formula>AND($K102 &gt; 0, ISNUMBER($K102))</formula>
    </cfRule>
    <cfRule type="expression" dxfId="22" priority="22">
      <formula>AND($K102 &lt; 0, ISNUMBER($K102))</formula>
    </cfRule>
    <cfRule type="expression" dxfId="21" priority="23">
      <formula>AND($H102 &gt; 0, ISNUMBER($H102))</formula>
    </cfRule>
    <cfRule type="expression" dxfId="20" priority="24">
      <formula>AND($H102 &lt; 0, ISNUMBER($H102))</formula>
    </cfRule>
    <cfRule type="expression" dxfId="19" priority="25">
      <formula>AND($E102 &gt; 0, ISNUMBER($E102))</formula>
    </cfRule>
    <cfRule type="expression" dxfId="18" priority="26">
      <formula>AND($E102 &lt; 0, ISNUMBER($E102))</formula>
    </cfRule>
  </conditionalFormatting>
  <conditionalFormatting sqref="D100:F101 E112:F112">
    <cfRule type="expression" dxfId="17" priority="17">
      <formula>$E$112&gt;0</formula>
    </cfRule>
    <cfRule type="expression" dxfId="16" priority="18">
      <formula>$E$112&lt;0</formula>
    </cfRule>
  </conditionalFormatting>
  <conditionalFormatting sqref="G100:I101 H112:I112">
    <cfRule type="expression" dxfId="15" priority="15">
      <formula>$H$112&gt;0</formula>
    </cfRule>
    <cfRule type="expression" dxfId="14" priority="16">
      <formula>$H$112&lt;0</formula>
    </cfRule>
  </conditionalFormatting>
  <conditionalFormatting sqref="J100:L101 K112:L112">
    <cfRule type="expression" dxfId="13" priority="13">
      <formula>$K$112&gt;0</formula>
    </cfRule>
    <cfRule type="expression" dxfId="12" priority="14">
      <formula>$K$112&lt;0</formula>
    </cfRule>
  </conditionalFormatting>
  <conditionalFormatting sqref="M100:O101 N112:O112">
    <cfRule type="expression" dxfId="11" priority="11">
      <formula>$N$112&gt;0</formula>
    </cfRule>
    <cfRule type="expression" dxfId="10" priority="12">
      <formula>$N$112&lt;0</formula>
    </cfRule>
  </conditionalFormatting>
  <conditionalFormatting sqref="G2:I3">
    <cfRule type="expression" dxfId="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/>
  <dimension ref="A1:Q117"/>
  <sheetViews>
    <sheetView workbookViewId="0">
      <selection activeCell="H21" sqref="H21:H30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256</v>
      </c>
      <c r="B1" t="s">
        <v>257</v>
      </c>
      <c r="C1">
        <v>81224000</v>
      </c>
      <c r="D1" s="90">
        <v>3.8962367900000003E-2</v>
      </c>
      <c r="E1" s="67"/>
      <c r="F1" s="67"/>
      <c r="G1" s="67"/>
      <c r="H1" s="67"/>
      <c r="I1" s="67"/>
    </row>
    <row r="2" spans="1:17" ht="17.25" thickBot="1">
      <c r="A2" t="s">
        <v>270</v>
      </c>
      <c r="B2" t="s">
        <v>271</v>
      </c>
      <c r="C2">
        <v>2878000</v>
      </c>
      <c r="D2" s="90">
        <v>2.9695885500000001E-2</v>
      </c>
      <c r="E2" s="67"/>
      <c r="F2" s="67"/>
      <c r="G2" s="67"/>
      <c r="H2" s="67"/>
      <c r="I2" s="67"/>
    </row>
    <row r="3" spans="1:17" ht="17.25" thickBot="1">
      <c r="A3" t="s">
        <v>272</v>
      </c>
      <c r="B3" t="s">
        <v>258</v>
      </c>
      <c r="C3">
        <v>83810</v>
      </c>
      <c r="D3" s="90">
        <v>-8.517686E-3</v>
      </c>
      <c r="E3" s="67"/>
      <c r="F3" s="67"/>
      <c r="G3" s="145" t="s">
        <v>252</v>
      </c>
      <c r="H3" s="146"/>
      <c r="I3" s="147"/>
      <c r="K3" s="145" t="s">
        <v>248</v>
      </c>
      <c r="L3" s="146"/>
      <c r="M3" s="147"/>
      <c r="O3" s="145" t="s">
        <v>84</v>
      </c>
      <c r="P3" s="146"/>
      <c r="Q3" s="147"/>
    </row>
    <row r="4" spans="1:17" ht="17.25" thickBot="1">
      <c r="A4" t="s">
        <v>273</v>
      </c>
      <c r="B4" t="s">
        <v>259</v>
      </c>
      <c r="C4">
        <v>6210</v>
      </c>
      <c r="D4" s="90">
        <v>-2.6645768E-2</v>
      </c>
      <c r="E4" s="67"/>
      <c r="F4" s="67"/>
      <c r="G4" s="186" t="s">
        <v>254</v>
      </c>
      <c r="H4" s="187"/>
      <c r="I4" s="188"/>
      <c r="K4" s="186" t="s">
        <v>251</v>
      </c>
      <c r="L4" s="145" t="s">
        <v>357</v>
      </c>
      <c r="M4" s="147"/>
      <c r="O4" s="186" t="s">
        <v>251</v>
      </c>
      <c r="P4" s="145" t="s">
        <v>357</v>
      </c>
      <c r="Q4" s="147"/>
    </row>
    <row r="5" spans="1:17" ht="17.25" thickBot="1">
      <c r="A5" t="s">
        <v>274</v>
      </c>
      <c r="B5" t="s">
        <v>275</v>
      </c>
      <c r="C5">
        <v>346700</v>
      </c>
      <c r="D5" s="90">
        <v>8.2253784900000002E-2</v>
      </c>
      <c r="E5" s="67"/>
      <c r="F5" s="67"/>
      <c r="G5" s="174"/>
      <c r="H5" s="175"/>
      <c r="I5" s="176"/>
      <c r="K5" s="174"/>
      <c r="L5" s="75" t="s">
        <v>249</v>
      </c>
      <c r="M5" s="76" t="s">
        <v>250</v>
      </c>
      <c r="O5" s="174"/>
      <c r="P5" s="75" t="s">
        <v>249</v>
      </c>
      <c r="Q5" s="76" t="s">
        <v>250</v>
      </c>
    </row>
    <row r="6" spans="1:17" ht="17.25" thickBot="1">
      <c r="A6" t="s">
        <v>276</v>
      </c>
      <c r="B6" t="s">
        <v>255</v>
      </c>
      <c r="C6">
        <v>2190</v>
      </c>
      <c r="D6" s="90">
        <v>0.140625</v>
      </c>
      <c r="E6" s="67"/>
      <c r="F6" s="67"/>
      <c r="G6" s="105" t="s">
        <v>69</v>
      </c>
      <c r="H6" s="146" t="s">
        <v>67</v>
      </c>
      <c r="I6" s="147"/>
      <c r="K6" s="107" t="s">
        <v>174</v>
      </c>
      <c r="L6" s="77">
        <f t="shared" ref="L6:L15" si="0">_xlfn.IFNA(VLOOKUP(K6, $B$1:$D$200, 2, FALSE), "")</f>
        <v>75.099999999999994</v>
      </c>
      <c r="M6" s="78">
        <f t="shared" ref="M6:M15" si="1">_xlfn.IFNA(VLOOKUP(K6, $B$1:$D$200, 3, FALSE), "")</f>
        <v>-7.3982737399999998E-2</v>
      </c>
      <c r="O6" s="108" t="s">
        <v>158</v>
      </c>
      <c r="P6" s="77">
        <f>_xlfn.IFNA(VLOOKUP(O6, $B$1:$D$200, 2, FALSE), "")</f>
        <v>31.2</v>
      </c>
      <c r="Q6" s="78">
        <f>_xlfn.IFNA(VLOOKUP(O6, $B$1:$D$200, 3, FALSE), "")</f>
        <v>-7.6923076899999998E-2</v>
      </c>
    </row>
    <row r="7" spans="1:17">
      <c r="A7" t="s">
        <v>260</v>
      </c>
      <c r="B7" t="s">
        <v>261</v>
      </c>
      <c r="C7">
        <v>26450</v>
      </c>
      <c r="D7" s="90">
        <v>3.3203125E-2</v>
      </c>
      <c r="E7" s="67"/>
      <c r="F7" s="67"/>
      <c r="G7" s="195">
        <f>_xlfn.IFNA(VLOOKUP(G4, $B$1:$D$200, 3, FALSE), "-")</f>
        <v>3.8962367900000003E-2</v>
      </c>
      <c r="H7" s="197">
        <f>_xlfn.IFNA(VLOOKUP(G4, $B$1:$D$200, 2, FALSE), "-")</f>
        <v>81224000</v>
      </c>
      <c r="I7" s="198"/>
      <c r="K7" s="108" t="s">
        <v>168</v>
      </c>
      <c r="L7" s="77">
        <f t="shared" si="0"/>
        <v>10.199999999999999</v>
      </c>
      <c r="M7" s="78">
        <f t="shared" si="1"/>
        <v>-2.85714286E-2</v>
      </c>
      <c r="O7" s="108" t="s">
        <v>140</v>
      </c>
      <c r="P7" s="77">
        <f t="shared" ref="P7:P15" si="2">_xlfn.IFNA(VLOOKUP(O7, $B$1:$D$200, 2, FALSE), "")</f>
        <v>83.6</v>
      </c>
      <c r="Q7" s="78">
        <f t="shared" ref="Q7:Q15" si="3">_xlfn.IFNA(VLOOKUP(O7, $B$1:$D$200, 3, FALSE), "")</f>
        <v>-6.0674157300000003E-2</v>
      </c>
    </row>
    <row r="8" spans="1:17" ht="17.25" thickBot="1">
      <c r="A8" t="s">
        <v>277</v>
      </c>
      <c r="B8" t="s">
        <v>262</v>
      </c>
      <c r="C8">
        <v>11870</v>
      </c>
      <c r="D8" s="90">
        <v>-3.0228758200000001E-2</v>
      </c>
      <c r="E8" s="67"/>
      <c r="F8" s="67"/>
      <c r="G8" s="196"/>
      <c r="H8" s="199"/>
      <c r="I8" s="200"/>
      <c r="K8" s="108" t="s">
        <v>116</v>
      </c>
      <c r="L8" s="77">
        <f t="shared" si="0"/>
        <v>43.5</v>
      </c>
      <c r="M8" s="78">
        <f t="shared" si="1"/>
        <v>-6.0475161999999999E-2</v>
      </c>
      <c r="O8" s="108" t="s">
        <v>171</v>
      </c>
      <c r="P8" s="77">
        <f t="shared" si="2"/>
        <v>48.7</v>
      </c>
      <c r="Q8" s="78">
        <f t="shared" si="3"/>
        <v>-7.4144486699999998E-2</v>
      </c>
    </row>
    <row r="9" spans="1:17" ht="17.25" thickBot="1">
      <c r="A9" t="s">
        <v>278</v>
      </c>
      <c r="B9" t="s">
        <v>263</v>
      </c>
      <c r="C9">
        <v>248</v>
      </c>
      <c r="D9" s="90">
        <v>5.08474576E-2</v>
      </c>
      <c r="E9" s="67"/>
      <c r="F9" s="67"/>
      <c r="K9" s="108" t="s">
        <v>199</v>
      </c>
      <c r="L9" s="77">
        <f t="shared" si="0"/>
        <v>33.1</v>
      </c>
      <c r="M9" s="78">
        <f t="shared" si="1"/>
        <v>-4.0579710099999999E-2</v>
      </c>
      <c r="O9" s="108" t="s">
        <v>186</v>
      </c>
      <c r="P9" s="77">
        <f t="shared" si="2"/>
        <v>31.8</v>
      </c>
      <c r="Q9" s="78">
        <f t="shared" si="3"/>
        <v>-7.0175438600000001E-2</v>
      </c>
    </row>
    <row r="10" spans="1:17" ht="17.25" thickBot="1">
      <c r="A10" t="s">
        <v>224</v>
      </c>
      <c r="B10" t="s">
        <v>223</v>
      </c>
      <c r="C10">
        <v>19790</v>
      </c>
      <c r="D10" s="90">
        <v>-2.0171456999999999E-3</v>
      </c>
      <c r="E10" s="67"/>
      <c r="F10" s="67"/>
      <c r="G10" s="145" t="s">
        <v>253</v>
      </c>
      <c r="H10" s="146"/>
      <c r="I10" s="147"/>
      <c r="K10" s="108" t="s">
        <v>183</v>
      </c>
      <c r="L10" s="77">
        <f t="shared" si="0"/>
        <v>28.6</v>
      </c>
      <c r="M10" s="78">
        <f t="shared" si="1"/>
        <v>2.1428571399999999E-2</v>
      </c>
      <c r="O10" s="108" t="s">
        <v>94</v>
      </c>
      <c r="P10" s="77">
        <f t="shared" si="2"/>
        <v>99.5</v>
      </c>
      <c r="Q10" s="78">
        <f t="shared" si="3"/>
        <v>7.9175704999999999E-2</v>
      </c>
    </row>
    <row r="11" spans="1:17">
      <c r="A11" t="s">
        <v>222</v>
      </c>
      <c r="B11" t="s">
        <v>221</v>
      </c>
      <c r="C11">
        <v>541</v>
      </c>
      <c r="D11" s="90">
        <v>-1.6363636399999999E-2</v>
      </c>
      <c r="E11" s="67"/>
      <c r="F11" s="67"/>
      <c r="G11" s="186" t="s">
        <v>254</v>
      </c>
      <c r="H11" s="187"/>
      <c r="I11" s="188"/>
      <c r="K11" s="108" t="s">
        <v>159</v>
      </c>
      <c r="L11" s="77">
        <f t="shared" si="0"/>
        <v>33.200000000000003</v>
      </c>
      <c r="M11" s="78">
        <f t="shared" si="1"/>
        <v>0.133105802</v>
      </c>
      <c r="O11" s="108" t="s">
        <v>153</v>
      </c>
      <c r="P11" s="77">
        <f t="shared" si="2"/>
        <v>35.799999999999997</v>
      </c>
      <c r="Q11" s="78">
        <f t="shared" si="3"/>
        <v>-7.7319587600000003E-2</v>
      </c>
    </row>
    <row r="12" spans="1:17" ht="17.25" thickBot="1">
      <c r="A12" t="s">
        <v>279</v>
      </c>
      <c r="B12" t="s">
        <v>220</v>
      </c>
      <c r="C12">
        <v>19500</v>
      </c>
      <c r="D12" s="90">
        <v>2.9023746699999999E-2</v>
      </c>
      <c r="E12" s="67"/>
      <c r="F12" s="67"/>
      <c r="G12" s="174"/>
      <c r="H12" s="175"/>
      <c r="I12" s="176"/>
      <c r="K12" s="108" t="s">
        <v>95</v>
      </c>
      <c r="L12" s="77">
        <f t="shared" si="0"/>
        <v>30.1</v>
      </c>
      <c r="M12" s="78">
        <f t="shared" si="1"/>
        <v>-4.4444444399999998E-2</v>
      </c>
      <c r="O12" s="108"/>
      <c r="P12" s="77" t="str">
        <f t="shared" si="2"/>
        <v/>
      </c>
      <c r="Q12" s="78" t="str">
        <f t="shared" si="3"/>
        <v/>
      </c>
    </row>
    <row r="13" spans="1:17" ht="17.25" thickBot="1">
      <c r="A13" t="s">
        <v>219</v>
      </c>
      <c r="B13" t="s">
        <v>218</v>
      </c>
      <c r="C13">
        <v>8175</v>
      </c>
      <c r="D13" s="90">
        <v>-3.13981043E-2</v>
      </c>
      <c r="E13" s="67"/>
      <c r="F13" s="67"/>
      <c r="G13" s="105" t="s">
        <v>69</v>
      </c>
      <c r="H13" s="146" t="s">
        <v>67</v>
      </c>
      <c r="I13" s="147"/>
      <c r="K13" s="108" t="s">
        <v>103</v>
      </c>
      <c r="L13" s="77">
        <f t="shared" si="0"/>
        <v>38.200000000000003</v>
      </c>
      <c r="M13" s="78">
        <f t="shared" si="1"/>
        <v>-6.3725490199999998E-2</v>
      </c>
      <c r="O13" s="108"/>
      <c r="P13" s="77" t="str">
        <f t="shared" si="2"/>
        <v/>
      </c>
      <c r="Q13" s="78" t="str">
        <f t="shared" si="3"/>
        <v/>
      </c>
    </row>
    <row r="14" spans="1:17">
      <c r="A14" t="s">
        <v>280</v>
      </c>
      <c r="B14" t="s">
        <v>217</v>
      </c>
      <c r="C14">
        <v>1560</v>
      </c>
      <c r="D14" s="90">
        <v>-4.58715596E-2</v>
      </c>
      <c r="E14" s="67"/>
      <c r="F14" s="67"/>
      <c r="G14" s="195">
        <f>_xlfn.IFNA(VLOOKUP(G11, $B$1:$D$200, 3, FALSE), "-")</f>
        <v>3.8962367900000003E-2</v>
      </c>
      <c r="H14" s="197">
        <f>_xlfn.IFNA(VLOOKUP(G11, $B$1:$D$200, 2, FALSE), "-")</f>
        <v>81224000</v>
      </c>
      <c r="I14" s="198"/>
      <c r="K14" s="108" t="s">
        <v>155</v>
      </c>
      <c r="L14" s="77">
        <f t="shared" si="0"/>
        <v>27.5</v>
      </c>
      <c r="M14" s="78">
        <f t="shared" si="1"/>
        <v>-5.1724137900000001E-2</v>
      </c>
      <c r="O14" s="108"/>
      <c r="P14" s="77" t="str">
        <f t="shared" si="2"/>
        <v/>
      </c>
      <c r="Q14" s="78" t="str">
        <f t="shared" si="3"/>
        <v/>
      </c>
    </row>
    <row r="15" spans="1:17" ht="17.25" thickBot="1">
      <c r="A15" t="s">
        <v>216</v>
      </c>
      <c r="B15" t="s">
        <v>215</v>
      </c>
      <c r="C15">
        <v>830</v>
      </c>
      <c r="D15" s="90">
        <v>6.9587628900000004E-2</v>
      </c>
      <c r="E15" s="67"/>
      <c r="F15" s="67"/>
      <c r="G15" s="196"/>
      <c r="H15" s="199"/>
      <c r="I15" s="200"/>
      <c r="K15" s="106" t="s">
        <v>135</v>
      </c>
      <c r="L15" s="79">
        <f t="shared" si="0"/>
        <v>25.5</v>
      </c>
      <c r="M15" s="80">
        <f t="shared" si="1"/>
        <v>-5.2044609700000001E-2</v>
      </c>
      <c r="O15" s="106"/>
      <c r="P15" s="79" t="str">
        <f t="shared" si="2"/>
        <v/>
      </c>
      <c r="Q15" s="80" t="str">
        <f t="shared" si="3"/>
        <v/>
      </c>
    </row>
    <row r="16" spans="1:17">
      <c r="A16" t="s">
        <v>281</v>
      </c>
      <c r="B16" t="s">
        <v>214</v>
      </c>
      <c r="C16">
        <v>636</v>
      </c>
      <c r="D16" s="90">
        <v>4.7393365E-3</v>
      </c>
      <c r="E16" s="67"/>
      <c r="F16" s="67"/>
      <c r="G16" s="67"/>
      <c r="H16" s="67"/>
      <c r="I16" s="67"/>
    </row>
    <row r="17" spans="1:17" ht="17.25" thickBot="1">
      <c r="A17" t="s">
        <v>213</v>
      </c>
      <c r="B17" t="s">
        <v>212</v>
      </c>
      <c r="C17">
        <v>4550</v>
      </c>
      <c r="D17" s="90">
        <v>-2.9850746300000001E-2</v>
      </c>
      <c r="E17" s="67"/>
      <c r="F17" s="67"/>
      <c r="G17" s="67"/>
      <c r="H17" s="67"/>
      <c r="I17" s="67"/>
    </row>
    <row r="18" spans="1:17" ht="17.25" thickBot="1">
      <c r="A18" t="s">
        <v>282</v>
      </c>
      <c r="B18" t="s">
        <v>283</v>
      </c>
      <c r="C18">
        <v>3315</v>
      </c>
      <c r="D18" s="90">
        <v>-3.07017544E-2</v>
      </c>
      <c r="E18" s="67"/>
      <c r="F18" s="67"/>
      <c r="G18" s="145" t="s">
        <v>81</v>
      </c>
      <c r="H18" s="146"/>
      <c r="I18" s="147"/>
      <c r="K18" s="145" t="s">
        <v>85</v>
      </c>
      <c r="L18" s="146"/>
      <c r="M18" s="147"/>
      <c r="O18" s="145" t="s">
        <v>86</v>
      </c>
      <c r="P18" s="146"/>
      <c r="Q18" s="147"/>
    </row>
    <row r="19" spans="1:17" ht="17.25" thickBot="1">
      <c r="A19" t="s">
        <v>211</v>
      </c>
      <c r="B19" t="s">
        <v>210</v>
      </c>
      <c r="C19">
        <v>3085</v>
      </c>
      <c r="D19" s="90">
        <v>-3.74414977E-2</v>
      </c>
      <c r="E19" s="67"/>
      <c r="F19" s="67"/>
      <c r="G19" s="186" t="s">
        <v>251</v>
      </c>
      <c r="H19" s="145" t="s">
        <v>357</v>
      </c>
      <c r="I19" s="147"/>
      <c r="K19" s="186" t="s">
        <v>251</v>
      </c>
      <c r="L19" s="145" t="s">
        <v>357</v>
      </c>
      <c r="M19" s="147"/>
      <c r="O19" s="186" t="s">
        <v>251</v>
      </c>
      <c r="P19" s="145" t="s">
        <v>357</v>
      </c>
      <c r="Q19" s="147"/>
    </row>
    <row r="20" spans="1:17" ht="17.25" thickBot="1">
      <c r="A20" t="s">
        <v>284</v>
      </c>
      <c r="B20" t="s">
        <v>209</v>
      </c>
      <c r="C20">
        <v>2255</v>
      </c>
      <c r="D20" s="90">
        <v>1.3483146099999999E-2</v>
      </c>
      <c r="E20" s="67"/>
      <c r="F20" s="67"/>
      <c r="G20" s="174"/>
      <c r="H20" s="75" t="s">
        <v>249</v>
      </c>
      <c r="I20" s="76" t="s">
        <v>250</v>
      </c>
      <c r="K20" s="174"/>
      <c r="L20" s="75" t="s">
        <v>249</v>
      </c>
      <c r="M20" s="76" t="s">
        <v>250</v>
      </c>
      <c r="O20" s="174"/>
      <c r="P20" s="75" t="s">
        <v>249</v>
      </c>
      <c r="Q20" s="76" t="s">
        <v>250</v>
      </c>
    </row>
    <row r="21" spans="1:17">
      <c r="A21" t="s">
        <v>285</v>
      </c>
      <c r="B21" t="s">
        <v>286</v>
      </c>
      <c r="C21">
        <v>65650</v>
      </c>
      <c r="D21" s="90">
        <v>5.3602953000000002E-2</v>
      </c>
      <c r="E21" s="67"/>
      <c r="F21" s="67"/>
      <c r="G21" s="107" t="s">
        <v>93</v>
      </c>
      <c r="H21" s="77">
        <f t="shared" ref="H21:H30" si="4">_xlfn.IFNA(VLOOKUP(G21, $B$1:$D$200, 2, FALSE), "")</f>
        <v>72050</v>
      </c>
      <c r="I21" s="78">
        <f t="shared" ref="I21:I30" si="5">_xlfn.IFNA(VLOOKUP(G21, $B$1:$D$200, 3, FALSE), "")</f>
        <v>-0.1036327445</v>
      </c>
      <c r="K21" s="107" t="s">
        <v>200</v>
      </c>
      <c r="L21" s="77">
        <f t="shared" ref="L21:L30" si="6">_xlfn.IFNA(VLOOKUP(K21, $B$1:$D$200, 2, FALSE), "")</f>
        <v>183</v>
      </c>
      <c r="M21" s="78">
        <f t="shared" ref="M21:M30" si="7">_xlfn.IFNA(VLOOKUP(K21, $B$1:$D$200, 3, FALSE), "")</f>
        <v>8.9285714299999999E-2</v>
      </c>
      <c r="O21" s="108" t="s">
        <v>138</v>
      </c>
      <c r="P21" s="77">
        <f>_xlfn.IFNA(VLOOKUP(O21, $B$1:$D$200, 2, FALSE), "")</f>
        <v>332</v>
      </c>
      <c r="Q21" s="78">
        <f>_xlfn.IFNA(VLOOKUP(O21, $B$1:$D$200, 3, FALSE), "")</f>
        <v>-5.4131054099999999E-2</v>
      </c>
    </row>
    <row r="22" spans="1:17">
      <c r="A22" t="s">
        <v>208</v>
      </c>
      <c r="B22" t="s">
        <v>207</v>
      </c>
      <c r="C22">
        <v>806</v>
      </c>
      <c r="D22" s="90">
        <v>0.26530612240000001</v>
      </c>
      <c r="E22" s="67"/>
      <c r="F22" s="67"/>
      <c r="G22" s="108" t="s">
        <v>113</v>
      </c>
      <c r="H22" s="77">
        <f t="shared" si="4"/>
        <v>5465</v>
      </c>
      <c r="I22" s="78">
        <f t="shared" si="5"/>
        <v>-6.8994889300000001E-2</v>
      </c>
      <c r="K22" s="108" t="s">
        <v>161</v>
      </c>
      <c r="L22" s="77">
        <f t="shared" si="6"/>
        <v>201</v>
      </c>
      <c r="M22" s="78">
        <f t="shared" si="7"/>
        <v>-3.8277512E-2</v>
      </c>
      <c r="O22" s="108" t="s">
        <v>215</v>
      </c>
      <c r="P22" s="77">
        <f t="shared" ref="P22:P30" si="8">_xlfn.IFNA(VLOOKUP(O22, $B$1:$D$200, 2, FALSE), "")</f>
        <v>830</v>
      </c>
      <c r="Q22" s="78">
        <f t="shared" ref="Q22:Q30" si="9">_xlfn.IFNA(VLOOKUP(O22, $B$1:$D$200, 3, FALSE), "")</f>
        <v>6.9587628900000004E-2</v>
      </c>
    </row>
    <row r="23" spans="1:17">
      <c r="A23" t="s">
        <v>287</v>
      </c>
      <c r="B23" t="s">
        <v>288</v>
      </c>
      <c r="C23">
        <v>1745</v>
      </c>
      <c r="D23" s="90">
        <v>1.4534883700000001E-2</v>
      </c>
      <c r="E23" s="67"/>
      <c r="F23" s="67"/>
      <c r="G23" s="108" t="s">
        <v>241</v>
      </c>
      <c r="H23" s="77">
        <f t="shared" si="4"/>
        <v>3435</v>
      </c>
      <c r="I23" s="78">
        <f t="shared" si="5"/>
        <v>0.17235494879999999</v>
      </c>
      <c r="K23" s="108" t="s">
        <v>143</v>
      </c>
      <c r="L23" s="77">
        <f t="shared" si="6"/>
        <v>671</v>
      </c>
      <c r="M23" s="78">
        <f t="shared" si="7"/>
        <v>-9.3243243200000006E-2</v>
      </c>
      <c r="O23" s="108" t="s">
        <v>156</v>
      </c>
      <c r="P23" s="77">
        <f t="shared" si="8"/>
        <v>418</v>
      </c>
      <c r="Q23" s="78">
        <f t="shared" si="9"/>
        <v>-7.1111111099999999E-2</v>
      </c>
    </row>
    <row r="24" spans="1:17">
      <c r="A24" t="s">
        <v>206</v>
      </c>
      <c r="B24" t="s">
        <v>205</v>
      </c>
      <c r="C24">
        <v>11650</v>
      </c>
      <c r="D24" s="90">
        <v>-5.2074857600000003E-2</v>
      </c>
      <c r="E24" s="67"/>
      <c r="F24" s="67"/>
      <c r="G24" s="108" t="s">
        <v>240</v>
      </c>
      <c r="H24" s="77">
        <f t="shared" si="4"/>
        <v>10460</v>
      </c>
      <c r="I24" s="78">
        <f t="shared" si="5"/>
        <v>5.1256281399999999E-2</v>
      </c>
      <c r="K24" s="108" t="s">
        <v>151</v>
      </c>
      <c r="L24" s="77">
        <f t="shared" si="6"/>
        <v>331</v>
      </c>
      <c r="M24" s="78">
        <f t="shared" si="7"/>
        <v>-3.7790697700000001E-2</v>
      </c>
      <c r="O24" s="108" t="s">
        <v>149</v>
      </c>
      <c r="P24" s="77">
        <f t="shared" si="8"/>
        <v>447</v>
      </c>
      <c r="Q24" s="78">
        <f t="shared" si="9"/>
        <v>-4.4871794899999998E-2</v>
      </c>
    </row>
    <row r="25" spans="1:17">
      <c r="A25" t="s">
        <v>204</v>
      </c>
      <c r="B25" t="s">
        <v>203</v>
      </c>
      <c r="C25">
        <v>729</v>
      </c>
      <c r="D25" s="90">
        <v>4.8920863299999999E-2</v>
      </c>
      <c r="E25" s="67"/>
      <c r="F25" s="67"/>
      <c r="G25" s="108" t="s">
        <v>259</v>
      </c>
      <c r="H25" s="77">
        <f t="shared" si="4"/>
        <v>6210</v>
      </c>
      <c r="I25" s="78">
        <f t="shared" si="5"/>
        <v>-2.6645768E-2</v>
      </c>
      <c r="K25" s="108" t="s">
        <v>96</v>
      </c>
      <c r="L25" s="77">
        <f t="shared" si="6"/>
        <v>860</v>
      </c>
      <c r="M25" s="78">
        <f t="shared" si="7"/>
        <v>-4.4444444399999998E-2</v>
      </c>
      <c r="O25" s="108" t="s">
        <v>134</v>
      </c>
      <c r="P25" s="77">
        <f t="shared" si="8"/>
        <v>346</v>
      </c>
      <c r="Q25" s="78">
        <f t="shared" si="9"/>
        <v>-6.4864864899999999E-2</v>
      </c>
    </row>
    <row r="26" spans="1:17">
      <c r="A26" t="s">
        <v>202</v>
      </c>
      <c r="B26" t="s">
        <v>201</v>
      </c>
      <c r="C26">
        <v>142800</v>
      </c>
      <c r="D26" s="90">
        <v>1.13314448E-2</v>
      </c>
      <c r="E26" s="67"/>
      <c r="F26" s="67"/>
      <c r="G26" s="108" t="s">
        <v>200</v>
      </c>
      <c r="H26" s="77">
        <f t="shared" si="4"/>
        <v>183</v>
      </c>
      <c r="I26" s="78">
        <f t="shared" si="5"/>
        <v>8.9285714299999999E-2</v>
      </c>
      <c r="K26" s="108" t="s">
        <v>146</v>
      </c>
      <c r="L26" s="77">
        <f t="shared" si="6"/>
        <v>234</v>
      </c>
      <c r="M26" s="78">
        <f t="shared" si="7"/>
        <v>-6.4000000000000001E-2</v>
      </c>
      <c r="O26" s="108" t="s">
        <v>164</v>
      </c>
      <c r="P26" s="77">
        <f t="shared" si="8"/>
        <v>442</v>
      </c>
      <c r="Q26" s="78">
        <f t="shared" si="9"/>
        <v>-5.7569296399999997E-2</v>
      </c>
    </row>
    <row r="27" spans="1:17">
      <c r="A27" t="s">
        <v>289</v>
      </c>
      <c r="B27" t="s">
        <v>290</v>
      </c>
      <c r="C27">
        <v>3285</v>
      </c>
      <c r="D27" s="90">
        <v>-5.8739254999999997E-2</v>
      </c>
      <c r="E27" s="67"/>
      <c r="F27" s="67"/>
      <c r="G27" s="108" t="s">
        <v>92</v>
      </c>
      <c r="H27" s="77">
        <f t="shared" si="4"/>
        <v>5760</v>
      </c>
      <c r="I27" s="78">
        <f t="shared" si="5"/>
        <v>-5.9591836699999998E-2</v>
      </c>
      <c r="K27" s="108" t="s">
        <v>132</v>
      </c>
      <c r="L27" s="77">
        <f t="shared" si="6"/>
        <v>189</v>
      </c>
      <c r="M27" s="78">
        <f t="shared" si="7"/>
        <v>2.1621621600000002E-2</v>
      </c>
      <c r="O27" s="108" t="s">
        <v>167</v>
      </c>
      <c r="P27" s="77">
        <f t="shared" si="8"/>
        <v>246</v>
      </c>
      <c r="Q27" s="78">
        <f t="shared" si="9"/>
        <v>-4.6511627899999998E-2</v>
      </c>
    </row>
    <row r="28" spans="1:17">
      <c r="A28" t="s">
        <v>291</v>
      </c>
      <c r="B28" t="s">
        <v>292</v>
      </c>
      <c r="C28">
        <v>8955</v>
      </c>
      <c r="D28" s="90">
        <v>5.7260920899999998E-2</v>
      </c>
      <c r="E28" s="67"/>
      <c r="F28" s="67"/>
      <c r="G28" s="108" t="s">
        <v>238</v>
      </c>
      <c r="H28" s="77">
        <f t="shared" si="4"/>
        <v>5380</v>
      </c>
      <c r="I28" s="78">
        <f t="shared" si="5"/>
        <v>0.1092783505</v>
      </c>
      <c r="K28" s="108" t="s">
        <v>172</v>
      </c>
      <c r="L28" s="77">
        <f t="shared" si="6"/>
        <v>104</v>
      </c>
      <c r="M28" s="78">
        <f t="shared" si="7"/>
        <v>-7.1428571400000002E-2</v>
      </c>
      <c r="O28" s="108" t="s">
        <v>122</v>
      </c>
      <c r="P28" s="77">
        <f t="shared" si="8"/>
        <v>702</v>
      </c>
      <c r="Q28" s="78">
        <f t="shared" si="9"/>
        <v>-6.7729083699999998E-2</v>
      </c>
    </row>
    <row r="29" spans="1:17">
      <c r="A29" t="s">
        <v>293</v>
      </c>
      <c r="B29" t="s">
        <v>200</v>
      </c>
      <c r="C29">
        <v>183</v>
      </c>
      <c r="D29" s="90">
        <v>8.9285714299999999E-2</v>
      </c>
      <c r="E29" s="67"/>
      <c r="F29" s="67"/>
      <c r="G29" s="108" t="s">
        <v>161</v>
      </c>
      <c r="H29" s="77">
        <f t="shared" si="4"/>
        <v>201</v>
      </c>
      <c r="I29" s="78">
        <f t="shared" si="5"/>
        <v>-3.8277512E-2</v>
      </c>
      <c r="K29" s="108" t="s">
        <v>142</v>
      </c>
      <c r="L29" s="77">
        <f t="shared" si="6"/>
        <v>164</v>
      </c>
      <c r="M29" s="78">
        <f t="shared" si="7"/>
        <v>-6.8181818199999994E-2</v>
      </c>
      <c r="O29" s="108" t="s">
        <v>124</v>
      </c>
      <c r="P29" s="77">
        <f t="shared" si="8"/>
        <v>668</v>
      </c>
      <c r="Q29" s="78">
        <f t="shared" si="9"/>
        <v>-1.4749262500000001E-2</v>
      </c>
    </row>
    <row r="30" spans="1:17" ht="17.25" thickBot="1">
      <c r="A30" t="s">
        <v>294</v>
      </c>
      <c r="B30" t="s">
        <v>199</v>
      </c>
      <c r="C30">
        <v>33.1</v>
      </c>
      <c r="D30" s="90">
        <v>-4.0579710099999999E-2</v>
      </c>
      <c r="E30" s="67"/>
      <c r="F30" s="67"/>
      <c r="G30" s="106" t="s">
        <v>143</v>
      </c>
      <c r="H30" s="79">
        <f t="shared" si="4"/>
        <v>671</v>
      </c>
      <c r="I30" s="80">
        <f t="shared" si="5"/>
        <v>-9.3243243200000006E-2</v>
      </c>
      <c r="K30" s="106" t="s">
        <v>148</v>
      </c>
      <c r="L30" s="79">
        <f t="shared" si="6"/>
        <v>207</v>
      </c>
      <c r="M30" s="80">
        <f t="shared" si="7"/>
        <v>-0.08</v>
      </c>
      <c r="O30" s="106" t="s">
        <v>203</v>
      </c>
      <c r="P30" s="79">
        <f t="shared" si="8"/>
        <v>729</v>
      </c>
      <c r="Q30" s="80">
        <f t="shared" si="9"/>
        <v>4.8920863299999999E-2</v>
      </c>
    </row>
    <row r="31" spans="1:17">
      <c r="A31" t="s">
        <v>198</v>
      </c>
      <c r="B31" t="s">
        <v>197</v>
      </c>
      <c r="C31">
        <v>242</v>
      </c>
      <c r="D31" s="90">
        <v>-5.46875E-2</v>
      </c>
      <c r="E31" s="67"/>
      <c r="F31" s="67"/>
      <c r="G31" s="67"/>
      <c r="H31" s="67"/>
      <c r="I31" s="67"/>
    </row>
    <row r="32" spans="1:17">
      <c r="A32" t="s">
        <v>196</v>
      </c>
      <c r="B32" t="s">
        <v>195</v>
      </c>
      <c r="C32">
        <v>2390</v>
      </c>
      <c r="D32" s="90">
        <v>-2.2494887500000001E-2</v>
      </c>
      <c r="E32" s="67"/>
      <c r="F32" s="67"/>
      <c r="G32" s="67"/>
      <c r="H32" s="67"/>
      <c r="I32" s="67"/>
    </row>
    <row r="33" spans="1:9">
      <c r="A33" t="s">
        <v>295</v>
      </c>
      <c r="B33" t="s">
        <v>176</v>
      </c>
      <c r="C33">
        <v>254</v>
      </c>
      <c r="D33" s="90">
        <v>-1.16731518E-2</v>
      </c>
      <c r="E33" s="67"/>
      <c r="F33" s="67"/>
      <c r="G33" s="67"/>
      <c r="H33" s="67"/>
      <c r="I33" s="67"/>
    </row>
    <row r="34" spans="1:9">
      <c r="A34" t="s">
        <v>194</v>
      </c>
      <c r="B34" t="s">
        <v>193</v>
      </c>
      <c r="C34">
        <v>629</v>
      </c>
      <c r="D34" s="90">
        <v>-6.3988095199999998E-2</v>
      </c>
      <c r="E34" s="67"/>
      <c r="F34" s="67"/>
      <c r="G34" s="67"/>
      <c r="H34" s="67"/>
      <c r="I34" s="67"/>
    </row>
    <row r="35" spans="1:9">
      <c r="A35" t="s">
        <v>296</v>
      </c>
      <c r="B35" t="s">
        <v>178</v>
      </c>
      <c r="C35">
        <v>2970</v>
      </c>
      <c r="D35" s="90">
        <v>6.2611806800000003E-2</v>
      </c>
      <c r="E35" s="67"/>
      <c r="F35" s="67"/>
      <c r="G35" s="67"/>
      <c r="H35" s="67"/>
      <c r="I35" s="67"/>
    </row>
    <row r="36" spans="1:9">
      <c r="A36" t="s">
        <v>192</v>
      </c>
      <c r="B36" t="s">
        <v>191</v>
      </c>
      <c r="C36">
        <v>244</v>
      </c>
      <c r="D36" s="90">
        <v>-3.5573122499999998E-2</v>
      </c>
      <c r="E36" s="67"/>
      <c r="F36" s="67"/>
      <c r="G36" s="67"/>
      <c r="H36" s="67"/>
      <c r="I36" s="67"/>
    </row>
    <row r="37" spans="1:9">
      <c r="A37" t="s">
        <v>297</v>
      </c>
      <c r="B37" t="s">
        <v>298</v>
      </c>
      <c r="C37">
        <v>932700</v>
      </c>
      <c r="D37" s="90">
        <v>6.3997262099999994E-2</v>
      </c>
      <c r="E37" s="67"/>
      <c r="F37" s="67"/>
      <c r="G37" s="67"/>
      <c r="H37" s="67"/>
      <c r="I37" s="67"/>
    </row>
    <row r="38" spans="1:9">
      <c r="A38" t="s">
        <v>190</v>
      </c>
      <c r="B38" t="s">
        <v>189</v>
      </c>
      <c r="C38">
        <v>1805</v>
      </c>
      <c r="D38" s="90">
        <v>-6.4766839399999998E-2</v>
      </c>
      <c r="E38" s="67"/>
      <c r="F38" s="67"/>
      <c r="G38" s="67"/>
      <c r="H38" s="67"/>
      <c r="I38" s="67"/>
    </row>
    <row r="39" spans="1:9">
      <c r="A39" t="s">
        <v>299</v>
      </c>
      <c r="B39" t="s">
        <v>300</v>
      </c>
      <c r="C39">
        <v>1885</v>
      </c>
      <c r="D39" s="90">
        <v>1.34408602E-2</v>
      </c>
      <c r="E39" s="67"/>
      <c r="F39" s="67"/>
      <c r="G39" s="67"/>
      <c r="H39" s="67"/>
      <c r="I39" s="67"/>
    </row>
    <row r="40" spans="1:9">
      <c r="A40" t="s">
        <v>188</v>
      </c>
      <c r="B40" t="s">
        <v>174</v>
      </c>
      <c r="C40">
        <v>75.099999999999994</v>
      </c>
      <c r="D40" s="90">
        <v>-7.3982737399999998E-2</v>
      </c>
      <c r="E40" s="67"/>
      <c r="F40" s="67"/>
      <c r="G40" s="67"/>
      <c r="H40" s="67"/>
      <c r="I40" s="67"/>
    </row>
    <row r="41" spans="1:9">
      <c r="A41" t="s">
        <v>301</v>
      </c>
      <c r="B41" t="s">
        <v>187</v>
      </c>
      <c r="C41">
        <v>1670</v>
      </c>
      <c r="D41" s="90">
        <v>-4.0229885100000001E-2</v>
      </c>
      <c r="E41" s="67"/>
      <c r="F41" s="67"/>
      <c r="G41" s="67"/>
      <c r="H41" s="67"/>
      <c r="I41" s="67"/>
    </row>
    <row r="42" spans="1:9">
      <c r="A42" t="s">
        <v>302</v>
      </c>
      <c r="B42" t="s">
        <v>186</v>
      </c>
      <c r="C42">
        <v>31.8</v>
      </c>
      <c r="D42" s="90">
        <v>-7.0175438600000001E-2</v>
      </c>
      <c r="E42" s="67"/>
      <c r="F42" s="67"/>
      <c r="G42" s="67"/>
      <c r="H42" s="67"/>
      <c r="I42" s="67"/>
    </row>
    <row r="43" spans="1:9">
      <c r="A43" t="s">
        <v>303</v>
      </c>
      <c r="B43" t="s">
        <v>185</v>
      </c>
      <c r="C43">
        <v>811</v>
      </c>
      <c r="D43" s="90">
        <v>-3.7959667900000001E-2</v>
      </c>
      <c r="E43" s="67"/>
      <c r="F43" s="67"/>
      <c r="G43" s="67"/>
      <c r="H43" s="67"/>
      <c r="I43" s="67"/>
    </row>
    <row r="44" spans="1:9">
      <c r="A44" t="s">
        <v>304</v>
      </c>
      <c r="B44" t="s">
        <v>95</v>
      </c>
      <c r="C44">
        <v>30.1</v>
      </c>
      <c r="D44" s="90">
        <v>-4.4444444399999998E-2</v>
      </c>
      <c r="E44" s="67"/>
      <c r="F44" s="67"/>
      <c r="G44" s="67"/>
      <c r="H44" s="67"/>
      <c r="I44" s="67"/>
    </row>
    <row r="45" spans="1:9">
      <c r="A45" t="s">
        <v>305</v>
      </c>
      <c r="B45" t="s">
        <v>184</v>
      </c>
      <c r="C45">
        <v>3165</v>
      </c>
      <c r="D45" s="90">
        <v>3.7704917999999997E-2</v>
      </c>
      <c r="E45" s="67"/>
      <c r="F45" s="67"/>
      <c r="G45" s="67"/>
      <c r="H45" s="67"/>
      <c r="I45" s="67"/>
    </row>
    <row r="46" spans="1:9">
      <c r="A46" t="s">
        <v>306</v>
      </c>
      <c r="B46" t="s">
        <v>183</v>
      </c>
      <c r="C46">
        <v>28.6</v>
      </c>
      <c r="D46" s="90">
        <v>2.1428571399999999E-2</v>
      </c>
      <c r="E46" s="67"/>
      <c r="F46" s="67"/>
      <c r="G46" s="67"/>
      <c r="H46" s="67"/>
      <c r="I46" s="67"/>
    </row>
    <row r="47" spans="1:9">
      <c r="A47" t="s">
        <v>182</v>
      </c>
      <c r="B47" t="s">
        <v>181</v>
      </c>
      <c r="C47">
        <v>1450</v>
      </c>
      <c r="D47" s="90">
        <v>-4.9180327900000001E-2</v>
      </c>
      <c r="E47" s="67"/>
      <c r="F47" s="67"/>
      <c r="G47" s="67"/>
      <c r="H47" s="67"/>
      <c r="I47" s="67"/>
    </row>
    <row r="48" spans="1:9">
      <c r="A48" t="s">
        <v>307</v>
      </c>
      <c r="B48" t="s">
        <v>308</v>
      </c>
      <c r="C48">
        <v>17220</v>
      </c>
      <c r="D48" s="90">
        <v>-4.0133779299999998E-2</v>
      </c>
      <c r="E48" s="67"/>
      <c r="F48" s="67"/>
      <c r="G48" s="67"/>
      <c r="H48" s="67"/>
      <c r="I48" s="67"/>
    </row>
    <row r="49" spans="1:9">
      <c r="A49" t="s">
        <v>309</v>
      </c>
      <c r="B49" t="s">
        <v>180</v>
      </c>
      <c r="C49">
        <v>255</v>
      </c>
      <c r="D49" s="90">
        <v>-5.2044609700000001E-2</v>
      </c>
      <c r="E49" s="67"/>
      <c r="F49" s="67"/>
      <c r="G49" s="67"/>
      <c r="H49" s="67"/>
      <c r="I49" s="67"/>
    </row>
    <row r="50" spans="1:9">
      <c r="A50" t="s">
        <v>179</v>
      </c>
      <c r="B50" t="s">
        <v>170</v>
      </c>
      <c r="C50">
        <v>659</v>
      </c>
      <c r="D50" s="90">
        <v>1.8547140600000001E-2</v>
      </c>
      <c r="E50" s="67"/>
      <c r="F50" s="67"/>
      <c r="G50" s="67"/>
      <c r="H50" s="67"/>
      <c r="I50" s="67"/>
    </row>
    <row r="51" spans="1:9">
      <c r="A51" t="s">
        <v>310</v>
      </c>
      <c r="B51" t="s">
        <v>177</v>
      </c>
      <c r="C51">
        <v>4495</v>
      </c>
      <c r="D51" s="90">
        <v>-2.49457701E-2</v>
      </c>
      <c r="E51" s="67"/>
      <c r="F51" s="67"/>
      <c r="G51" s="67"/>
      <c r="H51" s="67"/>
      <c r="I51" s="67"/>
    </row>
    <row r="52" spans="1:9">
      <c r="A52" t="s">
        <v>311</v>
      </c>
      <c r="B52" t="s">
        <v>175</v>
      </c>
      <c r="C52">
        <v>352700</v>
      </c>
      <c r="D52" s="90">
        <v>3.4159214200000003E-2</v>
      </c>
      <c r="E52" s="67"/>
      <c r="F52" s="67"/>
      <c r="G52" s="67"/>
      <c r="H52" s="67"/>
      <c r="I52" s="67"/>
    </row>
    <row r="53" spans="1:9">
      <c r="A53" t="s">
        <v>312</v>
      </c>
      <c r="B53" t="s">
        <v>173</v>
      </c>
      <c r="C53">
        <v>15580</v>
      </c>
      <c r="D53" s="90">
        <v>-1.70347003E-2</v>
      </c>
      <c r="E53" s="67"/>
      <c r="F53" s="67"/>
      <c r="G53" s="67"/>
      <c r="H53" s="67"/>
      <c r="I53" s="67"/>
    </row>
    <row r="54" spans="1:9">
      <c r="A54" t="s">
        <v>313</v>
      </c>
      <c r="B54" t="s">
        <v>172</v>
      </c>
      <c r="C54">
        <v>104</v>
      </c>
      <c r="D54" s="90">
        <v>-7.1428571400000002E-2</v>
      </c>
      <c r="E54" s="67"/>
      <c r="F54" s="67"/>
      <c r="G54" s="67"/>
      <c r="H54" s="67"/>
      <c r="I54" s="67"/>
    </row>
    <row r="55" spans="1:9">
      <c r="A55" t="s">
        <v>314</v>
      </c>
      <c r="B55" t="s">
        <v>171</v>
      </c>
      <c r="C55">
        <v>48.7</v>
      </c>
      <c r="D55" s="90">
        <v>-7.4144486699999998E-2</v>
      </c>
      <c r="E55" s="67"/>
      <c r="F55" s="67"/>
      <c r="G55" s="67"/>
      <c r="H55" s="67"/>
      <c r="I55" s="67"/>
    </row>
    <row r="56" spans="1:9">
      <c r="A56" t="s">
        <v>169</v>
      </c>
      <c r="B56" t="s">
        <v>168</v>
      </c>
      <c r="C56">
        <v>10.199999999999999</v>
      </c>
      <c r="D56" s="90">
        <v>-2.85714286E-2</v>
      </c>
      <c r="E56" s="67"/>
      <c r="F56" s="67"/>
      <c r="G56" s="67"/>
      <c r="H56" s="67"/>
      <c r="I56" s="67"/>
    </row>
    <row r="57" spans="1:9">
      <c r="A57" t="s">
        <v>315</v>
      </c>
      <c r="B57" t="s">
        <v>167</v>
      </c>
      <c r="C57">
        <v>246</v>
      </c>
      <c r="D57" s="90">
        <v>-4.6511627899999998E-2</v>
      </c>
      <c r="E57" s="67"/>
      <c r="F57" s="67"/>
      <c r="G57" s="67"/>
      <c r="H57" s="67"/>
      <c r="I57" s="67"/>
    </row>
    <row r="58" spans="1:9">
      <c r="A58" t="s">
        <v>316</v>
      </c>
      <c r="B58" t="s">
        <v>166</v>
      </c>
      <c r="C58">
        <v>3920</v>
      </c>
      <c r="D58" s="90">
        <v>3.8412291999999999E-3</v>
      </c>
      <c r="E58" s="67"/>
      <c r="F58" s="67"/>
      <c r="G58" s="67"/>
      <c r="H58" s="67"/>
      <c r="I58" s="67"/>
    </row>
    <row r="59" spans="1:9">
      <c r="A59" t="s">
        <v>165</v>
      </c>
      <c r="B59" t="s">
        <v>164</v>
      </c>
      <c r="C59">
        <v>442</v>
      </c>
      <c r="D59" s="90">
        <v>-5.7569296399999997E-2</v>
      </c>
      <c r="E59" s="67"/>
      <c r="F59" s="67"/>
      <c r="G59" s="67"/>
      <c r="H59" s="67"/>
      <c r="I59" s="67"/>
    </row>
    <row r="60" spans="1:9">
      <c r="A60" t="s">
        <v>317</v>
      </c>
      <c r="B60" t="s">
        <v>163</v>
      </c>
      <c r="C60">
        <v>1385</v>
      </c>
      <c r="D60" s="90">
        <v>-6.4189189199999996E-2</v>
      </c>
      <c r="E60" s="67"/>
      <c r="F60" s="67"/>
      <c r="G60" s="67"/>
      <c r="H60" s="67"/>
      <c r="I60" s="67"/>
    </row>
    <row r="61" spans="1:9">
      <c r="A61" t="s">
        <v>162</v>
      </c>
      <c r="B61" t="s">
        <v>161</v>
      </c>
      <c r="C61">
        <v>201</v>
      </c>
      <c r="D61" s="90">
        <v>-3.8277512E-2</v>
      </c>
      <c r="E61" s="67"/>
      <c r="F61" s="67"/>
      <c r="G61" s="67"/>
      <c r="H61" s="67"/>
      <c r="I61" s="67"/>
    </row>
    <row r="62" spans="1:9">
      <c r="A62" t="s">
        <v>318</v>
      </c>
      <c r="B62" t="s">
        <v>160</v>
      </c>
      <c r="C62">
        <v>498</v>
      </c>
      <c r="D62" s="90">
        <v>-2.734375E-2</v>
      </c>
      <c r="E62" s="67"/>
      <c r="F62" s="67"/>
      <c r="G62" s="67"/>
      <c r="H62" s="67"/>
      <c r="I62" s="67"/>
    </row>
    <row r="63" spans="1:9">
      <c r="A63" t="s">
        <v>319</v>
      </c>
      <c r="B63" t="s">
        <v>320</v>
      </c>
      <c r="C63">
        <v>28850</v>
      </c>
      <c r="D63" s="90">
        <v>3.4782608999999998E-3</v>
      </c>
      <c r="E63" s="67"/>
      <c r="F63" s="67"/>
      <c r="G63" s="67"/>
      <c r="H63" s="67"/>
      <c r="I63" s="67"/>
    </row>
    <row r="64" spans="1:9">
      <c r="A64" t="s">
        <v>321</v>
      </c>
      <c r="B64" t="s">
        <v>159</v>
      </c>
      <c r="C64">
        <v>33.200000000000003</v>
      </c>
      <c r="D64" s="90">
        <v>0.133105802</v>
      </c>
      <c r="E64" s="67"/>
      <c r="F64" s="67"/>
      <c r="G64" s="67"/>
      <c r="H64" s="67"/>
      <c r="I64" s="67"/>
    </row>
    <row r="65" spans="1:9">
      <c r="A65" t="s">
        <v>322</v>
      </c>
      <c r="B65" t="s">
        <v>158</v>
      </c>
      <c r="C65">
        <v>31.2</v>
      </c>
      <c r="D65" s="90">
        <v>-7.6923076899999998E-2</v>
      </c>
      <c r="E65" s="67"/>
      <c r="F65" s="67"/>
      <c r="G65" s="67"/>
      <c r="H65" s="67"/>
      <c r="I65" s="67"/>
    </row>
    <row r="66" spans="1:9">
      <c r="A66" t="s">
        <v>157</v>
      </c>
      <c r="B66" t="s">
        <v>156</v>
      </c>
      <c r="C66">
        <v>418</v>
      </c>
      <c r="D66" s="90">
        <v>-7.1111111099999999E-2</v>
      </c>
      <c r="E66" s="67"/>
      <c r="F66" s="67"/>
      <c r="G66" s="67"/>
      <c r="H66" s="67"/>
      <c r="I66" s="67"/>
    </row>
    <row r="67" spans="1:9">
      <c r="A67" t="s">
        <v>323</v>
      </c>
      <c r="B67" t="s">
        <v>155</v>
      </c>
      <c r="C67">
        <v>27.5</v>
      </c>
      <c r="D67" s="90">
        <v>-5.1724137900000001E-2</v>
      </c>
      <c r="E67" s="67"/>
      <c r="F67" s="67"/>
      <c r="G67" s="67"/>
      <c r="H67" s="67"/>
      <c r="I67" s="67"/>
    </row>
    <row r="68" spans="1:9">
      <c r="A68" t="s">
        <v>154</v>
      </c>
      <c r="B68" t="s">
        <v>153</v>
      </c>
      <c r="C68">
        <v>35.799999999999997</v>
      </c>
      <c r="D68" s="90">
        <v>-7.7319587600000003E-2</v>
      </c>
      <c r="E68" s="67"/>
      <c r="F68" s="67"/>
      <c r="G68" s="67"/>
      <c r="H68" s="67"/>
      <c r="I68" s="67"/>
    </row>
    <row r="69" spans="1:9">
      <c r="A69" t="s">
        <v>152</v>
      </c>
      <c r="B69" t="s">
        <v>151</v>
      </c>
      <c r="C69">
        <v>331</v>
      </c>
      <c r="D69" s="90">
        <v>-3.7790697700000001E-2</v>
      </c>
      <c r="E69" s="67"/>
      <c r="F69" s="67"/>
      <c r="G69" s="67"/>
      <c r="H69" s="67"/>
      <c r="I69" s="67"/>
    </row>
    <row r="70" spans="1:9">
      <c r="A70" t="s">
        <v>150</v>
      </c>
      <c r="B70" t="s">
        <v>149</v>
      </c>
      <c r="C70">
        <v>447</v>
      </c>
      <c r="D70" s="90">
        <v>-4.4871794899999998E-2</v>
      </c>
      <c r="E70" s="67"/>
      <c r="F70" s="67"/>
      <c r="G70" s="67"/>
      <c r="H70" s="67"/>
      <c r="I70" s="67"/>
    </row>
    <row r="71" spans="1:9">
      <c r="A71" t="s">
        <v>324</v>
      </c>
      <c r="B71" t="s">
        <v>148</v>
      </c>
      <c r="C71">
        <v>207</v>
      </c>
      <c r="D71" s="90">
        <v>-0.08</v>
      </c>
      <c r="E71" s="67"/>
      <c r="F71" s="67"/>
      <c r="G71" s="67"/>
      <c r="H71" s="67"/>
      <c r="I71" s="67"/>
    </row>
    <row r="72" spans="1:9">
      <c r="A72" t="s">
        <v>325</v>
      </c>
      <c r="B72" t="s">
        <v>326</v>
      </c>
      <c r="C72">
        <v>2910</v>
      </c>
      <c r="D72" s="90">
        <v>-6.4308681699999995E-2</v>
      </c>
      <c r="E72" s="67"/>
      <c r="F72" s="67"/>
      <c r="G72" s="67"/>
      <c r="H72" s="67"/>
      <c r="I72" s="67"/>
    </row>
    <row r="73" spans="1:9">
      <c r="A73" t="s">
        <v>327</v>
      </c>
      <c r="B73" t="s">
        <v>147</v>
      </c>
      <c r="C73">
        <v>107</v>
      </c>
      <c r="D73" s="90">
        <v>-3.6036036E-2</v>
      </c>
      <c r="E73" s="67"/>
      <c r="F73" s="67"/>
      <c r="G73" s="67"/>
      <c r="H73" s="67"/>
      <c r="I73" s="67"/>
    </row>
    <row r="74" spans="1:9">
      <c r="A74" t="s">
        <v>328</v>
      </c>
      <c r="B74" t="s">
        <v>146</v>
      </c>
      <c r="C74">
        <v>234</v>
      </c>
      <c r="D74" s="90">
        <v>-6.4000000000000001E-2</v>
      </c>
      <c r="E74" s="67"/>
      <c r="F74" s="67"/>
      <c r="G74" s="67"/>
      <c r="H74" s="67"/>
      <c r="I74" s="67"/>
    </row>
    <row r="75" spans="1:9">
      <c r="A75" t="s">
        <v>329</v>
      </c>
      <c r="B75" t="s">
        <v>145</v>
      </c>
      <c r="C75">
        <v>175</v>
      </c>
      <c r="D75" s="90">
        <v>3.5502958600000002E-2</v>
      </c>
      <c r="E75" s="67"/>
      <c r="F75" s="67"/>
      <c r="G75" s="67"/>
      <c r="H75" s="67"/>
      <c r="I75" s="67"/>
    </row>
    <row r="76" spans="1:9">
      <c r="A76" t="s">
        <v>144</v>
      </c>
      <c r="B76" t="s">
        <v>143</v>
      </c>
      <c r="C76">
        <v>671</v>
      </c>
      <c r="D76" s="90">
        <v>-9.3243243200000006E-2</v>
      </c>
      <c r="E76" s="67"/>
      <c r="F76" s="67"/>
      <c r="G76" s="67"/>
      <c r="H76" s="67"/>
      <c r="I76" s="67"/>
    </row>
    <row r="77" spans="1:9">
      <c r="A77" t="s">
        <v>330</v>
      </c>
      <c r="B77" t="s">
        <v>142</v>
      </c>
      <c r="C77">
        <v>164</v>
      </c>
      <c r="D77" s="90">
        <v>-6.8181818199999994E-2</v>
      </c>
      <c r="E77" s="67"/>
      <c r="F77" s="67"/>
      <c r="G77" s="67"/>
      <c r="H77" s="67"/>
      <c r="I77" s="67"/>
    </row>
    <row r="78" spans="1:9">
      <c r="A78" t="s">
        <v>141</v>
      </c>
      <c r="B78" t="s">
        <v>140</v>
      </c>
      <c r="C78">
        <v>83.6</v>
      </c>
      <c r="D78" s="90">
        <v>-6.0674157300000003E-2</v>
      </c>
      <c r="E78" s="67"/>
      <c r="F78" s="67"/>
      <c r="G78" s="67"/>
      <c r="H78" s="67"/>
      <c r="I78" s="67"/>
    </row>
    <row r="79" spans="1:9">
      <c r="A79" t="s">
        <v>139</v>
      </c>
      <c r="B79" t="s">
        <v>138</v>
      </c>
      <c r="C79">
        <v>332</v>
      </c>
      <c r="D79" s="90">
        <v>-5.4131054099999999E-2</v>
      </c>
      <c r="E79" s="67"/>
      <c r="F79" s="67"/>
      <c r="G79" s="67"/>
      <c r="H79" s="67"/>
      <c r="I79" s="67"/>
    </row>
    <row r="80" spans="1:9">
      <c r="A80" t="s">
        <v>331</v>
      </c>
      <c r="B80" t="s">
        <v>137</v>
      </c>
      <c r="C80">
        <v>794</v>
      </c>
      <c r="D80" s="90">
        <v>-6.6980023499999999E-2</v>
      </c>
      <c r="E80" s="67"/>
      <c r="F80" s="67"/>
      <c r="G80" s="67"/>
      <c r="H80" s="67"/>
      <c r="I80" s="67"/>
    </row>
    <row r="81" spans="1:9">
      <c r="A81" t="s">
        <v>332</v>
      </c>
      <c r="B81" t="s">
        <v>136</v>
      </c>
      <c r="C81">
        <v>8250</v>
      </c>
      <c r="D81" s="90">
        <v>-4.4585987299999998E-2</v>
      </c>
      <c r="E81" s="67"/>
      <c r="F81" s="67"/>
      <c r="G81" s="67"/>
      <c r="H81" s="67"/>
      <c r="I81" s="67"/>
    </row>
    <row r="82" spans="1:9">
      <c r="A82" t="s">
        <v>333</v>
      </c>
      <c r="B82" t="s">
        <v>135</v>
      </c>
      <c r="C82">
        <v>25.5</v>
      </c>
      <c r="D82" s="90">
        <v>-5.2044609700000001E-2</v>
      </c>
      <c r="E82" s="67"/>
      <c r="F82" s="67"/>
      <c r="G82" s="67"/>
      <c r="H82" s="67"/>
      <c r="I82" s="67"/>
    </row>
    <row r="83" spans="1:9">
      <c r="A83" t="s">
        <v>334</v>
      </c>
      <c r="B83" t="s">
        <v>335</v>
      </c>
      <c r="C83">
        <v>43570</v>
      </c>
      <c r="D83" s="90">
        <v>6.7005544999999998E-3</v>
      </c>
      <c r="E83" s="67"/>
      <c r="F83" s="67"/>
      <c r="G83" s="67"/>
      <c r="H83" s="67"/>
      <c r="I83" s="67"/>
    </row>
    <row r="84" spans="1:9">
      <c r="A84" t="s">
        <v>336</v>
      </c>
      <c r="B84" t="s">
        <v>337</v>
      </c>
      <c r="C84">
        <v>8400</v>
      </c>
      <c r="D84" s="90">
        <v>2.06561361E-2</v>
      </c>
      <c r="E84" s="67"/>
      <c r="F84" s="67"/>
      <c r="G84" s="67"/>
      <c r="H84" s="67"/>
      <c r="I84" s="67"/>
    </row>
    <row r="85" spans="1:9">
      <c r="A85" t="s">
        <v>338</v>
      </c>
      <c r="B85" t="s">
        <v>134</v>
      </c>
      <c r="C85">
        <v>346</v>
      </c>
      <c r="D85" s="90">
        <v>-6.4864864899999999E-2</v>
      </c>
      <c r="E85" s="67"/>
      <c r="F85" s="67"/>
      <c r="G85" s="67"/>
      <c r="H85" s="67"/>
      <c r="I85" s="67"/>
    </row>
    <row r="86" spans="1:9">
      <c r="A86" t="s">
        <v>133</v>
      </c>
      <c r="B86" t="s">
        <v>132</v>
      </c>
      <c r="C86">
        <v>189</v>
      </c>
      <c r="D86" s="90">
        <v>2.1621621600000002E-2</v>
      </c>
      <c r="E86" s="67"/>
      <c r="F86" s="67"/>
      <c r="G86" s="67"/>
      <c r="H86" s="67"/>
      <c r="I86" s="67"/>
    </row>
    <row r="87" spans="1:9">
      <c r="A87" t="s">
        <v>131</v>
      </c>
      <c r="B87" t="s">
        <v>130</v>
      </c>
      <c r="C87">
        <v>283</v>
      </c>
      <c r="D87" s="90">
        <v>4.0441176500000002E-2</v>
      </c>
      <c r="E87" s="67"/>
      <c r="F87" s="67"/>
      <c r="G87" s="67"/>
      <c r="H87" s="67"/>
      <c r="I87" s="67"/>
    </row>
    <row r="88" spans="1:9">
      <c r="A88" t="s">
        <v>339</v>
      </c>
      <c r="B88" t="s">
        <v>129</v>
      </c>
      <c r="C88">
        <v>19960</v>
      </c>
      <c r="D88" s="90">
        <v>-5.4476551400000003E-2</v>
      </c>
      <c r="E88" s="67"/>
      <c r="F88" s="67"/>
      <c r="G88" s="67"/>
      <c r="H88" s="67"/>
      <c r="I88" s="67"/>
    </row>
    <row r="89" spans="1:9">
      <c r="A89" t="s">
        <v>340</v>
      </c>
      <c r="B89" t="s">
        <v>128</v>
      </c>
      <c r="C89">
        <v>5930</v>
      </c>
      <c r="D89" s="90">
        <v>-4.3548387100000002E-2</v>
      </c>
      <c r="E89" s="67"/>
      <c r="F89" s="67"/>
      <c r="G89" s="67"/>
      <c r="H89" s="67"/>
      <c r="I89" s="67"/>
    </row>
    <row r="90" spans="1:9">
      <c r="A90" t="s">
        <v>127</v>
      </c>
      <c r="B90" t="s">
        <v>126</v>
      </c>
      <c r="C90">
        <v>132</v>
      </c>
      <c r="D90" s="90">
        <v>-7.5187969999999998E-3</v>
      </c>
      <c r="E90" s="67"/>
      <c r="F90" s="67"/>
      <c r="G90" s="67"/>
      <c r="H90" s="67"/>
      <c r="I90" s="67"/>
    </row>
    <row r="91" spans="1:9">
      <c r="A91" t="s">
        <v>341</v>
      </c>
      <c r="B91" t="s">
        <v>125</v>
      </c>
      <c r="C91">
        <v>563</v>
      </c>
      <c r="D91" s="90">
        <v>-5.8528428100000002E-2</v>
      </c>
      <c r="E91" s="67"/>
      <c r="F91" s="67"/>
      <c r="G91" s="67"/>
      <c r="H91" s="67"/>
      <c r="I91" s="67"/>
    </row>
    <row r="92" spans="1:9">
      <c r="A92" t="s">
        <v>342</v>
      </c>
      <c r="B92" t="s">
        <v>124</v>
      </c>
      <c r="C92">
        <v>668</v>
      </c>
      <c r="D92" s="90">
        <v>-1.4749262500000001E-2</v>
      </c>
      <c r="E92" s="67"/>
      <c r="F92" s="67"/>
      <c r="G92" s="67"/>
      <c r="H92" s="67"/>
      <c r="I92" s="67"/>
    </row>
    <row r="93" spans="1:9">
      <c r="A93" t="s">
        <v>123</v>
      </c>
      <c r="B93" t="s">
        <v>122</v>
      </c>
      <c r="C93">
        <v>702</v>
      </c>
      <c r="D93" s="90">
        <v>-6.7729083699999998E-2</v>
      </c>
      <c r="E93" s="67"/>
      <c r="F93" s="67"/>
      <c r="G93" s="67"/>
      <c r="H93" s="67"/>
      <c r="I93" s="67"/>
    </row>
    <row r="94" spans="1:9">
      <c r="A94" t="s">
        <v>121</v>
      </c>
      <c r="B94" t="s">
        <v>120</v>
      </c>
      <c r="C94">
        <v>52820</v>
      </c>
      <c r="D94" s="90">
        <v>-1.3235015999999999E-3</v>
      </c>
      <c r="E94" s="67"/>
      <c r="F94" s="67"/>
      <c r="G94" s="67"/>
      <c r="H94" s="67"/>
      <c r="I94" s="67"/>
    </row>
    <row r="95" spans="1:9">
      <c r="A95" t="s">
        <v>119</v>
      </c>
      <c r="B95" t="s">
        <v>118</v>
      </c>
      <c r="C95">
        <v>9240</v>
      </c>
      <c r="D95" s="90">
        <v>-5.08474576E-2</v>
      </c>
      <c r="E95" s="67"/>
      <c r="F95" s="67"/>
      <c r="G95" s="67"/>
      <c r="H95" s="67"/>
      <c r="I95" s="67"/>
    </row>
    <row r="96" spans="1:9">
      <c r="A96" t="s">
        <v>117</v>
      </c>
      <c r="B96" t="s">
        <v>116</v>
      </c>
      <c r="C96">
        <v>43.5</v>
      </c>
      <c r="D96" s="90">
        <v>-6.0475161999999999E-2</v>
      </c>
      <c r="E96" s="67"/>
      <c r="F96" s="67"/>
      <c r="G96" s="67"/>
      <c r="H96" s="67"/>
      <c r="I96" s="67"/>
    </row>
    <row r="97" spans="1:9">
      <c r="A97" t="s">
        <v>115</v>
      </c>
      <c r="B97" t="s">
        <v>114</v>
      </c>
      <c r="C97">
        <v>2600</v>
      </c>
      <c r="D97" s="90">
        <v>-4.4117647099999997E-2</v>
      </c>
      <c r="E97" s="67"/>
      <c r="F97" s="67"/>
      <c r="G97" s="67"/>
      <c r="H97" s="67"/>
      <c r="I97" s="67"/>
    </row>
    <row r="98" spans="1:9">
      <c r="A98" t="s">
        <v>343</v>
      </c>
      <c r="B98" t="s">
        <v>113</v>
      </c>
      <c r="C98">
        <v>5465</v>
      </c>
      <c r="D98" s="90">
        <v>-6.8994889300000001E-2</v>
      </c>
      <c r="E98" s="67"/>
      <c r="F98" s="67"/>
      <c r="G98" s="67"/>
      <c r="H98" s="67"/>
      <c r="I98" s="67"/>
    </row>
    <row r="99" spans="1:9">
      <c r="A99" t="s">
        <v>344</v>
      </c>
      <c r="B99" t="s">
        <v>345</v>
      </c>
      <c r="C99">
        <v>10070</v>
      </c>
      <c r="D99" s="90">
        <v>-5.0895381699999999E-2</v>
      </c>
      <c r="E99" s="67"/>
      <c r="F99" s="67"/>
      <c r="G99" s="67"/>
      <c r="H99" s="67"/>
      <c r="I99" s="67"/>
    </row>
    <row r="100" spans="1:9">
      <c r="A100" t="s">
        <v>112</v>
      </c>
      <c r="B100" t="s">
        <v>111</v>
      </c>
      <c r="C100">
        <v>59280</v>
      </c>
      <c r="D100" s="90">
        <v>9.8807496000000005E-3</v>
      </c>
      <c r="E100" s="67"/>
      <c r="F100" s="67"/>
      <c r="G100" s="67"/>
      <c r="H100" s="67"/>
      <c r="I100" s="67"/>
    </row>
    <row r="101" spans="1:9">
      <c r="A101" t="s">
        <v>110</v>
      </c>
      <c r="B101" t="s">
        <v>109</v>
      </c>
      <c r="C101">
        <v>723</v>
      </c>
      <c r="D101" s="90">
        <v>-3.72836218E-2</v>
      </c>
      <c r="E101" s="67"/>
      <c r="F101" s="67"/>
      <c r="G101" s="67"/>
      <c r="H101" s="67"/>
      <c r="I101" s="67"/>
    </row>
    <row r="102" spans="1:9">
      <c r="A102" t="s">
        <v>108</v>
      </c>
      <c r="B102" t="s">
        <v>107</v>
      </c>
      <c r="C102">
        <v>111</v>
      </c>
      <c r="D102" s="90">
        <v>-5.1282051299999999E-2</v>
      </c>
      <c r="E102" s="67"/>
      <c r="F102" s="67"/>
      <c r="G102" s="67"/>
      <c r="H102" s="67"/>
      <c r="I102" s="67"/>
    </row>
    <row r="103" spans="1:9">
      <c r="A103" t="s">
        <v>106</v>
      </c>
      <c r="B103" t="s">
        <v>105</v>
      </c>
      <c r="C103">
        <v>184</v>
      </c>
      <c r="D103" s="90">
        <v>-7.0707070699999999E-2</v>
      </c>
      <c r="E103" s="67"/>
      <c r="F103" s="67"/>
      <c r="G103" s="67"/>
      <c r="H103" s="67"/>
      <c r="I103" s="67"/>
    </row>
    <row r="104" spans="1:9">
      <c r="A104" t="s">
        <v>346</v>
      </c>
      <c r="B104" t="s">
        <v>104</v>
      </c>
      <c r="C104">
        <v>288</v>
      </c>
      <c r="D104" s="90">
        <v>-6.1889250799999997E-2</v>
      </c>
      <c r="E104" s="67"/>
      <c r="F104" s="67"/>
      <c r="G104" s="67"/>
      <c r="H104" s="67"/>
      <c r="I104" s="67"/>
    </row>
    <row r="105" spans="1:9">
      <c r="A105" t="s">
        <v>347</v>
      </c>
      <c r="B105" t="s">
        <v>103</v>
      </c>
      <c r="C105">
        <v>38.200000000000003</v>
      </c>
      <c r="D105" s="90">
        <v>-6.3725490199999998E-2</v>
      </c>
      <c r="E105" s="67"/>
      <c r="F105" s="67"/>
      <c r="G105" s="67"/>
      <c r="H105" s="67"/>
      <c r="I105" s="67"/>
    </row>
    <row r="106" spans="1:9">
      <c r="A106" t="s">
        <v>102</v>
      </c>
      <c r="B106" t="s">
        <v>101</v>
      </c>
      <c r="C106">
        <v>279</v>
      </c>
      <c r="D106" s="90">
        <v>-6.3758389299999996E-2</v>
      </c>
      <c r="E106" s="67"/>
      <c r="F106" s="67"/>
      <c r="G106" s="67"/>
      <c r="H106" s="67"/>
      <c r="I106" s="67"/>
    </row>
    <row r="107" spans="1:9">
      <c r="A107" t="s">
        <v>348</v>
      </c>
      <c r="B107" t="s">
        <v>100</v>
      </c>
      <c r="C107">
        <v>305</v>
      </c>
      <c r="D107" s="90">
        <v>-4.6875E-2</v>
      </c>
      <c r="E107" s="67"/>
      <c r="F107" s="67"/>
      <c r="G107" s="67"/>
      <c r="H107" s="67"/>
      <c r="I107" s="67"/>
    </row>
    <row r="108" spans="1:9">
      <c r="A108" t="s">
        <v>99</v>
      </c>
      <c r="B108" t="s">
        <v>98</v>
      </c>
      <c r="C108">
        <v>10490</v>
      </c>
      <c r="D108" s="90">
        <v>-6.7555555599999997E-2</v>
      </c>
      <c r="E108" s="67"/>
      <c r="F108" s="67"/>
      <c r="G108" s="67"/>
      <c r="H108" s="67"/>
      <c r="I108" s="67"/>
    </row>
    <row r="109" spans="1:9">
      <c r="A109" t="s">
        <v>97</v>
      </c>
      <c r="B109" t="s">
        <v>96</v>
      </c>
      <c r="C109">
        <v>860</v>
      </c>
      <c r="D109" s="90">
        <v>-4.4444444399999998E-2</v>
      </c>
    </row>
    <row r="110" spans="1:9">
      <c r="A110" t="s">
        <v>349</v>
      </c>
      <c r="B110" t="s">
        <v>350</v>
      </c>
      <c r="C110">
        <v>244</v>
      </c>
      <c r="D110" s="90">
        <v>-6.8702290099999994E-2</v>
      </c>
    </row>
    <row r="111" spans="1:9">
      <c r="A111" t="s">
        <v>351</v>
      </c>
      <c r="B111" t="s">
        <v>94</v>
      </c>
      <c r="C111">
        <v>99.5</v>
      </c>
      <c r="D111" s="90">
        <v>7.9175704999999999E-2</v>
      </c>
    </row>
    <row r="112" spans="1:9">
      <c r="A112" t="s">
        <v>352</v>
      </c>
      <c r="B112" t="s">
        <v>93</v>
      </c>
      <c r="C112">
        <v>72050</v>
      </c>
      <c r="D112" s="90">
        <v>-0.1036327445</v>
      </c>
    </row>
    <row r="113" spans="1:4">
      <c r="A113" t="s">
        <v>353</v>
      </c>
      <c r="B113" t="s">
        <v>92</v>
      </c>
      <c r="C113">
        <v>5760</v>
      </c>
      <c r="D113" s="90">
        <v>-5.9591836699999998E-2</v>
      </c>
    </row>
    <row r="114" spans="1:4">
      <c r="A114" t="s">
        <v>354</v>
      </c>
      <c r="B114" t="s">
        <v>237</v>
      </c>
      <c r="C114">
        <v>50770</v>
      </c>
      <c r="D114" s="90">
        <v>1.9735543999999999E-3</v>
      </c>
    </row>
    <row r="115" spans="1:4">
      <c r="A115" t="s">
        <v>355</v>
      </c>
      <c r="B115" t="s">
        <v>238</v>
      </c>
      <c r="C115">
        <v>5380</v>
      </c>
      <c r="D115" s="90">
        <v>0.1092783505</v>
      </c>
    </row>
    <row r="116" spans="1:4">
      <c r="A116" t="s">
        <v>239</v>
      </c>
      <c r="B116" t="s">
        <v>240</v>
      </c>
      <c r="C116">
        <v>10460</v>
      </c>
      <c r="D116" s="90">
        <v>5.1256281399999999E-2</v>
      </c>
    </row>
    <row r="117" spans="1:4">
      <c r="A117" t="s">
        <v>356</v>
      </c>
      <c r="B117" t="s">
        <v>241</v>
      </c>
      <c r="C117">
        <v>3435</v>
      </c>
      <c r="D117" s="90">
        <v>0.17235494879999999</v>
      </c>
    </row>
  </sheetData>
  <autoFilter ref="A1:D200" xr:uid="{14AEFAED-F8D0-499D-B306-448A9878D59D}">
    <sortState xmlns:xlrd2="http://schemas.microsoft.com/office/spreadsheetml/2017/richdata2" ref="A2:D117">
      <sortCondition descending="1" ref="D1:D200"/>
    </sortState>
  </autoFilter>
  <mergeCells count="25"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  <mergeCell ref="G4:I5"/>
    <mergeCell ref="G3:I3"/>
    <mergeCell ref="G18:I18"/>
    <mergeCell ref="G10:I10"/>
    <mergeCell ref="G11:I12"/>
    <mergeCell ref="H13:I13"/>
    <mergeCell ref="G7:G8"/>
    <mergeCell ref="G14:G15"/>
    <mergeCell ref="H14:I15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YJ</cp:lastModifiedBy>
  <dcterms:created xsi:type="dcterms:W3CDTF">2021-04-01T15:08:20Z</dcterms:created>
  <dcterms:modified xsi:type="dcterms:W3CDTF">2021-04-13T12:55:24Z</dcterms:modified>
</cp:coreProperties>
</file>