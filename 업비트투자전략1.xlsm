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D736053C-D769-483A-A07C-FE223436CE5A}" xr6:coauthVersionLast="46" xr6:coauthVersionMax="46" xr10:uidLastSave="{00000000-0000-0000-0000-000000000000}"/>
  <bookViews>
    <workbookView xWindow="28680" yWindow="-60" windowWidth="29040" windowHeight="15840" firstSheet="13" activeTab="21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현재가테이블" sheetId="37" r:id="rId23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0" hidden="1">투자전략1!#REF!</definedName>
    <definedName name="_xlnm._FilterDatabase" localSheetId="22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0" l="1"/>
  <c r="N111" i="60"/>
  <c r="L111" i="60"/>
  <c r="K111" i="60"/>
  <c r="I111" i="60"/>
  <c r="H111" i="60"/>
  <c r="O110" i="60"/>
  <c r="N110" i="60"/>
  <c r="L110" i="60"/>
  <c r="K110" i="60"/>
  <c r="I110" i="60"/>
  <c r="H110" i="60"/>
  <c r="O109" i="60"/>
  <c r="N109" i="60"/>
  <c r="L109" i="60"/>
  <c r="K109" i="60"/>
  <c r="I109" i="60"/>
  <c r="H109" i="60"/>
  <c r="O108" i="60"/>
  <c r="N108" i="60"/>
  <c r="L108" i="60"/>
  <c r="K108" i="60"/>
  <c r="I108" i="60"/>
  <c r="H108" i="60"/>
  <c r="O107" i="60"/>
  <c r="N107" i="60"/>
  <c r="L107" i="60"/>
  <c r="K107" i="60"/>
  <c r="I107" i="60"/>
  <c r="H107" i="60"/>
  <c r="O106" i="60"/>
  <c r="N106" i="60"/>
  <c r="L106" i="60"/>
  <c r="K106" i="60"/>
  <c r="I106" i="60"/>
  <c r="H106" i="60"/>
  <c r="O105" i="60"/>
  <c r="N105" i="60"/>
  <c r="L105" i="60"/>
  <c r="K105" i="60"/>
  <c r="I105" i="60"/>
  <c r="H105" i="60"/>
  <c r="O104" i="60"/>
  <c r="N104" i="60"/>
  <c r="L104" i="60"/>
  <c r="K104" i="60"/>
  <c r="I104" i="60"/>
  <c r="H104" i="60"/>
  <c r="O103" i="60"/>
  <c r="N103" i="60"/>
  <c r="L103" i="60"/>
  <c r="K103" i="60"/>
  <c r="I103" i="60"/>
  <c r="H103" i="60"/>
  <c r="O102" i="60"/>
  <c r="O112" i="60" s="1"/>
  <c r="N102" i="60"/>
  <c r="N112" i="60" s="1"/>
  <c r="L102" i="60"/>
  <c r="L112" i="60" s="1"/>
  <c r="K102" i="60"/>
  <c r="K112" i="60" s="1"/>
  <c r="I102" i="60"/>
  <c r="I112" i="60" s="1"/>
  <c r="H102" i="60"/>
  <c r="H112" i="60" s="1"/>
  <c r="M99" i="60"/>
  <c r="G99" i="60"/>
  <c r="O94" i="60"/>
  <c r="N94" i="60"/>
  <c r="L94" i="60"/>
  <c r="K94" i="60"/>
  <c r="I94" i="60"/>
  <c r="H94" i="60"/>
  <c r="O93" i="60"/>
  <c r="N93" i="60"/>
  <c r="L93" i="60"/>
  <c r="K93" i="60"/>
  <c r="I93" i="60"/>
  <c r="H93" i="60"/>
  <c r="O92" i="60"/>
  <c r="N92" i="60"/>
  <c r="L92" i="60"/>
  <c r="K92" i="60"/>
  <c r="I92" i="60"/>
  <c r="H92" i="60"/>
  <c r="O91" i="60"/>
  <c r="N91" i="60"/>
  <c r="L91" i="60"/>
  <c r="K91" i="60"/>
  <c r="I91" i="60"/>
  <c r="H91" i="60"/>
  <c r="O90" i="60"/>
  <c r="N90" i="60"/>
  <c r="L90" i="60"/>
  <c r="K90" i="60"/>
  <c r="I90" i="60"/>
  <c r="H90" i="60"/>
  <c r="O89" i="60"/>
  <c r="N89" i="60"/>
  <c r="L89" i="60"/>
  <c r="K89" i="60"/>
  <c r="I89" i="60"/>
  <c r="H89" i="60"/>
  <c r="O88" i="60"/>
  <c r="N88" i="60"/>
  <c r="L88" i="60"/>
  <c r="K88" i="60"/>
  <c r="I88" i="60"/>
  <c r="H88" i="60"/>
  <c r="O87" i="60"/>
  <c r="N87" i="60"/>
  <c r="L87" i="60"/>
  <c r="K87" i="60"/>
  <c r="I87" i="60"/>
  <c r="H87" i="60"/>
  <c r="O86" i="60"/>
  <c r="N86" i="60"/>
  <c r="L86" i="60"/>
  <c r="K86" i="60"/>
  <c r="I86" i="60"/>
  <c r="H86" i="60"/>
  <c r="O85" i="60"/>
  <c r="O95" i="60" s="1"/>
  <c r="N85" i="60"/>
  <c r="N95" i="60" s="1"/>
  <c r="L85" i="60"/>
  <c r="L95" i="60" s="1"/>
  <c r="K85" i="60"/>
  <c r="K95" i="60" s="1"/>
  <c r="I85" i="60"/>
  <c r="I95" i="60" s="1"/>
  <c r="H85" i="60"/>
  <c r="H95" i="60" s="1"/>
  <c r="M82" i="60"/>
  <c r="G82" i="60"/>
  <c r="O77" i="60"/>
  <c r="N77" i="60"/>
  <c r="L77" i="60"/>
  <c r="K77" i="60"/>
  <c r="I77" i="60"/>
  <c r="H77" i="60"/>
  <c r="O76" i="60"/>
  <c r="N76" i="60"/>
  <c r="L76" i="60"/>
  <c r="K76" i="60"/>
  <c r="I76" i="60"/>
  <c r="H76" i="60"/>
  <c r="O75" i="60"/>
  <c r="N75" i="60"/>
  <c r="L75" i="60"/>
  <c r="K75" i="60"/>
  <c r="I75" i="60"/>
  <c r="H75" i="60"/>
  <c r="O74" i="60"/>
  <c r="N74" i="60"/>
  <c r="L74" i="60"/>
  <c r="K74" i="60"/>
  <c r="I74" i="60"/>
  <c r="H74" i="60"/>
  <c r="O73" i="60"/>
  <c r="N73" i="60"/>
  <c r="L73" i="60"/>
  <c r="K73" i="60"/>
  <c r="I73" i="60"/>
  <c r="H73" i="60"/>
  <c r="O72" i="60"/>
  <c r="N72" i="60"/>
  <c r="L72" i="60"/>
  <c r="K72" i="60"/>
  <c r="I72" i="60"/>
  <c r="H72" i="60"/>
  <c r="O71" i="60"/>
  <c r="N71" i="60"/>
  <c r="L71" i="60"/>
  <c r="K71" i="60"/>
  <c r="I71" i="60"/>
  <c r="H71" i="60"/>
  <c r="O70" i="60"/>
  <c r="N70" i="60"/>
  <c r="L70" i="60"/>
  <c r="K70" i="60"/>
  <c r="I70" i="60"/>
  <c r="H70" i="60"/>
  <c r="O69" i="60"/>
  <c r="N69" i="60"/>
  <c r="L69" i="60"/>
  <c r="K69" i="60"/>
  <c r="I69" i="60"/>
  <c r="H69" i="60"/>
  <c r="O68" i="60"/>
  <c r="O78" i="60" s="1"/>
  <c r="N68" i="60"/>
  <c r="N78" i="60" s="1"/>
  <c r="L68" i="60"/>
  <c r="L78" i="60" s="1"/>
  <c r="K68" i="60"/>
  <c r="K78" i="60" s="1"/>
  <c r="I68" i="60"/>
  <c r="I78" i="60" s="1"/>
  <c r="H68" i="60"/>
  <c r="H78" i="60" s="1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O56" i="60"/>
  <c r="N56" i="60"/>
  <c r="L56" i="60"/>
  <c r="K56" i="60"/>
  <c r="I56" i="60"/>
  <c r="H56" i="60"/>
  <c r="O55" i="60"/>
  <c r="N55" i="60"/>
  <c r="L55" i="60"/>
  <c r="K55" i="60"/>
  <c r="I55" i="60"/>
  <c r="H55" i="60"/>
  <c r="O54" i="60"/>
  <c r="N54" i="60"/>
  <c r="L54" i="60"/>
  <c r="K54" i="60"/>
  <c r="I54" i="60"/>
  <c r="H54" i="60"/>
  <c r="O53" i="60"/>
  <c r="N53" i="60"/>
  <c r="L53" i="60"/>
  <c r="K53" i="60"/>
  <c r="I53" i="60"/>
  <c r="H53" i="60"/>
  <c r="O52" i="60"/>
  <c r="N52" i="60"/>
  <c r="L52" i="60"/>
  <c r="K52" i="60"/>
  <c r="I52" i="60"/>
  <c r="H52" i="60"/>
  <c r="O51" i="60"/>
  <c r="O61" i="60" s="1"/>
  <c r="N51" i="60"/>
  <c r="N61" i="60" s="1"/>
  <c r="L51" i="60"/>
  <c r="L61" i="60" s="1"/>
  <c r="K51" i="60"/>
  <c r="K61" i="60" s="1"/>
  <c r="I51" i="60"/>
  <c r="I61" i="60" s="1"/>
  <c r="H51" i="60"/>
  <c r="H61" i="60" s="1"/>
  <c r="M48" i="60"/>
  <c r="G48" i="60"/>
  <c r="O43" i="60"/>
  <c r="N43" i="60"/>
  <c r="L43" i="60"/>
  <c r="K43" i="60"/>
  <c r="I43" i="60"/>
  <c r="H43" i="60"/>
  <c r="O42" i="60"/>
  <c r="N42" i="60"/>
  <c r="L42" i="60"/>
  <c r="K42" i="60"/>
  <c r="I42" i="60"/>
  <c r="H42" i="60"/>
  <c r="O41" i="60"/>
  <c r="N41" i="60"/>
  <c r="L41" i="60"/>
  <c r="K41" i="60"/>
  <c r="I41" i="60"/>
  <c r="H41" i="60"/>
  <c r="O40" i="60"/>
  <c r="N40" i="60"/>
  <c r="L40" i="60"/>
  <c r="K40" i="60"/>
  <c r="I40" i="60"/>
  <c r="H40" i="60"/>
  <c r="O39" i="60"/>
  <c r="N39" i="60"/>
  <c r="L39" i="60"/>
  <c r="K39" i="60"/>
  <c r="I39" i="60"/>
  <c r="H39" i="60"/>
  <c r="O38" i="60"/>
  <c r="N38" i="60"/>
  <c r="L38" i="60"/>
  <c r="K38" i="60"/>
  <c r="I38" i="60"/>
  <c r="H38" i="60"/>
  <c r="O37" i="60"/>
  <c r="N37" i="60"/>
  <c r="L37" i="60"/>
  <c r="K37" i="60"/>
  <c r="I37" i="60"/>
  <c r="H37" i="60"/>
  <c r="O36" i="60"/>
  <c r="N36" i="60"/>
  <c r="L36" i="60"/>
  <c r="K36" i="60"/>
  <c r="I36" i="60"/>
  <c r="H36" i="60"/>
  <c r="O35" i="60"/>
  <c r="N35" i="60"/>
  <c r="L35" i="60"/>
  <c r="K35" i="60"/>
  <c r="I35" i="60"/>
  <c r="H35" i="60"/>
  <c r="O34" i="60"/>
  <c r="O44" i="60" s="1"/>
  <c r="N34" i="60"/>
  <c r="N44" i="60" s="1"/>
  <c r="L34" i="60"/>
  <c r="L44" i="60" s="1"/>
  <c r="K34" i="60"/>
  <c r="K44" i="60" s="1"/>
  <c r="I34" i="60"/>
  <c r="I44" i="60" s="1"/>
  <c r="H34" i="60"/>
  <c r="H44" i="60" s="1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I61" i="58" s="1"/>
  <c r="H51" i="58"/>
  <c r="H61" i="58" s="1"/>
  <c r="F51" i="58"/>
  <c r="F61" i="58" s="1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E111" i="60" l="1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O36" i="56"/>
  <c r="N36" i="56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I77" i="56"/>
  <c r="H77" i="56"/>
  <c r="H74" i="56"/>
  <c r="I74" i="56" s="1"/>
  <c r="H55" i="56"/>
  <c r="I55" i="56" s="1"/>
  <c r="H58" i="56"/>
  <c r="I58" i="56" s="1"/>
  <c r="I36" i="56"/>
  <c r="H36" i="56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/>
  <c r="D19" i="55"/>
  <c r="E51" i="55"/>
  <c r="F51" i="55" s="1"/>
  <c r="E56" i="55"/>
  <c r="E24" i="55" s="1"/>
  <c r="F56" i="55"/>
  <c r="F24" i="55" s="1"/>
  <c r="D24" i="55"/>
  <c r="E58" i="55"/>
  <c r="E26" i="55" s="1"/>
  <c r="D26" i="55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E106" i="60" l="1"/>
  <c r="F106" i="60" s="1"/>
  <c r="E105" i="60"/>
  <c r="F105" i="60" s="1"/>
  <c r="E107" i="60"/>
  <c r="F107" i="60" s="1"/>
  <c r="F102" i="60"/>
  <c r="E102" i="60"/>
  <c r="E108" i="60"/>
  <c r="F108" i="60" s="1"/>
  <c r="F103" i="60"/>
  <c r="E103" i="60"/>
  <c r="E104" i="60"/>
  <c r="F104" i="60" s="1"/>
  <c r="F110" i="60"/>
  <c r="E110" i="60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F52" i="60"/>
  <c r="E52" i="60"/>
  <c r="E54" i="60"/>
  <c r="F54" i="60" s="1"/>
  <c r="F55" i="60"/>
  <c r="E55" i="60"/>
  <c r="E51" i="60"/>
  <c r="F51" i="60" s="1"/>
  <c r="F37" i="60"/>
  <c r="E37" i="60"/>
  <c r="E39" i="60"/>
  <c r="F39" i="60" s="1"/>
  <c r="F34" i="60"/>
  <c r="E34" i="60"/>
  <c r="E36" i="60"/>
  <c r="F36" i="60" s="1"/>
  <c r="F38" i="60"/>
  <c r="E38" i="60"/>
  <c r="E35" i="60"/>
  <c r="F35" i="60" s="1"/>
  <c r="F40" i="60"/>
  <c r="E40" i="60"/>
  <c r="E42" i="60"/>
  <c r="F42" i="60" s="1"/>
  <c r="F41" i="60"/>
  <c r="E41" i="60"/>
  <c r="N107" i="58"/>
  <c r="O107" i="58" s="1"/>
  <c r="N102" i="58"/>
  <c r="O102" i="58" s="1"/>
  <c r="N103" i="58"/>
  <c r="O103" i="58"/>
  <c r="N109" i="58"/>
  <c r="O109" i="58"/>
  <c r="N110" i="58"/>
  <c r="O110" i="58" s="1"/>
  <c r="N105" i="58"/>
  <c r="O105" i="58"/>
  <c r="N106" i="58"/>
  <c r="O106" i="58" s="1"/>
  <c r="N104" i="58"/>
  <c r="O104" i="58" s="1"/>
  <c r="N86" i="58"/>
  <c r="O86" i="58" s="1"/>
  <c r="N85" i="58"/>
  <c r="O85" i="58" s="1"/>
  <c r="N89" i="58"/>
  <c r="O89" i="58"/>
  <c r="N87" i="58"/>
  <c r="O87" i="58" s="1"/>
  <c r="N92" i="58"/>
  <c r="O92" i="58" s="1"/>
  <c r="O90" i="58"/>
  <c r="N90" i="58"/>
  <c r="N93" i="58"/>
  <c r="O93" i="58"/>
  <c r="O88" i="58"/>
  <c r="N88" i="58"/>
  <c r="N68" i="58"/>
  <c r="O68" i="58" s="1"/>
  <c r="N69" i="58"/>
  <c r="O69" i="58"/>
  <c r="N70" i="58"/>
  <c r="O70" i="58" s="1"/>
  <c r="N76" i="58"/>
  <c r="O76" i="58" s="1"/>
  <c r="N75" i="58"/>
  <c r="O75" i="58"/>
  <c r="N73" i="58"/>
  <c r="O73" i="58"/>
  <c r="N72" i="58"/>
  <c r="O72" i="58" s="1"/>
  <c r="N71" i="58"/>
  <c r="O71" i="58"/>
  <c r="N51" i="58"/>
  <c r="O51" i="58"/>
  <c r="N56" i="58"/>
  <c r="O56" i="58" s="1"/>
  <c r="N52" i="58"/>
  <c r="O52" i="58" s="1"/>
  <c r="N53" i="58"/>
  <c r="O53" i="58" s="1"/>
  <c r="N55" i="58"/>
  <c r="O55" i="58"/>
  <c r="O38" i="58"/>
  <c r="N38" i="58"/>
  <c r="N39" i="58"/>
  <c r="O39" i="58" s="1"/>
  <c r="O34" i="58"/>
  <c r="N34" i="58"/>
  <c r="O40" i="58"/>
  <c r="N40" i="58"/>
  <c r="O35" i="58"/>
  <c r="N35" i="58"/>
  <c r="O36" i="58"/>
  <c r="N36" i="58"/>
  <c r="N37" i="58"/>
  <c r="O37" i="58" s="1"/>
  <c r="O42" i="58"/>
  <c r="N42" i="58"/>
  <c r="N41" i="58"/>
  <c r="O41" i="58" s="1"/>
  <c r="K106" i="58"/>
  <c r="L106" i="58" s="1"/>
  <c r="L109" i="58"/>
  <c r="K109" i="58"/>
  <c r="K107" i="58"/>
  <c r="L107" i="58" s="1"/>
  <c r="L102" i="58"/>
  <c r="K102" i="58"/>
  <c r="K105" i="58"/>
  <c r="L105" i="58" s="1"/>
  <c r="L103" i="58"/>
  <c r="K103" i="58"/>
  <c r="K108" i="58"/>
  <c r="L108" i="58" s="1"/>
  <c r="L110" i="58"/>
  <c r="K110" i="58"/>
  <c r="K104" i="58"/>
  <c r="L104" i="58" s="1"/>
  <c r="L92" i="58"/>
  <c r="K92" i="58"/>
  <c r="K89" i="58"/>
  <c r="L89" i="58" s="1"/>
  <c r="L88" i="58"/>
  <c r="K88" i="58"/>
  <c r="K85" i="58"/>
  <c r="L85" i="58" s="1"/>
  <c r="L87" i="58"/>
  <c r="K87" i="58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L42" i="58"/>
  <c r="K42" i="58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O102" i="56"/>
  <c r="N102" i="56"/>
  <c r="M17" i="56"/>
  <c r="O103" i="56"/>
  <c r="O18" i="56" s="1"/>
  <c r="M18" i="56"/>
  <c r="N103" i="56"/>
  <c r="N18" i="56" s="1"/>
  <c r="N109" i="56"/>
  <c r="O109" i="56" s="1"/>
  <c r="N89" i="56"/>
  <c r="O89" i="56" s="1"/>
  <c r="O91" i="56"/>
  <c r="N91" i="56"/>
  <c r="N90" i="56"/>
  <c r="O90" i="56" s="1"/>
  <c r="O85" i="56"/>
  <c r="N85" i="56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O69" i="56"/>
  <c r="O24" i="56" s="1"/>
  <c r="N73" i="56"/>
  <c r="O73" i="56" s="1"/>
  <c r="M22" i="56"/>
  <c r="N68" i="56"/>
  <c r="O68" i="56" s="1"/>
  <c r="O76" i="56"/>
  <c r="N76" i="56"/>
  <c r="N71" i="56"/>
  <c r="O71" i="56" s="1"/>
  <c r="O75" i="56"/>
  <c r="N75" i="56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O51" i="56"/>
  <c r="N51" i="56"/>
  <c r="N56" i="56"/>
  <c r="O56" i="56"/>
  <c r="N54" i="56"/>
  <c r="O54" i="56" s="1"/>
  <c r="N55" i="56"/>
  <c r="O55" i="56" s="1"/>
  <c r="O39" i="56"/>
  <c r="N39" i="56"/>
  <c r="O34" i="56"/>
  <c r="N34" i="56"/>
  <c r="O35" i="56"/>
  <c r="N35" i="56"/>
  <c r="N41" i="56"/>
  <c r="O41" i="56" s="1"/>
  <c r="O42" i="56"/>
  <c r="N42" i="56"/>
  <c r="O37" i="56"/>
  <c r="N37" i="56"/>
  <c r="O38" i="56"/>
  <c r="N38" i="56"/>
  <c r="O40" i="56"/>
  <c r="N40" i="56"/>
  <c r="G9" i="21"/>
  <c r="L111" i="53"/>
  <c r="L24" i="53" s="1"/>
  <c r="F58" i="55"/>
  <c r="F26" i="55" s="1"/>
  <c r="L43" i="55"/>
  <c r="L18" i="55" s="1"/>
  <c r="K109" i="56"/>
  <c r="L109" i="56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/>
  <c r="J17" i="56"/>
  <c r="K102" i="56"/>
  <c r="L102" i="56" s="1"/>
  <c r="K92" i="56"/>
  <c r="L92" i="56" s="1"/>
  <c r="K90" i="56"/>
  <c r="L90" i="56" s="1"/>
  <c r="L85" i="56"/>
  <c r="K85" i="56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/>
  <c r="K53" i="56"/>
  <c r="L53" i="56"/>
  <c r="K52" i="56"/>
  <c r="L52" i="56"/>
  <c r="K54" i="56"/>
  <c r="L54" i="56"/>
  <c r="K56" i="56"/>
  <c r="L56" i="56"/>
  <c r="K35" i="56"/>
  <c r="L35" i="56"/>
  <c r="K37" i="56"/>
  <c r="L37" i="56"/>
  <c r="K38" i="56"/>
  <c r="L38" i="56"/>
  <c r="K41" i="56"/>
  <c r="L41" i="56"/>
  <c r="K42" i="56"/>
  <c r="L42" i="56"/>
  <c r="K39" i="56"/>
  <c r="L39" i="56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19" i="56"/>
  <c r="H23" i="56"/>
  <c r="G18" i="56"/>
  <c r="H103" i="56"/>
  <c r="H18" i="56" s="1"/>
  <c r="H90" i="56"/>
  <c r="I90" i="56" s="1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 s="1"/>
  <c r="G24" i="56"/>
  <c r="H69" i="56"/>
  <c r="H24" i="56" s="1"/>
  <c r="I75" i="56"/>
  <c r="H75" i="56"/>
  <c r="G22" i="56"/>
  <c r="H68" i="56"/>
  <c r="I68" i="56" s="1"/>
  <c r="H76" i="56"/>
  <c r="I76" i="56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I35" i="56"/>
  <c r="H35" i="56"/>
  <c r="H41" i="56"/>
  <c r="I41" i="56" s="1"/>
  <c r="H37" i="56"/>
  <c r="I37" i="56" s="1"/>
  <c r="H42" i="56"/>
  <c r="I42" i="56" s="1"/>
  <c r="I38" i="56"/>
  <c r="H38" i="56"/>
  <c r="H40" i="56"/>
  <c r="I40" i="56" s="1"/>
  <c r="D25" i="56"/>
  <c r="E110" i="56"/>
  <c r="E25" i="56" s="1"/>
  <c r="E109" i="56"/>
  <c r="F109" i="56" s="1"/>
  <c r="E107" i="56"/>
  <c r="F107" i="56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/>
  <c r="E41" i="56"/>
  <c r="F41" i="56"/>
  <c r="E38" i="56"/>
  <c r="F38" i="56"/>
  <c r="E40" i="56"/>
  <c r="F40" i="56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/>
  <c r="N85" i="55"/>
  <c r="O85" i="55" s="1"/>
  <c r="N86" i="55"/>
  <c r="O86" i="55" s="1"/>
  <c r="N89" i="55"/>
  <c r="O89" i="55" s="1"/>
  <c r="N71" i="55"/>
  <c r="O71" i="55" s="1"/>
  <c r="N73" i="55"/>
  <c r="O73" i="55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N36" i="55"/>
  <c r="O36" i="55" s="1"/>
  <c r="N35" i="55"/>
  <c r="O35" i="55" s="1"/>
  <c r="O41" i="55"/>
  <c r="N41" i="55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/>
  <c r="K89" i="55"/>
  <c r="L89" i="55" s="1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/>
  <c r="H85" i="55"/>
  <c r="I85" i="55" s="1"/>
  <c r="H86" i="55"/>
  <c r="I86" i="55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F86" i="55"/>
  <c r="E86" i="55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F52" i="55"/>
  <c r="F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N102" i="53"/>
  <c r="O102" i="53" s="1"/>
  <c r="N103" i="53"/>
  <c r="O103" i="53" s="1"/>
  <c r="N108" i="53"/>
  <c r="O108" i="53" s="1"/>
  <c r="O110" i="53"/>
  <c r="N110" i="53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O42" i="53"/>
  <c r="N42" i="53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E112" i="60" l="1"/>
  <c r="F112" i="60"/>
  <c r="G11" i="60" s="1"/>
  <c r="E95" i="60"/>
  <c r="F95" i="60"/>
  <c r="G9" i="60" s="1"/>
  <c r="E78" i="60"/>
  <c r="F78" i="60"/>
  <c r="G7" i="60" s="1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O112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61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5" i="60" l="1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<sst xmlns="http://schemas.openxmlformats.org/spreadsheetml/2006/main" count="6329" uniqueCount="422">
  <si>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</si>
  <si>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</si>
  <si>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</si>
  <si>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</si>
  <si>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</si>
  <si>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</si>
  <si>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</si>
  <si>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</si>
  <si>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</si>
  <si>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</si>
  <si>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</si>
  <si>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</si>
  <si>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</si>
  <si>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</si>
  <si>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</si>
  <si>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</si>
  <si>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</si>
  <si>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</si>
  <si>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</si>
  <si>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</si>
  <si>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</si>
  <si>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</si>
  <si>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</si>
  <si>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</si>
  <si>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</si>
  <si>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</si>
  <si>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</si>
  <si>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</si>
  <si>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</si>
  <si>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</si>
  <si>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</si>
  <si>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</si>
  <si>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</si>
  <si>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</si>
  <si>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</si>
  <si>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</si>
  <si>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</si>
  <si>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</si>
  <si>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</si>
  <si>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</si>
  <si>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</si>
  <si>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</si>
  <si>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</si>
  <si>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</si>
  <si>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</si>
  <si>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</si>
  <si>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</si>
  <si>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</si>
  <si>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</si>
  <si>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</si>
  <si>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</si>
  <si>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</si>
  <si>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</si>
  <si>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</si>
  <si>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</si>
  <si>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</si>
  <si>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</si>
  <si>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</si>
  <si>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</si>
  <si>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</si>
  <si>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</si>
  <si>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</si>
  <si>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</si>
  <si>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</si>
  <si>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</si>
  <si>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</si>
  <si>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</si>
  <si>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</si>
  <si>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</si>
  <si>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</si>
  <si>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</si>
  <si>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</si>
  <si>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</si>
  <si>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</si>
  <si>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</si>
  <si>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</si>
  <si>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</si>
  <si>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</si>
  <si>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</si>
  <si>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</si>
  <si>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</si>
  <si>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</si>
  <si>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</si>
  <si>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</si>
  <si>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</si>
  <si>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</si>
  <si>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</si>
  <si>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</si>
  <si>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</si>
  <si>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</si>
  <si>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</si>
  <si>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</si>
  <si>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</si>
  <si>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</si>
  <si>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</si>
  <si>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</si>
  <si>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</si>
  <si>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</si>
  <si>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</si>
  <si>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</si>
  <si>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</si>
  <si>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</si>
  <si>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</si>
  <si>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</si>
  <si>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</si>
  <si>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</si>
  <si>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</si>
  <si>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</si>
  <si>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</si>
  <si>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</si>
  <si>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</si>
  <si>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</si>
  <si>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</si>
  <si>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</si>
  <si>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</si>
  <si>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</si>
  <si>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</si>
  <si>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</si>
  <si>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</si>
  <si>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</si>
  <si>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</si>
  <si>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</si>
  <si>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</si>
  <si>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</si>
  <si>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</si>
  <si>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</si>
  <si>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</si>
  <si>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</si>
  <si>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</si>
  <si>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</si>
  <si>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</si>
  <si>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</si>
  <si>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</si>
  <si>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</si>
  <si>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</si>
  <si>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</si>
  <si>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</si>
  <si>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</si>
  <si>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</si>
  <si>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</si>
  <si>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</si>
  <si>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</si>
  <si>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</si>
  <si>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</si>
  <si>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</si>
  <si>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</si>
  <si>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</si>
  <si>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</si>
  <si>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</si>
  <si>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</si>
  <si>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</si>
  <si>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</si>
  <si>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</si>
  <si>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</si>
  <si>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</si>
  <si>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</si>
  <si>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</si>
  <si>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</si>
  <si>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</si>
  <si>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</si>
  <si>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</si>
  <si>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</si>
  <si>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</si>
  <si>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</si>
  <si>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</si>
  <si>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</si>
  <si>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</si>
  <si>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</si>
  <si>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</si>
  <si>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</si>
  <si>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</si>
  <si>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</si>
  <si>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</si>
  <si>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</si>
  <si>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</si>
  <si>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</si>
  <si>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</si>
  <si>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</si>
  <si>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</si>
  <si>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</si>
  <si>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</si>
  <si>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</si>
  <si>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</si>
  <si>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</si>
  <si>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</si>
  <si>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</si>
  <si>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</si>
  <si>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</si>
  <si>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</si>
  <si>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</si>
  <si>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</si>
  <si>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</si>
  <si>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</si>
  <si>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</si>
  <si>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</si>
  <si>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</si>
  <si>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</si>
  <si>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</si>
  <si>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</si>
  <si>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</si>
  <si>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</si>
  <si>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</si>
  <si>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</si>
  <si>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</si>
  <si>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</si>
  <si>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</si>
  <si>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</si>
  <si>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</si>
  <si>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</si>
  <si>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</si>
  <si>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</si>
  <si>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</si>
  <si>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</si>
  <si>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</si>
  <si>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</si>
  <si>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</si>
  <si>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</si>
  <si>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</si>
  <si>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</si>
  <si>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</si>
  <si>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</si>
  <si>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</si>
  <si>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</si>
  <si>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</si>
  <si>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</si>
  <si>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</si>
  <si>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</si>
  <si>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</si>
  <si>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</si>
  <si>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</si>
  <si>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</si>
  <si>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</si>
  <si>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</si>
  <si>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</si>
  <si>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</si>
  <si>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</si>
  <si>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</si>
  <si>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</si>
  <si>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</si>
  <si>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</si>
  <si>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</si>
  <si>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</si>
  <si>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</si>
  <si>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</si>
  <si>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</si>
  <si>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</si>
  <si>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</si>
  <si>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</si>
  <si>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</si>
  <si>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</si>
  <si>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</si>
  <si>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</si>
  <si>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</si>
  <si>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</si>
  <si>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</si>
  <si>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</si>
  <si>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</si>
  <si>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</si>
  <si>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</si>
  <si>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</si>
  <si>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</si>
  <si>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</si>
  <si>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</si>
  <si>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</si>
  <si>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</si>
  <si>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</si>
  <si>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</si>
  <si>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</si>
  <si>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</si>
  <si>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</si>
  <si>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</si>
  <si>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</si>
  <si>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</si>
  <si>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</si>
  <si>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</si>
  <si>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</si>
  <si>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</si>
  <si>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</si>
  <si>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</si>
  <si>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  <phoneticPr fontId="1" type="noConversion"/>
  </si>
  <si>
    <t>이더리움</t>
    <phoneticPr fontId="1" type="noConversion"/>
  </si>
  <si>
    <t>KRW-NEO</t>
    <phoneticPr fontId="1" type="noConversion"/>
  </si>
  <si>
    <t>네오</t>
    <phoneticPr fontId="1" type="noConversion"/>
  </si>
  <si>
    <t>KRW-LTC</t>
    <phoneticPr fontId="1" type="noConversion"/>
  </si>
  <si>
    <t>라이트코인</t>
    <phoneticPr fontId="1" type="noConversion"/>
  </si>
  <si>
    <t>KRW-OMG</t>
    <phoneticPr fontId="1" type="noConversion"/>
  </si>
  <si>
    <t>오미세고</t>
    <phoneticPr fontId="1" type="noConversion"/>
  </si>
  <si>
    <t>KRW-WAVES</t>
    <phoneticPr fontId="1" type="noConversion"/>
  </si>
  <si>
    <t>웨이브</t>
    <phoneticPr fontId="1" type="noConversion"/>
  </si>
  <si>
    <t>KRW-XEM</t>
    <phoneticPr fontId="1" type="noConversion"/>
  </si>
  <si>
    <t>넴</t>
    <phoneticPr fontId="1" type="noConversion"/>
  </si>
  <si>
    <t>KRW-QTUM</t>
    <phoneticPr fontId="1" type="noConversion"/>
  </si>
  <si>
    <t>퀀텀</t>
    <phoneticPr fontId="1" type="noConversion"/>
  </si>
  <si>
    <t>KRW-LSK</t>
    <phoneticPr fontId="1" type="noConversion"/>
  </si>
  <si>
    <t>리스크</t>
    <phoneticPr fontId="1" type="noConversion"/>
  </si>
  <si>
    <t>KRW-KMD</t>
    <phoneticPr fontId="1" type="noConversion"/>
  </si>
  <si>
    <t>코모도</t>
    <phoneticPr fontId="1" type="noConversion"/>
  </si>
  <si>
    <t>KRW-ARK</t>
    <phoneticPr fontId="1" type="noConversion"/>
  </si>
  <si>
    <t>아크</t>
    <phoneticPr fontId="1" type="noConversion"/>
  </si>
  <si>
    <t>KRW-REP</t>
    <phoneticPr fontId="1" type="noConversion"/>
  </si>
  <si>
    <t>어거</t>
    <phoneticPr fontId="1" type="noConversion"/>
  </si>
  <si>
    <t>KRW-ADA</t>
    <phoneticPr fontId="1" type="noConversion"/>
  </si>
  <si>
    <t>에이다</t>
    <phoneticPr fontId="1" type="noConversion"/>
  </si>
  <si>
    <t>KRW-SBD</t>
    <phoneticPr fontId="1" type="noConversion"/>
  </si>
  <si>
    <t>스팀달러</t>
    <phoneticPr fontId="1" type="noConversion"/>
  </si>
  <si>
    <t>KRW-POWR</t>
    <phoneticPr fontId="1" type="noConversion"/>
  </si>
  <si>
    <t>파워렛저</t>
    <phoneticPr fontId="1" type="noConversion"/>
  </si>
  <si>
    <t>KRW-BTG</t>
    <phoneticPr fontId="1" type="noConversion"/>
  </si>
  <si>
    <t>비트코인골드</t>
    <phoneticPr fontId="1" type="noConversion"/>
  </si>
  <si>
    <t>KRW-ICX</t>
    <phoneticPr fontId="1" type="noConversion"/>
  </si>
  <si>
    <t>아이콘</t>
    <phoneticPr fontId="1" type="noConversion"/>
  </si>
  <si>
    <t>KRW-TRX</t>
    <phoneticPr fontId="1" type="noConversion"/>
  </si>
  <si>
    <t>트론</t>
    <phoneticPr fontId="1" type="noConversion"/>
  </si>
  <si>
    <t>KRW-IGNIS</t>
    <phoneticPr fontId="1" type="noConversion"/>
  </si>
  <si>
    <t>이그니스</t>
    <phoneticPr fontId="1" type="noConversion"/>
  </si>
  <si>
    <t>KRW-ZIL</t>
    <phoneticPr fontId="1" type="noConversion"/>
  </si>
  <si>
    <t>질리카</t>
    <phoneticPr fontId="1" type="noConversion"/>
  </si>
  <si>
    <t>KRW-POLY</t>
    <phoneticPr fontId="1" type="noConversion"/>
  </si>
  <si>
    <t>폴리매쓰</t>
    <phoneticPr fontId="1" type="noConversion"/>
  </si>
  <si>
    <t>KRW-ZRX</t>
    <phoneticPr fontId="1" type="noConversion"/>
  </si>
  <si>
    <t>제로엑스</t>
    <phoneticPr fontId="1" type="noConversion"/>
  </si>
  <si>
    <t>KRW-BCH</t>
    <phoneticPr fontId="1" type="noConversion"/>
  </si>
  <si>
    <t>비트코인캐시</t>
    <phoneticPr fontId="1" type="noConversion"/>
  </si>
  <si>
    <t>KRW-ADX</t>
    <phoneticPr fontId="1" type="noConversion"/>
  </si>
  <si>
    <t>애드엑스</t>
    <phoneticPr fontId="1" type="noConversion"/>
  </si>
  <si>
    <t>KRW-DMT</t>
    <phoneticPr fontId="1" type="noConversion"/>
  </si>
  <si>
    <t>디마켓</t>
    <phoneticPr fontId="1" type="noConversion"/>
  </si>
  <si>
    <t>KRW-CVC</t>
    <phoneticPr fontId="1" type="noConversion"/>
  </si>
  <si>
    <t>시빅</t>
    <phoneticPr fontId="1" type="noConversion"/>
  </si>
  <si>
    <t>KRW-IQ</t>
    <phoneticPr fontId="1" type="noConversion"/>
  </si>
  <si>
    <t>에브리피디아</t>
    <phoneticPr fontId="1" type="noConversion"/>
  </si>
  <si>
    <t>KRW-IOTA</t>
    <phoneticPr fontId="1" type="noConversion"/>
  </si>
  <si>
    <t>아이오타</t>
    <phoneticPr fontId="1" type="noConversion"/>
  </si>
  <si>
    <t>KRW-ONG</t>
    <phoneticPr fontId="1" type="noConversion"/>
  </si>
  <si>
    <t>온톨로지가스</t>
    <phoneticPr fontId="1" type="noConversion"/>
  </si>
  <si>
    <t>KRW-GAS</t>
    <phoneticPr fontId="1" type="noConversion"/>
  </si>
  <si>
    <t>가스</t>
    <phoneticPr fontId="1" type="noConversion"/>
  </si>
  <si>
    <t>KRW-UPP</t>
    <phoneticPr fontId="1" type="noConversion"/>
  </si>
  <si>
    <t>센티넬프로토콜</t>
    <phoneticPr fontId="1" type="noConversion"/>
  </si>
  <si>
    <t>KRW-KNC</t>
    <phoneticPr fontId="1" type="noConversion"/>
  </si>
  <si>
    <t>카이버네트워크</t>
    <phoneticPr fontId="1" type="noConversion"/>
  </si>
  <si>
    <t>KRW-THETA</t>
    <phoneticPr fontId="1" type="noConversion"/>
  </si>
  <si>
    <t>쎄타토큰</t>
    <phoneticPr fontId="1" type="noConversion"/>
  </si>
  <si>
    <t>KRW-EDR</t>
    <phoneticPr fontId="1" type="noConversion"/>
  </si>
  <si>
    <t>엔도르</t>
    <phoneticPr fontId="1" type="noConversion"/>
  </si>
  <si>
    <t>KRW-QKC</t>
    <phoneticPr fontId="1" type="noConversion"/>
  </si>
  <si>
    <t>쿼크체인</t>
    <phoneticPr fontId="1" type="noConversion"/>
  </si>
  <si>
    <t>KRW-BTT</t>
    <phoneticPr fontId="1" type="noConversion"/>
  </si>
  <si>
    <t>비트토렌트</t>
    <phoneticPr fontId="1" type="noConversion"/>
  </si>
  <si>
    <t>KRW-MOC</t>
    <phoneticPr fontId="1" type="noConversion"/>
  </si>
  <si>
    <t>모스코인</t>
    <phoneticPr fontId="1" type="noConversion"/>
  </si>
  <si>
    <t>KRW-ENJ</t>
    <phoneticPr fontId="1" type="noConversion"/>
  </si>
  <si>
    <t>엔진코인</t>
    <phoneticPr fontId="1" type="noConversion"/>
  </si>
  <si>
    <t>KRW-ANKR</t>
    <phoneticPr fontId="1" type="noConversion"/>
  </si>
  <si>
    <t>앵커</t>
    <phoneticPr fontId="1" type="noConversion"/>
  </si>
  <si>
    <t>KRW-TT</t>
    <phoneticPr fontId="1" type="noConversion"/>
  </si>
  <si>
    <t>썬더토큰</t>
    <phoneticPr fontId="1" type="noConversion"/>
  </si>
  <si>
    <t>KRW-MBL</t>
    <phoneticPr fontId="1" type="noConversion"/>
  </si>
  <si>
    <t>무비블록</t>
    <phoneticPr fontId="1" type="noConversion"/>
  </si>
  <si>
    <t>KRW-WAXP</t>
    <phoneticPr fontId="1" type="noConversion"/>
  </si>
  <si>
    <t>왁스</t>
    <phoneticPr fontId="1" type="noConversion"/>
  </si>
  <si>
    <t>KRW-MED</t>
    <phoneticPr fontId="1" type="noConversion"/>
  </si>
  <si>
    <t>메디블록</t>
    <phoneticPr fontId="1" type="noConversion"/>
  </si>
  <si>
    <t>KRW-MLK</t>
    <phoneticPr fontId="1" type="noConversion"/>
  </si>
  <si>
    <t>밀크</t>
    <phoneticPr fontId="1" type="noConversion"/>
  </si>
  <si>
    <t>KRW-ORBS</t>
    <phoneticPr fontId="1" type="noConversion"/>
  </si>
  <si>
    <t>오브스</t>
    <phoneticPr fontId="1" type="noConversion"/>
  </si>
  <si>
    <t>KRW-VET</t>
    <phoneticPr fontId="1" type="noConversion"/>
  </si>
  <si>
    <t>비체인</t>
    <phoneticPr fontId="1" type="noConversion"/>
  </si>
  <si>
    <t>KRW-CHZ</t>
    <phoneticPr fontId="1" type="noConversion"/>
  </si>
  <si>
    <t>칠리즈</t>
    <phoneticPr fontId="1" type="noConversion"/>
  </si>
  <si>
    <t>KRW-STMX</t>
    <phoneticPr fontId="1" type="noConversion"/>
  </si>
  <si>
    <t>스톰엑스</t>
    <phoneticPr fontId="1" type="noConversion"/>
  </si>
  <si>
    <t>KRW-DKA</t>
    <phoneticPr fontId="1" type="noConversion"/>
  </si>
  <si>
    <t>디카르고</t>
    <phoneticPr fontId="1" type="noConversion"/>
  </si>
  <si>
    <t>KRW-HIVE</t>
    <phoneticPr fontId="1" type="noConversion"/>
  </si>
  <si>
    <t>하이브</t>
    <phoneticPr fontId="1" type="noConversion"/>
  </si>
  <si>
    <t>KRW-AHT</t>
    <phoneticPr fontId="1" type="noConversion"/>
  </si>
  <si>
    <t>아하토큰</t>
    <phoneticPr fontId="1" type="noConversion"/>
  </si>
  <si>
    <t>KRW-LINK</t>
    <phoneticPr fontId="1" type="noConversion"/>
  </si>
  <si>
    <t>체인링크</t>
    <phoneticPr fontId="1" type="noConversion"/>
  </si>
  <si>
    <t>KRW-XTZ</t>
    <phoneticPr fontId="1" type="noConversion"/>
  </si>
  <si>
    <t>테조스</t>
    <phoneticPr fontId="1" type="noConversion"/>
  </si>
  <si>
    <t>KRW-BORA</t>
    <phoneticPr fontId="1" type="noConversion"/>
  </si>
  <si>
    <t>보라</t>
    <phoneticPr fontId="1" type="noConversion"/>
  </si>
  <si>
    <t>KRW-JST</t>
    <phoneticPr fontId="1" type="noConversion"/>
  </si>
  <si>
    <t>저스트</t>
    <phoneticPr fontId="1" type="noConversion"/>
  </si>
  <si>
    <t>KRW-CRO</t>
    <phoneticPr fontId="1" type="noConversion"/>
  </si>
  <si>
    <t>크립토닷컴체인</t>
    <phoneticPr fontId="1" type="noConversion"/>
  </si>
  <si>
    <t>KRW-HUNT</t>
    <phoneticPr fontId="1" type="noConversion"/>
  </si>
  <si>
    <t>헌트</t>
    <phoneticPr fontId="1" type="noConversion"/>
  </si>
  <si>
    <t>KRW-MARO</t>
    <phoneticPr fontId="1" type="noConversion"/>
  </si>
  <si>
    <t>마로</t>
    <phoneticPr fontId="1" type="noConversion"/>
  </si>
  <si>
    <t>KRW-PLA</t>
    <phoneticPr fontId="1" type="noConversion"/>
  </si>
  <si>
    <t>플레이댑</t>
    <phoneticPr fontId="1" type="noConversion"/>
  </si>
  <si>
    <t>KRW-DOT</t>
    <phoneticPr fontId="1" type="noConversion"/>
  </si>
  <si>
    <t>폴카닷</t>
    <phoneticPr fontId="1" type="noConversion"/>
  </si>
  <si>
    <t>KRW-SRM</t>
    <phoneticPr fontId="1" type="noConversion"/>
  </si>
  <si>
    <t>세럼</t>
    <phoneticPr fontId="1" type="noConversion"/>
  </si>
  <si>
    <t>KRW-PCI</t>
    <phoneticPr fontId="1" type="noConversion"/>
  </si>
  <si>
    <t>페이코인</t>
    <phoneticPr fontId="1" type="noConversion"/>
  </si>
  <si>
    <t>KRW-STRAX</t>
    <phoneticPr fontId="1" type="noConversion"/>
  </si>
  <si>
    <t>스트라티스</t>
    <phoneticPr fontId="1" type="noConversion"/>
  </si>
  <si>
    <t>KRW-BCHA</t>
    <phoneticPr fontId="1" type="noConversion"/>
  </si>
  <si>
    <t>비트코인캐시에이비씨</t>
    <phoneticPr fontId="1" type="noConversion"/>
  </si>
  <si>
    <t>KRW-QTCON</t>
    <phoneticPr fontId="1" type="noConversion"/>
  </si>
  <si>
    <t>퀴즈톡</t>
    <phoneticPr fontId="1" type="noConversion"/>
  </si>
  <si>
    <t>KRW-SSX</t>
    <phoneticPr fontId="1" type="noConversion"/>
  </si>
  <si>
    <t>썸씽</t>
    <phoneticPr fontId="1" type="noConversion"/>
  </si>
  <si>
    <t>KRW-FCT2</t>
    <phoneticPr fontId="1" type="noConversion"/>
  </si>
  <si>
    <t>피르마체인</t>
    <phoneticPr fontId="1" type="noConversion"/>
  </si>
  <si>
    <t>KRW-LBC</t>
    <phoneticPr fontId="1" type="noConversion"/>
  </si>
  <si>
    <t>엘비알와이크레딧</t>
    <phoneticPr fontId="1" type="noConversion"/>
  </si>
  <si>
    <t>KRW-CBK</t>
    <phoneticPr fontId="1" type="noConversion"/>
  </si>
  <si>
    <t>코박토큰</t>
    <phoneticPr fontId="1" type="noConversion"/>
  </si>
  <si>
    <t>KRW-HUM</t>
    <phoneticPr fontId="1" type="noConversion"/>
  </si>
  <si>
    <t>휴먼스케이프</t>
    <phoneticPr fontId="1" type="noConversion"/>
  </si>
  <si>
    <t>KRW-PUNDIX</t>
    <phoneticPr fontId="1" type="noConversion"/>
  </si>
  <si>
    <t>펀디엑스</t>
    <phoneticPr fontId="1" type="noConversion"/>
  </si>
  <si>
    <t>KRW-AXS</t>
    <phoneticPr fontId="1" type="noConversion"/>
  </si>
  <si>
    <t>엑시인피니티</t>
    <phoneticPr fontId="1" type="noConversion"/>
  </si>
  <si>
    <t>오후 14:20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</si>
</sst>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16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81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30"/>
      <c r="R16" s="231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8"/>
      <c r="R17" s="22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8"/>
      <c r="R18" s="22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8"/>
      <c r="R19" s="22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8"/>
      <c r="R20" s="22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8"/>
      <c r="R21" s="22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8"/>
      <c r="R22" s="22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1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2"/>
      <c r="R33" s="203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00"/>
      <c r="R34" s="20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0"/>
      <c r="R35" s="20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1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2"/>
      <c r="R50" s="20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1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2"/>
      <c r="R67" s="20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0"/>
      <c r="R68" s="20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0"/>
      <c r="R69" s="20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0"/>
      <c r="R70" s="20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1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2"/>
      <c r="R84" s="20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0"/>
      <c r="R86" s="20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1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2"/>
      <c r="R101" s="203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00"/>
      <c r="R102" s="201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0"/>
      <c r="R103" s="201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00"/>
      <c r="R104" s="201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00"/>
      <c r="R105" s="201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00"/>
      <c r="R106" s="201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00"/>
      <c r="R107" s="201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00"/>
      <c r="R108" s="201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00"/>
      <c r="R109" s="201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02"/>
      <c r="R110" s="203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163" priority="89">
      <formula>$E$27&gt;0</formula>
    </cfRule>
    <cfRule type="expression" dxfId="2162" priority="90">
      <formula>$E$27&lt;0</formula>
    </cfRule>
  </conditionalFormatting>
  <conditionalFormatting sqref="G15:I16 H27:I27">
    <cfRule type="expression" dxfId="2161" priority="87">
      <formula>$H$27&gt;0</formula>
    </cfRule>
    <cfRule type="expression" dxfId="2160" priority="88">
      <formula>$H$27&lt;0</formula>
    </cfRule>
  </conditionalFormatting>
  <conditionalFormatting sqref="J15:L16 K27:L27">
    <cfRule type="expression" dxfId="2159" priority="85">
      <formula>$K$27&gt;0</formula>
    </cfRule>
    <cfRule type="expression" dxfId="2158" priority="86">
      <formula>$K$27&lt;0</formula>
    </cfRule>
  </conditionalFormatting>
  <conditionalFormatting sqref="M15:O16 N27:O27">
    <cfRule type="expression" dxfId="2157" priority="83">
      <formula>$N$27&gt;0</formula>
    </cfRule>
    <cfRule type="expression" dxfId="2156" priority="84">
      <formula>$N$27&lt;0</formula>
    </cfRule>
  </conditionalFormatting>
  <conditionalFormatting sqref="A17:O26 A34:O43">
    <cfRule type="expression" dxfId="2155" priority="91">
      <formula>AND($N17 &gt; 0, ISNUMBER($N17))</formula>
    </cfRule>
    <cfRule type="expression" dxfId="2154" priority="92">
      <formula>AND($N17 &lt; 0, ISNUMBER($N17))</formula>
    </cfRule>
    <cfRule type="expression" dxfId="2153" priority="93">
      <formula>AND($K17 &gt; 0, ISNUMBER($K17))</formula>
    </cfRule>
    <cfRule type="expression" dxfId="2152" priority="94">
      <formula>AND($K17 &lt; 0, ISNUMBER($K17))</formula>
    </cfRule>
    <cfRule type="expression" dxfId="2151" priority="95">
      <formula>AND($H17 &gt; 0, ISNUMBER($H17))</formula>
    </cfRule>
    <cfRule type="expression" dxfId="2150" priority="96">
      <formula>AND($H17 &lt; 0, ISNUMBER($H17))</formula>
    </cfRule>
    <cfRule type="expression" dxfId="2149" priority="97">
      <formula>AND($E17 &gt; 0, ISNUMBER($E17))</formula>
    </cfRule>
    <cfRule type="expression" dxfId="2148" priority="98">
      <formula>AND($E17 &lt; 0, ISNUMBER($E17))</formula>
    </cfRule>
  </conditionalFormatting>
  <conditionalFormatting sqref="D32:F33 E44:F44">
    <cfRule type="expression" dxfId="2147" priority="81">
      <formula>$E$44&gt;0</formula>
    </cfRule>
    <cfRule type="expression" dxfId="2146" priority="82">
      <formula>$E$44&lt;0</formula>
    </cfRule>
  </conditionalFormatting>
  <conditionalFormatting sqref="G32:I33 H44:I44">
    <cfRule type="expression" dxfId="2145" priority="79">
      <formula>$H$44&gt;0</formula>
    </cfRule>
    <cfRule type="expression" dxfId="2144" priority="80">
      <formula>$H$44&lt;0</formula>
    </cfRule>
  </conditionalFormatting>
  <conditionalFormatting sqref="J32:L33 K44:L44">
    <cfRule type="expression" dxfId="2143" priority="77">
      <formula>$K$44&gt;0</formula>
    </cfRule>
    <cfRule type="expression" dxfId="2142" priority="78">
      <formula>$K$44&lt;0</formula>
    </cfRule>
  </conditionalFormatting>
  <conditionalFormatting sqref="M32:O33 N44:O44">
    <cfRule type="expression" dxfId="2141" priority="75">
      <formula>$N$44&gt;0</formula>
    </cfRule>
    <cfRule type="expression" dxfId="2140" priority="76">
      <formula>$N$44&lt;0</formula>
    </cfRule>
  </conditionalFormatting>
  <conditionalFormatting sqref="A51:O60">
    <cfRule type="expression" dxfId="2139" priority="67">
      <formula>AND($N51 &gt; 0, ISNUMBER($N51))</formula>
    </cfRule>
    <cfRule type="expression" dxfId="2138" priority="68">
      <formula>AND($N51 &lt; 0, ISNUMBER($N51))</formula>
    </cfRule>
    <cfRule type="expression" dxfId="2137" priority="69">
      <formula>AND($K51 &gt; 0, ISNUMBER($K51))</formula>
    </cfRule>
    <cfRule type="expression" dxfId="2136" priority="70">
      <formula>AND($K51 &lt; 0, ISNUMBER($K51))</formula>
    </cfRule>
    <cfRule type="expression" dxfId="2135" priority="71">
      <formula>AND($H51 &gt; 0, ISNUMBER($H51))</formula>
    </cfRule>
    <cfRule type="expression" dxfId="2134" priority="72">
      <formula>AND($H51 &lt; 0, ISNUMBER($H51))</formula>
    </cfRule>
    <cfRule type="expression" dxfId="2133" priority="73">
      <formula>AND($E51 &gt; 0, ISNUMBER($E51))</formula>
    </cfRule>
    <cfRule type="expression" dxfId="2132" priority="74">
      <formula>AND($E51 &lt; 0, ISNUMBER($E51))</formula>
    </cfRule>
  </conditionalFormatting>
  <conditionalFormatting sqref="D49:F50 E61:F61">
    <cfRule type="expression" dxfId="2131" priority="65">
      <formula>$E$61&gt;0</formula>
    </cfRule>
    <cfRule type="expression" dxfId="2130" priority="66">
      <formula>$E$61&lt;0</formula>
    </cfRule>
  </conditionalFormatting>
  <conditionalFormatting sqref="G49:I50 H61:I61">
    <cfRule type="expression" dxfId="2129" priority="63">
      <formula>$H$61&gt;0</formula>
    </cfRule>
    <cfRule type="expression" dxfId="2128" priority="64">
      <formula>$H$61&lt;0</formula>
    </cfRule>
  </conditionalFormatting>
  <conditionalFormatting sqref="J49:L50 K61:L61">
    <cfRule type="expression" dxfId="2127" priority="61">
      <formula>$K$61&gt;0</formula>
    </cfRule>
    <cfRule type="expression" dxfId="2126" priority="62">
      <formula>$K$61&lt;0</formula>
    </cfRule>
  </conditionalFormatting>
  <conditionalFormatting sqref="M49:O50 N61:O61">
    <cfRule type="expression" dxfId="2125" priority="59">
      <formula>$N$61&gt;0</formula>
    </cfRule>
    <cfRule type="expression" dxfId="2124" priority="60">
      <formula>$N$61&lt;0</formula>
    </cfRule>
  </conditionalFormatting>
  <conditionalFormatting sqref="A68:O77">
    <cfRule type="expression" dxfId="2123" priority="51">
      <formula>AND($N68 &gt; 0, ISNUMBER($N68))</formula>
    </cfRule>
    <cfRule type="expression" dxfId="2122" priority="52">
      <formula>AND($N68 &lt; 0, ISNUMBER($N68))</formula>
    </cfRule>
    <cfRule type="expression" dxfId="2121" priority="53">
      <formula>AND($K68 &gt; 0, ISNUMBER($K68))</formula>
    </cfRule>
    <cfRule type="expression" dxfId="2120" priority="54">
      <formula>AND($K68 &lt; 0, ISNUMBER($K68))</formula>
    </cfRule>
    <cfRule type="expression" dxfId="2119" priority="55">
      <formula>AND($H68 &gt; 0, ISNUMBER($H68))</formula>
    </cfRule>
    <cfRule type="expression" dxfId="2118" priority="56">
      <formula>AND($H68 &lt; 0, ISNUMBER($H68))</formula>
    </cfRule>
    <cfRule type="expression" dxfId="2117" priority="57">
      <formula>AND($E68 &gt; 0, ISNUMBER($E68))</formula>
    </cfRule>
    <cfRule type="expression" dxfId="2116" priority="58">
      <formula>AND($E68 &lt; 0, ISNUMBER($E68))</formula>
    </cfRule>
  </conditionalFormatting>
  <conditionalFormatting sqref="D66:F67 E78:F78">
    <cfRule type="expression" dxfId="2115" priority="49">
      <formula>$E$78&gt;0</formula>
    </cfRule>
    <cfRule type="expression" dxfId="2114" priority="50">
      <formula>$E$78&lt;0</formula>
    </cfRule>
  </conditionalFormatting>
  <conditionalFormatting sqref="G66:I67 H78:I78">
    <cfRule type="expression" dxfId="2113" priority="47">
      <formula>$H$78&gt;0</formula>
    </cfRule>
    <cfRule type="expression" dxfId="2112" priority="48">
      <formula>$H$78&lt;0</formula>
    </cfRule>
  </conditionalFormatting>
  <conditionalFormatting sqref="J66:L67 K78:L78">
    <cfRule type="expression" dxfId="2111" priority="45">
      <formula>$K$78&gt;0</formula>
    </cfRule>
    <cfRule type="expression" dxfId="2110" priority="46">
      <formula>$K$78&lt;0</formula>
    </cfRule>
  </conditionalFormatting>
  <conditionalFormatting sqref="M66:O67 N78:O78">
    <cfRule type="expression" dxfId="2109" priority="43">
      <formula>$N$78&gt;0</formula>
    </cfRule>
    <cfRule type="expression" dxfId="2108" priority="44">
      <formula>$N$78&lt;0</formula>
    </cfRule>
  </conditionalFormatting>
  <conditionalFormatting sqref="A85:O94">
    <cfRule type="expression" dxfId="2107" priority="35">
      <formula>AND($N85 &gt; 0, ISNUMBER($N85))</formula>
    </cfRule>
    <cfRule type="expression" dxfId="2106" priority="36">
      <formula>AND($N85 &lt; 0, ISNUMBER($N85))</formula>
    </cfRule>
    <cfRule type="expression" dxfId="2105" priority="37">
      <formula>AND($K85 &gt; 0, ISNUMBER($K85))</formula>
    </cfRule>
    <cfRule type="expression" dxfId="2104" priority="38">
      <formula>AND($K85 &lt; 0, ISNUMBER($K85))</formula>
    </cfRule>
    <cfRule type="expression" dxfId="2103" priority="39">
      <formula>AND($H85 &gt; 0, ISNUMBER($H85))</formula>
    </cfRule>
    <cfRule type="expression" dxfId="2102" priority="40">
      <formula>AND($H85 &lt; 0, ISNUMBER($H85))</formula>
    </cfRule>
    <cfRule type="expression" dxfId="2101" priority="41">
      <formula>AND($E85 &gt; 0, ISNUMBER($E85))</formula>
    </cfRule>
    <cfRule type="expression" dxfId="2100" priority="42">
      <formula>AND($E85 &lt; 0, ISNUMBER($E85))</formula>
    </cfRule>
  </conditionalFormatting>
  <conditionalFormatting sqref="D83:F84 E95:F95">
    <cfRule type="expression" dxfId="2099" priority="33">
      <formula>$E$95&gt;0</formula>
    </cfRule>
    <cfRule type="expression" dxfId="2098" priority="34">
      <formula>$E$95&lt;0</formula>
    </cfRule>
  </conditionalFormatting>
  <conditionalFormatting sqref="G83:I84 H95:I95">
    <cfRule type="expression" dxfId="2097" priority="31">
      <formula>$H$95&gt;0</formula>
    </cfRule>
    <cfRule type="expression" dxfId="2096" priority="32">
      <formula>$H$95&lt;0</formula>
    </cfRule>
  </conditionalFormatting>
  <conditionalFormatting sqref="J83:L84 K95:L95">
    <cfRule type="expression" dxfId="2095" priority="29">
      <formula>$K$95&gt;0</formula>
    </cfRule>
    <cfRule type="expression" dxfId="2094" priority="30">
      <formula>$K$95&lt;0</formula>
    </cfRule>
  </conditionalFormatting>
  <conditionalFormatting sqref="M83:O84 N95:O95">
    <cfRule type="expression" dxfId="2093" priority="27">
      <formula>$N$95&gt;0</formula>
    </cfRule>
    <cfRule type="expression" dxfId="2092" priority="28">
      <formula>$N$95&lt;0</formula>
    </cfRule>
  </conditionalFormatting>
  <conditionalFormatting sqref="A102:O111">
    <cfRule type="expression" dxfId="2091" priority="19">
      <formula>AND($N102 &gt; 0, ISNUMBER($N102))</formula>
    </cfRule>
    <cfRule type="expression" dxfId="2090" priority="20">
      <formula>AND($N102 &lt; 0, ISNUMBER($N102))</formula>
    </cfRule>
    <cfRule type="expression" dxfId="2089" priority="21">
      <formula>AND($K102 &gt; 0, ISNUMBER($K102))</formula>
    </cfRule>
    <cfRule type="expression" dxfId="2088" priority="22">
      <formula>AND($K102 &lt; 0, ISNUMBER($K102))</formula>
    </cfRule>
    <cfRule type="expression" dxfId="2087" priority="23">
      <formula>AND($H102 &gt; 0, ISNUMBER($H102))</formula>
    </cfRule>
    <cfRule type="expression" dxfId="2086" priority="24">
      <formula>AND($H102 &lt; 0, ISNUMBER($H102))</formula>
    </cfRule>
    <cfRule type="expression" dxfId="2085" priority="25">
      <formula>AND($E102 &gt; 0, ISNUMBER($E102))</formula>
    </cfRule>
    <cfRule type="expression" dxfId="2084" priority="26">
      <formula>AND($E102 &lt; 0, ISNUMBER($E102))</formula>
    </cfRule>
  </conditionalFormatting>
  <conditionalFormatting sqref="D100:F101 E112:F112">
    <cfRule type="expression" dxfId="2083" priority="17">
      <formula>$E$112&gt;0</formula>
    </cfRule>
    <cfRule type="expression" dxfId="2082" priority="18">
      <formula>$E$112&lt;0</formula>
    </cfRule>
  </conditionalFormatting>
  <conditionalFormatting sqref="G100:I101 H112:I112">
    <cfRule type="expression" dxfId="2081" priority="15">
      <formula>$H$112&gt;0</formula>
    </cfRule>
    <cfRule type="expression" dxfId="2080" priority="16">
      <formula>$H$112&lt;0</formula>
    </cfRule>
  </conditionalFormatting>
  <conditionalFormatting sqref="J100:L101 K112:L112">
    <cfRule type="expression" dxfId="2079" priority="13">
      <formula>$K$112&gt;0</formula>
    </cfRule>
    <cfRule type="expression" dxfId="2078" priority="14">
      <formula>$K$112&lt;0</formula>
    </cfRule>
  </conditionalFormatting>
  <conditionalFormatting sqref="M100:O101 N112:O112">
    <cfRule type="expression" dxfId="2077" priority="11">
      <formula>$N$112&gt;0</formula>
    </cfRule>
    <cfRule type="expression" dxfId="2076" priority="12">
      <formula>$N$112&lt;0</formula>
    </cfRule>
  </conditionalFormatting>
  <conditionalFormatting sqref="G2:I3">
    <cfRule type="expression" dxfId="20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44288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82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18" t="s">
        <v>20</v>
      </c>
      <c r="E15" s="219"/>
      <c r="F15" s="220"/>
      <c r="G15" s="218" t="s">
        <v>15</v>
      </c>
      <c r="H15" s="219"/>
      <c r="I15" s="220"/>
      <c r="J15" s="221" t="s">
        <v>34</v>
      </c>
      <c r="K15" s="221"/>
      <c r="L15" s="221"/>
      <c r="M15" s="218" t="s">
        <v>54</v>
      </c>
      <c r="N15" s="219"/>
      <c r="O15" s="220"/>
      <c r="Q15" s="230"/>
      <c r="R15" s="231"/>
    </row>
    <row r="16" spans="1:18" ht="17.25" customHeight="1" thickBot="1">
      <c r="A16" s="21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30"/>
      <c r="R16" s="231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8"/>
      <c r="R17" s="229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8"/>
      <c r="R18" s="229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8"/>
      <c r="R19" s="229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8"/>
      <c r="R20" s="229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8"/>
      <c r="R21" s="229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8"/>
      <c r="R22" s="22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2"/>
      <c r="R27" s="233"/>
    </row>
    <row r="28" spans="1:18" ht="17.25" customHeight="1"/>
    <row r="29" spans="1:18" ht="17.25" customHeight="1" thickBot="1"/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2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2"/>
      <c r="R33" s="203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0"/>
      <c r="R34" s="201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00"/>
      <c r="R35" s="201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4"/>
      <c r="R44" s="205"/>
    </row>
    <row r="45" spans="1:18" ht="17.25" customHeight="1"/>
    <row r="46" spans="1:18" ht="17.25" customHeight="1" thickBot="1"/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2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2"/>
      <c r="R50" s="203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00"/>
      <c r="R52" s="201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2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2"/>
      <c r="R67" s="20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0"/>
      <c r="R68" s="20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0"/>
      <c r="R69" s="20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0"/>
      <c r="R70" s="20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4"/>
      <c r="R78" s="205"/>
    </row>
    <row r="79" spans="1:18" ht="17.25" customHeight="1"/>
    <row r="80" spans="1:18" ht="17.25" customHeight="1" thickBot="1"/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2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2"/>
      <c r="R84" s="20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0"/>
      <c r="R86" s="20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2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2"/>
      <c r="R101" s="203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0"/>
      <c r="R102" s="201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00"/>
      <c r="R103" s="201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00"/>
      <c r="R104" s="201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00"/>
      <c r="R105" s="201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00"/>
      <c r="R106" s="201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00"/>
      <c r="R107" s="201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00"/>
      <c r="R108" s="201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00"/>
      <c r="R109" s="201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02"/>
      <c r="R110" s="203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065" priority="89">
      <formula>$E$27&gt;0</formula>
    </cfRule>
    <cfRule type="expression" dxfId="2064" priority="90">
      <formula>$E$27&lt;0</formula>
    </cfRule>
  </conditionalFormatting>
  <conditionalFormatting sqref="G15:I16 H27:I27">
    <cfRule type="expression" dxfId="2063" priority="87">
      <formula>$H$27&gt;0</formula>
    </cfRule>
    <cfRule type="expression" dxfId="2062" priority="88">
      <formula>$H$27&lt;0</formula>
    </cfRule>
  </conditionalFormatting>
  <conditionalFormatting sqref="J15:L16 K27:L27">
    <cfRule type="expression" dxfId="2061" priority="85">
      <formula>$K$27&gt;0</formula>
    </cfRule>
    <cfRule type="expression" dxfId="2060" priority="86">
      <formula>$K$27&lt;0</formula>
    </cfRule>
  </conditionalFormatting>
  <conditionalFormatting sqref="M15:O16 N27:O27">
    <cfRule type="expression" dxfId="2059" priority="83">
      <formula>$N$27&gt;0</formula>
    </cfRule>
    <cfRule type="expression" dxfId="2058" priority="84">
      <formula>$N$27&lt;0</formula>
    </cfRule>
  </conditionalFormatting>
  <conditionalFormatting sqref="A17:O26 A34:O43">
    <cfRule type="expression" dxfId="2057" priority="91">
      <formula>AND($N17 &gt; 0, ISNUMBER($N17))</formula>
    </cfRule>
    <cfRule type="expression" dxfId="2056" priority="92">
      <formula>AND($N17 &lt; 0, ISNUMBER($N17))</formula>
    </cfRule>
    <cfRule type="expression" dxfId="2055" priority="93">
      <formula>AND($K17 &gt; 0, ISNUMBER($K17))</formula>
    </cfRule>
    <cfRule type="expression" dxfId="2054" priority="94">
      <formula>AND($K17 &lt; 0, ISNUMBER($K17))</formula>
    </cfRule>
    <cfRule type="expression" dxfId="2053" priority="95">
      <formula>AND($H17 &gt; 0, ISNUMBER($H17))</formula>
    </cfRule>
    <cfRule type="expression" dxfId="2052" priority="96">
      <formula>AND($H17 &lt; 0, ISNUMBER($H17))</formula>
    </cfRule>
    <cfRule type="expression" dxfId="2051" priority="97">
      <formula>AND($E17 &gt; 0, ISNUMBER($E17))</formula>
    </cfRule>
    <cfRule type="expression" dxfId="2050" priority="98">
      <formula>AND($E17 &lt; 0, ISNUMBER($E17))</formula>
    </cfRule>
  </conditionalFormatting>
  <conditionalFormatting sqref="D32:F33 E44:F44">
    <cfRule type="expression" dxfId="2049" priority="81">
      <formula>$E$44&gt;0</formula>
    </cfRule>
    <cfRule type="expression" dxfId="2048" priority="82">
      <formula>$E$44&lt;0</formula>
    </cfRule>
  </conditionalFormatting>
  <conditionalFormatting sqref="G32:I33 H44:I44">
    <cfRule type="expression" dxfId="2047" priority="79">
      <formula>$H$44&gt;0</formula>
    </cfRule>
    <cfRule type="expression" dxfId="2046" priority="80">
      <formula>$H$44&lt;0</formula>
    </cfRule>
  </conditionalFormatting>
  <conditionalFormatting sqref="J32:L33 K44:L44">
    <cfRule type="expression" dxfId="2045" priority="77">
      <formula>$K$44&gt;0</formula>
    </cfRule>
    <cfRule type="expression" dxfId="2044" priority="78">
      <formula>$K$44&lt;0</formula>
    </cfRule>
  </conditionalFormatting>
  <conditionalFormatting sqref="M32:O33 N44:O44">
    <cfRule type="expression" dxfId="2043" priority="75">
      <formula>$N$44&gt;0</formula>
    </cfRule>
    <cfRule type="expression" dxfId="2042" priority="76">
      <formula>$N$44&lt;0</formula>
    </cfRule>
  </conditionalFormatting>
  <conditionalFormatting sqref="A51:O60">
    <cfRule type="expression" dxfId="2041" priority="67">
      <formula>AND($N51 &gt; 0, ISNUMBER($N51))</formula>
    </cfRule>
    <cfRule type="expression" dxfId="2040" priority="68">
      <formula>AND($N51 &lt; 0, ISNUMBER($N51))</formula>
    </cfRule>
    <cfRule type="expression" dxfId="2039" priority="69">
      <formula>AND($K51 &gt; 0, ISNUMBER($K51))</formula>
    </cfRule>
    <cfRule type="expression" dxfId="2038" priority="70">
      <formula>AND($K51 &lt; 0, ISNUMBER($K51))</formula>
    </cfRule>
    <cfRule type="expression" dxfId="2037" priority="71">
      <formula>AND($H51 &gt; 0, ISNUMBER($H51))</formula>
    </cfRule>
    <cfRule type="expression" dxfId="2036" priority="72">
      <formula>AND($H51 &lt; 0, ISNUMBER($H51))</formula>
    </cfRule>
    <cfRule type="expression" dxfId="2035" priority="73">
      <formula>AND($E51 &gt; 0, ISNUMBER($E51))</formula>
    </cfRule>
    <cfRule type="expression" dxfId="2034" priority="74">
      <formula>AND($E51 &lt; 0, ISNUMBER($E51))</formula>
    </cfRule>
  </conditionalFormatting>
  <conditionalFormatting sqref="D49:F50 E61:F61">
    <cfRule type="expression" dxfId="2033" priority="65">
      <formula>$E$61&gt;0</formula>
    </cfRule>
    <cfRule type="expression" dxfId="2032" priority="66">
      <formula>$E$61&lt;0</formula>
    </cfRule>
  </conditionalFormatting>
  <conditionalFormatting sqref="G49:I50 H61:I61">
    <cfRule type="expression" dxfId="2031" priority="63">
      <formula>$H$61&gt;0</formula>
    </cfRule>
    <cfRule type="expression" dxfId="2030" priority="64">
      <formula>$H$61&lt;0</formula>
    </cfRule>
  </conditionalFormatting>
  <conditionalFormatting sqref="J49:L50 K61:L61">
    <cfRule type="expression" dxfId="2029" priority="61">
      <formula>$K$61&gt;0</formula>
    </cfRule>
    <cfRule type="expression" dxfId="2028" priority="62">
      <formula>$K$61&lt;0</formula>
    </cfRule>
  </conditionalFormatting>
  <conditionalFormatting sqref="M49:O50 N61:O61">
    <cfRule type="expression" dxfId="2027" priority="59">
      <formula>$N$61&gt;0</formula>
    </cfRule>
    <cfRule type="expression" dxfId="2026" priority="60">
      <formula>$N$61&lt;0</formula>
    </cfRule>
  </conditionalFormatting>
  <conditionalFormatting sqref="A68:O77">
    <cfRule type="expression" dxfId="2025" priority="51">
      <formula>AND($N68 &gt; 0, ISNUMBER($N68))</formula>
    </cfRule>
    <cfRule type="expression" dxfId="2024" priority="52">
      <formula>AND($N68 &lt; 0, ISNUMBER($N68))</formula>
    </cfRule>
    <cfRule type="expression" dxfId="2023" priority="53">
      <formula>AND($K68 &gt; 0, ISNUMBER($K68))</formula>
    </cfRule>
    <cfRule type="expression" dxfId="2022" priority="54">
      <formula>AND($K68 &lt; 0, ISNUMBER($K68))</formula>
    </cfRule>
    <cfRule type="expression" dxfId="2021" priority="55">
      <formula>AND($H68 &gt; 0, ISNUMBER($H68))</formula>
    </cfRule>
    <cfRule type="expression" dxfId="2020" priority="56">
      <formula>AND($H68 &lt; 0, ISNUMBER($H68))</formula>
    </cfRule>
    <cfRule type="expression" dxfId="2019" priority="57">
      <formula>AND($E68 &gt; 0, ISNUMBER($E68))</formula>
    </cfRule>
    <cfRule type="expression" dxfId="2018" priority="58">
      <formula>AND($E68 &lt; 0, ISNUMBER($E68))</formula>
    </cfRule>
  </conditionalFormatting>
  <conditionalFormatting sqref="D66:F67 E78:F78">
    <cfRule type="expression" dxfId="2017" priority="49">
      <formula>$E$78&gt;0</formula>
    </cfRule>
    <cfRule type="expression" dxfId="2016" priority="50">
      <formula>$E$78&lt;0</formula>
    </cfRule>
  </conditionalFormatting>
  <conditionalFormatting sqref="G66:I67 H78:I78">
    <cfRule type="expression" dxfId="2015" priority="47">
      <formula>$H$78&gt;0</formula>
    </cfRule>
    <cfRule type="expression" dxfId="2014" priority="48">
      <formula>$H$78&lt;0</formula>
    </cfRule>
  </conditionalFormatting>
  <conditionalFormatting sqref="J66:L67 K78:L78">
    <cfRule type="expression" dxfId="2013" priority="45">
      <formula>$K$78&gt;0</formula>
    </cfRule>
    <cfRule type="expression" dxfId="2012" priority="46">
      <formula>$K$78&lt;0</formula>
    </cfRule>
  </conditionalFormatting>
  <conditionalFormatting sqref="M66:O67 N78:O78">
    <cfRule type="expression" dxfId="2011" priority="43">
      <formula>$N$78&gt;0</formula>
    </cfRule>
    <cfRule type="expression" dxfId="2010" priority="44">
      <formula>$N$78&lt;0</formula>
    </cfRule>
  </conditionalFormatting>
  <conditionalFormatting sqref="A85:O94">
    <cfRule type="expression" dxfId="2009" priority="35">
      <formula>AND($N85 &gt; 0, ISNUMBER($N85))</formula>
    </cfRule>
    <cfRule type="expression" dxfId="2008" priority="36">
      <formula>AND($N85 &lt; 0, ISNUMBER($N85))</formula>
    </cfRule>
    <cfRule type="expression" dxfId="2007" priority="37">
      <formula>AND($K85 &gt; 0, ISNUMBER($K85))</formula>
    </cfRule>
    <cfRule type="expression" dxfId="2006" priority="38">
      <formula>AND($K85 &lt; 0, ISNUMBER($K85))</formula>
    </cfRule>
    <cfRule type="expression" dxfId="2005" priority="39">
      <formula>AND($H85 &gt; 0, ISNUMBER($H85))</formula>
    </cfRule>
    <cfRule type="expression" dxfId="2004" priority="40">
      <formula>AND($H85 &lt; 0, ISNUMBER($H85))</formula>
    </cfRule>
    <cfRule type="expression" dxfId="2003" priority="41">
      <formula>AND($E85 &gt; 0, ISNUMBER($E85))</formula>
    </cfRule>
    <cfRule type="expression" dxfId="2002" priority="42">
      <formula>AND($E85 &lt; 0, ISNUMBER($E85))</formula>
    </cfRule>
  </conditionalFormatting>
  <conditionalFormatting sqref="D83:F84 E95:F95">
    <cfRule type="expression" dxfId="2001" priority="33">
      <formula>$E$95&gt;0</formula>
    </cfRule>
    <cfRule type="expression" dxfId="2000" priority="34">
      <formula>$E$95&lt;0</formula>
    </cfRule>
  </conditionalFormatting>
  <conditionalFormatting sqref="G83:I84 H95:I95">
    <cfRule type="expression" dxfId="1999" priority="31">
      <formula>$H$95&gt;0</formula>
    </cfRule>
    <cfRule type="expression" dxfId="1998" priority="32">
      <formula>$H$95&lt;0</formula>
    </cfRule>
  </conditionalFormatting>
  <conditionalFormatting sqref="J83:L84 K95:L95">
    <cfRule type="expression" dxfId="1997" priority="29">
      <formula>$K$95&gt;0</formula>
    </cfRule>
    <cfRule type="expression" dxfId="1996" priority="30">
      <formula>$K$95&lt;0</formula>
    </cfRule>
  </conditionalFormatting>
  <conditionalFormatting sqref="M83:O84 N95:O95">
    <cfRule type="expression" dxfId="1995" priority="27">
      <formula>$N$95&gt;0</formula>
    </cfRule>
    <cfRule type="expression" dxfId="1994" priority="28">
      <formula>$N$95&lt;0</formula>
    </cfRule>
  </conditionalFormatting>
  <conditionalFormatting sqref="A102:O111">
    <cfRule type="expression" dxfId="1993" priority="19">
      <formula>AND($N102 &gt; 0, ISNUMBER($N102))</formula>
    </cfRule>
    <cfRule type="expression" dxfId="1992" priority="20">
      <formula>AND($N102 &lt; 0, ISNUMBER($N102))</formula>
    </cfRule>
    <cfRule type="expression" dxfId="1991" priority="21">
      <formula>AND($K102 &gt; 0, ISNUMBER($K102))</formula>
    </cfRule>
    <cfRule type="expression" dxfId="1990" priority="22">
      <formula>AND($K102 &lt; 0, ISNUMBER($K102))</formula>
    </cfRule>
    <cfRule type="expression" dxfId="1989" priority="23">
      <formula>AND($H102 &gt; 0, ISNUMBER($H102))</formula>
    </cfRule>
    <cfRule type="expression" dxfId="1988" priority="24">
      <formula>AND($H102 &lt; 0, ISNUMBER($H102))</formula>
    </cfRule>
    <cfRule type="expression" dxfId="1987" priority="25">
      <formula>AND($E102 &gt; 0, ISNUMBER($E102))</formula>
    </cfRule>
    <cfRule type="expression" dxfId="1986" priority="26">
      <formula>AND($E102 &lt; 0, ISNUMBER($E102))</formula>
    </cfRule>
  </conditionalFormatting>
  <conditionalFormatting sqref="D100:F101 E112:F112">
    <cfRule type="expression" dxfId="1985" priority="17">
      <formula>$E$112&gt;0</formula>
    </cfRule>
    <cfRule type="expression" dxfId="1984" priority="18">
      <formula>$E$112&lt;0</formula>
    </cfRule>
  </conditionalFormatting>
  <conditionalFormatting sqref="G100:I101 H112:I112">
    <cfRule type="expression" dxfId="1983" priority="15">
      <formula>$H$112&gt;0</formula>
    </cfRule>
    <cfRule type="expression" dxfId="1982" priority="16">
      <formula>$H$112&lt;0</formula>
    </cfRule>
  </conditionalFormatting>
  <conditionalFormatting sqref="J100:L101 K112:L112">
    <cfRule type="expression" dxfId="1981" priority="13">
      <formula>$K$112&gt;0</formula>
    </cfRule>
    <cfRule type="expression" dxfId="1980" priority="14">
      <formula>$K$112&lt;0</formula>
    </cfRule>
  </conditionalFormatting>
  <conditionalFormatting sqref="M100:O101 N112:O112">
    <cfRule type="expression" dxfId="1979" priority="11">
      <formula>$N$112&gt;0</formula>
    </cfRule>
    <cfRule type="expression" dxfId="1978" priority="12">
      <formula>$N$112&lt;0</formula>
    </cfRule>
  </conditionalFormatting>
  <conditionalFormatting sqref="G2:I3">
    <cfRule type="expression" dxfId="19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44289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82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18" t="s">
        <v>20</v>
      </c>
      <c r="E15" s="219"/>
      <c r="F15" s="220"/>
      <c r="G15" s="218" t="s">
        <v>15</v>
      </c>
      <c r="H15" s="219"/>
      <c r="I15" s="220"/>
      <c r="J15" s="221" t="s">
        <v>34</v>
      </c>
      <c r="K15" s="221"/>
      <c r="L15" s="221"/>
      <c r="M15" s="218" t="s">
        <v>54</v>
      </c>
      <c r="N15" s="219"/>
      <c r="O15" s="220"/>
      <c r="Q15" s="230"/>
      <c r="R15" s="231"/>
    </row>
    <row r="16" spans="1:18" ht="17.25" customHeight="1" thickBot="1">
      <c r="A16" s="21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30"/>
      <c r="R16" s="231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28"/>
      <c r="R17" s="229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28"/>
      <c r="R18" s="229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28"/>
      <c r="R19" s="229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28"/>
      <c r="R20" s="229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8"/>
      <c r="R21" s="229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28"/>
      <c r="R22" s="229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2"/>
      <c r="R27" s="233"/>
    </row>
    <row r="28" spans="1:18" ht="17.25" customHeight="1"/>
    <row r="29" spans="1:18" ht="17.25" customHeight="1" thickBot="1"/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2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2"/>
      <c r="R33" s="203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0"/>
      <c r="R34" s="201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00"/>
      <c r="R35" s="201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4"/>
      <c r="R44" s="205"/>
    </row>
    <row r="45" spans="1:18" ht="17.25" customHeight="1"/>
    <row r="46" spans="1:18" ht="17.25" customHeight="1" thickBot="1"/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2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2"/>
      <c r="R50" s="203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00"/>
      <c r="R52" s="201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2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2"/>
      <c r="R67" s="203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0"/>
      <c r="R68" s="201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0"/>
      <c r="R69" s="201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0"/>
      <c r="R70" s="201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4"/>
      <c r="R78" s="205"/>
    </row>
    <row r="79" spans="1:18" ht="17.25" customHeight="1"/>
    <row r="80" spans="1:18" ht="17.25" customHeight="1" thickBot="1"/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2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2"/>
      <c r="R84" s="203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0"/>
      <c r="R86" s="201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2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2"/>
      <c r="R101" s="203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0"/>
      <c r="R102" s="201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00"/>
      <c r="R103" s="201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00"/>
      <c r="R104" s="201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00"/>
      <c r="R105" s="201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00"/>
      <c r="R106" s="201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00"/>
      <c r="R107" s="201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00"/>
      <c r="R108" s="201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00"/>
      <c r="R109" s="201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02"/>
      <c r="R110" s="203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4"/>
      <c r="R112" s="205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44290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82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18" t="s">
        <v>20</v>
      </c>
      <c r="E15" s="219"/>
      <c r="F15" s="220"/>
      <c r="G15" s="218" t="s">
        <v>15</v>
      </c>
      <c r="H15" s="219"/>
      <c r="I15" s="220"/>
      <c r="J15" s="221" t="s">
        <v>34</v>
      </c>
      <c r="K15" s="221"/>
      <c r="L15" s="221"/>
      <c r="M15" s="218" t="s">
        <v>54</v>
      </c>
      <c r="N15" s="219"/>
      <c r="O15" s="220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30"/>
      <c r="R16" s="231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28"/>
      <c r="R17" s="229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28"/>
      <c r="R18" s="229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28"/>
      <c r="R19" s="229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28"/>
      <c r="R20" s="229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28"/>
      <c r="R21" s="229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28"/>
      <c r="R22" s="229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30"/>
      <c r="R26" s="231"/>
    </row>
    <row r="27" spans="1:18" ht="17.25" customHeight="1" thickBot="1">
      <c r="A27" s="29" t="s">
        <v>32</v>
      </c>
      <c r="B27" s="206">
        <v>100000</v>
      </c>
      <c r="C27" s="207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2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02"/>
      <c r="R33" s="203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00"/>
      <c r="R34" s="20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0"/>
      <c r="R35" s="20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29" t="s">
        <v>32</v>
      </c>
      <c r="B44" s="206">
        <v>100000</v>
      </c>
      <c r="C44" s="207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2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02"/>
      <c r="R50" s="203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29" t="s">
        <v>32</v>
      </c>
      <c r="B61" s="206">
        <v>100000</v>
      </c>
      <c r="C61" s="207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2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02"/>
      <c r="R67" s="203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0"/>
      <c r="R68" s="201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0"/>
      <c r="R69" s="201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0"/>
      <c r="R70" s="20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29" t="s">
        <v>32</v>
      </c>
      <c r="B78" s="206">
        <v>100000</v>
      </c>
      <c r="C78" s="207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2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02"/>
      <c r="R84" s="203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0"/>
      <c r="R86" s="20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29" t="s">
        <v>32</v>
      </c>
      <c r="B95" s="206">
        <v>100000</v>
      </c>
      <c r="C95" s="207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2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02"/>
      <c r="R101" s="203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00"/>
      <c r="R102" s="201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00"/>
      <c r="R103" s="201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00"/>
      <c r="R104" s="201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00"/>
      <c r="R105" s="201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00"/>
      <c r="R106" s="201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00"/>
      <c r="R107" s="201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00"/>
      <c r="R108" s="201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00"/>
      <c r="R109" s="201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02"/>
      <c r="R110" s="203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02"/>
      <c r="R111" s="203"/>
    </row>
    <row r="112" spans="1:18" ht="17.25" customHeight="1" thickBot="1">
      <c r="A112" s="29" t="s">
        <v>32</v>
      </c>
      <c r="B112" s="206">
        <v>100000</v>
      </c>
      <c r="C112" s="207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04"/>
      <c r="R112" s="205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869" priority="93">
      <formula>$E$27&gt;0</formula>
    </cfRule>
    <cfRule type="expression" dxfId="1868" priority="94">
      <formula>$E$27&lt;0</formula>
    </cfRule>
  </conditionalFormatting>
  <conditionalFormatting sqref="G15:I16 H27:I27">
    <cfRule type="expression" dxfId="1867" priority="91">
      <formula>$H$27&gt;0</formula>
    </cfRule>
    <cfRule type="expression" dxfId="1866" priority="92">
      <formula>$H$27&lt;0</formula>
    </cfRule>
  </conditionalFormatting>
  <conditionalFormatting sqref="J15:L16 K27:L27">
    <cfRule type="expression" dxfId="1865" priority="89">
      <formula>$K$27&gt;0</formula>
    </cfRule>
    <cfRule type="expression" dxfId="1864" priority="90">
      <formula>$K$27&lt;0</formula>
    </cfRule>
  </conditionalFormatting>
  <conditionalFormatting sqref="M15:O16 N27:O27">
    <cfRule type="expression" dxfId="1863" priority="87">
      <formula>$N$27&gt;0</formula>
    </cfRule>
    <cfRule type="expression" dxfId="1862" priority="88">
      <formula>$N$27&lt;0</formula>
    </cfRule>
  </conditionalFormatting>
  <conditionalFormatting sqref="A17:O26 A34:O43">
    <cfRule type="expression" dxfId="1861" priority="95">
      <formula>AND($N17 &gt; 0, ISNUMBER($N17))</formula>
    </cfRule>
    <cfRule type="expression" dxfId="1860" priority="96">
      <formula>AND($N17 &lt; 0, ISNUMBER($N17))</formula>
    </cfRule>
    <cfRule type="expression" dxfId="1859" priority="97">
      <formula>AND($K17 &gt; 0, ISNUMBER($K17))</formula>
    </cfRule>
    <cfRule type="expression" dxfId="1858" priority="98">
      <formula>AND($K17 &lt; 0, ISNUMBER($K17))</formula>
    </cfRule>
    <cfRule type="expression" dxfId="1857" priority="99">
      <formula>AND($H17 &gt; 0, ISNUMBER($H17))</formula>
    </cfRule>
    <cfRule type="expression" dxfId="1856" priority="100">
      <formula>AND($H17 &lt; 0, ISNUMBER($H17))</formula>
    </cfRule>
    <cfRule type="expression" dxfId="1855" priority="101">
      <formula>AND($E17 &gt; 0, ISNUMBER($E17))</formula>
    </cfRule>
    <cfRule type="expression" dxfId="1854" priority="102">
      <formula>AND($E17 &lt; 0, ISNUMBER($E17))</formula>
    </cfRule>
  </conditionalFormatting>
  <conditionalFormatting sqref="D32:F33 E44:F44">
    <cfRule type="expression" dxfId="1853" priority="85">
      <formula>$E$44&gt;0</formula>
    </cfRule>
    <cfRule type="expression" dxfId="1852" priority="86">
      <formula>$E$44&lt;0</formula>
    </cfRule>
  </conditionalFormatting>
  <conditionalFormatting sqref="G32:I33 H44:I44">
    <cfRule type="expression" dxfId="1851" priority="83">
      <formula>$H$44&gt;0</formula>
    </cfRule>
    <cfRule type="expression" dxfId="1850" priority="84">
      <formula>$H$44&lt;0</formula>
    </cfRule>
  </conditionalFormatting>
  <conditionalFormatting sqref="J32:L33 K44:L44">
    <cfRule type="expression" dxfId="1849" priority="81">
      <formula>$K$44&gt;0</formula>
    </cfRule>
    <cfRule type="expression" dxfId="1848" priority="82">
      <formula>$K$44&lt;0</formula>
    </cfRule>
  </conditionalFormatting>
  <conditionalFormatting sqref="M32:O33 N44:O44">
    <cfRule type="expression" dxfId="1847" priority="79">
      <formula>$N$44&gt;0</formula>
    </cfRule>
    <cfRule type="expression" dxfId="1846" priority="80">
      <formula>$N$44&lt;0</formula>
    </cfRule>
  </conditionalFormatting>
  <conditionalFormatting sqref="A51:O60">
    <cfRule type="expression" dxfId="1845" priority="71">
      <formula>AND($N51 &gt; 0, ISNUMBER($N51))</formula>
    </cfRule>
    <cfRule type="expression" dxfId="1844" priority="72">
      <formula>AND($N51 &lt; 0, ISNUMBER($N51))</formula>
    </cfRule>
    <cfRule type="expression" dxfId="1843" priority="73">
      <formula>AND($K51 &gt; 0, ISNUMBER($K51))</formula>
    </cfRule>
    <cfRule type="expression" dxfId="1842" priority="74">
      <formula>AND($K51 &lt; 0, ISNUMBER($K51))</formula>
    </cfRule>
    <cfRule type="expression" dxfId="1841" priority="75">
      <formula>AND($H51 &gt; 0, ISNUMBER($H51))</formula>
    </cfRule>
    <cfRule type="expression" dxfId="1840" priority="76">
      <formula>AND($H51 &lt; 0, ISNUMBER($H51))</formula>
    </cfRule>
    <cfRule type="expression" dxfId="1839" priority="77">
      <formula>AND($E51 &gt; 0, ISNUMBER($E51))</formula>
    </cfRule>
    <cfRule type="expression" dxfId="1838" priority="78">
      <formula>AND($E51 &lt; 0, ISNUMBER($E51))</formula>
    </cfRule>
  </conditionalFormatting>
  <conditionalFormatting sqref="D49:F50 E61:F61">
    <cfRule type="expression" dxfId="1837" priority="69">
      <formula>$E$61&gt;0</formula>
    </cfRule>
    <cfRule type="expression" dxfId="1836" priority="70">
      <formula>$E$61&lt;0</formula>
    </cfRule>
  </conditionalFormatting>
  <conditionalFormatting sqref="G49:I50 H61:I61">
    <cfRule type="expression" dxfId="1835" priority="67">
      <formula>$H$61&gt;0</formula>
    </cfRule>
    <cfRule type="expression" dxfId="1834" priority="68">
      <formula>$H$61&lt;0</formula>
    </cfRule>
  </conditionalFormatting>
  <conditionalFormatting sqref="J49:L50 K61:L61">
    <cfRule type="expression" dxfId="1833" priority="65">
      <formula>$K$61&gt;0</formula>
    </cfRule>
    <cfRule type="expression" dxfId="1832" priority="66">
      <formula>$K$61&lt;0</formula>
    </cfRule>
  </conditionalFormatting>
  <conditionalFormatting sqref="M49:O50 N61:O61">
    <cfRule type="expression" dxfId="1831" priority="63">
      <formula>$N$61&gt;0</formula>
    </cfRule>
    <cfRule type="expression" dxfId="1830" priority="64">
      <formula>$N$61&lt;0</formula>
    </cfRule>
  </conditionalFormatting>
  <conditionalFormatting sqref="A68:O77">
    <cfRule type="expression" dxfId="1829" priority="55">
      <formula>AND($N68 &gt; 0, ISNUMBER($N68))</formula>
    </cfRule>
    <cfRule type="expression" dxfId="1828" priority="56">
      <formula>AND($N68 &lt; 0, ISNUMBER($N68))</formula>
    </cfRule>
    <cfRule type="expression" dxfId="1827" priority="57">
      <formula>AND($K68 &gt; 0, ISNUMBER($K68))</formula>
    </cfRule>
    <cfRule type="expression" dxfId="1826" priority="58">
      <formula>AND($K68 &lt; 0, ISNUMBER($K68))</formula>
    </cfRule>
    <cfRule type="expression" dxfId="1825" priority="59">
      <formula>AND($H68 &gt; 0, ISNUMBER($H68))</formula>
    </cfRule>
    <cfRule type="expression" dxfId="1824" priority="60">
      <formula>AND($H68 &lt; 0, ISNUMBER($H68))</formula>
    </cfRule>
    <cfRule type="expression" dxfId="1823" priority="61">
      <formula>AND($E68 &gt; 0, ISNUMBER($E68))</formula>
    </cfRule>
    <cfRule type="expression" dxfId="1822" priority="62">
      <formula>AND($E68 &lt; 0, ISNUMBER($E68))</formula>
    </cfRule>
  </conditionalFormatting>
  <conditionalFormatting sqref="D66:F67 E78:F78">
    <cfRule type="expression" dxfId="1821" priority="53">
      <formula>$E$78&gt;0</formula>
    </cfRule>
    <cfRule type="expression" dxfId="1820" priority="54">
      <formula>$E$78&lt;0</formula>
    </cfRule>
  </conditionalFormatting>
  <conditionalFormatting sqref="G66:I67 H78:I78">
    <cfRule type="expression" dxfId="1819" priority="51">
      <formula>$H$78&gt;0</formula>
    </cfRule>
    <cfRule type="expression" dxfId="1818" priority="52">
      <formula>$H$78&lt;0</formula>
    </cfRule>
  </conditionalFormatting>
  <conditionalFormatting sqref="J66:L67 K78:L78">
    <cfRule type="expression" dxfId="1817" priority="49">
      <formula>$K$78&gt;0</formula>
    </cfRule>
    <cfRule type="expression" dxfId="1816" priority="50">
      <formula>$K$78&lt;0</formula>
    </cfRule>
  </conditionalFormatting>
  <conditionalFormatting sqref="M66:O67 N78:O78">
    <cfRule type="expression" dxfId="1815" priority="47">
      <formula>$N$78&gt;0</formula>
    </cfRule>
    <cfRule type="expression" dxfId="1814" priority="48">
      <formula>$N$78&lt;0</formula>
    </cfRule>
  </conditionalFormatting>
  <conditionalFormatting sqref="A85:O94">
    <cfRule type="expression" dxfId="1813" priority="39">
      <formula>AND($N85 &gt; 0, ISNUMBER($N85))</formula>
    </cfRule>
    <cfRule type="expression" dxfId="1812" priority="40">
      <formula>AND($N85 &lt; 0, ISNUMBER($N85))</formula>
    </cfRule>
    <cfRule type="expression" dxfId="1811" priority="41">
      <formula>AND($K85 &gt; 0, ISNUMBER($K85))</formula>
    </cfRule>
    <cfRule type="expression" dxfId="1810" priority="42">
      <formula>AND($K85 &lt; 0, ISNUMBER($K85))</formula>
    </cfRule>
    <cfRule type="expression" dxfId="1809" priority="43">
      <formula>AND($H85 &gt; 0, ISNUMBER($H85))</formula>
    </cfRule>
    <cfRule type="expression" dxfId="1808" priority="44">
      <formula>AND($H85 &lt; 0, ISNUMBER($H85))</formula>
    </cfRule>
    <cfRule type="expression" dxfId="1807" priority="45">
      <formula>AND($E85 &gt; 0, ISNUMBER($E85))</formula>
    </cfRule>
    <cfRule type="expression" dxfId="1806" priority="46">
      <formula>AND($E85 &lt; 0, ISNUMBER($E85))</formula>
    </cfRule>
  </conditionalFormatting>
  <conditionalFormatting sqref="D83:F84 E95:F95">
    <cfRule type="expression" dxfId="1805" priority="37">
      <formula>$E$95&gt;0</formula>
    </cfRule>
    <cfRule type="expression" dxfId="1804" priority="38">
      <formula>$E$95&lt;0</formula>
    </cfRule>
  </conditionalFormatting>
  <conditionalFormatting sqref="G83:I84 H95:I95">
    <cfRule type="expression" dxfId="1803" priority="35">
      <formula>$H$95&gt;0</formula>
    </cfRule>
    <cfRule type="expression" dxfId="1802" priority="36">
      <formula>$H$95&lt;0</formula>
    </cfRule>
  </conditionalFormatting>
  <conditionalFormatting sqref="J83:L84 K95:L95">
    <cfRule type="expression" dxfId="1801" priority="33">
      <formula>$K$95&gt;0</formula>
    </cfRule>
    <cfRule type="expression" dxfId="1800" priority="34">
      <formula>$K$95&lt;0</formula>
    </cfRule>
  </conditionalFormatting>
  <conditionalFormatting sqref="M83:O84 N95:O95">
    <cfRule type="expression" dxfId="1799" priority="31">
      <formula>$N$95&gt;0</formula>
    </cfRule>
    <cfRule type="expression" dxfId="1798" priority="32">
      <formula>$N$95&lt;0</formula>
    </cfRule>
  </conditionalFormatting>
  <conditionalFormatting sqref="A102:O111">
    <cfRule type="expression" dxfId="1797" priority="23">
      <formula>AND($N102 &gt; 0, ISNUMBER($N102))</formula>
    </cfRule>
    <cfRule type="expression" dxfId="1796" priority="24">
      <formula>AND($N102 &lt; 0, ISNUMBER($N102))</formula>
    </cfRule>
    <cfRule type="expression" dxfId="1795" priority="25">
      <formula>AND($K102 &gt; 0, ISNUMBER($K102))</formula>
    </cfRule>
    <cfRule type="expression" dxfId="1794" priority="26">
      <formula>AND($K102 &lt; 0, ISNUMBER($K102))</formula>
    </cfRule>
    <cfRule type="expression" dxfId="1793" priority="27">
      <formula>AND($H102 &gt; 0, ISNUMBER($H102))</formula>
    </cfRule>
    <cfRule type="expression" dxfId="1792" priority="28">
      <formula>AND($H102 &lt; 0, ISNUMBER($H102))</formula>
    </cfRule>
    <cfRule type="expression" dxfId="1791" priority="29">
      <formula>AND($E102 &gt; 0, ISNUMBER($E102))</formula>
    </cfRule>
    <cfRule type="expression" dxfId="1790" priority="30">
      <formula>AND($E102 &lt; 0, ISNUMBER($E102))</formula>
    </cfRule>
  </conditionalFormatting>
  <conditionalFormatting sqref="D100:F101 E112:F112">
    <cfRule type="expression" dxfId="1789" priority="21">
      <formula>$E$112&gt;0</formula>
    </cfRule>
    <cfRule type="expression" dxfId="1788" priority="22">
      <formula>$E$112&lt;0</formula>
    </cfRule>
  </conditionalFormatting>
  <conditionalFormatting sqref="G100:I101 H112:I112">
    <cfRule type="expression" dxfId="1787" priority="19">
      <formula>$H$112&gt;0</formula>
    </cfRule>
    <cfRule type="expression" dxfId="1786" priority="20">
      <formula>$H$112&lt;0</formula>
    </cfRule>
  </conditionalFormatting>
  <conditionalFormatting sqref="J100:L101 K112:L112">
    <cfRule type="expression" dxfId="1785" priority="17">
      <formula>$K$112&gt;0</formula>
    </cfRule>
    <cfRule type="expression" dxfId="1784" priority="18">
      <formula>$K$112&lt;0</formula>
    </cfRule>
  </conditionalFormatting>
  <conditionalFormatting sqref="M100:O101 N112:O112">
    <cfRule type="expression" dxfId="1783" priority="15">
      <formula>$N$112&gt;0</formula>
    </cfRule>
    <cfRule type="expression" dxfId="1782" priority="16">
      <formula>$N$112&lt;0</formula>
    </cfRule>
  </conditionalFormatting>
  <conditionalFormatting sqref="G2:I3">
    <cfRule type="expression" dxfId="1781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44291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68" t="s">
        <v>187</v>
      </c>
      <c r="B14" s="208" t="s">
        <v>186</v>
      </c>
      <c r="C14" s="210"/>
      <c r="D14" s="208" t="s">
        <v>67</v>
      </c>
      <c r="E14" s="209"/>
      <c r="F14" s="210"/>
      <c r="G14" s="222" t="e">
        <f>_xlfn.IFNA(VLOOKUP(B14,#REF!, 2, FALSE), "-")</f>
        <v>#REF!</v>
      </c>
      <c r="H14" s="223"/>
      <c r="I14" s="224"/>
      <c r="J14" s="208" t="s">
        <v>69</v>
      </c>
      <c r="K14" s="209"/>
      <c r="L14" s="210"/>
      <c r="M14" s="225" t="e">
        <f>_xlfn.IFNA(VLOOKUP(B14,#REF!, 3, FALSE), "-")</f>
        <v>#REF!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18" t="s">
        <v>20</v>
      </c>
      <c r="E15" s="219"/>
      <c r="F15" s="220"/>
      <c r="G15" s="218" t="s">
        <v>15</v>
      </c>
      <c r="H15" s="219"/>
      <c r="I15" s="220"/>
      <c r="J15" s="221" t="s">
        <v>34</v>
      </c>
      <c r="K15" s="221"/>
      <c r="L15" s="221"/>
      <c r="M15" s="218" t="s">
        <v>54</v>
      </c>
      <c r="N15" s="219"/>
      <c r="O15" s="220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30"/>
      <c r="R16" s="231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28"/>
      <c r="R17" s="229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28"/>
      <c r="R18" s="229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28"/>
      <c r="R19" s="229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28"/>
      <c r="R20" s="229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28"/>
      <c r="R21" s="229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28"/>
      <c r="R22" s="229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68" t="s">
        <v>187</v>
      </c>
      <c r="B31" s="208" t="s">
        <v>48</v>
      </c>
      <c r="C31" s="210"/>
      <c r="D31" s="208" t="s">
        <v>67</v>
      </c>
      <c r="E31" s="209"/>
      <c r="F31" s="210"/>
      <c r="G31" s="222" t="e">
        <f>_xlfn.IFNA(VLOOKUP(B31,#REF!, 2, FALSE), "-")</f>
        <v>#REF!</v>
      </c>
      <c r="H31" s="223"/>
      <c r="I31" s="224"/>
      <c r="J31" s="208" t="s">
        <v>69</v>
      </c>
      <c r="K31" s="209"/>
      <c r="L31" s="210"/>
      <c r="M31" s="225" t="e">
        <f>_xlfn.IFNA(VLOOKUP(B31,#REF!, 3, FALSE), "-")</f>
        <v>#REF!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2"/>
      <c r="R33" s="203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00"/>
      <c r="R34" s="201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00"/>
      <c r="R35" s="201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00"/>
      <c r="R36" s="201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00"/>
      <c r="R37" s="201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00"/>
      <c r="R38" s="201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00"/>
      <c r="R39" s="201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00"/>
      <c r="R40" s="201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68" t="s">
        <v>187</v>
      </c>
      <c r="B48" s="208" t="s">
        <v>52</v>
      </c>
      <c r="C48" s="210"/>
      <c r="D48" s="208" t="s">
        <v>67</v>
      </c>
      <c r="E48" s="209"/>
      <c r="F48" s="210"/>
      <c r="G48" s="222" t="e">
        <f>_xlfn.IFNA(VLOOKUP(B48,#REF!, 2, FALSE), "-")</f>
        <v>#REF!</v>
      </c>
      <c r="H48" s="223"/>
      <c r="I48" s="224"/>
      <c r="J48" s="208" t="s">
        <v>69</v>
      </c>
      <c r="K48" s="209"/>
      <c r="L48" s="210"/>
      <c r="M48" s="225" t="e">
        <f>_xlfn.IFNA(VLOOKUP(B48,#REF!, 3, FALSE), "-")</f>
        <v>#REF!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2"/>
      <c r="R50" s="203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00"/>
      <c r="R51" s="201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68" t="s">
        <v>187</v>
      </c>
      <c r="B65" s="208" t="s">
        <v>43</v>
      </c>
      <c r="C65" s="210"/>
      <c r="D65" s="208" t="s">
        <v>67</v>
      </c>
      <c r="E65" s="209"/>
      <c r="F65" s="210"/>
      <c r="G65" s="222" t="e">
        <f>_xlfn.IFNA(VLOOKUP(B65,#REF!, 2, FALSE), "-")</f>
        <v>#REF!</v>
      </c>
      <c r="H65" s="223"/>
      <c r="I65" s="224"/>
      <c r="J65" s="208" t="s">
        <v>69</v>
      </c>
      <c r="K65" s="209"/>
      <c r="L65" s="210"/>
      <c r="M65" s="225" t="e">
        <f>_xlfn.IFNA(VLOOKUP(B65,#REF!, 3, FALSE), "-")</f>
        <v>#REF!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2"/>
      <c r="R67" s="203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00"/>
      <c r="R68" s="201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00"/>
      <c r="R69" s="201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00"/>
      <c r="R70" s="201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00"/>
      <c r="R71" s="201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00"/>
      <c r="R72" s="201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00"/>
      <c r="R73" s="201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00"/>
      <c r="R74" s="201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00"/>
      <c r="R75" s="201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02"/>
      <c r="R76" s="203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68" t="s">
        <v>187</v>
      </c>
      <c r="B82" s="208" t="s">
        <v>179</v>
      </c>
      <c r="C82" s="210"/>
      <c r="D82" s="208" t="s">
        <v>67</v>
      </c>
      <c r="E82" s="209"/>
      <c r="F82" s="210"/>
      <c r="G82" s="222" t="e">
        <f>_xlfn.IFNA(VLOOKUP(B82,#REF!, 2, FALSE), "-")</f>
        <v>#REF!</v>
      </c>
      <c r="H82" s="223"/>
      <c r="I82" s="224"/>
      <c r="J82" s="208" t="s">
        <v>69</v>
      </c>
      <c r="K82" s="209"/>
      <c r="L82" s="210"/>
      <c r="M82" s="225" t="e">
        <f>_xlfn.IFNA(VLOOKUP(B82,#REF!, 3, FALSE), "-")</f>
        <v>#REF!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2"/>
      <c r="R84" s="203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00"/>
      <c r="R85" s="201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00"/>
      <c r="R86" s="201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00"/>
      <c r="R87" s="201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00"/>
      <c r="R88" s="201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00"/>
      <c r="R89" s="201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00"/>
      <c r="R90" s="201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68" t="s">
        <v>187</v>
      </c>
      <c r="B99" s="208" t="s">
        <v>181</v>
      </c>
      <c r="C99" s="210"/>
      <c r="D99" s="208" t="s">
        <v>67</v>
      </c>
      <c r="E99" s="209"/>
      <c r="F99" s="210"/>
      <c r="G99" s="222" t="e">
        <f>_xlfn.IFNA(VLOOKUP(B99,#REF!, 2, FALSE), "-")</f>
        <v>#REF!</v>
      </c>
      <c r="H99" s="223"/>
      <c r="I99" s="224"/>
      <c r="J99" s="208" t="s">
        <v>69</v>
      </c>
      <c r="K99" s="209"/>
      <c r="L99" s="210"/>
      <c r="M99" s="225" t="e">
        <f>_xlfn.IFNA(VLOOKUP(B99,#REF!, 3, FALSE), "-")</f>
        <v>#REF!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2"/>
      <c r="R101" s="203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00"/>
      <c r="R102" s="201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00"/>
      <c r="R103" s="201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00"/>
      <c r="R104" s="201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00"/>
      <c r="R105" s="201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00"/>
      <c r="R106" s="201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00"/>
      <c r="R107" s="201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00"/>
      <c r="R108" s="201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00"/>
      <c r="R109" s="201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02"/>
      <c r="R110" s="203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44292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73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68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30"/>
      <c r="R16" s="231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28"/>
      <c r="R17" s="229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28"/>
      <c r="R18" s="229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28"/>
      <c r="R19" s="229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28"/>
      <c r="R20" s="229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28"/>
      <c r="R21" s="229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28"/>
      <c r="R22" s="229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28"/>
      <c r="R23" s="229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1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02"/>
      <c r="R33" s="203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00"/>
      <c r="R34" s="20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0"/>
      <c r="R35" s="20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1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02"/>
      <c r="R50" s="203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00"/>
      <c r="R51" s="201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1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02"/>
      <c r="R67" s="203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00"/>
      <c r="R68" s="201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00"/>
      <c r="R69" s="201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00"/>
      <c r="R70" s="20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1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02"/>
      <c r="R84" s="203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00"/>
      <c r="R85" s="201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00"/>
      <c r="R86" s="201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00"/>
      <c r="R87" s="201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1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02"/>
      <c r="R101" s="203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00"/>
      <c r="R102" s="201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00"/>
      <c r="R103" s="201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00"/>
      <c r="R104" s="201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00"/>
      <c r="R105" s="201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00"/>
      <c r="R106" s="201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00"/>
      <c r="R107" s="201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00"/>
      <c r="R108" s="201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00"/>
      <c r="R109" s="201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02"/>
      <c r="R110" s="203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44293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83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82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30"/>
      <c r="R16" s="231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28"/>
      <c r="R17" s="229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28"/>
      <c r="R18" s="229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28"/>
      <c r="R19" s="229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28"/>
      <c r="R20" s="229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28"/>
      <c r="R21" s="229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28"/>
      <c r="R22" s="229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28"/>
      <c r="R23" s="229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28"/>
      <c r="R24" s="229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30"/>
      <c r="R25" s="231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82" t="s">
        <v>187</v>
      </c>
      <c r="B31" s="208" t="s">
        <v>14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76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-6.4039408899999997E-2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02"/>
      <c r="R33" s="203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00"/>
      <c r="R34" s="201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0"/>
      <c r="R35" s="20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82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02"/>
      <c r="R50" s="203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82" t="s">
        <v>187</v>
      </c>
      <c r="B65" s="208" t="s">
        <v>193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271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-5.57491289E-2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02"/>
      <c r="R67" s="203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00"/>
      <c r="R68" s="201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00"/>
      <c r="R69" s="201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00"/>
      <c r="R70" s="201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82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02"/>
      <c r="R84" s="203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0"/>
      <c r="R86" s="201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82" t="s">
        <v>187</v>
      </c>
      <c r="B99" s="208" t="s">
        <v>214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429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-5.5066079300000001E-2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02"/>
      <c r="R101" s="203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00"/>
      <c r="R102" s="201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00"/>
      <c r="R103" s="201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00"/>
      <c r="R104" s="201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00"/>
      <c r="R105" s="201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00"/>
      <c r="R106" s="201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00"/>
      <c r="R107" s="201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00"/>
      <c r="R108" s="201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00"/>
      <c r="R109" s="201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02"/>
      <c r="R110" s="203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44294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96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91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30"/>
      <c r="R16" s="231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28"/>
      <c r="R17" s="229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28"/>
      <c r="R18" s="229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28"/>
      <c r="R19" s="229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28"/>
      <c r="R20" s="229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28"/>
      <c r="R21" s="229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28"/>
      <c r="R22" s="229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28"/>
      <c r="R23" s="229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28"/>
      <c r="R24" s="229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30"/>
      <c r="R25" s="231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91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02"/>
      <c r="R33" s="203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00"/>
      <c r="R34" s="201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00"/>
      <c r="R35" s="201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00"/>
      <c r="R36" s="201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00"/>
      <c r="R37" s="201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00"/>
      <c r="R38" s="201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00"/>
      <c r="R39" s="201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00"/>
      <c r="R40" s="201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00"/>
      <c r="R41" s="201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02"/>
      <c r="R42" s="203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91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02"/>
      <c r="R50" s="203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00"/>
      <c r="R51" s="201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00"/>
      <c r="R52" s="201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00"/>
      <c r="R53" s="201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00"/>
      <c r="R54" s="201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00"/>
      <c r="R55" s="201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00"/>
      <c r="R56" s="201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00"/>
      <c r="R57" s="201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00"/>
      <c r="R58" s="201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91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02"/>
      <c r="R67" s="203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00"/>
      <c r="R68" s="201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00"/>
      <c r="R69" s="201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00"/>
      <c r="R70" s="201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00"/>
      <c r="R71" s="201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00"/>
      <c r="R72" s="201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00"/>
      <c r="R73" s="201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00"/>
      <c r="R74" s="201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00"/>
      <c r="R75" s="201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02"/>
      <c r="R76" s="203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91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02"/>
      <c r="R84" s="203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00"/>
      <c r="R85" s="201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00"/>
      <c r="R86" s="201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00"/>
      <c r="R87" s="201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00"/>
      <c r="R88" s="201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00"/>
      <c r="R89" s="201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00"/>
      <c r="R90" s="201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00"/>
      <c r="R91" s="201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00"/>
      <c r="R92" s="201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02"/>
      <c r="R93" s="203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91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02"/>
      <c r="R101" s="203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00"/>
      <c r="R102" s="201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00"/>
      <c r="R103" s="201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00"/>
      <c r="R104" s="201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00"/>
      <c r="R105" s="201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00"/>
      <c r="R106" s="201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00"/>
      <c r="R107" s="201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00"/>
      <c r="R108" s="201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00"/>
      <c r="R109" s="201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02"/>
      <c r="R110" s="203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44295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99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98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30"/>
      <c r="R16" s="231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28"/>
      <c r="R17" s="229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28"/>
      <c r="R18" s="229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28"/>
      <c r="R19" s="229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28"/>
      <c r="R20" s="229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28"/>
      <c r="R21" s="229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28"/>
      <c r="R22" s="229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28"/>
      <c r="R23" s="229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28"/>
      <c r="R24" s="229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30"/>
      <c r="R25" s="231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98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02"/>
      <c r="R33" s="203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00"/>
      <c r="R34" s="201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00"/>
      <c r="R35" s="201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98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02"/>
      <c r="R50" s="203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00"/>
      <c r="R51" s="201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00"/>
      <c r="R52" s="201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00"/>
      <c r="R53" s="201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00"/>
      <c r="R54" s="201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00"/>
      <c r="R55" s="201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00"/>
      <c r="R56" s="201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00"/>
      <c r="R57" s="201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00"/>
      <c r="R58" s="201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02"/>
      <c r="R59" s="203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98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02"/>
      <c r="R67" s="203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00"/>
      <c r="R68" s="201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00"/>
      <c r="R69" s="201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00"/>
      <c r="R70" s="201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00"/>
      <c r="R71" s="201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00"/>
      <c r="R72" s="201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00"/>
      <c r="R73" s="201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00"/>
      <c r="R74" s="201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00"/>
      <c r="R75" s="201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02"/>
      <c r="R76" s="203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98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02"/>
      <c r="R84" s="203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00"/>
      <c r="R85" s="201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00"/>
      <c r="R86" s="201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00"/>
      <c r="R87" s="201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00"/>
      <c r="R88" s="201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00"/>
      <c r="R89" s="201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00"/>
      <c r="R90" s="201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00"/>
      <c r="R91" s="201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00"/>
      <c r="R92" s="201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02"/>
      <c r="R93" s="203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98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02"/>
      <c r="R101" s="203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00"/>
      <c r="R102" s="201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00"/>
      <c r="R103" s="201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00"/>
      <c r="R104" s="201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00"/>
      <c r="R105" s="201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00"/>
      <c r="R106" s="201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00"/>
      <c r="R107" s="201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00"/>
      <c r="R108" s="201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00"/>
      <c r="R109" s="201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02"/>
      <c r="R110" s="203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44296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14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09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30"/>
      <c r="R16" s="231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28"/>
      <c r="R17" s="229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28"/>
      <c r="R18" s="229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28"/>
      <c r="R19" s="229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28"/>
      <c r="R20" s="229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28"/>
      <c r="R21" s="229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28"/>
      <c r="R22" s="229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28"/>
      <c r="R23" s="229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28"/>
      <c r="R24" s="229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30"/>
      <c r="R25" s="231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09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02"/>
      <c r="R33" s="203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00"/>
      <c r="R34" s="201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00"/>
      <c r="R35" s="201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00"/>
      <c r="R36" s="201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00"/>
      <c r="R37" s="201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00"/>
      <c r="R38" s="201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00"/>
      <c r="R39" s="201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09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02"/>
      <c r="R50" s="203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00"/>
      <c r="R51" s="201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0"/>
      <c r="R52" s="201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09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02"/>
      <c r="R67" s="203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00"/>
      <c r="R68" s="201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00"/>
      <c r="R69" s="201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00"/>
      <c r="R70" s="201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00"/>
      <c r="R71" s="201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00"/>
      <c r="R72" s="201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00"/>
      <c r="R73" s="201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00"/>
      <c r="R74" s="201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00"/>
      <c r="R75" s="201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02"/>
      <c r="R76" s="203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09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02"/>
      <c r="R84" s="203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00"/>
      <c r="R85" s="201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00"/>
      <c r="R86" s="201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00"/>
      <c r="R87" s="201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00"/>
      <c r="R88" s="201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00"/>
      <c r="R89" s="201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00"/>
      <c r="R90" s="201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00"/>
      <c r="R91" s="201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00"/>
      <c r="R92" s="201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09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02"/>
      <c r="R101" s="203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00"/>
      <c r="R102" s="201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00"/>
      <c r="R103" s="201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00"/>
      <c r="R104" s="201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00"/>
      <c r="R105" s="201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00"/>
      <c r="R106" s="201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00"/>
      <c r="R107" s="201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00"/>
      <c r="R108" s="201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00"/>
      <c r="R109" s="201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02"/>
      <c r="R110" s="203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21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16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30"/>
      <c r="R16" s="231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28"/>
      <c r="R17" s="229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28"/>
      <c r="R18" s="229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28"/>
      <c r="R19" s="229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28"/>
      <c r="R20" s="229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28"/>
      <c r="R21" s="229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28"/>
      <c r="R22" s="229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28"/>
      <c r="R23" s="229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28"/>
      <c r="R24" s="229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30"/>
      <c r="R25" s="231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16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02"/>
      <c r="R33" s="203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00"/>
      <c r="R34" s="201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00"/>
      <c r="R35" s="201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00"/>
      <c r="R36" s="201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00"/>
      <c r="R37" s="201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00"/>
      <c r="R38" s="201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00"/>
      <c r="R39" s="201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00"/>
      <c r="R40" s="201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00"/>
      <c r="R41" s="201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02"/>
      <c r="R42" s="203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16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02"/>
      <c r="R50" s="203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00"/>
      <c r="R51" s="201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00"/>
      <c r="R52" s="201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00"/>
      <c r="R53" s="201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00"/>
      <c r="R54" s="201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00"/>
      <c r="R55" s="201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16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02"/>
      <c r="R67" s="203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0"/>
      <c r="R68" s="201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00"/>
      <c r="R69" s="201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00"/>
      <c r="R70" s="201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00"/>
      <c r="R71" s="201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00"/>
      <c r="R72" s="201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00"/>
      <c r="R73" s="201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00"/>
      <c r="R74" s="201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00"/>
      <c r="R75" s="201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02"/>
      <c r="R76" s="203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16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02"/>
      <c r="R84" s="203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00"/>
      <c r="R85" s="201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00"/>
      <c r="R86" s="201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00"/>
      <c r="R87" s="201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00"/>
      <c r="R88" s="201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16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02"/>
      <c r="R101" s="203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00"/>
      <c r="R102" s="201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00"/>
      <c r="R103" s="201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00"/>
      <c r="R104" s="201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00"/>
      <c r="R105" s="201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00"/>
      <c r="R106" s="201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00"/>
      <c r="R107" s="201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00"/>
      <c r="R108" s="201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00"/>
      <c r="R109" s="201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02"/>
      <c r="R110" s="203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44298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38"/>
      <c r="I9" s="239"/>
      <c r="J9" s="1" t="s">
        <v>28</v>
      </c>
      <c r="K9" s="246"/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28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23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30"/>
      <c r="R16" s="231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28"/>
      <c r="R17" s="229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28"/>
      <c r="R18" s="229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28"/>
      <c r="R19" s="229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28"/>
      <c r="R20" s="229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28"/>
      <c r="R21" s="229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28"/>
      <c r="R22" s="229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28"/>
      <c r="R23" s="229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28"/>
      <c r="R24" s="229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30"/>
      <c r="R25" s="231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23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02"/>
      <c r="R33" s="203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00"/>
      <c r="R34" s="201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00"/>
      <c r="R35" s="201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00"/>
      <c r="R36" s="201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00"/>
      <c r="R37" s="201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00"/>
      <c r="R38" s="201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00"/>
      <c r="R39" s="201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00"/>
      <c r="R40" s="201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00"/>
      <c r="R41" s="201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02"/>
      <c r="R42" s="203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23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02"/>
      <c r="R50" s="203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00"/>
      <c r="R51" s="201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00"/>
      <c r="R52" s="201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00"/>
      <c r="R53" s="201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00"/>
      <c r="R54" s="201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00"/>
      <c r="R55" s="201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23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02"/>
      <c r="R67" s="203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00"/>
      <c r="R68" s="201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00"/>
      <c r="R69" s="201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00"/>
      <c r="R70" s="201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00"/>
      <c r="R71" s="201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00"/>
      <c r="R72" s="201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00"/>
      <c r="R73" s="201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00"/>
      <c r="R74" s="201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00"/>
      <c r="R75" s="201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02"/>
      <c r="R76" s="203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23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02"/>
      <c r="R84" s="203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00"/>
      <c r="R85" s="201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00"/>
      <c r="R86" s="201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00"/>
      <c r="R87" s="201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00"/>
      <c r="R88" s="201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00"/>
      <c r="R89" s="201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00"/>
      <c r="R90" s="201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00"/>
      <c r="R91" s="201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00"/>
      <c r="R92" s="201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02"/>
      <c r="R93" s="203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23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02"/>
      <c r="R101" s="203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00"/>
      <c r="R102" s="201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00"/>
      <c r="R103" s="201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00"/>
      <c r="R104" s="201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00"/>
      <c r="R105" s="201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00"/>
      <c r="R106" s="201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00"/>
      <c r="R107" s="201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00"/>
      <c r="R108" s="201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00"/>
      <c r="R109" s="201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02"/>
      <c r="R110" s="203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44299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35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30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30"/>
      <c r="R16" s="231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28"/>
      <c r="R17" s="229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28"/>
      <c r="R18" s="229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28"/>
      <c r="R19" s="229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28"/>
      <c r="R20" s="229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28"/>
      <c r="R21" s="229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28"/>
      <c r="R22" s="229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28"/>
      <c r="R23" s="229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28"/>
      <c r="R24" s="229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30"/>
      <c r="R25" s="231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30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02"/>
      <c r="R33" s="203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00"/>
      <c r="R34" s="201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00"/>
      <c r="R35" s="201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00"/>
      <c r="R36" s="201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00"/>
      <c r="R37" s="201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00"/>
      <c r="R38" s="201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00"/>
      <c r="R39" s="201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00"/>
      <c r="R40" s="201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00"/>
      <c r="R41" s="201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02"/>
      <c r="R42" s="203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30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02"/>
      <c r="R50" s="203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00"/>
      <c r="R51" s="201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00"/>
      <c r="R52" s="201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00"/>
      <c r="R53" s="201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00"/>
      <c r="R54" s="201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00"/>
      <c r="R55" s="201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30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02"/>
      <c r="R67" s="203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00"/>
      <c r="R68" s="201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00"/>
      <c r="R69" s="201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00"/>
      <c r="R70" s="201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00"/>
      <c r="R71" s="201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00"/>
      <c r="R72" s="201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00"/>
      <c r="R73" s="201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00"/>
      <c r="R74" s="201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00"/>
      <c r="R75" s="201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02"/>
      <c r="R76" s="203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30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02"/>
      <c r="R84" s="203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00"/>
      <c r="R85" s="201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00"/>
      <c r="R86" s="201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00"/>
      <c r="R87" s="201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00"/>
      <c r="R88" s="201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00"/>
      <c r="R89" s="201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00"/>
      <c r="R90" s="201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00"/>
      <c r="R91" s="201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00"/>
      <c r="R92" s="201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02"/>
      <c r="R93" s="203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30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02"/>
      <c r="R101" s="203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00"/>
      <c r="R102" s="201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00"/>
      <c r="R103" s="201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00"/>
      <c r="R104" s="201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00"/>
      <c r="R105" s="201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00"/>
      <c r="R106" s="201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00"/>
      <c r="R107" s="201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00"/>
      <c r="R108" s="201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00"/>
      <c r="R109" s="201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02"/>
      <c r="R110" s="203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44300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42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37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30"/>
      <c r="R16" s="231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28"/>
      <c r="R17" s="229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28"/>
      <c r="R18" s="229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28"/>
      <c r="R19" s="229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28"/>
      <c r="R20" s="229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28"/>
      <c r="R21" s="229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28"/>
      <c r="R22" s="229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28"/>
      <c r="R23" s="229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28"/>
      <c r="R24" s="229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30"/>
      <c r="R25" s="231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37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02"/>
      <c r="R33" s="203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00"/>
      <c r="R34" s="201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00"/>
      <c r="R35" s="201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00"/>
      <c r="R36" s="201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00"/>
      <c r="R37" s="201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00"/>
      <c r="R38" s="201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00"/>
      <c r="R39" s="201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00"/>
      <c r="R40" s="201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00"/>
      <c r="R41" s="201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02"/>
      <c r="R42" s="203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37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02"/>
      <c r="R50" s="203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00"/>
      <c r="R51" s="201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00"/>
      <c r="R52" s="201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00"/>
      <c r="R53" s="201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00"/>
      <c r="R54" s="201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00"/>
      <c r="R55" s="201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37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02"/>
      <c r="R67" s="203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00"/>
      <c r="R68" s="201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00"/>
      <c r="R69" s="201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00"/>
      <c r="R70" s="201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00"/>
      <c r="R71" s="201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00"/>
      <c r="R72" s="201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00"/>
      <c r="R73" s="201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00"/>
      <c r="R74" s="201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00"/>
      <c r="R75" s="201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02"/>
      <c r="R76" s="203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37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02"/>
      <c r="R84" s="203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00"/>
      <c r="R85" s="201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00"/>
      <c r="R86" s="201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00"/>
      <c r="R87" s="201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00"/>
      <c r="R88" s="201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00"/>
      <c r="R89" s="201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00"/>
      <c r="R90" s="201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00"/>
      <c r="R91" s="201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00"/>
      <c r="R92" s="201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02"/>
      <c r="R93" s="203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37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02"/>
      <c r="R101" s="203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00"/>
      <c r="R102" s="201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00"/>
      <c r="R103" s="201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00"/>
      <c r="R104" s="201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00"/>
      <c r="R105" s="201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00"/>
      <c r="R106" s="201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00"/>
      <c r="R107" s="201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00"/>
      <c r="R108" s="201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00"/>
      <c r="R109" s="201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02"/>
      <c r="R110" s="203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44301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45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44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30"/>
      <c r="R16" s="231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28"/>
      <c r="R17" s="229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28"/>
      <c r="R18" s="229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28"/>
      <c r="R19" s="229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28"/>
      <c r="R20" s="229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28"/>
      <c r="R21" s="229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28"/>
      <c r="R22" s="22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44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02"/>
      <c r="R33" s="203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00"/>
      <c r="R34" s="201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00"/>
      <c r="R35" s="201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00"/>
      <c r="R36" s="201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00"/>
      <c r="R37" s="201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00"/>
      <c r="R38" s="201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00"/>
      <c r="R39" s="201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00"/>
      <c r="R40" s="201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00"/>
      <c r="R41" s="201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02"/>
      <c r="R42" s="203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44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02"/>
      <c r="R50" s="203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00"/>
      <c r="R51" s="201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00"/>
      <c r="R52" s="201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00"/>
      <c r="R53" s="201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00"/>
      <c r="R54" s="201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00"/>
      <c r="R55" s="201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44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02"/>
      <c r="R67" s="203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00"/>
      <c r="R68" s="201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00"/>
      <c r="R69" s="201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00"/>
      <c r="R70" s="201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00"/>
      <c r="R71" s="201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00"/>
      <c r="R72" s="201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00"/>
      <c r="R73" s="201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00"/>
      <c r="R74" s="201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00"/>
      <c r="R75" s="201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02"/>
      <c r="R76" s="203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44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02"/>
      <c r="R84" s="203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00"/>
      <c r="R85" s="201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00"/>
      <c r="R86" s="201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00"/>
      <c r="R87" s="201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00"/>
      <c r="R88" s="201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00"/>
      <c r="R89" s="201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00"/>
      <c r="R90" s="201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00"/>
      <c r="R91" s="201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00"/>
      <c r="R92" s="201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02"/>
      <c r="R93" s="203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44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02"/>
      <c r="R101" s="203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00"/>
      <c r="R102" s="201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00"/>
      <c r="R103" s="201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00"/>
      <c r="R104" s="201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00"/>
      <c r="R105" s="201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00"/>
      <c r="R106" s="201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00"/>
      <c r="R107" s="201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00"/>
      <c r="R108" s="201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00"/>
      <c r="R109" s="201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02"/>
      <c r="R110" s="203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44302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>
        <v>98</v>
      </c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52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51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30"/>
      <c r="R16" s="231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28"/>
      <c r="R17" s="229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28"/>
      <c r="R18" s="229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28"/>
      <c r="R19" s="229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28"/>
      <c r="R20" s="229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28"/>
      <c r="R21" s="229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28"/>
      <c r="R22" s="229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28"/>
      <c r="R23" s="229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28"/>
      <c r="R24" s="229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30"/>
      <c r="R25" s="231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51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02"/>
      <c r="R33" s="203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00"/>
      <c r="R34" s="201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00"/>
      <c r="R35" s="201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00"/>
      <c r="R36" s="201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00"/>
      <c r="R37" s="201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00"/>
      <c r="R38" s="201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00"/>
      <c r="R39" s="201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00"/>
      <c r="R40" s="201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00"/>
      <c r="R41" s="201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02"/>
      <c r="R42" s="203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51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02"/>
      <c r="R50" s="203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00"/>
      <c r="R51" s="201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00"/>
      <c r="R52" s="201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00"/>
      <c r="R53" s="201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00"/>
      <c r="R54" s="201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00"/>
      <c r="R55" s="201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51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02"/>
      <c r="R67" s="203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00"/>
      <c r="R68" s="201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00"/>
      <c r="R69" s="201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00"/>
      <c r="R70" s="201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00"/>
      <c r="R71" s="201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00"/>
      <c r="R72" s="201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00"/>
      <c r="R73" s="201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00"/>
      <c r="R74" s="201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00"/>
      <c r="R75" s="201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02"/>
      <c r="R76" s="203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51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02"/>
      <c r="R84" s="203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00"/>
      <c r="R85" s="201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00"/>
      <c r="R86" s="201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00"/>
      <c r="R87" s="201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00"/>
      <c r="R88" s="201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00"/>
      <c r="R89" s="201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00"/>
      <c r="R90" s="201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00"/>
      <c r="R91" s="201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00"/>
      <c r="R92" s="201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02"/>
      <c r="R93" s="203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51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02"/>
      <c r="R101" s="203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00"/>
      <c r="R102" s="201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00"/>
      <c r="R103" s="201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00"/>
      <c r="R104" s="201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00"/>
      <c r="R105" s="201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00"/>
      <c r="R106" s="201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00"/>
      <c r="R107" s="201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00"/>
      <c r="R108" s="201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00"/>
      <c r="R109" s="201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02"/>
      <c r="R110" s="203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59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58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30"/>
      <c r="R16" s="231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28"/>
      <c r="R17" s="229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28"/>
      <c r="R18" s="229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28"/>
      <c r="R19" s="229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28"/>
      <c r="R20" s="229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28"/>
      <c r="R21" s="229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28"/>
      <c r="R22" s="229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28"/>
      <c r="R23" s="229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28"/>
      <c r="R24" s="229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30"/>
      <c r="R25" s="231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58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02"/>
      <c r="R33" s="203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00"/>
      <c r="R34" s="201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00"/>
      <c r="R35" s="201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00"/>
      <c r="R36" s="201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00"/>
      <c r="R37" s="201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00"/>
      <c r="R38" s="201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00"/>
      <c r="R39" s="201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00"/>
      <c r="R40" s="201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00"/>
      <c r="R41" s="201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02"/>
      <c r="R42" s="203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58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02"/>
      <c r="R50" s="203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00"/>
      <c r="R51" s="201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00"/>
      <c r="R52" s="201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00"/>
      <c r="R53" s="201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00"/>
      <c r="R54" s="201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00"/>
      <c r="R55" s="201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00"/>
      <c r="R56" s="201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58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02"/>
      <c r="R67" s="203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00"/>
      <c r="R68" s="201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00"/>
      <c r="R69" s="201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00"/>
      <c r="R70" s="201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00"/>
      <c r="R71" s="201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00"/>
      <c r="R72" s="201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00"/>
      <c r="R73" s="201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00"/>
      <c r="R74" s="201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00"/>
      <c r="R75" s="201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02"/>
      <c r="R76" s="203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58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02"/>
      <c r="R84" s="203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00"/>
      <c r="R85" s="201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00"/>
      <c r="R86" s="201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00"/>
      <c r="R87" s="201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00"/>
      <c r="R88" s="201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00"/>
      <c r="R89" s="201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00"/>
      <c r="R90" s="201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00"/>
      <c r="R91" s="201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00"/>
      <c r="R92" s="201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02"/>
      <c r="R93" s="203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58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02"/>
      <c r="R101" s="203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00"/>
      <c r="R102" s="201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00"/>
      <c r="R103" s="201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00"/>
      <c r="R104" s="201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00"/>
      <c r="R105" s="201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00"/>
      <c r="R106" s="201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00"/>
      <c r="R107" s="201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00"/>
      <c r="R108" s="201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00"/>
      <c r="R109" s="201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02"/>
      <c r="R110" s="203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66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65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58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5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30"/>
      <c r="R16" s="231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28"/>
      <c r="R17" s="229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28"/>
      <c r="R18" s="229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28"/>
      <c r="R19" s="229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28"/>
      <c r="R20" s="229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28"/>
      <c r="R21" s="229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28"/>
      <c r="R22" s="229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28"/>
      <c r="R23" s="229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28"/>
      <c r="R24" s="229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30"/>
      <c r="R25" s="231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65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02"/>
      <c r="R33" s="203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00"/>
      <c r="R34" s="201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00"/>
      <c r="R35" s="201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00"/>
      <c r="R36" s="201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00"/>
      <c r="R37" s="201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00"/>
      <c r="R38" s="201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00"/>
      <c r="R39" s="201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00"/>
      <c r="R40" s="201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00"/>
      <c r="R41" s="201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02"/>
      <c r="R42" s="203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02"/>
      <c r="R43" s="203"/>
    </row>
    <row r="44" spans="1:18" ht="17.25" customHeight="1" thickBot="1">
      <c r="A44" s="57" t="s">
        <v>32</v>
      </c>
      <c r="B44" s="206">
        <v>300000</v>
      </c>
      <c r="C44" s="207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65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02"/>
      <c r="R50" s="203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00"/>
      <c r="R51" s="201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00"/>
      <c r="R52" s="201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00"/>
      <c r="R53" s="201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00"/>
      <c r="R54" s="201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00"/>
      <c r="R55" s="201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300000</v>
      </c>
      <c r="C61" s="207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65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02"/>
      <c r="R67" s="203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00"/>
      <c r="R68" s="201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00"/>
      <c r="R69" s="201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00"/>
      <c r="R70" s="201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00"/>
      <c r="R71" s="201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00"/>
      <c r="R72" s="201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00"/>
      <c r="R73" s="201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00"/>
      <c r="R74" s="201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00"/>
      <c r="R75" s="201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02"/>
      <c r="R76" s="203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02"/>
      <c r="R77" s="203"/>
    </row>
    <row r="78" spans="1:18" ht="17.25" customHeight="1" thickBot="1">
      <c r="A78" s="57" t="s">
        <v>32</v>
      </c>
      <c r="B78" s="206">
        <v>300000</v>
      </c>
      <c r="C78" s="207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65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02"/>
      <c r="R84" s="203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00"/>
      <c r="R85" s="201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00"/>
      <c r="R86" s="201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00"/>
      <c r="R87" s="201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00"/>
      <c r="R88" s="201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00"/>
      <c r="R89" s="201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00"/>
      <c r="R90" s="201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00"/>
      <c r="R91" s="201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00"/>
      <c r="R92" s="201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02"/>
      <c r="R93" s="203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02"/>
      <c r="R94" s="203"/>
    </row>
    <row r="95" spans="1:18" ht="17.25" customHeight="1" thickBot="1">
      <c r="A95" s="57" t="s">
        <v>32</v>
      </c>
      <c r="B95" s="206">
        <v>300000</v>
      </c>
      <c r="C95" s="207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65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02"/>
      <c r="R101" s="203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00"/>
      <c r="R102" s="201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00"/>
      <c r="R103" s="201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00"/>
      <c r="R104" s="201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00"/>
      <c r="R105" s="201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00"/>
      <c r="R106" s="201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00"/>
      <c r="R107" s="201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00"/>
      <c r="R108" s="201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00"/>
      <c r="R109" s="201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02"/>
      <c r="R110" s="203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02"/>
      <c r="R111" s="203"/>
    </row>
    <row r="112" spans="1:18" ht="17.25" customHeight="1" thickBot="1">
      <c r="A112" s="57" t="s">
        <v>32</v>
      </c>
      <c r="B112" s="206">
        <v>300000</v>
      </c>
      <c r="C112" s="207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97" priority="97">
      <formula>$E$27&gt;0</formula>
    </cfRule>
    <cfRule type="expression" dxfId="496" priority="98">
      <formula>$E$27&lt;0</formula>
    </cfRule>
  </conditionalFormatting>
  <conditionalFormatting sqref="G15:I16 H27:I27">
    <cfRule type="expression" dxfId="495" priority="95">
      <formula>$H$27&gt;0</formula>
    </cfRule>
    <cfRule type="expression" dxfId="494" priority="96">
      <formula>$H$27&lt;0</formula>
    </cfRule>
  </conditionalFormatting>
  <conditionalFormatting sqref="J15:L16 K27:L27">
    <cfRule type="expression" dxfId="493" priority="93">
      <formula>$K$27&gt;0</formula>
    </cfRule>
    <cfRule type="expression" dxfId="492" priority="94">
      <formula>$K$27&lt;0</formula>
    </cfRule>
  </conditionalFormatting>
  <conditionalFormatting sqref="M15:O16 N27:O27">
    <cfRule type="expression" dxfId="491" priority="91">
      <formula>$N$27&gt;0</formula>
    </cfRule>
    <cfRule type="expression" dxfId="490" priority="92">
      <formula>$N$27&lt;0</formula>
    </cfRule>
  </conditionalFormatting>
  <conditionalFormatting sqref="A34:O43 A17:O25 B26:O26">
    <cfRule type="expression" dxfId="489" priority="99">
      <formula>AND($N17 &gt; 0, ISNUMBER($N17))</formula>
    </cfRule>
    <cfRule type="expression" dxfId="488" priority="100">
      <formula>AND($N17 &lt; 0, ISNUMBER($N17))</formula>
    </cfRule>
    <cfRule type="expression" dxfId="487" priority="101">
      <formula>AND($K17 &gt; 0, ISNUMBER($K17))</formula>
    </cfRule>
    <cfRule type="expression" dxfId="486" priority="102">
      <formula>AND($K17 &lt; 0, ISNUMBER($K17))</formula>
    </cfRule>
    <cfRule type="expression" dxfId="485" priority="103">
      <formula>AND($H17 &gt; 0, ISNUMBER($H17))</formula>
    </cfRule>
    <cfRule type="expression" dxfId="484" priority="104">
      <formula>AND($H17 &lt; 0, ISNUMBER($H17))</formula>
    </cfRule>
    <cfRule type="expression" dxfId="483" priority="105">
      <formula>AND($E17 &gt; 0, ISNUMBER($E17))</formula>
    </cfRule>
    <cfRule type="expression" dxfId="482" priority="106">
      <formula>AND($E17 &lt; 0, ISNUMBER($E17))</formula>
    </cfRule>
  </conditionalFormatting>
  <conditionalFormatting sqref="D32:F33 E44:F44">
    <cfRule type="expression" dxfId="481" priority="89">
      <formula>$E$44&gt;0</formula>
    </cfRule>
    <cfRule type="expression" dxfId="480" priority="90">
      <formula>$E$44&lt;0</formula>
    </cfRule>
  </conditionalFormatting>
  <conditionalFormatting sqref="G32:I33 H44:I44">
    <cfRule type="expression" dxfId="479" priority="87">
      <formula>$H$44&gt;0</formula>
    </cfRule>
    <cfRule type="expression" dxfId="478" priority="88">
      <formula>$H$44&lt;0</formula>
    </cfRule>
  </conditionalFormatting>
  <conditionalFormatting sqref="J32:L33 K44:L44">
    <cfRule type="expression" dxfId="477" priority="85">
      <formula>$K$44&gt;0</formula>
    </cfRule>
    <cfRule type="expression" dxfId="476" priority="86">
      <formula>$K$44&lt;0</formula>
    </cfRule>
  </conditionalFormatting>
  <conditionalFormatting sqref="M32:O33 N44:O44">
    <cfRule type="expression" dxfId="475" priority="83">
      <formula>$N$44&gt;0</formula>
    </cfRule>
    <cfRule type="expression" dxfId="474" priority="84">
      <formula>$N$44&lt;0</formula>
    </cfRule>
  </conditionalFormatting>
  <conditionalFormatting sqref="A51:O60">
    <cfRule type="expression" dxfId="473" priority="75">
      <formula>AND($N51 &gt; 0, ISNUMBER($N51))</formula>
    </cfRule>
    <cfRule type="expression" dxfId="472" priority="76">
      <formula>AND($N51 &lt; 0, ISNUMBER($N51))</formula>
    </cfRule>
    <cfRule type="expression" dxfId="471" priority="77">
      <formula>AND($K51 &gt; 0, ISNUMBER($K51))</formula>
    </cfRule>
    <cfRule type="expression" dxfId="470" priority="78">
      <formula>AND($K51 &lt; 0, ISNUMBER($K51))</formula>
    </cfRule>
    <cfRule type="expression" dxfId="469" priority="79">
      <formula>AND($H51 &gt; 0, ISNUMBER($H51))</formula>
    </cfRule>
    <cfRule type="expression" dxfId="468" priority="80">
      <formula>AND($H51 &lt; 0, ISNUMBER($H51))</formula>
    </cfRule>
    <cfRule type="expression" dxfId="467" priority="81">
      <formula>AND($E51 &gt; 0, ISNUMBER($E51))</formula>
    </cfRule>
    <cfRule type="expression" dxfId="466" priority="82">
      <formula>AND($E51 &lt; 0, ISNUMBER($E51))</formula>
    </cfRule>
  </conditionalFormatting>
  <conditionalFormatting sqref="D49:F50 E61:F61">
    <cfRule type="expression" dxfId="465" priority="73">
      <formula>$E$61&gt;0</formula>
    </cfRule>
    <cfRule type="expression" dxfId="464" priority="74">
      <formula>$E$61&lt;0</formula>
    </cfRule>
  </conditionalFormatting>
  <conditionalFormatting sqref="G49:I50 H61:I61">
    <cfRule type="expression" dxfId="463" priority="71">
      <formula>$H$61&gt;0</formula>
    </cfRule>
    <cfRule type="expression" dxfId="462" priority="72">
      <formula>$H$61&lt;0</formula>
    </cfRule>
  </conditionalFormatting>
  <conditionalFormatting sqref="J49:L50 K61:L61">
    <cfRule type="expression" dxfId="461" priority="69">
      <formula>$K$61&gt;0</formula>
    </cfRule>
    <cfRule type="expression" dxfId="460" priority="70">
      <formula>$K$61&lt;0</formula>
    </cfRule>
  </conditionalFormatting>
  <conditionalFormatting sqref="M49:O50 N61:O61">
    <cfRule type="expression" dxfId="459" priority="67">
      <formula>$N$61&gt;0</formula>
    </cfRule>
    <cfRule type="expression" dxfId="458" priority="68">
      <formula>$N$61&lt;0</formula>
    </cfRule>
  </conditionalFormatting>
  <conditionalFormatting sqref="A68:O77">
    <cfRule type="expression" dxfId="457" priority="59">
      <formula>AND($N68 &gt; 0, ISNUMBER($N68))</formula>
    </cfRule>
    <cfRule type="expression" dxfId="456" priority="60">
      <formula>AND($N68 &lt; 0, ISNUMBER($N68))</formula>
    </cfRule>
    <cfRule type="expression" dxfId="455" priority="61">
      <formula>AND($K68 &gt; 0, ISNUMBER($K68))</formula>
    </cfRule>
    <cfRule type="expression" dxfId="454" priority="62">
      <formula>AND($K68 &lt; 0, ISNUMBER($K68))</formula>
    </cfRule>
    <cfRule type="expression" dxfId="453" priority="63">
      <formula>AND($H68 &gt; 0, ISNUMBER($H68))</formula>
    </cfRule>
    <cfRule type="expression" dxfId="452" priority="64">
      <formula>AND($H68 &lt; 0, ISNUMBER($H68))</formula>
    </cfRule>
    <cfRule type="expression" dxfId="451" priority="65">
      <formula>AND($E68 &gt; 0, ISNUMBER($E68))</formula>
    </cfRule>
    <cfRule type="expression" dxfId="450" priority="66">
      <formula>AND($E68 &lt; 0, ISNUMBER($E68))</formula>
    </cfRule>
  </conditionalFormatting>
  <conditionalFormatting sqref="D66:F67 E78:F78">
    <cfRule type="expression" dxfId="449" priority="57">
      <formula>$E$78&gt;0</formula>
    </cfRule>
    <cfRule type="expression" dxfId="448" priority="58">
      <formula>$E$78&lt;0</formula>
    </cfRule>
  </conditionalFormatting>
  <conditionalFormatting sqref="G66:I67 H78:I78">
    <cfRule type="expression" dxfId="447" priority="55">
      <formula>$H$78&gt;0</formula>
    </cfRule>
    <cfRule type="expression" dxfId="446" priority="56">
      <formula>$H$78&lt;0</formula>
    </cfRule>
  </conditionalFormatting>
  <conditionalFormatting sqref="J66:L67 K78:L78">
    <cfRule type="expression" dxfId="445" priority="53">
      <formula>$K$78&gt;0</formula>
    </cfRule>
    <cfRule type="expression" dxfId="444" priority="54">
      <formula>$K$78&lt;0</formula>
    </cfRule>
  </conditionalFormatting>
  <conditionalFormatting sqref="M66:O67 N78:O78">
    <cfRule type="expression" dxfId="443" priority="51">
      <formula>$N$78&gt;0</formula>
    </cfRule>
    <cfRule type="expression" dxfId="442" priority="52">
      <formula>$N$78&lt;0</formula>
    </cfRule>
  </conditionalFormatting>
  <conditionalFormatting sqref="A85:O94">
    <cfRule type="expression" dxfId="441" priority="43">
      <formula>AND($N85 &gt; 0, ISNUMBER($N85))</formula>
    </cfRule>
    <cfRule type="expression" dxfId="440" priority="44">
      <formula>AND($N85 &lt; 0, ISNUMBER($N85))</formula>
    </cfRule>
    <cfRule type="expression" dxfId="439" priority="45">
      <formula>AND($K85 &gt; 0, ISNUMBER($K85))</formula>
    </cfRule>
    <cfRule type="expression" dxfId="438" priority="46">
      <formula>AND($K85 &lt; 0, ISNUMBER($K85))</formula>
    </cfRule>
    <cfRule type="expression" dxfId="437" priority="47">
      <formula>AND($H85 &gt; 0, ISNUMBER($H85))</formula>
    </cfRule>
    <cfRule type="expression" dxfId="436" priority="48">
      <formula>AND($H85 &lt; 0, ISNUMBER($H85))</formula>
    </cfRule>
    <cfRule type="expression" dxfId="435" priority="49">
      <formula>AND($E85 &gt; 0, ISNUMBER($E85))</formula>
    </cfRule>
    <cfRule type="expression" dxfId="434" priority="50">
      <formula>AND($E85 &lt; 0, ISNUMBER($E85))</formula>
    </cfRule>
  </conditionalFormatting>
  <conditionalFormatting sqref="D83:F84 E95:F95">
    <cfRule type="expression" dxfId="433" priority="41">
      <formula>$E$95&gt;0</formula>
    </cfRule>
    <cfRule type="expression" dxfId="432" priority="42">
      <formula>$E$95&lt;0</formula>
    </cfRule>
  </conditionalFormatting>
  <conditionalFormatting sqref="G83:I84 H95:I95">
    <cfRule type="expression" dxfId="431" priority="39">
      <formula>$H$95&gt;0</formula>
    </cfRule>
    <cfRule type="expression" dxfId="430" priority="40">
      <formula>$H$95&lt;0</formula>
    </cfRule>
  </conditionalFormatting>
  <conditionalFormatting sqref="J83:L84 K95:L95">
    <cfRule type="expression" dxfId="429" priority="37">
      <formula>$K$95&gt;0</formula>
    </cfRule>
    <cfRule type="expression" dxfId="428" priority="38">
      <formula>$K$95&lt;0</formula>
    </cfRule>
  </conditionalFormatting>
  <conditionalFormatting sqref="M83:O84 N95:O95">
    <cfRule type="expression" dxfId="427" priority="35">
      <formula>$N$95&gt;0</formula>
    </cfRule>
    <cfRule type="expression" dxfId="426" priority="36">
      <formula>$N$95&lt;0</formula>
    </cfRule>
  </conditionalFormatting>
  <conditionalFormatting sqref="A102:O111">
    <cfRule type="expression" dxfId="425" priority="27">
      <formula>AND($N102 &gt; 0, ISNUMBER($N102))</formula>
    </cfRule>
    <cfRule type="expression" dxfId="424" priority="28">
      <formula>AND($N102 &lt; 0, ISNUMBER($N102))</formula>
    </cfRule>
    <cfRule type="expression" dxfId="423" priority="29">
      <formula>AND($K102 &gt; 0, ISNUMBER($K102))</formula>
    </cfRule>
    <cfRule type="expression" dxfId="422" priority="30">
      <formula>AND($K102 &lt; 0, ISNUMBER($K102))</formula>
    </cfRule>
    <cfRule type="expression" dxfId="421" priority="31">
      <formula>AND($H102 &gt; 0, ISNUMBER($H102))</formula>
    </cfRule>
    <cfRule type="expression" dxfId="420" priority="32">
      <formula>AND($H102 &lt; 0, ISNUMBER($H102))</formula>
    </cfRule>
    <cfRule type="expression" dxfId="419" priority="33">
      <formula>AND($E102 &gt; 0, ISNUMBER($E102))</formula>
    </cfRule>
    <cfRule type="expression" dxfId="418" priority="34">
      <formula>AND($E102 &lt; 0, ISNUMBER($E102))</formula>
    </cfRule>
  </conditionalFormatting>
  <conditionalFormatting sqref="D100:F101 E112:F112">
    <cfRule type="expression" dxfId="417" priority="25">
      <formula>$E$112&gt;0</formula>
    </cfRule>
    <cfRule type="expression" dxfId="416" priority="26">
      <formula>$E$112&lt;0</formula>
    </cfRule>
  </conditionalFormatting>
  <conditionalFormatting sqref="G100:I101 H112:I112">
    <cfRule type="expression" dxfId="415" priority="23">
      <formula>$H$112&gt;0</formula>
    </cfRule>
    <cfRule type="expression" dxfId="414" priority="24">
      <formula>$H$112&lt;0</formula>
    </cfRule>
  </conditionalFormatting>
  <conditionalFormatting sqref="J100:L101 K112:L112">
    <cfRule type="expression" dxfId="413" priority="21">
      <formula>$K$112&gt;0</formula>
    </cfRule>
    <cfRule type="expression" dxfId="412" priority="22">
      <formula>$K$112&lt;0</formula>
    </cfRule>
  </conditionalFormatting>
  <conditionalFormatting sqref="M100:O101 N112:O112">
    <cfRule type="expression" dxfId="411" priority="19">
      <formula>$N$112&gt;0</formula>
    </cfRule>
    <cfRule type="expression" dxfId="410" priority="20">
      <formula>$N$112&lt;0</formula>
    </cfRule>
  </conditionalFormatting>
  <conditionalFormatting sqref="G2:I3">
    <cfRule type="expression" dxfId="409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399" priority="1">
      <formula>AND($N26 &gt; 0, ISNUMBER($N26))</formula>
    </cfRule>
    <cfRule type="expression" dxfId="398" priority="2">
      <formula>AND($N26 &lt; 0, ISNUMBER($N26))</formula>
    </cfRule>
    <cfRule type="expression" dxfId="397" priority="3">
      <formula>AND($K26 &gt; 0, ISNUMBER($K26))</formula>
    </cfRule>
    <cfRule type="expression" dxfId="396" priority="4">
      <formula>AND($K26 &lt; 0, ISNUMBER($K26))</formula>
    </cfRule>
    <cfRule type="expression" dxfId="395" priority="5">
      <formula>AND($H26 &gt; 0, ISNUMBER($H26))</formula>
    </cfRule>
    <cfRule type="expression" dxfId="394" priority="6">
      <formula>AND($H26 &lt; 0, ISNUMBER($H26))</formula>
    </cfRule>
    <cfRule type="expression" dxfId="393" priority="7">
      <formula>AND($E26 &gt; 0, ISNUMBER($E26))</formula>
    </cfRule>
    <cfRule type="expression" dxfId="392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73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72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30"/>
      <c r="R16" s="231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28"/>
      <c r="R17" s="229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28"/>
      <c r="R18" s="229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28"/>
      <c r="R19" s="229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28"/>
      <c r="R20" s="229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28"/>
      <c r="R21" s="229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28"/>
      <c r="R22" s="229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28"/>
      <c r="R23" s="229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28"/>
      <c r="R24" s="229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30"/>
      <c r="R25" s="231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30"/>
      <c r="R26" s="231"/>
    </row>
    <row r="27" spans="1:18" ht="17.25" customHeight="1" thickBot="1">
      <c r="A27" s="57" t="s">
        <v>32</v>
      </c>
      <c r="B27" s="206">
        <v>300000</v>
      </c>
      <c r="C27" s="207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72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02"/>
      <c r="R33" s="203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00"/>
      <c r="R34" s="201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00"/>
      <c r="R35" s="201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00"/>
      <c r="R36" s="201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00"/>
      <c r="R37" s="201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00"/>
      <c r="R38" s="201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00"/>
      <c r="R39" s="201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00"/>
      <c r="R40" s="201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00"/>
      <c r="R41" s="201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02"/>
      <c r="R42" s="203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02"/>
      <c r="R43" s="203"/>
    </row>
    <row r="44" spans="1:18" ht="17.25" customHeight="1" thickBot="1">
      <c r="A44" s="57" t="s">
        <v>32</v>
      </c>
      <c r="B44" s="206">
        <v>300000</v>
      </c>
      <c r="C44" s="207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72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02"/>
      <c r="R50" s="203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00"/>
      <c r="R51" s="201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00"/>
      <c r="R52" s="201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00"/>
      <c r="R53" s="201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00"/>
      <c r="R54" s="201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00"/>
      <c r="R55" s="201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00"/>
      <c r="R56" s="201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00"/>
      <c r="R57" s="201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300000</v>
      </c>
      <c r="C61" s="207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72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02"/>
      <c r="R67" s="203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00"/>
      <c r="R68" s="201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00"/>
      <c r="R69" s="201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00"/>
      <c r="R70" s="201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00"/>
      <c r="R71" s="201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00"/>
      <c r="R72" s="201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00"/>
      <c r="R73" s="201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00"/>
      <c r="R74" s="201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00"/>
      <c r="R75" s="201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02"/>
      <c r="R76" s="203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02"/>
      <c r="R77" s="203"/>
    </row>
    <row r="78" spans="1:18" ht="17.25" customHeight="1" thickBot="1">
      <c r="A78" s="57" t="s">
        <v>32</v>
      </c>
      <c r="B78" s="206">
        <v>300000</v>
      </c>
      <c r="C78" s="207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72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02"/>
      <c r="R84" s="203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00"/>
      <c r="R85" s="201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00"/>
      <c r="R86" s="201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00"/>
      <c r="R87" s="201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00"/>
      <c r="R88" s="201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00"/>
      <c r="R89" s="201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00"/>
      <c r="R90" s="201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00"/>
      <c r="R91" s="201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00"/>
      <c r="R92" s="201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02"/>
      <c r="R93" s="203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02"/>
      <c r="R94" s="203"/>
    </row>
    <row r="95" spans="1:18" ht="17.25" customHeight="1" thickBot="1">
      <c r="A95" s="57" t="s">
        <v>32</v>
      </c>
      <c r="B95" s="206">
        <v>300000</v>
      </c>
      <c r="C95" s="207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72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02"/>
      <c r="R101" s="203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00"/>
      <c r="R102" s="201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00"/>
      <c r="R103" s="201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00"/>
      <c r="R104" s="201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00"/>
      <c r="R105" s="201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00"/>
      <c r="R106" s="201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00"/>
      <c r="R107" s="201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00"/>
      <c r="R108" s="201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00"/>
      <c r="R109" s="201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02"/>
      <c r="R110" s="203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02"/>
      <c r="R111" s="203"/>
    </row>
    <row r="112" spans="1:18" ht="17.25" customHeight="1" thickBot="1">
      <c r="A112" s="57" t="s">
        <v>32</v>
      </c>
      <c r="B112" s="206">
        <v>300000</v>
      </c>
      <c r="C112" s="207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80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79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30"/>
      <c r="R16" s="231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28"/>
      <c r="R17" s="229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28"/>
      <c r="R18" s="229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28"/>
      <c r="R19" s="229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28"/>
      <c r="R20" s="229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28"/>
      <c r="R21" s="229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28"/>
      <c r="R22" s="229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28"/>
      <c r="R23" s="229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28"/>
      <c r="R24" s="229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30"/>
      <c r="R25" s="231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30"/>
      <c r="R26" s="231"/>
    </row>
    <row r="27" spans="1:18" ht="17.25" customHeight="1" thickBot="1">
      <c r="A27" s="57" t="s">
        <v>32</v>
      </c>
      <c r="B27" s="206">
        <v>300000</v>
      </c>
      <c r="C27" s="207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79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02"/>
      <c r="R33" s="203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00"/>
      <c r="R34" s="201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00"/>
      <c r="R35" s="201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00"/>
      <c r="R36" s="201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00"/>
      <c r="R37" s="201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00"/>
      <c r="R38" s="201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00"/>
      <c r="R39" s="201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00"/>
      <c r="R40" s="201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00"/>
      <c r="R41" s="201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02"/>
      <c r="R42" s="203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02"/>
      <c r="R43" s="203"/>
    </row>
    <row r="44" spans="1:18" ht="17.25" customHeight="1" thickBot="1">
      <c r="A44" s="57" t="s">
        <v>32</v>
      </c>
      <c r="B44" s="206">
        <v>300000</v>
      </c>
      <c r="C44" s="207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79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02"/>
      <c r="R50" s="203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00"/>
      <c r="R51" s="201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00"/>
      <c r="R52" s="201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00"/>
      <c r="R53" s="201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00"/>
      <c r="R54" s="201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00"/>
      <c r="R55" s="201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00"/>
      <c r="R56" s="201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00"/>
      <c r="R57" s="201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300000</v>
      </c>
      <c r="C61" s="207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79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02"/>
      <c r="R67" s="203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00"/>
      <c r="R68" s="201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00"/>
      <c r="R69" s="201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00"/>
      <c r="R70" s="201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00"/>
      <c r="R71" s="201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00"/>
      <c r="R72" s="201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00"/>
      <c r="R73" s="201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00"/>
      <c r="R74" s="201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00"/>
      <c r="R75" s="201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02"/>
      <c r="R76" s="203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02"/>
      <c r="R77" s="203"/>
    </row>
    <row r="78" spans="1:18" ht="17.25" customHeight="1" thickBot="1">
      <c r="A78" s="57" t="s">
        <v>32</v>
      </c>
      <c r="B78" s="206">
        <v>300000</v>
      </c>
      <c r="C78" s="207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79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02"/>
      <c r="R84" s="203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00"/>
      <c r="R85" s="201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00"/>
      <c r="R86" s="201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00"/>
      <c r="R87" s="201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00"/>
      <c r="R88" s="201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00"/>
      <c r="R89" s="201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00"/>
      <c r="R90" s="201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00"/>
      <c r="R91" s="201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00"/>
      <c r="R92" s="201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02"/>
      <c r="R93" s="203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02"/>
      <c r="R94" s="203"/>
    </row>
    <row r="95" spans="1:18" ht="17.25" customHeight="1" thickBot="1">
      <c r="A95" s="57" t="s">
        <v>32</v>
      </c>
      <c r="B95" s="206">
        <v>300000</v>
      </c>
      <c r="C95" s="207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79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02"/>
      <c r="R101" s="203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00"/>
      <c r="R102" s="201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00"/>
      <c r="R103" s="201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00"/>
      <c r="R104" s="201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00"/>
      <c r="R105" s="201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00"/>
      <c r="R106" s="201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00"/>
      <c r="R107" s="201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00"/>
      <c r="R108" s="201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00"/>
      <c r="R109" s="201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02"/>
      <c r="R110" s="203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02"/>
      <c r="R111" s="203"/>
    </row>
    <row r="112" spans="1:18" ht="17.25" customHeight="1" thickBot="1">
      <c r="A112" s="57" t="s">
        <v>32</v>
      </c>
      <c r="B112" s="206">
        <v>300000</v>
      </c>
      <c r="C112" s="207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87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86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30"/>
      <c r="R16" s="231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8"/>
      <c r="R17" s="22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8"/>
      <c r="R18" s="22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8"/>
      <c r="R19" s="22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8"/>
      <c r="R20" s="22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8"/>
      <c r="R21" s="22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8"/>
      <c r="R22" s="22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86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02"/>
      <c r="R33" s="203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00"/>
      <c r="R34" s="201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00"/>
      <c r="R35" s="201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00"/>
      <c r="R36" s="201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00"/>
      <c r="R37" s="201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00"/>
      <c r="R38" s="201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00"/>
      <c r="R39" s="201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00"/>
      <c r="R40" s="201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00"/>
      <c r="R41" s="201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02"/>
      <c r="R42" s="203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86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02"/>
      <c r="R50" s="203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00"/>
      <c r="R51" s="201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00"/>
      <c r="R52" s="201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00"/>
      <c r="R53" s="201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00"/>
      <c r="R54" s="201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00"/>
      <c r="R55" s="201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00"/>
      <c r="R56" s="201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86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02"/>
      <c r="R67" s="203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0"/>
      <c r="R68" s="201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00"/>
      <c r="R69" s="201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00"/>
      <c r="R70" s="201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00"/>
      <c r="R71" s="201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00"/>
      <c r="R72" s="201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00"/>
      <c r="R73" s="201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00"/>
      <c r="R74" s="201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00"/>
      <c r="R75" s="201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02"/>
      <c r="R76" s="203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86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02"/>
      <c r="R84" s="203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00"/>
      <c r="R85" s="201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00"/>
      <c r="R86" s="201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00"/>
      <c r="R87" s="201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00"/>
      <c r="R88" s="201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00"/>
      <c r="R89" s="201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00"/>
      <c r="R90" s="201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00"/>
      <c r="R91" s="201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00"/>
      <c r="R92" s="201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02"/>
      <c r="R93" s="203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86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02"/>
      <c r="R101" s="203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00"/>
      <c r="R102" s="201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00"/>
      <c r="R103" s="201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00"/>
      <c r="R104" s="201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00"/>
      <c r="R105" s="201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00"/>
      <c r="R106" s="201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00"/>
      <c r="R107" s="201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00"/>
      <c r="R108" s="201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00"/>
      <c r="R109" s="201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02"/>
      <c r="R110" s="203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04"/>
      <c r="R112" s="205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tabSelected="1" zoomScaleNormal="100" workbookViewId="0">
      <selection activeCell="D102" sqref="D102:D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08" t="s">
        <v>0</v>
      </c>
      <c r="B1" s="209"/>
      <c r="C1" s="209"/>
      <c r="D1" s="209"/>
      <c r="E1" s="209"/>
      <c r="F1" s="210"/>
      <c r="G1" s="252">
        <v>44287</v>
      </c>
      <c r="H1" s="253"/>
      <c r="I1" s="254"/>
      <c r="J1" s="208" t="s">
        <v>33</v>
      </c>
      <c r="K1" s="209"/>
      <c r="L1" s="209"/>
      <c r="M1" s="209"/>
      <c r="N1" s="209"/>
      <c r="O1" s="210"/>
      <c r="Q1" s="208" t="s">
        <v>1</v>
      </c>
      <c r="R1" s="210"/>
    </row>
    <row r="2" spans="1:18" ht="17.25" customHeight="1">
      <c r="A2" s="3" t="s">
        <v>22</v>
      </c>
      <c r="B2" s="255" t="s">
        <v>31</v>
      </c>
      <c r="C2" s="256"/>
      <c r="D2" s="256"/>
      <c r="E2" s="256"/>
      <c r="F2" s="257"/>
      <c r="G2" s="249" t="s">
        <v>83</v>
      </c>
      <c r="H2" s="250"/>
      <c r="I2" s="251"/>
      <c r="J2" s="3" t="s">
        <v>22</v>
      </c>
      <c r="K2" s="255" t="s">
        <v>61</v>
      </c>
      <c r="L2" s="256"/>
      <c r="M2" s="256"/>
      <c r="N2" s="256"/>
      <c r="O2" s="257"/>
      <c r="Q2" s="18" t="s">
        <v>89</v>
      </c>
      <c r="R2" s="49">
        <v>0.375</v>
      </c>
    </row>
    <row r="3" spans="1:18" ht="17.25" customHeight="1" thickBot="1">
      <c r="A3" s="1" t="s">
        <v>23</v>
      </c>
      <c r="B3" s="246" t="s">
        <v>55</v>
      </c>
      <c r="C3" s="247"/>
      <c r="D3" s="247"/>
      <c r="E3" s="247"/>
      <c r="F3" s="248"/>
      <c r="G3" s="237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-108,633 KRW (-10.86%)</v>
      </c>
      <c r="H3" s="238"/>
      <c r="I3" s="239"/>
      <c r="J3" s="1" t="s">
        <v>23</v>
      </c>
      <c r="K3" s="246" t="s">
        <v>59</v>
      </c>
      <c r="L3" s="247"/>
      <c r="M3" s="247"/>
      <c r="N3" s="247"/>
      <c r="O3" s="24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46" t="s">
        <v>56</v>
      </c>
      <c r="C4" s="247"/>
      <c r="D4" s="247"/>
      <c r="E4" s="247"/>
      <c r="F4" s="248"/>
      <c r="G4" s="249" t="s">
        <v>84</v>
      </c>
      <c r="H4" s="250"/>
      <c r="I4" s="251"/>
      <c r="J4" s="1" t="s">
        <v>30</v>
      </c>
      <c r="K4" s="246" t="s">
        <v>60</v>
      </c>
      <c r="L4" s="247"/>
      <c r="M4" s="247"/>
      <c r="N4" s="247"/>
      <c r="O4" s="248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46" t="s">
        <v>57</v>
      </c>
      <c r="C5" s="247"/>
      <c r="D5" s="247"/>
      <c r="E5" s="247"/>
      <c r="F5" s="248"/>
      <c r="G5" s="237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-59,840 KRW (-9.97%)</v>
      </c>
      <c r="H5" s="238"/>
      <c r="I5" s="239"/>
      <c r="J5" s="1" t="s">
        <v>24</v>
      </c>
      <c r="K5" s="246" t="s">
        <v>62</v>
      </c>
      <c r="L5" s="247"/>
      <c r="M5" s="247"/>
      <c r="N5" s="247"/>
      <c r="O5" s="248"/>
    </row>
    <row r="6" spans="1:18">
      <c r="A6" s="1" t="s">
        <v>25</v>
      </c>
      <c r="B6" s="246" t="s">
        <v>58</v>
      </c>
      <c r="C6" s="247"/>
      <c r="D6" s="247"/>
      <c r="E6" s="247"/>
      <c r="F6" s="248"/>
      <c r="G6" s="249" t="s">
        <v>85</v>
      </c>
      <c r="H6" s="250"/>
      <c r="I6" s="251"/>
      <c r="J6" s="1" t="s">
        <v>25</v>
      </c>
      <c r="K6" s="246" t="s">
        <v>63</v>
      </c>
      <c r="L6" s="247"/>
      <c r="M6" s="247"/>
      <c r="N6" s="247"/>
      <c r="O6" s="248"/>
    </row>
    <row r="7" spans="1:18" ht="17.25" thickBot="1">
      <c r="A7" s="1" t="s">
        <v>26</v>
      </c>
      <c r="B7" s="246" t="s">
        <v>64</v>
      </c>
      <c r="C7" s="247"/>
      <c r="D7" s="247"/>
      <c r="E7" s="247"/>
      <c r="F7" s="248"/>
      <c r="G7" s="237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-60,847 KRW (-6.08%)</v>
      </c>
      <c r="H7" s="238"/>
      <c r="I7" s="239"/>
      <c r="J7" s="1" t="s">
        <v>26</v>
      </c>
      <c r="K7" s="246" t="s">
        <v>65</v>
      </c>
      <c r="L7" s="247"/>
      <c r="M7" s="247"/>
      <c r="N7" s="247"/>
      <c r="O7" s="248"/>
    </row>
    <row r="8" spans="1:18" ht="17.25" thickBot="1">
      <c r="A8" s="1" t="s">
        <v>27</v>
      </c>
      <c r="B8" s="246" t="s">
        <v>66</v>
      </c>
      <c r="C8" s="247"/>
      <c r="D8" s="247"/>
      <c r="E8" s="247"/>
      <c r="F8" s="248"/>
      <c r="G8" s="249" t="s">
        <v>86</v>
      </c>
      <c r="H8" s="250"/>
      <c r="I8" s="251"/>
      <c r="J8" s="1" t="s">
        <v>27</v>
      </c>
      <c r="K8" s="246" t="s">
        <v>88</v>
      </c>
      <c r="L8" s="247"/>
      <c r="M8" s="247"/>
      <c r="N8" s="247"/>
      <c r="O8" s="248"/>
      <c r="Q8" s="208" t="s">
        <v>16</v>
      </c>
      <c r="R8" s="210"/>
    </row>
    <row r="9" spans="1:18" ht="17.25" thickBot="1">
      <c r="A9" s="1" t="s">
        <v>28</v>
      </c>
      <c r="B9" s="246"/>
      <c r="C9" s="247"/>
      <c r="D9" s="247"/>
      <c r="E9" s="247"/>
      <c r="F9" s="248"/>
      <c r="G9" s="237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-69,908 KRW (-6.99%)</v>
      </c>
      <c r="H9" s="238"/>
      <c r="I9" s="239"/>
      <c r="J9" s="1" t="s">
        <v>28</v>
      </c>
      <c r="K9" s="246" t="s">
        <v>218</v>
      </c>
      <c r="L9" s="247"/>
      <c r="M9" s="247"/>
      <c r="N9" s="247"/>
      <c r="O9" s="248"/>
      <c r="Q9" s="18" t="s">
        <v>2</v>
      </c>
      <c r="R9" s="51">
        <v>10</v>
      </c>
    </row>
    <row r="10" spans="1:18">
      <c r="A10" s="1" t="s">
        <v>29</v>
      </c>
      <c r="B10" s="246"/>
      <c r="C10" s="247"/>
      <c r="D10" s="247"/>
      <c r="E10" s="247"/>
      <c r="F10" s="248"/>
      <c r="G10" s="249" t="s">
        <v>81</v>
      </c>
      <c r="H10" s="250"/>
      <c r="I10" s="251"/>
      <c r="J10" s="1" t="s">
        <v>29</v>
      </c>
      <c r="K10" s="246"/>
      <c r="L10" s="247"/>
      <c r="M10" s="247"/>
      <c r="N10" s="247"/>
      <c r="O10" s="248"/>
      <c r="Q10" s="18" t="s">
        <v>3</v>
      </c>
      <c r="R10" s="51">
        <v>100</v>
      </c>
    </row>
    <row r="11" spans="1:18" ht="17.25" thickBot="1">
      <c r="A11" s="2" t="s">
        <v>21</v>
      </c>
      <c r="B11" s="234"/>
      <c r="C11" s="235"/>
      <c r="D11" s="235"/>
      <c r="E11" s="235"/>
      <c r="F11" s="236"/>
      <c r="G11" s="237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-116,433 KRW (-11.64%)</v>
      </c>
      <c r="H11" s="238"/>
      <c r="I11" s="239"/>
      <c r="J11" s="2" t="s">
        <v>21</v>
      </c>
      <c r="K11" s="234"/>
      <c r="L11" s="235"/>
      <c r="M11" s="235"/>
      <c r="N11" s="235"/>
      <c r="O11" s="236"/>
      <c r="Q11" s="198" t="s">
        <v>17</v>
      </c>
      <c r="R11" s="52">
        <v>1000</v>
      </c>
    </row>
    <row r="12" spans="1:18" ht="17.25" thickBot="1"/>
    <row r="13" spans="1:18" ht="17.25" customHeight="1" thickBot="1">
      <c r="A13" s="208" t="s">
        <v>87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10"/>
      <c r="Q13" s="240"/>
      <c r="R13" s="241"/>
    </row>
    <row r="14" spans="1:18" ht="17.25" customHeight="1" thickBot="1">
      <c r="A14" s="193" t="s">
        <v>187</v>
      </c>
      <c r="B14" s="208" t="s">
        <v>186</v>
      </c>
      <c r="C14" s="210"/>
      <c r="D14" s="208" t="s">
        <v>67</v>
      </c>
      <c r="E14" s="209"/>
      <c r="F14" s="210"/>
      <c r="G14" s="222">
        <f>_xlfn.IFNA(VLOOKUP(B14, 현재가테이블!$B$1:$D$200, 2, FALSE), "-")</f>
        <v>66000000</v>
      </c>
      <c r="H14" s="223"/>
      <c r="I14" s="224"/>
      <c r="J14" s="208" t="s">
        <v>69</v>
      </c>
      <c r="K14" s="209"/>
      <c r="L14" s="210"/>
      <c r="M14" s="225">
        <f>_xlfn.IFNA(VLOOKUP(B14, 현재가테이블!$B$1:$D$200, 3, FALSE), "-")</f>
        <v>-3.2229684199999997E-2</v>
      </c>
      <c r="N14" s="226"/>
      <c r="O14" s="227"/>
      <c r="Q14" s="242"/>
      <c r="R14" s="243"/>
    </row>
    <row r="15" spans="1:18" ht="17.25" customHeight="1" thickBot="1">
      <c r="A15" s="215" t="s">
        <v>18</v>
      </c>
      <c r="B15" s="216" t="s">
        <v>54</v>
      </c>
      <c r="C15" s="217"/>
      <c r="D15" s="244" t="s">
        <v>20</v>
      </c>
      <c r="E15" s="221"/>
      <c r="F15" s="245"/>
      <c r="G15" s="244" t="s">
        <v>15</v>
      </c>
      <c r="H15" s="221"/>
      <c r="I15" s="245"/>
      <c r="J15" s="221" t="s">
        <v>34</v>
      </c>
      <c r="K15" s="221"/>
      <c r="L15" s="221"/>
      <c r="M15" s="244" t="s">
        <v>54</v>
      </c>
      <c r="N15" s="221"/>
      <c r="O15" s="245"/>
      <c r="Q15" s="230"/>
      <c r="R15" s="231"/>
    </row>
    <row r="16" spans="1:18" ht="17.25" customHeight="1" thickBot="1">
      <c r="A16" s="21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30"/>
      <c r="R16" s="231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28"/>
      <c r="R17" s="229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28"/>
      <c r="R18" s="229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28"/>
      <c r="R19" s="229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28"/>
      <c r="R20" s="229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28"/>
      <c r="R21" s="229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28"/>
      <c r="R22" s="229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28"/>
      <c r="R23" s="229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28"/>
      <c r="R24" s="229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30"/>
      <c r="R25" s="231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30"/>
      <c r="R26" s="231"/>
    </row>
    <row r="27" spans="1:18" ht="17.25" customHeight="1" thickBot="1">
      <c r="A27" s="57" t="s">
        <v>32</v>
      </c>
      <c r="B27" s="206">
        <v>100000</v>
      </c>
      <c r="C27" s="207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32"/>
      <c r="R27" s="233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08" t="s">
        <v>83</v>
      </c>
      <c r="B30" s="209"/>
      <c r="C30" s="209"/>
      <c r="D30" s="209"/>
      <c r="E30" s="209"/>
      <c r="F30" s="209"/>
      <c r="G30" s="209"/>
      <c r="H30" s="209"/>
      <c r="I30" s="209"/>
      <c r="J30" s="209"/>
      <c r="K30" s="209"/>
      <c r="L30" s="209"/>
      <c r="M30" s="209"/>
      <c r="N30" s="209"/>
      <c r="O30" s="210"/>
      <c r="Q30" s="211"/>
      <c r="R30" s="212"/>
    </row>
    <row r="31" spans="1:18" ht="17.25" customHeight="1" thickBot="1">
      <c r="A31" s="193" t="s">
        <v>187</v>
      </c>
      <c r="B31" s="208" t="s">
        <v>186</v>
      </c>
      <c r="C31" s="210"/>
      <c r="D31" s="208" t="s">
        <v>67</v>
      </c>
      <c r="E31" s="209"/>
      <c r="F31" s="210"/>
      <c r="G31" s="222">
        <f>_xlfn.IFNA(VLOOKUP(B31, 현재가테이블!$B$1:$D$200, 2, FALSE), "-")</f>
        <v>66000000</v>
      </c>
      <c r="H31" s="223"/>
      <c r="I31" s="224"/>
      <c r="J31" s="208" t="s">
        <v>69</v>
      </c>
      <c r="K31" s="209"/>
      <c r="L31" s="210"/>
      <c r="M31" s="225">
        <f>_xlfn.IFNA(VLOOKUP(B31, 현재가테이블!$B$1:$D$200, 3, FALSE), "-")</f>
        <v>-3.2229684199999997E-2</v>
      </c>
      <c r="N31" s="226"/>
      <c r="O31" s="227"/>
      <c r="Q31" s="213"/>
      <c r="R31" s="214"/>
    </row>
    <row r="32" spans="1:18" ht="17.25" customHeight="1" thickBot="1">
      <c r="A32" s="215" t="s">
        <v>18</v>
      </c>
      <c r="B32" s="216" t="s">
        <v>54</v>
      </c>
      <c r="C32" s="217"/>
      <c r="D32" s="218" t="s">
        <v>20</v>
      </c>
      <c r="E32" s="219"/>
      <c r="F32" s="220"/>
      <c r="G32" s="218" t="s">
        <v>15</v>
      </c>
      <c r="H32" s="219"/>
      <c r="I32" s="220"/>
      <c r="J32" s="221" t="s">
        <v>34</v>
      </c>
      <c r="K32" s="221"/>
      <c r="L32" s="221"/>
      <c r="M32" s="218" t="s">
        <v>54</v>
      </c>
      <c r="N32" s="219"/>
      <c r="O32" s="220"/>
      <c r="Q32" s="202"/>
      <c r="R32" s="203"/>
    </row>
    <row r="33" spans="1:18" ht="17.25" customHeight="1" thickBot="1">
      <c r="A33" s="21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02"/>
      <c r="R33" s="203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00"/>
      <c r="R34" s="201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0"/>
      <c r="R35" s="201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0"/>
      <c r="R36" s="201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0"/>
      <c r="R37" s="201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0"/>
      <c r="R38" s="201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0"/>
      <c r="R39" s="201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0"/>
      <c r="R40" s="201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0"/>
      <c r="R41" s="201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2"/>
      <c r="R42" s="203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2"/>
      <c r="R43" s="203"/>
    </row>
    <row r="44" spans="1:18" ht="17.25" customHeight="1" thickBot="1">
      <c r="A44" s="57" t="s">
        <v>32</v>
      </c>
      <c r="B44" s="206">
        <v>100000</v>
      </c>
      <c r="C44" s="207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4"/>
      <c r="R44" s="205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08" t="s">
        <v>84</v>
      </c>
      <c r="B47" s="209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10"/>
      <c r="Q47" s="211"/>
      <c r="R47" s="212"/>
    </row>
    <row r="48" spans="1:18" ht="17.25" customHeight="1" thickBot="1">
      <c r="A48" s="193" t="s">
        <v>187</v>
      </c>
      <c r="B48" s="208" t="s">
        <v>186</v>
      </c>
      <c r="C48" s="210"/>
      <c r="D48" s="208" t="s">
        <v>67</v>
      </c>
      <c r="E48" s="209"/>
      <c r="F48" s="210"/>
      <c r="G48" s="222">
        <f>_xlfn.IFNA(VLOOKUP(B48, 현재가테이블!$B$1:$D$200, 2, FALSE), "-")</f>
        <v>66000000</v>
      </c>
      <c r="H48" s="223"/>
      <c r="I48" s="224"/>
      <c r="J48" s="208" t="s">
        <v>69</v>
      </c>
      <c r="K48" s="209"/>
      <c r="L48" s="210"/>
      <c r="M48" s="225">
        <f>_xlfn.IFNA(VLOOKUP(B48, 현재가테이블!$B$1:$D$200, 3, FALSE), "-")</f>
        <v>-3.2229684199999997E-2</v>
      </c>
      <c r="N48" s="226"/>
      <c r="O48" s="227"/>
      <c r="Q48" s="213"/>
      <c r="R48" s="214"/>
    </row>
    <row r="49" spans="1:18" ht="17.25" customHeight="1" thickBot="1">
      <c r="A49" s="215" t="s">
        <v>18</v>
      </c>
      <c r="B49" s="216" t="s">
        <v>54</v>
      </c>
      <c r="C49" s="217"/>
      <c r="D49" s="218" t="s">
        <v>20</v>
      </c>
      <c r="E49" s="219"/>
      <c r="F49" s="220"/>
      <c r="G49" s="218" t="s">
        <v>15</v>
      </c>
      <c r="H49" s="219"/>
      <c r="I49" s="220"/>
      <c r="J49" s="221" t="s">
        <v>34</v>
      </c>
      <c r="K49" s="221"/>
      <c r="L49" s="221"/>
      <c r="M49" s="218" t="s">
        <v>54</v>
      </c>
      <c r="N49" s="219"/>
      <c r="O49" s="220"/>
      <c r="Q49" s="202"/>
      <c r="R49" s="203"/>
    </row>
    <row r="50" spans="1:18" ht="17.25" customHeight="1" thickBot="1">
      <c r="A50" s="21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02"/>
      <c r="R50" s="203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0"/>
      <c r="R51" s="201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0"/>
      <c r="R52" s="201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0"/>
      <c r="R53" s="201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0"/>
      <c r="R54" s="201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0"/>
      <c r="R55" s="201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0"/>
      <c r="R56" s="201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0"/>
      <c r="R57" s="201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0"/>
      <c r="R58" s="201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2"/>
      <c r="R59" s="203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2"/>
      <c r="R60" s="203"/>
    </row>
    <row r="61" spans="1:18" ht="17.25" customHeight="1" thickBot="1">
      <c r="A61" s="57" t="s">
        <v>32</v>
      </c>
      <c r="B61" s="206">
        <v>100000</v>
      </c>
      <c r="C61" s="207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4"/>
      <c r="R61" s="205"/>
    </row>
    <row r="62" spans="1:18" ht="17.25" customHeight="1"/>
    <row r="63" spans="1:18" ht="17.25" customHeight="1" thickBot="1"/>
    <row r="64" spans="1:18" ht="17.25" customHeight="1" thickBot="1">
      <c r="A64" s="208" t="s">
        <v>85</v>
      </c>
      <c r="B64" s="209"/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  <c r="O64" s="210"/>
      <c r="Q64" s="211"/>
      <c r="R64" s="212"/>
    </row>
    <row r="65" spans="1:18" ht="17.25" customHeight="1" thickBot="1">
      <c r="A65" s="193" t="s">
        <v>187</v>
      </c>
      <c r="B65" s="208" t="s">
        <v>186</v>
      </c>
      <c r="C65" s="210"/>
      <c r="D65" s="208" t="s">
        <v>67</v>
      </c>
      <c r="E65" s="209"/>
      <c r="F65" s="210"/>
      <c r="G65" s="222">
        <f>_xlfn.IFNA(VLOOKUP(B65, 현재가테이블!$B$1:$D$200, 2, FALSE), "-")</f>
        <v>66000000</v>
      </c>
      <c r="H65" s="223"/>
      <c r="I65" s="224"/>
      <c r="J65" s="208" t="s">
        <v>69</v>
      </c>
      <c r="K65" s="209"/>
      <c r="L65" s="210"/>
      <c r="M65" s="225">
        <f>_xlfn.IFNA(VLOOKUP(B65, 현재가테이블!$B$1:$D$200, 3, FALSE), "-")</f>
        <v>-3.2229684199999997E-2</v>
      </c>
      <c r="N65" s="226"/>
      <c r="O65" s="227"/>
      <c r="Q65" s="213"/>
      <c r="R65" s="214"/>
    </row>
    <row r="66" spans="1:18" ht="17.25" customHeight="1" thickBot="1">
      <c r="A66" s="215" t="s">
        <v>18</v>
      </c>
      <c r="B66" s="216" t="s">
        <v>54</v>
      </c>
      <c r="C66" s="217"/>
      <c r="D66" s="218" t="s">
        <v>20</v>
      </c>
      <c r="E66" s="219"/>
      <c r="F66" s="220"/>
      <c r="G66" s="218" t="s">
        <v>15</v>
      </c>
      <c r="H66" s="219"/>
      <c r="I66" s="220"/>
      <c r="J66" s="221" t="s">
        <v>34</v>
      </c>
      <c r="K66" s="221"/>
      <c r="L66" s="221"/>
      <c r="M66" s="218" t="s">
        <v>54</v>
      </c>
      <c r="N66" s="219"/>
      <c r="O66" s="220"/>
      <c r="Q66" s="202"/>
      <c r="R66" s="203"/>
    </row>
    <row r="67" spans="1:18" ht="17.25" customHeight="1" thickBot="1">
      <c r="A67" s="21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02"/>
      <c r="R67" s="203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00"/>
      <c r="R68" s="201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0"/>
      <c r="R69" s="201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0"/>
      <c r="R70" s="201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0"/>
      <c r="R71" s="201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0"/>
      <c r="R72" s="201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0"/>
      <c r="R73" s="201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0"/>
      <c r="R74" s="201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0"/>
      <c r="R75" s="201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2"/>
      <c r="R76" s="203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2"/>
      <c r="R77" s="203"/>
    </row>
    <row r="78" spans="1:18" ht="17.25" customHeight="1" thickBot="1">
      <c r="A78" s="57" t="s">
        <v>32</v>
      </c>
      <c r="B78" s="206">
        <v>100000</v>
      </c>
      <c r="C78" s="207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4"/>
      <c r="R78" s="205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08" t="s">
        <v>86</v>
      </c>
      <c r="B81" s="209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10"/>
      <c r="Q81" s="211"/>
      <c r="R81" s="212"/>
    </row>
    <row r="82" spans="1:18" ht="17.25" customHeight="1" thickBot="1">
      <c r="A82" s="193" t="s">
        <v>187</v>
      </c>
      <c r="B82" s="208" t="s">
        <v>186</v>
      </c>
      <c r="C82" s="210"/>
      <c r="D82" s="208" t="s">
        <v>67</v>
      </c>
      <c r="E82" s="209"/>
      <c r="F82" s="210"/>
      <c r="G82" s="222">
        <f>_xlfn.IFNA(VLOOKUP(B82, 현재가테이블!$B$1:$D$200, 2, FALSE), "-")</f>
        <v>66000000</v>
      </c>
      <c r="H82" s="223"/>
      <c r="I82" s="224"/>
      <c r="J82" s="208" t="s">
        <v>69</v>
      </c>
      <c r="K82" s="209"/>
      <c r="L82" s="210"/>
      <c r="M82" s="225">
        <f>_xlfn.IFNA(VLOOKUP(B82, 현재가테이블!$B$1:$D$200, 3, FALSE), "-")</f>
        <v>-3.2229684199999997E-2</v>
      </c>
      <c r="N82" s="226"/>
      <c r="O82" s="227"/>
      <c r="Q82" s="213"/>
      <c r="R82" s="214"/>
    </row>
    <row r="83" spans="1:18" ht="17.25" customHeight="1" thickBot="1">
      <c r="A83" s="215" t="s">
        <v>18</v>
      </c>
      <c r="B83" s="216" t="s">
        <v>54</v>
      </c>
      <c r="C83" s="217"/>
      <c r="D83" s="218" t="s">
        <v>20</v>
      </c>
      <c r="E83" s="219"/>
      <c r="F83" s="220"/>
      <c r="G83" s="218" t="s">
        <v>15</v>
      </c>
      <c r="H83" s="219"/>
      <c r="I83" s="220"/>
      <c r="J83" s="221" t="s">
        <v>34</v>
      </c>
      <c r="K83" s="221"/>
      <c r="L83" s="221"/>
      <c r="M83" s="218" t="s">
        <v>54</v>
      </c>
      <c r="N83" s="219"/>
      <c r="O83" s="220"/>
      <c r="Q83" s="202"/>
      <c r="R83" s="203"/>
    </row>
    <row r="84" spans="1:18" ht="17.25" customHeight="1" thickBot="1">
      <c r="A84" s="21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02"/>
      <c r="R84" s="203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0"/>
      <c r="R85" s="201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0"/>
      <c r="R86" s="201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0"/>
      <c r="R87" s="201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0"/>
      <c r="R88" s="201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0"/>
      <c r="R89" s="201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0"/>
      <c r="R90" s="201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0"/>
      <c r="R91" s="201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0"/>
      <c r="R92" s="201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2"/>
      <c r="R93" s="203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2"/>
      <c r="R94" s="203"/>
    </row>
    <row r="95" spans="1:18" ht="17.25" customHeight="1" thickBot="1">
      <c r="A95" s="57" t="s">
        <v>32</v>
      </c>
      <c r="B95" s="206">
        <v>100000</v>
      </c>
      <c r="C95" s="207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4"/>
      <c r="R95" s="205"/>
    </row>
    <row r="96" spans="1:18" ht="17.25" customHeight="1"/>
    <row r="97" spans="1:18" ht="17.25" customHeight="1" thickBot="1"/>
    <row r="98" spans="1:18" ht="17.25" customHeight="1" thickBot="1">
      <c r="A98" s="208" t="s">
        <v>81</v>
      </c>
      <c r="B98" s="209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10"/>
      <c r="Q98" s="211"/>
      <c r="R98" s="212"/>
    </row>
    <row r="99" spans="1:18" ht="17.25" customHeight="1" thickBot="1">
      <c r="A99" s="193" t="s">
        <v>187</v>
      </c>
      <c r="B99" s="208" t="s">
        <v>186</v>
      </c>
      <c r="C99" s="210"/>
      <c r="D99" s="208" t="s">
        <v>67</v>
      </c>
      <c r="E99" s="209"/>
      <c r="F99" s="210"/>
      <c r="G99" s="222">
        <f>_xlfn.IFNA(VLOOKUP(B99, 현재가테이블!$B$1:$D$200, 2, FALSE), "-")</f>
        <v>66000000</v>
      </c>
      <c r="H99" s="223"/>
      <c r="I99" s="224"/>
      <c r="J99" s="208" t="s">
        <v>69</v>
      </c>
      <c r="K99" s="209"/>
      <c r="L99" s="210"/>
      <c r="M99" s="225">
        <f>_xlfn.IFNA(VLOOKUP(B99, 현재가테이블!$B$1:$D$200, 3, FALSE), "-")</f>
        <v>-3.2229684199999997E-2</v>
      </c>
      <c r="N99" s="226"/>
      <c r="O99" s="227"/>
      <c r="Q99" s="213"/>
      <c r="R99" s="214"/>
    </row>
    <row r="100" spans="1:18" ht="17.25" customHeight="1" thickBot="1">
      <c r="A100" s="215" t="s">
        <v>18</v>
      </c>
      <c r="B100" s="216" t="s">
        <v>54</v>
      </c>
      <c r="C100" s="217"/>
      <c r="D100" s="218" t="s">
        <v>20</v>
      </c>
      <c r="E100" s="219"/>
      <c r="F100" s="220"/>
      <c r="G100" s="218" t="s">
        <v>15</v>
      </c>
      <c r="H100" s="219"/>
      <c r="I100" s="220"/>
      <c r="J100" s="221" t="s">
        <v>34</v>
      </c>
      <c r="K100" s="221"/>
      <c r="L100" s="221"/>
      <c r="M100" s="218" t="s">
        <v>54</v>
      </c>
      <c r="N100" s="219"/>
      <c r="O100" s="220"/>
      <c r="Q100" s="202"/>
      <c r="R100" s="203"/>
    </row>
    <row r="101" spans="1:18" ht="17.25" customHeight="1" thickBot="1">
      <c r="A101" s="21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02"/>
      <c r="R101" s="203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00"/>
      <c r="R102" s="201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0"/>
      <c r="R103" s="201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00"/>
      <c r="R104" s="201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00"/>
      <c r="R105" s="201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00"/>
      <c r="R106" s="201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00"/>
      <c r="R107" s="201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00"/>
      <c r="R108" s="201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00"/>
      <c r="R109" s="201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02"/>
      <c r="R110" s="203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02"/>
      <c r="R111" s="203"/>
    </row>
    <row r="112" spans="1:18" ht="17.25" customHeight="1" thickBot="1">
      <c r="A112" s="57" t="s">
        <v>32</v>
      </c>
      <c r="B112" s="206">
        <v>100000</v>
      </c>
      <c r="C112" s="207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4"/>
      <c r="R112" s="205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66000000</v>
      </c>
      <c r="D1" s="90">
        <v>-3.2229684199999997E-2</v>
      </c>
      <c r="E1" s="67"/>
      <c r="F1" s="67"/>
      <c r="G1" s="67"/>
      <c r="H1" s="67"/>
      <c r="I1" s="67"/>
    </row>
    <row r="2" spans="1:17" ht="17.25" thickBot="1">
      <c r="A2" t="s">
        <v>279</v>
      </c>
      <c r="B2" t="s">
        <v>280</v>
      </c>
      <c r="C2">
        <v>2968000</v>
      </c>
      <c r="D2" s="90">
        <v>-7.3578595000000002E-3</v>
      </c>
      <c r="E2" s="67"/>
      <c r="F2" s="67"/>
      <c r="G2" s="67"/>
      <c r="H2" s="67"/>
      <c r="I2" s="67"/>
    </row>
    <row r="3" spans="1:17" ht="17.25" thickBot="1">
      <c r="A3" t="s">
        <v>281</v>
      </c>
      <c r="B3" t="s">
        <v>282</v>
      </c>
      <c r="C3">
        <v>116200</v>
      </c>
      <c r="D3" s="90">
        <v>-5.5284552799999997E-2</v>
      </c>
      <c r="E3" s="67"/>
      <c r="F3" s="67"/>
      <c r="G3" s="208" t="s">
        <v>202</v>
      </c>
      <c r="H3" s="209"/>
      <c r="I3" s="210"/>
      <c r="K3" s="208" t="s">
        <v>198</v>
      </c>
      <c r="L3" s="209"/>
      <c r="M3" s="210"/>
      <c r="O3" s="208" t="s">
        <v>84</v>
      </c>
      <c r="P3" s="209"/>
      <c r="Q3" s="210"/>
    </row>
    <row r="4" spans="1:17" ht="17.25" thickBot="1">
      <c r="A4" t="s">
        <v>246</v>
      </c>
      <c r="B4" t="s">
        <v>209</v>
      </c>
      <c r="C4">
        <v>4940</v>
      </c>
      <c r="D4" s="90">
        <v>-0.14310494360000001</v>
      </c>
      <c r="E4" s="67"/>
      <c r="F4" s="67"/>
      <c r="G4" s="249" t="s">
        <v>204</v>
      </c>
      <c r="H4" s="250"/>
      <c r="I4" s="251"/>
      <c r="K4" s="249" t="s">
        <v>201</v>
      </c>
      <c r="L4" s="208" t="s">
        <v>421</v>
      </c>
      <c r="M4" s="210"/>
      <c r="O4" s="249" t="s">
        <v>201</v>
      </c>
      <c r="P4" s="208" t="s">
        <v>421</v>
      </c>
      <c r="Q4" s="210"/>
    </row>
    <row r="5" spans="1:17" ht="17.25" thickBot="1">
      <c r="A5" t="s">
        <v>283</v>
      </c>
      <c r="B5" t="s">
        <v>284</v>
      </c>
      <c r="C5">
        <v>319000</v>
      </c>
      <c r="D5" s="90">
        <v>-2.44648318E-2</v>
      </c>
      <c r="E5" s="67"/>
      <c r="F5" s="67"/>
      <c r="G5" s="237"/>
      <c r="H5" s="238"/>
      <c r="I5" s="239"/>
      <c r="K5" s="237"/>
      <c r="L5" s="75" t="s">
        <v>199</v>
      </c>
      <c r="M5" s="76" t="s">
        <v>200</v>
      </c>
      <c r="O5" s="237"/>
      <c r="P5" s="75" t="s">
        <v>199</v>
      </c>
      <c r="Q5" s="76" t="s">
        <v>200</v>
      </c>
    </row>
    <row r="6" spans="1:17" ht="17.25" thickBot="1">
      <c r="A6" t="s">
        <v>247</v>
      </c>
      <c r="B6" t="s">
        <v>205</v>
      </c>
      <c r="C6">
        <v>1600</v>
      </c>
      <c r="D6" s="90">
        <v>-2.1406727800000001E-2</v>
      </c>
      <c r="E6" s="67"/>
      <c r="F6" s="67"/>
      <c r="G6" s="105" t="s">
        <v>69</v>
      </c>
      <c r="H6" s="209" t="s">
        <v>67</v>
      </c>
      <c r="I6" s="210"/>
      <c r="K6" s="107" t="s">
        <v>100</v>
      </c>
      <c r="L6" s="77">
        <f t="shared" ref="L6:L15" si="0">_xlfn.IFNA(VLOOKUP(K6, $B$1:$D$200, 2, FALSE), "")</f>
        <v>29.3</v>
      </c>
      <c r="M6" s="78">
        <f t="shared" ref="M6:M15" si="1">_xlfn.IFNA(VLOOKUP(K6, $B$1:$D$200, 3, FALSE), "")</f>
        <v>-0.12012012010000001</v>
      </c>
      <c r="O6" s="108" t="s">
        <v>144</v>
      </c>
      <c r="P6" s="77">
        <f>_xlfn.IFNA(VLOOKUP(O6, $B$1:$D$200, 2, FALSE), "")</f>
        <v>37.4</v>
      </c>
      <c r="Q6" s="78">
        <f>_xlfn.IFNA(VLOOKUP(O6, $B$1:$D$200, 3, FALSE), "")</f>
        <v>-6.96517413E-2</v>
      </c>
    </row>
    <row r="7" spans="1:17">
      <c r="A7" t="s">
        <v>210</v>
      </c>
      <c r="B7" t="s">
        <v>211</v>
      </c>
      <c r="C7">
        <v>40860</v>
      </c>
      <c r="D7" s="90">
        <v>6.6518847000000001E-3</v>
      </c>
      <c r="E7" s="67"/>
      <c r="F7" s="67"/>
      <c r="G7" s="260">
        <f>_xlfn.IFNA(VLOOKUP(G4, $B$1:$D$200, 3, FALSE), "-")</f>
        <v>-3.2229684199999997E-2</v>
      </c>
      <c r="H7" s="262">
        <f>_xlfn.IFNA(VLOOKUP(G4, $B$1:$D$200, 2, FALSE), "-")</f>
        <v>66000000</v>
      </c>
      <c r="I7" s="263"/>
      <c r="K7" s="108" t="s">
        <v>145</v>
      </c>
      <c r="L7" s="77">
        <f t="shared" si="0"/>
        <v>75</v>
      </c>
      <c r="M7" s="78">
        <f t="shared" si="1"/>
        <v>-0.10179640719999999</v>
      </c>
      <c r="O7" s="108" t="s">
        <v>118</v>
      </c>
      <c r="P7" s="77">
        <f t="shared" ref="P7:P15" si="2">_xlfn.IFNA(VLOOKUP(O7, $B$1:$D$200, 2, FALSE), "")</f>
        <v>20.5</v>
      </c>
      <c r="Q7" s="78">
        <f t="shared" ref="Q7:Q15" si="3">_xlfn.IFNA(VLOOKUP(O7, $B$1:$D$200, 3, FALSE), "")</f>
        <v>-8.8888888900000004E-2</v>
      </c>
    </row>
    <row r="8" spans="1:17" ht="17.25" thickBot="1">
      <c r="A8" t="s">
        <v>285</v>
      </c>
      <c r="B8" t="s">
        <v>286</v>
      </c>
      <c r="C8">
        <v>9275</v>
      </c>
      <c r="D8" s="90">
        <v>-4.5781892999999997E-2</v>
      </c>
      <c r="E8" s="67"/>
      <c r="F8" s="67"/>
      <c r="G8" s="261"/>
      <c r="H8" s="264"/>
      <c r="I8" s="265"/>
      <c r="K8" s="108" t="s">
        <v>131</v>
      </c>
      <c r="L8" s="77">
        <f t="shared" si="0"/>
        <v>30.1</v>
      </c>
      <c r="M8" s="78">
        <f t="shared" si="1"/>
        <v>4.1522491299999999E-2</v>
      </c>
      <c r="O8" s="108" t="s">
        <v>162</v>
      </c>
      <c r="P8" s="77">
        <f t="shared" si="2"/>
        <v>49.9</v>
      </c>
      <c r="Q8" s="78">
        <f t="shared" si="3"/>
        <v>-7.0763500899999998E-2</v>
      </c>
    </row>
    <row r="9" spans="1:17" ht="17.25" thickBot="1">
      <c r="A9" t="s">
        <v>237</v>
      </c>
      <c r="B9" t="s">
        <v>213</v>
      </c>
      <c r="C9">
        <v>207</v>
      </c>
      <c r="D9" s="90">
        <v>-0.08</v>
      </c>
      <c r="E9" s="67"/>
      <c r="F9" s="67"/>
      <c r="K9" s="108" t="s">
        <v>157</v>
      </c>
      <c r="L9" s="77">
        <f t="shared" si="0"/>
        <v>24.5</v>
      </c>
      <c r="M9" s="78">
        <f t="shared" si="1"/>
        <v>-7.8947368399999995E-2</v>
      </c>
      <c r="O9" s="108" t="s">
        <v>95</v>
      </c>
      <c r="P9" s="77">
        <f t="shared" si="2"/>
        <v>28.2</v>
      </c>
      <c r="Q9" s="78">
        <f t="shared" si="3"/>
        <v>-8.4415584399999993E-2</v>
      </c>
    </row>
    <row r="10" spans="1:17" ht="17.25" thickBot="1">
      <c r="A10" t="s">
        <v>287</v>
      </c>
      <c r="B10" t="s">
        <v>288</v>
      </c>
      <c r="C10">
        <v>17080</v>
      </c>
      <c r="D10" s="90">
        <v>-6.5645514200000005E-2</v>
      </c>
      <c r="E10" s="67"/>
      <c r="F10" s="67"/>
      <c r="G10" s="208" t="s">
        <v>203</v>
      </c>
      <c r="H10" s="209"/>
      <c r="I10" s="210"/>
      <c r="K10" s="108" t="s">
        <v>154</v>
      </c>
      <c r="L10" s="77">
        <f t="shared" si="0"/>
        <v>20</v>
      </c>
      <c r="M10" s="78">
        <f t="shared" si="1"/>
        <v>-7.8341013799999998E-2</v>
      </c>
      <c r="O10" s="108" t="s">
        <v>142</v>
      </c>
      <c r="P10" s="77">
        <f t="shared" si="2"/>
        <v>9.11</v>
      </c>
      <c r="Q10" s="78">
        <f t="shared" si="3"/>
        <v>-4.9060542800000002E-2</v>
      </c>
    </row>
    <row r="11" spans="1:17">
      <c r="A11" t="s">
        <v>289</v>
      </c>
      <c r="B11" t="s">
        <v>290</v>
      </c>
      <c r="C11">
        <v>429</v>
      </c>
      <c r="D11" s="90">
        <v>-5.5066079300000001E-2</v>
      </c>
      <c r="E11" s="67"/>
      <c r="F11" s="67"/>
      <c r="G11" s="249" t="s">
        <v>204</v>
      </c>
      <c r="H11" s="250"/>
      <c r="I11" s="251"/>
      <c r="K11" s="108" t="s">
        <v>132</v>
      </c>
      <c r="L11" s="77">
        <f t="shared" si="0"/>
        <v>20.399999999999999</v>
      </c>
      <c r="M11" s="78">
        <f t="shared" si="1"/>
        <v>-8.52017937E-2</v>
      </c>
      <c r="O11" s="108" t="s">
        <v>147</v>
      </c>
      <c r="P11" s="77">
        <f t="shared" si="2"/>
        <v>76</v>
      </c>
      <c r="Q11" s="78">
        <f t="shared" si="3"/>
        <v>-6.4039408899999997E-2</v>
      </c>
    </row>
    <row r="12" spans="1:17" ht="17.25" thickBot="1">
      <c r="A12" t="s">
        <v>291</v>
      </c>
      <c r="B12" t="s">
        <v>292</v>
      </c>
      <c r="C12">
        <v>18630</v>
      </c>
      <c r="D12" s="90">
        <v>-7.1748878899999993E-2</v>
      </c>
      <c r="E12" s="67"/>
      <c r="F12" s="67"/>
      <c r="G12" s="237"/>
      <c r="H12" s="238"/>
      <c r="I12" s="239"/>
      <c r="K12" s="108" t="s">
        <v>135</v>
      </c>
      <c r="L12" s="77">
        <f t="shared" si="0"/>
        <v>22.4</v>
      </c>
      <c r="M12" s="78">
        <f t="shared" si="1"/>
        <v>-6.2761506300000006E-2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293</v>
      </c>
      <c r="B13" t="s">
        <v>294</v>
      </c>
      <c r="C13">
        <v>6070</v>
      </c>
      <c r="D13" s="90">
        <v>-7.1155317499999995E-2</v>
      </c>
      <c r="E13" s="67"/>
      <c r="F13" s="67"/>
      <c r="G13" s="105" t="s">
        <v>69</v>
      </c>
      <c r="H13" s="209" t="s">
        <v>67</v>
      </c>
      <c r="I13" s="210"/>
      <c r="K13" s="108" t="s">
        <v>122</v>
      </c>
      <c r="L13" s="77">
        <f t="shared" si="0"/>
        <v>58.2</v>
      </c>
      <c r="M13" s="78">
        <f t="shared" si="1"/>
        <v>-6.7307692299999999E-2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228</v>
      </c>
      <c r="B14" t="s">
        <v>172</v>
      </c>
      <c r="C14">
        <v>1100</v>
      </c>
      <c r="D14" s="90">
        <v>-7.9497907899999998E-2</v>
      </c>
      <c r="E14" s="67"/>
      <c r="F14" s="67"/>
      <c r="G14" s="260">
        <f>_xlfn.IFNA(VLOOKUP(G11, $B$1:$D$200, 3, FALSE), "-")</f>
        <v>-3.2229684199999997E-2</v>
      </c>
      <c r="H14" s="262">
        <f>_xlfn.IFNA(VLOOKUP(G11, $B$1:$D$200, 2, FALSE), "-")</f>
        <v>66000000</v>
      </c>
      <c r="I14" s="263"/>
      <c r="K14" s="108" t="s">
        <v>134</v>
      </c>
      <c r="L14" s="77">
        <f t="shared" si="0"/>
        <v>23.5</v>
      </c>
      <c r="M14" s="78">
        <f t="shared" si="1"/>
        <v>-6.3745019900000005E-2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248</v>
      </c>
      <c r="B15" t="s">
        <v>171</v>
      </c>
      <c r="C15">
        <v>596</v>
      </c>
      <c r="D15" s="90">
        <v>-3.8709677400000003E-2</v>
      </c>
      <c r="E15" s="67"/>
      <c r="F15" s="67"/>
      <c r="G15" s="261"/>
      <c r="H15" s="264"/>
      <c r="I15" s="265"/>
      <c r="K15" s="106" t="s">
        <v>107</v>
      </c>
      <c r="L15" s="79">
        <f t="shared" si="0"/>
        <v>30.5</v>
      </c>
      <c r="M15" s="80">
        <f t="shared" si="1"/>
        <v>-8.4084084099999998E-2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229</v>
      </c>
      <c r="B16" t="s">
        <v>170</v>
      </c>
      <c r="C16">
        <v>451</v>
      </c>
      <c r="D16" s="90">
        <v>-0.10869565220000001</v>
      </c>
      <c r="E16" s="67"/>
      <c r="F16" s="67"/>
      <c r="G16" s="67"/>
      <c r="H16" s="67"/>
      <c r="I16" s="67"/>
    </row>
    <row r="17" spans="1:17" ht="17.25" thickBot="1">
      <c r="A17" t="s">
        <v>295</v>
      </c>
      <c r="B17" t="s">
        <v>296</v>
      </c>
      <c r="C17">
        <v>3210</v>
      </c>
      <c r="D17" s="90">
        <v>-8.4165477899999994E-2</v>
      </c>
      <c r="E17" s="67"/>
      <c r="F17" s="67"/>
      <c r="G17" s="67"/>
      <c r="H17" s="67"/>
      <c r="I17" s="67"/>
    </row>
    <row r="18" spans="1:17" ht="17.25" thickBot="1">
      <c r="A18" t="s">
        <v>297</v>
      </c>
      <c r="B18" t="s">
        <v>298</v>
      </c>
      <c r="C18">
        <v>2285</v>
      </c>
      <c r="D18" s="90">
        <v>-6.1601642700000001E-2</v>
      </c>
      <c r="E18" s="67"/>
      <c r="F18" s="67"/>
      <c r="G18" s="208" t="s">
        <v>81</v>
      </c>
      <c r="H18" s="209"/>
      <c r="I18" s="210"/>
      <c r="K18" s="208" t="s">
        <v>85</v>
      </c>
      <c r="L18" s="209"/>
      <c r="M18" s="210"/>
      <c r="O18" s="208" t="s">
        <v>86</v>
      </c>
      <c r="P18" s="209"/>
      <c r="Q18" s="210"/>
    </row>
    <row r="19" spans="1:17" ht="17.25" thickBot="1">
      <c r="A19" t="s">
        <v>238</v>
      </c>
      <c r="B19" t="s">
        <v>239</v>
      </c>
      <c r="C19">
        <v>2215</v>
      </c>
      <c r="D19" s="90">
        <v>-4.5258620700000002E-2</v>
      </c>
      <c r="E19" s="67"/>
      <c r="F19" s="67"/>
      <c r="G19" s="249" t="s">
        <v>201</v>
      </c>
      <c r="H19" s="208" t="s">
        <v>421</v>
      </c>
      <c r="I19" s="210"/>
      <c r="K19" s="249" t="s">
        <v>201</v>
      </c>
      <c r="L19" s="208" t="s">
        <v>421</v>
      </c>
      <c r="M19" s="210"/>
      <c r="O19" s="249" t="s">
        <v>201</v>
      </c>
      <c r="P19" s="208" t="s">
        <v>421</v>
      </c>
      <c r="Q19" s="210"/>
    </row>
    <row r="20" spans="1:17" ht="17.25" thickBot="1">
      <c r="A20" t="s">
        <v>230</v>
      </c>
      <c r="B20" t="s">
        <v>168</v>
      </c>
      <c r="C20">
        <v>1605</v>
      </c>
      <c r="D20" s="90">
        <v>-8.28571429E-2</v>
      </c>
      <c r="E20" s="67"/>
      <c r="F20" s="67"/>
      <c r="G20" s="237"/>
      <c r="H20" s="75" t="s">
        <v>199</v>
      </c>
      <c r="I20" s="76" t="s">
        <v>200</v>
      </c>
      <c r="K20" s="237"/>
      <c r="L20" s="75" t="s">
        <v>199</v>
      </c>
      <c r="M20" s="76" t="s">
        <v>200</v>
      </c>
      <c r="O20" s="237"/>
      <c r="P20" s="75" t="s">
        <v>199</v>
      </c>
      <c r="Q20" s="76" t="s">
        <v>200</v>
      </c>
    </row>
    <row r="21" spans="1:17">
      <c r="A21" t="s">
        <v>299</v>
      </c>
      <c r="B21" t="s">
        <v>300</v>
      </c>
      <c r="C21">
        <v>44000</v>
      </c>
      <c r="D21" s="90">
        <v>-9.2409240899999995E-2</v>
      </c>
      <c r="E21" s="67"/>
      <c r="F21" s="67"/>
      <c r="G21" s="107" t="s">
        <v>209</v>
      </c>
      <c r="H21" s="77">
        <f t="shared" ref="H21:H30" si="4">_xlfn.IFNA(VLOOKUP(G21, $B$1:$D$200, 2, FALSE), "")</f>
        <v>4940</v>
      </c>
      <c r="I21" s="78">
        <f t="shared" ref="I21:I30" si="5">_xlfn.IFNA(VLOOKUP(G21, $B$1:$D$200, 3, FALSE), "")</f>
        <v>-0.14310494360000001</v>
      </c>
      <c r="K21" s="107" t="s">
        <v>128</v>
      </c>
      <c r="L21" s="77">
        <f t="shared" ref="L21:L30" si="6">_xlfn.IFNA(VLOOKUP(K21, $B$1:$D$200, 2, FALSE), "")</f>
        <v>146</v>
      </c>
      <c r="M21" s="78">
        <f t="shared" ref="M21:M30" si="7">_xlfn.IFNA(VLOOKUP(K21, $B$1:$D$200, 3, FALSE), "")</f>
        <v>-0.1042944785</v>
      </c>
      <c r="O21" s="108" t="s">
        <v>109</v>
      </c>
      <c r="P21" s="77">
        <f>_xlfn.IFNA(VLOOKUP(O21, $B$1:$D$200, 2, FALSE), "")</f>
        <v>518</v>
      </c>
      <c r="Q21" s="78">
        <f>_xlfn.IFNA(VLOOKUP(O21, $B$1:$D$200, 3, FALSE), "")</f>
        <v>-4.60405157E-2</v>
      </c>
    </row>
    <row r="22" spans="1:17">
      <c r="A22" t="s">
        <v>249</v>
      </c>
      <c r="B22" t="s">
        <v>167</v>
      </c>
      <c r="C22">
        <v>587</v>
      </c>
      <c r="D22" s="90">
        <v>-0.12518628909999999</v>
      </c>
      <c r="E22" s="67"/>
      <c r="F22" s="67"/>
      <c r="G22" s="108" t="s">
        <v>100</v>
      </c>
      <c r="H22" s="77">
        <f t="shared" si="4"/>
        <v>29.3</v>
      </c>
      <c r="I22" s="78">
        <f t="shared" si="5"/>
        <v>-0.12012012010000001</v>
      </c>
      <c r="K22" s="108" t="s">
        <v>102</v>
      </c>
      <c r="L22" s="77">
        <f t="shared" si="6"/>
        <v>140</v>
      </c>
      <c r="M22" s="78">
        <f t="shared" si="7"/>
        <v>-6.0402684599999999E-2</v>
      </c>
      <c r="O22" s="108" t="s">
        <v>152</v>
      </c>
      <c r="P22" s="77">
        <f t="shared" ref="P22:P30" si="8">_xlfn.IFNA(VLOOKUP(O22, $B$1:$D$200, 2, FALSE), "")</f>
        <v>195</v>
      </c>
      <c r="Q22" s="78">
        <f t="shared" ref="Q22:Q30" si="9">_xlfn.IFNA(VLOOKUP(O22, $B$1:$D$200, 3, FALSE), "")</f>
        <v>-5.7971014500000001E-2</v>
      </c>
    </row>
    <row r="23" spans="1:17">
      <c r="A23" t="s">
        <v>301</v>
      </c>
      <c r="B23" t="s">
        <v>302</v>
      </c>
      <c r="C23">
        <v>1475</v>
      </c>
      <c r="D23" s="90">
        <v>-2.9605263199999999E-2</v>
      </c>
      <c r="E23" s="67"/>
      <c r="F23" s="67"/>
      <c r="G23" s="108" t="s">
        <v>128</v>
      </c>
      <c r="H23" s="77">
        <f t="shared" si="4"/>
        <v>146</v>
      </c>
      <c r="I23" s="78">
        <f t="shared" si="5"/>
        <v>-0.1042944785</v>
      </c>
      <c r="K23" s="108" t="s">
        <v>124</v>
      </c>
      <c r="L23" s="77">
        <f t="shared" si="6"/>
        <v>613</v>
      </c>
      <c r="M23" s="78">
        <f t="shared" si="7"/>
        <v>-7.4018126899999995E-2</v>
      </c>
      <c r="O23" s="108" t="s">
        <v>141</v>
      </c>
      <c r="P23" s="77">
        <f t="shared" si="8"/>
        <v>187</v>
      </c>
      <c r="Q23" s="78">
        <f t="shared" si="9"/>
        <v>-8.7804878000000003E-2</v>
      </c>
    </row>
    <row r="24" spans="1:17">
      <c r="A24" t="s">
        <v>303</v>
      </c>
      <c r="B24" t="s">
        <v>304</v>
      </c>
      <c r="C24">
        <v>9450</v>
      </c>
      <c r="D24" s="90">
        <v>-8.6956521699999997E-2</v>
      </c>
      <c r="E24" s="67"/>
      <c r="F24" s="67"/>
      <c r="G24" s="108" t="s">
        <v>145</v>
      </c>
      <c r="H24" s="77">
        <f t="shared" si="4"/>
        <v>75</v>
      </c>
      <c r="I24" s="78">
        <f t="shared" si="5"/>
        <v>-0.10179640719999999</v>
      </c>
      <c r="K24" s="108" t="s">
        <v>99</v>
      </c>
      <c r="L24" s="77">
        <f t="shared" si="6"/>
        <v>224</v>
      </c>
      <c r="M24" s="78">
        <f t="shared" si="7"/>
        <v>3.7037037000000002E-2</v>
      </c>
      <c r="O24" s="108" t="s">
        <v>98</v>
      </c>
      <c r="P24" s="77">
        <f t="shared" si="8"/>
        <v>227</v>
      </c>
      <c r="Q24" s="78">
        <f t="shared" si="9"/>
        <v>-6.19834711E-2</v>
      </c>
    </row>
    <row r="25" spans="1:17">
      <c r="A25" t="s">
        <v>305</v>
      </c>
      <c r="B25" t="s">
        <v>306</v>
      </c>
      <c r="C25">
        <v>513</v>
      </c>
      <c r="D25" s="90">
        <v>-5.8715596299999999E-2</v>
      </c>
      <c r="E25" s="67"/>
      <c r="F25" s="67"/>
      <c r="G25" s="108" t="s">
        <v>102</v>
      </c>
      <c r="H25" s="77">
        <f t="shared" si="4"/>
        <v>140</v>
      </c>
      <c r="I25" s="78">
        <f t="shared" si="5"/>
        <v>-6.0402684599999999E-2</v>
      </c>
      <c r="K25" s="108" t="s">
        <v>121</v>
      </c>
      <c r="L25" s="77">
        <f t="shared" si="6"/>
        <v>310</v>
      </c>
      <c r="M25" s="78">
        <f t="shared" si="7"/>
        <v>-0.10404624279999999</v>
      </c>
      <c r="O25" s="108" t="s">
        <v>133</v>
      </c>
      <c r="P25" s="77">
        <f t="shared" si="8"/>
        <v>329</v>
      </c>
      <c r="Q25" s="78">
        <f t="shared" si="9"/>
        <v>-7.3239436599999999E-2</v>
      </c>
    </row>
    <row r="26" spans="1:17">
      <c r="A26" t="s">
        <v>307</v>
      </c>
      <c r="B26" t="s">
        <v>308</v>
      </c>
      <c r="C26">
        <v>103450</v>
      </c>
      <c r="D26" s="90">
        <v>-7.3443797599999999E-2</v>
      </c>
      <c r="E26" s="67"/>
      <c r="F26" s="67"/>
      <c r="G26" s="108" t="s">
        <v>124</v>
      </c>
      <c r="H26" s="77">
        <f t="shared" si="4"/>
        <v>613</v>
      </c>
      <c r="I26" s="78">
        <f t="shared" si="5"/>
        <v>-7.4018126899999995E-2</v>
      </c>
      <c r="K26" s="108" t="s">
        <v>111</v>
      </c>
      <c r="L26" s="77">
        <f t="shared" si="6"/>
        <v>555</v>
      </c>
      <c r="M26" s="78">
        <f t="shared" si="7"/>
        <v>0.1935483871</v>
      </c>
      <c r="O26" s="108" t="s">
        <v>126</v>
      </c>
      <c r="P26" s="77">
        <f t="shared" si="8"/>
        <v>184</v>
      </c>
      <c r="Q26" s="78">
        <f t="shared" si="9"/>
        <v>1.0989011E-2</v>
      </c>
    </row>
    <row r="27" spans="1:17">
      <c r="A27" t="s">
        <v>309</v>
      </c>
      <c r="B27" t="s">
        <v>310</v>
      </c>
      <c r="C27">
        <v>2560</v>
      </c>
      <c r="D27" s="90">
        <v>-5.7090239399999999E-2</v>
      </c>
      <c r="E27" s="67"/>
      <c r="F27" s="67"/>
      <c r="G27" s="108" t="s">
        <v>150</v>
      </c>
      <c r="H27" s="77">
        <f t="shared" si="4"/>
        <v>3600</v>
      </c>
      <c r="I27" s="78">
        <f t="shared" si="5"/>
        <v>-6.3719115699999995E-2</v>
      </c>
      <c r="K27" s="108" t="s">
        <v>103</v>
      </c>
      <c r="L27" s="77">
        <f t="shared" si="6"/>
        <v>90.6</v>
      </c>
      <c r="M27" s="78">
        <f t="shared" si="7"/>
        <v>-9.2184368700000005E-2</v>
      </c>
      <c r="O27" s="108" t="s">
        <v>96</v>
      </c>
      <c r="P27" s="77">
        <f t="shared" si="8"/>
        <v>610</v>
      </c>
      <c r="Q27" s="78">
        <f t="shared" si="9"/>
        <v>-5.4263565899999998E-2</v>
      </c>
    </row>
    <row r="28" spans="1:17">
      <c r="A28" t="s">
        <v>250</v>
      </c>
      <c r="B28" t="s">
        <v>222</v>
      </c>
      <c r="C28">
        <v>7710</v>
      </c>
      <c r="D28" s="90">
        <v>-3.6249999999999998E-2</v>
      </c>
      <c r="E28" s="67"/>
      <c r="F28" s="67"/>
      <c r="G28" s="108" t="s">
        <v>99</v>
      </c>
      <c r="H28" s="77">
        <f t="shared" si="4"/>
        <v>224</v>
      </c>
      <c r="I28" s="78">
        <f t="shared" si="5"/>
        <v>3.7037037000000002E-2</v>
      </c>
      <c r="K28" s="108" t="s">
        <v>101</v>
      </c>
      <c r="L28" s="77">
        <f t="shared" si="6"/>
        <v>206</v>
      </c>
      <c r="M28" s="78">
        <f t="shared" si="7"/>
        <v>-5.5045871599999997E-2</v>
      </c>
      <c r="O28" s="108" t="s">
        <v>117</v>
      </c>
      <c r="P28" s="77">
        <f t="shared" si="8"/>
        <v>289</v>
      </c>
      <c r="Q28" s="78">
        <f t="shared" si="9"/>
        <v>-3.6666666700000003E-2</v>
      </c>
    </row>
    <row r="29" spans="1:17">
      <c r="A29" t="s">
        <v>311</v>
      </c>
      <c r="B29" t="s">
        <v>312</v>
      </c>
      <c r="C29">
        <v>149</v>
      </c>
      <c r="D29" s="90">
        <v>-4.4871794899999998E-2</v>
      </c>
      <c r="E29" s="67"/>
      <c r="F29" s="67"/>
      <c r="G29" s="108" t="s">
        <v>175</v>
      </c>
      <c r="H29" s="77">
        <f t="shared" si="4"/>
        <v>17080</v>
      </c>
      <c r="I29" s="78">
        <f t="shared" si="5"/>
        <v>-6.5645514200000005E-2</v>
      </c>
      <c r="K29" s="108" t="s">
        <v>112</v>
      </c>
      <c r="L29" s="77">
        <f t="shared" si="6"/>
        <v>106</v>
      </c>
      <c r="M29" s="78">
        <f t="shared" si="7"/>
        <v>0</v>
      </c>
      <c r="O29" s="108" t="s">
        <v>123</v>
      </c>
      <c r="P29" s="77">
        <f t="shared" si="8"/>
        <v>116</v>
      </c>
      <c r="Q29" s="78">
        <f t="shared" si="9"/>
        <v>-5.6910569100000002E-2</v>
      </c>
    </row>
    <row r="30" spans="1:17" ht="17.25" thickBot="1">
      <c r="A30" t="s">
        <v>251</v>
      </c>
      <c r="B30" t="s">
        <v>162</v>
      </c>
      <c r="C30">
        <v>49.9</v>
      </c>
      <c r="D30" s="90">
        <v>-7.0763500899999998E-2</v>
      </c>
      <c r="E30" s="67"/>
      <c r="F30" s="67"/>
      <c r="G30" s="106" t="s">
        <v>131</v>
      </c>
      <c r="H30" s="79">
        <f t="shared" si="4"/>
        <v>30.1</v>
      </c>
      <c r="I30" s="80">
        <f t="shared" si="5"/>
        <v>4.1522491299999999E-2</v>
      </c>
      <c r="K30" s="106" t="s">
        <v>225</v>
      </c>
      <c r="L30" s="79">
        <f t="shared" si="6"/>
        <v>183</v>
      </c>
      <c r="M30" s="80">
        <f t="shared" si="7"/>
        <v>-0.12440191389999999</v>
      </c>
      <c r="O30" s="106" t="s">
        <v>115</v>
      </c>
      <c r="P30" s="79">
        <f t="shared" si="8"/>
        <v>227</v>
      </c>
      <c r="Q30" s="80">
        <f t="shared" si="9"/>
        <v>-7.3469387799999994E-2</v>
      </c>
    </row>
    <row r="31" spans="1:17">
      <c r="A31" t="s">
        <v>313</v>
      </c>
      <c r="B31" t="s">
        <v>314</v>
      </c>
      <c r="C31">
        <v>174</v>
      </c>
      <c r="D31" s="90">
        <v>-9.375E-2</v>
      </c>
      <c r="E31" s="67"/>
      <c r="F31" s="67"/>
      <c r="G31" s="67"/>
      <c r="H31" s="67"/>
      <c r="I31" s="67"/>
    </row>
    <row r="32" spans="1:17">
      <c r="A32" t="s">
        <v>232</v>
      </c>
      <c r="B32" t="s">
        <v>233</v>
      </c>
      <c r="C32">
        <v>2285</v>
      </c>
      <c r="D32" s="90">
        <v>-4.1928721199999998E-2</v>
      </c>
      <c r="E32" s="67"/>
      <c r="F32" s="67"/>
      <c r="G32" s="67"/>
      <c r="H32" s="67"/>
      <c r="I32" s="67"/>
    </row>
    <row r="33" spans="1:9">
      <c r="A33" t="s">
        <v>315</v>
      </c>
      <c r="B33" t="s">
        <v>316</v>
      </c>
      <c r="C33">
        <v>215</v>
      </c>
      <c r="D33" s="90">
        <v>-4.0178571400000002E-2</v>
      </c>
      <c r="E33" s="67"/>
      <c r="F33" s="67"/>
      <c r="G33" s="67"/>
      <c r="H33" s="67"/>
      <c r="I33" s="67"/>
    </row>
    <row r="34" spans="1:9">
      <c r="A34" t="s">
        <v>317</v>
      </c>
      <c r="B34" t="s">
        <v>318</v>
      </c>
      <c r="C34">
        <v>445</v>
      </c>
      <c r="D34" s="90">
        <v>-8.6242299800000005E-2</v>
      </c>
      <c r="E34" s="67"/>
      <c r="F34" s="67"/>
      <c r="G34" s="67"/>
      <c r="H34" s="67"/>
      <c r="I34" s="67"/>
    </row>
    <row r="35" spans="1:9">
      <c r="A35" t="s">
        <v>319</v>
      </c>
      <c r="B35" t="s">
        <v>320</v>
      </c>
      <c r="C35">
        <v>1980</v>
      </c>
      <c r="D35" s="90">
        <v>-4.3478260900000003E-2</v>
      </c>
      <c r="E35" s="67"/>
      <c r="F35" s="67"/>
      <c r="G35" s="67"/>
      <c r="H35" s="67"/>
      <c r="I35" s="67"/>
    </row>
    <row r="36" spans="1:9">
      <c r="A36" t="s">
        <v>234</v>
      </c>
      <c r="B36" t="s">
        <v>159</v>
      </c>
      <c r="C36">
        <v>165</v>
      </c>
      <c r="D36" s="90">
        <v>-8.8397790099999998E-2</v>
      </c>
      <c r="E36" s="67"/>
      <c r="F36" s="67"/>
      <c r="G36" s="67"/>
      <c r="H36" s="67"/>
      <c r="I36" s="67"/>
    </row>
    <row r="37" spans="1:9">
      <c r="A37" t="s">
        <v>321</v>
      </c>
      <c r="B37" t="s">
        <v>322</v>
      </c>
      <c r="C37">
        <v>1117000</v>
      </c>
      <c r="D37" s="90">
        <v>-3.0381944399999999E-2</v>
      </c>
      <c r="E37" s="67"/>
      <c r="F37" s="67"/>
      <c r="G37" s="67"/>
      <c r="H37" s="67"/>
      <c r="I37" s="67"/>
    </row>
    <row r="38" spans="1:9">
      <c r="A38" t="s">
        <v>323</v>
      </c>
      <c r="B38" t="s">
        <v>324</v>
      </c>
      <c r="C38">
        <v>1440</v>
      </c>
      <c r="D38" s="90">
        <v>-9.4339622600000006E-2</v>
      </c>
      <c r="E38" s="67"/>
      <c r="F38" s="67"/>
      <c r="G38" s="67"/>
      <c r="H38" s="67"/>
      <c r="I38" s="67"/>
    </row>
    <row r="39" spans="1:9">
      <c r="A39" t="s">
        <v>240</v>
      </c>
      <c r="B39" t="s">
        <v>241</v>
      </c>
      <c r="C39">
        <v>1470</v>
      </c>
      <c r="D39" s="90">
        <v>-3.9215686299999997E-2</v>
      </c>
      <c r="E39" s="67"/>
      <c r="F39" s="67"/>
      <c r="G39" s="67"/>
      <c r="H39" s="67"/>
      <c r="I39" s="67"/>
    </row>
    <row r="40" spans="1:9">
      <c r="A40" t="s">
        <v>235</v>
      </c>
      <c r="B40" t="s">
        <v>147</v>
      </c>
      <c r="C40">
        <v>76</v>
      </c>
      <c r="D40" s="90">
        <v>-6.4039408899999997E-2</v>
      </c>
      <c r="E40" s="67"/>
      <c r="F40" s="67"/>
      <c r="G40" s="67"/>
      <c r="H40" s="67"/>
      <c r="I40" s="67"/>
    </row>
    <row r="41" spans="1:9">
      <c r="A41" t="s">
        <v>325</v>
      </c>
      <c r="B41" t="s">
        <v>326</v>
      </c>
      <c r="C41">
        <v>1365</v>
      </c>
      <c r="D41" s="90">
        <v>-0.1136363636</v>
      </c>
      <c r="E41" s="67"/>
      <c r="F41" s="67"/>
      <c r="G41" s="67"/>
      <c r="H41" s="67"/>
      <c r="I41" s="67"/>
    </row>
    <row r="42" spans="1:9">
      <c r="A42" t="s">
        <v>252</v>
      </c>
      <c r="B42" t="s">
        <v>157</v>
      </c>
      <c r="C42">
        <v>24.5</v>
      </c>
      <c r="D42" s="90">
        <v>-7.8947368399999995E-2</v>
      </c>
      <c r="E42" s="67"/>
      <c r="F42" s="67"/>
      <c r="G42" s="67"/>
      <c r="H42" s="67"/>
      <c r="I42" s="67"/>
    </row>
    <row r="43" spans="1:9">
      <c r="A43" t="s">
        <v>327</v>
      </c>
      <c r="B43" t="s">
        <v>328</v>
      </c>
      <c r="C43">
        <v>647</v>
      </c>
      <c r="D43" s="90">
        <v>-6.0957909999999997E-2</v>
      </c>
      <c r="E43" s="67"/>
      <c r="F43" s="67"/>
      <c r="G43" s="67"/>
      <c r="H43" s="67"/>
      <c r="I43" s="67"/>
    </row>
    <row r="44" spans="1:9">
      <c r="A44" t="s">
        <v>329</v>
      </c>
      <c r="B44" t="s">
        <v>330</v>
      </c>
      <c r="C44">
        <v>28.2</v>
      </c>
      <c r="D44" s="90">
        <v>-8.4415584399999993E-2</v>
      </c>
      <c r="E44" s="67"/>
      <c r="F44" s="67"/>
      <c r="G44" s="67"/>
      <c r="H44" s="67"/>
      <c r="I44" s="67"/>
    </row>
    <row r="45" spans="1:9">
      <c r="A45" t="s">
        <v>331</v>
      </c>
      <c r="B45" t="s">
        <v>332</v>
      </c>
      <c r="C45">
        <v>2580</v>
      </c>
      <c r="D45" s="90">
        <v>-4.9723756899999999E-2</v>
      </c>
      <c r="E45" s="67"/>
      <c r="F45" s="67"/>
      <c r="G45" s="67"/>
      <c r="H45" s="67"/>
      <c r="I45" s="67"/>
    </row>
    <row r="46" spans="1:9">
      <c r="A46" t="s">
        <v>253</v>
      </c>
      <c r="B46" t="s">
        <v>154</v>
      </c>
      <c r="C46">
        <v>20</v>
      </c>
      <c r="D46" s="90">
        <v>-7.8341013799999998E-2</v>
      </c>
      <c r="E46" s="67"/>
      <c r="F46" s="67"/>
      <c r="G46" s="67"/>
      <c r="H46" s="67"/>
      <c r="I46" s="67"/>
    </row>
    <row r="47" spans="1:9">
      <c r="A47" t="s">
        <v>333</v>
      </c>
      <c r="B47" t="s">
        <v>334</v>
      </c>
      <c r="C47">
        <v>1205</v>
      </c>
      <c r="D47" s="90">
        <v>-9.7378277200000002E-2</v>
      </c>
      <c r="E47" s="67"/>
      <c r="F47" s="67"/>
      <c r="G47" s="67"/>
      <c r="H47" s="67"/>
      <c r="I47" s="67"/>
    </row>
    <row r="48" spans="1:9">
      <c r="A48" t="s">
        <v>335</v>
      </c>
      <c r="B48" t="s">
        <v>336</v>
      </c>
      <c r="C48">
        <v>17940</v>
      </c>
      <c r="D48" s="90">
        <v>-9.9397590399999999E-2</v>
      </c>
      <c r="E48" s="67"/>
      <c r="F48" s="67"/>
      <c r="G48" s="67"/>
      <c r="H48" s="67"/>
      <c r="I48" s="67"/>
    </row>
    <row r="49" spans="1:9">
      <c r="A49" t="s">
        <v>337</v>
      </c>
      <c r="B49" t="s">
        <v>338</v>
      </c>
      <c r="C49">
        <v>195</v>
      </c>
      <c r="D49" s="90">
        <v>-5.7971014500000001E-2</v>
      </c>
      <c r="E49" s="67"/>
      <c r="F49" s="67"/>
      <c r="G49" s="67"/>
      <c r="H49" s="67"/>
      <c r="I49" s="67"/>
    </row>
    <row r="50" spans="1:9">
      <c r="A50" t="s">
        <v>254</v>
      </c>
      <c r="B50" t="s">
        <v>143</v>
      </c>
      <c r="C50">
        <v>511</v>
      </c>
      <c r="D50" s="90">
        <v>-5.01858736E-2</v>
      </c>
      <c r="E50" s="67"/>
      <c r="F50" s="67"/>
      <c r="G50" s="67"/>
      <c r="H50" s="67"/>
      <c r="I50" s="67"/>
    </row>
    <row r="51" spans="1:9">
      <c r="A51" t="s">
        <v>339</v>
      </c>
      <c r="B51" t="s">
        <v>340</v>
      </c>
      <c r="C51">
        <v>3600</v>
      </c>
      <c r="D51" s="90">
        <v>-6.3719115699999995E-2</v>
      </c>
      <c r="E51" s="67"/>
      <c r="F51" s="67"/>
      <c r="G51" s="67"/>
      <c r="H51" s="67"/>
      <c r="I51" s="67"/>
    </row>
    <row r="52" spans="1:9">
      <c r="A52" t="s">
        <v>242</v>
      </c>
      <c r="B52" t="s">
        <v>148</v>
      </c>
      <c r="C52">
        <v>364600</v>
      </c>
      <c r="D52" s="90">
        <v>-2.7603680500000002E-2</v>
      </c>
      <c r="E52" s="67"/>
      <c r="F52" s="67"/>
      <c r="G52" s="67"/>
      <c r="H52" s="67"/>
      <c r="I52" s="67"/>
    </row>
    <row r="53" spans="1:9">
      <c r="A53" t="s">
        <v>341</v>
      </c>
      <c r="B53" t="s">
        <v>342</v>
      </c>
      <c r="C53">
        <v>13550</v>
      </c>
      <c r="D53" s="90">
        <v>-2.86738351E-2</v>
      </c>
      <c r="E53" s="67"/>
      <c r="F53" s="67"/>
      <c r="G53" s="67"/>
      <c r="H53" s="67"/>
      <c r="I53" s="67"/>
    </row>
    <row r="54" spans="1:9">
      <c r="A54" t="s">
        <v>343</v>
      </c>
      <c r="B54" t="s">
        <v>344</v>
      </c>
      <c r="C54">
        <v>75</v>
      </c>
      <c r="D54" s="90">
        <v>-0.10179640719999999</v>
      </c>
      <c r="E54" s="67"/>
      <c r="F54" s="67"/>
      <c r="G54" s="67"/>
      <c r="H54" s="67"/>
      <c r="I54" s="67"/>
    </row>
    <row r="55" spans="1:9">
      <c r="A55" t="s">
        <v>345</v>
      </c>
      <c r="B55" t="s">
        <v>346</v>
      </c>
      <c r="C55">
        <v>37.4</v>
      </c>
      <c r="D55" s="90">
        <v>-6.96517413E-2</v>
      </c>
      <c r="E55" s="67"/>
      <c r="F55" s="67"/>
      <c r="G55" s="67"/>
      <c r="H55" s="67"/>
      <c r="I55" s="67"/>
    </row>
    <row r="56" spans="1:9">
      <c r="A56" t="s">
        <v>347</v>
      </c>
      <c r="B56" t="s">
        <v>348</v>
      </c>
      <c r="C56">
        <v>9.11</v>
      </c>
      <c r="D56" s="90">
        <v>-4.9060542800000002E-2</v>
      </c>
      <c r="E56" s="67"/>
      <c r="F56" s="67"/>
      <c r="G56" s="67"/>
      <c r="H56" s="67"/>
      <c r="I56" s="67"/>
    </row>
    <row r="57" spans="1:9">
      <c r="A57" t="s">
        <v>349</v>
      </c>
      <c r="B57" t="s">
        <v>350</v>
      </c>
      <c r="C57">
        <v>187</v>
      </c>
      <c r="D57" s="90">
        <v>-8.7804878000000003E-2</v>
      </c>
      <c r="E57" s="67"/>
      <c r="F57" s="67"/>
      <c r="G57" s="67"/>
      <c r="H57" s="67"/>
      <c r="I57" s="67"/>
    </row>
    <row r="58" spans="1:9">
      <c r="A58" t="s">
        <v>351</v>
      </c>
      <c r="B58" t="s">
        <v>352</v>
      </c>
      <c r="C58">
        <v>3010</v>
      </c>
      <c r="D58" s="90">
        <v>-4.14012739E-2</v>
      </c>
      <c r="E58" s="67"/>
      <c r="F58" s="67"/>
      <c r="G58" s="67"/>
      <c r="H58" s="67"/>
      <c r="I58" s="67"/>
    </row>
    <row r="59" spans="1:9">
      <c r="A59" t="s">
        <v>255</v>
      </c>
      <c r="B59" t="s">
        <v>139</v>
      </c>
      <c r="C59">
        <v>344</v>
      </c>
      <c r="D59" s="90">
        <v>-6.7750677499999995E-2</v>
      </c>
      <c r="E59" s="67"/>
      <c r="F59" s="67"/>
      <c r="G59" s="67"/>
      <c r="H59" s="67"/>
      <c r="I59" s="67"/>
    </row>
    <row r="60" spans="1:9">
      <c r="A60" t="s">
        <v>256</v>
      </c>
      <c r="B60" t="s">
        <v>138</v>
      </c>
      <c r="C60">
        <v>1615</v>
      </c>
      <c r="D60" s="90">
        <v>-4.1543026699999999E-2</v>
      </c>
      <c r="E60" s="67"/>
      <c r="F60" s="67"/>
      <c r="G60" s="67"/>
      <c r="H60" s="67"/>
      <c r="I60" s="67"/>
    </row>
    <row r="61" spans="1:9">
      <c r="A61" t="s">
        <v>353</v>
      </c>
      <c r="B61" t="s">
        <v>354</v>
      </c>
      <c r="C61">
        <v>178</v>
      </c>
      <c r="D61" s="90">
        <v>-4.81283422E-2</v>
      </c>
      <c r="E61" s="67"/>
      <c r="F61" s="67"/>
      <c r="G61" s="67"/>
      <c r="H61" s="67"/>
      <c r="I61" s="67"/>
    </row>
    <row r="62" spans="1:9">
      <c r="A62" t="s">
        <v>257</v>
      </c>
      <c r="B62" t="s">
        <v>136</v>
      </c>
      <c r="C62">
        <v>397</v>
      </c>
      <c r="D62" s="90">
        <v>-6.1465721000000001E-2</v>
      </c>
      <c r="E62" s="67"/>
      <c r="F62" s="67"/>
      <c r="G62" s="67"/>
      <c r="H62" s="67"/>
      <c r="I62" s="67"/>
    </row>
    <row r="63" spans="1:9">
      <c r="A63" t="s">
        <v>258</v>
      </c>
      <c r="B63" t="s">
        <v>259</v>
      </c>
      <c r="C63">
        <v>24000</v>
      </c>
      <c r="D63" s="90">
        <v>-3.34273057E-2</v>
      </c>
      <c r="E63" s="67"/>
      <c r="F63" s="67"/>
      <c r="G63" s="67"/>
      <c r="H63" s="67"/>
      <c r="I63" s="67"/>
    </row>
    <row r="64" spans="1:9">
      <c r="A64" t="s">
        <v>355</v>
      </c>
      <c r="B64" t="s">
        <v>356</v>
      </c>
      <c r="C64">
        <v>22.4</v>
      </c>
      <c r="D64" s="90">
        <v>-6.2761506300000006E-2</v>
      </c>
      <c r="E64" s="67"/>
      <c r="F64" s="67"/>
      <c r="G64" s="67"/>
      <c r="H64" s="67"/>
      <c r="I64" s="67"/>
    </row>
    <row r="65" spans="1:9">
      <c r="A65" t="s">
        <v>243</v>
      </c>
      <c r="B65" t="s">
        <v>134</v>
      </c>
      <c r="C65">
        <v>23.5</v>
      </c>
      <c r="D65" s="90">
        <v>-6.3745019900000005E-2</v>
      </c>
      <c r="E65" s="67"/>
      <c r="F65" s="67"/>
      <c r="G65" s="67"/>
      <c r="H65" s="67"/>
      <c r="I65" s="67"/>
    </row>
    <row r="66" spans="1:9">
      <c r="A66" t="s">
        <v>244</v>
      </c>
      <c r="B66" t="s">
        <v>133</v>
      </c>
      <c r="C66">
        <v>329</v>
      </c>
      <c r="D66" s="90">
        <v>-7.3239436599999999E-2</v>
      </c>
      <c r="E66" s="67"/>
      <c r="F66" s="67"/>
      <c r="G66" s="67"/>
      <c r="H66" s="67"/>
      <c r="I66" s="67"/>
    </row>
    <row r="67" spans="1:9">
      <c r="A67" t="s">
        <v>357</v>
      </c>
      <c r="B67" t="s">
        <v>358</v>
      </c>
      <c r="C67">
        <v>20.399999999999999</v>
      </c>
      <c r="D67" s="90">
        <v>-8.52017937E-2</v>
      </c>
      <c r="E67" s="67"/>
      <c r="F67" s="67"/>
      <c r="G67" s="67"/>
      <c r="H67" s="67"/>
      <c r="I67" s="67"/>
    </row>
    <row r="68" spans="1:9">
      <c r="A68" t="s">
        <v>260</v>
      </c>
      <c r="B68" t="s">
        <v>131</v>
      </c>
      <c r="C68">
        <v>30.1</v>
      </c>
      <c r="D68" s="90">
        <v>4.1522491299999999E-2</v>
      </c>
      <c r="E68" s="67"/>
      <c r="F68" s="67"/>
      <c r="G68" s="67"/>
      <c r="H68" s="67"/>
      <c r="I68" s="67"/>
    </row>
    <row r="69" spans="1:9">
      <c r="A69" t="s">
        <v>359</v>
      </c>
      <c r="B69" t="s">
        <v>360</v>
      </c>
      <c r="C69">
        <v>239</v>
      </c>
      <c r="D69" s="90">
        <v>-8.4291187700000006E-2</v>
      </c>
      <c r="E69" s="67"/>
      <c r="F69" s="67"/>
      <c r="G69" s="67"/>
      <c r="H69" s="67"/>
      <c r="I69" s="67"/>
    </row>
    <row r="70" spans="1:9">
      <c r="A70" t="s">
        <v>261</v>
      </c>
      <c r="B70" t="s">
        <v>129</v>
      </c>
      <c r="C70">
        <v>351</v>
      </c>
      <c r="D70" s="90">
        <v>-5.3908355800000002E-2</v>
      </c>
      <c r="E70" s="67"/>
      <c r="F70" s="67"/>
      <c r="G70" s="67"/>
      <c r="H70" s="67"/>
      <c r="I70" s="67"/>
    </row>
    <row r="71" spans="1:9">
      <c r="A71" t="s">
        <v>361</v>
      </c>
      <c r="B71" t="s">
        <v>362</v>
      </c>
      <c r="C71">
        <v>146</v>
      </c>
      <c r="D71" s="90">
        <v>-0.1042944785</v>
      </c>
      <c r="E71" s="67"/>
      <c r="F71" s="67"/>
      <c r="G71" s="67"/>
      <c r="H71" s="67"/>
      <c r="I71" s="67"/>
    </row>
    <row r="72" spans="1:9">
      <c r="A72" t="s">
        <v>363</v>
      </c>
      <c r="B72" t="s">
        <v>364</v>
      </c>
      <c r="C72">
        <v>2485</v>
      </c>
      <c r="D72" s="90">
        <v>0.1244343891</v>
      </c>
      <c r="E72" s="67"/>
      <c r="F72" s="67"/>
      <c r="G72" s="67"/>
      <c r="H72" s="67"/>
      <c r="I72" s="67"/>
    </row>
    <row r="73" spans="1:9">
      <c r="A73" t="s">
        <v>262</v>
      </c>
      <c r="B73" t="s">
        <v>127</v>
      </c>
      <c r="C73">
        <v>91.2</v>
      </c>
      <c r="D73" s="90">
        <v>-0.11456310679999999</v>
      </c>
      <c r="E73" s="67"/>
      <c r="F73" s="67"/>
      <c r="G73" s="67"/>
      <c r="H73" s="67"/>
      <c r="I73" s="67"/>
    </row>
    <row r="74" spans="1:9">
      <c r="A74" t="s">
        <v>365</v>
      </c>
      <c r="B74" t="s">
        <v>366</v>
      </c>
      <c r="C74">
        <v>184</v>
      </c>
      <c r="D74" s="90">
        <v>1.0989011E-2</v>
      </c>
      <c r="E74" s="67"/>
      <c r="F74" s="67"/>
      <c r="G74" s="67"/>
      <c r="H74" s="67"/>
      <c r="I74" s="67"/>
    </row>
    <row r="75" spans="1:9">
      <c r="A75" t="s">
        <v>367</v>
      </c>
      <c r="B75" t="s">
        <v>368</v>
      </c>
      <c r="C75">
        <v>271</v>
      </c>
      <c r="D75" s="90">
        <v>-5.57491289E-2</v>
      </c>
      <c r="E75" s="67"/>
      <c r="F75" s="67"/>
      <c r="G75" s="67"/>
      <c r="H75" s="67"/>
      <c r="I75" s="67"/>
    </row>
    <row r="76" spans="1:9">
      <c r="A76" t="s">
        <v>369</v>
      </c>
      <c r="B76" t="s">
        <v>370</v>
      </c>
      <c r="C76">
        <v>613</v>
      </c>
      <c r="D76" s="90">
        <v>-7.4018126899999995E-2</v>
      </c>
      <c r="E76" s="67"/>
      <c r="F76" s="67"/>
      <c r="G76" s="67"/>
      <c r="H76" s="67"/>
      <c r="I76" s="67"/>
    </row>
    <row r="77" spans="1:9">
      <c r="A77" t="s">
        <v>263</v>
      </c>
      <c r="B77" t="s">
        <v>123</v>
      </c>
      <c r="C77">
        <v>116</v>
      </c>
      <c r="D77" s="90">
        <v>-5.6910569100000002E-2</v>
      </c>
      <c r="E77" s="67"/>
      <c r="F77" s="67"/>
      <c r="G77" s="67"/>
      <c r="H77" s="67"/>
      <c r="I77" s="67"/>
    </row>
    <row r="78" spans="1:9">
      <c r="A78" t="s">
        <v>371</v>
      </c>
      <c r="B78" t="s">
        <v>372</v>
      </c>
      <c r="C78">
        <v>58.2</v>
      </c>
      <c r="D78" s="90">
        <v>-6.7307692299999999E-2</v>
      </c>
      <c r="E78" s="67"/>
      <c r="F78" s="67"/>
      <c r="G78" s="67"/>
      <c r="H78" s="67"/>
      <c r="I78" s="67"/>
    </row>
    <row r="79" spans="1:9">
      <c r="A79" t="s">
        <v>373</v>
      </c>
      <c r="B79" t="s">
        <v>374</v>
      </c>
      <c r="C79">
        <v>310</v>
      </c>
      <c r="D79" s="90">
        <v>-0.10404624279999999</v>
      </c>
      <c r="E79" s="67"/>
      <c r="F79" s="67"/>
      <c r="G79" s="67"/>
      <c r="H79" s="67"/>
      <c r="I79" s="67"/>
    </row>
    <row r="80" spans="1:9">
      <c r="A80" t="s">
        <v>375</v>
      </c>
      <c r="B80" t="s">
        <v>376</v>
      </c>
      <c r="C80">
        <v>702</v>
      </c>
      <c r="D80" s="90">
        <v>7.6687116599999994E-2</v>
      </c>
      <c r="E80" s="67"/>
      <c r="F80" s="67"/>
      <c r="G80" s="67"/>
      <c r="H80" s="67"/>
      <c r="I80" s="67"/>
    </row>
    <row r="81" spans="1:9">
      <c r="A81" t="s">
        <v>264</v>
      </c>
      <c r="B81" t="s">
        <v>119</v>
      </c>
      <c r="C81">
        <v>5910</v>
      </c>
      <c r="D81" s="90">
        <v>-6.1159650500000003E-2</v>
      </c>
      <c r="E81" s="67"/>
      <c r="F81" s="67"/>
      <c r="G81" s="67"/>
      <c r="H81" s="67"/>
      <c r="I81" s="67"/>
    </row>
    <row r="82" spans="1:9">
      <c r="A82" t="s">
        <v>377</v>
      </c>
      <c r="B82" t="s">
        <v>378</v>
      </c>
      <c r="C82">
        <v>20.5</v>
      </c>
      <c r="D82" s="90">
        <v>-8.8888888900000004E-2</v>
      </c>
      <c r="E82" s="67"/>
      <c r="F82" s="67"/>
      <c r="G82" s="67"/>
      <c r="H82" s="67"/>
      <c r="I82" s="67"/>
    </row>
    <row r="83" spans="1:9">
      <c r="A83" t="s">
        <v>379</v>
      </c>
      <c r="B83" t="s">
        <v>380</v>
      </c>
      <c r="C83">
        <v>44600</v>
      </c>
      <c r="D83" s="90">
        <v>-3.2328053799999999E-2</v>
      </c>
      <c r="E83" s="67"/>
      <c r="F83" s="67"/>
      <c r="G83" s="67"/>
      <c r="H83" s="67"/>
      <c r="I83" s="67"/>
    </row>
    <row r="84" spans="1:9">
      <c r="A84" t="s">
        <v>381</v>
      </c>
      <c r="B84" t="s">
        <v>382</v>
      </c>
      <c r="C84">
        <v>6470</v>
      </c>
      <c r="D84" s="90">
        <v>-4.2899408299999997E-2</v>
      </c>
      <c r="E84" s="67"/>
      <c r="F84" s="67"/>
      <c r="G84" s="67"/>
      <c r="H84" s="67"/>
      <c r="I84" s="67"/>
    </row>
    <row r="85" spans="1:9">
      <c r="A85" t="s">
        <v>383</v>
      </c>
      <c r="B85" t="s">
        <v>384</v>
      </c>
      <c r="C85">
        <v>289</v>
      </c>
      <c r="D85" s="90">
        <v>-3.6666666700000003E-2</v>
      </c>
      <c r="E85" s="67"/>
      <c r="F85" s="67"/>
      <c r="G85" s="67"/>
      <c r="H85" s="67"/>
      <c r="I85" s="67"/>
    </row>
    <row r="86" spans="1:9">
      <c r="A86" t="s">
        <v>385</v>
      </c>
      <c r="B86" t="s">
        <v>386</v>
      </c>
      <c r="C86">
        <v>156</v>
      </c>
      <c r="D86" s="90">
        <v>-4.8780487800000001E-2</v>
      </c>
      <c r="E86" s="67"/>
      <c r="F86" s="67"/>
      <c r="G86" s="67"/>
      <c r="H86" s="67"/>
      <c r="I86" s="67"/>
    </row>
    <row r="87" spans="1:9">
      <c r="A87" t="s">
        <v>387</v>
      </c>
      <c r="B87" t="s">
        <v>388</v>
      </c>
      <c r="C87">
        <v>227</v>
      </c>
      <c r="D87" s="90">
        <v>-7.3469387799999994E-2</v>
      </c>
      <c r="E87" s="67"/>
      <c r="F87" s="67"/>
      <c r="G87" s="67"/>
      <c r="H87" s="67"/>
      <c r="I87" s="67"/>
    </row>
    <row r="88" spans="1:9">
      <c r="A88" t="s">
        <v>265</v>
      </c>
      <c r="B88" t="s">
        <v>114</v>
      </c>
      <c r="C88">
        <v>14570</v>
      </c>
      <c r="D88" s="90">
        <v>-8.9374999999999996E-2</v>
      </c>
      <c r="E88" s="67"/>
      <c r="F88" s="67"/>
      <c r="G88" s="67"/>
      <c r="H88" s="67"/>
      <c r="I88" s="67"/>
    </row>
    <row r="89" spans="1:9">
      <c r="A89" t="s">
        <v>245</v>
      </c>
      <c r="B89" t="s">
        <v>113</v>
      </c>
      <c r="C89">
        <v>4620</v>
      </c>
      <c r="D89" s="90">
        <v>-2.3255814E-2</v>
      </c>
      <c r="E89" s="67"/>
      <c r="F89" s="67"/>
      <c r="G89" s="67"/>
      <c r="H89" s="67"/>
      <c r="I89" s="67"/>
    </row>
    <row r="90" spans="1:9">
      <c r="A90" t="s">
        <v>266</v>
      </c>
      <c r="B90" t="s">
        <v>112</v>
      </c>
      <c r="C90">
        <v>106</v>
      </c>
      <c r="D90" s="90">
        <v>0</v>
      </c>
      <c r="E90" s="67"/>
      <c r="F90" s="67"/>
      <c r="G90" s="67"/>
      <c r="H90" s="67"/>
      <c r="I90" s="67"/>
    </row>
    <row r="91" spans="1:9">
      <c r="A91" t="s">
        <v>389</v>
      </c>
      <c r="B91" t="s">
        <v>390</v>
      </c>
      <c r="C91">
        <v>555</v>
      </c>
      <c r="D91" s="90">
        <v>0.1935483871</v>
      </c>
      <c r="E91" s="67"/>
      <c r="F91" s="67"/>
      <c r="G91" s="67"/>
      <c r="H91" s="67"/>
      <c r="I91" s="67"/>
    </row>
    <row r="92" spans="1:9">
      <c r="A92" t="s">
        <v>391</v>
      </c>
      <c r="B92" t="s">
        <v>392</v>
      </c>
      <c r="C92">
        <v>509</v>
      </c>
      <c r="D92" s="90">
        <v>-6.2615101300000003E-2</v>
      </c>
      <c r="E92" s="67"/>
      <c r="F92" s="67"/>
      <c r="G92" s="67"/>
      <c r="H92" s="67"/>
      <c r="I92" s="67"/>
    </row>
    <row r="93" spans="1:9">
      <c r="A93" t="s">
        <v>393</v>
      </c>
      <c r="B93" t="s">
        <v>394</v>
      </c>
      <c r="C93">
        <v>518</v>
      </c>
      <c r="D93" s="90">
        <v>-4.60405157E-2</v>
      </c>
      <c r="E93" s="67"/>
      <c r="F93" s="67"/>
      <c r="G93" s="67"/>
      <c r="H93" s="67"/>
      <c r="I93" s="67"/>
    </row>
    <row r="94" spans="1:9">
      <c r="A94" t="s">
        <v>395</v>
      </c>
      <c r="B94" t="s">
        <v>396</v>
      </c>
      <c r="C94">
        <v>40900</v>
      </c>
      <c r="D94" s="90">
        <v>-4.4615743999999999E-2</v>
      </c>
      <c r="E94" s="67"/>
      <c r="F94" s="67"/>
      <c r="G94" s="67"/>
      <c r="H94" s="67"/>
      <c r="I94" s="67"/>
    </row>
    <row r="95" spans="1:9">
      <c r="A95" t="s">
        <v>397</v>
      </c>
      <c r="B95" t="s">
        <v>398</v>
      </c>
      <c r="C95">
        <v>7705</v>
      </c>
      <c r="D95" s="90">
        <v>2.59653795E-2</v>
      </c>
      <c r="E95" s="67"/>
      <c r="F95" s="67"/>
      <c r="G95" s="67"/>
      <c r="H95" s="67"/>
      <c r="I95" s="67"/>
    </row>
    <row r="96" spans="1:9">
      <c r="A96" t="s">
        <v>267</v>
      </c>
      <c r="B96" t="s">
        <v>107</v>
      </c>
      <c r="C96">
        <v>30.5</v>
      </c>
      <c r="D96" s="90">
        <v>-8.4084084099999998E-2</v>
      </c>
      <c r="E96" s="67"/>
      <c r="F96" s="67"/>
      <c r="G96" s="67"/>
      <c r="H96" s="67"/>
      <c r="I96" s="67"/>
    </row>
    <row r="97" spans="1:9">
      <c r="A97" t="s">
        <v>399</v>
      </c>
      <c r="B97" t="s">
        <v>400</v>
      </c>
      <c r="C97">
        <v>2150</v>
      </c>
      <c r="D97" s="90">
        <v>-3.8031319899999999E-2</v>
      </c>
      <c r="E97" s="67"/>
      <c r="F97" s="67"/>
      <c r="G97" s="67"/>
      <c r="H97" s="67"/>
      <c r="I97" s="67"/>
    </row>
    <row r="98" spans="1:9">
      <c r="A98" t="s">
        <v>401</v>
      </c>
      <c r="B98" t="s">
        <v>402</v>
      </c>
      <c r="C98">
        <v>4250</v>
      </c>
      <c r="D98" s="90">
        <v>-8.5037674899999999E-2</v>
      </c>
      <c r="E98" s="67"/>
      <c r="F98" s="67"/>
      <c r="G98" s="67"/>
      <c r="H98" s="67"/>
      <c r="I98" s="67"/>
    </row>
    <row r="99" spans="1:9">
      <c r="A99" t="s">
        <v>268</v>
      </c>
      <c r="B99" t="s">
        <v>269</v>
      </c>
      <c r="C99">
        <v>8365</v>
      </c>
      <c r="D99" s="90">
        <v>-7.4668141600000001E-2</v>
      </c>
      <c r="E99" s="67"/>
      <c r="F99" s="67"/>
      <c r="G99" s="67"/>
      <c r="H99" s="67"/>
      <c r="I99" s="67"/>
    </row>
    <row r="100" spans="1:9">
      <c r="A100" t="s">
        <v>403</v>
      </c>
      <c r="B100" t="s">
        <v>404</v>
      </c>
      <c r="C100">
        <v>47100</v>
      </c>
      <c r="D100" s="90">
        <v>-6.1004784700000002E-2</v>
      </c>
      <c r="E100" s="67"/>
      <c r="F100" s="67"/>
      <c r="G100" s="67"/>
      <c r="H100" s="67"/>
      <c r="I100" s="67"/>
    </row>
    <row r="101" spans="1:9">
      <c r="A101" t="s">
        <v>270</v>
      </c>
      <c r="B101" t="s">
        <v>104</v>
      </c>
      <c r="C101">
        <v>538</v>
      </c>
      <c r="D101" s="90">
        <v>-4.6099290799999998E-2</v>
      </c>
      <c r="E101" s="67"/>
      <c r="F101" s="67"/>
      <c r="G101" s="67"/>
      <c r="H101" s="67"/>
      <c r="I101" s="67"/>
    </row>
    <row r="102" spans="1:9">
      <c r="A102" t="s">
        <v>405</v>
      </c>
      <c r="B102" t="s">
        <v>406</v>
      </c>
      <c r="C102">
        <v>90.6</v>
      </c>
      <c r="D102" s="90">
        <v>-9.2184368700000005E-2</v>
      </c>
      <c r="E102" s="67"/>
      <c r="F102" s="67"/>
      <c r="G102" s="67"/>
      <c r="H102" s="67"/>
      <c r="I102" s="67"/>
    </row>
    <row r="103" spans="1:9">
      <c r="A103" t="s">
        <v>407</v>
      </c>
      <c r="B103" t="s">
        <v>408</v>
      </c>
      <c r="C103">
        <v>140</v>
      </c>
      <c r="D103" s="90">
        <v>-6.0402684599999999E-2</v>
      </c>
      <c r="E103" s="67"/>
      <c r="F103" s="67"/>
      <c r="G103" s="67"/>
      <c r="H103" s="67"/>
      <c r="I103" s="67"/>
    </row>
    <row r="104" spans="1:9">
      <c r="A104" t="s">
        <v>271</v>
      </c>
      <c r="B104" t="s">
        <v>101</v>
      </c>
      <c r="C104">
        <v>206</v>
      </c>
      <c r="D104" s="90">
        <v>-5.5045871599999997E-2</v>
      </c>
      <c r="E104" s="67"/>
      <c r="F104" s="67"/>
      <c r="G104" s="67"/>
      <c r="H104" s="67"/>
      <c r="I104" s="67"/>
    </row>
    <row r="105" spans="1:9">
      <c r="A105" t="s">
        <v>272</v>
      </c>
      <c r="B105" t="s">
        <v>100</v>
      </c>
      <c r="C105">
        <v>29.3</v>
      </c>
      <c r="D105" s="90">
        <v>-0.12012012010000001</v>
      </c>
      <c r="E105" s="67"/>
      <c r="F105" s="67"/>
      <c r="G105" s="67"/>
      <c r="H105" s="67"/>
      <c r="I105" s="67"/>
    </row>
    <row r="106" spans="1:9">
      <c r="A106" t="s">
        <v>409</v>
      </c>
      <c r="B106" t="s">
        <v>410</v>
      </c>
      <c r="C106">
        <v>224</v>
      </c>
      <c r="D106" s="90">
        <v>3.7037037000000002E-2</v>
      </c>
      <c r="E106" s="67"/>
      <c r="F106" s="67"/>
      <c r="G106" s="67"/>
      <c r="H106" s="67"/>
      <c r="I106" s="67"/>
    </row>
    <row r="107" spans="1:9">
      <c r="A107" t="s">
        <v>411</v>
      </c>
      <c r="B107" t="s">
        <v>412</v>
      </c>
      <c r="C107">
        <v>227</v>
      </c>
      <c r="D107" s="90">
        <v>-6.19834711E-2</v>
      </c>
      <c r="E107" s="67"/>
      <c r="F107" s="67"/>
      <c r="G107" s="67"/>
      <c r="H107" s="67"/>
      <c r="I107" s="67"/>
    </row>
    <row r="108" spans="1:9">
      <c r="A108" t="s">
        <v>413</v>
      </c>
      <c r="B108" t="s">
        <v>414</v>
      </c>
      <c r="C108">
        <v>7930</v>
      </c>
      <c r="D108" s="90">
        <v>-6.8702290099999994E-2</v>
      </c>
      <c r="E108" s="67"/>
      <c r="F108" s="67"/>
      <c r="G108" s="67"/>
      <c r="H108" s="67"/>
      <c r="I108" s="67"/>
    </row>
    <row r="109" spans="1:9">
      <c r="A109" t="s">
        <v>273</v>
      </c>
      <c r="B109" t="s">
        <v>96</v>
      </c>
      <c r="C109">
        <v>610</v>
      </c>
      <c r="D109" s="90">
        <v>-5.4263565899999998E-2</v>
      </c>
    </row>
    <row r="110" spans="1:9">
      <c r="A110" t="s">
        <v>415</v>
      </c>
      <c r="B110" t="s">
        <v>416</v>
      </c>
      <c r="C110">
        <v>183</v>
      </c>
      <c r="D110" s="90">
        <v>-0.12440191389999999</v>
      </c>
    </row>
    <row r="111" spans="1:9">
      <c r="A111" t="s">
        <v>274</v>
      </c>
      <c r="B111" t="s">
        <v>94</v>
      </c>
      <c r="C111">
        <v>341</v>
      </c>
      <c r="D111" s="90">
        <v>-0.1211340206</v>
      </c>
    </row>
    <row r="112" spans="1:9">
      <c r="A112" t="s">
        <v>275</v>
      </c>
      <c r="B112" t="s">
        <v>93</v>
      </c>
      <c r="C112">
        <v>59810</v>
      </c>
      <c r="D112" s="90">
        <v>-0.1012772352</v>
      </c>
    </row>
    <row r="113" spans="1:4">
      <c r="A113" t="s">
        <v>417</v>
      </c>
      <c r="B113" t="s">
        <v>418</v>
      </c>
      <c r="C113">
        <v>3765</v>
      </c>
      <c r="D113" s="90">
        <v>-7.3800738000000005E-2</v>
      </c>
    </row>
    <row r="114" spans="1:4">
      <c r="A114" t="s">
        <v>276</v>
      </c>
      <c r="B114" t="s">
        <v>188</v>
      </c>
      <c r="C114">
        <v>40980</v>
      </c>
      <c r="D114" s="90">
        <v>-5.3798198999999998E-2</v>
      </c>
    </row>
    <row r="115" spans="1:4">
      <c r="A115" t="s">
        <v>277</v>
      </c>
      <c r="B115" t="s">
        <v>189</v>
      </c>
      <c r="C115">
        <v>8465</v>
      </c>
      <c r="D115" s="90">
        <v>0.17896935929999999</v>
      </c>
    </row>
    <row r="116" spans="1:4">
      <c r="A116" t="s">
        <v>419</v>
      </c>
      <c r="B116" t="s">
        <v>420</v>
      </c>
      <c r="C116">
        <v>10800</v>
      </c>
      <c r="D116" s="90">
        <v>4.4487427500000003E-2</v>
      </c>
    </row>
    <row r="117" spans="1:4">
      <c r="A117" t="s">
        <v>278</v>
      </c>
      <c r="B117" t="s">
        <v>191</v>
      </c>
      <c r="C117">
        <v>2725</v>
      </c>
      <c r="D117" s="90">
        <v>-4.2179261900000001E-2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2021-04-22T05:21:18Z</dcterms:modified>
</cp:coreProperties>
</file>