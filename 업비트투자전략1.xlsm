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D360BB8-640A-4F06-A65C-0E28C14C3A78}" xr6:coauthVersionLast="46" xr6:coauthVersionMax="46" xr10:uidLastSave="{00000000-0000-0000-0000-000000000000}"/>
  <bookViews>
    <workbookView xWindow="28680" yWindow="-120" windowWidth="29040" windowHeight="15840" firstSheet="6" activeTab="14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현재가테이블" sheetId="37" r:id="rId16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0" hidden="1">투자전략1!#REF!</definedName>
    <definedName name="_xlnm._FilterDatabase" localSheetId="15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48" l="1"/>
  <c r="O111" i="49"/>
  <c r="N111" i="49"/>
  <c r="L111" i="49"/>
  <c r="K111" i="49"/>
  <c r="I111" i="49"/>
  <c r="H111" i="49"/>
  <c r="F111" i="49"/>
  <c r="E111" i="49"/>
  <c r="O110" i="49"/>
  <c r="N110" i="49"/>
  <c r="L110" i="49"/>
  <c r="K110" i="49"/>
  <c r="I110" i="49"/>
  <c r="H110" i="49"/>
  <c r="F110" i="49"/>
  <c r="E110" i="49"/>
  <c r="O109" i="49"/>
  <c r="N109" i="49"/>
  <c r="L109" i="49"/>
  <c r="K109" i="49"/>
  <c r="I109" i="49"/>
  <c r="H109" i="49"/>
  <c r="F109" i="49"/>
  <c r="E109" i="49"/>
  <c r="O108" i="49"/>
  <c r="N108" i="49"/>
  <c r="L108" i="49"/>
  <c r="K108" i="49"/>
  <c r="I108" i="49"/>
  <c r="H108" i="49"/>
  <c r="F108" i="49"/>
  <c r="E108" i="49"/>
  <c r="O107" i="49"/>
  <c r="N107" i="49"/>
  <c r="L107" i="49"/>
  <c r="K107" i="49"/>
  <c r="I107" i="49"/>
  <c r="H107" i="49"/>
  <c r="F107" i="49"/>
  <c r="E107" i="49"/>
  <c r="O106" i="49"/>
  <c r="N106" i="49"/>
  <c r="L106" i="49"/>
  <c r="K106" i="49"/>
  <c r="I106" i="49"/>
  <c r="H106" i="49"/>
  <c r="F106" i="49"/>
  <c r="E106" i="49"/>
  <c r="O105" i="49"/>
  <c r="N105" i="49"/>
  <c r="L105" i="49"/>
  <c r="K105" i="49"/>
  <c r="I105" i="49"/>
  <c r="H105" i="49"/>
  <c r="F105" i="49"/>
  <c r="E105" i="49"/>
  <c r="O104" i="49"/>
  <c r="N104" i="49"/>
  <c r="L104" i="49"/>
  <c r="K104" i="49"/>
  <c r="I104" i="49"/>
  <c r="H104" i="49"/>
  <c r="F104" i="49"/>
  <c r="E104" i="49"/>
  <c r="O103" i="49"/>
  <c r="N103" i="49"/>
  <c r="L103" i="49"/>
  <c r="K103" i="49"/>
  <c r="I103" i="49"/>
  <c r="H103" i="49"/>
  <c r="F103" i="49"/>
  <c r="E103" i="49"/>
  <c r="O102" i="49"/>
  <c r="O112" i="49" s="1"/>
  <c r="N102" i="49"/>
  <c r="N112" i="49" s="1"/>
  <c r="L102" i="49"/>
  <c r="K102" i="49"/>
  <c r="K112" i="49" s="1"/>
  <c r="I102" i="49"/>
  <c r="I112" i="49" s="1"/>
  <c r="H102" i="49"/>
  <c r="H112" i="49" s="1"/>
  <c r="F102" i="49"/>
  <c r="F112" i="49" s="1"/>
  <c r="E102" i="49"/>
  <c r="E112" i="49" s="1"/>
  <c r="M99" i="49"/>
  <c r="G99" i="49"/>
  <c r="O94" i="49"/>
  <c r="N94" i="49"/>
  <c r="L94" i="49"/>
  <c r="K94" i="49"/>
  <c r="I94" i="49"/>
  <c r="H94" i="49"/>
  <c r="F94" i="49"/>
  <c r="E94" i="49"/>
  <c r="O93" i="49"/>
  <c r="N93" i="49"/>
  <c r="L93" i="49"/>
  <c r="K93" i="49"/>
  <c r="I93" i="49"/>
  <c r="H93" i="49"/>
  <c r="F93" i="49"/>
  <c r="E93" i="49"/>
  <c r="O92" i="49"/>
  <c r="N92" i="49"/>
  <c r="L92" i="49"/>
  <c r="K92" i="49"/>
  <c r="I92" i="49"/>
  <c r="H92" i="49"/>
  <c r="F92" i="49"/>
  <c r="E92" i="49"/>
  <c r="O91" i="49"/>
  <c r="N91" i="49"/>
  <c r="L91" i="49"/>
  <c r="K91" i="49"/>
  <c r="I91" i="49"/>
  <c r="H91" i="49"/>
  <c r="F91" i="49"/>
  <c r="E91" i="49"/>
  <c r="O90" i="49"/>
  <c r="N90" i="49"/>
  <c r="L90" i="49"/>
  <c r="K90" i="49"/>
  <c r="I90" i="49"/>
  <c r="H90" i="49"/>
  <c r="F90" i="49"/>
  <c r="E90" i="49"/>
  <c r="O89" i="49"/>
  <c r="N89" i="49"/>
  <c r="L89" i="49"/>
  <c r="K89" i="49"/>
  <c r="I89" i="49"/>
  <c r="H89" i="49"/>
  <c r="F89" i="49"/>
  <c r="E89" i="49"/>
  <c r="O88" i="49"/>
  <c r="N88" i="49"/>
  <c r="L88" i="49"/>
  <c r="K88" i="49"/>
  <c r="I88" i="49"/>
  <c r="H88" i="49"/>
  <c r="F88" i="49"/>
  <c r="E88" i="49"/>
  <c r="O87" i="49"/>
  <c r="N87" i="49"/>
  <c r="L87" i="49"/>
  <c r="K87" i="49"/>
  <c r="I87" i="49"/>
  <c r="H87" i="49"/>
  <c r="F87" i="49"/>
  <c r="E87" i="49"/>
  <c r="O86" i="49"/>
  <c r="N86" i="49"/>
  <c r="L86" i="49"/>
  <c r="K86" i="49"/>
  <c r="I86" i="49"/>
  <c r="H86" i="49"/>
  <c r="F86" i="49"/>
  <c r="E86" i="49"/>
  <c r="O85" i="49"/>
  <c r="O95" i="49" s="1"/>
  <c r="N85" i="49"/>
  <c r="N95" i="49" s="1"/>
  <c r="L85" i="49"/>
  <c r="L95" i="49" s="1"/>
  <c r="K85" i="49"/>
  <c r="K95" i="49" s="1"/>
  <c r="I85" i="49"/>
  <c r="I95" i="49" s="1"/>
  <c r="H85" i="49"/>
  <c r="H95" i="49" s="1"/>
  <c r="F85" i="49"/>
  <c r="F95" i="49" s="1"/>
  <c r="E85" i="49"/>
  <c r="E95" i="49" s="1"/>
  <c r="M82" i="49"/>
  <c r="G82" i="49"/>
  <c r="O77" i="49"/>
  <c r="N77" i="49"/>
  <c r="L77" i="49"/>
  <c r="K77" i="49"/>
  <c r="I77" i="49"/>
  <c r="H77" i="49"/>
  <c r="F77" i="49"/>
  <c r="E77" i="49"/>
  <c r="O76" i="49"/>
  <c r="N76" i="49"/>
  <c r="L76" i="49"/>
  <c r="K76" i="49"/>
  <c r="I76" i="49"/>
  <c r="H76" i="49"/>
  <c r="F76" i="49"/>
  <c r="E76" i="49"/>
  <c r="O75" i="49"/>
  <c r="N75" i="49"/>
  <c r="L75" i="49"/>
  <c r="K75" i="49"/>
  <c r="I75" i="49"/>
  <c r="H75" i="49"/>
  <c r="F75" i="49"/>
  <c r="E75" i="49"/>
  <c r="O74" i="49"/>
  <c r="N74" i="49"/>
  <c r="L74" i="49"/>
  <c r="K74" i="49"/>
  <c r="I74" i="49"/>
  <c r="H74" i="49"/>
  <c r="F74" i="49"/>
  <c r="E74" i="49"/>
  <c r="O73" i="49"/>
  <c r="N73" i="49"/>
  <c r="L73" i="49"/>
  <c r="K73" i="49"/>
  <c r="I73" i="49"/>
  <c r="H73" i="49"/>
  <c r="F73" i="49"/>
  <c r="E73" i="49"/>
  <c r="O72" i="49"/>
  <c r="N72" i="49"/>
  <c r="L72" i="49"/>
  <c r="K72" i="49"/>
  <c r="I72" i="49"/>
  <c r="H72" i="49"/>
  <c r="F72" i="49"/>
  <c r="E72" i="49"/>
  <c r="O71" i="49"/>
  <c r="N71" i="49"/>
  <c r="L71" i="49"/>
  <c r="K71" i="49"/>
  <c r="I71" i="49"/>
  <c r="H71" i="49"/>
  <c r="F71" i="49"/>
  <c r="E71" i="49"/>
  <c r="O70" i="49"/>
  <c r="N70" i="49"/>
  <c r="L70" i="49"/>
  <c r="K70" i="49"/>
  <c r="I70" i="49"/>
  <c r="H70" i="49"/>
  <c r="F70" i="49"/>
  <c r="E70" i="49"/>
  <c r="O69" i="49"/>
  <c r="N69" i="49"/>
  <c r="L69" i="49"/>
  <c r="K69" i="49"/>
  <c r="I69" i="49"/>
  <c r="H69" i="49"/>
  <c r="F69" i="49"/>
  <c r="E69" i="49"/>
  <c r="O68" i="49"/>
  <c r="O78" i="49" s="1"/>
  <c r="N68" i="49"/>
  <c r="N78" i="49" s="1"/>
  <c r="L68" i="49"/>
  <c r="L78" i="49" s="1"/>
  <c r="K68" i="49"/>
  <c r="K78" i="49" s="1"/>
  <c r="I68" i="49"/>
  <c r="I78" i="49" s="1"/>
  <c r="H68" i="49"/>
  <c r="H78" i="49" s="1"/>
  <c r="F68" i="49"/>
  <c r="F78" i="49" s="1"/>
  <c r="E68" i="49"/>
  <c r="E78" i="49" s="1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O56" i="49"/>
  <c r="N56" i="49"/>
  <c r="L56" i="49"/>
  <c r="K56" i="49"/>
  <c r="I56" i="49"/>
  <c r="H56" i="49"/>
  <c r="F56" i="49"/>
  <c r="E56" i="49"/>
  <c r="O55" i="49"/>
  <c r="N55" i="49"/>
  <c r="L55" i="49"/>
  <c r="K55" i="49"/>
  <c r="I55" i="49"/>
  <c r="H55" i="49"/>
  <c r="F55" i="49"/>
  <c r="E55" i="49"/>
  <c r="O54" i="49"/>
  <c r="N54" i="49"/>
  <c r="L54" i="49"/>
  <c r="K54" i="49"/>
  <c r="I54" i="49"/>
  <c r="H54" i="49"/>
  <c r="F54" i="49"/>
  <c r="E54" i="49"/>
  <c r="O53" i="49"/>
  <c r="N53" i="49"/>
  <c r="L53" i="49"/>
  <c r="K53" i="49"/>
  <c r="I53" i="49"/>
  <c r="H53" i="49"/>
  <c r="F53" i="49"/>
  <c r="E53" i="49"/>
  <c r="O52" i="49"/>
  <c r="N52" i="49"/>
  <c r="L52" i="49"/>
  <c r="K52" i="49"/>
  <c r="I52" i="49"/>
  <c r="H52" i="49"/>
  <c r="F52" i="49"/>
  <c r="E52" i="49"/>
  <c r="O51" i="49"/>
  <c r="O61" i="49" s="1"/>
  <c r="N51" i="49"/>
  <c r="N61" i="49" s="1"/>
  <c r="L51" i="49"/>
  <c r="L61" i="49" s="1"/>
  <c r="K51" i="49"/>
  <c r="K61" i="49" s="1"/>
  <c r="I51" i="49"/>
  <c r="I61" i="49" s="1"/>
  <c r="H51" i="49"/>
  <c r="H61" i="49" s="1"/>
  <c r="F51" i="49"/>
  <c r="F61" i="49" s="1"/>
  <c r="E51" i="49"/>
  <c r="E61" i="49" s="1"/>
  <c r="M48" i="49"/>
  <c r="G48" i="49"/>
  <c r="O43" i="49"/>
  <c r="N43" i="49"/>
  <c r="L43" i="49"/>
  <c r="K43" i="49"/>
  <c r="I43" i="49"/>
  <c r="H43" i="49"/>
  <c r="F43" i="49"/>
  <c r="E43" i="49"/>
  <c r="O42" i="49"/>
  <c r="N42" i="49"/>
  <c r="L42" i="49"/>
  <c r="K42" i="49"/>
  <c r="I42" i="49"/>
  <c r="H42" i="49"/>
  <c r="F42" i="49"/>
  <c r="E42" i="49"/>
  <c r="O41" i="49"/>
  <c r="N41" i="49"/>
  <c r="L41" i="49"/>
  <c r="K41" i="49"/>
  <c r="I41" i="49"/>
  <c r="H41" i="49"/>
  <c r="F41" i="49"/>
  <c r="E41" i="49"/>
  <c r="O40" i="49"/>
  <c r="N40" i="49"/>
  <c r="L40" i="49"/>
  <c r="K40" i="49"/>
  <c r="I40" i="49"/>
  <c r="H40" i="49"/>
  <c r="F40" i="49"/>
  <c r="E40" i="49"/>
  <c r="O39" i="49"/>
  <c r="N39" i="49"/>
  <c r="L39" i="49"/>
  <c r="K39" i="49"/>
  <c r="I39" i="49"/>
  <c r="H39" i="49"/>
  <c r="F39" i="49"/>
  <c r="E39" i="49"/>
  <c r="O38" i="49"/>
  <c r="N38" i="49"/>
  <c r="L38" i="49"/>
  <c r="K38" i="49"/>
  <c r="I38" i="49"/>
  <c r="H38" i="49"/>
  <c r="F38" i="49"/>
  <c r="E38" i="49"/>
  <c r="O37" i="49"/>
  <c r="N37" i="49"/>
  <c r="L37" i="49"/>
  <c r="K37" i="49"/>
  <c r="I37" i="49"/>
  <c r="H37" i="49"/>
  <c r="F37" i="49"/>
  <c r="E37" i="49"/>
  <c r="O36" i="49"/>
  <c r="N36" i="49"/>
  <c r="L36" i="49"/>
  <c r="K36" i="49"/>
  <c r="I36" i="49"/>
  <c r="H36" i="49"/>
  <c r="F36" i="49"/>
  <c r="E36" i="49"/>
  <c r="O35" i="49"/>
  <c r="N35" i="49"/>
  <c r="L35" i="49"/>
  <c r="K35" i="49"/>
  <c r="I35" i="49"/>
  <c r="H35" i="49"/>
  <c r="F35" i="49"/>
  <c r="E35" i="49"/>
  <c r="O34" i="49"/>
  <c r="O44" i="49" s="1"/>
  <c r="N34" i="49"/>
  <c r="N44" i="49" s="1"/>
  <c r="L34" i="49"/>
  <c r="L44" i="49" s="1"/>
  <c r="K34" i="49"/>
  <c r="K44" i="49" s="1"/>
  <c r="I34" i="49"/>
  <c r="I44" i="49" s="1"/>
  <c r="H34" i="49"/>
  <c r="H44" i="49" s="1"/>
  <c r="F34" i="49"/>
  <c r="F44" i="49" s="1"/>
  <c r="E34" i="49"/>
  <c r="E44" i="49" s="1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L112" i="49" l="1"/>
  <c r="G11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H27" i="49"/>
  <c r="L27" i="49"/>
  <c r="E27" i="49"/>
  <c r="I27" i="49"/>
  <c r="K27" i="49"/>
  <c r="O27" i="49"/>
  <c r="F27" i="49"/>
  <c r="N27" i="49"/>
  <c r="G5" i="49"/>
  <c r="G9" i="49"/>
  <c r="G3" i="49"/>
  <c r="G7" i="49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/>
  <c r="I104" i="48"/>
  <c r="I17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O104" i="48" l="1"/>
  <c r="O17" i="48" s="1"/>
  <c r="N109" i="48"/>
  <c r="O109" i="48" s="1"/>
  <c r="M23" i="48"/>
  <c r="O110" i="48"/>
  <c r="O23" i="48" s="1"/>
  <c r="N110" i="48"/>
  <c r="N23" i="48" s="1"/>
  <c r="N105" i="48"/>
  <c r="N18" i="48" s="1"/>
  <c r="M18" i="48"/>
  <c r="O103" i="48"/>
  <c r="N103" i="48"/>
  <c r="O106" i="48"/>
  <c r="N106" i="48"/>
  <c r="M21" i="48"/>
  <c r="N108" i="48"/>
  <c r="N21" i="48" s="1"/>
  <c r="M20" i="48"/>
  <c r="O107" i="48"/>
  <c r="O20" i="48" s="1"/>
  <c r="N107" i="48"/>
  <c r="N20" i="48" s="1"/>
  <c r="O102" i="48"/>
  <c r="N102" i="48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/>
  <c r="O68" i="48"/>
  <c r="N68" i="48"/>
  <c r="M19" i="48"/>
  <c r="N69" i="48"/>
  <c r="N19" i="48" s="1"/>
  <c r="N75" i="48"/>
  <c r="O75" i="48"/>
  <c r="O72" i="48"/>
  <c r="O2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/>
  <c r="N55" i="48"/>
  <c r="O55" i="48" s="1"/>
  <c r="N54" i="48"/>
  <c r="O54" i="48"/>
  <c r="N51" i="48"/>
  <c r="N61" i="48" s="1"/>
  <c r="N35" i="48"/>
  <c r="O35" i="48" s="1"/>
  <c r="N42" i="48"/>
  <c r="O42" i="48" s="1"/>
  <c r="N37" i="48"/>
  <c r="O37" i="48" s="1"/>
  <c r="O41" i="48"/>
  <c r="N41" i="48"/>
  <c r="N38" i="48"/>
  <c r="O38" i="48" s="1"/>
  <c r="O39" i="48"/>
  <c r="N39" i="48"/>
  <c r="N34" i="48"/>
  <c r="O34" i="48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L102" i="48"/>
  <c r="K102" i="48"/>
  <c r="K88" i="48"/>
  <c r="L88" i="48"/>
  <c r="K90" i="48"/>
  <c r="L90" i="48" s="1"/>
  <c r="K85" i="48"/>
  <c r="L85" i="48"/>
  <c r="K87" i="48"/>
  <c r="L87" i="48" s="1"/>
  <c r="K89" i="48"/>
  <c r="L89" i="48"/>
  <c r="K86" i="48"/>
  <c r="L86" i="48" s="1"/>
  <c r="K91" i="48"/>
  <c r="L91" i="48"/>
  <c r="K93" i="48"/>
  <c r="L93" i="48" s="1"/>
  <c r="K92" i="48"/>
  <c r="L92" i="48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L75" i="48"/>
  <c r="K75" i="48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I108" i="48"/>
  <c r="I21" i="48" s="1"/>
  <c r="H108" i="48"/>
  <c r="H21" i="48" s="1"/>
  <c r="G21" i="48"/>
  <c r="H103" i="48"/>
  <c r="I103" i="48" s="1"/>
  <c r="H107" i="48"/>
  <c r="H20" i="48" s="1"/>
  <c r="G20" i="48"/>
  <c r="H102" i="48"/>
  <c r="H112" i="48" s="1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/>
  <c r="I76" i="48"/>
  <c r="H76" i="48"/>
  <c r="H71" i="48"/>
  <c r="H24" i="48" s="1"/>
  <c r="I71" i="48"/>
  <c r="I24" i="48" s="1"/>
  <c r="G24" i="48"/>
  <c r="H74" i="48"/>
  <c r="I74" i="48" s="1"/>
  <c r="H69" i="48"/>
  <c r="H19" i="48" s="1"/>
  <c r="I69" i="48"/>
  <c r="I19" i="48" s="1"/>
  <c r="G19" i="48"/>
  <c r="G25" i="48"/>
  <c r="H72" i="48"/>
  <c r="H25" i="48" s="1"/>
  <c r="H73" i="48"/>
  <c r="I73" i="48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I35" i="48"/>
  <c r="H35" i="48"/>
  <c r="H41" i="48"/>
  <c r="I41" i="48"/>
  <c r="I34" i="48"/>
  <c r="H34" i="48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F105" i="48"/>
  <c r="F18" i="48" s="1"/>
  <c r="E105" i="48"/>
  <c r="E18" i="48" s="1"/>
  <c r="D18" i="48"/>
  <c r="E109" i="48"/>
  <c r="F109" i="48" s="1"/>
  <c r="E106" i="48"/>
  <c r="F106" i="48" s="1"/>
  <c r="F108" i="48"/>
  <c r="F21" i="48" s="1"/>
  <c r="E108" i="48"/>
  <c r="E21" i="48" s="1"/>
  <c r="D21" i="48"/>
  <c r="E103" i="48"/>
  <c r="F103" i="48" s="1"/>
  <c r="F107" i="48"/>
  <c r="F20" i="48" s="1"/>
  <c r="E107" i="48"/>
  <c r="E20" i="48" s="1"/>
  <c r="D20" i="48"/>
  <c r="F102" i="48"/>
  <c r="E102" i="48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F76" i="48"/>
  <c r="E76" i="48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O106" i="47"/>
  <c r="O19" i="47" s="1"/>
  <c r="M19" i="47"/>
  <c r="N104" i="47"/>
  <c r="N17" i="47" s="1"/>
  <c r="M17" i="47"/>
  <c r="O104" i="47"/>
  <c r="O17" i="47" s="1"/>
  <c r="O107" i="47"/>
  <c r="N107" i="47"/>
  <c r="N102" i="47"/>
  <c r="O102" i="47"/>
  <c r="N93" i="47"/>
  <c r="O93" i="47" s="1"/>
  <c r="N92" i="47"/>
  <c r="O92" i="47"/>
  <c r="N90" i="47"/>
  <c r="O90" i="47" s="1"/>
  <c r="N85" i="47"/>
  <c r="N86" i="47"/>
  <c r="N25" i="47" s="1"/>
  <c r="M25" i="47"/>
  <c r="O86" i="47"/>
  <c r="O25" i="47" s="1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O69" i="47"/>
  <c r="O23" i="47" s="1"/>
  <c r="N75" i="47"/>
  <c r="O75" i="47" s="1"/>
  <c r="N73" i="47"/>
  <c r="O73" i="47" s="1"/>
  <c r="N76" i="47"/>
  <c r="O76" i="47"/>
  <c r="N71" i="47"/>
  <c r="O71" i="47" s="1"/>
  <c r="N72" i="47"/>
  <c r="O72" i="47" s="1"/>
  <c r="N70" i="47"/>
  <c r="N24" i="47" s="1"/>
  <c r="O70" i="47"/>
  <c r="O24" i="47" s="1"/>
  <c r="M24" i="47"/>
  <c r="N55" i="47"/>
  <c r="O55" i="47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O37" i="47"/>
  <c r="N37" i="47"/>
  <c r="N38" i="47"/>
  <c r="O38" i="47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L109" i="47"/>
  <c r="L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L69" i="47"/>
  <c r="L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I106" i="47"/>
  <c r="I19" i="47" s="1"/>
  <c r="H107" i="47"/>
  <c r="I107" i="47" s="1"/>
  <c r="H102" i="47"/>
  <c r="I102" i="47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/>
  <c r="H73" i="47"/>
  <c r="I73" i="47" s="1"/>
  <c r="H72" i="47"/>
  <c r="I72" i="47" s="1"/>
  <c r="H70" i="47"/>
  <c r="H24" i="47" s="1"/>
  <c r="G24" i="47"/>
  <c r="H69" i="47"/>
  <c r="H23" i="47" s="1"/>
  <c r="G23" i="47"/>
  <c r="H68" i="47"/>
  <c r="G20" i="47"/>
  <c r="I68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F106" i="47"/>
  <c r="F19" i="47" s="1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F88" i="47"/>
  <c r="F26" i="47" s="1"/>
  <c r="D26" i="47"/>
  <c r="E88" i="47"/>
  <c r="E26" i="47" s="1"/>
  <c r="E89" i="47"/>
  <c r="F89" i="47" s="1"/>
  <c r="E91" i="47"/>
  <c r="F91" i="47" s="1"/>
  <c r="E73" i="47"/>
  <c r="F73" i="47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L93" i="45"/>
  <c r="K93" i="45"/>
  <c r="K87" i="45"/>
  <c r="L87" i="45" s="1"/>
  <c r="K91" i="45"/>
  <c r="K26" i="45" s="1"/>
  <c r="J26" i="45"/>
  <c r="K86" i="45"/>
  <c r="L86" i="45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I37" i="45"/>
  <c r="H37" i="45"/>
  <c r="H34" i="45"/>
  <c r="I34" i="45" s="1"/>
  <c r="G17" i="45"/>
  <c r="I41" i="45"/>
  <c r="H41" i="45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F93" i="45"/>
  <c r="E93" i="45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F73" i="45"/>
  <c r="E73" i="45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O74" i="43"/>
  <c r="N74" i="43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08" i="48" l="1"/>
  <c r="O21" i="48" s="1"/>
  <c r="O105" i="48"/>
  <c r="O18" i="48" s="1"/>
  <c r="N112" i="48"/>
  <c r="O112" i="48"/>
  <c r="N95" i="48"/>
  <c r="O95" i="48"/>
  <c r="O71" i="48"/>
  <c r="O24" i="48" s="1"/>
  <c r="O69" i="48"/>
  <c r="O19" i="48" s="1"/>
  <c r="N78" i="48"/>
  <c r="O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12" i="48" s="1"/>
  <c r="I107" i="48"/>
  <c r="I20" i="48" s="1"/>
  <c r="H95" i="48"/>
  <c r="I95" i="48"/>
  <c r="I72" i="48"/>
  <c r="I25" i="48" s="1"/>
  <c r="H78" i="48"/>
  <c r="H27" i="48"/>
  <c r="I78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7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27" i="48" l="1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G11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G9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<sst xmlns="http://schemas.openxmlformats.org/spreadsheetml/2006/main" count="4342" uniqueCount="361">
  <si>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</si>
  <si>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</si>
  <si>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</si>
  <si>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</si>
  <si>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</si>
  <si>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</si>
  <si>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</si>
  <si>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</si>
  <si>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</si>
  <si>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</si>
  <si>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</si>
  <si>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</si>
  <si>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</si>
  <si>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</si>
  <si>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</si>
  <si>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</si>
  <si>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</si>
  <si>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</si>
  <si>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</si>
  <si>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</si>
  <si>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</si>
  <si>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</si>
  <si>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</si>
  <si>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</si>
  <si>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</si>
  <si>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</si>
  <si>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</si>
  <si>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</si>
  <si>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</si>
  <si>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</si>
  <si>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</si>
  <si>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</si>
  <si>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</si>
  <si>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</si>
  <si>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</si>
  <si>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</si>
  <si>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</si>
  <si>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</si>
  <si>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</si>
  <si>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</si>
  <si>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</si>
  <si>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</si>
  <si>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</si>
  <si>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</si>
  <si>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</si>
  <si>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</si>
  <si>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</si>
  <si>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</si>
  <si>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</si>
  <si>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</si>
  <si>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</si>
  <si>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</si>
  <si>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</si>
  <si>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</si>
  <si>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</si>
  <si>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</si>
  <si>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</si>
  <si>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</si>
  <si>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</si>
  <si>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</si>
  <si>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</si>
  <si>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</si>
  <si>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</si>
  <si>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</si>
  <si>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</si>
  <si>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</si>
  <si>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</si>
  <si>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</si>
  <si>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</si>
  <si>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</si>
  <si>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</si>
  <si>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</si>
  <si>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</si>
  <si>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</si>
  <si>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</si>
  <si>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</si>
  <si>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</si>
  <si>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</si>
  <si>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</si>
  <si>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</si>
  <si>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</si>
  <si>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</si>
  <si>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</si>
  <si>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</si>
  <si>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</si>
  <si>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</si>
  <si>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</si>
  <si>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</si>
  <si>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</si>
  <si>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</si>
  <si>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</si>
  <si>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</si>
  <si>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</si>
  <si>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</si>
  <si>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</si>
  <si>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</si>
  <si>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</si>
  <si>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</si>
  <si>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</si>
  <si>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KRW-CBK</t>
  </si>
  <si>
    <t>엘비알와이크레딧</t>
  </si>
  <si>
    <t>피르마체인</t>
  </si>
  <si>
    <t>KRW-FCT2</t>
  </si>
  <si>
    <t>옵저버</t>
  </si>
  <si>
    <t>메타디움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</si>
  <si>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</si>
  <si>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</si>
  <si>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</si>
  <si>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</si>
  <si>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</si>
  <si>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</si>
  <si>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</si>
  <si>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</si>
  <si>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스트라티스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</si>
  <si>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</si>
  <si>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</si>
  <si>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</si>
  <si>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</si>
  <si>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</si>
  <si>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</si>
  <si>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</si>
  <si>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</si>
  <si>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</si>
  <si>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</si>
  <si>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</si>
  <si>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</si>
  <si>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</si>
  <si>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</si>
  <si>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</si>
  <si>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</si>
  <si>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</si>
  <si>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</si>
  <si>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</si>
  <si>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</si>
  <si>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</si>
  <si>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</si>
  <si>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</si>
  <si>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</si>
  <si>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</si>
  <si>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KRW-DKA</t>
  </si>
  <si>
    <t>스톰엑스</t>
  </si>
  <si>
    <t>KRW-STMX</t>
  </si>
  <si>
    <t>픽셀</t>
  </si>
  <si>
    <t>칠리즈</t>
  </si>
  <si>
    <t>KRW-CHZ</t>
  </si>
  <si>
    <t>비체인</t>
  </si>
  <si>
    <t>오브스</t>
  </si>
  <si>
    <t>에스티피</t>
  </si>
  <si>
    <t>메디블록</t>
  </si>
  <si>
    <t>헤데라해시그래프</t>
  </si>
  <si>
    <t>KRW-HBAR</t>
  </si>
  <si>
    <t>왁스</t>
  </si>
  <si>
    <t>KRW-WAXP</t>
  </si>
  <si>
    <t>트웰브쉽스</t>
  </si>
  <si>
    <t>KRW-TSHP</t>
  </si>
  <si>
    <t>무비블록</t>
  </si>
  <si>
    <t>솔브케어</t>
  </si>
  <si>
    <t>KRW-SOLVE</t>
  </si>
  <si>
    <t>캐리프로토콜</t>
  </si>
  <si>
    <t>썬더토큰</t>
  </si>
  <si>
    <t>아르고</t>
  </si>
  <si>
    <t>앵커</t>
  </si>
  <si>
    <t>KRW-ANKR</t>
  </si>
  <si>
    <t>디센트럴랜드</t>
  </si>
  <si>
    <t>쎄타퓨엘</t>
  </si>
  <si>
    <t>KRW-TFUEL</t>
  </si>
  <si>
    <t>엔진코인</t>
  </si>
  <si>
    <t>모스코인</t>
  </si>
  <si>
    <t>비트토렌트</t>
  </si>
  <si>
    <t>KRW-BTT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</si>
  <si>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</si>
  <si>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</si>
  <si>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</si>
  <si>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</si>
  <si>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</si>
  <si>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</si>
  <si>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</si>
  <si>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</si>
  <si>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</si>
  <si>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</si>
  <si>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</si>
  <si>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</si>
  <si>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</si>
  <si>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</si>
  <si>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</si>
  <si>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</si>
  <si>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</si>
  <si>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</si>
  <si>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KRW-IOST</t>
  </si>
  <si>
    <t>애드엑스</t>
  </si>
  <si>
    <t>KRW-ADX</t>
  </si>
  <si>
    <t>룸네트워크</t>
  </si>
  <si>
    <t>KRW-LOOM</t>
  </si>
  <si>
    <t>폴리매쓰</t>
  </si>
  <si>
    <t>KRW-POLY</t>
  </si>
  <si>
    <t>온톨로지</t>
  </si>
  <si>
    <t>KRW-ONT</t>
  </si>
  <si>
    <t>이그니스</t>
  </si>
  <si>
    <t>KRW-IGNIS</t>
  </si>
  <si>
    <t>시아코인</t>
  </si>
  <si>
    <t>트론</t>
  </si>
  <si>
    <t>비트코인골드</t>
  </si>
  <si>
    <t>KRW-BTG</t>
  </si>
  <si>
    <t>파워렛저</t>
  </si>
  <si>
    <t>KRW-POWR</t>
  </si>
  <si>
    <t>스팀달러</t>
  </si>
  <si>
    <t>KRW-SBD</t>
  </si>
  <si>
    <t>아인스타이늄</t>
  </si>
  <si>
    <t>KRW-EMC2</t>
  </si>
  <si>
    <t>그로스톨코인</t>
  </si>
  <si>
    <t>스토리지</t>
  </si>
  <si>
    <t>KRW-STORJ</t>
  </si>
  <si>
    <t>코모도</t>
  </si>
  <si>
    <t>KRW-KMD</t>
  </si>
  <si>
    <t>아더</t>
  </si>
  <si>
    <t>스텔라루멘</t>
  </si>
  <si>
    <t>KRW-XLM</t>
  </si>
  <si>
    <t>스팀</t>
  </si>
  <si>
    <t>리스크</t>
  </si>
  <si>
    <t>KRW-LSK</t>
  </si>
  <si>
    <t>퀀텀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</si>
  <si>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</si>
  <si>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</si>
  <si>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</si>
  <si>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</si>
  <si>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</si>
  <si>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</si>
  <si>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</si>
  <si>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</si>
  <si>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</si>
  <si>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</si>
  <si>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</si>
  <si>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</si>
  <si>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</si>
  <si>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</si>
  <si>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</si>
  <si>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</si>
  <si>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</si>
  <si>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</si>
  <si>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</si>
  <si>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</si>
  <si>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</si>
  <si>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</si>
  <si>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</si>
  <si>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</si>
  <si>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</si>
  <si>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</si>
  <si>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</si>
  <si>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</si>
  <si>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</si>
  <si>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</si>
  <si>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</si>
  <si>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</si>
  <si>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</si>
  <si>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</si>
  <si>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</si>
  <si>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</si>
  <si>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</si>
  <si>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</si>
  <si>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</si>
  <si>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</si>
  <si>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</si>
  <si>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</si>
  <si>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</si>
  <si>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</si>
  <si>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</si>
  <si>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</si>
  <si>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</si>
  <si>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</si>
  <si>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</si>
  <si>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</si>
  <si>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</si>
  <si>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</si>
  <si>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</si>
  <si>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KRW-LTC</t>
  </si>
  <si>
    <t>라이트코인</t>
  </si>
  <si>
    <t>KRW-XRP</t>
  </si>
  <si>
    <t>KRW-OMG</t>
  </si>
  <si>
    <t>KRW-SNT</t>
  </si>
  <si>
    <t>KRW-QTUM</t>
  </si>
  <si>
    <t>KRW-STEEM</t>
  </si>
  <si>
    <t>KRW-ARDR</t>
  </si>
  <si>
    <t>KRW-ARK</t>
  </si>
  <si>
    <t>아크</t>
  </si>
  <si>
    <t>KRW-GRS</t>
  </si>
  <si>
    <t>KRW-REP</t>
  </si>
  <si>
    <t>어거</t>
  </si>
  <si>
    <t>KRW-ADA</t>
  </si>
  <si>
    <t>에이다</t>
  </si>
  <si>
    <t>KRW-ICX</t>
  </si>
  <si>
    <t>아이콘</t>
  </si>
  <si>
    <t>KRW-EOS</t>
  </si>
  <si>
    <t>이오스</t>
  </si>
  <si>
    <t>KRW-TRX</t>
  </si>
  <si>
    <t>KRW-SC</t>
  </si>
  <si>
    <t>KRW-ZIL</t>
  </si>
  <si>
    <t>KRW-ZRX</t>
  </si>
  <si>
    <t>KRW-BCH</t>
  </si>
  <si>
    <t>비트코인캐시</t>
  </si>
  <si>
    <t>KRW-BAT</t>
  </si>
  <si>
    <t>베이직어텐션토큰</t>
  </si>
  <si>
    <t>KRW-DMT</t>
  </si>
  <si>
    <t>KRW-RFR</t>
  </si>
  <si>
    <t>KRW-CVC</t>
  </si>
  <si>
    <t>KRW-IQ</t>
  </si>
  <si>
    <t>KRW-IOTA</t>
  </si>
  <si>
    <t>KRW-MFT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</si>
  <si>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</si>
  <si>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</si>
  <si>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</si>
  <si>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</si>
  <si>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</si>
  <si>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</si>
  <si>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</si>
  <si>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</si>
  <si>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KRW-MOC</t>
  </si>
  <si>
    <t>KRW-ENJ</t>
  </si>
  <si>
    <t>KRW-MANA</t>
  </si>
  <si>
    <t>KRW-AERGO</t>
  </si>
  <si>
    <t>KRW-ATOM</t>
  </si>
  <si>
    <t>코스모스</t>
  </si>
  <si>
    <t>KRW-TT</t>
  </si>
  <si>
    <t>KRW-CRE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</si>
  <si>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</si>
  <si>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</si>
  <si>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</si>
  <si>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</si>
  <si>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</si>
  <si>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</si>
  <si>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</si>
  <si>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</si>
  <si>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KRW-HIVE</t>
  </si>
  <si>
    <t>KRW-KAVA</t>
  </si>
  <si>
    <t>KRW-AHT</t>
  </si>
  <si>
    <t>KRW-LINK</t>
  </si>
  <si>
    <t>체인링크</t>
  </si>
  <si>
    <t>KRW-XTZ</t>
  </si>
  <si>
    <t>테조스</t>
  </si>
  <si>
    <t>KRW-BORA</t>
  </si>
  <si>
    <t>KRW-TON</t>
  </si>
  <si>
    <t>KRW-SXP</t>
  </si>
  <si>
    <t>KRW-HUNT</t>
  </si>
  <si>
    <t>KRW-MARO</t>
  </si>
  <si>
    <t>KRW-STRAX</t>
  </si>
  <si>
    <t>KRW-AQT</t>
  </si>
  <si>
    <t>알파쿼크</t>
  </si>
  <si>
    <t>KRW-META</t>
  </si>
  <si>
    <t>KRW-OBSR</t>
  </si>
  <si>
    <t>KRW-LBC</t>
  </si>
  <si>
    <t>KRW-HUM</t>
  </si>
  <si>
    <t>휴먼스케이프</t>
  </si>
  <si>
    <t>KRW-DOGE</t>
  </si>
  <si>
    <t>KRW-STRK</t>
  </si>
  <si>
    <t>KRW-PUNDIX</t>
  </si>
  <si>
    <t>KRW-FLOW</t>
  </si>
  <si>
    <t>KRW-DAWN</t>
  </si>
  <si>
    <t>KRW-STX</t>
  </si>
  <si>
    <t>파워렛저</t>
    <phoneticPr fontId="1" type="noConversion"/>
  </si>
  <si>
    <t>오후 23:59</t>
    <phoneticPr fontId="1" type="noConversion"/>
  </si>
  <si>
    <t>v</t>
    <phoneticPr fontId="1" type="noConversion"/>
  </si>
  <si>
    <t>크립토닷컴체인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</si>
</sst>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15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78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B48F4151-2603-4888-A04C-D5D998A4B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B642C681-3CC3-452F-A4D1-EA8F3FD3F6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C7E381DD-859E-42ED-AEFF-F08871116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5D977107-0C15-4D68-8C56-1CC2C271A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6F276CBF-19C4-4E3B-AA10-E5773D96D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C722E9DE-409A-4634-9F5A-C6AB58D1B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FD05D973-D804-4BD0-B3C6-1DABAAAD0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F4267FAD-F911-4443-BAEC-865067065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5D4C3B26-07F7-407D-ACDF-73B9A76DF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5D03BD4A-E0AB-44A5-B3DD-A1167DF6B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5199F57D-8792-45F1-8B1F-3F4093866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C7AA707A-F0C3-4A35-9407-8D81BC0A9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2072FFD4-6A73-45F4-BD5D-DEA0ECD73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B1BC8977-37EE-49C2-9B3A-83B23BB16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694E8530-8C39-41BC-989F-954DE6E10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46F70F29-A45A-44E9-8365-9AC2EF1DD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769D6E31-827A-4DA5-84B8-55A2367C2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64C496A8-7174-40DC-AA01-F39DDFD13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95A29035-867D-4ACD-A586-1DCF852E3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73446BF5-942A-4DD0-A184-55E7C9983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72A7129B-62A4-432E-A5DA-5C3FD4597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2C20F232-B870-4C85-85B9-2A86FBB8E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E0B2C010-C37D-47BE-B209-CB6342B8C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180F6C1A-F602-4626-9502-E149755D0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7DAFEF7-DE9A-48CE-8A67-9B9560F5B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A8C5D65A-7485-449B-9ADB-562F7323A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5D549D77-68BC-40CB-83CB-BD8E08A0B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949D3E03-4C78-4F26-BED5-5B0C2ED4F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AFC9E769-1AB7-417B-B16C-7769D607A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A6217EA9-41D0-4C5A-9B3C-E5DF549D9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95BCD95A-EDCB-41D4-AB51-64DE22827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B2D9FCB1-B15C-4670-A8F5-634981A09A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E0592E0B-5C69-47EC-8CDD-8084EEB36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9D63B846-F9CA-4AC7-B492-6CC2EF130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20201D96-CB63-43CC-844F-22DF7F786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C7B6E2DE-5CEE-4F6A-A294-8AD23AA17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 t="s">
        <v>268</v>
      </c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1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81"/>
      <c r="R16" s="182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79"/>
      <c r="R17" s="180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79"/>
      <c r="R18" s="180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79"/>
      <c r="R19" s="180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79"/>
      <c r="R20" s="180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9"/>
      <c r="R21" s="180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79"/>
      <c r="R22" s="18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79"/>
      <c r="R23" s="18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1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53"/>
      <c r="R33" s="154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51"/>
      <c r="R34" s="15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1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53"/>
      <c r="R50" s="154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1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53"/>
      <c r="R67" s="154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1"/>
      <c r="R69" s="152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1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53"/>
      <c r="R84" s="154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1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53"/>
      <c r="R101" s="154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51"/>
      <c r="R102" s="152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51"/>
      <c r="R103" s="152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51"/>
      <c r="R104" s="152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51"/>
      <c r="R105" s="152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51"/>
      <c r="R106" s="152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51"/>
      <c r="R107" s="152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51"/>
      <c r="R108" s="152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51"/>
      <c r="R109" s="152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53"/>
      <c r="R110" s="154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477" priority="89">
      <formula>$E$27&gt;0</formula>
    </cfRule>
    <cfRule type="expression" dxfId="1476" priority="90">
      <formula>$E$27&lt;0</formula>
    </cfRule>
  </conditionalFormatting>
  <conditionalFormatting sqref="G15:I16 H27:I27">
    <cfRule type="expression" dxfId="1475" priority="87">
      <formula>$H$27&gt;0</formula>
    </cfRule>
    <cfRule type="expression" dxfId="1474" priority="88">
      <formula>$H$27&lt;0</formula>
    </cfRule>
  </conditionalFormatting>
  <conditionalFormatting sqref="J15:L16 K27:L27">
    <cfRule type="expression" dxfId="1473" priority="85">
      <formula>$K$27&gt;0</formula>
    </cfRule>
    <cfRule type="expression" dxfId="1472" priority="86">
      <formula>$K$27&lt;0</formula>
    </cfRule>
  </conditionalFormatting>
  <conditionalFormatting sqref="M15:O16 N27:O27">
    <cfRule type="expression" dxfId="1471" priority="83">
      <formula>$N$27&gt;0</formula>
    </cfRule>
    <cfRule type="expression" dxfId="1470" priority="84">
      <formula>$N$27&lt;0</formula>
    </cfRule>
  </conditionalFormatting>
  <conditionalFormatting sqref="A17:O26 A34:O43">
    <cfRule type="expression" dxfId="1469" priority="91">
      <formula>AND($N17 &gt; 0, ISNUMBER($N17))</formula>
    </cfRule>
    <cfRule type="expression" dxfId="1468" priority="92">
      <formula>AND($N17 &lt; 0, ISNUMBER($N17))</formula>
    </cfRule>
    <cfRule type="expression" dxfId="1467" priority="93">
      <formula>AND($K17 &gt; 0, ISNUMBER($K17))</formula>
    </cfRule>
    <cfRule type="expression" dxfId="1466" priority="94">
      <formula>AND($K17 &lt; 0, ISNUMBER($K17))</formula>
    </cfRule>
    <cfRule type="expression" dxfId="1465" priority="95">
      <formula>AND($H17 &gt; 0, ISNUMBER($H17))</formula>
    </cfRule>
    <cfRule type="expression" dxfId="1464" priority="96">
      <formula>AND($H17 &lt; 0, ISNUMBER($H17))</formula>
    </cfRule>
    <cfRule type="expression" dxfId="1463" priority="97">
      <formula>AND($E17 &gt; 0, ISNUMBER($E17))</formula>
    </cfRule>
    <cfRule type="expression" dxfId="1462" priority="98">
      <formula>AND($E17 &lt; 0, ISNUMBER($E17))</formula>
    </cfRule>
  </conditionalFormatting>
  <conditionalFormatting sqref="D32:F33 E44:F44">
    <cfRule type="expression" dxfId="1461" priority="81">
      <formula>$E$44&gt;0</formula>
    </cfRule>
    <cfRule type="expression" dxfId="1460" priority="82">
      <formula>$E$44&lt;0</formula>
    </cfRule>
  </conditionalFormatting>
  <conditionalFormatting sqref="G32:I33 H44:I44">
    <cfRule type="expression" dxfId="1459" priority="79">
      <formula>$H$44&gt;0</formula>
    </cfRule>
    <cfRule type="expression" dxfId="1458" priority="80">
      <formula>$H$44&lt;0</formula>
    </cfRule>
  </conditionalFormatting>
  <conditionalFormatting sqref="J32:L33 K44:L44">
    <cfRule type="expression" dxfId="1457" priority="77">
      <formula>$K$44&gt;0</formula>
    </cfRule>
    <cfRule type="expression" dxfId="1456" priority="78">
      <formula>$K$44&lt;0</formula>
    </cfRule>
  </conditionalFormatting>
  <conditionalFormatting sqref="M32:O33 N44:O44">
    <cfRule type="expression" dxfId="1455" priority="75">
      <formula>$N$44&gt;0</formula>
    </cfRule>
    <cfRule type="expression" dxfId="1454" priority="76">
      <formula>$N$44&lt;0</formula>
    </cfRule>
  </conditionalFormatting>
  <conditionalFormatting sqref="A51:O60">
    <cfRule type="expression" dxfId="1453" priority="67">
      <formula>AND($N51 &gt; 0, ISNUMBER($N51))</formula>
    </cfRule>
    <cfRule type="expression" dxfId="1452" priority="68">
      <formula>AND($N51 &lt; 0, ISNUMBER($N51))</formula>
    </cfRule>
    <cfRule type="expression" dxfId="1451" priority="69">
      <formula>AND($K51 &gt; 0, ISNUMBER($K51))</formula>
    </cfRule>
    <cfRule type="expression" dxfId="1450" priority="70">
      <formula>AND($K51 &lt; 0, ISNUMBER($K51))</formula>
    </cfRule>
    <cfRule type="expression" dxfId="1449" priority="71">
      <formula>AND($H51 &gt; 0, ISNUMBER($H51))</formula>
    </cfRule>
    <cfRule type="expression" dxfId="1448" priority="72">
      <formula>AND($H51 &lt; 0, ISNUMBER($H51))</formula>
    </cfRule>
    <cfRule type="expression" dxfId="1447" priority="73">
      <formula>AND($E51 &gt; 0, ISNUMBER($E51))</formula>
    </cfRule>
    <cfRule type="expression" dxfId="1446" priority="74">
      <formula>AND($E51 &lt; 0, ISNUMBER($E51))</formula>
    </cfRule>
  </conditionalFormatting>
  <conditionalFormatting sqref="D49:F50 E61:F61">
    <cfRule type="expression" dxfId="1445" priority="65">
      <formula>$E$61&gt;0</formula>
    </cfRule>
    <cfRule type="expression" dxfId="1444" priority="66">
      <formula>$E$61&lt;0</formula>
    </cfRule>
  </conditionalFormatting>
  <conditionalFormatting sqref="G49:I50 H61:I61">
    <cfRule type="expression" dxfId="1443" priority="63">
      <formula>$H$61&gt;0</formula>
    </cfRule>
    <cfRule type="expression" dxfId="1442" priority="64">
      <formula>$H$61&lt;0</formula>
    </cfRule>
  </conditionalFormatting>
  <conditionalFormatting sqref="J49:L50 K61:L61">
    <cfRule type="expression" dxfId="1441" priority="61">
      <formula>$K$61&gt;0</formula>
    </cfRule>
    <cfRule type="expression" dxfId="1440" priority="62">
      <formula>$K$61&lt;0</formula>
    </cfRule>
  </conditionalFormatting>
  <conditionalFormatting sqref="M49:O50 N61:O61">
    <cfRule type="expression" dxfId="1439" priority="59">
      <formula>$N$61&gt;0</formula>
    </cfRule>
    <cfRule type="expression" dxfId="1438" priority="60">
      <formula>$N$61&lt;0</formula>
    </cfRule>
  </conditionalFormatting>
  <conditionalFormatting sqref="A68:O77">
    <cfRule type="expression" dxfId="1437" priority="51">
      <formula>AND($N68 &gt; 0, ISNUMBER($N68))</formula>
    </cfRule>
    <cfRule type="expression" dxfId="1436" priority="52">
      <formula>AND($N68 &lt; 0, ISNUMBER($N68))</formula>
    </cfRule>
    <cfRule type="expression" dxfId="1435" priority="53">
      <formula>AND($K68 &gt; 0, ISNUMBER($K68))</formula>
    </cfRule>
    <cfRule type="expression" dxfId="1434" priority="54">
      <formula>AND($K68 &lt; 0, ISNUMBER($K68))</formula>
    </cfRule>
    <cfRule type="expression" dxfId="1433" priority="55">
      <formula>AND($H68 &gt; 0, ISNUMBER($H68))</formula>
    </cfRule>
    <cfRule type="expression" dxfId="1432" priority="56">
      <formula>AND($H68 &lt; 0, ISNUMBER($H68))</formula>
    </cfRule>
    <cfRule type="expression" dxfId="1431" priority="57">
      <formula>AND($E68 &gt; 0, ISNUMBER($E68))</formula>
    </cfRule>
    <cfRule type="expression" dxfId="1430" priority="58">
      <formula>AND($E68 &lt; 0, ISNUMBER($E68))</formula>
    </cfRule>
  </conditionalFormatting>
  <conditionalFormatting sqref="D66:F67 E78:F78">
    <cfRule type="expression" dxfId="1429" priority="49">
      <formula>$E$78&gt;0</formula>
    </cfRule>
    <cfRule type="expression" dxfId="1428" priority="50">
      <formula>$E$78&lt;0</formula>
    </cfRule>
  </conditionalFormatting>
  <conditionalFormatting sqref="G66:I67 H78:I78">
    <cfRule type="expression" dxfId="1427" priority="47">
      <formula>$H$78&gt;0</formula>
    </cfRule>
    <cfRule type="expression" dxfId="1426" priority="48">
      <formula>$H$78&lt;0</formula>
    </cfRule>
  </conditionalFormatting>
  <conditionalFormatting sqref="J66:L67 K78:L78">
    <cfRule type="expression" dxfId="1425" priority="45">
      <formula>$K$78&gt;0</formula>
    </cfRule>
    <cfRule type="expression" dxfId="1424" priority="46">
      <formula>$K$78&lt;0</formula>
    </cfRule>
  </conditionalFormatting>
  <conditionalFormatting sqref="M66:O67 N78:O78">
    <cfRule type="expression" dxfId="1423" priority="43">
      <formula>$N$78&gt;0</formula>
    </cfRule>
    <cfRule type="expression" dxfId="1422" priority="44">
      <formula>$N$78&lt;0</formula>
    </cfRule>
  </conditionalFormatting>
  <conditionalFormatting sqref="A85:O94">
    <cfRule type="expression" dxfId="1421" priority="35">
      <formula>AND($N85 &gt; 0, ISNUMBER($N85))</formula>
    </cfRule>
    <cfRule type="expression" dxfId="1420" priority="36">
      <formula>AND($N85 &lt; 0, ISNUMBER($N85))</formula>
    </cfRule>
    <cfRule type="expression" dxfId="1419" priority="37">
      <formula>AND($K85 &gt; 0, ISNUMBER($K85))</formula>
    </cfRule>
    <cfRule type="expression" dxfId="1418" priority="38">
      <formula>AND($K85 &lt; 0, ISNUMBER($K85))</formula>
    </cfRule>
    <cfRule type="expression" dxfId="1417" priority="39">
      <formula>AND($H85 &gt; 0, ISNUMBER($H85))</formula>
    </cfRule>
    <cfRule type="expression" dxfId="1416" priority="40">
      <formula>AND($H85 &lt; 0, ISNUMBER($H85))</formula>
    </cfRule>
    <cfRule type="expression" dxfId="1415" priority="41">
      <formula>AND($E85 &gt; 0, ISNUMBER($E85))</formula>
    </cfRule>
    <cfRule type="expression" dxfId="1414" priority="42">
      <formula>AND($E85 &lt; 0, ISNUMBER($E85))</formula>
    </cfRule>
  </conditionalFormatting>
  <conditionalFormatting sqref="D83:F84 E95:F95">
    <cfRule type="expression" dxfId="1413" priority="33">
      <formula>$E$95&gt;0</formula>
    </cfRule>
    <cfRule type="expression" dxfId="1412" priority="34">
      <formula>$E$95&lt;0</formula>
    </cfRule>
  </conditionalFormatting>
  <conditionalFormatting sqref="G83:I84 H95:I95">
    <cfRule type="expression" dxfId="1411" priority="31">
      <formula>$H$95&gt;0</formula>
    </cfRule>
    <cfRule type="expression" dxfId="1410" priority="32">
      <formula>$H$95&lt;0</formula>
    </cfRule>
  </conditionalFormatting>
  <conditionalFormatting sqref="J83:L84 K95:L95">
    <cfRule type="expression" dxfId="1409" priority="29">
      <formula>$K$95&gt;0</formula>
    </cfRule>
    <cfRule type="expression" dxfId="1408" priority="30">
      <formula>$K$95&lt;0</formula>
    </cfRule>
  </conditionalFormatting>
  <conditionalFormatting sqref="M83:O84 N95:O95">
    <cfRule type="expression" dxfId="1407" priority="27">
      <formula>$N$95&gt;0</formula>
    </cfRule>
    <cfRule type="expression" dxfId="1406" priority="28">
      <formula>$N$95&lt;0</formula>
    </cfRule>
  </conditionalFormatting>
  <conditionalFormatting sqref="A102:O111">
    <cfRule type="expression" dxfId="1405" priority="19">
      <formula>AND($N102 &gt; 0, ISNUMBER($N102))</formula>
    </cfRule>
    <cfRule type="expression" dxfId="1404" priority="20">
      <formula>AND($N102 &lt; 0, ISNUMBER($N102))</formula>
    </cfRule>
    <cfRule type="expression" dxfId="1403" priority="21">
      <formula>AND($K102 &gt; 0, ISNUMBER($K102))</formula>
    </cfRule>
    <cfRule type="expression" dxfId="1402" priority="22">
      <formula>AND($K102 &lt; 0, ISNUMBER($K102))</formula>
    </cfRule>
    <cfRule type="expression" dxfId="1401" priority="23">
      <formula>AND($H102 &gt; 0, ISNUMBER($H102))</formula>
    </cfRule>
    <cfRule type="expression" dxfId="1400" priority="24">
      <formula>AND($H102 &lt; 0, ISNUMBER($H102))</formula>
    </cfRule>
    <cfRule type="expression" dxfId="1399" priority="25">
      <formula>AND($E102 &gt; 0, ISNUMBER($E102))</formula>
    </cfRule>
    <cfRule type="expression" dxfId="1398" priority="26">
      <formula>AND($E102 &lt; 0, ISNUMBER($E102))</formula>
    </cfRule>
  </conditionalFormatting>
  <conditionalFormatting sqref="D100:F101 E112:F112">
    <cfRule type="expression" dxfId="1397" priority="17">
      <formula>$E$112&gt;0</formula>
    </cfRule>
    <cfRule type="expression" dxfId="1396" priority="18">
      <formula>$E$112&lt;0</formula>
    </cfRule>
  </conditionalFormatting>
  <conditionalFormatting sqref="G100:I101 H112:I112">
    <cfRule type="expression" dxfId="1395" priority="15">
      <formula>$H$112&gt;0</formula>
    </cfRule>
    <cfRule type="expression" dxfId="1394" priority="16">
      <formula>$H$112&lt;0</formula>
    </cfRule>
  </conditionalFormatting>
  <conditionalFormatting sqref="J100:L101 K112:L112">
    <cfRule type="expression" dxfId="1393" priority="13">
      <formula>$K$112&gt;0</formula>
    </cfRule>
    <cfRule type="expression" dxfId="1392" priority="14">
      <formula>$K$112&lt;0</formula>
    </cfRule>
  </conditionalFormatting>
  <conditionalFormatting sqref="M100:O101 N112:O112">
    <cfRule type="expression" dxfId="1391" priority="11">
      <formula>$N$112&gt;0</formula>
    </cfRule>
    <cfRule type="expression" dxfId="1390" priority="12">
      <formula>$N$112&lt;0</formula>
    </cfRule>
  </conditionalFormatting>
  <conditionalFormatting sqref="G2:I3">
    <cfRule type="expression" dxfId="13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44288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2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69" t="s">
        <v>20</v>
      </c>
      <c r="E15" s="170"/>
      <c r="F15" s="171"/>
      <c r="G15" s="169" t="s">
        <v>15</v>
      </c>
      <c r="H15" s="170"/>
      <c r="I15" s="171"/>
      <c r="J15" s="172" t="s">
        <v>34</v>
      </c>
      <c r="K15" s="172"/>
      <c r="L15" s="172"/>
      <c r="M15" s="169" t="s">
        <v>54</v>
      </c>
      <c r="N15" s="170"/>
      <c r="O15" s="171"/>
      <c r="Q15" s="181"/>
      <c r="R15" s="182"/>
    </row>
    <row r="16" spans="1:18" ht="17.25" customHeight="1" thickBot="1">
      <c r="A16" s="166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81"/>
      <c r="R16" s="182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79"/>
      <c r="R17" s="180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79"/>
      <c r="R18" s="180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79"/>
      <c r="R19" s="180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79"/>
      <c r="R20" s="180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9"/>
      <c r="R21" s="180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79"/>
      <c r="R22" s="180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79"/>
      <c r="R23" s="180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3"/>
      <c r="R27" s="184"/>
    </row>
    <row r="28" spans="1:18" ht="17.25" customHeight="1"/>
    <row r="29" spans="1:18" ht="17.25" customHeight="1" thickBot="1"/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2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53"/>
      <c r="R33" s="154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51"/>
      <c r="R34" s="152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51"/>
      <c r="R35" s="152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55"/>
      <c r="R44" s="156"/>
    </row>
    <row r="45" spans="1:18" ht="17.25" customHeight="1"/>
    <row r="46" spans="1:18" ht="17.25" customHeight="1" thickBot="1"/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2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53"/>
      <c r="R50" s="154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51"/>
      <c r="R52" s="152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2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53"/>
      <c r="R67" s="154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51"/>
      <c r="R69" s="152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/>
    <row r="80" spans="1:18" ht="17.25" customHeight="1" thickBot="1"/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2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53"/>
      <c r="R84" s="154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2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53"/>
      <c r="R101" s="154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51"/>
      <c r="R102" s="152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51"/>
      <c r="R103" s="152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51"/>
      <c r="R104" s="152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51"/>
      <c r="R105" s="152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51"/>
      <c r="R106" s="152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51"/>
      <c r="R107" s="152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51"/>
      <c r="R108" s="152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51"/>
      <c r="R109" s="152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53"/>
      <c r="R110" s="154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44289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2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69" t="s">
        <v>20</v>
      </c>
      <c r="E15" s="170"/>
      <c r="F15" s="171"/>
      <c r="G15" s="169" t="s">
        <v>15</v>
      </c>
      <c r="H15" s="170"/>
      <c r="I15" s="171"/>
      <c r="J15" s="172" t="s">
        <v>34</v>
      </c>
      <c r="K15" s="172"/>
      <c r="L15" s="172"/>
      <c r="M15" s="169" t="s">
        <v>54</v>
      </c>
      <c r="N15" s="170"/>
      <c r="O15" s="171"/>
      <c r="Q15" s="181"/>
      <c r="R15" s="182"/>
    </row>
    <row r="16" spans="1:18" ht="17.25" customHeight="1" thickBot="1">
      <c r="A16" s="166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81"/>
      <c r="R16" s="182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79"/>
      <c r="R17" s="180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79"/>
      <c r="R18" s="180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79"/>
      <c r="R19" s="180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79"/>
      <c r="R20" s="180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9"/>
      <c r="R21" s="180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79"/>
      <c r="R22" s="180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79"/>
      <c r="R23" s="180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3"/>
      <c r="R27" s="184"/>
    </row>
    <row r="28" spans="1:18" ht="17.25" customHeight="1"/>
    <row r="29" spans="1:18" ht="17.25" customHeight="1" thickBot="1"/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2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53"/>
      <c r="R33" s="154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51"/>
      <c r="R34" s="152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51"/>
      <c r="R35" s="152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55"/>
      <c r="R44" s="156"/>
    </row>
    <row r="45" spans="1:18" ht="17.25" customHeight="1"/>
    <row r="46" spans="1:18" ht="17.25" customHeight="1" thickBot="1"/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2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53"/>
      <c r="R50" s="154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51"/>
      <c r="R52" s="152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2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53"/>
      <c r="R67" s="154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51"/>
      <c r="R69" s="152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/>
    <row r="80" spans="1:18" ht="17.25" customHeight="1" thickBot="1"/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2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53"/>
      <c r="R84" s="154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2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53"/>
      <c r="R101" s="154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51"/>
      <c r="R102" s="152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51"/>
      <c r="R103" s="152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51"/>
      <c r="R104" s="152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51"/>
      <c r="R105" s="152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51"/>
      <c r="R106" s="152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51"/>
      <c r="R107" s="152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51"/>
      <c r="R108" s="152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51"/>
      <c r="R109" s="152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53"/>
      <c r="R110" s="154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55"/>
      <c r="R112" s="156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44290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2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69" t="s">
        <v>20</v>
      </c>
      <c r="E15" s="170"/>
      <c r="F15" s="171"/>
      <c r="G15" s="169" t="s">
        <v>15</v>
      </c>
      <c r="H15" s="170"/>
      <c r="I15" s="171"/>
      <c r="J15" s="172" t="s">
        <v>34</v>
      </c>
      <c r="K15" s="172"/>
      <c r="L15" s="172"/>
      <c r="M15" s="169" t="s">
        <v>54</v>
      </c>
      <c r="N15" s="170"/>
      <c r="O15" s="171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81"/>
      <c r="R16" s="182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79"/>
      <c r="R17" s="180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79"/>
      <c r="R18" s="180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79"/>
      <c r="R19" s="180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79"/>
      <c r="R20" s="180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79"/>
      <c r="R21" s="180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79"/>
      <c r="R22" s="180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79"/>
      <c r="R23" s="18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79"/>
      <c r="R24" s="18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81"/>
      <c r="R26" s="182"/>
    </row>
    <row r="27" spans="1:18" ht="17.25" customHeight="1" thickBot="1">
      <c r="A27" s="29" t="s">
        <v>32</v>
      </c>
      <c r="B27" s="157">
        <v>100000</v>
      </c>
      <c r="C27" s="158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2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53"/>
      <c r="R33" s="154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51"/>
      <c r="R34" s="15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29" t="s">
        <v>32</v>
      </c>
      <c r="B44" s="157">
        <v>100000</v>
      </c>
      <c r="C44" s="158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2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53"/>
      <c r="R50" s="154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29" t="s">
        <v>32</v>
      </c>
      <c r="B61" s="157">
        <v>100000</v>
      </c>
      <c r="C61" s="158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2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53"/>
      <c r="R67" s="154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1"/>
      <c r="R69" s="152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29" t="s">
        <v>32</v>
      </c>
      <c r="B78" s="157">
        <v>100000</v>
      </c>
      <c r="C78" s="158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2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53"/>
      <c r="R84" s="154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29" t="s">
        <v>32</v>
      </c>
      <c r="B95" s="157">
        <v>100000</v>
      </c>
      <c r="C95" s="158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2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53"/>
      <c r="R101" s="154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51"/>
      <c r="R102" s="152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51"/>
      <c r="R103" s="152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51"/>
      <c r="R104" s="152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51"/>
      <c r="R105" s="152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51"/>
      <c r="R106" s="152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51"/>
      <c r="R107" s="152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51"/>
      <c r="R108" s="152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51"/>
      <c r="R109" s="152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53"/>
      <c r="R110" s="154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53"/>
      <c r="R111" s="154"/>
    </row>
    <row r="112" spans="1:18" ht="17.25" customHeight="1" thickBot="1">
      <c r="A112" s="29" t="s">
        <v>32</v>
      </c>
      <c r="B112" s="157">
        <v>100000</v>
      </c>
      <c r="C112" s="158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55"/>
      <c r="R112" s="156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183" priority="93">
      <formula>$E$27&gt;0</formula>
    </cfRule>
    <cfRule type="expression" dxfId="1182" priority="94">
      <formula>$E$27&lt;0</formula>
    </cfRule>
  </conditionalFormatting>
  <conditionalFormatting sqref="G15:I16 H27:I27">
    <cfRule type="expression" dxfId="1181" priority="91">
      <formula>$H$27&gt;0</formula>
    </cfRule>
    <cfRule type="expression" dxfId="1180" priority="92">
      <formula>$H$27&lt;0</formula>
    </cfRule>
  </conditionalFormatting>
  <conditionalFormatting sqref="J15:L16 K27:L27">
    <cfRule type="expression" dxfId="1179" priority="89">
      <formula>$K$27&gt;0</formula>
    </cfRule>
    <cfRule type="expression" dxfId="1178" priority="90">
      <formula>$K$27&lt;0</formula>
    </cfRule>
  </conditionalFormatting>
  <conditionalFormatting sqref="M15:O16 N27:O27">
    <cfRule type="expression" dxfId="1177" priority="87">
      <formula>$N$27&gt;0</formula>
    </cfRule>
    <cfRule type="expression" dxfId="1176" priority="88">
      <formula>$N$27&lt;0</formula>
    </cfRule>
  </conditionalFormatting>
  <conditionalFormatting sqref="A17:O26 A34:O43">
    <cfRule type="expression" dxfId="1175" priority="95">
      <formula>AND($N17 &gt; 0, ISNUMBER($N17))</formula>
    </cfRule>
    <cfRule type="expression" dxfId="1174" priority="96">
      <formula>AND($N17 &lt; 0, ISNUMBER($N17))</formula>
    </cfRule>
    <cfRule type="expression" dxfId="1173" priority="97">
      <formula>AND($K17 &gt; 0, ISNUMBER($K17))</formula>
    </cfRule>
    <cfRule type="expression" dxfId="1172" priority="98">
      <formula>AND($K17 &lt; 0, ISNUMBER($K17))</formula>
    </cfRule>
    <cfRule type="expression" dxfId="1171" priority="99">
      <formula>AND($H17 &gt; 0, ISNUMBER($H17))</formula>
    </cfRule>
    <cfRule type="expression" dxfId="1170" priority="100">
      <formula>AND($H17 &lt; 0, ISNUMBER($H17))</formula>
    </cfRule>
    <cfRule type="expression" dxfId="1169" priority="101">
      <formula>AND($E17 &gt; 0, ISNUMBER($E17))</formula>
    </cfRule>
    <cfRule type="expression" dxfId="1168" priority="102">
      <formula>AND($E17 &lt; 0, ISNUMBER($E17))</formula>
    </cfRule>
  </conditionalFormatting>
  <conditionalFormatting sqref="D32:F33 E44:F44">
    <cfRule type="expression" dxfId="1167" priority="85">
      <formula>$E$44&gt;0</formula>
    </cfRule>
    <cfRule type="expression" dxfId="1166" priority="86">
      <formula>$E$44&lt;0</formula>
    </cfRule>
  </conditionalFormatting>
  <conditionalFormatting sqref="G32:I33 H44:I44">
    <cfRule type="expression" dxfId="1165" priority="83">
      <formula>$H$44&gt;0</formula>
    </cfRule>
    <cfRule type="expression" dxfId="1164" priority="84">
      <formula>$H$44&lt;0</formula>
    </cfRule>
  </conditionalFormatting>
  <conditionalFormatting sqref="J32:L33 K44:L44">
    <cfRule type="expression" dxfId="1163" priority="81">
      <formula>$K$44&gt;0</formula>
    </cfRule>
    <cfRule type="expression" dxfId="1162" priority="82">
      <formula>$K$44&lt;0</formula>
    </cfRule>
  </conditionalFormatting>
  <conditionalFormatting sqref="M32:O33 N44:O44">
    <cfRule type="expression" dxfId="1161" priority="79">
      <formula>$N$44&gt;0</formula>
    </cfRule>
    <cfRule type="expression" dxfId="1160" priority="80">
      <formula>$N$44&lt;0</formula>
    </cfRule>
  </conditionalFormatting>
  <conditionalFormatting sqref="A51:O60">
    <cfRule type="expression" dxfId="1159" priority="71">
      <formula>AND($N51 &gt; 0, ISNUMBER($N51))</formula>
    </cfRule>
    <cfRule type="expression" dxfId="1158" priority="72">
      <formula>AND($N51 &lt; 0, ISNUMBER($N51))</formula>
    </cfRule>
    <cfRule type="expression" dxfId="1157" priority="73">
      <formula>AND($K51 &gt; 0, ISNUMBER($K51))</formula>
    </cfRule>
    <cfRule type="expression" dxfId="1156" priority="74">
      <formula>AND($K51 &lt; 0, ISNUMBER($K51))</formula>
    </cfRule>
    <cfRule type="expression" dxfId="1155" priority="75">
      <formula>AND($H51 &gt; 0, ISNUMBER($H51))</formula>
    </cfRule>
    <cfRule type="expression" dxfId="1154" priority="76">
      <formula>AND($H51 &lt; 0, ISNUMBER($H51))</formula>
    </cfRule>
    <cfRule type="expression" dxfId="1153" priority="77">
      <formula>AND($E51 &gt; 0, ISNUMBER($E51))</formula>
    </cfRule>
    <cfRule type="expression" dxfId="1152" priority="78">
      <formula>AND($E51 &lt; 0, ISNUMBER($E51))</formula>
    </cfRule>
  </conditionalFormatting>
  <conditionalFormatting sqref="D49:F50 E61:F61">
    <cfRule type="expression" dxfId="1151" priority="69">
      <formula>$E$61&gt;0</formula>
    </cfRule>
    <cfRule type="expression" dxfId="1150" priority="70">
      <formula>$E$61&lt;0</formula>
    </cfRule>
  </conditionalFormatting>
  <conditionalFormatting sqref="G49:I50 H61:I61">
    <cfRule type="expression" dxfId="1149" priority="67">
      <formula>$H$61&gt;0</formula>
    </cfRule>
    <cfRule type="expression" dxfId="1148" priority="68">
      <formula>$H$61&lt;0</formula>
    </cfRule>
  </conditionalFormatting>
  <conditionalFormatting sqref="J49:L50 K61:L61">
    <cfRule type="expression" dxfId="1147" priority="65">
      <formula>$K$61&gt;0</formula>
    </cfRule>
    <cfRule type="expression" dxfId="1146" priority="66">
      <formula>$K$61&lt;0</formula>
    </cfRule>
  </conditionalFormatting>
  <conditionalFormatting sqref="M49:O50 N61:O61">
    <cfRule type="expression" dxfId="1145" priority="63">
      <formula>$N$61&gt;0</formula>
    </cfRule>
    <cfRule type="expression" dxfId="1144" priority="64">
      <formula>$N$61&lt;0</formula>
    </cfRule>
  </conditionalFormatting>
  <conditionalFormatting sqref="A68:O77">
    <cfRule type="expression" dxfId="1143" priority="55">
      <formula>AND($N68 &gt; 0, ISNUMBER($N68))</formula>
    </cfRule>
    <cfRule type="expression" dxfId="1142" priority="56">
      <formula>AND($N68 &lt; 0, ISNUMBER($N68))</formula>
    </cfRule>
    <cfRule type="expression" dxfId="1141" priority="57">
      <formula>AND($K68 &gt; 0, ISNUMBER($K68))</formula>
    </cfRule>
    <cfRule type="expression" dxfId="1140" priority="58">
      <formula>AND($K68 &lt; 0, ISNUMBER($K68))</formula>
    </cfRule>
    <cfRule type="expression" dxfId="1139" priority="59">
      <formula>AND($H68 &gt; 0, ISNUMBER($H68))</formula>
    </cfRule>
    <cfRule type="expression" dxfId="1138" priority="60">
      <formula>AND($H68 &lt; 0, ISNUMBER($H68))</formula>
    </cfRule>
    <cfRule type="expression" dxfId="1137" priority="61">
      <formula>AND($E68 &gt; 0, ISNUMBER($E68))</formula>
    </cfRule>
    <cfRule type="expression" dxfId="1136" priority="62">
      <formula>AND($E68 &lt; 0, ISNUMBER($E68))</formula>
    </cfRule>
  </conditionalFormatting>
  <conditionalFormatting sqref="D66:F67 E78:F78">
    <cfRule type="expression" dxfId="1135" priority="53">
      <formula>$E$78&gt;0</formula>
    </cfRule>
    <cfRule type="expression" dxfId="1134" priority="54">
      <formula>$E$78&lt;0</formula>
    </cfRule>
  </conditionalFormatting>
  <conditionalFormatting sqref="G66:I67 H78:I78">
    <cfRule type="expression" dxfId="1133" priority="51">
      <formula>$H$78&gt;0</formula>
    </cfRule>
    <cfRule type="expression" dxfId="1132" priority="52">
      <formula>$H$78&lt;0</formula>
    </cfRule>
  </conditionalFormatting>
  <conditionalFormatting sqref="J66:L67 K78:L78">
    <cfRule type="expression" dxfId="1131" priority="49">
      <formula>$K$78&gt;0</formula>
    </cfRule>
    <cfRule type="expression" dxfId="1130" priority="50">
      <formula>$K$78&lt;0</formula>
    </cfRule>
  </conditionalFormatting>
  <conditionalFormatting sqref="M66:O67 N78:O78">
    <cfRule type="expression" dxfId="1129" priority="47">
      <formula>$N$78&gt;0</formula>
    </cfRule>
    <cfRule type="expression" dxfId="1128" priority="48">
      <formula>$N$78&lt;0</formula>
    </cfRule>
  </conditionalFormatting>
  <conditionalFormatting sqref="A85:O94">
    <cfRule type="expression" dxfId="1127" priority="39">
      <formula>AND($N85 &gt; 0, ISNUMBER($N85))</formula>
    </cfRule>
    <cfRule type="expression" dxfId="1126" priority="40">
      <formula>AND($N85 &lt; 0, ISNUMBER($N85))</formula>
    </cfRule>
    <cfRule type="expression" dxfId="1125" priority="41">
      <formula>AND($K85 &gt; 0, ISNUMBER($K85))</formula>
    </cfRule>
    <cfRule type="expression" dxfId="1124" priority="42">
      <formula>AND($K85 &lt; 0, ISNUMBER($K85))</formula>
    </cfRule>
    <cfRule type="expression" dxfId="1123" priority="43">
      <formula>AND($H85 &gt; 0, ISNUMBER($H85))</formula>
    </cfRule>
    <cfRule type="expression" dxfId="1122" priority="44">
      <formula>AND($H85 &lt; 0, ISNUMBER($H85))</formula>
    </cfRule>
    <cfRule type="expression" dxfId="1121" priority="45">
      <formula>AND($E85 &gt; 0, ISNUMBER($E85))</formula>
    </cfRule>
    <cfRule type="expression" dxfId="1120" priority="46">
      <formula>AND($E85 &lt; 0, ISNUMBER($E85))</formula>
    </cfRule>
  </conditionalFormatting>
  <conditionalFormatting sqref="D83:F84 E95:F95">
    <cfRule type="expression" dxfId="1119" priority="37">
      <formula>$E$95&gt;0</formula>
    </cfRule>
    <cfRule type="expression" dxfId="1118" priority="38">
      <formula>$E$95&lt;0</formula>
    </cfRule>
  </conditionalFormatting>
  <conditionalFormatting sqref="G83:I84 H95:I95">
    <cfRule type="expression" dxfId="1117" priority="35">
      <formula>$H$95&gt;0</formula>
    </cfRule>
    <cfRule type="expression" dxfId="1116" priority="36">
      <formula>$H$95&lt;0</formula>
    </cfRule>
  </conditionalFormatting>
  <conditionalFormatting sqref="J83:L84 K95:L95">
    <cfRule type="expression" dxfId="1115" priority="33">
      <formula>$K$95&gt;0</formula>
    </cfRule>
    <cfRule type="expression" dxfId="1114" priority="34">
      <formula>$K$95&lt;0</formula>
    </cfRule>
  </conditionalFormatting>
  <conditionalFormatting sqref="M83:O84 N95:O95">
    <cfRule type="expression" dxfId="1113" priority="31">
      <formula>$N$95&gt;0</formula>
    </cfRule>
    <cfRule type="expression" dxfId="1112" priority="32">
      <formula>$N$95&lt;0</formula>
    </cfRule>
  </conditionalFormatting>
  <conditionalFormatting sqref="A102:O111">
    <cfRule type="expression" dxfId="1111" priority="23">
      <formula>AND($N102 &gt; 0, ISNUMBER($N102))</formula>
    </cfRule>
    <cfRule type="expression" dxfId="1110" priority="24">
      <formula>AND($N102 &lt; 0, ISNUMBER($N102))</formula>
    </cfRule>
    <cfRule type="expression" dxfId="1109" priority="25">
      <formula>AND($K102 &gt; 0, ISNUMBER($K102))</formula>
    </cfRule>
    <cfRule type="expression" dxfId="1108" priority="26">
      <formula>AND($K102 &lt; 0, ISNUMBER($K102))</formula>
    </cfRule>
    <cfRule type="expression" dxfId="1107" priority="27">
      <formula>AND($H102 &gt; 0, ISNUMBER($H102))</formula>
    </cfRule>
    <cfRule type="expression" dxfId="1106" priority="28">
      <formula>AND($H102 &lt; 0, ISNUMBER($H102))</formula>
    </cfRule>
    <cfRule type="expression" dxfId="1105" priority="29">
      <formula>AND($E102 &gt; 0, ISNUMBER($E102))</formula>
    </cfRule>
    <cfRule type="expression" dxfId="1104" priority="30">
      <formula>AND($E102 &lt; 0, ISNUMBER($E102))</formula>
    </cfRule>
  </conditionalFormatting>
  <conditionalFormatting sqref="D100:F101 E112:F112">
    <cfRule type="expression" dxfId="1103" priority="21">
      <formula>$E$112&gt;0</formula>
    </cfRule>
    <cfRule type="expression" dxfId="1102" priority="22">
      <formula>$E$112&lt;0</formula>
    </cfRule>
  </conditionalFormatting>
  <conditionalFormatting sqref="G100:I101 H112:I112">
    <cfRule type="expression" dxfId="1101" priority="19">
      <formula>$H$112&gt;0</formula>
    </cfRule>
    <cfRule type="expression" dxfId="1100" priority="20">
      <formula>$H$112&lt;0</formula>
    </cfRule>
  </conditionalFormatting>
  <conditionalFormatting sqref="J100:L101 K112:L112">
    <cfRule type="expression" dxfId="1099" priority="17">
      <formula>$K$112&gt;0</formula>
    </cfRule>
    <cfRule type="expression" dxfId="1098" priority="18">
      <formula>$K$112&lt;0</formula>
    </cfRule>
  </conditionalFormatting>
  <conditionalFormatting sqref="M100:O101 N112:O112">
    <cfRule type="expression" dxfId="1097" priority="15">
      <formula>$N$112&gt;0</formula>
    </cfRule>
    <cfRule type="expression" dxfId="1096" priority="16">
      <formula>$N$112&lt;0</formula>
    </cfRule>
  </conditionalFormatting>
  <conditionalFormatting sqref="G2:I3">
    <cfRule type="expression" dxfId="1095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44291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68" t="s">
        <v>236</v>
      </c>
      <c r="B14" s="159" t="s">
        <v>235</v>
      </c>
      <c r="C14" s="161"/>
      <c r="D14" s="159" t="s">
        <v>67</v>
      </c>
      <c r="E14" s="160"/>
      <c r="F14" s="161"/>
      <c r="G14" s="173" t="e">
        <f>_xlfn.IFNA(VLOOKUP(B14,#REF!, 2, FALSE), "-")</f>
        <v>#REF!</v>
      </c>
      <c r="H14" s="174"/>
      <c r="I14" s="175"/>
      <c r="J14" s="159" t="s">
        <v>69</v>
      </c>
      <c r="K14" s="160"/>
      <c r="L14" s="161"/>
      <c r="M14" s="176" t="e">
        <f>_xlfn.IFNA(VLOOKUP(B14,#REF!, 3, FALSE), "-")</f>
        <v>#REF!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69" t="s">
        <v>20</v>
      </c>
      <c r="E15" s="170"/>
      <c r="F15" s="171"/>
      <c r="G15" s="169" t="s">
        <v>15</v>
      </c>
      <c r="H15" s="170"/>
      <c r="I15" s="171"/>
      <c r="J15" s="172" t="s">
        <v>34</v>
      </c>
      <c r="K15" s="172"/>
      <c r="L15" s="172"/>
      <c r="M15" s="169" t="s">
        <v>54</v>
      </c>
      <c r="N15" s="170"/>
      <c r="O15" s="171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81"/>
      <c r="R16" s="182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79"/>
      <c r="R17" s="180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79"/>
      <c r="R18" s="180"/>
    </row>
    <row r="19" spans="1:18" ht="17.25" customHeight="1">
      <c r="A19" s="40" t="s">
        <v>227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79"/>
      <c r="R19" s="180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79"/>
      <c r="R20" s="180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79"/>
      <c r="R21" s="180"/>
    </row>
    <row r="22" spans="1:18" ht="17.25" customHeight="1">
      <c r="A22" s="40" t="s">
        <v>226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79"/>
      <c r="R22" s="180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79"/>
      <c r="R23" s="18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68" t="s">
        <v>236</v>
      </c>
      <c r="B31" s="159" t="s">
        <v>48</v>
      </c>
      <c r="C31" s="161"/>
      <c r="D31" s="159" t="s">
        <v>67</v>
      </c>
      <c r="E31" s="160"/>
      <c r="F31" s="161"/>
      <c r="G31" s="173" t="e">
        <f>_xlfn.IFNA(VLOOKUP(B31,#REF!, 2, FALSE), "-")</f>
        <v>#REF!</v>
      </c>
      <c r="H31" s="174"/>
      <c r="I31" s="175"/>
      <c r="J31" s="159" t="s">
        <v>69</v>
      </c>
      <c r="K31" s="160"/>
      <c r="L31" s="161"/>
      <c r="M31" s="176" t="e">
        <f>_xlfn.IFNA(VLOOKUP(B31,#REF!, 3, FALSE), "-")</f>
        <v>#REF!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53"/>
      <c r="R33" s="154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51"/>
      <c r="R34" s="152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51"/>
      <c r="R35" s="152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51"/>
      <c r="R36" s="152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51"/>
      <c r="R37" s="152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51"/>
      <c r="R38" s="152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51"/>
      <c r="R39" s="152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51"/>
      <c r="R40" s="152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68" t="s">
        <v>236</v>
      </c>
      <c r="B48" s="159" t="s">
        <v>52</v>
      </c>
      <c r="C48" s="161"/>
      <c r="D48" s="159" t="s">
        <v>67</v>
      </c>
      <c r="E48" s="160"/>
      <c r="F48" s="161"/>
      <c r="G48" s="173" t="e">
        <f>_xlfn.IFNA(VLOOKUP(B48,#REF!, 2, FALSE), "-")</f>
        <v>#REF!</v>
      </c>
      <c r="H48" s="174"/>
      <c r="I48" s="175"/>
      <c r="J48" s="159" t="s">
        <v>69</v>
      </c>
      <c r="K48" s="160"/>
      <c r="L48" s="161"/>
      <c r="M48" s="176" t="e">
        <f>_xlfn.IFNA(VLOOKUP(B48,#REF!, 3, FALSE), "-")</f>
        <v>#REF!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53"/>
      <c r="R50" s="154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51"/>
      <c r="R51" s="152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68" t="s">
        <v>236</v>
      </c>
      <c r="B65" s="159" t="s">
        <v>43</v>
      </c>
      <c r="C65" s="161"/>
      <c r="D65" s="159" t="s">
        <v>67</v>
      </c>
      <c r="E65" s="160"/>
      <c r="F65" s="161"/>
      <c r="G65" s="173" t="e">
        <f>_xlfn.IFNA(VLOOKUP(B65,#REF!, 2, FALSE), "-")</f>
        <v>#REF!</v>
      </c>
      <c r="H65" s="174"/>
      <c r="I65" s="175"/>
      <c r="J65" s="159" t="s">
        <v>69</v>
      </c>
      <c r="K65" s="160"/>
      <c r="L65" s="161"/>
      <c r="M65" s="176" t="e">
        <f>_xlfn.IFNA(VLOOKUP(B65,#REF!, 3, FALSE), "-")</f>
        <v>#REF!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53"/>
      <c r="R67" s="154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51"/>
      <c r="R68" s="152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51"/>
      <c r="R69" s="152"/>
    </row>
    <row r="70" spans="1:18" ht="17.25" customHeight="1">
      <c r="A70" s="11" t="s">
        <v>231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51"/>
      <c r="R70" s="152"/>
    </row>
    <row r="71" spans="1:18" ht="17.25" customHeight="1">
      <c r="A71" s="11" t="s">
        <v>232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51"/>
      <c r="R71" s="152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51"/>
      <c r="R72" s="152"/>
    </row>
    <row r="73" spans="1:18" ht="17.25" customHeight="1">
      <c r="A73" s="11" t="s">
        <v>233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51"/>
      <c r="R73" s="152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51"/>
      <c r="R74" s="152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51"/>
      <c r="R75" s="152"/>
    </row>
    <row r="76" spans="1:18" ht="17.25" customHeight="1">
      <c r="A76" s="11" t="s">
        <v>234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53"/>
      <c r="R76" s="154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68" t="s">
        <v>236</v>
      </c>
      <c r="B82" s="159" t="s">
        <v>228</v>
      </c>
      <c r="C82" s="161"/>
      <c r="D82" s="159" t="s">
        <v>67</v>
      </c>
      <c r="E82" s="160"/>
      <c r="F82" s="161"/>
      <c r="G82" s="173" t="e">
        <f>_xlfn.IFNA(VLOOKUP(B82,#REF!, 2, FALSE), "-")</f>
        <v>#REF!</v>
      </c>
      <c r="H82" s="174"/>
      <c r="I82" s="175"/>
      <c r="J82" s="159" t="s">
        <v>69</v>
      </c>
      <c r="K82" s="160"/>
      <c r="L82" s="161"/>
      <c r="M82" s="176" t="e">
        <f>_xlfn.IFNA(VLOOKUP(B82,#REF!, 3, FALSE), "-")</f>
        <v>#REF!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53"/>
      <c r="R84" s="154"/>
    </row>
    <row r="85" spans="1:18" ht="17.25" customHeight="1">
      <c r="A85" s="9" t="s">
        <v>225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51"/>
      <c r="R85" s="152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51"/>
      <c r="R86" s="152"/>
    </row>
    <row r="87" spans="1:18" ht="17.25" customHeight="1">
      <c r="A87" s="11" t="s">
        <v>226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51"/>
      <c r="R87" s="152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51"/>
      <c r="R88" s="152"/>
    </row>
    <row r="89" spans="1:18" ht="17.25" customHeight="1">
      <c r="A89" s="8" t="s">
        <v>227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51"/>
      <c r="R89" s="152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51"/>
      <c r="R90" s="152"/>
    </row>
    <row r="91" spans="1:18" ht="17.25" customHeight="1">
      <c r="A91" s="11" t="s">
        <v>228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68" t="s">
        <v>236</v>
      </c>
      <c r="B99" s="159" t="s">
        <v>230</v>
      </c>
      <c r="C99" s="161"/>
      <c r="D99" s="159" t="s">
        <v>67</v>
      </c>
      <c r="E99" s="160"/>
      <c r="F99" s="161"/>
      <c r="G99" s="173" t="e">
        <f>_xlfn.IFNA(VLOOKUP(B99,#REF!, 2, FALSE), "-")</f>
        <v>#REF!</v>
      </c>
      <c r="H99" s="174"/>
      <c r="I99" s="175"/>
      <c r="J99" s="159" t="s">
        <v>69</v>
      </c>
      <c r="K99" s="160"/>
      <c r="L99" s="161"/>
      <c r="M99" s="176" t="e">
        <f>_xlfn.IFNA(VLOOKUP(B99,#REF!, 3, FALSE), "-")</f>
        <v>#REF!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53"/>
      <c r="R101" s="154"/>
    </row>
    <row r="102" spans="1:18" ht="17.25" customHeight="1">
      <c r="A102" s="9" t="s">
        <v>225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51"/>
      <c r="R102" s="152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51"/>
      <c r="R103" s="152"/>
    </row>
    <row r="104" spans="1:18" ht="17.25" customHeight="1">
      <c r="A104" s="11" t="s">
        <v>226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51"/>
      <c r="R104" s="152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51"/>
      <c r="R105" s="152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51"/>
      <c r="R106" s="152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51"/>
      <c r="R107" s="152"/>
    </row>
    <row r="108" spans="1:18" ht="17.25" customHeight="1">
      <c r="A108" s="11" t="s">
        <v>227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51"/>
      <c r="R108" s="152"/>
    </row>
    <row r="109" spans="1:18" ht="17.25" customHeight="1">
      <c r="A109" s="11" t="s">
        <v>228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51"/>
      <c r="R109" s="152"/>
    </row>
    <row r="110" spans="1:18" ht="17.25" customHeight="1">
      <c r="A110" s="11" t="s">
        <v>229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53"/>
      <c r="R110" s="154"/>
    </row>
    <row r="111" spans="1:18" ht="17.25" customHeight="1" thickBot="1">
      <c r="A111" s="13" t="s">
        <v>230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085" priority="89">
      <formula>$E$27&gt;0</formula>
    </cfRule>
    <cfRule type="expression" dxfId="1084" priority="90">
      <formula>$E$27&lt;0</formula>
    </cfRule>
  </conditionalFormatting>
  <conditionalFormatting sqref="G15:I16 H27:I27">
    <cfRule type="expression" dxfId="1083" priority="87">
      <formula>$H$27&gt;0</formula>
    </cfRule>
    <cfRule type="expression" dxfId="1082" priority="88">
      <formula>$H$27&lt;0</formula>
    </cfRule>
  </conditionalFormatting>
  <conditionalFormatting sqref="J15:L16 K27:L27">
    <cfRule type="expression" dxfId="1081" priority="85">
      <formula>$K$27&gt;0</formula>
    </cfRule>
    <cfRule type="expression" dxfId="1080" priority="86">
      <formula>$K$27&lt;0</formula>
    </cfRule>
  </conditionalFormatting>
  <conditionalFormatting sqref="M15:O16 N27:O27">
    <cfRule type="expression" dxfId="1079" priority="83">
      <formula>$N$27&gt;0</formula>
    </cfRule>
    <cfRule type="expression" dxfId="1078" priority="84">
      <formula>$N$27&lt;0</formula>
    </cfRule>
  </conditionalFormatting>
  <conditionalFormatting sqref="A17:O26 A34:O43">
    <cfRule type="expression" dxfId="1077" priority="91">
      <formula>AND($N17 &gt; 0, ISNUMBER($N17))</formula>
    </cfRule>
    <cfRule type="expression" dxfId="1076" priority="92">
      <formula>AND($N17 &lt; 0, ISNUMBER($N17))</formula>
    </cfRule>
    <cfRule type="expression" dxfId="1075" priority="93">
      <formula>AND($K17 &gt; 0, ISNUMBER($K17))</formula>
    </cfRule>
    <cfRule type="expression" dxfId="1074" priority="94">
      <formula>AND($K17 &lt; 0, ISNUMBER($K17))</formula>
    </cfRule>
    <cfRule type="expression" dxfId="1073" priority="95">
      <formula>AND($H17 &gt; 0, ISNUMBER($H17))</formula>
    </cfRule>
    <cfRule type="expression" dxfId="1072" priority="96">
      <formula>AND($H17 &lt; 0, ISNUMBER($H17))</formula>
    </cfRule>
    <cfRule type="expression" dxfId="1071" priority="97">
      <formula>AND($E17 &gt; 0, ISNUMBER($E17))</formula>
    </cfRule>
    <cfRule type="expression" dxfId="1070" priority="98">
      <formula>AND($E17 &lt; 0, ISNUMBER($E17))</formula>
    </cfRule>
  </conditionalFormatting>
  <conditionalFormatting sqref="D32:F33 E44:F44">
    <cfRule type="expression" dxfId="1069" priority="81">
      <formula>$E$44&gt;0</formula>
    </cfRule>
    <cfRule type="expression" dxfId="1068" priority="82">
      <formula>$E$44&lt;0</formula>
    </cfRule>
  </conditionalFormatting>
  <conditionalFormatting sqref="G32:I33 H44:I44">
    <cfRule type="expression" dxfId="1067" priority="79">
      <formula>$H$44&gt;0</formula>
    </cfRule>
    <cfRule type="expression" dxfId="1066" priority="80">
      <formula>$H$44&lt;0</formula>
    </cfRule>
  </conditionalFormatting>
  <conditionalFormatting sqref="J32:L33 K44:L44">
    <cfRule type="expression" dxfId="1065" priority="77">
      <formula>$K$44&gt;0</formula>
    </cfRule>
    <cfRule type="expression" dxfId="1064" priority="78">
      <formula>$K$44&lt;0</formula>
    </cfRule>
  </conditionalFormatting>
  <conditionalFormatting sqref="M32:O33 N44:O44">
    <cfRule type="expression" dxfId="1063" priority="75">
      <formula>$N$44&gt;0</formula>
    </cfRule>
    <cfRule type="expression" dxfId="1062" priority="76">
      <formula>$N$44&lt;0</formula>
    </cfRule>
  </conditionalFormatting>
  <conditionalFormatting sqref="A51:O60">
    <cfRule type="expression" dxfId="1061" priority="67">
      <formula>AND($N51 &gt; 0, ISNUMBER($N51))</formula>
    </cfRule>
    <cfRule type="expression" dxfId="1060" priority="68">
      <formula>AND($N51 &lt; 0, ISNUMBER($N51))</formula>
    </cfRule>
    <cfRule type="expression" dxfId="1059" priority="69">
      <formula>AND($K51 &gt; 0, ISNUMBER($K51))</formula>
    </cfRule>
    <cfRule type="expression" dxfId="1058" priority="70">
      <formula>AND($K51 &lt; 0, ISNUMBER($K51))</formula>
    </cfRule>
    <cfRule type="expression" dxfId="1057" priority="71">
      <formula>AND($H51 &gt; 0, ISNUMBER($H51))</formula>
    </cfRule>
    <cfRule type="expression" dxfId="1056" priority="72">
      <formula>AND($H51 &lt; 0, ISNUMBER($H51))</formula>
    </cfRule>
    <cfRule type="expression" dxfId="1055" priority="73">
      <formula>AND($E51 &gt; 0, ISNUMBER($E51))</formula>
    </cfRule>
    <cfRule type="expression" dxfId="1054" priority="74">
      <formula>AND($E51 &lt; 0, ISNUMBER($E51))</formula>
    </cfRule>
  </conditionalFormatting>
  <conditionalFormatting sqref="D49:F50 E61:F61">
    <cfRule type="expression" dxfId="1053" priority="65">
      <formula>$E$61&gt;0</formula>
    </cfRule>
    <cfRule type="expression" dxfId="1052" priority="66">
      <formula>$E$61&lt;0</formula>
    </cfRule>
  </conditionalFormatting>
  <conditionalFormatting sqref="G49:I50 H61:I61">
    <cfRule type="expression" dxfId="1051" priority="63">
      <formula>$H$61&gt;0</formula>
    </cfRule>
    <cfRule type="expression" dxfId="1050" priority="64">
      <formula>$H$61&lt;0</formula>
    </cfRule>
  </conditionalFormatting>
  <conditionalFormatting sqref="J49:L50 K61:L61">
    <cfRule type="expression" dxfId="1049" priority="61">
      <formula>$K$61&gt;0</formula>
    </cfRule>
    <cfRule type="expression" dxfId="1048" priority="62">
      <formula>$K$61&lt;0</formula>
    </cfRule>
  </conditionalFormatting>
  <conditionalFormatting sqref="M49:O50 N61:O61">
    <cfRule type="expression" dxfId="1047" priority="59">
      <formula>$N$61&gt;0</formula>
    </cfRule>
    <cfRule type="expression" dxfId="1046" priority="60">
      <formula>$N$61&lt;0</formula>
    </cfRule>
  </conditionalFormatting>
  <conditionalFormatting sqref="A68:O77">
    <cfRule type="expression" dxfId="1045" priority="51">
      <formula>AND($N68 &gt; 0, ISNUMBER($N68))</formula>
    </cfRule>
    <cfRule type="expression" dxfId="1044" priority="52">
      <formula>AND($N68 &lt; 0, ISNUMBER($N68))</formula>
    </cfRule>
    <cfRule type="expression" dxfId="1043" priority="53">
      <formula>AND($K68 &gt; 0, ISNUMBER($K68))</formula>
    </cfRule>
    <cfRule type="expression" dxfId="1042" priority="54">
      <formula>AND($K68 &lt; 0, ISNUMBER($K68))</formula>
    </cfRule>
    <cfRule type="expression" dxfId="1041" priority="55">
      <formula>AND($H68 &gt; 0, ISNUMBER($H68))</formula>
    </cfRule>
    <cfRule type="expression" dxfId="1040" priority="56">
      <formula>AND($H68 &lt; 0, ISNUMBER($H68))</formula>
    </cfRule>
    <cfRule type="expression" dxfId="1039" priority="57">
      <formula>AND($E68 &gt; 0, ISNUMBER($E68))</formula>
    </cfRule>
    <cfRule type="expression" dxfId="1038" priority="58">
      <formula>AND($E68 &lt; 0, ISNUMBER($E68))</formula>
    </cfRule>
  </conditionalFormatting>
  <conditionalFormatting sqref="D66:F67 E78:F78">
    <cfRule type="expression" dxfId="1037" priority="49">
      <formula>$E$78&gt;0</formula>
    </cfRule>
    <cfRule type="expression" dxfId="1036" priority="50">
      <formula>$E$78&lt;0</formula>
    </cfRule>
  </conditionalFormatting>
  <conditionalFormatting sqref="G66:I67 H78:I78">
    <cfRule type="expression" dxfId="1035" priority="47">
      <formula>$H$78&gt;0</formula>
    </cfRule>
    <cfRule type="expression" dxfId="1034" priority="48">
      <formula>$H$78&lt;0</formula>
    </cfRule>
  </conditionalFormatting>
  <conditionalFormatting sqref="J66:L67 K78:L78">
    <cfRule type="expression" dxfId="1033" priority="45">
      <formula>$K$78&gt;0</formula>
    </cfRule>
    <cfRule type="expression" dxfId="1032" priority="46">
      <formula>$K$78&lt;0</formula>
    </cfRule>
  </conditionalFormatting>
  <conditionalFormatting sqref="M66:O67 N78:O78">
    <cfRule type="expression" dxfId="1031" priority="43">
      <formula>$N$78&gt;0</formula>
    </cfRule>
    <cfRule type="expression" dxfId="1030" priority="44">
      <formula>$N$78&lt;0</formula>
    </cfRule>
  </conditionalFormatting>
  <conditionalFormatting sqref="A85:O94">
    <cfRule type="expression" dxfId="1029" priority="35">
      <formula>AND($N85 &gt; 0, ISNUMBER($N85))</formula>
    </cfRule>
    <cfRule type="expression" dxfId="1028" priority="36">
      <formula>AND($N85 &lt; 0, ISNUMBER($N85))</formula>
    </cfRule>
    <cfRule type="expression" dxfId="1027" priority="37">
      <formula>AND($K85 &gt; 0, ISNUMBER($K85))</formula>
    </cfRule>
    <cfRule type="expression" dxfId="1026" priority="38">
      <formula>AND($K85 &lt; 0, ISNUMBER($K85))</formula>
    </cfRule>
    <cfRule type="expression" dxfId="1025" priority="39">
      <formula>AND($H85 &gt; 0, ISNUMBER($H85))</formula>
    </cfRule>
    <cfRule type="expression" dxfId="1024" priority="40">
      <formula>AND($H85 &lt; 0, ISNUMBER($H85))</formula>
    </cfRule>
    <cfRule type="expression" dxfId="1023" priority="41">
      <formula>AND($E85 &gt; 0, ISNUMBER($E85))</formula>
    </cfRule>
    <cfRule type="expression" dxfId="1022" priority="42">
      <formula>AND($E85 &lt; 0, ISNUMBER($E85))</formula>
    </cfRule>
  </conditionalFormatting>
  <conditionalFormatting sqref="D83:F84 E95:F95">
    <cfRule type="expression" dxfId="1021" priority="33">
      <formula>$E$95&gt;0</formula>
    </cfRule>
    <cfRule type="expression" dxfId="1020" priority="34">
      <formula>$E$95&lt;0</formula>
    </cfRule>
  </conditionalFormatting>
  <conditionalFormatting sqref="G83:I84 H95:I95">
    <cfRule type="expression" dxfId="1019" priority="31">
      <formula>$H$95&gt;0</formula>
    </cfRule>
    <cfRule type="expression" dxfId="1018" priority="32">
      <formula>$H$95&lt;0</formula>
    </cfRule>
  </conditionalFormatting>
  <conditionalFormatting sqref="J83:L84 K95:L95">
    <cfRule type="expression" dxfId="1017" priority="29">
      <formula>$K$95&gt;0</formula>
    </cfRule>
    <cfRule type="expression" dxfId="1016" priority="30">
      <formula>$K$95&lt;0</formula>
    </cfRule>
  </conditionalFormatting>
  <conditionalFormatting sqref="M83:O84 N95:O95">
    <cfRule type="expression" dxfId="1015" priority="27">
      <formula>$N$95&gt;0</formula>
    </cfRule>
    <cfRule type="expression" dxfId="1014" priority="28">
      <formula>$N$95&lt;0</formula>
    </cfRule>
  </conditionalFormatting>
  <conditionalFormatting sqref="A102:O111">
    <cfRule type="expression" dxfId="1013" priority="19">
      <formula>AND($N102 &gt; 0, ISNUMBER($N102))</formula>
    </cfRule>
    <cfRule type="expression" dxfId="1012" priority="20">
      <formula>AND($N102 &lt; 0, ISNUMBER($N102))</formula>
    </cfRule>
    <cfRule type="expression" dxfId="1011" priority="21">
      <formula>AND($K102 &gt; 0, ISNUMBER($K102))</formula>
    </cfRule>
    <cfRule type="expression" dxfId="1010" priority="22">
      <formula>AND($K102 &lt; 0, ISNUMBER($K102))</formula>
    </cfRule>
    <cfRule type="expression" dxfId="1009" priority="23">
      <formula>AND($H102 &gt; 0, ISNUMBER($H102))</formula>
    </cfRule>
    <cfRule type="expression" dxfId="1008" priority="24">
      <formula>AND($H102 &lt; 0, ISNUMBER($H102))</formula>
    </cfRule>
    <cfRule type="expression" dxfId="1007" priority="25">
      <formula>AND($E102 &gt; 0, ISNUMBER($E102))</formula>
    </cfRule>
    <cfRule type="expression" dxfId="1006" priority="26">
      <formula>AND($E102 &lt; 0, ISNUMBER($E102))</formula>
    </cfRule>
  </conditionalFormatting>
  <conditionalFormatting sqref="D100:F101 E112:F112">
    <cfRule type="expression" dxfId="1005" priority="17">
      <formula>$E$112&gt;0</formula>
    </cfRule>
    <cfRule type="expression" dxfId="1004" priority="18">
      <formula>$E$112&lt;0</formula>
    </cfRule>
  </conditionalFormatting>
  <conditionalFormatting sqref="G100:I101 H112:I112">
    <cfRule type="expression" dxfId="1003" priority="15">
      <formula>$H$112&gt;0</formula>
    </cfRule>
    <cfRule type="expression" dxfId="1002" priority="16">
      <formula>$H$112&lt;0</formula>
    </cfRule>
  </conditionalFormatting>
  <conditionalFormatting sqref="J100:L101 K112:L112">
    <cfRule type="expression" dxfId="1001" priority="13">
      <formula>$K$112&gt;0</formula>
    </cfRule>
    <cfRule type="expression" dxfId="1000" priority="14">
      <formula>$K$112&lt;0</formula>
    </cfRule>
  </conditionalFormatting>
  <conditionalFormatting sqref="M100:O101 N112:O112">
    <cfRule type="expression" dxfId="999" priority="11">
      <formula>$N$112&gt;0</formula>
    </cfRule>
    <cfRule type="expression" dxfId="998" priority="12">
      <formula>$N$112&lt;0</formula>
    </cfRule>
  </conditionalFormatting>
  <conditionalFormatting sqref="G2:I3">
    <cfRule type="expression" dxfId="9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44292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73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68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81"/>
      <c r="R16" s="182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79"/>
      <c r="R17" s="180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79"/>
      <c r="R18" s="180"/>
    </row>
    <row r="19" spans="1:18" ht="17.25" customHeight="1">
      <c r="A19" s="40" t="s">
        <v>242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79"/>
      <c r="R19" s="180"/>
    </row>
    <row r="20" spans="1:18" ht="17.25" customHeight="1">
      <c r="A20" s="40" t="s">
        <v>243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79"/>
      <c r="R20" s="180"/>
    </row>
    <row r="21" spans="1:18" ht="17.25" customHeight="1">
      <c r="A21" s="41" t="s">
        <v>245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79"/>
      <c r="R21" s="180"/>
    </row>
    <row r="22" spans="1:18" ht="17.25" customHeight="1">
      <c r="A22" s="40" t="s">
        <v>229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79"/>
      <c r="R22" s="180"/>
    </row>
    <row r="23" spans="1:18" ht="17.25" customHeight="1">
      <c r="A23" s="40" t="s">
        <v>244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79"/>
      <c r="R23" s="180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1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53"/>
      <c r="R33" s="154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51"/>
      <c r="R34" s="15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1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53"/>
      <c r="R50" s="154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51"/>
      <c r="R51" s="152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1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53"/>
      <c r="R67" s="154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51"/>
      <c r="R68" s="152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51"/>
      <c r="R69" s="152"/>
    </row>
    <row r="70" spans="1:18" ht="17.25" customHeight="1">
      <c r="A70" s="11" t="s">
        <v>234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51"/>
      <c r="R70" s="15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1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53"/>
      <c r="R84" s="154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51"/>
      <c r="R85" s="152"/>
    </row>
    <row r="86" spans="1:18" ht="17.25" customHeight="1">
      <c r="A86" s="11" t="s">
        <v>242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51"/>
      <c r="R86" s="152"/>
    </row>
    <row r="87" spans="1:18" ht="17.25" customHeight="1">
      <c r="A87" s="11" t="s">
        <v>243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51"/>
      <c r="R87" s="152"/>
    </row>
    <row r="88" spans="1:18" ht="17.25" customHeight="1">
      <c r="A88" s="11" t="s">
        <v>245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1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53"/>
      <c r="R101" s="154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51"/>
      <c r="R102" s="152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51"/>
      <c r="R103" s="152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51"/>
      <c r="R104" s="152"/>
    </row>
    <row r="105" spans="1:18" ht="17.25" customHeight="1">
      <c r="A105" s="11" t="s">
        <v>242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51"/>
      <c r="R105" s="152"/>
    </row>
    <row r="106" spans="1:18" ht="17.25" customHeight="1">
      <c r="A106" s="8" t="s">
        <v>229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51"/>
      <c r="R106" s="152"/>
    </row>
    <row r="107" spans="1:18" ht="17.25" customHeight="1">
      <c r="A107" s="11" t="s">
        <v>243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51"/>
      <c r="R107" s="152"/>
    </row>
    <row r="108" spans="1:18" ht="17.25" customHeight="1">
      <c r="A108" s="11" t="s">
        <v>245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51"/>
      <c r="R108" s="152"/>
    </row>
    <row r="109" spans="1:18" ht="17.25" customHeight="1">
      <c r="A109" s="11" t="s">
        <v>244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51"/>
      <c r="R109" s="152"/>
    </row>
    <row r="110" spans="1:18" ht="17.25" customHeight="1">
      <c r="A110" s="11" t="s">
        <v>246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53"/>
      <c r="R110" s="154"/>
    </row>
    <row r="111" spans="1:18" ht="17.25" customHeight="1" thickBot="1">
      <c r="A111" s="13" t="s">
        <v>247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44293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83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82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81"/>
      <c r="R16" s="182"/>
    </row>
    <row r="17" spans="1:18" ht="17.25" customHeight="1">
      <c r="A17" s="39" t="s">
        <v>111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79"/>
      <c r="R17" s="180"/>
    </row>
    <row r="18" spans="1:18" ht="17.25" customHeight="1">
      <c r="A18" s="40" t="s">
        <v>220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79"/>
      <c r="R18" s="180"/>
    </row>
    <row r="19" spans="1:18" ht="17.25" customHeight="1">
      <c r="A19" s="40" t="s">
        <v>136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79"/>
      <c r="R19" s="180"/>
    </row>
    <row r="20" spans="1:18" ht="17.25" customHeight="1">
      <c r="A20" s="40" t="s">
        <v>124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79"/>
      <c r="R20" s="180"/>
    </row>
    <row r="21" spans="1:18" ht="17.25" customHeight="1">
      <c r="A21" s="41" t="s">
        <v>261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79"/>
      <c r="R21" s="180"/>
    </row>
    <row r="22" spans="1:18" ht="17.25" customHeight="1">
      <c r="A22" s="40" t="s">
        <v>177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79"/>
      <c r="R22" s="180"/>
    </row>
    <row r="23" spans="1:18" ht="17.25" customHeight="1">
      <c r="A23" s="40" t="s">
        <v>174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79"/>
      <c r="R23" s="180"/>
    </row>
    <row r="24" spans="1:18" ht="17.25" customHeight="1">
      <c r="A24" s="40" t="s">
        <v>175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79"/>
      <c r="R24" s="180"/>
    </row>
    <row r="25" spans="1:18" ht="17.25" customHeight="1">
      <c r="A25" s="40" t="s">
        <v>221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81"/>
      <c r="R25" s="182"/>
    </row>
    <row r="26" spans="1:18" ht="17.25" customHeight="1" thickBot="1">
      <c r="A26" s="42" t="s">
        <v>243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82" t="s">
        <v>236</v>
      </c>
      <c r="B31" s="159" t="s">
        <v>14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102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0.21428571430000001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53"/>
      <c r="R33" s="154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51"/>
      <c r="R34" s="15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82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53"/>
      <c r="R50" s="154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82" t="s">
        <v>236</v>
      </c>
      <c r="B65" s="159" t="s">
        <v>243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208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7.2164948500000006E-2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53"/>
      <c r="R67" s="154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51"/>
      <c r="R68" s="152"/>
    </row>
    <row r="69" spans="1:18" ht="17.25" customHeight="1">
      <c r="A69" s="11" t="s">
        <v>264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51"/>
      <c r="R69" s="152"/>
    </row>
    <row r="70" spans="1:18" ht="17.25" customHeight="1">
      <c r="A70" s="11" t="s">
        <v>243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51"/>
      <c r="R70" s="15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82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53"/>
      <c r="R84" s="154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1"/>
      <c r="R86" s="15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82" t="s">
        <v>236</v>
      </c>
      <c r="B99" s="159" t="s">
        <v>264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517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-4.4362292099999999E-2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53"/>
      <c r="R101" s="154"/>
    </row>
    <row r="102" spans="1:18" ht="17.25" customHeight="1">
      <c r="A102" s="9" t="s">
        <v>247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51"/>
      <c r="R102" s="152"/>
    </row>
    <row r="103" spans="1:18" ht="17.25" customHeight="1">
      <c r="A103" s="11" t="s">
        <v>265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51"/>
      <c r="R103" s="152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51"/>
      <c r="R104" s="152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51"/>
      <c r="R105" s="152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51"/>
      <c r="R106" s="152"/>
    </row>
    <row r="107" spans="1:18" ht="17.25" customHeight="1">
      <c r="A107" s="11" t="s">
        <v>266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51"/>
      <c r="R107" s="152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51"/>
      <c r="R108" s="152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51"/>
      <c r="R109" s="152"/>
    </row>
    <row r="110" spans="1:18" ht="17.25" customHeight="1">
      <c r="A110" s="11" t="s">
        <v>267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53"/>
      <c r="R110" s="154"/>
    </row>
    <row r="111" spans="1:18" ht="17.25" customHeight="1" thickBot="1">
      <c r="A111" s="13" t="s">
        <v>264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55"/>
      <c r="R112" s="15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44294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96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91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81"/>
      <c r="R16" s="182"/>
    </row>
    <row r="17" spans="1:18" ht="17.25" customHeight="1">
      <c r="A17" s="39" t="s">
        <v>201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79"/>
      <c r="R17" s="180"/>
    </row>
    <row r="18" spans="1:18" ht="17.25" customHeight="1">
      <c r="A18" s="40" t="s">
        <v>237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79"/>
      <c r="R18" s="180"/>
    </row>
    <row r="19" spans="1:18" ht="17.25" customHeight="1">
      <c r="A19" s="40" t="s">
        <v>111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79"/>
      <c r="R19" s="180"/>
    </row>
    <row r="20" spans="1:18" ht="17.25" customHeight="1">
      <c r="A20" s="40" t="s">
        <v>212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79"/>
      <c r="R20" s="180"/>
    </row>
    <row r="21" spans="1:18" ht="17.25" customHeight="1">
      <c r="A21" s="41" t="s">
        <v>220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79"/>
      <c r="R21" s="180"/>
    </row>
    <row r="22" spans="1:18" ht="17.25" customHeight="1">
      <c r="A22" s="40" t="s">
        <v>261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79"/>
      <c r="R22" s="180"/>
    </row>
    <row r="23" spans="1:18" ht="17.25" customHeight="1">
      <c r="A23" s="40" t="s">
        <v>173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79"/>
      <c r="R23" s="180"/>
    </row>
    <row r="24" spans="1:18" ht="17.25" customHeight="1">
      <c r="A24" s="40" t="s">
        <v>262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79"/>
      <c r="R24" s="180"/>
    </row>
    <row r="25" spans="1:18" ht="17.25" customHeight="1">
      <c r="A25" s="40" t="s">
        <v>164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81"/>
      <c r="R25" s="182"/>
    </row>
    <row r="26" spans="1:18" ht="17.25" customHeight="1" thickBot="1">
      <c r="A26" s="42" t="s">
        <v>258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91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53"/>
      <c r="R33" s="154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51"/>
      <c r="R34" s="152"/>
    </row>
    <row r="35" spans="1:18" ht="17.25" customHeight="1">
      <c r="A35" s="11" t="s">
        <v>199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51"/>
      <c r="R35" s="152"/>
    </row>
    <row r="36" spans="1:18" ht="17.25" customHeight="1">
      <c r="A36" s="11" t="s">
        <v>168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51"/>
      <c r="R36" s="152"/>
    </row>
    <row r="37" spans="1:18" ht="17.25" customHeight="1">
      <c r="A37" s="11" t="s">
        <v>174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51"/>
      <c r="R37" s="152"/>
    </row>
    <row r="38" spans="1:18" ht="17.25" customHeight="1">
      <c r="A38" s="8" t="s">
        <v>171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51"/>
      <c r="R38" s="152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51"/>
      <c r="R39" s="152"/>
    </row>
    <row r="40" spans="1:18" ht="17.25" customHeight="1">
      <c r="A40" s="11" t="s">
        <v>183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51"/>
      <c r="R40" s="152"/>
    </row>
    <row r="41" spans="1:18" ht="17.25" customHeight="1">
      <c r="A41" s="11" t="s">
        <v>147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51"/>
      <c r="R41" s="152"/>
    </row>
    <row r="42" spans="1:18" ht="17.25" customHeight="1">
      <c r="A42" s="11" t="s">
        <v>140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53"/>
      <c r="R42" s="154"/>
    </row>
    <row r="43" spans="1:18" ht="17.25" customHeight="1" thickBot="1">
      <c r="A43" s="13" t="s">
        <v>107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91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53"/>
      <c r="R50" s="154"/>
    </row>
    <row r="51" spans="1:18" ht="17.25" customHeight="1">
      <c r="A51" s="9" t="s">
        <v>103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51"/>
      <c r="R51" s="152"/>
    </row>
    <row r="52" spans="1:18" ht="17.25" customHeight="1">
      <c r="A52" s="11" t="s">
        <v>159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51"/>
      <c r="R52" s="152"/>
    </row>
    <row r="53" spans="1:18" ht="17.25" customHeight="1">
      <c r="A53" s="11" t="s">
        <v>172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51"/>
      <c r="R53" s="152"/>
    </row>
    <row r="54" spans="1:18" ht="17.25" customHeight="1">
      <c r="A54" s="11" t="s">
        <v>158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51"/>
      <c r="R54" s="152"/>
    </row>
    <row r="55" spans="1:18" ht="17.25" customHeight="1">
      <c r="A55" s="8" t="s">
        <v>153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51"/>
      <c r="R55" s="152"/>
    </row>
    <row r="56" spans="1:18" ht="17.25" customHeight="1">
      <c r="A56" s="11" t="s">
        <v>116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51"/>
      <c r="R56" s="152"/>
    </row>
    <row r="57" spans="1:18" ht="17.25" customHeight="1">
      <c r="A57" s="11" t="s">
        <v>155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51"/>
      <c r="R57" s="152"/>
    </row>
    <row r="58" spans="1:18" ht="17.25" customHeight="1">
      <c r="A58" s="11" t="s">
        <v>186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51"/>
      <c r="R58" s="152"/>
    </row>
    <row r="59" spans="1:18" ht="17.25" customHeight="1">
      <c r="A59" s="11" t="s">
        <v>135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91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53"/>
      <c r="R67" s="154"/>
    </row>
    <row r="68" spans="1:18" ht="17.25" customHeight="1">
      <c r="A68" s="9" t="s">
        <v>164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51"/>
      <c r="R68" s="152"/>
    </row>
    <row r="69" spans="1:18" ht="17.25" customHeight="1">
      <c r="A69" s="11" t="s">
        <v>145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51"/>
      <c r="R69" s="152"/>
    </row>
    <row r="70" spans="1:18" ht="17.25" customHeight="1">
      <c r="A70" s="11" t="s">
        <v>176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51"/>
      <c r="R70" s="152"/>
    </row>
    <row r="71" spans="1:18" ht="17.25" customHeight="1">
      <c r="A71" s="11" t="s">
        <v>149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51"/>
      <c r="R71" s="152"/>
    </row>
    <row r="72" spans="1:18" ht="17.25" customHeight="1">
      <c r="A72" s="8" t="s">
        <v>143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51"/>
      <c r="R72" s="152"/>
    </row>
    <row r="73" spans="1:18" ht="17.25" customHeight="1">
      <c r="A73" s="11" t="s">
        <v>200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51"/>
      <c r="R73" s="152"/>
    </row>
    <row r="74" spans="1:18" ht="17.25" customHeight="1">
      <c r="A74" s="11" t="s">
        <v>130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51"/>
      <c r="R74" s="152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51"/>
      <c r="R75" s="152"/>
    </row>
    <row r="76" spans="1:18" ht="17.25" customHeight="1">
      <c r="A76" s="11" t="s">
        <v>185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53"/>
      <c r="R76" s="154"/>
    </row>
    <row r="77" spans="1:18" ht="17.25" customHeight="1" thickBot="1">
      <c r="A77" s="13" t="s">
        <v>207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91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53"/>
      <c r="R84" s="154"/>
    </row>
    <row r="85" spans="1:18" ht="17.25" customHeight="1">
      <c r="A85" s="9" t="s">
        <v>161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51"/>
      <c r="R85" s="152"/>
    </row>
    <row r="86" spans="1:18" ht="17.25" customHeight="1">
      <c r="A86" s="11" t="s">
        <v>109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51"/>
      <c r="R86" s="152"/>
    </row>
    <row r="87" spans="1:18" ht="17.25" customHeight="1">
      <c r="A87" s="11" t="s">
        <v>137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51"/>
      <c r="R87" s="152"/>
    </row>
    <row r="88" spans="1:18" ht="17.25" customHeight="1">
      <c r="A88" s="11" t="s">
        <v>191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51"/>
      <c r="R88" s="152"/>
    </row>
    <row r="89" spans="1:18" ht="17.25" customHeight="1">
      <c r="A89" s="8" t="s">
        <v>215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51"/>
      <c r="R89" s="152"/>
    </row>
    <row r="90" spans="1:18" ht="17.25" customHeight="1">
      <c r="A90" s="11" t="s">
        <v>146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51"/>
      <c r="R90" s="152"/>
    </row>
    <row r="91" spans="1:18" ht="17.25" customHeight="1">
      <c r="A91" s="11" t="s">
        <v>124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51"/>
      <c r="R91" s="152"/>
    </row>
    <row r="92" spans="1:18" ht="17.25" customHeight="1">
      <c r="A92" s="11" t="s">
        <v>170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51"/>
      <c r="R92" s="152"/>
    </row>
    <row r="93" spans="1:18" ht="17.25" customHeight="1">
      <c r="A93" s="11" t="s">
        <v>132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53"/>
      <c r="R93" s="154"/>
    </row>
    <row r="94" spans="1:18" ht="17.25" customHeight="1" thickBot="1">
      <c r="A94" s="13" t="s">
        <v>221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91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53"/>
      <c r="R101" s="154"/>
    </row>
    <row r="102" spans="1:18" ht="17.25" customHeight="1">
      <c r="A102" s="9" t="s">
        <v>201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51"/>
      <c r="R102" s="152"/>
    </row>
    <row r="103" spans="1:18" ht="17.25" customHeight="1">
      <c r="A103" s="11" t="s">
        <v>237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51"/>
      <c r="R103" s="152"/>
    </row>
    <row r="104" spans="1:18" ht="17.25" customHeight="1">
      <c r="A104" s="11" t="s">
        <v>111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51"/>
      <c r="R104" s="152"/>
    </row>
    <row r="105" spans="1:18" ht="17.25" customHeight="1">
      <c r="A105" s="11" t="s">
        <v>212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51"/>
      <c r="R105" s="152"/>
    </row>
    <row r="106" spans="1:18" ht="17.25" customHeight="1">
      <c r="A106" s="8" t="s">
        <v>220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51"/>
      <c r="R106" s="152"/>
    </row>
    <row r="107" spans="1:18" ht="17.25" customHeight="1">
      <c r="A107" s="11" t="s">
        <v>261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51"/>
      <c r="R107" s="152"/>
    </row>
    <row r="108" spans="1:18" ht="17.25" customHeight="1">
      <c r="A108" s="11" t="s">
        <v>173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51"/>
      <c r="R108" s="152"/>
    </row>
    <row r="109" spans="1:18" ht="17.25" customHeight="1">
      <c r="A109" s="11" t="s">
        <v>262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51"/>
      <c r="R109" s="152"/>
    </row>
    <row r="110" spans="1:18" ht="17.25" customHeight="1">
      <c r="A110" s="11" t="s">
        <v>164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53"/>
      <c r="R110" s="154"/>
    </row>
    <row r="111" spans="1:18" ht="17.25" customHeight="1" thickBot="1">
      <c r="A111" s="13" t="s">
        <v>258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44295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99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98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81"/>
      <c r="R16" s="182"/>
    </row>
    <row r="17" spans="1:18" ht="17.25" customHeight="1">
      <c r="A17" s="39" t="s">
        <v>172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79"/>
      <c r="R17" s="180"/>
    </row>
    <row r="18" spans="1:18" ht="17.25" customHeight="1">
      <c r="A18" s="40" t="s">
        <v>134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79"/>
      <c r="R18" s="180"/>
    </row>
    <row r="19" spans="1:18" ht="17.25" customHeight="1">
      <c r="A19" s="40" t="s">
        <v>104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79"/>
      <c r="R19" s="180"/>
    </row>
    <row r="20" spans="1:18" ht="17.25" customHeight="1">
      <c r="A20" s="40" t="s">
        <v>129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79"/>
      <c r="R20" s="180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79"/>
      <c r="R21" s="180"/>
    </row>
    <row r="22" spans="1:18" ht="17.25" customHeight="1">
      <c r="A22" s="40" t="s">
        <v>166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79"/>
      <c r="R22" s="180"/>
    </row>
    <row r="23" spans="1:18" ht="17.25" customHeight="1">
      <c r="A23" s="40" t="s">
        <v>140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79"/>
      <c r="R23" s="180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79"/>
      <c r="R24" s="180"/>
    </row>
    <row r="25" spans="1:18" ht="17.25" customHeight="1">
      <c r="A25" s="40" t="s">
        <v>155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81"/>
      <c r="R25" s="182"/>
    </row>
    <row r="26" spans="1:18" ht="17.25" customHeight="1" thickBot="1">
      <c r="A26" s="42" t="s">
        <v>146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98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53"/>
      <c r="R33" s="154"/>
    </row>
    <row r="34" spans="1:18" ht="17.25" customHeight="1">
      <c r="A34" s="9" t="s">
        <v>174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51"/>
      <c r="R34" s="152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51"/>
      <c r="R35" s="15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98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53"/>
      <c r="R50" s="154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51"/>
      <c r="R51" s="152"/>
    </row>
    <row r="52" spans="1:18" ht="17.25" customHeight="1">
      <c r="A52" s="11" t="s">
        <v>140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51"/>
      <c r="R52" s="152"/>
    </row>
    <row r="53" spans="1:18" ht="17.25" customHeight="1">
      <c r="A53" s="11" t="s">
        <v>155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51"/>
      <c r="R53" s="152"/>
    </row>
    <row r="54" spans="1:18" ht="17.25" customHeight="1">
      <c r="A54" s="11" t="s">
        <v>153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51"/>
      <c r="R54" s="152"/>
    </row>
    <row r="55" spans="1:18" ht="17.25" customHeight="1">
      <c r="A55" s="8" t="s">
        <v>103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51"/>
      <c r="R55" s="152"/>
    </row>
    <row r="56" spans="1:18" ht="17.25" customHeight="1">
      <c r="A56" s="11" t="s">
        <v>158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51"/>
      <c r="R56" s="152"/>
    </row>
    <row r="57" spans="1:18" ht="17.25" customHeight="1">
      <c r="A57" s="11" t="s">
        <v>116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51"/>
      <c r="R57" s="152"/>
    </row>
    <row r="58" spans="1:18" ht="17.25" customHeight="1">
      <c r="A58" s="11" t="s">
        <v>135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51"/>
      <c r="R58" s="152"/>
    </row>
    <row r="59" spans="1:18" ht="17.25" customHeight="1">
      <c r="A59" s="11" t="s">
        <v>159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53"/>
      <c r="R59" s="154"/>
    </row>
    <row r="60" spans="1:18" ht="17.25" customHeight="1" thickBot="1">
      <c r="A60" s="13" t="s">
        <v>171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98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53"/>
      <c r="R67" s="154"/>
    </row>
    <row r="68" spans="1:18" ht="17.25" customHeight="1">
      <c r="A68" s="9" t="s">
        <v>124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51"/>
      <c r="R68" s="152"/>
    </row>
    <row r="69" spans="1:18" ht="17.25" customHeight="1">
      <c r="A69" s="11" t="s">
        <v>170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51"/>
      <c r="R69" s="152"/>
    </row>
    <row r="70" spans="1:18" ht="17.25" customHeight="1">
      <c r="A70" s="11" t="s">
        <v>143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51"/>
      <c r="R70" s="152"/>
    </row>
    <row r="71" spans="1:18" ht="17.25" customHeight="1">
      <c r="A71" s="11" t="s">
        <v>161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51"/>
      <c r="R71" s="152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51"/>
      <c r="R72" s="152"/>
    </row>
    <row r="73" spans="1:18" ht="17.25" customHeight="1">
      <c r="A73" s="11" t="s">
        <v>197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51"/>
      <c r="R73" s="152"/>
    </row>
    <row r="74" spans="1:18" ht="17.25" customHeight="1">
      <c r="A74" s="11" t="s">
        <v>200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51"/>
      <c r="R74" s="152"/>
    </row>
    <row r="75" spans="1:18" ht="17.25" customHeight="1">
      <c r="A75" s="11" t="s">
        <v>207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51"/>
      <c r="R75" s="152"/>
    </row>
    <row r="76" spans="1:18" ht="17.25" customHeight="1">
      <c r="A76" s="11" t="s">
        <v>132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53"/>
      <c r="R76" s="154"/>
    </row>
    <row r="77" spans="1:18" ht="17.25" customHeight="1" thickBot="1">
      <c r="A77" s="13" t="s">
        <v>214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98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53"/>
      <c r="R84" s="154"/>
    </row>
    <row r="85" spans="1:18" ht="17.25" customHeight="1">
      <c r="A85" s="9" t="s">
        <v>146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51"/>
      <c r="R85" s="152"/>
    </row>
    <row r="86" spans="1:18" ht="17.25" customHeight="1">
      <c r="A86" s="11" t="s">
        <v>126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51"/>
      <c r="R86" s="152"/>
    </row>
    <row r="87" spans="1:18" ht="17.25" customHeight="1">
      <c r="A87" s="11" t="s">
        <v>100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51"/>
      <c r="R87" s="152"/>
    </row>
    <row r="88" spans="1:18" ht="17.25" customHeight="1">
      <c r="A88" s="11" t="s">
        <v>105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51"/>
      <c r="R88" s="152"/>
    </row>
    <row r="89" spans="1:18" ht="17.25" customHeight="1">
      <c r="A89" s="8" t="s">
        <v>125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51"/>
      <c r="R89" s="152"/>
    </row>
    <row r="90" spans="1:18" ht="17.25" customHeight="1">
      <c r="A90" s="11" t="s">
        <v>193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51"/>
      <c r="R90" s="152"/>
    </row>
    <row r="91" spans="1:18" ht="17.25" customHeight="1">
      <c r="A91" s="11" t="s">
        <v>142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51"/>
      <c r="R91" s="152"/>
    </row>
    <row r="92" spans="1:18" ht="17.25" customHeight="1">
      <c r="A92" s="11" t="s">
        <v>138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51"/>
      <c r="R92" s="152"/>
    </row>
    <row r="93" spans="1:18" ht="17.25" customHeight="1">
      <c r="A93" s="11" t="s">
        <v>101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53"/>
      <c r="R93" s="154"/>
    </row>
    <row r="94" spans="1:18" ht="17.25" customHeight="1" thickBot="1">
      <c r="A94" s="13" t="s">
        <v>122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98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53"/>
      <c r="R101" s="154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51"/>
      <c r="R102" s="152"/>
    </row>
    <row r="103" spans="1:18" ht="17.25" customHeight="1">
      <c r="A103" s="11" t="s">
        <v>172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51"/>
      <c r="R103" s="152"/>
    </row>
    <row r="104" spans="1:18" ht="17.25" customHeight="1">
      <c r="A104" s="11" t="s">
        <v>134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51"/>
      <c r="R104" s="152"/>
    </row>
    <row r="105" spans="1:18" ht="17.25" customHeight="1">
      <c r="A105" s="11" t="s">
        <v>104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51"/>
      <c r="R105" s="152"/>
    </row>
    <row r="106" spans="1:18" ht="17.25" customHeight="1">
      <c r="A106" s="8" t="s">
        <v>129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51"/>
      <c r="R106" s="152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51"/>
      <c r="R107" s="152"/>
    </row>
    <row r="108" spans="1:18" ht="17.25" customHeight="1">
      <c r="A108" s="11" t="s">
        <v>166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51"/>
      <c r="R108" s="152"/>
    </row>
    <row r="109" spans="1:18" ht="17.25" customHeight="1">
      <c r="A109" s="11" t="s">
        <v>140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51"/>
      <c r="R109" s="152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53"/>
      <c r="R110" s="154"/>
    </row>
    <row r="111" spans="1:18" ht="17.25" customHeight="1" thickBot="1">
      <c r="A111" s="13" t="s">
        <v>155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55"/>
      <c r="R112" s="15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93" priority="89">
      <formula>$E$27&gt;0</formula>
    </cfRule>
    <cfRule type="expression" dxfId="692" priority="90">
      <formula>$E$27&lt;0</formula>
    </cfRule>
  </conditionalFormatting>
  <conditionalFormatting sqref="G15:I16 H27:I27">
    <cfRule type="expression" dxfId="691" priority="87">
      <formula>$H$27&gt;0</formula>
    </cfRule>
    <cfRule type="expression" dxfId="690" priority="88">
      <formula>$H$27&lt;0</formula>
    </cfRule>
  </conditionalFormatting>
  <conditionalFormatting sqref="J15:L16 K27:L27">
    <cfRule type="expression" dxfId="689" priority="85">
      <formula>$K$27&gt;0</formula>
    </cfRule>
    <cfRule type="expression" dxfId="688" priority="86">
      <formula>$K$27&lt;0</formula>
    </cfRule>
  </conditionalFormatting>
  <conditionalFormatting sqref="M15:O16 N27:O27">
    <cfRule type="expression" dxfId="687" priority="83">
      <formula>$N$27&gt;0</formula>
    </cfRule>
    <cfRule type="expression" dxfId="686" priority="84">
      <formula>$N$27&lt;0</formula>
    </cfRule>
  </conditionalFormatting>
  <conditionalFormatting sqref="A17:O26 A34:O43">
    <cfRule type="expression" dxfId="685" priority="91">
      <formula>AND($N17 &gt; 0, ISNUMBER($N17))</formula>
    </cfRule>
    <cfRule type="expression" dxfId="684" priority="92">
      <formula>AND($N17 &lt; 0, ISNUMBER($N17))</formula>
    </cfRule>
    <cfRule type="expression" dxfId="683" priority="93">
      <formula>AND($K17 &gt; 0, ISNUMBER($K17))</formula>
    </cfRule>
    <cfRule type="expression" dxfId="682" priority="94">
      <formula>AND($K17 &lt; 0, ISNUMBER($K17))</formula>
    </cfRule>
    <cfRule type="expression" dxfId="681" priority="95">
      <formula>AND($H17 &gt; 0, ISNUMBER($H17))</formula>
    </cfRule>
    <cfRule type="expression" dxfId="680" priority="96">
      <formula>AND($H17 &lt; 0, ISNUMBER($H17))</formula>
    </cfRule>
    <cfRule type="expression" dxfId="679" priority="97">
      <formula>AND($E17 &gt; 0, ISNUMBER($E17))</formula>
    </cfRule>
    <cfRule type="expression" dxfId="678" priority="98">
      <formula>AND($E17 &lt; 0, ISNUMBER($E17))</formula>
    </cfRule>
  </conditionalFormatting>
  <conditionalFormatting sqref="D32:F33 E44:F44">
    <cfRule type="expression" dxfId="677" priority="81">
      <formula>$E$44&gt;0</formula>
    </cfRule>
    <cfRule type="expression" dxfId="676" priority="82">
      <formula>$E$44&lt;0</formula>
    </cfRule>
  </conditionalFormatting>
  <conditionalFormatting sqref="G32:I33 H44:I44">
    <cfRule type="expression" dxfId="675" priority="79">
      <formula>$H$44&gt;0</formula>
    </cfRule>
    <cfRule type="expression" dxfId="674" priority="80">
      <formula>$H$44&lt;0</formula>
    </cfRule>
  </conditionalFormatting>
  <conditionalFormatting sqref="J32:L33 K44:L44">
    <cfRule type="expression" dxfId="673" priority="77">
      <formula>$K$44&gt;0</formula>
    </cfRule>
    <cfRule type="expression" dxfId="672" priority="78">
      <formula>$K$44&lt;0</formula>
    </cfRule>
  </conditionalFormatting>
  <conditionalFormatting sqref="M32:O33 N44:O44">
    <cfRule type="expression" dxfId="671" priority="75">
      <formula>$N$44&gt;0</formula>
    </cfRule>
    <cfRule type="expression" dxfId="670" priority="76">
      <formula>$N$44&lt;0</formula>
    </cfRule>
  </conditionalFormatting>
  <conditionalFormatting sqref="A51:O60">
    <cfRule type="expression" dxfId="669" priority="67">
      <formula>AND($N51 &gt; 0, ISNUMBER($N51))</formula>
    </cfRule>
    <cfRule type="expression" dxfId="668" priority="68">
      <formula>AND($N51 &lt; 0, ISNUMBER($N51))</formula>
    </cfRule>
    <cfRule type="expression" dxfId="667" priority="69">
      <formula>AND($K51 &gt; 0, ISNUMBER($K51))</formula>
    </cfRule>
    <cfRule type="expression" dxfId="666" priority="70">
      <formula>AND($K51 &lt; 0, ISNUMBER($K51))</formula>
    </cfRule>
    <cfRule type="expression" dxfId="665" priority="71">
      <formula>AND($H51 &gt; 0, ISNUMBER($H51))</formula>
    </cfRule>
    <cfRule type="expression" dxfId="664" priority="72">
      <formula>AND($H51 &lt; 0, ISNUMBER($H51))</formula>
    </cfRule>
    <cfRule type="expression" dxfId="663" priority="73">
      <formula>AND($E51 &gt; 0, ISNUMBER($E51))</formula>
    </cfRule>
    <cfRule type="expression" dxfId="662" priority="74">
      <formula>AND($E51 &lt; 0, ISNUMBER($E51))</formula>
    </cfRule>
  </conditionalFormatting>
  <conditionalFormatting sqref="D49:F50 E61:F61">
    <cfRule type="expression" dxfId="661" priority="65">
      <formula>$E$61&gt;0</formula>
    </cfRule>
    <cfRule type="expression" dxfId="660" priority="66">
      <formula>$E$61&lt;0</formula>
    </cfRule>
  </conditionalFormatting>
  <conditionalFormatting sqref="G49:I50 H61:I61">
    <cfRule type="expression" dxfId="659" priority="63">
      <formula>$H$61&gt;0</formula>
    </cfRule>
    <cfRule type="expression" dxfId="658" priority="64">
      <formula>$H$61&lt;0</formula>
    </cfRule>
  </conditionalFormatting>
  <conditionalFormatting sqref="J49:L50 K61:L61">
    <cfRule type="expression" dxfId="657" priority="61">
      <formula>$K$61&gt;0</formula>
    </cfRule>
    <cfRule type="expression" dxfId="656" priority="62">
      <formula>$K$61&lt;0</formula>
    </cfRule>
  </conditionalFormatting>
  <conditionalFormatting sqref="M49:O50 N61:O61">
    <cfRule type="expression" dxfId="655" priority="59">
      <formula>$N$61&gt;0</formula>
    </cfRule>
    <cfRule type="expression" dxfId="654" priority="60">
      <formula>$N$61&lt;0</formula>
    </cfRule>
  </conditionalFormatting>
  <conditionalFormatting sqref="A68:O77">
    <cfRule type="expression" dxfId="653" priority="51">
      <formula>AND($N68 &gt; 0, ISNUMBER($N68))</formula>
    </cfRule>
    <cfRule type="expression" dxfId="652" priority="52">
      <formula>AND($N68 &lt; 0, ISNUMBER($N68))</formula>
    </cfRule>
    <cfRule type="expression" dxfId="651" priority="53">
      <formula>AND($K68 &gt; 0, ISNUMBER($K68))</formula>
    </cfRule>
    <cfRule type="expression" dxfId="650" priority="54">
      <formula>AND($K68 &lt; 0, ISNUMBER($K68))</formula>
    </cfRule>
    <cfRule type="expression" dxfId="649" priority="55">
      <formula>AND($H68 &gt; 0, ISNUMBER($H68))</formula>
    </cfRule>
    <cfRule type="expression" dxfId="648" priority="56">
      <formula>AND($H68 &lt; 0, ISNUMBER($H68))</formula>
    </cfRule>
    <cfRule type="expression" dxfId="647" priority="57">
      <formula>AND($E68 &gt; 0, ISNUMBER($E68))</formula>
    </cfRule>
    <cfRule type="expression" dxfId="646" priority="58">
      <formula>AND($E68 &lt; 0, ISNUMBER($E68))</formula>
    </cfRule>
  </conditionalFormatting>
  <conditionalFormatting sqref="D66:F67 E78:F78">
    <cfRule type="expression" dxfId="645" priority="49">
      <formula>$E$78&gt;0</formula>
    </cfRule>
    <cfRule type="expression" dxfId="644" priority="50">
      <formula>$E$78&lt;0</formula>
    </cfRule>
  </conditionalFormatting>
  <conditionalFormatting sqref="G66:I67 H78:I78">
    <cfRule type="expression" dxfId="643" priority="47">
      <formula>$H$78&gt;0</formula>
    </cfRule>
    <cfRule type="expression" dxfId="642" priority="48">
      <formula>$H$78&lt;0</formula>
    </cfRule>
  </conditionalFormatting>
  <conditionalFormatting sqref="J66:L67 K78:L78">
    <cfRule type="expression" dxfId="641" priority="45">
      <formula>$K$78&gt;0</formula>
    </cfRule>
    <cfRule type="expression" dxfId="640" priority="46">
      <formula>$K$78&lt;0</formula>
    </cfRule>
  </conditionalFormatting>
  <conditionalFormatting sqref="M66:O67 N78:O78">
    <cfRule type="expression" dxfId="639" priority="43">
      <formula>$N$78&gt;0</formula>
    </cfRule>
    <cfRule type="expression" dxfId="638" priority="44">
      <formula>$N$78&lt;0</formula>
    </cfRule>
  </conditionalFormatting>
  <conditionalFormatting sqref="A85:O94">
    <cfRule type="expression" dxfId="637" priority="35">
      <formula>AND($N85 &gt; 0, ISNUMBER($N85))</formula>
    </cfRule>
    <cfRule type="expression" dxfId="636" priority="36">
      <formula>AND($N85 &lt; 0, ISNUMBER($N85))</formula>
    </cfRule>
    <cfRule type="expression" dxfId="635" priority="37">
      <formula>AND($K85 &gt; 0, ISNUMBER($K85))</formula>
    </cfRule>
    <cfRule type="expression" dxfId="634" priority="38">
      <formula>AND($K85 &lt; 0, ISNUMBER($K85))</formula>
    </cfRule>
    <cfRule type="expression" dxfId="633" priority="39">
      <formula>AND($H85 &gt; 0, ISNUMBER($H85))</formula>
    </cfRule>
    <cfRule type="expression" dxfId="632" priority="40">
      <formula>AND($H85 &lt; 0, ISNUMBER($H85))</formula>
    </cfRule>
    <cfRule type="expression" dxfId="631" priority="41">
      <formula>AND($E85 &gt; 0, ISNUMBER($E85))</formula>
    </cfRule>
    <cfRule type="expression" dxfId="630" priority="42">
      <formula>AND($E85 &lt; 0, ISNUMBER($E85))</formula>
    </cfRule>
  </conditionalFormatting>
  <conditionalFormatting sqref="D83:F84 E95:F95">
    <cfRule type="expression" dxfId="629" priority="33">
      <formula>$E$95&gt;0</formula>
    </cfRule>
    <cfRule type="expression" dxfId="628" priority="34">
      <formula>$E$95&lt;0</formula>
    </cfRule>
  </conditionalFormatting>
  <conditionalFormatting sqref="G83:I84 H95:I95">
    <cfRule type="expression" dxfId="627" priority="31">
      <formula>$H$95&gt;0</formula>
    </cfRule>
    <cfRule type="expression" dxfId="626" priority="32">
      <formula>$H$95&lt;0</formula>
    </cfRule>
  </conditionalFormatting>
  <conditionalFormatting sqref="J83:L84 K95:L95">
    <cfRule type="expression" dxfId="625" priority="29">
      <formula>$K$95&gt;0</formula>
    </cfRule>
    <cfRule type="expression" dxfId="624" priority="30">
      <formula>$K$95&lt;0</formula>
    </cfRule>
  </conditionalFormatting>
  <conditionalFormatting sqref="M83:O84 N95:O95">
    <cfRule type="expression" dxfId="623" priority="27">
      <formula>$N$95&gt;0</formula>
    </cfRule>
    <cfRule type="expression" dxfId="622" priority="28">
      <formula>$N$95&lt;0</formula>
    </cfRule>
  </conditionalFormatting>
  <conditionalFormatting sqref="A102:O111">
    <cfRule type="expression" dxfId="621" priority="19">
      <formula>AND($N102 &gt; 0, ISNUMBER($N102))</formula>
    </cfRule>
    <cfRule type="expression" dxfId="620" priority="20">
      <formula>AND($N102 &lt; 0, ISNUMBER($N102))</formula>
    </cfRule>
    <cfRule type="expression" dxfId="619" priority="21">
      <formula>AND($K102 &gt; 0, ISNUMBER($K102))</formula>
    </cfRule>
    <cfRule type="expression" dxfId="618" priority="22">
      <formula>AND($K102 &lt; 0, ISNUMBER($K102))</formula>
    </cfRule>
    <cfRule type="expression" dxfId="617" priority="23">
      <formula>AND($H102 &gt; 0, ISNUMBER($H102))</formula>
    </cfRule>
    <cfRule type="expression" dxfId="616" priority="24">
      <formula>AND($H102 &lt; 0, ISNUMBER($H102))</formula>
    </cfRule>
    <cfRule type="expression" dxfId="615" priority="25">
      <formula>AND($E102 &gt; 0, ISNUMBER($E102))</formula>
    </cfRule>
    <cfRule type="expression" dxfId="614" priority="26">
      <formula>AND($E102 &lt; 0, ISNUMBER($E102))</formula>
    </cfRule>
  </conditionalFormatting>
  <conditionalFormatting sqref="D100:F101 E112:F112">
    <cfRule type="expression" dxfId="613" priority="17">
      <formula>$E$112&gt;0</formula>
    </cfRule>
    <cfRule type="expression" dxfId="612" priority="18">
      <formula>$E$112&lt;0</formula>
    </cfRule>
  </conditionalFormatting>
  <conditionalFormatting sqref="G100:I101 H112:I112">
    <cfRule type="expression" dxfId="611" priority="15">
      <formula>$H$112&gt;0</formula>
    </cfRule>
    <cfRule type="expression" dxfId="610" priority="16">
      <formula>$H$112&lt;0</formula>
    </cfRule>
  </conditionalFormatting>
  <conditionalFormatting sqref="J100:L101 K112:L112">
    <cfRule type="expression" dxfId="609" priority="13">
      <formula>$K$112&gt;0</formula>
    </cfRule>
    <cfRule type="expression" dxfId="608" priority="14">
      <formula>$K$112&lt;0</formula>
    </cfRule>
  </conditionalFormatting>
  <conditionalFormatting sqref="M100:O101 N112:O112">
    <cfRule type="expression" dxfId="607" priority="11">
      <formula>$N$112&gt;0</formula>
    </cfRule>
    <cfRule type="expression" dxfId="606" priority="12">
      <formula>$N$112&lt;0</formula>
    </cfRule>
  </conditionalFormatting>
  <conditionalFormatting sqref="G2:I3">
    <cfRule type="expression" dxfId="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44296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14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09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81"/>
      <c r="R16" s="182"/>
    </row>
    <row r="17" spans="1:18" ht="17.25" customHeight="1">
      <c r="A17" s="39" t="s">
        <v>160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79"/>
      <c r="R17" s="180"/>
    </row>
    <row r="18" spans="1:18" ht="17.25" customHeight="1">
      <c r="A18" s="40" t="s">
        <v>178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79"/>
      <c r="R18" s="180"/>
    </row>
    <row r="19" spans="1:18" ht="17.25" customHeight="1">
      <c r="A19" s="40" t="s">
        <v>214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79"/>
      <c r="R19" s="180"/>
    </row>
    <row r="20" spans="1:18" ht="17.25" customHeight="1">
      <c r="A20" s="40" t="s">
        <v>167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79"/>
      <c r="R20" s="180"/>
    </row>
    <row r="21" spans="1:18" ht="17.25" customHeight="1">
      <c r="A21" s="41" t="s">
        <v>217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79"/>
      <c r="R21" s="180"/>
    </row>
    <row r="22" spans="1:18" ht="17.25" customHeight="1">
      <c r="A22" s="40" t="s">
        <v>243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79"/>
      <c r="R22" s="180"/>
    </row>
    <row r="23" spans="1:18" ht="17.25" customHeight="1">
      <c r="A23" s="40" t="s">
        <v>203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79"/>
      <c r="R23" s="180"/>
    </row>
    <row r="24" spans="1:18" ht="17.25" customHeight="1">
      <c r="A24" s="40" t="s">
        <v>197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79"/>
      <c r="R24" s="180"/>
    </row>
    <row r="25" spans="1:18" ht="17.25" customHeight="1">
      <c r="A25" s="40" t="s">
        <v>101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81"/>
      <c r="R25" s="182"/>
    </row>
    <row r="26" spans="1:18" ht="17.25" customHeight="1" thickBot="1">
      <c r="A26" s="42" t="s">
        <v>156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09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53"/>
      <c r="R33" s="154"/>
    </row>
    <row r="34" spans="1:18" ht="17.25" customHeight="1">
      <c r="A34" s="9" t="s">
        <v>186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51"/>
      <c r="R34" s="152"/>
    </row>
    <row r="35" spans="1:18" ht="17.25" customHeight="1">
      <c r="A35" s="11" t="s">
        <v>158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51"/>
      <c r="R35" s="152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51"/>
      <c r="R36" s="152"/>
    </row>
    <row r="37" spans="1:18" ht="17.25" customHeight="1">
      <c r="A37" s="11" t="s">
        <v>103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51"/>
      <c r="R37" s="152"/>
    </row>
    <row r="38" spans="1:18" ht="17.25" customHeight="1">
      <c r="A38" s="8" t="s">
        <v>159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51"/>
      <c r="R38" s="152"/>
    </row>
    <row r="39" spans="1:18" ht="17.25" customHeight="1">
      <c r="A39" s="11" t="s">
        <v>171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51"/>
      <c r="R39" s="15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09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53"/>
      <c r="R50" s="154"/>
    </row>
    <row r="51" spans="1:18" ht="17.25" customHeight="1">
      <c r="A51" s="9" t="s">
        <v>153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51"/>
      <c r="R51" s="15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09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53"/>
      <c r="R67" s="154"/>
    </row>
    <row r="68" spans="1:18" ht="17.25" customHeight="1">
      <c r="A68" s="9" t="s">
        <v>109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51"/>
      <c r="R68" s="152"/>
    </row>
    <row r="69" spans="1:18" ht="17.25" customHeight="1">
      <c r="A69" s="11" t="s">
        <v>126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51"/>
      <c r="R69" s="152"/>
    </row>
    <row r="70" spans="1:18" ht="17.25" customHeight="1">
      <c r="A70" s="11" t="s">
        <v>145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51"/>
      <c r="R70" s="152"/>
    </row>
    <row r="71" spans="1:18" ht="17.25" customHeight="1">
      <c r="A71" s="11" t="s">
        <v>137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51"/>
      <c r="R71" s="152"/>
    </row>
    <row r="72" spans="1:18" ht="17.25" customHeight="1">
      <c r="A72" s="8" t="s">
        <v>105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51"/>
      <c r="R72" s="152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51"/>
      <c r="R73" s="152"/>
    </row>
    <row r="74" spans="1:18" ht="17.25" customHeight="1">
      <c r="A74" s="11" t="s">
        <v>122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51"/>
      <c r="R74" s="152"/>
    </row>
    <row r="75" spans="1:18" ht="17.25" customHeight="1">
      <c r="A75" s="11" t="s">
        <v>142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51"/>
      <c r="R75" s="152"/>
    </row>
    <row r="76" spans="1:18" ht="17.25" customHeight="1">
      <c r="A76" s="11" t="s">
        <v>100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53"/>
      <c r="R76" s="154"/>
    </row>
    <row r="77" spans="1:18" ht="17.25" customHeight="1" thickBot="1">
      <c r="A77" s="13" t="s">
        <v>147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09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53"/>
      <c r="R84" s="154"/>
    </row>
    <row r="85" spans="1:18" ht="17.25" customHeight="1">
      <c r="A85" s="9" t="s">
        <v>167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51"/>
      <c r="R85" s="152"/>
    </row>
    <row r="86" spans="1:18" ht="17.25" customHeight="1">
      <c r="A86" s="11" t="s">
        <v>203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51"/>
      <c r="R86" s="152"/>
    </row>
    <row r="87" spans="1:18" ht="17.25" customHeight="1">
      <c r="A87" s="11" t="s">
        <v>197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51"/>
      <c r="R87" s="152"/>
    </row>
    <row r="88" spans="1:18" ht="17.25" customHeight="1">
      <c r="A88" s="11" t="s">
        <v>101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51"/>
      <c r="R88" s="152"/>
    </row>
    <row r="89" spans="1:18" ht="17.25" customHeight="1">
      <c r="A89" s="8" t="s">
        <v>156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51"/>
      <c r="R89" s="152"/>
    </row>
    <row r="90" spans="1:18" ht="17.25" customHeight="1">
      <c r="A90" s="11" t="s">
        <v>180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51"/>
      <c r="R90" s="152"/>
    </row>
    <row r="91" spans="1:18" ht="17.25" customHeight="1">
      <c r="A91" s="11" t="s">
        <v>193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51"/>
      <c r="R91" s="152"/>
    </row>
    <row r="92" spans="1:18" ht="17.25" customHeight="1">
      <c r="A92" s="11" t="s">
        <v>107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51"/>
      <c r="R92" s="152"/>
    </row>
    <row r="93" spans="1:18" ht="17.25" customHeight="1">
      <c r="A93" s="11" t="s">
        <v>125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09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53"/>
      <c r="R101" s="154"/>
    </row>
    <row r="102" spans="1:18" ht="17.25" customHeight="1">
      <c r="A102" s="9" t="s">
        <v>209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51"/>
      <c r="R102" s="152"/>
    </row>
    <row r="103" spans="1:18" ht="17.25" customHeight="1">
      <c r="A103" s="11" t="s">
        <v>207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51"/>
      <c r="R103" s="152"/>
    </row>
    <row r="104" spans="1:18" ht="17.25" customHeight="1">
      <c r="A104" s="11" t="s">
        <v>205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51"/>
      <c r="R104" s="152"/>
    </row>
    <row r="105" spans="1:18" ht="17.25" customHeight="1">
      <c r="A105" s="11" t="s">
        <v>223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51"/>
      <c r="R105" s="152"/>
    </row>
    <row r="106" spans="1:18" ht="17.25" customHeight="1">
      <c r="A106" s="8" t="s">
        <v>187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51"/>
      <c r="R106" s="152"/>
    </row>
    <row r="107" spans="1:18" ht="17.25" customHeight="1">
      <c r="A107" s="11" t="s">
        <v>160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51"/>
      <c r="R107" s="152"/>
    </row>
    <row r="108" spans="1:18" ht="17.25" customHeight="1">
      <c r="A108" s="11" t="s">
        <v>178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51"/>
      <c r="R108" s="152"/>
    </row>
    <row r="109" spans="1:18" ht="17.25" customHeight="1">
      <c r="A109" s="11" t="s">
        <v>214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51"/>
      <c r="R109" s="152"/>
    </row>
    <row r="110" spans="1:18" ht="17.25" customHeight="1">
      <c r="A110" s="11" t="s">
        <v>167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53"/>
      <c r="R110" s="154"/>
    </row>
    <row r="111" spans="1:18" ht="17.25" customHeight="1" thickBot="1">
      <c r="A111" s="13" t="s">
        <v>217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95" priority="89">
      <formula>$E$27&gt;0</formula>
    </cfRule>
    <cfRule type="expression" dxfId="594" priority="90">
      <formula>$E$27&lt;0</formula>
    </cfRule>
  </conditionalFormatting>
  <conditionalFormatting sqref="G15:I16 H27:I27">
    <cfRule type="expression" dxfId="593" priority="87">
      <formula>$H$27&gt;0</formula>
    </cfRule>
    <cfRule type="expression" dxfId="592" priority="88">
      <formula>$H$27&lt;0</formula>
    </cfRule>
  </conditionalFormatting>
  <conditionalFormatting sqref="J15:L16 K27:L27">
    <cfRule type="expression" dxfId="591" priority="85">
      <formula>$K$27&gt;0</formula>
    </cfRule>
    <cfRule type="expression" dxfId="590" priority="86">
      <formula>$K$27&lt;0</formula>
    </cfRule>
  </conditionalFormatting>
  <conditionalFormatting sqref="M15:O16 N27:O27">
    <cfRule type="expression" dxfId="589" priority="83">
      <formula>$N$27&gt;0</formula>
    </cfRule>
    <cfRule type="expression" dxfId="588" priority="84">
      <formula>$N$27&lt;0</formula>
    </cfRule>
  </conditionalFormatting>
  <conditionalFormatting sqref="A17:O26 A34:O43">
    <cfRule type="expression" dxfId="587" priority="91">
      <formula>AND($N17 &gt; 0, ISNUMBER($N17))</formula>
    </cfRule>
    <cfRule type="expression" dxfId="586" priority="92">
      <formula>AND($N17 &lt; 0, ISNUMBER($N17))</formula>
    </cfRule>
    <cfRule type="expression" dxfId="585" priority="93">
      <formula>AND($K17 &gt; 0, ISNUMBER($K17))</formula>
    </cfRule>
    <cfRule type="expression" dxfId="584" priority="94">
      <formula>AND($K17 &lt; 0, ISNUMBER($K17))</formula>
    </cfRule>
    <cfRule type="expression" dxfId="583" priority="95">
      <formula>AND($H17 &gt; 0, ISNUMBER($H17))</formula>
    </cfRule>
    <cfRule type="expression" dxfId="582" priority="96">
      <formula>AND($H17 &lt; 0, ISNUMBER($H17))</formula>
    </cfRule>
    <cfRule type="expression" dxfId="581" priority="97">
      <formula>AND($E17 &gt; 0, ISNUMBER($E17))</formula>
    </cfRule>
    <cfRule type="expression" dxfId="580" priority="98">
      <formula>AND($E17 &lt; 0, ISNUMBER($E17))</formula>
    </cfRule>
  </conditionalFormatting>
  <conditionalFormatting sqref="D32:F33 E44:F44">
    <cfRule type="expression" dxfId="579" priority="81">
      <formula>$E$44&gt;0</formula>
    </cfRule>
    <cfRule type="expression" dxfId="578" priority="82">
      <formula>$E$44&lt;0</formula>
    </cfRule>
  </conditionalFormatting>
  <conditionalFormatting sqref="G32:I33 H44:I44">
    <cfRule type="expression" dxfId="577" priority="79">
      <formula>$H$44&gt;0</formula>
    </cfRule>
    <cfRule type="expression" dxfId="576" priority="80">
      <formula>$H$44&lt;0</formula>
    </cfRule>
  </conditionalFormatting>
  <conditionalFormatting sqref="J32:L33 K44:L44">
    <cfRule type="expression" dxfId="575" priority="77">
      <formula>$K$44&gt;0</formula>
    </cfRule>
    <cfRule type="expression" dxfId="574" priority="78">
      <formula>$K$44&lt;0</formula>
    </cfRule>
  </conditionalFormatting>
  <conditionalFormatting sqref="M32:O33 N44:O44">
    <cfRule type="expression" dxfId="573" priority="75">
      <formula>$N$44&gt;0</formula>
    </cfRule>
    <cfRule type="expression" dxfId="572" priority="76">
      <formula>$N$44&lt;0</formula>
    </cfRule>
  </conditionalFormatting>
  <conditionalFormatting sqref="A51:O60">
    <cfRule type="expression" dxfId="571" priority="67">
      <formula>AND($N51 &gt; 0, ISNUMBER($N51))</formula>
    </cfRule>
    <cfRule type="expression" dxfId="570" priority="68">
      <formula>AND($N51 &lt; 0, ISNUMBER($N51))</formula>
    </cfRule>
    <cfRule type="expression" dxfId="569" priority="69">
      <formula>AND($K51 &gt; 0, ISNUMBER($K51))</formula>
    </cfRule>
    <cfRule type="expression" dxfId="568" priority="70">
      <formula>AND($K51 &lt; 0, ISNUMBER($K51))</formula>
    </cfRule>
    <cfRule type="expression" dxfId="567" priority="71">
      <formula>AND($H51 &gt; 0, ISNUMBER($H51))</formula>
    </cfRule>
    <cfRule type="expression" dxfId="566" priority="72">
      <formula>AND($H51 &lt; 0, ISNUMBER($H51))</formula>
    </cfRule>
    <cfRule type="expression" dxfId="565" priority="73">
      <formula>AND($E51 &gt; 0, ISNUMBER($E51))</formula>
    </cfRule>
    <cfRule type="expression" dxfId="564" priority="74">
      <formula>AND($E51 &lt; 0, ISNUMBER($E51))</formula>
    </cfRule>
  </conditionalFormatting>
  <conditionalFormatting sqref="D49:F50 E61:F61">
    <cfRule type="expression" dxfId="563" priority="65">
      <formula>$E$61&gt;0</formula>
    </cfRule>
    <cfRule type="expression" dxfId="562" priority="66">
      <formula>$E$61&lt;0</formula>
    </cfRule>
  </conditionalFormatting>
  <conditionalFormatting sqref="G49:I50 H61:I61">
    <cfRule type="expression" dxfId="561" priority="63">
      <formula>$H$61&gt;0</formula>
    </cfRule>
    <cfRule type="expression" dxfId="560" priority="64">
      <formula>$H$61&lt;0</formula>
    </cfRule>
  </conditionalFormatting>
  <conditionalFormatting sqref="J49:L50 K61:L61">
    <cfRule type="expression" dxfId="559" priority="61">
      <formula>$K$61&gt;0</formula>
    </cfRule>
    <cfRule type="expression" dxfId="558" priority="62">
      <formula>$K$61&lt;0</formula>
    </cfRule>
  </conditionalFormatting>
  <conditionalFormatting sqref="M49:O50 N61:O61">
    <cfRule type="expression" dxfId="557" priority="59">
      <formula>$N$61&gt;0</formula>
    </cfRule>
    <cfRule type="expression" dxfId="556" priority="60">
      <formula>$N$61&lt;0</formula>
    </cfRule>
  </conditionalFormatting>
  <conditionalFormatting sqref="A68:O77">
    <cfRule type="expression" dxfId="555" priority="51">
      <formula>AND($N68 &gt; 0, ISNUMBER($N68))</formula>
    </cfRule>
    <cfRule type="expression" dxfId="554" priority="52">
      <formula>AND($N68 &lt; 0, ISNUMBER($N68))</formula>
    </cfRule>
    <cfRule type="expression" dxfId="553" priority="53">
      <formula>AND($K68 &gt; 0, ISNUMBER($K68))</formula>
    </cfRule>
    <cfRule type="expression" dxfId="552" priority="54">
      <formula>AND($K68 &lt; 0, ISNUMBER($K68))</formula>
    </cfRule>
    <cfRule type="expression" dxfId="551" priority="55">
      <formula>AND($H68 &gt; 0, ISNUMBER($H68))</formula>
    </cfRule>
    <cfRule type="expression" dxfId="550" priority="56">
      <formula>AND($H68 &lt; 0, ISNUMBER($H68))</formula>
    </cfRule>
    <cfRule type="expression" dxfId="549" priority="57">
      <formula>AND($E68 &gt; 0, ISNUMBER($E68))</formula>
    </cfRule>
    <cfRule type="expression" dxfId="548" priority="58">
      <formula>AND($E68 &lt; 0, ISNUMBER($E68))</formula>
    </cfRule>
  </conditionalFormatting>
  <conditionalFormatting sqref="D66:F67 E78:F78">
    <cfRule type="expression" dxfId="547" priority="49">
      <formula>$E$78&gt;0</formula>
    </cfRule>
    <cfRule type="expression" dxfId="546" priority="50">
      <formula>$E$78&lt;0</formula>
    </cfRule>
  </conditionalFormatting>
  <conditionalFormatting sqref="G66:I67 H78:I78">
    <cfRule type="expression" dxfId="545" priority="47">
      <formula>$H$78&gt;0</formula>
    </cfRule>
    <cfRule type="expression" dxfId="544" priority="48">
      <formula>$H$78&lt;0</formula>
    </cfRule>
  </conditionalFormatting>
  <conditionalFormatting sqref="J66:L67 K78:L78">
    <cfRule type="expression" dxfId="543" priority="45">
      <formula>$K$78&gt;0</formula>
    </cfRule>
    <cfRule type="expression" dxfId="542" priority="46">
      <formula>$K$78&lt;0</formula>
    </cfRule>
  </conditionalFormatting>
  <conditionalFormatting sqref="M66:O67 N78:O78">
    <cfRule type="expression" dxfId="541" priority="43">
      <formula>$N$78&gt;0</formula>
    </cfRule>
    <cfRule type="expression" dxfId="540" priority="44">
      <formula>$N$78&lt;0</formula>
    </cfRule>
  </conditionalFormatting>
  <conditionalFormatting sqref="A85:O94">
    <cfRule type="expression" dxfId="539" priority="35">
      <formula>AND($N85 &gt; 0, ISNUMBER($N85))</formula>
    </cfRule>
    <cfRule type="expression" dxfId="538" priority="36">
      <formula>AND($N85 &lt; 0, ISNUMBER($N85))</formula>
    </cfRule>
    <cfRule type="expression" dxfId="537" priority="37">
      <formula>AND($K85 &gt; 0, ISNUMBER($K85))</formula>
    </cfRule>
    <cfRule type="expression" dxfId="536" priority="38">
      <formula>AND($K85 &lt; 0, ISNUMBER($K85))</formula>
    </cfRule>
    <cfRule type="expression" dxfId="535" priority="39">
      <formula>AND($H85 &gt; 0, ISNUMBER($H85))</formula>
    </cfRule>
    <cfRule type="expression" dxfId="534" priority="40">
      <formula>AND($H85 &lt; 0, ISNUMBER($H85))</formula>
    </cfRule>
    <cfRule type="expression" dxfId="533" priority="41">
      <formula>AND($E85 &gt; 0, ISNUMBER($E85))</formula>
    </cfRule>
    <cfRule type="expression" dxfId="532" priority="42">
      <formula>AND($E85 &lt; 0, ISNUMBER($E85))</formula>
    </cfRule>
  </conditionalFormatting>
  <conditionalFormatting sqref="D83:F84 E95:F95">
    <cfRule type="expression" dxfId="531" priority="33">
      <formula>$E$95&gt;0</formula>
    </cfRule>
    <cfRule type="expression" dxfId="530" priority="34">
      <formula>$E$95&lt;0</formula>
    </cfRule>
  </conditionalFormatting>
  <conditionalFormatting sqref="G83:I84 H95:I95">
    <cfRule type="expression" dxfId="529" priority="31">
      <formula>$H$95&gt;0</formula>
    </cfRule>
    <cfRule type="expression" dxfId="528" priority="32">
      <formula>$H$95&lt;0</formula>
    </cfRule>
  </conditionalFormatting>
  <conditionalFormatting sqref="J83:L84 K95:L95">
    <cfRule type="expression" dxfId="527" priority="29">
      <formula>$K$95&gt;0</formula>
    </cfRule>
    <cfRule type="expression" dxfId="526" priority="30">
      <formula>$K$95&lt;0</formula>
    </cfRule>
  </conditionalFormatting>
  <conditionalFormatting sqref="M83:O84 N95:O95">
    <cfRule type="expression" dxfId="525" priority="27">
      <formula>$N$95&gt;0</formula>
    </cfRule>
    <cfRule type="expression" dxfId="524" priority="28">
      <formula>$N$95&lt;0</formula>
    </cfRule>
  </conditionalFormatting>
  <conditionalFormatting sqref="A102:O111">
    <cfRule type="expression" dxfId="523" priority="19">
      <formula>AND($N102 &gt; 0, ISNUMBER($N102))</formula>
    </cfRule>
    <cfRule type="expression" dxfId="522" priority="20">
      <formula>AND($N102 &lt; 0, ISNUMBER($N102))</formula>
    </cfRule>
    <cfRule type="expression" dxfId="521" priority="21">
      <formula>AND($K102 &gt; 0, ISNUMBER($K102))</formula>
    </cfRule>
    <cfRule type="expression" dxfId="520" priority="22">
      <formula>AND($K102 &lt; 0, ISNUMBER($K102))</formula>
    </cfRule>
    <cfRule type="expression" dxfId="519" priority="23">
      <formula>AND($H102 &gt; 0, ISNUMBER($H102))</formula>
    </cfRule>
    <cfRule type="expression" dxfId="518" priority="24">
      <formula>AND($H102 &lt; 0, ISNUMBER($H102))</formula>
    </cfRule>
    <cfRule type="expression" dxfId="517" priority="25">
      <formula>AND($E102 &gt; 0, ISNUMBER($E102))</formula>
    </cfRule>
    <cfRule type="expression" dxfId="516" priority="26">
      <formula>AND($E102 &lt; 0, ISNUMBER($E102))</formula>
    </cfRule>
  </conditionalFormatting>
  <conditionalFormatting sqref="D100:F101 E112:F112">
    <cfRule type="expression" dxfId="515" priority="17">
      <formula>$E$112&gt;0</formula>
    </cfRule>
    <cfRule type="expression" dxfId="514" priority="18">
      <formula>$E$112&lt;0</formula>
    </cfRule>
  </conditionalFormatting>
  <conditionalFormatting sqref="G100:I101 H112:I112">
    <cfRule type="expression" dxfId="513" priority="15">
      <formula>$H$112&gt;0</formula>
    </cfRule>
    <cfRule type="expression" dxfId="512" priority="16">
      <formula>$H$112&lt;0</formula>
    </cfRule>
  </conditionalFormatting>
  <conditionalFormatting sqref="J100:L101 K112:L112">
    <cfRule type="expression" dxfId="511" priority="13">
      <formula>$K$112&gt;0</formula>
    </cfRule>
    <cfRule type="expression" dxfId="510" priority="14">
      <formula>$K$112&lt;0</formula>
    </cfRule>
  </conditionalFormatting>
  <conditionalFormatting sqref="M100:O101 N112:O112">
    <cfRule type="expression" dxfId="509" priority="11">
      <formula>$N$112&gt;0</formula>
    </cfRule>
    <cfRule type="expression" dxfId="508" priority="12">
      <formula>$N$112&lt;0</formula>
    </cfRule>
  </conditionalFormatting>
  <conditionalFormatting sqref="G2:I3">
    <cfRule type="expression" dxfId="5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21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16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81"/>
      <c r="R16" s="182"/>
    </row>
    <row r="17" spans="1:18" ht="17.25" customHeight="1">
      <c r="A17" s="39" t="s">
        <v>255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79"/>
      <c r="R17" s="180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79"/>
      <c r="R18" s="180"/>
    </row>
    <row r="19" spans="1:18" ht="17.25" customHeight="1">
      <c r="A19" s="40" t="s">
        <v>170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79"/>
      <c r="R19" s="180"/>
    </row>
    <row r="20" spans="1:18" ht="17.25" customHeight="1">
      <c r="A20" s="40" t="s">
        <v>145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79"/>
      <c r="R20" s="180"/>
    </row>
    <row r="21" spans="1:18" ht="17.25" customHeight="1">
      <c r="A21" s="41" t="s">
        <v>177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79"/>
      <c r="R21" s="180"/>
    </row>
    <row r="22" spans="1:18" ht="17.25" customHeight="1">
      <c r="A22" s="40" t="s">
        <v>197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79"/>
      <c r="R22" s="180"/>
    </row>
    <row r="23" spans="1:18" ht="17.25" customHeight="1">
      <c r="A23" s="40" t="s">
        <v>128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79"/>
      <c r="R23" s="180"/>
    </row>
    <row r="24" spans="1:18" ht="17.25" customHeight="1">
      <c r="A24" s="40" t="s">
        <v>184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79"/>
      <c r="R24" s="180"/>
    </row>
    <row r="25" spans="1:18" ht="17.25" customHeight="1">
      <c r="A25" s="40" t="s">
        <v>160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81"/>
      <c r="R25" s="182"/>
    </row>
    <row r="26" spans="1:18" ht="17.25" customHeight="1" thickBot="1">
      <c r="A26" s="42" t="s">
        <v>241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16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53"/>
      <c r="R33" s="154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51"/>
      <c r="R34" s="152"/>
    </row>
    <row r="35" spans="1:18" ht="17.25" customHeight="1">
      <c r="A35" s="11" t="s">
        <v>171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51"/>
      <c r="R35" s="152"/>
    </row>
    <row r="36" spans="1:18" ht="17.25" customHeight="1">
      <c r="A36" s="11" t="s">
        <v>153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51"/>
      <c r="R36" s="152"/>
    </row>
    <row r="37" spans="1:18" ht="17.25" customHeight="1">
      <c r="A37" s="11" t="s">
        <v>135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51"/>
      <c r="R37" s="152"/>
    </row>
    <row r="38" spans="1:18" ht="17.25" customHeight="1">
      <c r="A38" s="8" t="s">
        <v>174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51"/>
      <c r="R38" s="152"/>
    </row>
    <row r="39" spans="1:18" ht="17.25" customHeight="1">
      <c r="A39" s="11" t="s">
        <v>159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51"/>
      <c r="R39" s="152"/>
    </row>
    <row r="40" spans="1:18" ht="17.25" customHeight="1">
      <c r="A40" s="11" t="s">
        <v>158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51"/>
      <c r="R40" s="152"/>
    </row>
    <row r="41" spans="1:18" ht="17.25" customHeight="1">
      <c r="A41" s="11" t="s">
        <v>116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51"/>
      <c r="R41" s="152"/>
    </row>
    <row r="42" spans="1:18" ht="17.25" customHeight="1">
      <c r="A42" s="11" t="s">
        <v>140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53"/>
      <c r="R42" s="154"/>
    </row>
    <row r="43" spans="1:18" ht="17.25" customHeight="1" thickBot="1">
      <c r="A43" s="13" t="s">
        <v>199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16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53"/>
      <c r="R50" s="154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51"/>
      <c r="R51" s="152"/>
    </row>
    <row r="52" spans="1:18" ht="17.25" customHeight="1">
      <c r="A52" s="11" t="s">
        <v>183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51"/>
      <c r="R52" s="152"/>
    </row>
    <row r="53" spans="1:18" ht="17.25" customHeight="1">
      <c r="A53" s="11" t="s">
        <v>186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51"/>
      <c r="R53" s="152"/>
    </row>
    <row r="54" spans="1:18" ht="17.25" customHeight="1">
      <c r="A54" s="11" t="s">
        <v>103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51"/>
      <c r="R54" s="152"/>
    </row>
    <row r="55" spans="1:18" ht="17.25" customHeight="1">
      <c r="A55" s="8" t="s">
        <v>155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51"/>
      <c r="R55" s="152"/>
    </row>
    <row r="56" spans="1:18" ht="17.25" customHeight="1">
      <c r="A56" s="11" t="s">
        <v>168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16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53"/>
      <c r="R67" s="154"/>
    </row>
    <row r="68" spans="1:18" ht="17.25" customHeight="1">
      <c r="A68" s="9" t="s">
        <v>160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51"/>
      <c r="R68" s="152"/>
    </row>
    <row r="69" spans="1:18" ht="17.25" customHeight="1">
      <c r="A69" s="11" t="s">
        <v>263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51"/>
      <c r="R69" s="152"/>
    </row>
    <row r="70" spans="1:18" ht="17.25" customHeight="1">
      <c r="A70" s="11" t="s">
        <v>215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51"/>
      <c r="R70" s="152"/>
    </row>
    <row r="71" spans="1:18" ht="17.25" customHeight="1">
      <c r="A71" s="11" t="s">
        <v>151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51"/>
      <c r="R71" s="152"/>
    </row>
    <row r="72" spans="1:18" ht="17.25" customHeight="1">
      <c r="A72" s="8" t="s">
        <v>147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51"/>
      <c r="R72" s="152"/>
    </row>
    <row r="73" spans="1:18" ht="17.25" customHeight="1">
      <c r="A73" s="11" t="s">
        <v>126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51"/>
      <c r="R73" s="152"/>
    </row>
    <row r="74" spans="1:18" ht="17.25" customHeight="1">
      <c r="A74" s="11" t="s">
        <v>109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51"/>
      <c r="R74" s="152"/>
    </row>
    <row r="75" spans="1:18" ht="17.25" customHeight="1">
      <c r="A75" s="11" t="s">
        <v>100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51"/>
      <c r="R75" s="152"/>
    </row>
    <row r="76" spans="1:18" ht="17.25" customHeight="1">
      <c r="A76" s="11" t="s">
        <v>130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53"/>
      <c r="R76" s="154"/>
    </row>
    <row r="77" spans="1:18" ht="17.25" customHeight="1" thickBot="1">
      <c r="A77" s="13" t="s">
        <v>191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16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53"/>
      <c r="R84" s="154"/>
    </row>
    <row r="85" spans="1:18" ht="17.25" customHeight="1">
      <c r="A85" s="9" t="s">
        <v>214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51"/>
      <c r="R85" s="152"/>
    </row>
    <row r="86" spans="1:18" ht="17.25" customHeight="1">
      <c r="A86" s="11" t="s">
        <v>170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51"/>
      <c r="R86" s="152"/>
    </row>
    <row r="87" spans="1:18" ht="17.25" customHeight="1">
      <c r="A87" s="11" t="s">
        <v>145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51"/>
      <c r="R87" s="152"/>
    </row>
    <row r="88" spans="1:18" ht="17.25" customHeight="1">
      <c r="A88" s="11" t="s">
        <v>197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51"/>
      <c r="R88" s="15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16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53"/>
      <c r="R101" s="154"/>
    </row>
    <row r="102" spans="1:18" ht="17.25" customHeight="1">
      <c r="A102" s="9" t="s">
        <v>255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51"/>
      <c r="R102" s="152"/>
    </row>
    <row r="103" spans="1:18" ht="17.25" customHeight="1">
      <c r="A103" s="11" t="s">
        <v>214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51"/>
      <c r="R103" s="152"/>
    </row>
    <row r="104" spans="1:18" ht="17.25" customHeight="1">
      <c r="A104" s="11" t="s">
        <v>170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51"/>
      <c r="R104" s="152"/>
    </row>
    <row r="105" spans="1:18" ht="17.25" customHeight="1">
      <c r="A105" s="11" t="s">
        <v>145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51"/>
      <c r="R105" s="152"/>
    </row>
    <row r="106" spans="1:18" ht="17.25" customHeight="1">
      <c r="A106" s="8" t="s">
        <v>177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51"/>
      <c r="R106" s="152"/>
    </row>
    <row r="107" spans="1:18" ht="17.25" customHeight="1">
      <c r="A107" s="11" t="s">
        <v>197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51"/>
      <c r="R107" s="152"/>
    </row>
    <row r="108" spans="1:18" ht="17.25" customHeight="1">
      <c r="A108" s="11" t="s">
        <v>128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51"/>
      <c r="R108" s="152"/>
    </row>
    <row r="109" spans="1:18" ht="17.25" customHeight="1">
      <c r="A109" s="11" t="s">
        <v>184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51"/>
      <c r="R109" s="152"/>
    </row>
    <row r="110" spans="1:18" ht="17.25" customHeight="1">
      <c r="A110" s="11" t="s">
        <v>160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53"/>
      <c r="R110" s="154"/>
    </row>
    <row r="111" spans="1:18" ht="17.25" customHeight="1" thickBot="1">
      <c r="A111" s="13" t="s">
        <v>241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97" priority="89">
      <formula>$E$27&gt;0</formula>
    </cfRule>
    <cfRule type="expression" dxfId="496" priority="90">
      <formula>$E$27&lt;0</formula>
    </cfRule>
  </conditionalFormatting>
  <conditionalFormatting sqref="G15:I16 H27:I27">
    <cfRule type="expression" dxfId="495" priority="87">
      <formula>$H$27&gt;0</formula>
    </cfRule>
    <cfRule type="expression" dxfId="494" priority="88">
      <formula>$H$27&lt;0</formula>
    </cfRule>
  </conditionalFormatting>
  <conditionalFormatting sqref="J15:L16 K27:L27">
    <cfRule type="expression" dxfId="493" priority="85">
      <formula>$K$27&gt;0</formula>
    </cfRule>
    <cfRule type="expression" dxfId="492" priority="86">
      <formula>$K$27&lt;0</formula>
    </cfRule>
  </conditionalFormatting>
  <conditionalFormatting sqref="M15:O16 N27:O27">
    <cfRule type="expression" dxfId="491" priority="83">
      <formula>$N$27&gt;0</formula>
    </cfRule>
    <cfRule type="expression" dxfId="490" priority="84">
      <formula>$N$27&lt;0</formula>
    </cfRule>
  </conditionalFormatting>
  <conditionalFormatting sqref="A17:O26 A34:O43">
    <cfRule type="expression" dxfId="489" priority="91">
      <formula>AND($N17 &gt; 0, ISNUMBER($N17))</formula>
    </cfRule>
    <cfRule type="expression" dxfId="488" priority="92">
      <formula>AND($N17 &lt; 0, ISNUMBER($N17))</formula>
    </cfRule>
    <cfRule type="expression" dxfId="487" priority="93">
      <formula>AND($K17 &gt; 0, ISNUMBER($K17))</formula>
    </cfRule>
    <cfRule type="expression" dxfId="486" priority="94">
      <formula>AND($K17 &lt; 0, ISNUMBER($K17))</formula>
    </cfRule>
    <cfRule type="expression" dxfId="485" priority="95">
      <formula>AND($H17 &gt; 0, ISNUMBER($H17))</formula>
    </cfRule>
    <cfRule type="expression" dxfId="484" priority="96">
      <formula>AND($H17 &lt; 0, ISNUMBER($H17))</formula>
    </cfRule>
    <cfRule type="expression" dxfId="483" priority="97">
      <formula>AND($E17 &gt; 0, ISNUMBER($E17))</formula>
    </cfRule>
    <cfRule type="expression" dxfId="482" priority="98">
      <formula>AND($E17 &lt; 0, ISNUMBER($E17))</formula>
    </cfRule>
  </conditionalFormatting>
  <conditionalFormatting sqref="D32:F33 E44:F44">
    <cfRule type="expression" dxfId="481" priority="81">
      <formula>$E$44&gt;0</formula>
    </cfRule>
    <cfRule type="expression" dxfId="480" priority="82">
      <formula>$E$44&lt;0</formula>
    </cfRule>
  </conditionalFormatting>
  <conditionalFormatting sqref="G32:I33 H44:I44">
    <cfRule type="expression" dxfId="479" priority="79">
      <formula>$H$44&gt;0</formula>
    </cfRule>
    <cfRule type="expression" dxfId="478" priority="80">
      <formula>$H$44&lt;0</formula>
    </cfRule>
  </conditionalFormatting>
  <conditionalFormatting sqref="J32:L33 K44:L44">
    <cfRule type="expression" dxfId="477" priority="77">
      <formula>$K$44&gt;0</formula>
    </cfRule>
    <cfRule type="expression" dxfId="476" priority="78">
      <formula>$K$44&lt;0</formula>
    </cfRule>
  </conditionalFormatting>
  <conditionalFormatting sqref="M32:O33 N44:O44">
    <cfRule type="expression" dxfId="475" priority="75">
      <formula>$N$44&gt;0</formula>
    </cfRule>
    <cfRule type="expression" dxfId="474" priority="76">
      <formula>$N$44&lt;0</formula>
    </cfRule>
  </conditionalFormatting>
  <conditionalFormatting sqref="A51:O60">
    <cfRule type="expression" dxfId="473" priority="67">
      <formula>AND($N51 &gt; 0, ISNUMBER($N51))</formula>
    </cfRule>
    <cfRule type="expression" dxfId="472" priority="68">
      <formula>AND($N51 &lt; 0, ISNUMBER($N51))</formula>
    </cfRule>
    <cfRule type="expression" dxfId="471" priority="69">
      <formula>AND($K51 &gt; 0, ISNUMBER($K51))</formula>
    </cfRule>
    <cfRule type="expression" dxfId="470" priority="70">
      <formula>AND($K51 &lt; 0, ISNUMBER($K51))</formula>
    </cfRule>
    <cfRule type="expression" dxfId="469" priority="71">
      <formula>AND($H51 &gt; 0, ISNUMBER($H51))</formula>
    </cfRule>
    <cfRule type="expression" dxfId="468" priority="72">
      <formula>AND($H51 &lt; 0, ISNUMBER($H51))</formula>
    </cfRule>
    <cfRule type="expression" dxfId="467" priority="73">
      <formula>AND($E51 &gt; 0, ISNUMBER($E51))</formula>
    </cfRule>
    <cfRule type="expression" dxfId="466" priority="74">
      <formula>AND($E51 &lt; 0, ISNUMBER($E51))</formula>
    </cfRule>
  </conditionalFormatting>
  <conditionalFormatting sqref="D49:F50 E61:F61">
    <cfRule type="expression" dxfId="465" priority="65">
      <formula>$E$61&gt;0</formula>
    </cfRule>
    <cfRule type="expression" dxfId="464" priority="66">
      <formula>$E$61&lt;0</formula>
    </cfRule>
  </conditionalFormatting>
  <conditionalFormatting sqref="G49:I50 H61:I61">
    <cfRule type="expression" dxfId="463" priority="63">
      <formula>$H$61&gt;0</formula>
    </cfRule>
    <cfRule type="expression" dxfId="462" priority="64">
      <formula>$H$61&lt;0</formula>
    </cfRule>
  </conditionalFormatting>
  <conditionalFormatting sqref="J49:L50 K61:L61">
    <cfRule type="expression" dxfId="461" priority="61">
      <formula>$K$61&gt;0</formula>
    </cfRule>
    <cfRule type="expression" dxfId="460" priority="62">
      <formula>$K$61&lt;0</formula>
    </cfRule>
  </conditionalFormatting>
  <conditionalFormatting sqref="M49:O50 N61:O61">
    <cfRule type="expression" dxfId="459" priority="59">
      <formula>$N$61&gt;0</formula>
    </cfRule>
    <cfRule type="expression" dxfId="458" priority="60">
      <formula>$N$61&lt;0</formula>
    </cfRule>
  </conditionalFormatting>
  <conditionalFormatting sqref="A68:O77">
    <cfRule type="expression" dxfId="457" priority="51">
      <formula>AND($N68 &gt; 0, ISNUMBER($N68))</formula>
    </cfRule>
    <cfRule type="expression" dxfId="456" priority="52">
      <formula>AND($N68 &lt; 0, ISNUMBER($N68))</formula>
    </cfRule>
    <cfRule type="expression" dxfId="455" priority="53">
      <formula>AND($K68 &gt; 0, ISNUMBER($K68))</formula>
    </cfRule>
    <cfRule type="expression" dxfId="454" priority="54">
      <formula>AND($K68 &lt; 0, ISNUMBER($K68))</formula>
    </cfRule>
    <cfRule type="expression" dxfId="453" priority="55">
      <formula>AND($H68 &gt; 0, ISNUMBER($H68))</formula>
    </cfRule>
    <cfRule type="expression" dxfId="452" priority="56">
      <formula>AND($H68 &lt; 0, ISNUMBER($H68))</formula>
    </cfRule>
    <cfRule type="expression" dxfId="451" priority="57">
      <formula>AND($E68 &gt; 0, ISNUMBER($E68))</formula>
    </cfRule>
    <cfRule type="expression" dxfId="450" priority="58">
      <formula>AND($E68 &lt; 0, ISNUMBER($E68))</formula>
    </cfRule>
  </conditionalFormatting>
  <conditionalFormatting sqref="D66:F67 E78:F78">
    <cfRule type="expression" dxfId="449" priority="49">
      <formula>$E$78&gt;0</formula>
    </cfRule>
    <cfRule type="expression" dxfId="448" priority="50">
      <formula>$E$78&lt;0</formula>
    </cfRule>
  </conditionalFormatting>
  <conditionalFormatting sqref="G66:I67 H78:I78">
    <cfRule type="expression" dxfId="447" priority="47">
      <formula>$H$78&gt;0</formula>
    </cfRule>
    <cfRule type="expression" dxfId="446" priority="48">
      <formula>$H$78&lt;0</formula>
    </cfRule>
  </conditionalFormatting>
  <conditionalFormatting sqref="J66:L67 K78:L78">
    <cfRule type="expression" dxfId="445" priority="45">
      <formula>$K$78&gt;0</formula>
    </cfRule>
    <cfRule type="expression" dxfId="444" priority="46">
      <formula>$K$78&lt;0</formula>
    </cfRule>
  </conditionalFormatting>
  <conditionalFormatting sqref="M66:O67 N78:O78">
    <cfRule type="expression" dxfId="443" priority="43">
      <formula>$N$78&gt;0</formula>
    </cfRule>
    <cfRule type="expression" dxfId="442" priority="44">
      <formula>$N$78&lt;0</formula>
    </cfRule>
  </conditionalFormatting>
  <conditionalFormatting sqref="A85:O94">
    <cfRule type="expression" dxfId="441" priority="35">
      <formula>AND($N85 &gt; 0, ISNUMBER($N85))</formula>
    </cfRule>
    <cfRule type="expression" dxfId="440" priority="36">
      <formula>AND($N85 &lt; 0, ISNUMBER($N85))</formula>
    </cfRule>
    <cfRule type="expression" dxfId="439" priority="37">
      <formula>AND($K85 &gt; 0, ISNUMBER($K85))</formula>
    </cfRule>
    <cfRule type="expression" dxfId="438" priority="38">
      <formula>AND($K85 &lt; 0, ISNUMBER($K85))</formula>
    </cfRule>
    <cfRule type="expression" dxfId="437" priority="39">
      <formula>AND($H85 &gt; 0, ISNUMBER($H85))</formula>
    </cfRule>
    <cfRule type="expression" dxfId="436" priority="40">
      <formula>AND($H85 &lt; 0, ISNUMBER($H85))</formula>
    </cfRule>
    <cfRule type="expression" dxfId="435" priority="41">
      <formula>AND($E85 &gt; 0, ISNUMBER($E85))</formula>
    </cfRule>
    <cfRule type="expression" dxfId="434" priority="42">
      <formula>AND($E85 &lt; 0, ISNUMBER($E85))</formula>
    </cfRule>
  </conditionalFormatting>
  <conditionalFormatting sqref="D83:F84 E95:F95">
    <cfRule type="expression" dxfId="433" priority="33">
      <formula>$E$95&gt;0</formula>
    </cfRule>
    <cfRule type="expression" dxfId="432" priority="34">
      <formula>$E$95&lt;0</formula>
    </cfRule>
  </conditionalFormatting>
  <conditionalFormatting sqref="G83:I84 H95:I95">
    <cfRule type="expression" dxfId="431" priority="31">
      <formula>$H$95&gt;0</formula>
    </cfRule>
    <cfRule type="expression" dxfId="430" priority="32">
      <formula>$H$95&lt;0</formula>
    </cfRule>
  </conditionalFormatting>
  <conditionalFormatting sqref="J83:L84 K95:L95">
    <cfRule type="expression" dxfId="429" priority="29">
      <formula>$K$95&gt;0</formula>
    </cfRule>
    <cfRule type="expression" dxfId="428" priority="30">
      <formula>$K$95&lt;0</formula>
    </cfRule>
  </conditionalFormatting>
  <conditionalFormatting sqref="M83:O84 N95:O95">
    <cfRule type="expression" dxfId="427" priority="27">
      <formula>$N$95&gt;0</formula>
    </cfRule>
    <cfRule type="expression" dxfId="426" priority="28">
      <formula>$N$95&lt;0</formula>
    </cfRule>
  </conditionalFormatting>
  <conditionalFormatting sqref="A102:O111">
    <cfRule type="expression" dxfId="425" priority="19">
      <formula>AND($N102 &gt; 0, ISNUMBER($N102))</formula>
    </cfRule>
    <cfRule type="expression" dxfId="424" priority="20">
      <formula>AND($N102 &lt; 0, ISNUMBER($N102))</formula>
    </cfRule>
    <cfRule type="expression" dxfId="423" priority="21">
      <formula>AND($K102 &gt; 0, ISNUMBER($K102))</formula>
    </cfRule>
    <cfRule type="expression" dxfId="422" priority="22">
      <formula>AND($K102 &lt; 0, ISNUMBER($K102))</formula>
    </cfRule>
    <cfRule type="expression" dxfId="421" priority="23">
      <formula>AND($H102 &gt; 0, ISNUMBER($H102))</formula>
    </cfRule>
    <cfRule type="expression" dxfId="420" priority="24">
      <formula>AND($H102 &lt; 0, ISNUMBER($H102))</formula>
    </cfRule>
    <cfRule type="expression" dxfId="419" priority="25">
      <formula>AND($E102 &gt; 0, ISNUMBER($E102))</formula>
    </cfRule>
    <cfRule type="expression" dxfId="418" priority="26">
      <formula>AND($E102 &lt; 0, ISNUMBER($E102))</formula>
    </cfRule>
  </conditionalFormatting>
  <conditionalFormatting sqref="D100:F101 E112:F112">
    <cfRule type="expression" dxfId="417" priority="17">
      <formula>$E$112&gt;0</formula>
    </cfRule>
    <cfRule type="expression" dxfId="416" priority="18">
      <formula>$E$112&lt;0</formula>
    </cfRule>
  </conditionalFormatting>
  <conditionalFormatting sqref="G100:I101 H112:I112">
    <cfRule type="expression" dxfId="415" priority="15">
      <formula>$H$112&gt;0</formula>
    </cfRule>
    <cfRule type="expression" dxfId="414" priority="16">
      <formula>$H$112&lt;0</formula>
    </cfRule>
  </conditionalFormatting>
  <conditionalFormatting sqref="J100:L101 K112:L112">
    <cfRule type="expression" dxfId="413" priority="13">
      <formula>$K$112&gt;0</formula>
    </cfRule>
    <cfRule type="expression" dxfId="412" priority="14">
      <formula>$K$112&lt;0</formula>
    </cfRule>
  </conditionalFormatting>
  <conditionalFormatting sqref="M100:O101 N112:O112">
    <cfRule type="expression" dxfId="411" priority="11">
      <formula>$N$112&gt;0</formula>
    </cfRule>
    <cfRule type="expression" dxfId="410" priority="12">
      <formula>$N$112&lt;0</formula>
    </cfRule>
  </conditionalFormatting>
  <conditionalFormatting sqref="G2:I3">
    <cfRule type="expression" dxfId="4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zoomScaleNormal="100" workbookViewId="0">
      <selection activeCell="H19" sqref="H1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44298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89"/>
      <c r="I9" s="190"/>
      <c r="J9" s="1" t="s">
        <v>28</v>
      </c>
      <c r="K9" s="197"/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28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23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81"/>
      <c r="R16" s="182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79"/>
      <c r="R17" s="180"/>
    </row>
    <row r="18" spans="1:18" ht="17.25" customHeight="1">
      <c r="A18" s="40" t="s">
        <v>245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79"/>
      <c r="R18" s="180"/>
    </row>
    <row r="19" spans="1:18" ht="17.25" customHeight="1">
      <c r="A19" s="40" t="s">
        <v>221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79"/>
      <c r="R19" s="180"/>
    </row>
    <row r="20" spans="1:18" ht="17.25" customHeight="1">
      <c r="A20" s="40" t="s">
        <v>163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79"/>
      <c r="R20" s="180"/>
    </row>
    <row r="21" spans="1:18" ht="17.25" customHeight="1">
      <c r="A21" s="41" t="s">
        <v>258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79"/>
      <c r="R21" s="180"/>
    </row>
    <row r="22" spans="1:18" ht="17.25" customHeight="1">
      <c r="A22" s="40" t="s">
        <v>174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79"/>
      <c r="R22" s="180"/>
    </row>
    <row r="23" spans="1:18" ht="17.25" customHeight="1">
      <c r="A23" s="40" t="s">
        <v>161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79"/>
      <c r="R23" s="180"/>
    </row>
    <row r="24" spans="1:18" ht="17.25" customHeight="1">
      <c r="A24" s="40" t="s">
        <v>200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79"/>
      <c r="R24" s="180"/>
    </row>
    <row r="25" spans="1:18" ht="17.25" customHeight="1">
      <c r="A25" s="40" t="s">
        <v>263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81"/>
      <c r="R25" s="182"/>
    </row>
    <row r="26" spans="1:18" ht="17.25" customHeight="1" thickBot="1">
      <c r="A26" s="42" t="s">
        <v>170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23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53"/>
      <c r="R33" s="154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51"/>
      <c r="R34" s="152"/>
    </row>
    <row r="35" spans="1:18" ht="17.25" customHeight="1">
      <c r="A35" s="11" t="s">
        <v>174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51"/>
      <c r="R35" s="152"/>
    </row>
    <row r="36" spans="1:18" ht="17.25" customHeight="1">
      <c r="A36" s="11" t="s">
        <v>171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51"/>
      <c r="R36" s="152"/>
    </row>
    <row r="37" spans="1:18" ht="17.25" customHeight="1">
      <c r="A37" s="11" t="s">
        <v>168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51"/>
      <c r="R37" s="152"/>
    </row>
    <row r="38" spans="1:18" ht="17.25" customHeight="1">
      <c r="A38" s="8" t="s">
        <v>140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51"/>
      <c r="R38" s="152"/>
    </row>
    <row r="39" spans="1:18" ht="17.25" customHeight="1">
      <c r="A39" s="11" t="s">
        <v>199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51"/>
      <c r="R39" s="152"/>
    </row>
    <row r="40" spans="1:18" ht="17.25" customHeight="1">
      <c r="A40" s="11" t="s">
        <v>158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51"/>
      <c r="R40" s="152"/>
    </row>
    <row r="41" spans="1:18" ht="17.25" customHeight="1">
      <c r="A41" s="11" t="s">
        <v>153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51"/>
      <c r="R41" s="152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53"/>
      <c r="R42" s="154"/>
    </row>
    <row r="43" spans="1:18" ht="17.25" customHeight="1" thickBot="1">
      <c r="A43" s="13" t="s">
        <v>159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23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53"/>
      <c r="R50" s="154"/>
    </row>
    <row r="51" spans="1:18" ht="17.25" customHeight="1">
      <c r="A51" s="9" t="s">
        <v>116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51"/>
      <c r="R51" s="152"/>
    </row>
    <row r="52" spans="1:18" ht="17.25" customHeight="1">
      <c r="A52" s="11" t="s">
        <v>186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51"/>
      <c r="R52" s="152"/>
    </row>
    <row r="53" spans="1:18" ht="17.25" customHeight="1">
      <c r="A53" s="11" t="s">
        <v>103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51"/>
      <c r="R53" s="152"/>
    </row>
    <row r="54" spans="1:18" ht="17.25" customHeight="1">
      <c r="A54" s="11" t="s">
        <v>183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51"/>
      <c r="R54" s="152"/>
    </row>
    <row r="55" spans="1:18" ht="17.25" customHeight="1">
      <c r="A55" s="8" t="s">
        <v>135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51"/>
      <c r="R55" s="152"/>
    </row>
    <row r="56" spans="1:18" ht="17.25" customHeight="1">
      <c r="A56" s="11" t="s">
        <v>155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23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53"/>
      <c r="R67" s="154"/>
    </row>
    <row r="68" spans="1:18" ht="17.25" customHeight="1">
      <c r="A68" s="9" t="s">
        <v>215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51"/>
      <c r="R68" s="152"/>
    </row>
    <row r="69" spans="1:18" ht="17.25" customHeight="1">
      <c r="A69" s="11" t="s">
        <v>149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51"/>
      <c r="R69" s="152"/>
    </row>
    <row r="70" spans="1:18" ht="17.25" customHeight="1">
      <c r="A70" s="11" t="s">
        <v>221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51"/>
      <c r="R70" s="152"/>
    </row>
    <row r="71" spans="1:18" ht="17.25" customHeight="1">
      <c r="A71" s="11" t="s">
        <v>143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51"/>
      <c r="R71" s="152"/>
    </row>
    <row r="72" spans="1:18" ht="17.25" customHeight="1">
      <c r="A72" s="8" t="s">
        <v>138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51"/>
      <c r="R72" s="152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51"/>
      <c r="R73" s="152"/>
    </row>
    <row r="74" spans="1:18" ht="17.25" customHeight="1">
      <c r="A74" s="11" t="s">
        <v>130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51"/>
      <c r="R74" s="152"/>
    </row>
    <row r="75" spans="1:18" ht="17.25" customHeight="1">
      <c r="A75" s="11" t="s">
        <v>142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51"/>
      <c r="R75" s="152"/>
    </row>
    <row r="76" spans="1:18" ht="17.25" customHeight="1">
      <c r="A76" s="11" t="s">
        <v>185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53"/>
      <c r="R76" s="154"/>
    </row>
    <row r="77" spans="1:18" ht="17.25" customHeight="1" thickBot="1">
      <c r="A77" s="13" t="s">
        <v>145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23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53"/>
      <c r="R84" s="154"/>
    </row>
    <row r="85" spans="1:18" ht="17.25" customHeight="1">
      <c r="A85" s="9" t="s">
        <v>146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51"/>
      <c r="R85" s="152"/>
    </row>
    <row r="86" spans="1:18" ht="17.25" customHeight="1">
      <c r="A86" s="11" t="s">
        <v>176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51"/>
      <c r="R86" s="152"/>
    </row>
    <row r="87" spans="1:18" ht="17.25" customHeight="1">
      <c r="A87" s="11" t="s">
        <v>164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51"/>
      <c r="R87" s="152"/>
    </row>
    <row r="88" spans="1:18" ht="17.25" customHeight="1">
      <c r="A88" s="11" t="s">
        <v>161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51"/>
      <c r="R88" s="152"/>
    </row>
    <row r="89" spans="1:18" ht="17.25" customHeight="1">
      <c r="A89" s="8" t="s">
        <v>200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51"/>
      <c r="R89" s="152"/>
    </row>
    <row r="90" spans="1:18" ht="17.25" customHeight="1">
      <c r="A90" s="11" t="s">
        <v>263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51"/>
      <c r="R90" s="152"/>
    </row>
    <row r="91" spans="1:18" ht="17.25" customHeight="1">
      <c r="A91" s="11" t="s">
        <v>170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51"/>
      <c r="R91" s="152"/>
    </row>
    <row r="92" spans="1:18" ht="17.25" customHeight="1">
      <c r="A92" s="11" t="s">
        <v>134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51"/>
      <c r="R92" s="152"/>
    </row>
    <row r="93" spans="1:18" ht="17.25" customHeight="1">
      <c r="A93" s="11" t="s">
        <v>203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53"/>
      <c r="R93" s="154"/>
    </row>
    <row r="94" spans="1:18" ht="17.25" customHeight="1" thickBot="1">
      <c r="A94" s="13" t="s">
        <v>160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23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53"/>
      <c r="R101" s="154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51"/>
      <c r="R102" s="152"/>
    </row>
    <row r="103" spans="1:18" ht="17.25" customHeight="1">
      <c r="A103" s="11" t="s">
        <v>215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51"/>
      <c r="R103" s="152"/>
    </row>
    <row r="104" spans="1:18" ht="17.25" customHeight="1">
      <c r="A104" s="11" t="s">
        <v>149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51"/>
      <c r="R104" s="152"/>
    </row>
    <row r="105" spans="1:18" ht="17.25" customHeight="1">
      <c r="A105" s="11" t="s">
        <v>221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51"/>
      <c r="R105" s="152"/>
    </row>
    <row r="106" spans="1:18" ht="17.25" customHeight="1">
      <c r="A106" s="8" t="s">
        <v>163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51"/>
      <c r="R106" s="152"/>
    </row>
    <row r="107" spans="1:18" ht="17.25" customHeight="1">
      <c r="A107" s="11" t="s">
        <v>258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51"/>
      <c r="R107" s="152"/>
    </row>
    <row r="108" spans="1:18" ht="17.25" customHeight="1">
      <c r="A108" s="11" t="s">
        <v>174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51"/>
      <c r="R108" s="152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51"/>
      <c r="R109" s="152"/>
    </row>
    <row r="110" spans="1:18" ht="17.25" customHeight="1">
      <c r="A110" s="11" t="s">
        <v>118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53"/>
      <c r="R110" s="154"/>
    </row>
    <row r="111" spans="1:18" ht="17.25" customHeight="1" thickBot="1">
      <c r="A111" s="13" t="s">
        <v>171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99" priority="89">
      <formula>$E$27&gt;0</formula>
    </cfRule>
    <cfRule type="expression" dxfId="398" priority="90">
      <formula>$E$27&lt;0</formula>
    </cfRule>
  </conditionalFormatting>
  <conditionalFormatting sqref="G15:I16 H27:I27">
    <cfRule type="expression" dxfId="397" priority="87">
      <formula>$H$27&gt;0</formula>
    </cfRule>
    <cfRule type="expression" dxfId="396" priority="88">
      <formula>$H$27&lt;0</formula>
    </cfRule>
  </conditionalFormatting>
  <conditionalFormatting sqref="J15:L16 K27:L27">
    <cfRule type="expression" dxfId="395" priority="85">
      <formula>$K$27&gt;0</formula>
    </cfRule>
    <cfRule type="expression" dxfId="394" priority="86">
      <formula>$K$27&lt;0</formula>
    </cfRule>
  </conditionalFormatting>
  <conditionalFormatting sqref="M15:O16 N27:O27">
    <cfRule type="expression" dxfId="393" priority="83">
      <formula>$N$27&gt;0</formula>
    </cfRule>
    <cfRule type="expression" dxfId="392" priority="84">
      <formula>$N$27&lt;0</formula>
    </cfRule>
  </conditionalFormatting>
  <conditionalFormatting sqref="A17:O26 A34:O43">
    <cfRule type="expression" dxfId="391" priority="91">
      <formula>AND($N17 &gt; 0, ISNUMBER($N17))</formula>
    </cfRule>
    <cfRule type="expression" dxfId="390" priority="92">
      <formula>AND($N17 &lt; 0, ISNUMBER($N17))</formula>
    </cfRule>
    <cfRule type="expression" dxfId="389" priority="93">
      <formula>AND($K17 &gt; 0, ISNUMBER($K17))</formula>
    </cfRule>
    <cfRule type="expression" dxfId="388" priority="94">
      <formula>AND($K17 &lt; 0, ISNUMBER($K17))</formula>
    </cfRule>
    <cfRule type="expression" dxfId="387" priority="95">
      <formula>AND($H17 &gt; 0, ISNUMBER($H17))</formula>
    </cfRule>
    <cfRule type="expression" dxfId="386" priority="96">
      <formula>AND($H17 &lt; 0, ISNUMBER($H17))</formula>
    </cfRule>
    <cfRule type="expression" dxfId="385" priority="97">
      <formula>AND($E17 &gt; 0, ISNUMBER($E17))</formula>
    </cfRule>
    <cfRule type="expression" dxfId="384" priority="98">
      <formula>AND($E17 &lt; 0, ISNUMBER($E17))</formula>
    </cfRule>
  </conditionalFormatting>
  <conditionalFormatting sqref="D32:F33 E44:F44">
    <cfRule type="expression" dxfId="383" priority="81">
      <formula>$E$44&gt;0</formula>
    </cfRule>
    <cfRule type="expression" dxfId="382" priority="82">
      <formula>$E$44&lt;0</formula>
    </cfRule>
  </conditionalFormatting>
  <conditionalFormatting sqref="G32:I33 H44:I44">
    <cfRule type="expression" dxfId="381" priority="79">
      <formula>$H$44&gt;0</formula>
    </cfRule>
    <cfRule type="expression" dxfId="380" priority="80">
      <formula>$H$44&lt;0</formula>
    </cfRule>
  </conditionalFormatting>
  <conditionalFormatting sqref="J32:L33 K44:L44">
    <cfRule type="expression" dxfId="379" priority="77">
      <formula>$K$44&gt;0</formula>
    </cfRule>
    <cfRule type="expression" dxfId="378" priority="78">
      <formula>$K$44&lt;0</formula>
    </cfRule>
  </conditionalFormatting>
  <conditionalFormatting sqref="M32:O33 N44:O44">
    <cfRule type="expression" dxfId="377" priority="75">
      <formula>$N$44&gt;0</formula>
    </cfRule>
    <cfRule type="expression" dxfId="376" priority="76">
      <formula>$N$44&lt;0</formula>
    </cfRule>
  </conditionalFormatting>
  <conditionalFormatting sqref="A51:O60">
    <cfRule type="expression" dxfId="375" priority="67">
      <formula>AND($N51 &gt; 0, ISNUMBER($N51))</formula>
    </cfRule>
    <cfRule type="expression" dxfId="374" priority="68">
      <formula>AND($N51 &lt; 0, ISNUMBER($N51))</formula>
    </cfRule>
    <cfRule type="expression" dxfId="373" priority="69">
      <formula>AND($K51 &gt; 0, ISNUMBER($K51))</formula>
    </cfRule>
    <cfRule type="expression" dxfId="372" priority="70">
      <formula>AND($K51 &lt; 0, ISNUMBER($K51))</formula>
    </cfRule>
    <cfRule type="expression" dxfId="371" priority="71">
      <formula>AND($H51 &gt; 0, ISNUMBER($H51))</formula>
    </cfRule>
    <cfRule type="expression" dxfId="370" priority="72">
      <formula>AND($H51 &lt; 0, ISNUMBER($H51))</formula>
    </cfRule>
    <cfRule type="expression" dxfId="369" priority="73">
      <formula>AND($E51 &gt; 0, ISNUMBER($E51))</formula>
    </cfRule>
    <cfRule type="expression" dxfId="368" priority="74">
      <formula>AND($E51 &lt; 0, ISNUMBER($E51))</formula>
    </cfRule>
  </conditionalFormatting>
  <conditionalFormatting sqref="D49:F50 E61:F61">
    <cfRule type="expression" dxfId="367" priority="65">
      <formula>$E$61&gt;0</formula>
    </cfRule>
    <cfRule type="expression" dxfId="366" priority="66">
      <formula>$E$61&lt;0</formula>
    </cfRule>
  </conditionalFormatting>
  <conditionalFormatting sqref="G49:I50 H61:I61">
    <cfRule type="expression" dxfId="365" priority="63">
      <formula>$H$61&gt;0</formula>
    </cfRule>
    <cfRule type="expression" dxfId="364" priority="64">
      <formula>$H$61&lt;0</formula>
    </cfRule>
  </conditionalFormatting>
  <conditionalFormatting sqref="J49:L50 K61:L61">
    <cfRule type="expression" dxfId="363" priority="61">
      <formula>$K$61&gt;0</formula>
    </cfRule>
    <cfRule type="expression" dxfId="362" priority="62">
      <formula>$K$61&lt;0</formula>
    </cfRule>
  </conditionalFormatting>
  <conditionalFormatting sqref="M49:O50 N61:O61">
    <cfRule type="expression" dxfId="361" priority="59">
      <formula>$N$61&gt;0</formula>
    </cfRule>
    <cfRule type="expression" dxfId="360" priority="60">
      <formula>$N$61&lt;0</formula>
    </cfRule>
  </conditionalFormatting>
  <conditionalFormatting sqref="A68:O77">
    <cfRule type="expression" dxfId="359" priority="51">
      <formula>AND($N68 &gt; 0, ISNUMBER($N68))</formula>
    </cfRule>
    <cfRule type="expression" dxfId="358" priority="52">
      <formula>AND($N68 &lt; 0, ISNUMBER($N68))</formula>
    </cfRule>
    <cfRule type="expression" dxfId="357" priority="53">
      <formula>AND($K68 &gt; 0, ISNUMBER($K68))</formula>
    </cfRule>
    <cfRule type="expression" dxfId="356" priority="54">
      <formula>AND($K68 &lt; 0, ISNUMBER($K68))</formula>
    </cfRule>
    <cfRule type="expression" dxfId="355" priority="55">
      <formula>AND($H68 &gt; 0, ISNUMBER($H68))</formula>
    </cfRule>
    <cfRule type="expression" dxfId="354" priority="56">
      <formula>AND($H68 &lt; 0, ISNUMBER($H68))</formula>
    </cfRule>
    <cfRule type="expression" dxfId="353" priority="57">
      <formula>AND($E68 &gt; 0, ISNUMBER($E68))</formula>
    </cfRule>
    <cfRule type="expression" dxfId="352" priority="58">
      <formula>AND($E68 &lt; 0, ISNUMBER($E68))</formula>
    </cfRule>
  </conditionalFormatting>
  <conditionalFormatting sqref="D66:F67 E78:F78">
    <cfRule type="expression" dxfId="351" priority="49">
      <formula>$E$78&gt;0</formula>
    </cfRule>
    <cfRule type="expression" dxfId="350" priority="50">
      <formula>$E$78&lt;0</formula>
    </cfRule>
  </conditionalFormatting>
  <conditionalFormatting sqref="G66:I67 H78:I78">
    <cfRule type="expression" dxfId="349" priority="47">
      <formula>$H$78&gt;0</formula>
    </cfRule>
    <cfRule type="expression" dxfId="348" priority="48">
      <formula>$H$78&lt;0</formula>
    </cfRule>
  </conditionalFormatting>
  <conditionalFormatting sqref="J66:L67 K78:L78">
    <cfRule type="expression" dxfId="347" priority="45">
      <formula>$K$78&gt;0</formula>
    </cfRule>
    <cfRule type="expression" dxfId="346" priority="46">
      <formula>$K$78&lt;0</formula>
    </cfRule>
  </conditionalFormatting>
  <conditionalFormatting sqref="M66:O67 N78:O78">
    <cfRule type="expression" dxfId="345" priority="43">
      <formula>$N$78&gt;0</formula>
    </cfRule>
    <cfRule type="expression" dxfId="344" priority="44">
      <formula>$N$78&lt;0</formula>
    </cfRule>
  </conditionalFormatting>
  <conditionalFormatting sqref="A85:O94">
    <cfRule type="expression" dxfId="343" priority="35">
      <formula>AND($N85 &gt; 0, ISNUMBER($N85))</formula>
    </cfRule>
    <cfRule type="expression" dxfId="342" priority="36">
      <formula>AND($N85 &lt; 0, ISNUMBER($N85))</formula>
    </cfRule>
    <cfRule type="expression" dxfId="341" priority="37">
      <formula>AND($K85 &gt; 0, ISNUMBER($K85))</formula>
    </cfRule>
    <cfRule type="expression" dxfId="340" priority="38">
      <formula>AND($K85 &lt; 0, ISNUMBER($K85))</formula>
    </cfRule>
    <cfRule type="expression" dxfId="339" priority="39">
      <formula>AND($H85 &gt; 0, ISNUMBER($H85))</formula>
    </cfRule>
    <cfRule type="expression" dxfId="338" priority="40">
      <formula>AND($H85 &lt; 0, ISNUMBER($H85))</formula>
    </cfRule>
    <cfRule type="expression" dxfId="337" priority="41">
      <formula>AND($E85 &gt; 0, ISNUMBER($E85))</formula>
    </cfRule>
    <cfRule type="expression" dxfId="336" priority="42">
      <formula>AND($E85 &lt; 0, ISNUMBER($E85))</formula>
    </cfRule>
  </conditionalFormatting>
  <conditionalFormatting sqref="D83:F84 E95:F95">
    <cfRule type="expression" dxfId="335" priority="33">
      <formula>$E$95&gt;0</formula>
    </cfRule>
    <cfRule type="expression" dxfId="334" priority="34">
      <formula>$E$95&lt;0</formula>
    </cfRule>
  </conditionalFormatting>
  <conditionalFormatting sqref="G83:I84 H95:I95">
    <cfRule type="expression" dxfId="333" priority="31">
      <formula>$H$95&gt;0</formula>
    </cfRule>
    <cfRule type="expression" dxfId="332" priority="32">
      <formula>$H$95&lt;0</formula>
    </cfRule>
  </conditionalFormatting>
  <conditionalFormatting sqref="J83:L84 K95:L95">
    <cfRule type="expression" dxfId="331" priority="29">
      <formula>$K$95&gt;0</formula>
    </cfRule>
    <cfRule type="expression" dxfId="330" priority="30">
      <formula>$K$95&lt;0</formula>
    </cfRule>
  </conditionalFormatting>
  <conditionalFormatting sqref="M83:O84 N95:O95">
    <cfRule type="expression" dxfId="329" priority="27">
      <formula>$N$95&gt;0</formula>
    </cfRule>
    <cfRule type="expression" dxfId="328" priority="28">
      <formula>$N$95&lt;0</formula>
    </cfRule>
  </conditionalFormatting>
  <conditionalFormatting sqref="A102:O111">
    <cfRule type="expression" dxfId="327" priority="19">
      <formula>AND($N102 &gt; 0, ISNUMBER($N102))</formula>
    </cfRule>
    <cfRule type="expression" dxfId="326" priority="20">
      <formula>AND($N102 &lt; 0, ISNUMBER($N102))</formula>
    </cfRule>
    <cfRule type="expression" dxfId="325" priority="21">
      <formula>AND($K102 &gt; 0, ISNUMBER($K102))</formula>
    </cfRule>
    <cfRule type="expression" dxfId="324" priority="22">
      <formula>AND($K102 &lt; 0, ISNUMBER($K102))</formula>
    </cfRule>
    <cfRule type="expression" dxfId="323" priority="23">
      <formula>AND($H102 &gt; 0, ISNUMBER($H102))</formula>
    </cfRule>
    <cfRule type="expression" dxfId="322" priority="24">
      <formula>AND($H102 &lt; 0, ISNUMBER($H102))</formula>
    </cfRule>
    <cfRule type="expression" dxfId="321" priority="25">
      <formula>AND($E102 &gt; 0, ISNUMBER($E102))</formula>
    </cfRule>
    <cfRule type="expression" dxfId="320" priority="26">
      <formula>AND($E102 &lt; 0, ISNUMBER($E102))</formula>
    </cfRule>
  </conditionalFormatting>
  <conditionalFormatting sqref="D100:F101 E112:F112">
    <cfRule type="expression" dxfId="319" priority="17">
      <formula>$E$112&gt;0</formula>
    </cfRule>
    <cfRule type="expression" dxfId="318" priority="18">
      <formula>$E$112&lt;0</formula>
    </cfRule>
  </conditionalFormatting>
  <conditionalFormatting sqref="G100:I101 H112:I112">
    <cfRule type="expression" dxfId="317" priority="15">
      <formula>$H$112&gt;0</formula>
    </cfRule>
    <cfRule type="expression" dxfId="316" priority="16">
      <formula>$H$112&lt;0</formula>
    </cfRule>
  </conditionalFormatting>
  <conditionalFormatting sqref="J100:L101 K112:L112">
    <cfRule type="expression" dxfId="315" priority="13">
      <formula>$K$112&gt;0</formula>
    </cfRule>
    <cfRule type="expression" dxfId="314" priority="14">
      <formula>$K$112&lt;0</formula>
    </cfRule>
  </conditionalFormatting>
  <conditionalFormatting sqref="M100:O101 N112:O112">
    <cfRule type="expression" dxfId="313" priority="11">
      <formula>$N$112&gt;0</formula>
    </cfRule>
    <cfRule type="expression" dxfId="312" priority="12">
      <formula>$N$112&lt;0</formula>
    </cfRule>
  </conditionalFormatting>
  <conditionalFormatting sqref="G2:I3">
    <cfRule type="expression" dxfId="3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topLeftCell="A4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189"/>
      <c r="I9" s="190"/>
      <c r="J9" s="1" t="s">
        <v>28</v>
      </c>
      <c r="K9" s="197" t="s">
        <v>268</v>
      </c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35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30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81"/>
      <c r="R16" s="182"/>
    </row>
    <row r="17" spans="1:18" ht="17.25" customHeight="1">
      <c r="A17" s="39" t="s">
        <v>241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179"/>
      <c r="R17" s="180"/>
    </row>
    <row r="18" spans="1:18" ht="17.25" customHeight="1">
      <c r="A18" s="40" t="s">
        <v>240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179"/>
      <c r="R18" s="180"/>
    </row>
    <row r="19" spans="1:18" ht="17.25" customHeight="1">
      <c r="A19" s="40" t="s">
        <v>259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179"/>
      <c r="R19" s="180"/>
    </row>
    <row r="20" spans="1:18" ht="17.25" customHeight="1">
      <c r="A20" s="40" t="s">
        <v>200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179"/>
      <c r="R20" s="180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179"/>
      <c r="R21" s="180"/>
    </row>
    <row r="22" spans="1:18" ht="17.25" customHeight="1">
      <c r="A22" s="40" t="s">
        <v>238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179"/>
      <c r="R22" s="180"/>
    </row>
    <row r="23" spans="1:18" ht="17.25" customHeight="1">
      <c r="A23" s="40" t="s">
        <v>161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179"/>
      <c r="R23" s="180"/>
    </row>
    <row r="24" spans="1:18" ht="17.25" customHeight="1">
      <c r="A24" s="40" t="s">
        <v>143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179"/>
      <c r="R24" s="180"/>
    </row>
    <row r="25" spans="1:18" ht="17.25" customHeight="1">
      <c r="A25" s="40" t="s">
        <v>245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181"/>
      <c r="R25" s="182"/>
    </row>
    <row r="26" spans="1:18" ht="17.25" customHeight="1" thickBot="1">
      <c r="A26" s="42" t="s">
        <v>269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30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53"/>
      <c r="R33" s="154"/>
    </row>
    <row r="34" spans="1:18" ht="17.25" customHeight="1">
      <c r="A34" s="9" t="s">
        <v>174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51"/>
      <c r="R34" s="152"/>
    </row>
    <row r="35" spans="1:18" ht="17.25" customHeight="1">
      <c r="A35" s="11" t="s">
        <v>168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51"/>
      <c r="R35" s="152"/>
    </row>
    <row r="36" spans="1:18" ht="17.25" customHeight="1">
      <c r="A36" s="11" t="s">
        <v>116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51"/>
      <c r="R36" s="152"/>
    </row>
    <row r="37" spans="1:18" ht="17.25" customHeight="1">
      <c r="A37" s="11" t="s">
        <v>199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51"/>
      <c r="R37" s="152"/>
    </row>
    <row r="38" spans="1:18" ht="17.25" customHeight="1">
      <c r="A38" s="8" t="s">
        <v>183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51"/>
      <c r="R38" s="152"/>
    </row>
    <row r="39" spans="1:18" ht="17.25" customHeight="1">
      <c r="A39" s="11" t="s">
        <v>159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51"/>
      <c r="R39" s="152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51"/>
      <c r="R40" s="152"/>
    </row>
    <row r="41" spans="1:18" ht="17.25" customHeight="1">
      <c r="A41" s="11" t="s">
        <v>103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51"/>
      <c r="R41" s="152"/>
    </row>
    <row r="42" spans="1:18" ht="17.25" customHeight="1">
      <c r="A42" s="11" t="s">
        <v>155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53"/>
      <c r="R42" s="154"/>
    </row>
    <row r="43" spans="1:18" ht="17.25" customHeight="1" thickBot="1">
      <c r="A43" s="13" t="s">
        <v>135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30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53"/>
      <c r="R50" s="154"/>
    </row>
    <row r="51" spans="1:18" ht="17.25" customHeight="1">
      <c r="A51" s="9" t="s">
        <v>158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51"/>
      <c r="R51" s="152"/>
    </row>
    <row r="52" spans="1:18" ht="17.25" customHeight="1">
      <c r="A52" s="11" t="s">
        <v>140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51"/>
      <c r="R52" s="152"/>
    </row>
    <row r="53" spans="1:18" ht="17.25" customHeight="1">
      <c r="A53" s="11" t="s">
        <v>171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51"/>
      <c r="R53" s="152"/>
    </row>
    <row r="54" spans="1:18" ht="17.25" customHeight="1">
      <c r="A54" s="11" t="s">
        <v>186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51"/>
      <c r="R54" s="152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51"/>
      <c r="R55" s="152"/>
    </row>
    <row r="56" spans="1:18" ht="17.25" customHeight="1">
      <c r="A56" s="11" t="s">
        <v>153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30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53"/>
      <c r="R67" s="154"/>
    </row>
    <row r="68" spans="1:18" ht="17.25" customHeight="1">
      <c r="A68" s="9" t="s">
        <v>200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51"/>
      <c r="R68" s="152"/>
    </row>
    <row r="69" spans="1:18" ht="17.25" customHeight="1">
      <c r="A69" s="11" t="s">
        <v>161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51"/>
      <c r="R69" s="152"/>
    </row>
    <row r="70" spans="1:18" ht="17.25" customHeight="1">
      <c r="A70" s="11" t="s">
        <v>143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51"/>
      <c r="R70" s="152"/>
    </row>
    <row r="71" spans="1:18" ht="17.25" customHeight="1">
      <c r="A71" s="11" t="s">
        <v>151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51"/>
      <c r="R71" s="152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51"/>
      <c r="R72" s="152"/>
    </row>
    <row r="73" spans="1:18" ht="17.25" customHeight="1">
      <c r="A73" s="11" t="s">
        <v>146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51"/>
      <c r="R73" s="152"/>
    </row>
    <row r="74" spans="1:18" ht="17.25" customHeight="1">
      <c r="A74" s="11" t="s">
        <v>132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51"/>
      <c r="R74" s="152"/>
    </row>
    <row r="75" spans="1:18" ht="17.25" customHeight="1">
      <c r="A75" s="11" t="s">
        <v>172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51"/>
      <c r="R75" s="152"/>
    </row>
    <row r="76" spans="1:18" ht="17.25" customHeight="1">
      <c r="A76" s="11" t="s">
        <v>142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53"/>
      <c r="R76" s="154"/>
    </row>
    <row r="77" spans="1:18" ht="17.25" customHeight="1" thickBot="1">
      <c r="A77" s="13" t="s">
        <v>148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30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53"/>
      <c r="R84" s="154"/>
    </row>
    <row r="85" spans="1:18" ht="17.25" customHeight="1">
      <c r="A85" s="9" t="s">
        <v>138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51"/>
      <c r="R85" s="152"/>
    </row>
    <row r="86" spans="1:18" ht="17.25" customHeight="1">
      <c r="A86" s="11" t="s">
        <v>215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51"/>
      <c r="R86" s="152"/>
    </row>
    <row r="87" spans="1:18" ht="17.25" customHeight="1">
      <c r="A87" s="11" t="s">
        <v>156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51"/>
      <c r="R87" s="152"/>
    </row>
    <row r="88" spans="1:18" ht="17.25" customHeight="1">
      <c r="A88" s="11" t="s">
        <v>149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51"/>
      <c r="R88" s="152"/>
    </row>
    <row r="89" spans="1:18" ht="17.25" customHeight="1">
      <c r="A89" s="8" t="s">
        <v>134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51"/>
      <c r="R89" s="152"/>
    </row>
    <row r="90" spans="1:18" ht="17.25" customHeight="1">
      <c r="A90" s="11" t="s">
        <v>164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51"/>
      <c r="R90" s="152"/>
    </row>
    <row r="91" spans="1:18" ht="17.25" customHeight="1">
      <c r="A91" s="11" t="s">
        <v>167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51"/>
      <c r="R91" s="152"/>
    </row>
    <row r="92" spans="1:18" ht="17.25" customHeight="1">
      <c r="A92" s="11" t="s">
        <v>122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51"/>
      <c r="R92" s="152"/>
    </row>
    <row r="93" spans="1:18" ht="17.25" customHeight="1">
      <c r="A93" s="11" t="s">
        <v>124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53"/>
      <c r="R93" s="154"/>
    </row>
    <row r="94" spans="1:18" ht="17.25" customHeight="1" thickBot="1">
      <c r="A94" s="13" t="s">
        <v>203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30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53"/>
      <c r="R101" s="154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51"/>
      <c r="R102" s="152"/>
    </row>
    <row r="103" spans="1:18" ht="17.25" customHeight="1">
      <c r="A103" s="11" t="s">
        <v>113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51"/>
      <c r="R103" s="152"/>
    </row>
    <row r="104" spans="1:18" ht="17.25" customHeight="1">
      <c r="A104" s="11" t="s">
        <v>241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51"/>
      <c r="R104" s="152"/>
    </row>
    <row r="105" spans="1:18" ht="17.25" customHeight="1">
      <c r="A105" s="11" t="s">
        <v>240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51"/>
      <c r="R105" s="152"/>
    </row>
    <row r="106" spans="1:18" ht="17.25" customHeight="1">
      <c r="A106" s="8" t="s">
        <v>259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51"/>
      <c r="R106" s="152"/>
    </row>
    <row r="107" spans="1:18" ht="17.25" customHeight="1">
      <c r="A107" s="11" t="s">
        <v>200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51"/>
      <c r="R107" s="152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51"/>
      <c r="R108" s="152"/>
    </row>
    <row r="109" spans="1:18" ht="17.25" customHeight="1">
      <c r="A109" s="11" t="s">
        <v>238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51"/>
      <c r="R109" s="152"/>
    </row>
    <row r="110" spans="1:18" ht="17.25" customHeight="1">
      <c r="A110" s="11" t="s">
        <v>161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53"/>
      <c r="R110" s="154"/>
    </row>
    <row r="111" spans="1:18" ht="17.25" customHeight="1" thickBot="1">
      <c r="A111" s="13" t="s">
        <v>143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01" priority="89">
      <formula>$E$27&gt;0</formula>
    </cfRule>
    <cfRule type="expression" dxfId="300" priority="90">
      <formula>$E$27&lt;0</formula>
    </cfRule>
  </conditionalFormatting>
  <conditionalFormatting sqref="G15:I16 H27:I27">
    <cfRule type="expression" dxfId="299" priority="87">
      <formula>$H$27&gt;0</formula>
    </cfRule>
    <cfRule type="expression" dxfId="298" priority="88">
      <formula>$H$27&lt;0</formula>
    </cfRule>
  </conditionalFormatting>
  <conditionalFormatting sqref="J15:L16 K27:L27">
    <cfRule type="expression" dxfId="297" priority="85">
      <formula>$K$27&gt;0</formula>
    </cfRule>
    <cfRule type="expression" dxfId="296" priority="86">
      <formula>$K$27&lt;0</formula>
    </cfRule>
  </conditionalFormatting>
  <conditionalFormatting sqref="M15:O16 N27:O27">
    <cfRule type="expression" dxfId="295" priority="83">
      <formula>$N$27&gt;0</formula>
    </cfRule>
    <cfRule type="expression" dxfId="294" priority="84">
      <formula>$N$27&lt;0</formula>
    </cfRule>
  </conditionalFormatting>
  <conditionalFormatting sqref="A17:O26 A34:O43">
    <cfRule type="expression" dxfId="293" priority="91">
      <formula>AND($N17 &gt; 0, ISNUMBER($N17))</formula>
    </cfRule>
    <cfRule type="expression" dxfId="292" priority="92">
      <formula>AND($N17 &lt; 0, ISNUMBER($N17))</formula>
    </cfRule>
    <cfRule type="expression" dxfId="291" priority="93">
      <formula>AND($K17 &gt; 0, ISNUMBER($K17))</formula>
    </cfRule>
    <cfRule type="expression" dxfId="290" priority="94">
      <formula>AND($K17 &lt; 0, ISNUMBER($K17))</formula>
    </cfRule>
    <cfRule type="expression" dxfId="289" priority="95">
      <formula>AND($H17 &gt; 0, ISNUMBER($H17))</formula>
    </cfRule>
    <cfRule type="expression" dxfId="288" priority="96">
      <formula>AND($H17 &lt; 0, ISNUMBER($H17))</formula>
    </cfRule>
    <cfRule type="expression" dxfId="287" priority="97">
      <formula>AND($E17 &gt; 0, ISNUMBER($E17))</formula>
    </cfRule>
    <cfRule type="expression" dxfId="286" priority="98">
      <formula>AND($E17 &lt; 0, ISNUMBER($E17))</formula>
    </cfRule>
  </conditionalFormatting>
  <conditionalFormatting sqref="D32:F33 E44:F44">
    <cfRule type="expression" dxfId="285" priority="81">
      <formula>$E$44&gt;0</formula>
    </cfRule>
    <cfRule type="expression" dxfId="284" priority="82">
      <formula>$E$44&lt;0</formula>
    </cfRule>
  </conditionalFormatting>
  <conditionalFormatting sqref="G32:I33 H44:I44">
    <cfRule type="expression" dxfId="283" priority="79">
      <formula>$H$44&gt;0</formula>
    </cfRule>
    <cfRule type="expression" dxfId="282" priority="80">
      <formula>$H$44&lt;0</formula>
    </cfRule>
  </conditionalFormatting>
  <conditionalFormatting sqref="J32:L33 K44:L44">
    <cfRule type="expression" dxfId="281" priority="77">
      <formula>$K$44&gt;0</formula>
    </cfRule>
    <cfRule type="expression" dxfId="280" priority="78">
      <formula>$K$44&lt;0</formula>
    </cfRule>
  </conditionalFormatting>
  <conditionalFormatting sqref="M32:O33 N44:O44">
    <cfRule type="expression" dxfId="279" priority="75">
      <formula>$N$44&gt;0</formula>
    </cfRule>
    <cfRule type="expression" dxfId="278" priority="76">
      <formula>$N$44&lt;0</formula>
    </cfRule>
  </conditionalFormatting>
  <conditionalFormatting sqref="A51:O60">
    <cfRule type="expression" dxfId="277" priority="67">
      <formula>AND($N51 &gt; 0, ISNUMBER($N51))</formula>
    </cfRule>
    <cfRule type="expression" dxfId="276" priority="68">
      <formula>AND($N51 &lt; 0, ISNUMBER($N51))</formula>
    </cfRule>
    <cfRule type="expression" dxfId="275" priority="69">
      <formula>AND($K51 &gt; 0, ISNUMBER($K51))</formula>
    </cfRule>
    <cfRule type="expression" dxfId="274" priority="70">
      <formula>AND($K51 &lt; 0, ISNUMBER($K51))</formula>
    </cfRule>
    <cfRule type="expression" dxfId="273" priority="71">
      <formula>AND($H51 &gt; 0, ISNUMBER($H51))</formula>
    </cfRule>
    <cfRule type="expression" dxfId="272" priority="72">
      <formula>AND($H51 &lt; 0, ISNUMBER($H51))</formula>
    </cfRule>
    <cfRule type="expression" dxfId="271" priority="73">
      <formula>AND($E51 &gt; 0, ISNUMBER($E51))</formula>
    </cfRule>
    <cfRule type="expression" dxfId="270" priority="74">
      <formula>AND($E51 &lt; 0, ISNUMBER($E51))</formula>
    </cfRule>
  </conditionalFormatting>
  <conditionalFormatting sqref="D49:F50 E61:F61">
    <cfRule type="expression" dxfId="269" priority="65">
      <formula>$E$61&gt;0</formula>
    </cfRule>
    <cfRule type="expression" dxfId="268" priority="66">
      <formula>$E$61&lt;0</formula>
    </cfRule>
  </conditionalFormatting>
  <conditionalFormatting sqref="G49:I50 H61:I61">
    <cfRule type="expression" dxfId="267" priority="63">
      <formula>$H$61&gt;0</formula>
    </cfRule>
    <cfRule type="expression" dxfId="266" priority="64">
      <formula>$H$61&lt;0</formula>
    </cfRule>
  </conditionalFormatting>
  <conditionalFormatting sqref="J49:L50 K61:L61">
    <cfRule type="expression" dxfId="265" priority="61">
      <formula>$K$61&gt;0</formula>
    </cfRule>
    <cfRule type="expression" dxfId="264" priority="62">
      <formula>$K$61&lt;0</formula>
    </cfRule>
  </conditionalFormatting>
  <conditionalFormatting sqref="M49:O50 N61:O61">
    <cfRule type="expression" dxfId="263" priority="59">
      <formula>$N$61&gt;0</formula>
    </cfRule>
    <cfRule type="expression" dxfId="262" priority="60">
      <formula>$N$61&lt;0</formula>
    </cfRule>
  </conditionalFormatting>
  <conditionalFormatting sqref="A68:O77">
    <cfRule type="expression" dxfId="261" priority="51">
      <formula>AND($N68 &gt; 0, ISNUMBER($N68))</formula>
    </cfRule>
    <cfRule type="expression" dxfId="260" priority="52">
      <formula>AND($N68 &lt; 0, ISNUMBER($N68))</formula>
    </cfRule>
    <cfRule type="expression" dxfId="259" priority="53">
      <formula>AND($K68 &gt; 0, ISNUMBER($K68))</formula>
    </cfRule>
    <cfRule type="expression" dxfId="258" priority="54">
      <formula>AND($K68 &lt; 0, ISNUMBER($K68))</formula>
    </cfRule>
    <cfRule type="expression" dxfId="257" priority="55">
      <formula>AND($H68 &gt; 0, ISNUMBER($H68))</formula>
    </cfRule>
    <cfRule type="expression" dxfId="256" priority="56">
      <formula>AND($H68 &lt; 0, ISNUMBER($H68))</formula>
    </cfRule>
    <cfRule type="expression" dxfId="255" priority="57">
      <formula>AND($E68 &gt; 0, ISNUMBER($E68))</formula>
    </cfRule>
    <cfRule type="expression" dxfId="254" priority="58">
      <formula>AND($E68 &lt; 0, ISNUMBER($E68))</formula>
    </cfRule>
  </conditionalFormatting>
  <conditionalFormatting sqref="D66:F67 E78:F78">
    <cfRule type="expression" dxfId="253" priority="49">
      <formula>$E$78&gt;0</formula>
    </cfRule>
    <cfRule type="expression" dxfId="252" priority="50">
      <formula>$E$78&lt;0</formula>
    </cfRule>
  </conditionalFormatting>
  <conditionalFormatting sqref="G66:I67 H78:I78">
    <cfRule type="expression" dxfId="251" priority="47">
      <formula>$H$78&gt;0</formula>
    </cfRule>
    <cfRule type="expression" dxfId="250" priority="48">
      <formula>$H$78&lt;0</formula>
    </cfRule>
  </conditionalFormatting>
  <conditionalFormatting sqref="J66:L67 K78:L78">
    <cfRule type="expression" dxfId="249" priority="45">
      <formula>$K$78&gt;0</formula>
    </cfRule>
    <cfRule type="expression" dxfId="248" priority="46">
      <formula>$K$78&lt;0</formula>
    </cfRule>
  </conditionalFormatting>
  <conditionalFormatting sqref="M66:O67 N78:O78">
    <cfRule type="expression" dxfId="247" priority="43">
      <formula>$N$78&gt;0</formula>
    </cfRule>
    <cfRule type="expression" dxfId="246" priority="44">
      <formula>$N$78&lt;0</formula>
    </cfRule>
  </conditionalFormatting>
  <conditionalFormatting sqref="A85:O94">
    <cfRule type="expression" dxfId="245" priority="35">
      <formula>AND($N85 &gt; 0, ISNUMBER($N85))</formula>
    </cfRule>
    <cfRule type="expression" dxfId="244" priority="36">
      <formula>AND($N85 &lt; 0, ISNUMBER($N85))</formula>
    </cfRule>
    <cfRule type="expression" dxfId="243" priority="37">
      <formula>AND($K85 &gt; 0, ISNUMBER($K85))</formula>
    </cfRule>
    <cfRule type="expression" dxfId="242" priority="38">
      <formula>AND($K85 &lt; 0, ISNUMBER($K85))</formula>
    </cfRule>
    <cfRule type="expression" dxfId="241" priority="39">
      <formula>AND($H85 &gt; 0, ISNUMBER($H85))</formula>
    </cfRule>
    <cfRule type="expression" dxfId="240" priority="40">
      <formula>AND($H85 &lt; 0, ISNUMBER($H85))</formula>
    </cfRule>
    <cfRule type="expression" dxfId="239" priority="41">
      <formula>AND($E85 &gt; 0, ISNUMBER($E85))</formula>
    </cfRule>
    <cfRule type="expression" dxfId="238" priority="42">
      <formula>AND($E85 &lt; 0, ISNUMBER($E85))</formula>
    </cfRule>
  </conditionalFormatting>
  <conditionalFormatting sqref="D83:F84 E95:F95">
    <cfRule type="expression" dxfId="237" priority="33">
      <formula>$E$95&gt;0</formula>
    </cfRule>
    <cfRule type="expression" dxfId="236" priority="34">
      <formula>$E$95&lt;0</formula>
    </cfRule>
  </conditionalFormatting>
  <conditionalFormatting sqref="G83:I84 H95:I95">
    <cfRule type="expression" dxfId="235" priority="31">
      <formula>$H$95&gt;0</formula>
    </cfRule>
    <cfRule type="expression" dxfId="234" priority="32">
      <formula>$H$95&lt;0</formula>
    </cfRule>
  </conditionalFormatting>
  <conditionalFormatting sqref="J83:L84 K95:L95">
    <cfRule type="expression" dxfId="233" priority="29">
      <formula>$K$95&gt;0</formula>
    </cfRule>
    <cfRule type="expression" dxfId="232" priority="30">
      <formula>$K$95&lt;0</formula>
    </cfRule>
  </conditionalFormatting>
  <conditionalFormatting sqref="M83:O84 N95:O95">
    <cfRule type="expression" dxfId="231" priority="27">
      <formula>$N$95&gt;0</formula>
    </cfRule>
    <cfRule type="expression" dxfId="230" priority="28">
      <formula>$N$95&lt;0</formula>
    </cfRule>
  </conditionalFormatting>
  <conditionalFormatting sqref="A102:O111">
    <cfRule type="expression" dxfId="229" priority="19">
      <formula>AND($N102 &gt; 0, ISNUMBER($N102))</formula>
    </cfRule>
    <cfRule type="expression" dxfId="228" priority="20">
      <formula>AND($N102 &lt; 0, ISNUMBER($N102))</formula>
    </cfRule>
    <cfRule type="expression" dxfId="227" priority="21">
      <formula>AND($K102 &gt; 0, ISNUMBER($K102))</formula>
    </cfRule>
    <cfRule type="expression" dxfId="226" priority="22">
      <formula>AND($K102 &lt; 0, ISNUMBER($K102))</formula>
    </cfRule>
    <cfRule type="expression" dxfId="225" priority="23">
      <formula>AND($H102 &gt; 0, ISNUMBER($H102))</formula>
    </cfRule>
    <cfRule type="expression" dxfId="224" priority="24">
      <formula>AND($H102 &lt; 0, ISNUMBER($H102))</formula>
    </cfRule>
    <cfRule type="expression" dxfId="223" priority="25">
      <formula>AND($E102 &gt; 0, ISNUMBER($E102))</formula>
    </cfRule>
    <cfRule type="expression" dxfId="222" priority="26">
      <formula>AND($E102 &lt; 0, ISNUMBER($E102))</formula>
    </cfRule>
  </conditionalFormatting>
  <conditionalFormatting sqref="D100:F101 E112:F112">
    <cfRule type="expression" dxfId="221" priority="17">
      <formula>$E$112&gt;0</formula>
    </cfRule>
    <cfRule type="expression" dxfId="220" priority="18">
      <formula>$E$112&lt;0</formula>
    </cfRule>
  </conditionalFormatting>
  <conditionalFormatting sqref="G100:I101 H112:I112">
    <cfRule type="expression" dxfId="219" priority="15">
      <formula>$H$112&gt;0</formula>
    </cfRule>
    <cfRule type="expression" dxfId="218" priority="16">
      <formula>$H$112&lt;0</formula>
    </cfRule>
  </conditionalFormatting>
  <conditionalFormatting sqref="J100:L101 K112:L112">
    <cfRule type="expression" dxfId="217" priority="13">
      <formula>$K$112&gt;0</formula>
    </cfRule>
    <cfRule type="expression" dxfId="216" priority="14">
      <formula>$K$112&lt;0</formula>
    </cfRule>
  </conditionalFormatting>
  <conditionalFormatting sqref="M100:O101 N112:O112">
    <cfRule type="expression" dxfId="215" priority="11">
      <formula>$N$112&gt;0</formula>
    </cfRule>
    <cfRule type="expression" dxfId="214" priority="12">
      <formula>$N$112&lt;0</formula>
    </cfRule>
  </conditionalFormatting>
  <conditionalFormatting sqref="G2:I3">
    <cfRule type="expression" dxfId="21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189"/>
      <c r="I9" s="190"/>
      <c r="J9" s="1" t="s">
        <v>28</v>
      </c>
      <c r="K9" s="197" t="s">
        <v>268</v>
      </c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42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37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181"/>
      <c r="R16" s="182"/>
    </row>
    <row r="17" spans="1:18" ht="17.25" customHeight="1">
      <c r="A17" s="39" t="s">
        <v>241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179"/>
      <c r="R17" s="180"/>
    </row>
    <row r="18" spans="1:18" ht="17.25" customHeight="1">
      <c r="A18" s="40" t="s">
        <v>255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179"/>
      <c r="R18" s="180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179"/>
      <c r="R19" s="180"/>
    </row>
    <row r="20" spans="1:18" ht="17.25" customHeight="1">
      <c r="A20" s="40" t="s">
        <v>292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179"/>
      <c r="R20" s="180"/>
    </row>
    <row r="21" spans="1:18" ht="17.25" customHeight="1">
      <c r="A21" s="41" t="s">
        <v>238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179"/>
      <c r="R21" s="180"/>
    </row>
    <row r="22" spans="1:18" ht="17.25" customHeight="1">
      <c r="A22" s="40" t="s">
        <v>200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179"/>
      <c r="R22" s="180"/>
    </row>
    <row r="23" spans="1:18" ht="17.25" customHeight="1">
      <c r="A23" s="40" t="s">
        <v>275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179"/>
      <c r="R23" s="180"/>
    </row>
    <row r="24" spans="1:18" ht="17.25" customHeight="1">
      <c r="A24" s="40" t="s">
        <v>145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179"/>
      <c r="R24" s="180"/>
    </row>
    <row r="25" spans="1:18" ht="17.25" customHeight="1">
      <c r="A25" s="40" t="s">
        <v>357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181"/>
      <c r="R25" s="182"/>
    </row>
    <row r="26" spans="1:18" ht="17.25" customHeight="1" thickBot="1">
      <c r="A26" s="42" t="s">
        <v>246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181"/>
      <c r="R26" s="182"/>
    </row>
    <row r="27" spans="1:18" ht="17.25" customHeight="1" thickBot="1">
      <c r="A27" s="57" t="s">
        <v>32</v>
      </c>
      <c r="B27" s="157">
        <v>100000</v>
      </c>
      <c r="C27" s="158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37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53"/>
      <c r="R33" s="154"/>
    </row>
    <row r="34" spans="1:18" ht="17.25" customHeight="1">
      <c r="A34" s="9" t="s">
        <v>159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151"/>
      <c r="R34" s="152"/>
    </row>
    <row r="35" spans="1:18" ht="17.25" customHeight="1">
      <c r="A35" s="11" t="s">
        <v>183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151"/>
      <c r="R35" s="152"/>
    </row>
    <row r="36" spans="1:18" ht="17.25" customHeight="1">
      <c r="A36" s="11" t="s">
        <v>199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151"/>
      <c r="R36" s="152"/>
    </row>
    <row r="37" spans="1:18" ht="17.25" customHeight="1">
      <c r="A37" s="11" t="s">
        <v>135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151"/>
      <c r="R37" s="152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151"/>
      <c r="R38" s="152"/>
    </row>
    <row r="39" spans="1:18" ht="17.25" customHeight="1">
      <c r="A39" s="11" t="s">
        <v>103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151"/>
      <c r="R39" s="152"/>
    </row>
    <row r="40" spans="1:18" ht="17.25" customHeight="1">
      <c r="A40" s="11" t="s">
        <v>155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151"/>
      <c r="R40" s="152"/>
    </row>
    <row r="41" spans="1:18" ht="17.25" customHeight="1">
      <c r="A41" s="11" t="s">
        <v>168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151"/>
      <c r="R41" s="152"/>
    </row>
    <row r="42" spans="1:18" ht="17.25" customHeight="1">
      <c r="A42" s="11" t="s">
        <v>116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153"/>
      <c r="R42" s="154"/>
    </row>
    <row r="43" spans="1:18" ht="17.25" customHeight="1" thickBot="1">
      <c r="A43" s="13" t="s">
        <v>174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37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53"/>
      <c r="R50" s="154"/>
    </row>
    <row r="51" spans="1:18" ht="17.25" customHeight="1">
      <c r="A51" s="9" t="s">
        <v>140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151"/>
      <c r="R51" s="152"/>
    </row>
    <row r="52" spans="1:18" ht="17.25" customHeight="1">
      <c r="A52" s="11" t="s">
        <v>186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151"/>
      <c r="R52" s="152"/>
    </row>
    <row r="53" spans="1:18" ht="17.25" customHeight="1">
      <c r="A53" s="11" t="s">
        <v>153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151"/>
      <c r="R53" s="152"/>
    </row>
    <row r="54" spans="1:18" ht="17.25" customHeight="1">
      <c r="A54" s="11" t="s">
        <v>158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151"/>
      <c r="R54" s="152"/>
    </row>
    <row r="55" spans="1:18" ht="17.25" customHeight="1">
      <c r="A55" s="8" t="s">
        <v>171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151"/>
      <c r="R55" s="152"/>
    </row>
    <row r="56" spans="1:18" ht="17.25" customHeight="1">
      <c r="A56" s="11" t="s">
        <v>298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37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53"/>
      <c r="R67" s="154"/>
    </row>
    <row r="68" spans="1:18" ht="17.25" customHeight="1">
      <c r="A68" s="9" t="s">
        <v>207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151"/>
      <c r="R68" s="152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151"/>
      <c r="R69" s="152"/>
    </row>
    <row r="70" spans="1:18" ht="17.25" customHeight="1">
      <c r="A70" s="11" t="s">
        <v>200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151"/>
      <c r="R70" s="152"/>
    </row>
    <row r="71" spans="1:18" ht="17.25" customHeight="1">
      <c r="A71" s="11" t="s">
        <v>145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151"/>
      <c r="R71" s="152"/>
    </row>
    <row r="72" spans="1:18" ht="17.25" customHeight="1">
      <c r="A72" s="8" t="s">
        <v>203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151"/>
      <c r="R72" s="152"/>
    </row>
    <row r="73" spans="1:18" ht="17.25" customHeight="1">
      <c r="A73" s="11" t="s">
        <v>215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151"/>
      <c r="R73" s="152"/>
    </row>
    <row r="74" spans="1:18" ht="17.25" customHeight="1">
      <c r="A74" s="11" t="s">
        <v>130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151"/>
      <c r="R74" s="152"/>
    </row>
    <row r="75" spans="1:18" ht="17.25" customHeight="1">
      <c r="A75" s="11" t="s">
        <v>263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151"/>
      <c r="R75" s="152"/>
    </row>
    <row r="76" spans="1:18" ht="17.25" customHeight="1">
      <c r="A76" s="11" t="s">
        <v>176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153"/>
      <c r="R76" s="154"/>
    </row>
    <row r="77" spans="1:18" ht="17.25" customHeight="1" thickBot="1">
      <c r="A77" s="13" t="s">
        <v>132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37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53"/>
      <c r="R84" s="154"/>
    </row>
    <row r="85" spans="1:18" ht="17.25" customHeight="1">
      <c r="A85" s="9" t="s">
        <v>126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151"/>
      <c r="R85" s="152"/>
    </row>
    <row r="86" spans="1:18" ht="17.25" customHeight="1">
      <c r="A86" s="11" t="s">
        <v>214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151"/>
      <c r="R86" s="152"/>
    </row>
    <row r="87" spans="1:18" ht="17.25" customHeight="1">
      <c r="A87" s="11" t="s">
        <v>161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151"/>
      <c r="R87" s="152"/>
    </row>
    <row r="88" spans="1:18" ht="17.25" customHeight="1">
      <c r="A88" s="11" t="s">
        <v>170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151"/>
      <c r="R88" s="152"/>
    </row>
    <row r="89" spans="1:18" ht="17.25" customHeight="1">
      <c r="A89" s="8" t="s">
        <v>124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151"/>
      <c r="R89" s="152"/>
    </row>
    <row r="90" spans="1:18" ht="17.25" customHeight="1">
      <c r="A90" s="11" t="s">
        <v>160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151"/>
      <c r="R90" s="152"/>
    </row>
    <row r="91" spans="1:18" ht="17.25" customHeight="1">
      <c r="A91" s="11" t="s">
        <v>221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151"/>
      <c r="R91" s="152"/>
    </row>
    <row r="92" spans="1:18" ht="17.25" customHeight="1">
      <c r="A92" s="11" t="s">
        <v>109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151"/>
      <c r="R92" s="152"/>
    </row>
    <row r="93" spans="1:18" ht="17.25" customHeight="1">
      <c r="A93" s="11" t="s">
        <v>149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153"/>
      <c r="R93" s="154"/>
    </row>
    <row r="94" spans="1:18" ht="17.25" customHeight="1" thickBot="1">
      <c r="A94" s="13" t="s">
        <v>107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37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53"/>
      <c r="R101" s="154"/>
    </row>
    <row r="102" spans="1:18" ht="17.25" customHeight="1">
      <c r="A102" s="9" t="s">
        <v>159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151"/>
      <c r="R102" s="152"/>
    </row>
    <row r="103" spans="1:18" ht="17.25" customHeight="1">
      <c r="A103" s="11" t="s">
        <v>207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151"/>
      <c r="R103" s="152"/>
    </row>
    <row r="104" spans="1:18" ht="17.25" customHeight="1">
      <c r="A104" s="11" t="s">
        <v>241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151"/>
      <c r="R104" s="152"/>
    </row>
    <row r="105" spans="1:18" ht="17.25" customHeight="1">
      <c r="A105" s="11" t="s">
        <v>255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151"/>
      <c r="R105" s="152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151"/>
      <c r="R106" s="152"/>
    </row>
    <row r="107" spans="1:18" ht="17.25" customHeight="1">
      <c r="A107" s="11" t="s">
        <v>292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151"/>
      <c r="R107" s="152"/>
    </row>
    <row r="108" spans="1:18" ht="17.25" customHeight="1">
      <c r="A108" s="11" t="s">
        <v>238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151"/>
      <c r="R108" s="152"/>
    </row>
    <row r="109" spans="1:18" ht="17.25" customHeight="1">
      <c r="A109" s="11" t="s">
        <v>200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151"/>
      <c r="R109" s="152"/>
    </row>
    <row r="110" spans="1:18" ht="17.25" customHeight="1">
      <c r="A110" s="11" t="s">
        <v>275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153"/>
      <c r="R110" s="154"/>
    </row>
    <row r="111" spans="1:18" ht="17.25" customHeight="1" thickBot="1">
      <c r="A111" s="13" t="s">
        <v>145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155"/>
      <c r="R112" s="15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03" priority="89">
      <formula>$E$27&gt;0</formula>
    </cfRule>
    <cfRule type="expression" dxfId="202" priority="90">
      <formula>$E$27&lt;0</formula>
    </cfRule>
  </conditionalFormatting>
  <conditionalFormatting sqref="G15:I16 H27:I27">
    <cfRule type="expression" dxfId="201" priority="87">
      <formula>$H$27&gt;0</formula>
    </cfRule>
    <cfRule type="expression" dxfId="200" priority="88">
      <formula>$H$27&lt;0</formula>
    </cfRule>
  </conditionalFormatting>
  <conditionalFormatting sqref="J15:L16 K27:L27">
    <cfRule type="expression" dxfId="199" priority="85">
      <formula>$K$27&gt;0</formula>
    </cfRule>
    <cfRule type="expression" dxfId="198" priority="86">
      <formula>$K$27&lt;0</formula>
    </cfRule>
  </conditionalFormatting>
  <conditionalFormatting sqref="M15:O16 N27:O27">
    <cfRule type="expression" dxfId="197" priority="83">
      <formula>$N$27&gt;0</formula>
    </cfRule>
    <cfRule type="expression" dxfId="196" priority="84">
      <formula>$N$27&lt;0</formula>
    </cfRule>
  </conditionalFormatting>
  <conditionalFormatting sqref="A17:O26 A34:O43">
    <cfRule type="expression" dxfId="195" priority="91">
      <formula>AND($N17 &gt; 0, ISNUMBER($N17))</formula>
    </cfRule>
    <cfRule type="expression" dxfId="194" priority="92">
      <formula>AND($N17 &lt; 0, ISNUMBER($N17))</formula>
    </cfRule>
    <cfRule type="expression" dxfId="193" priority="93">
      <formula>AND($K17 &gt; 0, ISNUMBER($K17))</formula>
    </cfRule>
    <cfRule type="expression" dxfId="192" priority="94">
      <formula>AND($K17 &lt; 0, ISNUMBER($K17))</formula>
    </cfRule>
    <cfRule type="expression" dxfId="191" priority="95">
      <formula>AND($H17 &gt; 0, ISNUMBER($H17))</formula>
    </cfRule>
    <cfRule type="expression" dxfId="190" priority="96">
      <formula>AND($H17 &lt; 0, ISNUMBER($H17))</formula>
    </cfRule>
    <cfRule type="expression" dxfId="189" priority="97">
      <formula>AND($E17 &gt; 0, ISNUMBER($E17))</formula>
    </cfRule>
    <cfRule type="expression" dxfId="188" priority="98">
      <formula>AND($E17 &lt; 0, ISNUMBER($E17))</formula>
    </cfRule>
  </conditionalFormatting>
  <conditionalFormatting sqref="D32:F33 E44:F44">
    <cfRule type="expression" dxfId="187" priority="81">
      <formula>$E$44&gt;0</formula>
    </cfRule>
    <cfRule type="expression" dxfId="186" priority="82">
      <formula>$E$44&lt;0</formula>
    </cfRule>
  </conditionalFormatting>
  <conditionalFormatting sqref="G32:I33 H44:I44">
    <cfRule type="expression" dxfId="185" priority="79">
      <formula>$H$44&gt;0</formula>
    </cfRule>
    <cfRule type="expression" dxfId="184" priority="80">
      <formula>$H$44&lt;0</formula>
    </cfRule>
  </conditionalFormatting>
  <conditionalFormatting sqref="J32:L33 K44:L44">
    <cfRule type="expression" dxfId="183" priority="77">
      <formula>$K$44&gt;0</formula>
    </cfRule>
    <cfRule type="expression" dxfId="182" priority="78">
      <formula>$K$44&lt;0</formula>
    </cfRule>
  </conditionalFormatting>
  <conditionalFormatting sqref="M32:O33 N44:O44">
    <cfRule type="expression" dxfId="181" priority="75">
      <formula>$N$44&gt;0</formula>
    </cfRule>
    <cfRule type="expression" dxfId="180" priority="76">
      <formula>$N$44&lt;0</formula>
    </cfRule>
  </conditionalFormatting>
  <conditionalFormatting sqref="A51:O60">
    <cfRule type="expression" dxfId="179" priority="67">
      <formula>AND($N51 &gt; 0, ISNUMBER($N51))</formula>
    </cfRule>
    <cfRule type="expression" dxfId="178" priority="68">
      <formula>AND($N51 &lt; 0, ISNUMBER($N51))</formula>
    </cfRule>
    <cfRule type="expression" dxfId="177" priority="69">
      <formula>AND($K51 &gt; 0, ISNUMBER($K51))</formula>
    </cfRule>
    <cfRule type="expression" dxfId="176" priority="70">
      <formula>AND($K51 &lt; 0, ISNUMBER($K51))</formula>
    </cfRule>
    <cfRule type="expression" dxfId="175" priority="71">
      <formula>AND($H51 &gt; 0, ISNUMBER($H51))</formula>
    </cfRule>
    <cfRule type="expression" dxfId="174" priority="72">
      <formula>AND($H51 &lt; 0, ISNUMBER($H51))</formula>
    </cfRule>
    <cfRule type="expression" dxfId="173" priority="73">
      <formula>AND($E51 &gt; 0, ISNUMBER($E51))</formula>
    </cfRule>
    <cfRule type="expression" dxfId="172" priority="74">
      <formula>AND($E51 &lt; 0, ISNUMBER($E51))</formula>
    </cfRule>
  </conditionalFormatting>
  <conditionalFormatting sqref="D49:F50 E61:F61">
    <cfRule type="expression" dxfId="171" priority="65">
      <formula>$E$61&gt;0</formula>
    </cfRule>
    <cfRule type="expression" dxfId="170" priority="66">
      <formula>$E$61&lt;0</formula>
    </cfRule>
  </conditionalFormatting>
  <conditionalFormatting sqref="G49:I50 H61:I61">
    <cfRule type="expression" dxfId="169" priority="63">
      <formula>$H$61&gt;0</formula>
    </cfRule>
    <cfRule type="expression" dxfId="168" priority="64">
      <formula>$H$61&lt;0</formula>
    </cfRule>
  </conditionalFormatting>
  <conditionalFormatting sqref="J49:L50 K61:L61">
    <cfRule type="expression" dxfId="167" priority="61">
      <formula>$K$61&gt;0</formula>
    </cfRule>
    <cfRule type="expression" dxfId="166" priority="62">
      <formula>$K$61&lt;0</formula>
    </cfRule>
  </conditionalFormatting>
  <conditionalFormatting sqref="M49:O50 N61:O61">
    <cfRule type="expression" dxfId="165" priority="59">
      <formula>$N$61&gt;0</formula>
    </cfRule>
    <cfRule type="expression" dxfId="164" priority="60">
      <formula>$N$61&lt;0</formula>
    </cfRule>
  </conditionalFormatting>
  <conditionalFormatting sqref="A68:O77">
    <cfRule type="expression" dxfId="163" priority="51">
      <formula>AND($N68 &gt; 0, ISNUMBER($N68))</formula>
    </cfRule>
    <cfRule type="expression" dxfId="162" priority="52">
      <formula>AND($N68 &lt; 0, ISNUMBER($N68))</formula>
    </cfRule>
    <cfRule type="expression" dxfId="161" priority="53">
      <formula>AND($K68 &gt; 0, ISNUMBER($K68))</formula>
    </cfRule>
    <cfRule type="expression" dxfId="160" priority="54">
      <formula>AND($K68 &lt; 0, ISNUMBER($K68))</formula>
    </cfRule>
    <cfRule type="expression" dxfId="159" priority="55">
      <formula>AND($H68 &gt; 0, ISNUMBER($H68))</formula>
    </cfRule>
    <cfRule type="expression" dxfId="158" priority="56">
      <formula>AND($H68 &lt; 0, ISNUMBER($H68))</formula>
    </cfRule>
    <cfRule type="expression" dxfId="157" priority="57">
      <formula>AND($E68 &gt; 0, ISNUMBER($E68))</formula>
    </cfRule>
    <cfRule type="expression" dxfId="156" priority="58">
      <formula>AND($E68 &lt; 0, ISNUMBER($E68))</formula>
    </cfRule>
  </conditionalFormatting>
  <conditionalFormatting sqref="D66:F67 E78:F78">
    <cfRule type="expression" dxfId="155" priority="49">
      <formula>$E$78&gt;0</formula>
    </cfRule>
    <cfRule type="expression" dxfId="154" priority="50">
      <formula>$E$78&lt;0</formula>
    </cfRule>
  </conditionalFormatting>
  <conditionalFormatting sqref="G66:I67 H78:I78">
    <cfRule type="expression" dxfId="153" priority="47">
      <formula>$H$78&gt;0</formula>
    </cfRule>
    <cfRule type="expression" dxfId="152" priority="48">
      <formula>$H$78&lt;0</formula>
    </cfRule>
  </conditionalFormatting>
  <conditionalFormatting sqref="J66:L67 K78:L78">
    <cfRule type="expression" dxfId="151" priority="45">
      <formula>$K$78&gt;0</formula>
    </cfRule>
    <cfRule type="expression" dxfId="150" priority="46">
      <formula>$K$78&lt;0</formula>
    </cfRule>
  </conditionalFormatting>
  <conditionalFormatting sqref="M66:O67 N78:O78">
    <cfRule type="expression" dxfId="149" priority="43">
      <formula>$N$78&gt;0</formula>
    </cfRule>
    <cfRule type="expression" dxfId="148" priority="44">
      <formula>$N$78&lt;0</formula>
    </cfRule>
  </conditionalFormatting>
  <conditionalFormatting sqref="A85:O94">
    <cfRule type="expression" dxfId="147" priority="35">
      <formula>AND($N85 &gt; 0, ISNUMBER($N85))</formula>
    </cfRule>
    <cfRule type="expression" dxfId="146" priority="36">
      <formula>AND($N85 &lt; 0, ISNUMBER($N85))</formula>
    </cfRule>
    <cfRule type="expression" dxfId="145" priority="37">
      <formula>AND($K85 &gt; 0, ISNUMBER($K85))</formula>
    </cfRule>
    <cfRule type="expression" dxfId="144" priority="38">
      <formula>AND($K85 &lt; 0, ISNUMBER($K85))</formula>
    </cfRule>
    <cfRule type="expression" dxfId="143" priority="39">
      <formula>AND($H85 &gt; 0, ISNUMBER($H85))</formula>
    </cfRule>
    <cfRule type="expression" dxfId="142" priority="40">
      <formula>AND($H85 &lt; 0, ISNUMBER($H85))</formula>
    </cfRule>
    <cfRule type="expression" dxfId="141" priority="41">
      <formula>AND($E85 &gt; 0, ISNUMBER($E85))</formula>
    </cfRule>
    <cfRule type="expression" dxfId="140" priority="42">
      <formula>AND($E85 &lt; 0, ISNUMBER($E85))</formula>
    </cfRule>
  </conditionalFormatting>
  <conditionalFormatting sqref="D83:F84 E95:F95">
    <cfRule type="expression" dxfId="139" priority="33">
      <formula>$E$95&gt;0</formula>
    </cfRule>
    <cfRule type="expression" dxfId="138" priority="34">
      <formula>$E$95&lt;0</formula>
    </cfRule>
  </conditionalFormatting>
  <conditionalFormatting sqref="G83:I84 H95:I95">
    <cfRule type="expression" dxfId="137" priority="31">
      <formula>$H$95&gt;0</formula>
    </cfRule>
    <cfRule type="expression" dxfId="136" priority="32">
      <formula>$H$95&lt;0</formula>
    </cfRule>
  </conditionalFormatting>
  <conditionalFormatting sqref="J83:L84 K95:L95">
    <cfRule type="expression" dxfId="135" priority="29">
      <formula>$K$95&gt;0</formula>
    </cfRule>
    <cfRule type="expression" dxfId="134" priority="30">
      <formula>$K$95&lt;0</formula>
    </cfRule>
  </conditionalFormatting>
  <conditionalFormatting sqref="M83:O84 N95:O95">
    <cfRule type="expression" dxfId="133" priority="27">
      <formula>$N$95&gt;0</formula>
    </cfRule>
    <cfRule type="expression" dxfId="132" priority="28">
      <formula>$N$95&lt;0</formula>
    </cfRule>
  </conditionalFormatting>
  <conditionalFormatting sqref="A102:O111">
    <cfRule type="expression" dxfId="131" priority="19">
      <formula>AND($N102 &gt; 0, ISNUMBER($N102))</formula>
    </cfRule>
    <cfRule type="expression" dxfId="130" priority="20">
      <formula>AND($N102 &lt; 0, ISNUMBER($N102))</formula>
    </cfRule>
    <cfRule type="expression" dxfId="129" priority="21">
      <formula>AND($K102 &gt; 0, ISNUMBER($K102))</formula>
    </cfRule>
    <cfRule type="expression" dxfId="128" priority="22">
      <formula>AND($K102 &lt; 0, ISNUMBER($K102))</formula>
    </cfRule>
    <cfRule type="expression" dxfId="127" priority="23">
      <formula>AND($H102 &gt; 0, ISNUMBER($H102))</formula>
    </cfRule>
    <cfRule type="expression" dxfId="126" priority="24">
      <formula>AND($H102 &lt; 0, ISNUMBER($H102))</formula>
    </cfRule>
    <cfRule type="expression" dxfId="125" priority="25">
      <formula>AND($E102 &gt; 0, ISNUMBER($E102))</formula>
    </cfRule>
    <cfRule type="expression" dxfId="124" priority="26">
      <formula>AND($E102 &lt; 0, ISNUMBER($E102))</formula>
    </cfRule>
  </conditionalFormatting>
  <conditionalFormatting sqref="D100:F101 E112:F112">
    <cfRule type="expression" dxfId="123" priority="17">
      <formula>$E$112&gt;0</formula>
    </cfRule>
    <cfRule type="expression" dxfId="122" priority="18">
      <formula>$E$112&lt;0</formula>
    </cfRule>
  </conditionalFormatting>
  <conditionalFormatting sqref="G100:I101 H112:I112">
    <cfRule type="expression" dxfId="121" priority="15">
      <formula>$H$112&gt;0</formula>
    </cfRule>
    <cfRule type="expression" dxfId="120" priority="16">
      <formula>$H$112&lt;0</formula>
    </cfRule>
  </conditionalFormatting>
  <conditionalFormatting sqref="J100:L101 K112:L112">
    <cfRule type="expression" dxfId="119" priority="13">
      <formula>$K$112&gt;0</formula>
    </cfRule>
    <cfRule type="expression" dxfId="118" priority="14">
      <formula>$K$112&lt;0</formula>
    </cfRule>
  </conditionalFormatting>
  <conditionalFormatting sqref="M100:O101 N112:O112">
    <cfRule type="expression" dxfId="117" priority="11">
      <formula>$N$112&gt;0</formula>
    </cfRule>
    <cfRule type="expression" dxfId="116" priority="12">
      <formula>$N$112&lt;0</formula>
    </cfRule>
  </conditionalFormatting>
  <conditionalFormatting sqref="G2:I3">
    <cfRule type="expression" dxfId="1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abSelected="1" zoomScaleNormal="100" workbookViewId="0">
      <selection activeCell="A23" sqref="A23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9" t="s">
        <v>0</v>
      </c>
      <c r="B1" s="160"/>
      <c r="C1" s="160"/>
      <c r="D1" s="160"/>
      <c r="E1" s="160"/>
      <c r="F1" s="161"/>
      <c r="G1" s="203">
        <v>44287</v>
      </c>
      <c r="H1" s="204"/>
      <c r="I1" s="205"/>
      <c r="J1" s="159" t="s">
        <v>33</v>
      </c>
      <c r="K1" s="160"/>
      <c r="L1" s="160"/>
      <c r="M1" s="160"/>
      <c r="N1" s="160"/>
      <c r="O1" s="161"/>
      <c r="Q1" s="159" t="s">
        <v>1</v>
      </c>
      <c r="R1" s="161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0" t="s">
        <v>83</v>
      </c>
      <c r="H2" s="201"/>
      <c r="I2" s="202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197" t="s">
        <v>55</v>
      </c>
      <c r="C3" s="198"/>
      <c r="D3" s="198"/>
      <c r="E3" s="198"/>
      <c r="F3" s="199"/>
      <c r="G3" s="188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89"/>
      <c r="I3" s="190"/>
      <c r="J3" s="1" t="s">
        <v>23</v>
      </c>
      <c r="K3" s="197" t="s">
        <v>59</v>
      </c>
      <c r="L3" s="198"/>
      <c r="M3" s="198"/>
      <c r="N3" s="198"/>
      <c r="O3" s="199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7" t="s">
        <v>56</v>
      </c>
      <c r="C4" s="198"/>
      <c r="D4" s="198"/>
      <c r="E4" s="198"/>
      <c r="F4" s="199"/>
      <c r="G4" s="200" t="s">
        <v>84</v>
      </c>
      <c r="H4" s="201"/>
      <c r="I4" s="202"/>
      <c r="J4" s="1" t="s">
        <v>30</v>
      </c>
      <c r="K4" s="197" t="s">
        <v>60</v>
      </c>
      <c r="L4" s="198"/>
      <c r="M4" s="198"/>
      <c r="N4" s="198"/>
      <c r="O4" s="199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197" t="s">
        <v>57</v>
      </c>
      <c r="C5" s="198"/>
      <c r="D5" s="198"/>
      <c r="E5" s="198"/>
      <c r="F5" s="199"/>
      <c r="G5" s="188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89"/>
      <c r="I5" s="190"/>
      <c r="J5" s="1" t="s">
        <v>24</v>
      </c>
      <c r="K5" s="197" t="s">
        <v>62</v>
      </c>
      <c r="L5" s="198"/>
      <c r="M5" s="198"/>
      <c r="N5" s="198"/>
      <c r="O5" s="199"/>
    </row>
    <row r="6" spans="1:18">
      <c r="A6" s="1" t="s">
        <v>25</v>
      </c>
      <c r="B6" s="197" t="s">
        <v>58</v>
      </c>
      <c r="C6" s="198"/>
      <c r="D6" s="198"/>
      <c r="E6" s="198"/>
      <c r="F6" s="199"/>
      <c r="G6" s="200" t="s">
        <v>85</v>
      </c>
      <c r="H6" s="201"/>
      <c r="I6" s="202"/>
      <c r="J6" s="1" t="s">
        <v>25</v>
      </c>
      <c r="K6" s="197" t="s">
        <v>63</v>
      </c>
      <c r="L6" s="198"/>
      <c r="M6" s="198"/>
      <c r="N6" s="198"/>
      <c r="O6" s="199"/>
    </row>
    <row r="7" spans="1:18" ht="17.25" thickBot="1">
      <c r="A7" s="1" t="s">
        <v>26</v>
      </c>
      <c r="B7" s="197" t="s">
        <v>64</v>
      </c>
      <c r="C7" s="198"/>
      <c r="D7" s="198"/>
      <c r="E7" s="198"/>
      <c r="F7" s="199"/>
      <c r="G7" s="188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89"/>
      <c r="I7" s="190"/>
      <c r="J7" s="1" t="s">
        <v>26</v>
      </c>
      <c r="K7" s="197" t="s">
        <v>65</v>
      </c>
      <c r="L7" s="198"/>
      <c r="M7" s="198"/>
      <c r="N7" s="198"/>
      <c r="O7" s="199"/>
    </row>
    <row r="8" spans="1:18" ht="17.25" thickBot="1">
      <c r="A8" s="1" t="s">
        <v>27</v>
      </c>
      <c r="B8" s="197" t="s">
        <v>66</v>
      </c>
      <c r="C8" s="198"/>
      <c r="D8" s="198"/>
      <c r="E8" s="198"/>
      <c r="F8" s="199"/>
      <c r="G8" s="200" t="s">
        <v>86</v>
      </c>
      <c r="H8" s="201"/>
      <c r="I8" s="202"/>
      <c r="J8" s="1" t="s">
        <v>27</v>
      </c>
      <c r="K8" s="197" t="s">
        <v>88</v>
      </c>
      <c r="L8" s="198"/>
      <c r="M8" s="198"/>
      <c r="N8" s="198"/>
      <c r="O8" s="199"/>
      <c r="Q8" s="159" t="s">
        <v>16</v>
      </c>
      <c r="R8" s="161"/>
    </row>
    <row r="9" spans="1:18" ht="17.25" thickBot="1">
      <c r="A9" s="1" t="s">
        <v>28</v>
      </c>
      <c r="B9" s="197"/>
      <c r="C9" s="198"/>
      <c r="D9" s="198"/>
      <c r="E9" s="198"/>
      <c r="F9" s="199"/>
      <c r="G9" s="188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89"/>
      <c r="I9" s="190"/>
      <c r="J9" s="1" t="s">
        <v>28</v>
      </c>
      <c r="K9" s="197" t="s">
        <v>268</v>
      </c>
      <c r="L9" s="198"/>
      <c r="M9" s="198"/>
      <c r="N9" s="198"/>
      <c r="O9" s="199"/>
      <c r="Q9" s="18" t="s">
        <v>2</v>
      </c>
      <c r="R9" s="51">
        <v>10</v>
      </c>
    </row>
    <row r="10" spans="1:18">
      <c r="A10" s="1" t="s">
        <v>29</v>
      </c>
      <c r="B10" s="197"/>
      <c r="C10" s="198"/>
      <c r="D10" s="198"/>
      <c r="E10" s="198"/>
      <c r="F10" s="199"/>
      <c r="G10" s="200" t="s">
        <v>81</v>
      </c>
      <c r="H10" s="201"/>
      <c r="I10" s="202"/>
      <c r="J10" s="1" t="s">
        <v>29</v>
      </c>
      <c r="K10" s="197"/>
      <c r="L10" s="198"/>
      <c r="M10" s="198"/>
      <c r="N10" s="198"/>
      <c r="O10" s="199"/>
      <c r="Q10" s="18" t="s">
        <v>3</v>
      </c>
      <c r="R10" s="51">
        <v>100</v>
      </c>
    </row>
    <row r="11" spans="1:18" ht="17.25" thickBot="1">
      <c r="A11" s="2" t="s">
        <v>21</v>
      </c>
      <c r="B11" s="185"/>
      <c r="C11" s="186"/>
      <c r="D11" s="186"/>
      <c r="E11" s="186"/>
      <c r="F11" s="187"/>
      <c r="G11" s="188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89"/>
      <c r="I11" s="190"/>
      <c r="J11" s="2" t="s">
        <v>21</v>
      </c>
      <c r="K11" s="185"/>
      <c r="L11" s="186"/>
      <c r="M11" s="186"/>
      <c r="N11" s="186"/>
      <c r="O11" s="187"/>
      <c r="Q11" s="145" t="s">
        <v>17</v>
      </c>
      <c r="R11" s="52">
        <v>1000</v>
      </c>
    </row>
    <row r="12" spans="1:18" ht="17.25" thickBot="1"/>
    <row r="13" spans="1:18" ht="17.25" customHeight="1" thickBot="1">
      <c r="A13" s="159" t="s">
        <v>87</v>
      </c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1"/>
      <c r="Q13" s="191"/>
      <c r="R13" s="192"/>
    </row>
    <row r="14" spans="1:18" ht="17.25" customHeight="1" thickBot="1">
      <c r="A14" s="144" t="s">
        <v>236</v>
      </c>
      <c r="B14" s="159" t="s">
        <v>235</v>
      </c>
      <c r="C14" s="161"/>
      <c r="D14" s="159" t="s">
        <v>67</v>
      </c>
      <c r="E14" s="160"/>
      <c r="F14" s="161"/>
      <c r="G14" s="173">
        <f>_xlfn.IFNA(VLOOKUP(B14, 현재가테이블!$B$1:$D$200, 2, FALSE), "-")</f>
        <v>80968000</v>
      </c>
      <c r="H14" s="174"/>
      <c r="I14" s="175"/>
      <c r="J14" s="159" t="s">
        <v>69</v>
      </c>
      <c r="K14" s="160"/>
      <c r="L14" s="161"/>
      <c r="M14" s="176">
        <f>_xlfn.IFNA(VLOOKUP(B14, 현재가테이블!$B$1:$D$200, 3, FALSE), "-")</f>
        <v>2.8735632000000001E-3</v>
      </c>
      <c r="N14" s="177"/>
      <c r="O14" s="178"/>
      <c r="Q14" s="193"/>
      <c r="R14" s="194"/>
    </row>
    <row r="15" spans="1:18" ht="17.25" customHeight="1" thickBot="1">
      <c r="A15" s="166" t="s">
        <v>18</v>
      </c>
      <c r="B15" s="167" t="s">
        <v>54</v>
      </c>
      <c r="C15" s="168"/>
      <c r="D15" s="195" t="s">
        <v>20</v>
      </c>
      <c r="E15" s="172"/>
      <c r="F15" s="196"/>
      <c r="G15" s="195" t="s">
        <v>15</v>
      </c>
      <c r="H15" s="172"/>
      <c r="I15" s="196"/>
      <c r="J15" s="172" t="s">
        <v>34</v>
      </c>
      <c r="K15" s="172"/>
      <c r="L15" s="172"/>
      <c r="M15" s="195" t="s">
        <v>54</v>
      </c>
      <c r="N15" s="172"/>
      <c r="O15" s="196"/>
      <c r="Q15" s="181"/>
      <c r="R15" s="182"/>
    </row>
    <row r="16" spans="1:18" ht="17.25" customHeight="1" thickBot="1">
      <c r="A16" s="1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181"/>
      <c r="R16" s="182"/>
    </row>
    <row r="17" spans="1:18" ht="17.25" customHeight="1">
      <c r="A17" s="39" t="s">
        <v>199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79"/>
      <c r="R17" s="180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79"/>
      <c r="R18" s="180"/>
    </row>
    <row r="19" spans="1:18" ht="17.25" customHeight="1">
      <c r="A19" s="40" t="s">
        <v>145</v>
      </c>
      <c r="B19" s="36">
        <f t="shared" si="1"/>
        <v>208</v>
      </c>
      <c r="C19" s="5">
        <f t="shared" si="2"/>
        <v>7.2164948500000006E-2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79"/>
      <c r="R19" s="180"/>
    </row>
    <row r="20" spans="1:18" ht="17.25" customHeight="1">
      <c r="A20" s="40" t="s">
        <v>298</v>
      </c>
      <c r="B20" s="36">
        <f t="shared" si="1"/>
        <v>1000000</v>
      </c>
      <c r="C20" s="5">
        <f t="shared" si="2"/>
        <v>5.69707219E-2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79"/>
      <c r="R20" s="180"/>
    </row>
    <row r="21" spans="1:18" ht="17.25" customHeight="1">
      <c r="A21" s="41" t="s">
        <v>360</v>
      </c>
      <c r="B21" s="37">
        <f t="shared" si="1"/>
        <v>294</v>
      </c>
      <c r="C21" s="24">
        <f t="shared" si="2"/>
        <v>3.1578947400000001E-2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9"/>
      <c r="R21" s="180"/>
    </row>
    <row r="22" spans="1:18" ht="17.25" customHeight="1">
      <c r="A22" s="40" t="s">
        <v>244</v>
      </c>
      <c r="B22" s="36">
        <f t="shared" si="1"/>
        <v>3240</v>
      </c>
      <c r="C22" s="5">
        <f t="shared" si="2"/>
        <v>3.6799999999999999E-2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79"/>
      <c r="R22" s="18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79"/>
      <c r="R23" s="18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9"/>
      <c r="R24" s="18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1"/>
      <c r="R25" s="18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1"/>
      <c r="R26" s="182"/>
    </row>
    <row r="27" spans="1:18" ht="17.25" customHeight="1" thickBot="1">
      <c r="A27" s="57" t="s">
        <v>32</v>
      </c>
      <c r="B27" s="157">
        <v>200000</v>
      </c>
      <c r="C27" s="15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3"/>
      <c r="R27" s="18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9" t="s">
        <v>83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1"/>
      <c r="Q30" s="162"/>
      <c r="R30" s="163"/>
    </row>
    <row r="31" spans="1:18" ht="17.25" customHeight="1" thickBot="1">
      <c r="A31" s="144" t="s">
        <v>236</v>
      </c>
      <c r="B31" s="159" t="s">
        <v>235</v>
      </c>
      <c r="C31" s="161"/>
      <c r="D31" s="159" t="s">
        <v>67</v>
      </c>
      <c r="E31" s="160"/>
      <c r="F31" s="161"/>
      <c r="G31" s="173">
        <f>_xlfn.IFNA(VLOOKUP(B31, 현재가테이블!$B$1:$D$200, 2, FALSE), "-")</f>
        <v>80968000</v>
      </c>
      <c r="H31" s="174"/>
      <c r="I31" s="175"/>
      <c r="J31" s="159" t="s">
        <v>69</v>
      </c>
      <c r="K31" s="160"/>
      <c r="L31" s="161"/>
      <c r="M31" s="176">
        <f>_xlfn.IFNA(VLOOKUP(B31, 현재가테이블!$B$1:$D$200, 3, FALSE), "-")</f>
        <v>2.8735632000000001E-3</v>
      </c>
      <c r="N31" s="177"/>
      <c r="O31" s="178"/>
      <c r="Q31" s="164"/>
      <c r="R31" s="165"/>
    </row>
    <row r="32" spans="1:18" ht="17.25" customHeight="1" thickBot="1">
      <c r="A32" s="166" t="s">
        <v>18</v>
      </c>
      <c r="B32" s="167" t="s">
        <v>54</v>
      </c>
      <c r="C32" s="168"/>
      <c r="D32" s="169" t="s">
        <v>20</v>
      </c>
      <c r="E32" s="170"/>
      <c r="F32" s="171"/>
      <c r="G32" s="169" t="s">
        <v>15</v>
      </c>
      <c r="H32" s="170"/>
      <c r="I32" s="171"/>
      <c r="J32" s="172" t="s">
        <v>34</v>
      </c>
      <c r="K32" s="172"/>
      <c r="L32" s="172"/>
      <c r="M32" s="169" t="s">
        <v>54</v>
      </c>
      <c r="N32" s="170"/>
      <c r="O32" s="171"/>
      <c r="Q32" s="153"/>
      <c r="R32" s="154"/>
    </row>
    <row r="33" spans="1:18" ht="17.25" customHeight="1" thickBot="1">
      <c r="A33" s="166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153"/>
      <c r="R33" s="154"/>
    </row>
    <row r="34" spans="1:18" ht="17.25" customHeight="1">
      <c r="A34" s="9" t="s">
        <v>199</v>
      </c>
      <c r="B34" s="31">
        <v>38.799999999999997</v>
      </c>
      <c r="C34" s="22">
        <v>8.6834733900000002E-2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51"/>
      <c r="R34" s="152"/>
    </row>
    <row r="35" spans="1:18" ht="17.25" customHeight="1">
      <c r="A35" s="11" t="s">
        <v>168</v>
      </c>
      <c r="B35" s="32">
        <v>9.58</v>
      </c>
      <c r="C35" s="5">
        <v>-7.8846153799999999E-2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1"/>
      <c r="R35" s="152"/>
    </row>
    <row r="36" spans="1:18" ht="17.25" customHeight="1">
      <c r="A36" s="11" t="s">
        <v>171</v>
      </c>
      <c r="B36" s="32">
        <v>45.5</v>
      </c>
      <c r="C36" s="5">
        <v>-9.1816367300000007E-2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1"/>
      <c r="R36" s="152"/>
    </row>
    <row r="37" spans="1:18" ht="17.25" customHeight="1">
      <c r="A37" s="11" t="s">
        <v>147</v>
      </c>
      <c r="B37" s="32">
        <v>97.1</v>
      </c>
      <c r="C37" s="5">
        <v>-9.2523364499999997E-2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1"/>
      <c r="R37" s="152"/>
    </row>
    <row r="38" spans="1:18" ht="17.25" customHeight="1">
      <c r="A38" s="8" t="s">
        <v>183</v>
      </c>
      <c r="B38" s="33">
        <v>25.7</v>
      </c>
      <c r="C38" s="24">
        <v>-0.1137931034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1"/>
      <c r="R38" s="152"/>
    </row>
    <row r="39" spans="1:18" ht="17.25" customHeight="1">
      <c r="A39" s="11" t="s">
        <v>116</v>
      </c>
      <c r="B39" s="32">
        <v>39</v>
      </c>
      <c r="C39" s="5">
        <v>-0.1176470588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1"/>
      <c r="R39" s="152"/>
    </row>
    <row r="40" spans="1:18" ht="17.25" customHeight="1">
      <c r="A40" s="11" t="s">
        <v>135</v>
      </c>
      <c r="B40" s="32">
        <v>22.9</v>
      </c>
      <c r="C40" s="5">
        <v>-0.12260536399999999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1"/>
      <c r="R40" s="152"/>
    </row>
    <row r="41" spans="1:18" ht="17.25" customHeight="1">
      <c r="A41" s="11" t="s">
        <v>172</v>
      </c>
      <c r="B41" s="32">
        <v>91.9</v>
      </c>
      <c r="C41" s="5">
        <v>-0.1247619048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1"/>
      <c r="R41" s="152"/>
    </row>
    <row r="42" spans="1:18" ht="17.25" customHeight="1">
      <c r="A42" s="11" t="s">
        <v>158</v>
      </c>
      <c r="B42" s="32">
        <v>27.9</v>
      </c>
      <c r="C42" s="5">
        <v>-0.12539184950000001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53"/>
      <c r="R42" s="154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53"/>
      <c r="R43" s="154"/>
    </row>
    <row r="44" spans="1:18" ht="17.25" customHeight="1" thickBot="1">
      <c r="A44" s="57" t="s">
        <v>32</v>
      </c>
      <c r="B44" s="157">
        <v>100000</v>
      </c>
      <c r="C44" s="158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55"/>
      <c r="R44" s="15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9" t="s">
        <v>84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1"/>
      <c r="Q47" s="162"/>
      <c r="R47" s="163"/>
    </row>
    <row r="48" spans="1:18" ht="17.25" customHeight="1" thickBot="1">
      <c r="A48" s="144" t="s">
        <v>236</v>
      </c>
      <c r="B48" s="159" t="s">
        <v>235</v>
      </c>
      <c r="C48" s="161"/>
      <c r="D48" s="159" t="s">
        <v>67</v>
      </c>
      <c r="E48" s="160"/>
      <c r="F48" s="161"/>
      <c r="G48" s="173">
        <f>_xlfn.IFNA(VLOOKUP(B48, 현재가테이블!$B$1:$D$200, 2, FALSE), "-")</f>
        <v>80968000</v>
      </c>
      <c r="H48" s="174"/>
      <c r="I48" s="175"/>
      <c r="J48" s="159" t="s">
        <v>69</v>
      </c>
      <c r="K48" s="160"/>
      <c r="L48" s="161"/>
      <c r="M48" s="176">
        <f>_xlfn.IFNA(VLOOKUP(B48, 현재가테이블!$B$1:$D$200, 3, FALSE), "-")</f>
        <v>2.8735632000000001E-3</v>
      </c>
      <c r="N48" s="177"/>
      <c r="O48" s="178"/>
      <c r="Q48" s="164"/>
      <c r="R48" s="165"/>
    </row>
    <row r="49" spans="1:18" ht="17.25" customHeight="1" thickBot="1">
      <c r="A49" s="166" t="s">
        <v>18</v>
      </c>
      <c r="B49" s="167" t="s">
        <v>54</v>
      </c>
      <c r="C49" s="168"/>
      <c r="D49" s="169" t="s">
        <v>20</v>
      </c>
      <c r="E49" s="170"/>
      <c r="F49" s="171"/>
      <c r="G49" s="169" t="s">
        <v>15</v>
      </c>
      <c r="H49" s="170"/>
      <c r="I49" s="171"/>
      <c r="J49" s="172" t="s">
        <v>34</v>
      </c>
      <c r="K49" s="172"/>
      <c r="L49" s="172"/>
      <c r="M49" s="169" t="s">
        <v>54</v>
      </c>
      <c r="N49" s="170"/>
      <c r="O49" s="171"/>
      <c r="Q49" s="153"/>
      <c r="R49" s="154"/>
    </row>
    <row r="50" spans="1:18" ht="17.25" customHeight="1" thickBot="1">
      <c r="A50" s="166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153"/>
      <c r="R50" s="154"/>
    </row>
    <row r="51" spans="1:18" ht="17.25" customHeight="1">
      <c r="A51" s="9" t="s">
        <v>186</v>
      </c>
      <c r="B51" s="31">
        <v>28</v>
      </c>
      <c r="C51" s="22">
        <v>-0.13043478259999999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51"/>
      <c r="R51" s="152"/>
    </row>
    <row r="52" spans="1:18" ht="17.25" customHeight="1">
      <c r="A52" s="11" t="s">
        <v>155</v>
      </c>
      <c r="B52" s="32">
        <v>24.5</v>
      </c>
      <c r="C52" s="5">
        <v>-0.13120567380000001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1"/>
      <c r="R52" s="152"/>
    </row>
    <row r="53" spans="1:18" ht="17.25" customHeight="1">
      <c r="A53" s="11" t="s">
        <v>103</v>
      </c>
      <c r="B53" s="32">
        <v>34.299999999999997</v>
      </c>
      <c r="C53" s="5">
        <v>-0.13164556960000001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1"/>
      <c r="R53" s="152"/>
    </row>
    <row r="54" spans="1:18" ht="17.25" customHeight="1">
      <c r="A54" s="11" t="s">
        <v>153</v>
      </c>
      <c r="B54" s="32">
        <v>31.7</v>
      </c>
      <c r="C54" s="5">
        <v>-0.13387978140000001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1"/>
      <c r="R54" s="152"/>
    </row>
    <row r="55" spans="1:18" ht="17.25" customHeight="1">
      <c r="A55" s="8" t="s">
        <v>140</v>
      </c>
      <c r="B55" s="33">
        <v>78</v>
      </c>
      <c r="C55" s="24">
        <v>-0.14096916300000001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1"/>
      <c r="R55" s="152"/>
    </row>
    <row r="56" spans="1:18" ht="17.25" customHeight="1">
      <c r="A56" s="11" t="s">
        <v>159</v>
      </c>
      <c r="B56" s="32">
        <v>29.6</v>
      </c>
      <c r="C56" s="5">
        <v>-0.14202898550000001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1"/>
      <c r="R56" s="15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1"/>
      <c r="R57" s="15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1"/>
      <c r="R58" s="15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53"/>
      <c r="R59" s="15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53"/>
      <c r="R60" s="154"/>
    </row>
    <row r="61" spans="1:18" ht="17.25" customHeight="1" thickBot="1">
      <c r="A61" s="57" t="s">
        <v>32</v>
      </c>
      <c r="B61" s="157">
        <v>100000</v>
      </c>
      <c r="C61" s="15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55"/>
      <c r="R61" s="156"/>
    </row>
    <row r="62" spans="1:18" ht="17.25" customHeight="1"/>
    <row r="63" spans="1:18" ht="17.25" customHeight="1" thickBot="1"/>
    <row r="64" spans="1:18" ht="17.25" customHeight="1" thickBot="1">
      <c r="A64" s="159" t="s">
        <v>85</v>
      </c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1"/>
      <c r="Q64" s="162"/>
      <c r="R64" s="163"/>
    </row>
    <row r="65" spans="1:18" ht="17.25" customHeight="1" thickBot="1">
      <c r="A65" s="144" t="s">
        <v>236</v>
      </c>
      <c r="B65" s="159" t="s">
        <v>235</v>
      </c>
      <c r="C65" s="161"/>
      <c r="D65" s="159" t="s">
        <v>67</v>
      </c>
      <c r="E65" s="160"/>
      <c r="F65" s="161"/>
      <c r="G65" s="173">
        <f>_xlfn.IFNA(VLOOKUP(B65, 현재가테이블!$B$1:$D$200, 2, FALSE), "-")</f>
        <v>80968000</v>
      </c>
      <c r="H65" s="174"/>
      <c r="I65" s="175"/>
      <c r="J65" s="159" t="s">
        <v>69</v>
      </c>
      <c r="K65" s="160"/>
      <c r="L65" s="161"/>
      <c r="M65" s="176">
        <f>_xlfn.IFNA(VLOOKUP(B65, 현재가테이블!$B$1:$D$200, 3, FALSE), "-")</f>
        <v>2.8735632000000001E-3</v>
      </c>
      <c r="N65" s="177"/>
      <c r="O65" s="178"/>
      <c r="Q65" s="164"/>
      <c r="R65" s="165"/>
    </row>
    <row r="66" spans="1:18" ht="17.25" customHeight="1" thickBot="1">
      <c r="A66" s="166" t="s">
        <v>18</v>
      </c>
      <c r="B66" s="167" t="s">
        <v>54</v>
      </c>
      <c r="C66" s="168"/>
      <c r="D66" s="169" t="s">
        <v>20</v>
      </c>
      <c r="E66" s="170"/>
      <c r="F66" s="171"/>
      <c r="G66" s="169" t="s">
        <v>15</v>
      </c>
      <c r="H66" s="170"/>
      <c r="I66" s="171"/>
      <c r="J66" s="172" t="s">
        <v>34</v>
      </c>
      <c r="K66" s="172"/>
      <c r="L66" s="172"/>
      <c r="M66" s="169" t="s">
        <v>54</v>
      </c>
      <c r="N66" s="170"/>
      <c r="O66" s="171"/>
      <c r="Q66" s="153"/>
      <c r="R66" s="154"/>
    </row>
    <row r="67" spans="1:18" ht="17.25" customHeight="1" thickBot="1">
      <c r="A67" s="166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153"/>
      <c r="R67" s="154"/>
    </row>
    <row r="68" spans="1:18" ht="17.25" customHeight="1">
      <c r="A68" t="s">
        <v>359</v>
      </c>
      <c r="B68">
        <v>162</v>
      </c>
      <c r="C68" s="90">
        <v>0.33884297520000001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51"/>
      <c r="R68" s="152"/>
    </row>
    <row r="69" spans="1:18" ht="17.25" customHeight="1">
      <c r="A69" t="s">
        <v>174</v>
      </c>
      <c r="B69">
        <v>102</v>
      </c>
      <c r="C69" s="90">
        <v>0.21428571430000001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1"/>
      <c r="R69" s="152"/>
    </row>
    <row r="70" spans="1:18" ht="17.25" customHeight="1">
      <c r="A70" t="s">
        <v>263</v>
      </c>
      <c r="B70">
        <v>281</v>
      </c>
      <c r="C70" s="90">
        <v>0.15637860079999999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1"/>
      <c r="R70" s="152"/>
    </row>
    <row r="71" spans="1:18" ht="17.25" customHeight="1">
      <c r="A71" t="s">
        <v>145</v>
      </c>
      <c r="B71">
        <v>208</v>
      </c>
      <c r="C71" s="90">
        <v>7.2164948500000006E-2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1"/>
      <c r="R71" s="152"/>
    </row>
    <row r="72" spans="1:18" ht="17.25" customHeight="1">
      <c r="A72" t="s">
        <v>130</v>
      </c>
      <c r="B72">
        <v>294</v>
      </c>
      <c r="C72" s="90">
        <v>3.1578947400000001E-2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1"/>
      <c r="R72" s="152"/>
    </row>
    <row r="73" spans="1:18" ht="17.25" customHeight="1">
      <c r="A73" t="s">
        <v>132</v>
      </c>
      <c r="B73">
        <v>184</v>
      </c>
      <c r="C73" s="90">
        <v>-3.1578947400000001E-2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1"/>
      <c r="R73" s="152"/>
    </row>
    <row r="74" spans="1:18" ht="17.25" customHeight="1">
      <c r="A74" t="s">
        <v>215</v>
      </c>
      <c r="B74">
        <v>784</v>
      </c>
      <c r="C74" s="90">
        <v>-4.1564792199999999E-2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1"/>
      <c r="R74" s="152"/>
    </row>
    <row r="75" spans="1:18" ht="17.25" customHeight="1">
      <c r="A75" t="s">
        <v>221</v>
      </c>
      <c r="B75">
        <v>517</v>
      </c>
      <c r="C75" s="90">
        <v>-4.4362292099999999E-2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1"/>
      <c r="R75" s="152"/>
    </row>
    <row r="76" spans="1:18" ht="17.25" customHeight="1">
      <c r="A76" t="s">
        <v>176</v>
      </c>
      <c r="B76">
        <v>247</v>
      </c>
      <c r="C76" s="90">
        <v>-6.0836501899999999E-2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53"/>
      <c r="R76" s="154"/>
    </row>
    <row r="77" spans="1:18" ht="17.25" customHeight="1" thickBot="1">
      <c r="A77" t="s">
        <v>143</v>
      </c>
      <c r="B77">
        <v>618</v>
      </c>
      <c r="C77" s="90">
        <v>-6.5052950100000007E-2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53"/>
      <c r="R77" s="154"/>
    </row>
    <row r="78" spans="1:18" ht="17.25" customHeight="1" thickBot="1">
      <c r="A78" s="57" t="s">
        <v>32</v>
      </c>
      <c r="B78" s="157">
        <v>100000</v>
      </c>
      <c r="C78" s="15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55"/>
      <c r="R78" s="15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9" t="s">
        <v>86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0"/>
      <c r="O81" s="161"/>
      <c r="Q81" s="162"/>
      <c r="R81" s="163"/>
    </row>
    <row r="82" spans="1:18" ht="17.25" customHeight="1" thickBot="1">
      <c r="A82" s="144" t="s">
        <v>236</v>
      </c>
      <c r="B82" s="159" t="s">
        <v>235</v>
      </c>
      <c r="C82" s="161"/>
      <c r="D82" s="159" t="s">
        <v>67</v>
      </c>
      <c r="E82" s="160"/>
      <c r="F82" s="161"/>
      <c r="G82" s="173">
        <f>_xlfn.IFNA(VLOOKUP(B82, 현재가테이블!$B$1:$D$200, 2, FALSE), "-")</f>
        <v>80968000</v>
      </c>
      <c r="H82" s="174"/>
      <c r="I82" s="175"/>
      <c r="J82" s="159" t="s">
        <v>69</v>
      </c>
      <c r="K82" s="160"/>
      <c r="L82" s="161"/>
      <c r="M82" s="176">
        <f>_xlfn.IFNA(VLOOKUP(B82, 현재가테이블!$B$1:$D$200, 3, FALSE), "-")</f>
        <v>2.8735632000000001E-3</v>
      </c>
      <c r="N82" s="177"/>
      <c r="O82" s="178"/>
      <c r="Q82" s="164"/>
      <c r="R82" s="165"/>
    </row>
    <row r="83" spans="1:18" ht="17.25" customHeight="1" thickBot="1">
      <c r="A83" s="166" t="s">
        <v>18</v>
      </c>
      <c r="B83" s="167" t="s">
        <v>54</v>
      </c>
      <c r="C83" s="168"/>
      <c r="D83" s="169" t="s">
        <v>20</v>
      </c>
      <c r="E83" s="170"/>
      <c r="F83" s="171"/>
      <c r="G83" s="169" t="s">
        <v>15</v>
      </c>
      <c r="H83" s="170"/>
      <c r="I83" s="171"/>
      <c r="J83" s="172" t="s">
        <v>34</v>
      </c>
      <c r="K83" s="172"/>
      <c r="L83" s="172"/>
      <c r="M83" s="169" t="s">
        <v>54</v>
      </c>
      <c r="N83" s="170"/>
      <c r="O83" s="171"/>
      <c r="Q83" s="153"/>
      <c r="R83" s="154"/>
    </row>
    <row r="84" spans="1:18" ht="17.25" customHeight="1" thickBot="1">
      <c r="A84" s="166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153"/>
      <c r="R84" s="154"/>
    </row>
    <row r="85" spans="1:18" ht="17.25" customHeight="1">
      <c r="A85" s="9" t="s">
        <v>161</v>
      </c>
      <c r="B85" s="31">
        <v>195</v>
      </c>
      <c r="C85" s="22">
        <v>-6.6985645900000002E-2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51"/>
      <c r="R85" s="152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1"/>
      <c r="R86" s="152"/>
    </row>
    <row r="87" spans="1:18" ht="17.25" customHeight="1">
      <c r="A87" s="11" t="s">
        <v>200</v>
      </c>
      <c r="B87" s="32">
        <v>174</v>
      </c>
      <c r="C87" s="5">
        <v>-6.9518716600000002E-2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1"/>
      <c r="R87" s="152"/>
    </row>
    <row r="88" spans="1:18" ht="17.25" customHeight="1">
      <c r="A88" s="11" t="s">
        <v>164</v>
      </c>
      <c r="B88" s="32">
        <v>415</v>
      </c>
      <c r="C88" s="5">
        <v>-7.3660714299999999E-2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1"/>
      <c r="R88" s="152"/>
    </row>
    <row r="89" spans="1:18" ht="17.25" customHeight="1">
      <c r="A89" s="8" t="s">
        <v>109</v>
      </c>
      <c r="B89" s="33">
        <v>672</v>
      </c>
      <c r="C89" s="24">
        <v>-8.1967213100000005E-2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1"/>
      <c r="R89" s="152"/>
    </row>
    <row r="90" spans="1:18" ht="17.25" customHeight="1">
      <c r="A90" s="11" t="s">
        <v>185</v>
      </c>
      <c r="B90" s="32">
        <v>826</v>
      </c>
      <c r="C90" s="5">
        <v>-8.22222222E-2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1"/>
      <c r="R90" s="152"/>
    </row>
    <row r="91" spans="1:18" ht="17.25" customHeight="1">
      <c r="A91" s="11" t="s">
        <v>207</v>
      </c>
      <c r="B91" s="32">
        <v>662</v>
      </c>
      <c r="C91" s="5">
        <v>-8.9408528200000004E-2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1"/>
      <c r="R91" s="152"/>
    </row>
    <row r="92" spans="1:18" ht="17.25" customHeight="1">
      <c r="A92" s="11" t="s">
        <v>137</v>
      </c>
      <c r="B92" s="32">
        <v>734</v>
      </c>
      <c r="C92" s="5">
        <v>-9.1584158400000004E-2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1"/>
      <c r="R92" s="152"/>
    </row>
    <row r="93" spans="1:18" ht="17.25" customHeight="1">
      <c r="A93" s="11" t="s">
        <v>160</v>
      </c>
      <c r="B93" s="32">
        <v>462</v>
      </c>
      <c r="C93" s="5">
        <v>-9.4117647099999993E-2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53"/>
      <c r="R93" s="154"/>
    </row>
    <row r="94" spans="1:18" ht="17.25" customHeight="1" thickBot="1">
      <c r="A94" s="13" t="s">
        <v>203</v>
      </c>
      <c r="B94" s="34">
        <v>661</v>
      </c>
      <c r="C94" s="16">
        <v>-9.5759233900000004E-2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53"/>
      <c r="R94" s="154"/>
    </row>
    <row r="95" spans="1:18" ht="17.25" customHeight="1" thickBot="1">
      <c r="A95" s="57" t="s">
        <v>32</v>
      </c>
      <c r="B95" s="157">
        <v>100000</v>
      </c>
      <c r="C95" s="15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55"/>
      <c r="R95" s="156"/>
    </row>
    <row r="96" spans="1:18" ht="17.25" customHeight="1"/>
    <row r="97" spans="1:18" ht="17.25" customHeight="1" thickBot="1"/>
    <row r="98" spans="1:18" ht="17.25" customHeight="1" thickBot="1">
      <c r="A98" s="159" t="s">
        <v>81</v>
      </c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0"/>
      <c r="O98" s="161"/>
      <c r="Q98" s="162"/>
      <c r="R98" s="163"/>
    </row>
    <row r="99" spans="1:18" ht="17.25" customHeight="1" thickBot="1">
      <c r="A99" s="144" t="s">
        <v>236</v>
      </c>
      <c r="B99" s="159" t="s">
        <v>235</v>
      </c>
      <c r="C99" s="161"/>
      <c r="D99" s="159" t="s">
        <v>67</v>
      </c>
      <c r="E99" s="160"/>
      <c r="F99" s="161"/>
      <c r="G99" s="173">
        <f>_xlfn.IFNA(VLOOKUP(B99, 현재가테이블!$B$1:$D$200, 2, FALSE), "-")</f>
        <v>80968000</v>
      </c>
      <c r="H99" s="174"/>
      <c r="I99" s="175"/>
      <c r="J99" s="159" t="s">
        <v>69</v>
      </c>
      <c r="K99" s="160"/>
      <c r="L99" s="161"/>
      <c r="M99" s="176">
        <f>_xlfn.IFNA(VLOOKUP(B99, 현재가테이블!$B$1:$D$200, 3, FALSE), "-")</f>
        <v>2.8735632000000001E-3</v>
      </c>
      <c r="N99" s="177"/>
      <c r="O99" s="178"/>
      <c r="Q99" s="164"/>
      <c r="R99" s="165"/>
    </row>
    <row r="100" spans="1:18" ht="17.25" customHeight="1" thickBot="1">
      <c r="A100" s="166" t="s">
        <v>18</v>
      </c>
      <c r="B100" s="167" t="s">
        <v>54</v>
      </c>
      <c r="C100" s="168"/>
      <c r="D100" s="169" t="s">
        <v>20</v>
      </c>
      <c r="E100" s="170"/>
      <c r="F100" s="171"/>
      <c r="G100" s="169" t="s">
        <v>15</v>
      </c>
      <c r="H100" s="170"/>
      <c r="I100" s="171"/>
      <c r="J100" s="172" t="s">
        <v>34</v>
      </c>
      <c r="K100" s="172"/>
      <c r="L100" s="172"/>
      <c r="M100" s="169" t="s">
        <v>54</v>
      </c>
      <c r="N100" s="170"/>
      <c r="O100" s="171"/>
      <c r="Q100" s="153"/>
      <c r="R100" s="154"/>
    </row>
    <row r="101" spans="1:18" ht="17.25" customHeight="1" thickBot="1">
      <c r="A101" s="166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153"/>
      <c r="R101" s="154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51"/>
      <c r="R102" s="152"/>
    </row>
    <row r="103" spans="1:18" ht="17.25" customHeight="1">
      <c r="A103" s="11" t="s">
        <v>174</v>
      </c>
      <c r="B103" s="32">
        <v>102</v>
      </c>
      <c r="C103" s="5">
        <v>0.21428571430000001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51"/>
      <c r="R103" s="152"/>
    </row>
    <row r="104" spans="1:18" ht="17.25" customHeight="1">
      <c r="A104" s="11" t="s">
        <v>263</v>
      </c>
      <c r="B104" s="32">
        <v>281</v>
      </c>
      <c r="C104" s="5">
        <v>0.15637860079999999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51"/>
      <c r="R104" s="152"/>
    </row>
    <row r="105" spans="1:18" ht="17.25" customHeight="1">
      <c r="A105" s="11" t="s">
        <v>199</v>
      </c>
      <c r="B105" s="32">
        <v>38.799999999999997</v>
      </c>
      <c r="C105" s="5">
        <v>8.6834733900000002E-2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51"/>
      <c r="R105" s="152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51"/>
      <c r="R106" s="152"/>
    </row>
    <row r="107" spans="1:18" ht="17.25" customHeight="1">
      <c r="A107" s="11" t="s">
        <v>145</v>
      </c>
      <c r="B107" s="32">
        <v>208</v>
      </c>
      <c r="C107" s="5">
        <v>7.2164948500000006E-2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51"/>
      <c r="R107" s="152"/>
    </row>
    <row r="108" spans="1:18" ht="17.25" customHeight="1">
      <c r="A108" s="11" t="s">
        <v>298</v>
      </c>
      <c r="B108" s="32">
        <v>1000000</v>
      </c>
      <c r="C108" s="5">
        <v>5.69707219E-2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51"/>
      <c r="R108" s="152"/>
    </row>
    <row r="109" spans="1:18" ht="17.25" customHeight="1">
      <c r="A109" s="11" t="s">
        <v>241</v>
      </c>
      <c r="B109" s="32">
        <v>3240</v>
      </c>
      <c r="C109" s="5">
        <v>3.6799999999999999E-2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51"/>
      <c r="R109" s="152"/>
    </row>
    <row r="110" spans="1:18" ht="17.25" customHeight="1">
      <c r="A110" s="11" t="s">
        <v>130</v>
      </c>
      <c r="B110" s="32">
        <v>294</v>
      </c>
      <c r="C110" s="5">
        <v>3.1578947400000001E-2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53"/>
      <c r="R110" s="154"/>
    </row>
    <row r="111" spans="1:18" ht="17.25" customHeight="1" thickBot="1">
      <c r="A111" s="13" t="s">
        <v>271</v>
      </c>
      <c r="B111" s="34">
        <v>2997000</v>
      </c>
      <c r="C111" s="16">
        <v>2.4615384600000002E-2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53"/>
      <c r="R111" s="154"/>
    </row>
    <row r="112" spans="1:18" ht="17.25" customHeight="1" thickBot="1">
      <c r="A112" s="57" t="s">
        <v>32</v>
      </c>
      <c r="B112" s="157">
        <v>100000</v>
      </c>
      <c r="C112" s="158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55"/>
      <c r="R112" s="15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05" priority="89">
      <formula>$E$27&gt;0</formula>
    </cfRule>
    <cfRule type="expression" dxfId="104" priority="90">
      <formula>$E$27&lt;0</formula>
    </cfRule>
  </conditionalFormatting>
  <conditionalFormatting sqref="G15:I16 H27:I27">
    <cfRule type="expression" dxfId="103" priority="87">
      <formula>$H$27&gt;0</formula>
    </cfRule>
    <cfRule type="expression" dxfId="102" priority="88">
      <formula>$H$27&lt;0</formula>
    </cfRule>
  </conditionalFormatting>
  <conditionalFormatting sqref="J15:L16 K27:L27">
    <cfRule type="expression" dxfId="101" priority="85">
      <formula>$K$27&gt;0</formula>
    </cfRule>
    <cfRule type="expression" dxfId="100" priority="86">
      <formula>$K$27&lt;0</formula>
    </cfRule>
  </conditionalFormatting>
  <conditionalFormatting sqref="M15:O16 N27:O27">
    <cfRule type="expression" dxfId="99" priority="83">
      <formula>$N$27&gt;0</formula>
    </cfRule>
    <cfRule type="expression" dxfId="98" priority="84">
      <formula>$N$27&lt;0</formula>
    </cfRule>
  </conditionalFormatting>
  <conditionalFormatting sqref="A17:O26 A34:O43">
    <cfRule type="expression" dxfId="97" priority="91">
      <formula>AND($N17 &gt; 0, ISNUMBER($N17))</formula>
    </cfRule>
    <cfRule type="expression" dxfId="96" priority="92">
      <formula>AND($N17 &lt; 0, ISNUMBER($N17))</formula>
    </cfRule>
    <cfRule type="expression" dxfId="95" priority="93">
      <formula>AND($K17 &gt; 0, ISNUMBER($K17))</formula>
    </cfRule>
    <cfRule type="expression" dxfId="94" priority="94">
      <formula>AND($K17 &lt; 0, ISNUMBER($K17))</formula>
    </cfRule>
    <cfRule type="expression" dxfId="93" priority="95">
      <formula>AND($H17 &gt; 0, ISNUMBER($H17))</formula>
    </cfRule>
    <cfRule type="expression" dxfId="92" priority="96">
      <formula>AND($H17 &lt; 0, ISNUMBER($H17))</formula>
    </cfRule>
    <cfRule type="expression" dxfId="91" priority="97">
      <formula>AND($E17 &gt; 0, ISNUMBER($E17))</formula>
    </cfRule>
    <cfRule type="expression" dxfId="90" priority="98">
      <formula>AND($E17 &lt; 0, ISNUMBER($E17))</formula>
    </cfRule>
  </conditionalFormatting>
  <conditionalFormatting sqref="D32:F33 E44:F44">
    <cfRule type="expression" dxfId="89" priority="81">
      <formula>$E$44&gt;0</formula>
    </cfRule>
    <cfRule type="expression" dxfId="88" priority="82">
      <formula>$E$44&lt;0</formula>
    </cfRule>
  </conditionalFormatting>
  <conditionalFormatting sqref="G32:I33 H44:I44">
    <cfRule type="expression" dxfId="87" priority="79">
      <formula>$H$44&gt;0</formula>
    </cfRule>
    <cfRule type="expression" dxfId="86" priority="80">
      <formula>$H$44&lt;0</formula>
    </cfRule>
  </conditionalFormatting>
  <conditionalFormatting sqref="J32:L33 K44:L44">
    <cfRule type="expression" dxfId="85" priority="77">
      <formula>$K$44&gt;0</formula>
    </cfRule>
    <cfRule type="expression" dxfId="84" priority="78">
      <formula>$K$44&lt;0</formula>
    </cfRule>
  </conditionalFormatting>
  <conditionalFormatting sqref="M32:O33 N44:O44">
    <cfRule type="expression" dxfId="83" priority="75">
      <formula>$N$44&gt;0</formula>
    </cfRule>
    <cfRule type="expression" dxfId="82" priority="76">
      <formula>$N$44&lt;0</formula>
    </cfRule>
  </conditionalFormatting>
  <conditionalFormatting sqref="A51:O60">
    <cfRule type="expression" dxfId="81" priority="67">
      <formula>AND($N51 &gt; 0, ISNUMBER($N51))</formula>
    </cfRule>
    <cfRule type="expression" dxfId="80" priority="68">
      <formula>AND($N51 &lt; 0, ISNUMBER($N51))</formula>
    </cfRule>
    <cfRule type="expression" dxfId="79" priority="69">
      <formula>AND($K51 &gt; 0, ISNUMBER($K51))</formula>
    </cfRule>
    <cfRule type="expression" dxfId="78" priority="70">
      <formula>AND($K51 &lt; 0, ISNUMBER($K51))</formula>
    </cfRule>
    <cfRule type="expression" dxfId="77" priority="71">
      <formula>AND($H51 &gt; 0, ISNUMBER($H51))</formula>
    </cfRule>
    <cfRule type="expression" dxfId="76" priority="72">
      <formula>AND($H51 &lt; 0, ISNUMBER($H51))</formula>
    </cfRule>
    <cfRule type="expression" dxfId="75" priority="73">
      <formula>AND($E51 &gt; 0, ISNUMBER($E51))</formula>
    </cfRule>
    <cfRule type="expression" dxfId="74" priority="74">
      <formula>AND($E51 &lt; 0, ISNUMBER($E51))</formula>
    </cfRule>
  </conditionalFormatting>
  <conditionalFormatting sqref="D49:F50 E61:F61">
    <cfRule type="expression" dxfId="73" priority="65">
      <formula>$E$61&gt;0</formula>
    </cfRule>
    <cfRule type="expression" dxfId="72" priority="66">
      <formula>$E$61&lt;0</formula>
    </cfRule>
  </conditionalFormatting>
  <conditionalFormatting sqref="G49:I50 H61:I61">
    <cfRule type="expression" dxfId="71" priority="63">
      <formula>$H$61&gt;0</formula>
    </cfRule>
    <cfRule type="expression" dxfId="70" priority="64">
      <formula>$H$61&lt;0</formula>
    </cfRule>
  </conditionalFormatting>
  <conditionalFormatting sqref="J49:L50 K61:L61">
    <cfRule type="expression" dxfId="69" priority="61">
      <formula>$K$61&gt;0</formula>
    </cfRule>
    <cfRule type="expression" dxfId="68" priority="62">
      <formula>$K$61&lt;0</formula>
    </cfRule>
  </conditionalFormatting>
  <conditionalFormatting sqref="M49:O50 N61:O61">
    <cfRule type="expression" dxfId="67" priority="59">
      <formula>$N$61&gt;0</formula>
    </cfRule>
    <cfRule type="expression" dxfId="66" priority="60">
      <formula>$N$61&lt;0</formula>
    </cfRule>
  </conditionalFormatting>
  <conditionalFormatting sqref="A68:O77">
    <cfRule type="expression" dxfId="65" priority="51">
      <formula>AND($N68 &gt; 0, ISNUMBER($N68))</formula>
    </cfRule>
    <cfRule type="expression" dxfId="64" priority="52">
      <formula>AND($N68 &lt; 0, ISNUMBER($N68))</formula>
    </cfRule>
    <cfRule type="expression" dxfId="63" priority="53">
      <formula>AND($K68 &gt; 0, ISNUMBER($K68))</formula>
    </cfRule>
    <cfRule type="expression" dxfId="62" priority="54">
      <formula>AND($K68 &lt; 0, ISNUMBER($K68))</formula>
    </cfRule>
    <cfRule type="expression" dxfId="61" priority="55">
      <formula>AND($H68 &gt; 0, ISNUMBER($H68))</formula>
    </cfRule>
    <cfRule type="expression" dxfId="60" priority="56">
      <formula>AND($H68 &lt; 0, ISNUMBER($H68))</formula>
    </cfRule>
    <cfRule type="expression" dxfId="59" priority="57">
      <formula>AND($E68 &gt; 0, ISNUMBER($E68))</formula>
    </cfRule>
    <cfRule type="expression" dxfId="58" priority="58">
      <formula>AND($E68 &lt; 0, ISNUMBER($E68))</formula>
    </cfRule>
  </conditionalFormatting>
  <conditionalFormatting sqref="D66:F67 E78:F78">
    <cfRule type="expression" dxfId="57" priority="49">
      <formula>$E$78&gt;0</formula>
    </cfRule>
    <cfRule type="expression" dxfId="56" priority="50">
      <formula>$E$78&lt;0</formula>
    </cfRule>
  </conditionalFormatting>
  <conditionalFormatting sqref="G66:I67 H78:I78">
    <cfRule type="expression" dxfId="55" priority="47">
      <formula>$H$78&gt;0</formula>
    </cfRule>
    <cfRule type="expression" dxfId="54" priority="48">
      <formula>$H$78&lt;0</formula>
    </cfRule>
  </conditionalFormatting>
  <conditionalFormatting sqref="J66:L67 K78:L78">
    <cfRule type="expression" dxfId="53" priority="45">
      <formula>$K$78&gt;0</formula>
    </cfRule>
    <cfRule type="expression" dxfId="52" priority="46">
      <formula>$K$78&lt;0</formula>
    </cfRule>
  </conditionalFormatting>
  <conditionalFormatting sqref="M66:O67 N78:O78">
    <cfRule type="expression" dxfId="51" priority="43">
      <formula>$N$78&gt;0</formula>
    </cfRule>
    <cfRule type="expression" dxfId="50" priority="44">
      <formula>$N$78&lt;0</formula>
    </cfRule>
  </conditionalFormatting>
  <conditionalFormatting sqref="A85:O94">
    <cfRule type="expression" dxfId="49" priority="35">
      <formula>AND($N85 &gt; 0, ISNUMBER($N85))</formula>
    </cfRule>
    <cfRule type="expression" dxfId="48" priority="36">
      <formula>AND($N85 &lt; 0, ISNUMBER($N85))</formula>
    </cfRule>
    <cfRule type="expression" dxfId="47" priority="37">
      <formula>AND($K85 &gt; 0, ISNUMBER($K85))</formula>
    </cfRule>
    <cfRule type="expression" dxfId="46" priority="38">
      <formula>AND($K85 &lt; 0, ISNUMBER($K85))</formula>
    </cfRule>
    <cfRule type="expression" dxfId="45" priority="39">
      <formula>AND($H85 &gt; 0, ISNUMBER($H85))</formula>
    </cfRule>
    <cfRule type="expression" dxfId="44" priority="40">
      <formula>AND($H85 &lt; 0, ISNUMBER($H85))</formula>
    </cfRule>
    <cfRule type="expression" dxfId="43" priority="41">
      <formula>AND($E85 &gt; 0, ISNUMBER($E85))</formula>
    </cfRule>
    <cfRule type="expression" dxfId="42" priority="42">
      <formula>AND($E85 &lt; 0, ISNUMBER($E85))</formula>
    </cfRule>
  </conditionalFormatting>
  <conditionalFormatting sqref="D83:F84 E95:F95">
    <cfRule type="expression" dxfId="41" priority="33">
      <formula>$E$95&gt;0</formula>
    </cfRule>
    <cfRule type="expression" dxfId="40" priority="34">
      <formula>$E$95&lt;0</formula>
    </cfRule>
  </conditionalFormatting>
  <conditionalFormatting sqref="G83:I84 H95:I95">
    <cfRule type="expression" dxfId="39" priority="31">
      <formula>$H$95&gt;0</formula>
    </cfRule>
    <cfRule type="expression" dxfId="38" priority="32">
      <formula>$H$95&lt;0</formula>
    </cfRule>
  </conditionalFormatting>
  <conditionalFormatting sqref="J83:L84 K95:L95">
    <cfRule type="expression" dxfId="37" priority="29">
      <formula>$K$95&gt;0</formula>
    </cfRule>
    <cfRule type="expression" dxfId="36" priority="30">
      <formula>$K$95&lt;0</formula>
    </cfRule>
  </conditionalFormatting>
  <conditionalFormatting sqref="M83:O84 N95:O95">
    <cfRule type="expression" dxfId="35" priority="27">
      <formula>$N$95&gt;0</formula>
    </cfRule>
    <cfRule type="expression" dxfId="34" priority="28">
      <formula>$N$95&lt;0</formula>
    </cfRule>
  </conditionalFormatting>
  <conditionalFormatting sqref="A102:O111">
    <cfRule type="expression" dxfId="33" priority="19">
      <formula>AND($N102 &gt; 0, ISNUMBER($N102))</formula>
    </cfRule>
    <cfRule type="expression" dxfId="32" priority="20">
      <formula>AND($N102 &lt; 0, ISNUMBER($N102))</formula>
    </cfRule>
    <cfRule type="expression" dxfId="31" priority="21">
      <formula>AND($K102 &gt; 0, ISNUMBER($K102))</formula>
    </cfRule>
    <cfRule type="expression" dxfId="30" priority="22">
      <formula>AND($K102 &lt; 0, ISNUMBER($K102))</formula>
    </cfRule>
    <cfRule type="expression" dxfId="29" priority="23">
      <formula>AND($H102 &gt; 0, ISNUMBER($H102))</formula>
    </cfRule>
    <cfRule type="expression" dxfId="28" priority="24">
      <formula>AND($H102 &lt; 0, ISNUMBER($H102))</formula>
    </cfRule>
    <cfRule type="expression" dxfId="27" priority="25">
      <formula>AND($E102 &gt; 0, ISNUMBER($E102))</formula>
    </cfRule>
    <cfRule type="expression" dxfId="26" priority="26">
      <formula>AND($E102 &lt; 0, ISNUMBER($E102))</formula>
    </cfRule>
  </conditionalFormatting>
  <conditionalFormatting sqref="D100:F101 E112:F112">
    <cfRule type="expression" dxfId="25" priority="17">
      <formula>$E$112&gt;0</formula>
    </cfRule>
    <cfRule type="expression" dxfId="24" priority="18">
      <formula>$E$112&lt;0</formula>
    </cfRule>
  </conditionalFormatting>
  <conditionalFormatting sqref="G100:I101 H112:I112">
    <cfRule type="expression" dxfId="23" priority="15">
      <formula>$H$112&gt;0</formula>
    </cfRule>
    <cfRule type="expression" dxfId="22" priority="16">
      <formula>$H$112&lt;0</formula>
    </cfRule>
  </conditionalFormatting>
  <conditionalFormatting sqref="J100:L101 K112:L112">
    <cfRule type="expression" dxfId="21" priority="13">
      <formula>$K$112&gt;0</formula>
    </cfRule>
    <cfRule type="expression" dxfId="20" priority="14">
      <formula>$K$112&lt;0</formula>
    </cfRule>
  </conditionalFormatting>
  <conditionalFormatting sqref="M100:O101 N112:O112">
    <cfRule type="expression" dxfId="19" priority="11">
      <formula>$N$112&gt;0</formula>
    </cfRule>
    <cfRule type="expression" dxfId="18" priority="12">
      <formula>$N$112&lt;0</formula>
    </cfRule>
  </conditionalFormatting>
  <conditionalFormatting sqref="G2:I3">
    <cfRule type="expression" dxfId="1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 filterMode="1"/>
  <dimension ref="A1:Q200"/>
  <sheetViews>
    <sheetView workbookViewId="0">
      <selection activeCell="B43" sqref="B43:D68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256</v>
      </c>
      <c r="B1" t="s">
        <v>257</v>
      </c>
      <c r="C1">
        <v>80968000</v>
      </c>
      <c r="D1" s="90">
        <v>2.8735632000000001E-3</v>
      </c>
      <c r="E1" s="67"/>
      <c r="F1" s="67"/>
      <c r="G1" s="67"/>
      <c r="H1" s="67"/>
      <c r="I1" s="67"/>
    </row>
    <row r="2" spans="1:17" ht="17.25" thickBot="1">
      <c r="A2" t="s">
        <v>351</v>
      </c>
      <c r="B2" t="s">
        <v>94</v>
      </c>
      <c r="C2">
        <v>162</v>
      </c>
      <c r="D2" s="90">
        <v>0.33884297520000001</v>
      </c>
      <c r="E2" s="67"/>
      <c r="F2" s="67"/>
      <c r="G2" s="67"/>
      <c r="H2" s="67"/>
      <c r="I2" s="67"/>
    </row>
    <row r="3" spans="1:17" ht="17.25" thickBot="1">
      <c r="A3" t="s">
        <v>188</v>
      </c>
      <c r="B3" t="s">
        <v>174</v>
      </c>
      <c r="C3">
        <v>102</v>
      </c>
      <c r="D3" s="90">
        <v>0.21428571430000001</v>
      </c>
      <c r="E3" s="67"/>
      <c r="F3" s="67"/>
      <c r="G3" s="159" t="s">
        <v>252</v>
      </c>
      <c r="H3" s="160"/>
      <c r="I3" s="161"/>
      <c r="K3" s="159" t="s">
        <v>248</v>
      </c>
      <c r="L3" s="160"/>
      <c r="M3" s="161"/>
      <c r="O3" s="159" t="s">
        <v>84</v>
      </c>
      <c r="P3" s="160"/>
      <c r="Q3" s="161"/>
    </row>
    <row r="4" spans="1:17" ht="17.25" thickBot="1">
      <c r="A4" t="s">
        <v>278</v>
      </c>
      <c r="B4" t="s">
        <v>263</v>
      </c>
      <c r="C4">
        <v>281</v>
      </c>
      <c r="D4" s="90">
        <v>0.15637860079999999</v>
      </c>
      <c r="E4" s="67"/>
      <c r="F4" s="67"/>
      <c r="G4" s="200" t="s">
        <v>254</v>
      </c>
      <c r="H4" s="201"/>
      <c r="I4" s="202"/>
      <c r="K4" s="200" t="s">
        <v>251</v>
      </c>
      <c r="L4" s="159" t="s">
        <v>358</v>
      </c>
      <c r="M4" s="161"/>
      <c r="O4" s="200" t="s">
        <v>251</v>
      </c>
      <c r="P4" s="159" t="s">
        <v>358</v>
      </c>
      <c r="Q4" s="161"/>
    </row>
    <row r="5" spans="1:17" ht="17.25" hidden="1" thickBot="1">
      <c r="A5" t="s">
        <v>294</v>
      </c>
      <c r="B5" t="s">
        <v>199</v>
      </c>
      <c r="C5">
        <v>38.799999999999997</v>
      </c>
      <c r="D5" s="90">
        <v>8.6834733900000002E-2</v>
      </c>
      <c r="E5" s="67"/>
      <c r="F5" s="67"/>
      <c r="G5" s="188"/>
      <c r="H5" s="189"/>
      <c r="I5" s="190"/>
      <c r="K5" s="188"/>
      <c r="L5" s="75" t="s">
        <v>249</v>
      </c>
      <c r="M5" s="76" t="s">
        <v>250</v>
      </c>
      <c r="O5" s="188"/>
      <c r="P5" s="75" t="s">
        <v>249</v>
      </c>
      <c r="Q5" s="76" t="s">
        <v>250</v>
      </c>
    </row>
    <row r="6" spans="1:17" ht="17.25" hidden="1" thickBot="1">
      <c r="A6" t="s">
        <v>352</v>
      </c>
      <c r="B6" t="s">
        <v>93</v>
      </c>
      <c r="C6">
        <v>78270</v>
      </c>
      <c r="D6" s="90">
        <v>8.1226688800000002E-2</v>
      </c>
      <c r="E6" s="67"/>
      <c r="F6" s="67"/>
      <c r="G6" s="105" t="s">
        <v>69</v>
      </c>
      <c r="H6" s="160" t="s">
        <v>67</v>
      </c>
      <c r="I6" s="161"/>
      <c r="K6" s="107" t="s">
        <v>159</v>
      </c>
      <c r="L6" s="77">
        <f t="shared" ref="L6:L15" si="0">_xlfn.IFNA(VLOOKUP(K6, $B$1:$D$200, 2, FALSE), "")</f>
        <v>29.6</v>
      </c>
      <c r="M6" s="78">
        <f t="shared" ref="M6:M15" si="1">_xlfn.IFNA(VLOOKUP(K6, $B$1:$D$200, 3, FALSE), "")</f>
        <v>-0.14202898550000001</v>
      </c>
      <c r="O6" s="108" t="s">
        <v>140</v>
      </c>
      <c r="P6" s="77">
        <f>_xlfn.IFNA(VLOOKUP(O6, $B$1:$D$200, 2, FALSE), "")</f>
        <v>78</v>
      </c>
      <c r="Q6" s="78">
        <f>_xlfn.IFNA(VLOOKUP(O6, $B$1:$D$200, 3, FALSE), "")</f>
        <v>-0.14096916300000001</v>
      </c>
    </row>
    <row r="7" spans="1:17" ht="17.25" thickBot="1">
      <c r="A7" t="s">
        <v>329</v>
      </c>
      <c r="B7" t="s">
        <v>145</v>
      </c>
      <c r="C7">
        <v>208</v>
      </c>
      <c r="D7" s="90">
        <v>7.2164948500000006E-2</v>
      </c>
      <c r="E7" s="67"/>
      <c r="F7" s="67"/>
      <c r="G7" s="209">
        <f>_xlfn.IFNA(VLOOKUP(G4, $B$1:$D$200, 3, FALSE), "-")</f>
        <v>2.8735632000000001E-3</v>
      </c>
      <c r="H7" s="211">
        <f>_xlfn.IFNA(VLOOKUP(G4, $B$1:$D$200, 2, FALSE), "-")</f>
        <v>80968000</v>
      </c>
      <c r="I7" s="212"/>
      <c r="K7" s="108" t="s">
        <v>183</v>
      </c>
      <c r="L7" s="77">
        <f t="shared" si="0"/>
        <v>25.7</v>
      </c>
      <c r="M7" s="78">
        <f t="shared" si="1"/>
        <v>-0.1137931034</v>
      </c>
      <c r="O7" s="108" t="s">
        <v>186</v>
      </c>
      <c r="P7" s="77">
        <f t="shared" ref="P7:P15" si="2">_xlfn.IFNA(VLOOKUP(O7, $B$1:$D$200, 2, FALSE), "")</f>
        <v>28</v>
      </c>
      <c r="Q7" s="78">
        <f t="shared" ref="Q7:Q15" si="3">_xlfn.IFNA(VLOOKUP(O7, $B$1:$D$200, 3, FALSE), "")</f>
        <v>-0.13043478259999999</v>
      </c>
    </row>
    <row r="8" spans="1:17" ht="17.25" hidden="1" thickBot="1">
      <c r="A8" t="s">
        <v>297</v>
      </c>
      <c r="B8" t="s">
        <v>298</v>
      </c>
      <c r="C8">
        <v>1000000</v>
      </c>
      <c r="D8" s="90">
        <v>5.69707219E-2</v>
      </c>
      <c r="E8" s="67"/>
      <c r="F8" s="67"/>
      <c r="G8" s="210"/>
      <c r="H8" s="213"/>
      <c r="I8" s="214"/>
      <c r="K8" s="108" t="s">
        <v>199</v>
      </c>
      <c r="L8" s="77">
        <f t="shared" si="0"/>
        <v>38.799999999999997</v>
      </c>
      <c r="M8" s="78">
        <f t="shared" si="1"/>
        <v>8.6834733900000002E-2</v>
      </c>
      <c r="O8" s="108" t="s">
        <v>153</v>
      </c>
      <c r="P8" s="77">
        <f t="shared" si="2"/>
        <v>31.7</v>
      </c>
      <c r="Q8" s="78">
        <f t="shared" si="3"/>
        <v>-0.13387978140000001</v>
      </c>
    </row>
    <row r="9" spans="1:17" ht="17.25" hidden="1" thickBot="1">
      <c r="A9" t="s">
        <v>356</v>
      </c>
      <c r="B9" t="s">
        <v>241</v>
      </c>
      <c r="C9">
        <v>3240</v>
      </c>
      <c r="D9" s="90">
        <v>3.6799999999999999E-2</v>
      </c>
      <c r="E9" s="67"/>
      <c r="F9" s="67"/>
      <c r="K9" s="108" t="s">
        <v>135</v>
      </c>
      <c r="L9" s="77">
        <f t="shared" si="0"/>
        <v>22.9</v>
      </c>
      <c r="M9" s="78">
        <f t="shared" si="1"/>
        <v>-0.12260536399999999</v>
      </c>
      <c r="O9" s="108" t="s">
        <v>158</v>
      </c>
      <c r="P9" s="77">
        <f t="shared" si="2"/>
        <v>27.9</v>
      </c>
      <c r="Q9" s="78">
        <f t="shared" si="3"/>
        <v>-0.12539184950000001</v>
      </c>
    </row>
    <row r="10" spans="1:17" ht="17.25" thickBot="1">
      <c r="A10" t="s">
        <v>131</v>
      </c>
      <c r="B10" t="s">
        <v>130</v>
      </c>
      <c r="C10">
        <v>294</v>
      </c>
      <c r="D10" s="90">
        <v>3.1578947400000001E-2</v>
      </c>
      <c r="E10" s="67"/>
      <c r="F10" s="67"/>
      <c r="G10" s="159" t="s">
        <v>253</v>
      </c>
      <c r="H10" s="160"/>
      <c r="I10" s="161"/>
      <c r="K10" s="108" t="s">
        <v>95</v>
      </c>
      <c r="L10" s="77">
        <f t="shared" si="0"/>
        <v>27.4</v>
      </c>
      <c r="M10" s="78">
        <f t="shared" si="1"/>
        <v>-0.127388535</v>
      </c>
      <c r="O10" s="108" t="s">
        <v>171</v>
      </c>
      <c r="P10" s="77">
        <f t="shared" si="2"/>
        <v>45.5</v>
      </c>
      <c r="Q10" s="78">
        <f t="shared" si="3"/>
        <v>-9.1816367300000007E-2</v>
      </c>
    </row>
    <row r="11" spans="1:17" hidden="1">
      <c r="A11" t="s">
        <v>270</v>
      </c>
      <c r="B11" t="s">
        <v>271</v>
      </c>
      <c r="C11">
        <v>2997000</v>
      </c>
      <c r="D11" s="90">
        <v>2.4615384600000002E-2</v>
      </c>
      <c r="E11" s="67"/>
      <c r="F11" s="67"/>
      <c r="G11" s="200" t="s">
        <v>254</v>
      </c>
      <c r="H11" s="201"/>
      <c r="I11" s="202"/>
      <c r="K11" s="108" t="s">
        <v>103</v>
      </c>
      <c r="L11" s="77">
        <f t="shared" si="0"/>
        <v>34.299999999999997</v>
      </c>
      <c r="M11" s="78">
        <f t="shared" si="1"/>
        <v>-0.13164556960000001</v>
      </c>
      <c r="O11" s="108" t="s">
        <v>298</v>
      </c>
      <c r="P11" s="77">
        <f t="shared" si="2"/>
        <v>1000000</v>
      </c>
      <c r="Q11" s="78">
        <f t="shared" si="3"/>
        <v>5.69707219E-2</v>
      </c>
    </row>
    <row r="12" spans="1:17" ht="17.25" hidden="1" thickBot="1">
      <c r="A12" t="s">
        <v>334</v>
      </c>
      <c r="B12" t="s">
        <v>335</v>
      </c>
      <c r="C12">
        <v>45960</v>
      </c>
      <c r="D12" s="90">
        <v>1.7940199300000001E-2</v>
      </c>
      <c r="E12" s="67"/>
      <c r="F12" s="67"/>
      <c r="G12" s="188"/>
      <c r="H12" s="189"/>
      <c r="I12" s="190"/>
      <c r="K12" s="108" t="s">
        <v>155</v>
      </c>
      <c r="L12" s="77">
        <f t="shared" si="0"/>
        <v>24.5</v>
      </c>
      <c r="M12" s="78">
        <f t="shared" si="1"/>
        <v>-0.13120567380000001</v>
      </c>
      <c r="O12" s="108"/>
      <c r="P12" s="77" t="str">
        <f t="shared" si="2"/>
        <v/>
      </c>
      <c r="Q12" s="78" t="str">
        <f t="shared" si="3"/>
        <v/>
      </c>
    </row>
    <row r="13" spans="1:17" ht="17.25" hidden="1" thickBot="1">
      <c r="A13" t="s">
        <v>279</v>
      </c>
      <c r="B13" t="s">
        <v>220</v>
      </c>
      <c r="C13">
        <v>19390</v>
      </c>
      <c r="D13" s="90">
        <v>1.3061651000000001E-2</v>
      </c>
      <c r="E13" s="67"/>
      <c r="F13" s="67"/>
      <c r="G13" s="105" t="s">
        <v>69</v>
      </c>
      <c r="H13" s="160" t="s">
        <v>67</v>
      </c>
      <c r="I13" s="161"/>
      <c r="K13" s="108" t="s">
        <v>168</v>
      </c>
      <c r="L13" s="77">
        <f t="shared" si="0"/>
        <v>9.58</v>
      </c>
      <c r="M13" s="78">
        <f t="shared" si="1"/>
        <v>-7.8846153799999999E-2</v>
      </c>
      <c r="O13" s="108"/>
      <c r="P13" s="77" t="str">
        <f t="shared" si="2"/>
        <v/>
      </c>
      <c r="Q13" s="78" t="str">
        <f t="shared" si="3"/>
        <v/>
      </c>
    </row>
    <row r="14" spans="1:17" hidden="1">
      <c r="A14" t="s">
        <v>287</v>
      </c>
      <c r="B14" t="s">
        <v>288</v>
      </c>
      <c r="C14">
        <v>1800</v>
      </c>
      <c r="D14" s="90">
        <v>2.7855152999999998E-3</v>
      </c>
      <c r="E14" s="67"/>
      <c r="F14" s="67"/>
      <c r="G14" s="209">
        <f>_xlfn.IFNA(VLOOKUP(G11, $B$1:$D$200, 3, FALSE), "-")</f>
        <v>2.8735632000000001E-3</v>
      </c>
      <c r="H14" s="211">
        <f>_xlfn.IFNA(VLOOKUP(G11, $B$1:$D$200, 2, FALSE), "-")</f>
        <v>80968000</v>
      </c>
      <c r="I14" s="212"/>
      <c r="K14" s="108" t="s">
        <v>116</v>
      </c>
      <c r="L14" s="77">
        <f t="shared" si="0"/>
        <v>39</v>
      </c>
      <c r="M14" s="78">
        <f t="shared" si="1"/>
        <v>-0.1176470588</v>
      </c>
      <c r="O14" s="108"/>
      <c r="P14" s="77" t="str">
        <f t="shared" si="2"/>
        <v/>
      </c>
      <c r="Q14" s="78" t="str">
        <f t="shared" si="3"/>
        <v/>
      </c>
    </row>
    <row r="15" spans="1:17" ht="17.25" hidden="1" thickBot="1">
      <c r="A15" t="s">
        <v>260</v>
      </c>
      <c r="B15" t="s">
        <v>261</v>
      </c>
      <c r="C15">
        <v>26890</v>
      </c>
      <c r="D15" s="90">
        <v>-7.4321809999999995E-4</v>
      </c>
      <c r="E15" s="67"/>
      <c r="F15" s="67"/>
      <c r="G15" s="210"/>
      <c r="H15" s="213"/>
      <c r="I15" s="214"/>
      <c r="K15" s="106" t="s">
        <v>174</v>
      </c>
      <c r="L15" s="79">
        <f t="shared" si="0"/>
        <v>102</v>
      </c>
      <c r="M15" s="80">
        <f t="shared" si="1"/>
        <v>0.21428571430000001</v>
      </c>
      <c r="O15" s="106"/>
      <c r="P15" s="79" t="str">
        <f t="shared" si="2"/>
        <v/>
      </c>
      <c r="Q15" s="80" t="str">
        <f t="shared" si="3"/>
        <v/>
      </c>
    </row>
    <row r="16" spans="1:17" hidden="1">
      <c r="A16" t="s">
        <v>319</v>
      </c>
      <c r="B16" t="s">
        <v>320</v>
      </c>
      <c r="C16">
        <v>30210</v>
      </c>
      <c r="D16" s="90">
        <v>-2.9702970000000002E-3</v>
      </c>
      <c r="E16" s="67"/>
      <c r="F16" s="67"/>
      <c r="G16" s="67"/>
      <c r="H16" s="67"/>
      <c r="I16" s="67"/>
    </row>
    <row r="17" spans="1:17" hidden="1">
      <c r="A17" t="s">
        <v>291</v>
      </c>
      <c r="B17" t="s">
        <v>292</v>
      </c>
      <c r="C17">
        <v>9350</v>
      </c>
      <c r="D17" s="90">
        <v>-3.7293553999999999E-3</v>
      </c>
      <c r="E17" s="67"/>
      <c r="F17" s="67"/>
      <c r="G17" s="67"/>
      <c r="H17" s="67"/>
      <c r="I17" s="67"/>
    </row>
    <row r="18" spans="1:17" ht="17.25" hidden="1" thickBot="1">
      <c r="A18" t="s">
        <v>274</v>
      </c>
      <c r="B18" t="s">
        <v>275</v>
      </c>
      <c r="C18">
        <v>338550</v>
      </c>
      <c r="D18" s="90">
        <v>-4.4111159999999996E-3</v>
      </c>
      <c r="E18" s="67"/>
      <c r="F18" s="67"/>
      <c r="G18" s="159" t="s">
        <v>81</v>
      </c>
      <c r="H18" s="160"/>
      <c r="I18" s="161"/>
      <c r="K18" s="159" t="s">
        <v>85</v>
      </c>
      <c r="L18" s="160"/>
      <c r="M18" s="161"/>
      <c r="O18" s="159" t="s">
        <v>86</v>
      </c>
      <c r="P18" s="160"/>
      <c r="Q18" s="161"/>
    </row>
    <row r="19" spans="1:17" ht="17.25" hidden="1" thickBot="1">
      <c r="A19" t="s">
        <v>340</v>
      </c>
      <c r="B19" t="s">
        <v>128</v>
      </c>
      <c r="C19">
        <v>5835</v>
      </c>
      <c r="D19" s="90">
        <v>-7.6530612000000001E-3</v>
      </c>
      <c r="E19" s="67"/>
      <c r="F19" s="67"/>
      <c r="G19" s="200" t="s">
        <v>251</v>
      </c>
      <c r="H19" s="159" t="s">
        <v>358</v>
      </c>
      <c r="I19" s="161"/>
      <c r="K19" s="200" t="s">
        <v>251</v>
      </c>
      <c r="L19" s="159" t="s">
        <v>358</v>
      </c>
      <c r="M19" s="161"/>
      <c r="O19" s="200" t="s">
        <v>251</v>
      </c>
      <c r="P19" s="159" t="s">
        <v>358</v>
      </c>
      <c r="Q19" s="161"/>
    </row>
    <row r="20" spans="1:17" ht="17.25" hidden="1" thickBot="1">
      <c r="A20" t="s">
        <v>311</v>
      </c>
      <c r="B20" t="s">
        <v>175</v>
      </c>
      <c r="C20">
        <v>373450</v>
      </c>
      <c r="D20" s="90">
        <v>-1.72368421E-2</v>
      </c>
      <c r="E20" s="67"/>
      <c r="F20" s="67"/>
      <c r="G20" s="188"/>
      <c r="H20" s="75" t="s">
        <v>249</v>
      </c>
      <c r="I20" s="76" t="s">
        <v>250</v>
      </c>
      <c r="K20" s="188"/>
      <c r="L20" s="75" t="s">
        <v>249</v>
      </c>
      <c r="M20" s="76" t="s">
        <v>250</v>
      </c>
      <c r="O20" s="188"/>
      <c r="P20" s="75" t="s">
        <v>249</v>
      </c>
      <c r="Q20" s="76" t="s">
        <v>250</v>
      </c>
    </row>
    <row r="21" spans="1:17" hidden="1">
      <c r="A21" t="s">
        <v>272</v>
      </c>
      <c r="B21" t="s">
        <v>258</v>
      </c>
      <c r="C21">
        <v>83470</v>
      </c>
      <c r="D21" s="90">
        <v>-1.7422012899999999E-2</v>
      </c>
      <c r="E21" s="67"/>
      <c r="F21" s="67"/>
      <c r="G21" s="107" t="s">
        <v>159</v>
      </c>
      <c r="H21" s="77">
        <f t="shared" ref="H21:H30" si="4">_xlfn.IFNA(VLOOKUP(G21, $B$1:$D$200, 2, FALSE), "")</f>
        <v>29.6</v>
      </c>
      <c r="I21" s="78">
        <f t="shared" ref="I21:I30" si="5">_xlfn.IFNA(VLOOKUP(G21, $B$1:$D$200, 3, FALSE), "")</f>
        <v>-0.14202898550000001</v>
      </c>
      <c r="K21" s="107" t="s">
        <v>207</v>
      </c>
      <c r="L21" s="77">
        <f t="shared" ref="L21:L30" si="6">_xlfn.IFNA(VLOOKUP(K21, $B$1:$D$200, 2, FALSE), "")</f>
        <v>662</v>
      </c>
      <c r="M21" s="78">
        <f t="shared" ref="M21:M30" si="7">_xlfn.IFNA(VLOOKUP(K21, $B$1:$D$200, 3, FALSE), "")</f>
        <v>-8.9408528200000004E-2</v>
      </c>
      <c r="O21" s="108" t="s">
        <v>126</v>
      </c>
      <c r="P21" s="77">
        <f>_xlfn.IFNA(VLOOKUP(O21, $B$1:$D$200, 2, FALSE), "")</f>
        <v>120</v>
      </c>
      <c r="Q21" s="78">
        <f>_xlfn.IFNA(VLOOKUP(O21, $B$1:$D$200, 3, FALSE), "")</f>
        <v>-0.1240875912</v>
      </c>
    </row>
    <row r="22" spans="1:17" hidden="1">
      <c r="A22" t="s">
        <v>336</v>
      </c>
      <c r="B22" t="s">
        <v>337</v>
      </c>
      <c r="C22">
        <v>8080</v>
      </c>
      <c r="D22" s="90">
        <v>-3.1175060000000001E-2</v>
      </c>
      <c r="E22" s="67"/>
      <c r="F22" s="67"/>
      <c r="G22" s="108" t="s">
        <v>207</v>
      </c>
      <c r="H22" s="77">
        <f t="shared" si="4"/>
        <v>662</v>
      </c>
      <c r="I22" s="78">
        <f t="shared" si="5"/>
        <v>-8.9408528200000004E-2</v>
      </c>
      <c r="K22" s="108" t="s">
        <v>94</v>
      </c>
      <c r="L22" s="77">
        <f t="shared" si="6"/>
        <v>162</v>
      </c>
      <c r="M22" s="78">
        <f t="shared" si="7"/>
        <v>0.33884297520000001</v>
      </c>
      <c r="O22" s="108" t="s">
        <v>214</v>
      </c>
      <c r="P22" s="77">
        <f t="shared" ref="P22:P30" si="8">_xlfn.IFNA(VLOOKUP(O22, $B$1:$D$200, 2, FALSE), "")</f>
        <v>556</v>
      </c>
      <c r="Q22" s="78">
        <f t="shared" ref="Q22:Q30" si="9">_xlfn.IFNA(VLOOKUP(O22, $B$1:$D$200, 3, FALSE), "")</f>
        <v>-0.1298904538</v>
      </c>
    </row>
    <row r="23" spans="1:17">
      <c r="A23" t="s">
        <v>133</v>
      </c>
      <c r="B23" t="s">
        <v>132</v>
      </c>
      <c r="C23">
        <v>184</v>
      </c>
      <c r="D23" s="90">
        <v>-3.1578947400000001E-2</v>
      </c>
      <c r="E23" s="67"/>
      <c r="F23" s="67"/>
      <c r="G23" s="108" t="s">
        <v>241</v>
      </c>
      <c r="H23" s="77">
        <f t="shared" si="4"/>
        <v>3240</v>
      </c>
      <c r="I23" s="78">
        <f t="shared" si="5"/>
        <v>3.6799999999999999E-2</v>
      </c>
      <c r="K23" s="108" t="s">
        <v>200</v>
      </c>
      <c r="L23" s="77">
        <f t="shared" si="6"/>
        <v>174</v>
      </c>
      <c r="M23" s="78">
        <f t="shared" si="7"/>
        <v>-6.9518716600000002E-2</v>
      </c>
      <c r="O23" s="108" t="s">
        <v>161</v>
      </c>
      <c r="P23" s="77">
        <f t="shared" si="8"/>
        <v>195</v>
      </c>
      <c r="Q23" s="78">
        <f t="shared" si="9"/>
        <v>-6.6985645900000002E-2</v>
      </c>
    </row>
    <row r="24" spans="1:17" hidden="1">
      <c r="A24" t="s">
        <v>121</v>
      </c>
      <c r="B24" t="s">
        <v>120</v>
      </c>
      <c r="C24">
        <v>52790</v>
      </c>
      <c r="D24" s="90">
        <v>-3.1731474699999998E-2</v>
      </c>
      <c r="E24" s="67"/>
      <c r="F24" s="67"/>
      <c r="G24" s="108" t="s">
        <v>255</v>
      </c>
      <c r="H24" s="77">
        <f t="shared" si="4"/>
        <v>2130</v>
      </c>
      <c r="I24" s="78">
        <f t="shared" si="5"/>
        <v>-6.3736263700000004E-2</v>
      </c>
      <c r="K24" s="108" t="s">
        <v>145</v>
      </c>
      <c r="L24" s="77">
        <f t="shared" si="6"/>
        <v>208</v>
      </c>
      <c r="M24" s="78">
        <f t="shared" si="7"/>
        <v>7.2164948500000006E-2</v>
      </c>
      <c r="O24" s="108" t="s">
        <v>170</v>
      </c>
      <c r="P24" s="77">
        <f t="shared" si="8"/>
        <v>594</v>
      </c>
      <c r="Q24" s="78">
        <f t="shared" si="9"/>
        <v>-0.1040723982</v>
      </c>
    </row>
    <row r="25" spans="1:17" hidden="1">
      <c r="A25" t="s">
        <v>196</v>
      </c>
      <c r="B25" t="s">
        <v>195</v>
      </c>
      <c r="C25">
        <v>2375</v>
      </c>
      <c r="D25" s="90">
        <v>-3.4552845499999998E-2</v>
      </c>
      <c r="E25" s="67"/>
      <c r="F25" s="67"/>
      <c r="G25" s="108" t="s">
        <v>94</v>
      </c>
      <c r="H25" s="77">
        <f t="shared" si="4"/>
        <v>162</v>
      </c>
      <c r="I25" s="78">
        <f t="shared" si="5"/>
        <v>0.33884297520000001</v>
      </c>
      <c r="K25" s="108" t="s">
        <v>203</v>
      </c>
      <c r="L25" s="77">
        <f t="shared" si="6"/>
        <v>661</v>
      </c>
      <c r="M25" s="78">
        <f t="shared" si="7"/>
        <v>-9.5759233900000004E-2</v>
      </c>
      <c r="O25" s="108" t="s">
        <v>124</v>
      </c>
      <c r="P25" s="77">
        <f t="shared" si="8"/>
        <v>611</v>
      </c>
      <c r="Q25" s="78">
        <f t="shared" si="9"/>
        <v>-0.1321022727</v>
      </c>
    </row>
    <row r="26" spans="1:17" hidden="1">
      <c r="A26" t="s">
        <v>112</v>
      </c>
      <c r="B26" t="s">
        <v>111</v>
      </c>
      <c r="C26">
        <v>57230</v>
      </c>
      <c r="D26" s="90">
        <v>-3.4581646399999999E-2</v>
      </c>
      <c r="E26" s="67"/>
      <c r="F26" s="67"/>
      <c r="G26" s="108" t="s">
        <v>292</v>
      </c>
      <c r="H26" s="77">
        <f t="shared" si="4"/>
        <v>9350</v>
      </c>
      <c r="I26" s="78">
        <f t="shared" si="5"/>
        <v>-3.7293553999999999E-3</v>
      </c>
      <c r="K26" s="108" t="s">
        <v>215</v>
      </c>
      <c r="L26" s="77">
        <f t="shared" si="6"/>
        <v>784</v>
      </c>
      <c r="M26" s="78">
        <f t="shared" si="7"/>
        <v>-4.1564792199999999E-2</v>
      </c>
      <c r="O26" s="108" t="s">
        <v>160</v>
      </c>
      <c r="P26" s="77">
        <f t="shared" si="8"/>
        <v>462</v>
      </c>
      <c r="Q26" s="78">
        <f t="shared" si="9"/>
        <v>-9.4117647099999993E-2</v>
      </c>
    </row>
    <row r="27" spans="1:17" hidden="1">
      <c r="A27" t="s">
        <v>332</v>
      </c>
      <c r="B27" t="s">
        <v>136</v>
      </c>
      <c r="C27">
        <v>7980</v>
      </c>
      <c r="D27" s="90">
        <v>-3.6813518400000002E-2</v>
      </c>
      <c r="E27" s="67"/>
      <c r="F27" s="67"/>
      <c r="G27" s="108" t="s">
        <v>238</v>
      </c>
      <c r="H27" s="77">
        <f t="shared" si="4"/>
        <v>4920</v>
      </c>
      <c r="I27" s="78">
        <f t="shared" si="5"/>
        <v>-7.5187969899999998E-2</v>
      </c>
      <c r="K27" s="108" t="s">
        <v>130</v>
      </c>
      <c r="L27" s="77">
        <f t="shared" si="6"/>
        <v>294</v>
      </c>
      <c r="M27" s="78">
        <f t="shared" si="7"/>
        <v>3.1578947400000001E-2</v>
      </c>
      <c r="O27" s="108" t="s">
        <v>221</v>
      </c>
      <c r="P27" s="77">
        <f t="shared" si="8"/>
        <v>517</v>
      </c>
      <c r="Q27" s="78">
        <f t="shared" si="9"/>
        <v>-4.4362292099999999E-2</v>
      </c>
    </row>
    <row r="28" spans="1:17" hidden="1">
      <c r="A28" t="s">
        <v>202</v>
      </c>
      <c r="B28" t="s">
        <v>201</v>
      </c>
      <c r="C28">
        <v>137550</v>
      </c>
      <c r="D28" s="90">
        <v>-4.1129313299999998E-2</v>
      </c>
      <c r="E28" s="67"/>
      <c r="F28" s="67"/>
      <c r="G28" s="108" t="s">
        <v>200</v>
      </c>
      <c r="H28" s="77">
        <f t="shared" si="4"/>
        <v>174</v>
      </c>
      <c r="I28" s="78">
        <f t="shared" si="5"/>
        <v>-6.9518716600000002E-2</v>
      </c>
      <c r="K28" s="108" t="s">
        <v>263</v>
      </c>
      <c r="L28" s="77">
        <f t="shared" si="6"/>
        <v>281</v>
      </c>
      <c r="M28" s="78">
        <f t="shared" si="7"/>
        <v>0.15637860079999999</v>
      </c>
      <c r="O28" s="108" t="s">
        <v>109</v>
      </c>
      <c r="P28" s="77">
        <f t="shared" si="8"/>
        <v>672</v>
      </c>
      <c r="Q28" s="78">
        <f t="shared" si="9"/>
        <v>-8.1967213100000005E-2</v>
      </c>
    </row>
    <row r="29" spans="1:17">
      <c r="A29" t="s">
        <v>216</v>
      </c>
      <c r="B29" t="s">
        <v>215</v>
      </c>
      <c r="C29">
        <v>784</v>
      </c>
      <c r="D29" s="90">
        <v>-4.1564792199999999E-2</v>
      </c>
      <c r="E29" s="67"/>
      <c r="F29" s="67"/>
      <c r="G29" s="108" t="s">
        <v>275</v>
      </c>
      <c r="H29" s="77">
        <f t="shared" si="4"/>
        <v>338550</v>
      </c>
      <c r="I29" s="78">
        <f t="shared" si="5"/>
        <v>-4.4111159999999996E-3</v>
      </c>
      <c r="K29" s="108" t="s">
        <v>176</v>
      </c>
      <c r="L29" s="77">
        <f t="shared" si="6"/>
        <v>247</v>
      </c>
      <c r="M29" s="78">
        <f t="shared" si="7"/>
        <v>-6.0836501899999999E-2</v>
      </c>
      <c r="O29" s="108" t="s">
        <v>149</v>
      </c>
      <c r="P29" s="77">
        <f t="shared" si="8"/>
        <v>470</v>
      </c>
      <c r="Q29" s="78">
        <f t="shared" si="9"/>
        <v>-0.12801484229999999</v>
      </c>
    </row>
    <row r="30" spans="1:17" ht="17.25" hidden="1" thickBot="1">
      <c r="A30" t="s">
        <v>343</v>
      </c>
      <c r="B30" t="s">
        <v>113</v>
      </c>
      <c r="C30">
        <v>5195</v>
      </c>
      <c r="D30" s="90">
        <v>-4.3278084699999997E-2</v>
      </c>
      <c r="E30" s="67"/>
      <c r="F30" s="67"/>
      <c r="G30" s="106" t="s">
        <v>145</v>
      </c>
      <c r="H30" s="79">
        <f t="shared" si="4"/>
        <v>208</v>
      </c>
      <c r="I30" s="80">
        <f t="shared" si="5"/>
        <v>7.2164948500000006E-2</v>
      </c>
      <c r="K30" s="106" t="s">
        <v>132</v>
      </c>
      <c r="L30" s="79">
        <f t="shared" si="6"/>
        <v>184</v>
      </c>
      <c r="M30" s="80">
        <f t="shared" si="7"/>
        <v>-3.1578947400000001E-2</v>
      </c>
      <c r="O30" s="106" t="s">
        <v>107</v>
      </c>
      <c r="P30" s="79">
        <f t="shared" si="8"/>
        <v>101</v>
      </c>
      <c r="Q30" s="80">
        <f t="shared" si="9"/>
        <v>-0.10619469030000001</v>
      </c>
    </row>
    <row r="31" spans="1:17">
      <c r="A31" t="s">
        <v>222</v>
      </c>
      <c r="B31" t="s">
        <v>221</v>
      </c>
      <c r="C31">
        <v>517</v>
      </c>
      <c r="D31" s="90">
        <v>-4.4362292099999999E-2</v>
      </c>
      <c r="E31" s="67"/>
      <c r="F31" s="67"/>
      <c r="G31" s="67"/>
      <c r="H31" s="67"/>
      <c r="I31" s="67"/>
    </row>
    <row r="32" spans="1:17" hidden="1">
      <c r="A32" t="s">
        <v>299</v>
      </c>
      <c r="B32" t="s">
        <v>300</v>
      </c>
      <c r="C32">
        <v>1815</v>
      </c>
      <c r="D32" s="90">
        <v>-4.72440945E-2</v>
      </c>
      <c r="E32" s="67"/>
      <c r="F32" s="67"/>
      <c r="G32" s="67"/>
      <c r="H32" s="67"/>
      <c r="I32" s="67"/>
    </row>
    <row r="33" spans="1:9" hidden="1">
      <c r="A33" t="s">
        <v>277</v>
      </c>
      <c r="B33" t="s">
        <v>262</v>
      </c>
      <c r="C33">
        <v>11570</v>
      </c>
      <c r="D33" s="90">
        <v>-4.9301561200000003E-2</v>
      </c>
      <c r="E33" s="67"/>
      <c r="F33" s="67"/>
      <c r="G33" s="67"/>
      <c r="H33" s="67"/>
      <c r="I33" s="67"/>
    </row>
    <row r="34" spans="1:9" hidden="1">
      <c r="A34" t="s">
        <v>285</v>
      </c>
      <c r="B34" t="s">
        <v>286</v>
      </c>
      <c r="C34">
        <v>61430</v>
      </c>
      <c r="D34" s="90">
        <v>-4.9365521500000002E-2</v>
      </c>
      <c r="E34" s="67"/>
      <c r="F34" s="67"/>
      <c r="G34" s="67"/>
      <c r="H34" s="67"/>
      <c r="I34" s="67"/>
    </row>
    <row r="35" spans="1:9" hidden="1">
      <c r="A35" t="s">
        <v>224</v>
      </c>
      <c r="B35" t="s">
        <v>223</v>
      </c>
      <c r="C35">
        <v>19160</v>
      </c>
      <c r="D35" s="90">
        <v>-5.00743679E-2</v>
      </c>
      <c r="E35" s="67"/>
      <c r="F35" s="67"/>
      <c r="G35" s="67"/>
      <c r="H35" s="67"/>
      <c r="I35" s="67"/>
    </row>
    <row r="36" spans="1:9" hidden="1">
      <c r="A36" t="s">
        <v>312</v>
      </c>
      <c r="B36" t="s">
        <v>173</v>
      </c>
      <c r="C36">
        <v>14990</v>
      </c>
      <c r="D36" s="90">
        <v>-5.1865907699999998E-2</v>
      </c>
      <c r="E36" s="67"/>
      <c r="F36" s="67"/>
      <c r="G36" s="67"/>
      <c r="H36" s="67"/>
      <c r="I36" s="67"/>
    </row>
    <row r="37" spans="1:9" hidden="1">
      <c r="A37" t="s">
        <v>206</v>
      </c>
      <c r="B37" t="s">
        <v>205</v>
      </c>
      <c r="C37">
        <v>11060</v>
      </c>
      <c r="D37" s="90">
        <v>-5.6313993200000002E-2</v>
      </c>
      <c r="E37" s="67"/>
      <c r="F37" s="67"/>
      <c r="G37" s="67"/>
      <c r="H37" s="67"/>
      <c r="I37" s="67"/>
    </row>
    <row r="38" spans="1:9" hidden="1">
      <c r="A38" t="s">
        <v>289</v>
      </c>
      <c r="B38" t="s">
        <v>290</v>
      </c>
      <c r="C38">
        <v>3090</v>
      </c>
      <c r="D38" s="90">
        <v>-5.64885496E-2</v>
      </c>
      <c r="E38" s="67"/>
      <c r="F38" s="67"/>
      <c r="G38" s="67"/>
      <c r="H38" s="67"/>
      <c r="I38" s="67"/>
    </row>
    <row r="39" spans="1:9">
      <c r="A39" t="s">
        <v>295</v>
      </c>
      <c r="B39" t="s">
        <v>176</v>
      </c>
      <c r="C39">
        <v>247</v>
      </c>
      <c r="D39" s="90">
        <v>-6.0836501899999999E-2</v>
      </c>
      <c r="E39" s="67"/>
      <c r="F39" s="67"/>
      <c r="G39" s="67"/>
      <c r="H39" s="67"/>
      <c r="I39" s="67"/>
    </row>
    <row r="40" spans="1:9" hidden="1">
      <c r="A40" t="s">
        <v>276</v>
      </c>
      <c r="B40" t="s">
        <v>255</v>
      </c>
      <c r="C40">
        <v>2130</v>
      </c>
      <c r="D40" s="90">
        <v>-6.3736263700000004E-2</v>
      </c>
      <c r="E40" s="67"/>
      <c r="F40" s="67"/>
      <c r="G40" s="67"/>
      <c r="H40" s="67"/>
      <c r="I40" s="67"/>
    </row>
    <row r="41" spans="1:9">
      <c r="A41" t="s">
        <v>144</v>
      </c>
      <c r="B41" t="s">
        <v>143</v>
      </c>
      <c r="C41">
        <v>618</v>
      </c>
      <c r="D41" s="90">
        <v>-6.5052950100000007E-2</v>
      </c>
      <c r="E41" s="67"/>
      <c r="F41" s="67"/>
      <c r="G41" s="67"/>
      <c r="H41" s="67"/>
      <c r="I41" s="67"/>
    </row>
    <row r="42" spans="1:9" hidden="1">
      <c r="A42" t="s">
        <v>317</v>
      </c>
      <c r="B42" t="s">
        <v>163</v>
      </c>
      <c r="C42">
        <v>1330</v>
      </c>
      <c r="D42" s="90">
        <v>-6.6666666700000002E-2</v>
      </c>
      <c r="E42" s="67"/>
      <c r="F42" s="67"/>
      <c r="G42" s="67"/>
      <c r="H42" s="67"/>
      <c r="I42" s="67"/>
    </row>
    <row r="43" spans="1:9">
      <c r="A43" t="s">
        <v>162</v>
      </c>
      <c r="B43" t="s">
        <v>161</v>
      </c>
      <c r="C43">
        <v>195</v>
      </c>
      <c r="D43" s="90">
        <v>-6.6985645900000002E-2</v>
      </c>
      <c r="E43" s="67"/>
      <c r="F43" s="67"/>
      <c r="G43" s="67"/>
      <c r="H43" s="67"/>
      <c r="I43" s="67"/>
    </row>
    <row r="44" spans="1:9" hidden="1">
      <c r="A44" t="s">
        <v>316</v>
      </c>
      <c r="B44" t="s">
        <v>166</v>
      </c>
      <c r="C44">
        <v>3650</v>
      </c>
      <c r="D44" s="90">
        <v>-6.7688377999999993E-2</v>
      </c>
      <c r="E44" s="67"/>
      <c r="F44" s="67"/>
      <c r="G44" s="67"/>
      <c r="H44" s="67"/>
      <c r="I44" s="67"/>
    </row>
    <row r="45" spans="1:9" hidden="1">
      <c r="A45" t="s">
        <v>344</v>
      </c>
      <c r="B45" t="s">
        <v>345</v>
      </c>
      <c r="C45">
        <v>9620</v>
      </c>
      <c r="D45" s="90">
        <v>-6.7829457400000001E-2</v>
      </c>
      <c r="E45" s="67"/>
      <c r="F45" s="67"/>
      <c r="G45" s="67"/>
      <c r="H45" s="67"/>
      <c r="I45" s="67"/>
    </row>
    <row r="46" spans="1:9">
      <c r="A46" t="s">
        <v>97</v>
      </c>
      <c r="B46" t="s">
        <v>96</v>
      </c>
      <c r="C46">
        <v>795</v>
      </c>
      <c r="D46" s="90">
        <v>-6.7995310700000006E-2</v>
      </c>
      <c r="E46" s="67"/>
      <c r="F46" s="67"/>
      <c r="G46" s="67"/>
      <c r="H46" s="67"/>
      <c r="I46" s="67"/>
    </row>
    <row r="47" spans="1:9">
      <c r="A47" t="s">
        <v>293</v>
      </c>
      <c r="B47" t="s">
        <v>200</v>
      </c>
      <c r="C47">
        <v>174</v>
      </c>
      <c r="D47" s="90">
        <v>-6.9518716600000002E-2</v>
      </c>
      <c r="E47" s="67"/>
      <c r="F47" s="67"/>
      <c r="G47" s="67"/>
      <c r="H47" s="67"/>
      <c r="I47" s="67"/>
    </row>
    <row r="48" spans="1:9" hidden="1">
      <c r="A48" t="s">
        <v>354</v>
      </c>
      <c r="B48" t="s">
        <v>237</v>
      </c>
      <c r="C48">
        <v>46650</v>
      </c>
      <c r="D48" s="90">
        <v>-7.0161451099999994E-2</v>
      </c>
      <c r="E48" s="67"/>
      <c r="F48" s="67"/>
      <c r="G48" s="67"/>
      <c r="H48" s="67"/>
      <c r="I48" s="67"/>
    </row>
    <row r="49" spans="1:9" hidden="1">
      <c r="A49" t="s">
        <v>296</v>
      </c>
      <c r="B49" t="s">
        <v>178</v>
      </c>
      <c r="C49">
        <v>2715</v>
      </c>
      <c r="D49" s="90">
        <v>-7.3378839599999995E-2</v>
      </c>
      <c r="E49" s="67"/>
      <c r="F49" s="67"/>
      <c r="G49" s="67"/>
      <c r="H49" s="67"/>
      <c r="I49" s="67"/>
    </row>
    <row r="50" spans="1:9">
      <c r="A50" t="s">
        <v>165</v>
      </c>
      <c r="B50" t="s">
        <v>164</v>
      </c>
      <c r="C50">
        <v>415</v>
      </c>
      <c r="D50" s="90">
        <v>-7.3660714299999999E-2</v>
      </c>
      <c r="E50" s="67"/>
      <c r="F50" s="67"/>
      <c r="G50" s="67"/>
      <c r="H50" s="67"/>
      <c r="I50" s="67"/>
    </row>
    <row r="51" spans="1:9" hidden="1">
      <c r="A51" t="s">
        <v>307</v>
      </c>
      <c r="B51" t="s">
        <v>308</v>
      </c>
      <c r="C51">
        <v>16160</v>
      </c>
      <c r="D51" s="90">
        <v>-7.4985689800000005E-2</v>
      </c>
      <c r="E51" s="67"/>
      <c r="F51" s="67"/>
      <c r="G51" s="67"/>
      <c r="H51" s="67"/>
      <c r="I51" s="67"/>
    </row>
    <row r="52" spans="1:9" hidden="1">
      <c r="A52" t="s">
        <v>355</v>
      </c>
      <c r="B52" t="s">
        <v>238</v>
      </c>
      <c r="C52">
        <v>4920</v>
      </c>
      <c r="D52" s="90">
        <v>-7.5187969899999998E-2</v>
      </c>
      <c r="E52" s="67"/>
      <c r="F52" s="67"/>
      <c r="G52" s="67"/>
      <c r="H52" s="67"/>
      <c r="I52" s="67"/>
    </row>
    <row r="53" spans="1:9" hidden="1">
      <c r="A53" t="s">
        <v>119</v>
      </c>
      <c r="B53" t="s">
        <v>118</v>
      </c>
      <c r="C53">
        <v>8560</v>
      </c>
      <c r="D53" s="90">
        <v>-7.5593952500000006E-2</v>
      </c>
      <c r="E53" s="67"/>
      <c r="F53" s="67"/>
      <c r="G53" s="67"/>
      <c r="H53" s="67"/>
      <c r="I53" s="67"/>
    </row>
    <row r="54" spans="1:9" hidden="1">
      <c r="A54" t="s">
        <v>219</v>
      </c>
      <c r="B54" t="s">
        <v>218</v>
      </c>
      <c r="C54">
        <v>7580</v>
      </c>
      <c r="D54" s="90">
        <v>-7.6173065200000001E-2</v>
      </c>
      <c r="E54" s="67"/>
      <c r="F54" s="67"/>
      <c r="G54" s="67"/>
      <c r="H54" s="67"/>
      <c r="I54" s="67"/>
    </row>
    <row r="55" spans="1:9" hidden="1">
      <c r="A55" t="s">
        <v>169</v>
      </c>
      <c r="B55" t="s">
        <v>168</v>
      </c>
      <c r="C55">
        <v>9.58</v>
      </c>
      <c r="D55" s="90">
        <v>-7.8846153799999999E-2</v>
      </c>
      <c r="E55" s="67"/>
      <c r="F55" s="67"/>
      <c r="G55" s="67"/>
      <c r="H55" s="67"/>
      <c r="I55" s="67"/>
    </row>
    <row r="56" spans="1:9" hidden="1">
      <c r="A56" t="s">
        <v>211</v>
      </c>
      <c r="B56" t="s">
        <v>210</v>
      </c>
      <c r="C56">
        <v>2880</v>
      </c>
      <c r="D56" s="90">
        <v>-7.9872204500000002E-2</v>
      </c>
      <c r="E56" s="67"/>
      <c r="F56" s="67"/>
      <c r="G56" s="67"/>
      <c r="H56" s="67"/>
      <c r="I56" s="67"/>
    </row>
    <row r="57" spans="1:9" hidden="1">
      <c r="A57" t="s">
        <v>310</v>
      </c>
      <c r="B57" t="s">
        <v>177</v>
      </c>
      <c r="C57">
        <v>4190</v>
      </c>
      <c r="D57" s="90">
        <v>-8.1140350900000005E-2</v>
      </c>
      <c r="E57" s="67"/>
      <c r="F57" s="67"/>
      <c r="G57" s="67"/>
      <c r="H57" s="67"/>
      <c r="I57" s="67"/>
    </row>
    <row r="58" spans="1:9">
      <c r="A58" t="s">
        <v>110</v>
      </c>
      <c r="B58" t="s">
        <v>109</v>
      </c>
      <c r="C58">
        <v>672</v>
      </c>
      <c r="D58" s="90">
        <v>-8.1967213100000005E-2</v>
      </c>
      <c r="E58" s="67"/>
      <c r="F58" s="67"/>
      <c r="G58" s="67"/>
      <c r="H58" s="67"/>
      <c r="I58" s="67"/>
    </row>
    <row r="59" spans="1:9">
      <c r="A59" t="s">
        <v>303</v>
      </c>
      <c r="B59" t="s">
        <v>185</v>
      </c>
      <c r="C59">
        <v>826</v>
      </c>
      <c r="D59" s="90">
        <v>-8.22222222E-2</v>
      </c>
      <c r="E59" s="67"/>
      <c r="F59" s="67"/>
      <c r="G59" s="67"/>
      <c r="H59" s="67"/>
      <c r="I59" s="67"/>
    </row>
    <row r="60" spans="1:9" hidden="1">
      <c r="A60" t="s">
        <v>239</v>
      </c>
      <c r="B60" t="s">
        <v>240</v>
      </c>
      <c r="C60">
        <v>9350</v>
      </c>
      <c r="D60" s="90">
        <v>-8.5127201599999994E-2</v>
      </c>
      <c r="E60" s="67"/>
      <c r="F60" s="67"/>
      <c r="G60" s="67"/>
      <c r="H60" s="67"/>
      <c r="I60" s="67"/>
    </row>
    <row r="61" spans="1:9" hidden="1">
      <c r="A61" t="s">
        <v>190</v>
      </c>
      <c r="B61" t="s">
        <v>189</v>
      </c>
      <c r="C61">
        <v>1695</v>
      </c>
      <c r="D61" s="90">
        <v>-8.8709677400000006E-2</v>
      </c>
      <c r="E61" s="67"/>
      <c r="F61" s="67"/>
      <c r="G61" s="67"/>
      <c r="H61" s="67"/>
      <c r="I61" s="67"/>
    </row>
    <row r="62" spans="1:9">
      <c r="A62" t="s">
        <v>208</v>
      </c>
      <c r="B62" t="s">
        <v>207</v>
      </c>
      <c r="C62">
        <v>662</v>
      </c>
      <c r="D62" s="90">
        <v>-8.9408528200000004E-2</v>
      </c>
      <c r="E62" s="67"/>
      <c r="F62" s="67"/>
      <c r="G62" s="67"/>
      <c r="H62" s="67"/>
      <c r="I62" s="67"/>
    </row>
    <row r="63" spans="1:9" hidden="1">
      <c r="A63" t="s">
        <v>182</v>
      </c>
      <c r="B63" t="s">
        <v>181</v>
      </c>
      <c r="C63">
        <v>1345</v>
      </c>
      <c r="D63" s="90">
        <v>-9.1216216200000005E-2</v>
      </c>
      <c r="E63" s="67"/>
      <c r="F63" s="67"/>
      <c r="G63" s="67"/>
      <c r="H63" s="67"/>
      <c r="I63" s="67"/>
    </row>
    <row r="64" spans="1:9">
      <c r="A64" t="s">
        <v>331</v>
      </c>
      <c r="B64" t="s">
        <v>137</v>
      </c>
      <c r="C64">
        <v>734</v>
      </c>
      <c r="D64" s="90">
        <v>-9.1584158400000004E-2</v>
      </c>
      <c r="E64" s="67"/>
      <c r="F64" s="67"/>
      <c r="G64" s="67"/>
      <c r="H64" s="67"/>
      <c r="I64" s="67"/>
    </row>
    <row r="65" spans="1:9" hidden="1">
      <c r="A65" t="s">
        <v>314</v>
      </c>
      <c r="B65" t="s">
        <v>171</v>
      </c>
      <c r="C65">
        <v>45.5</v>
      </c>
      <c r="D65" s="90">
        <v>-9.1816367300000007E-2</v>
      </c>
      <c r="E65" s="67"/>
      <c r="F65" s="67"/>
      <c r="G65" s="67"/>
      <c r="H65" s="67"/>
      <c r="I65" s="67"/>
    </row>
    <row r="66" spans="1:9" hidden="1">
      <c r="A66" t="s">
        <v>327</v>
      </c>
      <c r="B66" t="s">
        <v>147</v>
      </c>
      <c r="C66">
        <v>97.1</v>
      </c>
      <c r="D66" s="90">
        <v>-9.2523364499999997E-2</v>
      </c>
      <c r="E66" s="67"/>
      <c r="F66" s="67"/>
      <c r="G66" s="67"/>
      <c r="H66" s="67"/>
      <c r="I66" s="67"/>
    </row>
    <row r="67" spans="1:9">
      <c r="A67" t="s">
        <v>318</v>
      </c>
      <c r="B67" t="s">
        <v>160</v>
      </c>
      <c r="C67">
        <v>462</v>
      </c>
      <c r="D67" s="90">
        <v>-9.4117647099999993E-2</v>
      </c>
      <c r="E67" s="67"/>
      <c r="F67" s="67"/>
      <c r="G67" s="67"/>
      <c r="H67" s="67"/>
      <c r="I67" s="67"/>
    </row>
    <row r="68" spans="1:9">
      <c r="A68" t="s">
        <v>204</v>
      </c>
      <c r="B68" t="s">
        <v>203</v>
      </c>
      <c r="C68">
        <v>661</v>
      </c>
      <c r="D68" s="90">
        <v>-9.5759233900000004E-2</v>
      </c>
      <c r="E68" s="67"/>
      <c r="F68" s="67"/>
      <c r="G68" s="67"/>
      <c r="H68" s="67"/>
      <c r="I68" s="67"/>
    </row>
    <row r="69" spans="1:9" hidden="1">
      <c r="A69" t="s">
        <v>280</v>
      </c>
      <c r="B69" t="s">
        <v>217</v>
      </c>
      <c r="C69">
        <v>1435</v>
      </c>
      <c r="D69" s="90">
        <v>-9.7484276699999997E-2</v>
      </c>
      <c r="E69" s="67"/>
      <c r="F69" s="67"/>
      <c r="G69" s="67"/>
      <c r="H69" s="67"/>
      <c r="I69" s="67"/>
    </row>
    <row r="70" spans="1:9" hidden="1">
      <c r="A70" t="s">
        <v>115</v>
      </c>
      <c r="B70" t="s">
        <v>114</v>
      </c>
      <c r="C70">
        <v>2360</v>
      </c>
      <c r="D70" s="90">
        <v>-0.10095238099999999</v>
      </c>
      <c r="E70" s="67"/>
      <c r="F70" s="67"/>
      <c r="G70" s="67"/>
      <c r="H70" s="67"/>
      <c r="I70" s="67"/>
    </row>
    <row r="71" spans="1:9">
      <c r="A71" t="s">
        <v>139</v>
      </c>
      <c r="B71" t="s">
        <v>138</v>
      </c>
      <c r="C71">
        <v>299</v>
      </c>
      <c r="D71" s="90">
        <v>-0.10210210209999999</v>
      </c>
      <c r="E71" s="67"/>
      <c r="F71" s="67"/>
      <c r="G71" s="67"/>
      <c r="H71" s="67"/>
      <c r="I71" s="67"/>
    </row>
    <row r="72" spans="1:9">
      <c r="A72" t="s">
        <v>192</v>
      </c>
      <c r="B72" t="s">
        <v>191</v>
      </c>
      <c r="C72">
        <v>219</v>
      </c>
      <c r="D72" s="90">
        <v>-0.10245901640000001</v>
      </c>
      <c r="E72" s="67"/>
      <c r="F72" s="67"/>
      <c r="G72" s="67"/>
      <c r="H72" s="67"/>
      <c r="I72" s="67"/>
    </row>
    <row r="73" spans="1:9">
      <c r="A73" t="s">
        <v>328</v>
      </c>
      <c r="B73" t="s">
        <v>146</v>
      </c>
      <c r="C73">
        <v>209</v>
      </c>
      <c r="D73" s="90">
        <v>-0.10300429179999999</v>
      </c>
      <c r="E73" s="67"/>
      <c r="F73" s="67"/>
      <c r="G73" s="67"/>
      <c r="H73" s="67"/>
      <c r="I73" s="67"/>
    </row>
    <row r="74" spans="1:9">
      <c r="A74" t="s">
        <v>179</v>
      </c>
      <c r="B74" t="s">
        <v>170</v>
      </c>
      <c r="C74">
        <v>594</v>
      </c>
      <c r="D74" s="90">
        <v>-0.1040723982</v>
      </c>
      <c r="E74" s="67"/>
      <c r="F74" s="67"/>
      <c r="G74" s="67"/>
      <c r="H74" s="67"/>
      <c r="I74" s="67"/>
    </row>
    <row r="75" spans="1:9">
      <c r="A75" t="s">
        <v>338</v>
      </c>
      <c r="B75" t="s">
        <v>134</v>
      </c>
      <c r="C75">
        <v>317</v>
      </c>
      <c r="D75" s="90">
        <v>-0.104519774</v>
      </c>
      <c r="E75" s="67"/>
      <c r="F75" s="67"/>
      <c r="G75" s="67"/>
      <c r="H75" s="67"/>
      <c r="I75" s="67"/>
    </row>
    <row r="76" spans="1:9" hidden="1">
      <c r="A76" t="s">
        <v>305</v>
      </c>
      <c r="B76" t="s">
        <v>184</v>
      </c>
      <c r="C76">
        <v>3010</v>
      </c>
      <c r="D76" s="90">
        <v>-0.10549777120000001</v>
      </c>
      <c r="E76" s="67"/>
      <c r="F76" s="67"/>
      <c r="G76" s="67"/>
      <c r="H76" s="67"/>
      <c r="I76" s="67"/>
    </row>
    <row r="77" spans="1:9">
      <c r="A77" t="s">
        <v>108</v>
      </c>
      <c r="B77" t="s">
        <v>107</v>
      </c>
      <c r="C77">
        <v>101</v>
      </c>
      <c r="D77" s="90">
        <v>-0.10619469030000001</v>
      </c>
      <c r="E77" s="67"/>
      <c r="F77" s="67"/>
      <c r="G77" s="67"/>
      <c r="H77" s="67"/>
      <c r="I77" s="67"/>
    </row>
    <row r="78" spans="1:9" hidden="1">
      <c r="A78" t="s">
        <v>273</v>
      </c>
      <c r="B78" t="s">
        <v>259</v>
      </c>
      <c r="C78">
        <v>5485</v>
      </c>
      <c r="D78" s="90">
        <v>-0.1110210697</v>
      </c>
      <c r="E78" s="67"/>
      <c r="F78" s="67"/>
      <c r="G78" s="67"/>
      <c r="H78" s="67"/>
      <c r="I78" s="67"/>
    </row>
    <row r="79" spans="1:9" hidden="1">
      <c r="A79" t="s">
        <v>353</v>
      </c>
      <c r="B79" t="s">
        <v>92</v>
      </c>
      <c r="C79">
        <v>5130</v>
      </c>
      <c r="D79" s="90">
        <v>-0.1132238548</v>
      </c>
      <c r="E79" s="67"/>
      <c r="F79" s="67"/>
      <c r="G79" s="67"/>
      <c r="H79" s="67"/>
      <c r="I79" s="67"/>
    </row>
    <row r="80" spans="1:9" hidden="1">
      <c r="A80" t="s">
        <v>306</v>
      </c>
      <c r="B80" t="s">
        <v>183</v>
      </c>
      <c r="C80">
        <v>25.7</v>
      </c>
      <c r="D80" s="90">
        <v>-0.1137931034</v>
      </c>
      <c r="E80" s="67"/>
      <c r="F80" s="67"/>
      <c r="G80" s="67"/>
      <c r="H80" s="67"/>
      <c r="I80" s="67"/>
    </row>
    <row r="81" spans="1:9" hidden="1">
      <c r="A81" t="s">
        <v>117</v>
      </c>
      <c r="B81" t="s">
        <v>116</v>
      </c>
      <c r="C81">
        <v>39</v>
      </c>
      <c r="D81" s="90">
        <v>-0.1176470588</v>
      </c>
      <c r="E81" s="67"/>
      <c r="F81" s="67"/>
      <c r="G81" s="67"/>
      <c r="H81" s="67"/>
      <c r="I81" s="67"/>
    </row>
    <row r="82" spans="1:9">
      <c r="A82" t="s">
        <v>152</v>
      </c>
      <c r="B82" t="s">
        <v>151</v>
      </c>
      <c r="C82">
        <v>290</v>
      </c>
      <c r="D82" s="90">
        <v>-0.1185410334</v>
      </c>
      <c r="E82" s="67"/>
      <c r="F82" s="67"/>
      <c r="G82" s="67"/>
      <c r="H82" s="67"/>
      <c r="I82" s="67"/>
    </row>
    <row r="83" spans="1:9">
      <c r="A83" t="s">
        <v>194</v>
      </c>
      <c r="B83" t="s">
        <v>193</v>
      </c>
      <c r="C83">
        <v>560</v>
      </c>
      <c r="D83" s="90">
        <v>-0.1208791209</v>
      </c>
      <c r="E83" s="67"/>
      <c r="F83" s="67"/>
      <c r="G83" s="67"/>
      <c r="H83" s="67"/>
      <c r="I83" s="67"/>
    </row>
    <row r="84" spans="1:9">
      <c r="A84" t="s">
        <v>330</v>
      </c>
      <c r="B84" t="s">
        <v>142</v>
      </c>
      <c r="C84">
        <v>145</v>
      </c>
      <c r="D84" s="90">
        <v>-0.12121212119999999</v>
      </c>
      <c r="E84" s="67"/>
      <c r="F84" s="67"/>
      <c r="G84" s="67"/>
      <c r="H84" s="67"/>
      <c r="I84" s="67"/>
    </row>
    <row r="85" spans="1:9" hidden="1">
      <c r="A85" t="s">
        <v>333</v>
      </c>
      <c r="B85" t="s">
        <v>135</v>
      </c>
      <c r="C85">
        <v>22.9</v>
      </c>
      <c r="D85" s="90">
        <v>-0.12260536399999999</v>
      </c>
      <c r="E85" s="67"/>
      <c r="F85" s="67"/>
      <c r="G85" s="67"/>
      <c r="H85" s="67"/>
      <c r="I85" s="67"/>
    </row>
    <row r="86" spans="1:9">
      <c r="A86" t="s">
        <v>348</v>
      </c>
      <c r="B86" t="s">
        <v>100</v>
      </c>
      <c r="C86">
        <v>271</v>
      </c>
      <c r="D86" s="90">
        <v>-0.1229773463</v>
      </c>
      <c r="E86" s="67"/>
      <c r="F86" s="67"/>
      <c r="G86" s="67"/>
      <c r="H86" s="67"/>
      <c r="I86" s="67"/>
    </row>
    <row r="87" spans="1:9">
      <c r="A87" t="s">
        <v>123</v>
      </c>
      <c r="B87" t="s">
        <v>122</v>
      </c>
      <c r="C87">
        <v>627</v>
      </c>
      <c r="D87" s="90">
        <v>-0.1230769231</v>
      </c>
      <c r="E87" s="67"/>
      <c r="F87" s="67"/>
      <c r="G87" s="67"/>
      <c r="H87" s="67"/>
      <c r="I87" s="67"/>
    </row>
    <row r="88" spans="1:9" hidden="1">
      <c r="A88" t="s">
        <v>339</v>
      </c>
      <c r="B88" t="s">
        <v>129</v>
      </c>
      <c r="C88">
        <v>17840</v>
      </c>
      <c r="D88" s="90">
        <v>-0.1237721022</v>
      </c>
      <c r="E88" s="67"/>
      <c r="F88" s="67"/>
      <c r="G88" s="67"/>
      <c r="H88" s="67"/>
      <c r="I88" s="67"/>
    </row>
    <row r="89" spans="1:9">
      <c r="A89" t="s">
        <v>127</v>
      </c>
      <c r="B89" t="s">
        <v>126</v>
      </c>
      <c r="C89">
        <v>120</v>
      </c>
      <c r="D89" s="90">
        <v>-0.1240875912</v>
      </c>
      <c r="E89" s="67"/>
      <c r="F89" s="67"/>
      <c r="G89" s="67"/>
      <c r="H89" s="67"/>
      <c r="I89" s="67"/>
    </row>
    <row r="90" spans="1:9">
      <c r="A90" t="s">
        <v>198</v>
      </c>
      <c r="B90" t="s">
        <v>197</v>
      </c>
      <c r="C90">
        <v>218</v>
      </c>
      <c r="D90" s="90">
        <v>-0.124497992</v>
      </c>
      <c r="E90" s="67"/>
      <c r="F90" s="67"/>
      <c r="G90" s="67"/>
      <c r="H90" s="67"/>
      <c r="I90" s="67"/>
    </row>
    <row r="91" spans="1:9" hidden="1">
      <c r="A91" t="s">
        <v>313</v>
      </c>
      <c r="B91" t="s">
        <v>172</v>
      </c>
      <c r="C91">
        <v>91.9</v>
      </c>
      <c r="D91" s="90">
        <v>-0.1247619048</v>
      </c>
      <c r="E91" s="67"/>
      <c r="F91" s="67"/>
      <c r="G91" s="67"/>
      <c r="H91" s="67"/>
      <c r="I91" s="67"/>
    </row>
    <row r="92" spans="1:9" hidden="1">
      <c r="A92" t="s">
        <v>322</v>
      </c>
      <c r="B92" t="s">
        <v>158</v>
      </c>
      <c r="C92">
        <v>27.9</v>
      </c>
      <c r="D92" s="90">
        <v>-0.12539184950000001</v>
      </c>
      <c r="E92" s="67"/>
      <c r="F92" s="67"/>
      <c r="G92" s="67"/>
      <c r="H92" s="67"/>
      <c r="I92" s="67"/>
    </row>
    <row r="93" spans="1:9">
      <c r="A93" t="s">
        <v>102</v>
      </c>
      <c r="B93" t="s">
        <v>101</v>
      </c>
      <c r="C93">
        <v>250</v>
      </c>
      <c r="D93" s="90">
        <v>-0.12587412589999999</v>
      </c>
      <c r="E93" s="67"/>
      <c r="F93" s="67"/>
      <c r="G93" s="67"/>
      <c r="H93" s="67"/>
      <c r="I93" s="67"/>
    </row>
    <row r="94" spans="1:9">
      <c r="A94" t="s">
        <v>346</v>
      </c>
      <c r="B94" t="s">
        <v>104</v>
      </c>
      <c r="C94">
        <v>256</v>
      </c>
      <c r="D94" s="90">
        <v>-0.12627986350000001</v>
      </c>
      <c r="E94" s="67"/>
      <c r="F94" s="67"/>
      <c r="G94" s="67"/>
      <c r="H94" s="67"/>
      <c r="I94" s="67"/>
    </row>
    <row r="95" spans="1:9">
      <c r="A95" t="s">
        <v>315</v>
      </c>
      <c r="B95" t="s">
        <v>167</v>
      </c>
      <c r="C95">
        <v>221</v>
      </c>
      <c r="D95" s="90">
        <v>-0.12648221339999999</v>
      </c>
      <c r="E95" s="67"/>
      <c r="F95" s="67"/>
      <c r="G95" s="67"/>
      <c r="H95" s="67"/>
      <c r="I95" s="67"/>
    </row>
    <row r="96" spans="1:9">
      <c r="A96" t="s">
        <v>157</v>
      </c>
      <c r="B96" t="s">
        <v>156</v>
      </c>
      <c r="C96">
        <v>379</v>
      </c>
      <c r="D96" s="90">
        <v>-0.1267281106</v>
      </c>
      <c r="E96" s="67"/>
      <c r="F96" s="67"/>
      <c r="G96" s="67"/>
      <c r="H96" s="67"/>
      <c r="I96" s="67"/>
    </row>
    <row r="97" spans="1:9" hidden="1">
      <c r="A97" t="s">
        <v>304</v>
      </c>
      <c r="B97" t="s">
        <v>95</v>
      </c>
      <c r="C97">
        <v>27.4</v>
      </c>
      <c r="D97" s="90">
        <v>-0.127388535</v>
      </c>
      <c r="E97" s="67"/>
      <c r="F97" s="67"/>
      <c r="G97" s="67"/>
      <c r="H97" s="67"/>
      <c r="I97" s="67"/>
    </row>
    <row r="98" spans="1:9" hidden="1">
      <c r="A98" t="s">
        <v>213</v>
      </c>
      <c r="B98" t="s">
        <v>212</v>
      </c>
      <c r="C98">
        <v>4140</v>
      </c>
      <c r="D98" s="90">
        <v>-0.12750263440000001</v>
      </c>
      <c r="E98" s="67"/>
      <c r="F98" s="67"/>
      <c r="G98" s="67"/>
      <c r="H98" s="67"/>
      <c r="I98" s="67"/>
    </row>
    <row r="99" spans="1:9" hidden="1">
      <c r="A99" t="s">
        <v>301</v>
      </c>
      <c r="B99" t="s">
        <v>187</v>
      </c>
      <c r="C99">
        <v>1535</v>
      </c>
      <c r="D99" s="90">
        <v>-0.12784090910000001</v>
      </c>
      <c r="E99" s="67"/>
      <c r="F99" s="67"/>
      <c r="G99" s="67"/>
      <c r="H99" s="67"/>
      <c r="I99" s="67"/>
    </row>
    <row r="100" spans="1:9">
      <c r="A100" t="s">
        <v>150</v>
      </c>
      <c r="B100" t="s">
        <v>149</v>
      </c>
      <c r="C100">
        <v>470</v>
      </c>
      <c r="D100" s="90">
        <v>-0.12801484229999999</v>
      </c>
      <c r="E100" s="67"/>
      <c r="F100" s="67"/>
      <c r="G100" s="67"/>
      <c r="H100" s="67"/>
      <c r="I100" s="67"/>
    </row>
    <row r="101" spans="1:9">
      <c r="A101" t="s">
        <v>281</v>
      </c>
      <c r="B101" t="s">
        <v>214</v>
      </c>
      <c r="C101">
        <v>556</v>
      </c>
      <c r="D101" s="90">
        <v>-0.1298904538</v>
      </c>
      <c r="E101" s="67"/>
      <c r="F101" s="67"/>
      <c r="G101" s="67"/>
      <c r="H101" s="67"/>
      <c r="I101" s="67"/>
    </row>
    <row r="102" spans="1:9" hidden="1">
      <c r="A102" t="s">
        <v>302</v>
      </c>
      <c r="B102" t="s">
        <v>186</v>
      </c>
      <c r="C102">
        <v>28</v>
      </c>
      <c r="D102" s="90">
        <v>-0.13043478259999999</v>
      </c>
      <c r="E102" s="67"/>
      <c r="F102" s="67"/>
      <c r="G102" s="67"/>
      <c r="H102" s="67"/>
      <c r="I102" s="67"/>
    </row>
    <row r="103" spans="1:9" hidden="1">
      <c r="A103" t="s">
        <v>323</v>
      </c>
      <c r="B103" t="s">
        <v>155</v>
      </c>
      <c r="C103">
        <v>24.5</v>
      </c>
      <c r="D103" s="90">
        <v>-0.13120567380000001</v>
      </c>
      <c r="E103" s="67"/>
      <c r="F103" s="67"/>
      <c r="G103" s="67"/>
      <c r="H103" s="67"/>
      <c r="I103" s="67"/>
    </row>
    <row r="104" spans="1:9" hidden="1">
      <c r="A104" t="s">
        <v>347</v>
      </c>
      <c r="B104" t="s">
        <v>103</v>
      </c>
      <c r="C104">
        <v>34.299999999999997</v>
      </c>
      <c r="D104" s="90">
        <v>-0.13164556960000001</v>
      </c>
      <c r="E104" s="67"/>
      <c r="F104" s="67"/>
      <c r="G104" s="67"/>
      <c r="H104" s="67"/>
      <c r="I104" s="67"/>
    </row>
    <row r="105" spans="1:9">
      <c r="A105" t="s">
        <v>342</v>
      </c>
      <c r="B105" t="s">
        <v>124</v>
      </c>
      <c r="C105">
        <v>611</v>
      </c>
      <c r="D105" s="90">
        <v>-0.1321022727</v>
      </c>
      <c r="E105" s="67"/>
      <c r="F105" s="67"/>
      <c r="G105" s="67"/>
      <c r="H105" s="67"/>
      <c r="I105" s="67"/>
    </row>
    <row r="106" spans="1:9">
      <c r="A106" t="s">
        <v>106</v>
      </c>
      <c r="B106" t="s">
        <v>105</v>
      </c>
      <c r="C106">
        <v>164</v>
      </c>
      <c r="D106" s="90">
        <v>-0.13227513229999999</v>
      </c>
      <c r="E106" s="67"/>
      <c r="F106" s="67"/>
      <c r="G106" s="67"/>
      <c r="H106" s="67"/>
      <c r="I106" s="67"/>
    </row>
    <row r="107" spans="1:9">
      <c r="A107" t="s">
        <v>309</v>
      </c>
      <c r="B107" t="s">
        <v>180</v>
      </c>
      <c r="C107">
        <v>227</v>
      </c>
      <c r="D107" s="90">
        <v>-0.13358778630000001</v>
      </c>
      <c r="E107" s="67"/>
      <c r="F107" s="67"/>
      <c r="G107" s="67"/>
      <c r="H107" s="67"/>
      <c r="I107" s="67"/>
    </row>
    <row r="108" spans="1:9" hidden="1">
      <c r="A108" t="s">
        <v>154</v>
      </c>
      <c r="B108" t="s">
        <v>153</v>
      </c>
      <c r="C108">
        <v>31.7</v>
      </c>
      <c r="D108" s="90">
        <v>-0.13387978140000001</v>
      </c>
      <c r="E108" s="67"/>
      <c r="F108" s="67"/>
      <c r="G108" s="67"/>
      <c r="H108" s="67"/>
      <c r="I108" s="67"/>
    </row>
    <row r="109" spans="1:9">
      <c r="A109" t="s">
        <v>349</v>
      </c>
      <c r="B109" t="s">
        <v>350</v>
      </c>
      <c r="C109">
        <v>218</v>
      </c>
      <c r="D109" s="90">
        <v>-0.1349206349</v>
      </c>
    </row>
    <row r="110" spans="1:9">
      <c r="A110" t="s">
        <v>341</v>
      </c>
      <c r="B110" t="s">
        <v>125</v>
      </c>
      <c r="C110">
        <v>506</v>
      </c>
      <c r="D110" s="90">
        <v>-0.135042735</v>
      </c>
    </row>
    <row r="111" spans="1:9" hidden="1">
      <c r="A111" t="s">
        <v>282</v>
      </c>
      <c r="B111" t="s">
        <v>283</v>
      </c>
      <c r="C111">
        <v>3065</v>
      </c>
      <c r="D111" s="90">
        <v>-0.1366197183</v>
      </c>
    </row>
    <row r="112" spans="1:9" hidden="1">
      <c r="A112" t="s">
        <v>325</v>
      </c>
      <c r="B112" t="s">
        <v>326</v>
      </c>
      <c r="C112">
        <v>2590</v>
      </c>
      <c r="D112" s="90">
        <v>-0.13666666669999999</v>
      </c>
    </row>
    <row r="113" spans="1:4" hidden="1">
      <c r="A113" t="s">
        <v>99</v>
      </c>
      <c r="B113" t="s">
        <v>98</v>
      </c>
      <c r="C113">
        <v>9225</v>
      </c>
      <c r="D113" s="90">
        <v>-0.13704396629999999</v>
      </c>
    </row>
    <row r="114" spans="1:4" hidden="1">
      <c r="A114" t="s">
        <v>284</v>
      </c>
      <c r="B114" t="s">
        <v>209</v>
      </c>
      <c r="C114">
        <v>1955</v>
      </c>
      <c r="D114" s="90">
        <v>-0.1406593407</v>
      </c>
    </row>
    <row r="115" spans="1:4" hidden="1">
      <c r="A115" t="s">
        <v>141</v>
      </c>
      <c r="B115" t="s">
        <v>140</v>
      </c>
      <c r="C115">
        <v>78</v>
      </c>
      <c r="D115" s="90">
        <v>-0.14096916300000001</v>
      </c>
    </row>
    <row r="116" spans="1:4">
      <c r="A116" t="s">
        <v>324</v>
      </c>
      <c r="B116" t="s">
        <v>148</v>
      </c>
      <c r="C116">
        <v>182</v>
      </c>
      <c r="D116" s="90">
        <v>-0.14150943399999999</v>
      </c>
    </row>
    <row r="117" spans="1:4" hidden="1">
      <c r="A117" t="s">
        <v>321</v>
      </c>
      <c r="B117" t="s">
        <v>159</v>
      </c>
      <c r="C117">
        <v>29.6</v>
      </c>
      <c r="D117" s="90">
        <v>-0.14202898550000001</v>
      </c>
    </row>
    <row r="118" spans="1:4" hidden="1"/>
    <row r="119" spans="1:4" hidden="1"/>
    <row r="120" spans="1:4" hidden="1"/>
    <row r="121" spans="1:4" hidden="1"/>
    <row r="122" spans="1:4" hidden="1"/>
    <row r="123" spans="1:4" hidden="1"/>
    <row r="124" spans="1:4" hidden="1"/>
    <row r="125" spans="1:4" hidden="1"/>
    <row r="126" spans="1:4" hidden="1"/>
    <row r="127" spans="1:4" hidden="1"/>
    <row r="128" spans="1:4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</sheetData>
  <autoFilter ref="A1:D200" xr:uid="{14AEFAED-F8D0-499D-B306-448A9878D59D}">
    <filterColumn colId="2">
      <customFilters and="1">
        <customFilter operator="greaterThanOrEqual" val="100"/>
        <customFilter operator="lessThanOrEqual" val="1000"/>
      </customFilters>
    </filterColumn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2021-04-14T16:15:32Z</dcterms:modified>
</cp:coreProperties>
</file>