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FE0D6BAF-8D4A-4BC2-8FC8-04918FABCEED}" xr6:coauthVersionLast="46" xr6:coauthVersionMax="46" xr10:uidLastSave="{00000000-0000-0000-0000-000000000000}"/>
  <bookViews>
    <workbookView xWindow="-120" yWindow="-120" windowWidth="29040" windowHeight="15840" firstSheet="12" activeTab="19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현재가테이블" sheetId="37" r:id="rId21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0" hidden="1">투자전략1!#REF!</definedName>
    <definedName name="_xlnm._FilterDatabase" localSheetId="20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0" i="55" l="1"/>
  <c r="K36" i="55"/>
  <c r="O111" i="56"/>
  <c r="N111" i="56"/>
  <c r="L111" i="56"/>
  <c r="K111" i="56"/>
  <c r="I111" i="56"/>
  <c r="H111" i="56"/>
  <c r="F111" i="56"/>
  <c r="E111" i="56"/>
  <c r="O110" i="56"/>
  <c r="N110" i="56"/>
  <c r="L110" i="56"/>
  <c r="K110" i="56"/>
  <c r="I110" i="56"/>
  <c r="H110" i="56"/>
  <c r="F110" i="56"/>
  <c r="E110" i="56"/>
  <c r="O109" i="56"/>
  <c r="N109" i="56"/>
  <c r="L109" i="56"/>
  <c r="K109" i="56"/>
  <c r="I109" i="56"/>
  <c r="H109" i="56"/>
  <c r="F109" i="56"/>
  <c r="E109" i="56"/>
  <c r="O108" i="56"/>
  <c r="N108" i="56"/>
  <c r="L108" i="56"/>
  <c r="K108" i="56"/>
  <c r="I108" i="56"/>
  <c r="H108" i="56"/>
  <c r="H19" i="56" s="1"/>
  <c r="F108" i="56"/>
  <c r="E108" i="56"/>
  <c r="O107" i="56"/>
  <c r="N107" i="56"/>
  <c r="L107" i="56"/>
  <c r="K107" i="56"/>
  <c r="I107" i="56"/>
  <c r="H107" i="56"/>
  <c r="F107" i="56"/>
  <c r="E107" i="56"/>
  <c r="O106" i="56"/>
  <c r="N106" i="56"/>
  <c r="L106" i="56"/>
  <c r="K106" i="56"/>
  <c r="I106" i="56"/>
  <c r="H106" i="56"/>
  <c r="F106" i="56"/>
  <c r="E106" i="56"/>
  <c r="O105" i="56"/>
  <c r="N105" i="56"/>
  <c r="L105" i="56"/>
  <c r="K105" i="56"/>
  <c r="I105" i="56"/>
  <c r="H105" i="56"/>
  <c r="F105" i="56"/>
  <c r="E105" i="56"/>
  <c r="O104" i="56"/>
  <c r="N104" i="56"/>
  <c r="L104" i="56"/>
  <c r="K104" i="56"/>
  <c r="I104" i="56"/>
  <c r="H104" i="56"/>
  <c r="F104" i="56"/>
  <c r="E104" i="56"/>
  <c r="O103" i="56"/>
  <c r="N103" i="56"/>
  <c r="L103" i="56"/>
  <c r="K103" i="56"/>
  <c r="I103" i="56"/>
  <c r="H103" i="56"/>
  <c r="F103" i="56"/>
  <c r="E103" i="56"/>
  <c r="O102" i="56"/>
  <c r="O112" i="56" s="1"/>
  <c r="N102" i="56"/>
  <c r="N112" i="56" s="1"/>
  <c r="L102" i="56"/>
  <c r="L112" i="56" s="1"/>
  <c r="K102" i="56"/>
  <c r="K112" i="56" s="1"/>
  <c r="I102" i="56"/>
  <c r="I112" i="56" s="1"/>
  <c r="H102" i="56"/>
  <c r="H112" i="56" s="1"/>
  <c r="F102" i="56"/>
  <c r="F112" i="56" s="1"/>
  <c r="E102" i="56"/>
  <c r="E112" i="56" s="1"/>
  <c r="M99" i="56"/>
  <c r="G99" i="56"/>
  <c r="O94" i="56"/>
  <c r="N94" i="56"/>
  <c r="L94" i="56"/>
  <c r="K94" i="56"/>
  <c r="I94" i="56"/>
  <c r="H94" i="56"/>
  <c r="F94" i="56"/>
  <c r="E94" i="56"/>
  <c r="O93" i="56"/>
  <c r="N93" i="56"/>
  <c r="L93" i="56"/>
  <c r="K93" i="56"/>
  <c r="I93" i="56"/>
  <c r="H93" i="56"/>
  <c r="F93" i="56"/>
  <c r="E93" i="56"/>
  <c r="O92" i="56"/>
  <c r="N92" i="56"/>
  <c r="L92" i="56"/>
  <c r="K92" i="56"/>
  <c r="I92" i="56"/>
  <c r="H92" i="56"/>
  <c r="F92" i="56"/>
  <c r="E92" i="56"/>
  <c r="O91" i="56"/>
  <c r="N91" i="56"/>
  <c r="L91" i="56"/>
  <c r="K91" i="56"/>
  <c r="I91" i="56"/>
  <c r="H91" i="56"/>
  <c r="F91" i="56"/>
  <c r="E91" i="56"/>
  <c r="O90" i="56"/>
  <c r="N90" i="56"/>
  <c r="L90" i="56"/>
  <c r="K90" i="56"/>
  <c r="I90" i="56"/>
  <c r="H90" i="56"/>
  <c r="F90" i="56"/>
  <c r="E90" i="56"/>
  <c r="O89" i="56"/>
  <c r="N89" i="56"/>
  <c r="L89" i="56"/>
  <c r="K89" i="56"/>
  <c r="I89" i="56"/>
  <c r="H89" i="56"/>
  <c r="F89" i="56"/>
  <c r="E89" i="56"/>
  <c r="O88" i="56"/>
  <c r="N88" i="56"/>
  <c r="L88" i="56"/>
  <c r="K88" i="56"/>
  <c r="I88" i="56"/>
  <c r="H88" i="56"/>
  <c r="F88" i="56"/>
  <c r="E88" i="56"/>
  <c r="O87" i="56"/>
  <c r="N87" i="56"/>
  <c r="L87" i="56"/>
  <c r="K87" i="56"/>
  <c r="I87" i="56"/>
  <c r="H87" i="56"/>
  <c r="F87" i="56"/>
  <c r="E87" i="56"/>
  <c r="O86" i="56"/>
  <c r="N86" i="56"/>
  <c r="L86" i="56"/>
  <c r="K86" i="56"/>
  <c r="I86" i="56"/>
  <c r="H86" i="56"/>
  <c r="F86" i="56"/>
  <c r="E86" i="56"/>
  <c r="O85" i="56"/>
  <c r="O95" i="56" s="1"/>
  <c r="N85" i="56"/>
  <c r="N95" i="56" s="1"/>
  <c r="L85" i="56"/>
  <c r="L95" i="56" s="1"/>
  <c r="K85" i="56"/>
  <c r="I85" i="56"/>
  <c r="I95" i="56" s="1"/>
  <c r="H85" i="56"/>
  <c r="H95" i="56" s="1"/>
  <c r="F85" i="56"/>
  <c r="F95" i="56" s="1"/>
  <c r="E85" i="56"/>
  <c r="E95" i="56" s="1"/>
  <c r="M82" i="56"/>
  <c r="G82" i="56"/>
  <c r="O77" i="56"/>
  <c r="N77" i="56"/>
  <c r="L77" i="56"/>
  <c r="K77" i="56"/>
  <c r="I77" i="56"/>
  <c r="H77" i="56"/>
  <c r="F77" i="56"/>
  <c r="E77" i="56"/>
  <c r="O76" i="56"/>
  <c r="N76" i="56"/>
  <c r="L76" i="56"/>
  <c r="K76" i="56"/>
  <c r="I76" i="56"/>
  <c r="H76" i="56"/>
  <c r="F76" i="56"/>
  <c r="E76" i="56"/>
  <c r="O75" i="56"/>
  <c r="N75" i="56"/>
  <c r="L75" i="56"/>
  <c r="K75" i="56"/>
  <c r="I75" i="56"/>
  <c r="H75" i="56"/>
  <c r="F75" i="56"/>
  <c r="E75" i="56"/>
  <c r="O74" i="56"/>
  <c r="N74" i="56"/>
  <c r="L74" i="56"/>
  <c r="K74" i="56"/>
  <c r="I74" i="56"/>
  <c r="H74" i="56"/>
  <c r="F74" i="56"/>
  <c r="E74" i="56"/>
  <c r="O73" i="56"/>
  <c r="N73" i="56"/>
  <c r="L73" i="56"/>
  <c r="K73" i="56"/>
  <c r="I73" i="56"/>
  <c r="H73" i="56"/>
  <c r="F73" i="56"/>
  <c r="E73" i="56"/>
  <c r="O72" i="56"/>
  <c r="N72" i="56"/>
  <c r="L72" i="56"/>
  <c r="K72" i="56"/>
  <c r="I72" i="56"/>
  <c r="H72" i="56"/>
  <c r="F72" i="56"/>
  <c r="E72" i="56"/>
  <c r="O71" i="56"/>
  <c r="N71" i="56"/>
  <c r="L71" i="56"/>
  <c r="K71" i="56"/>
  <c r="I71" i="56"/>
  <c r="H71" i="56"/>
  <c r="F71" i="56"/>
  <c r="E71" i="56"/>
  <c r="O70" i="56"/>
  <c r="N70" i="56"/>
  <c r="L70" i="56"/>
  <c r="K70" i="56"/>
  <c r="I70" i="56"/>
  <c r="H70" i="56"/>
  <c r="F70" i="56"/>
  <c r="E70" i="56"/>
  <c r="O69" i="56"/>
  <c r="N69" i="56"/>
  <c r="L69" i="56"/>
  <c r="K69" i="56"/>
  <c r="I69" i="56"/>
  <c r="H69" i="56"/>
  <c r="F69" i="56"/>
  <c r="E69" i="56"/>
  <c r="O68" i="56"/>
  <c r="O78" i="56" s="1"/>
  <c r="N68" i="56"/>
  <c r="N78" i="56" s="1"/>
  <c r="L68" i="56"/>
  <c r="L78" i="56" s="1"/>
  <c r="K68" i="56"/>
  <c r="K78" i="56" s="1"/>
  <c r="I68" i="56"/>
  <c r="I78" i="56" s="1"/>
  <c r="H68" i="56"/>
  <c r="H78" i="56" s="1"/>
  <c r="F68" i="56"/>
  <c r="F78" i="56" s="1"/>
  <c r="E68" i="56"/>
  <c r="E78" i="56" s="1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O58" i="56"/>
  <c r="N58" i="56"/>
  <c r="L58" i="56"/>
  <c r="K58" i="56"/>
  <c r="I58" i="56"/>
  <c r="H58" i="56"/>
  <c r="F58" i="56"/>
  <c r="E58" i="56"/>
  <c r="O57" i="56"/>
  <c r="N57" i="56"/>
  <c r="L57" i="56"/>
  <c r="K57" i="56"/>
  <c r="I57" i="56"/>
  <c r="H57" i="56"/>
  <c r="F57" i="56"/>
  <c r="E57" i="56"/>
  <c r="O56" i="56"/>
  <c r="N56" i="56"/>
  <c r="L56" i="56"/>
  <c r="K56" i="56"/>
  <c r="I56" i="56"/>
  <c r="H56" i="56"/>
  <c r="F56" i="56"/>
  <c r="E56" i="56"/>
  <c r="O55" i="56"/>
  <c r="N55" i="56"/>
  <c r="L55" i="56"/>
  <c r="K55" i="56"/>
  <c r="I55" i="56"/>
  <c r="H55" i="56"/>
  <c r="F55" i="56"/>
  <c r="E55" i="56"/>
  <c r="O54" i="56"/>
  <c r="N54" i="56"/>
  <c r="L54" i="56"/>
  <c r="K54" i="56"/>
  <c r="I54" i="56"/>
  <c r="H54" i="56"/>
  <c r="F54" i="56"/>
  <c r="E54" i="56"/>
  <c r="O53" i="56"/>
  <c r="N53" i="56"/>
  <c r="L53" i="56"/>
  <c r="K53" i="56"/>
  <c r="I53" i="56"/>
  <c r="H53" i="56"/>
  <c r="F53" i="56"/>
  <c r="E53" i="56"/>
  <c r="O52" i="56"/>
  <c r="N52" i="56"/>
  <c r="L52" i="56"/>
  <c r="K52" i="56"/>
  <c r="I52" i="56"/>
  <c r="H52" i="56"/>
  <c r="F52" i="56"/>
  <c r="E52" i="56"/>
  <c r="O51" i="56"/>
  <c r="O61" i="56" s="1"/>
  <c r="N51" i="56"/>
  <c r="N61" i="56" s="1"/>
  <c r="L51" i="56"/>
  <c r="L61" i="56" s="1"/>
  <c r="K51" i="56"/>
  <c r="K61" i="56" s="1"/>
  <c r="I51" i="56"/>
  <c r="I61" i="56" s="1"/>
  <c r="H51" i="56"/>
  <c r="H61" i="56" s="1"/>
  <c r="F51" i="56"/>
  <c r="F61" i="56" s="1"/>
  <c r="E51" i="56"/>
  <c r="E61" i="56" s="1"/>
  <c r="M48" i="56"/>
  <c r="G48" i="56"/>
  <c r="O43" i="56"/>
  <c r="N43" i="56"/>
  <c r="L43" i="56"/>
  <c r="K43" i="56"/>
  <c r="I43" i="56"/>
  <c r="H43" i="56"/>
  <c r="F43" i="56"/>
  <c r="E43" i="56"/>
  <c r="O42" i="56"/>
  <c r="N42" i="56"/>
  <c r="L42" i="56"/>
  <c r="K42" i="56"/>
  <c r="I42" i="56"/>
  <c r="H42" i="56"/>
  <c r="F42" i="56"/>
  <c r="E42" i="56"/>
  <c r="O41" i="56"/>
  <c r="N41" i="56"/>
  <c r="L41" i="56"/>
  <c r="K41" i="56"/>
  <c r="I41" i="56"/>
  <c r="H41" i="56"/>
  <c r="F41" i="56"/>
  <c r="E41" i="56"/>
  <c r="O40" i="56"/>
  <c r="N40" i="56"/>
  <c r="L40" i="56"/>
  <c r="K40" i="56"/>
  <c r="I40" i="56"/>
  <c r="H40" i="56"/>
  <c r="F40" i="56"/>
  <c r="E40" i="56"/>
  <c r="O39" i="56"/>
  <c r="N39" i="56"/>
  <c r="L39" i="56"/>
  <c r="K39" i="56"/>
  <c r="I39" i="56"/>
  <c r="H39" i="56"/>
  <c r="F39" i="56"/>
  <c r="E39" i="56"/>
  <c r="O38" i="56"/>
  <c r="N38" i="56"/>
  <c r="L38" i="56"/>
  <c r="K38" i="56"/>
  <c r="I38" i="56"/>
  <c r="H38" i="56"/>
  <c r="F38" i="56"/>
  <c r="E38" i="56"/>
  <c r="O37" i="56"/>
  <c r="N37" i="56"/>
  <c r="L37" i="56"/>
  <c r="K37" i="56"/>
  <c r="I37" i="56"/>
  <c r="H37" i="56"/>
  <c r="F37" i="56"/>
  <c r="E37" i="56"/>
  <c r="O36" i="56"/>
  <c r="N36" i="56"/>
  <c r="L36" i="56"/>
  <c r="K36" i="56"/>
  <c r="I36" i="56"/>
  <c r="H36" i="56"/>
  <c r="F36" i="56"/>
  <c r="E36" i="56"/>
  <c r="O35" i="56"/>
  <c r="N35" i="56"/>
  <c r="L35" i="56"/>
  <c r="K35" i="56"/>
  <c r="I35" i="56"/>
  <c r="H35" i="56"/>
  <c r="F35" i="56"/>
  <c r="E35" i="56"/>
  <c r="O34" i="56"/>
  <c r="O44" i="56" s="1"/>
  <c r="N34" i="56"/>
  <c r="N44" i="56" s="1"/>
  <c r="L34" i="56"/>
  <c r="L44" i="56" s="1"/>
  <c r="K34" i="56"/>
  <c r="K44" i="56" s="1"/>
  <c r="I34" i="56"/>
  <c r="I44" i="56" s="1"/>
  <c r="H34" i="56"/>
  <c r="H44" i="56" s="1"/>
  <c r="F34" i="56"/>
  <c r="F44" i="56" s="1"/>
  <c r="E34" i="56"/>
  <c r="E44" i="56" s="1"/>
  <c r="M31" i="56"/>
  <c r="G31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C26" i="56"/>
  <c r="B26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C25" i="56"/>
  <c r="B25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C24" i="56"/>
  <c r="B24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C23" i="56"/>
  <c r="B23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C22" i="56"/>
  <c r="B22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C21" i="56"/>
  <c r="B21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C20" i="56"/>
  <c r="B20" i="56"/>
  <c r="O19" i="56"/>
  <c r="N19" i="56"/>
  <c r="M19" i="56"/>
  <c r="L19" i="56"/>
  <c r="K19" i="56"/>
  <c r="J19" i="56"/>
  <c r="I19" i="56"/>
  <c r="G19" i="56"/>
  <c r="F19" i="56"/>
  <c r="E19" i="56"/>
  <c r="D19" i="56"/>
  <c r="C19" i="56"/>
  <c r="B19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C18" i="56"/>
  <c r="B18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C17" i="56"/>
  <c r="B17" i="56"/>
  <c r="M14" i="56"/>
  <c r="G14" i="56"/>
  <c r="E39" i="55"/>
  <c r="E35" i="55"/>
  <c r="M99" i="55"/>
  <c r="G99" i="55"/>
  <c r="M82" i="55"/>
  <c r="G82" i="55"/>
  <c r="H74" i="55"/>
  <c r="I74" i="55" s="1"/>
  <c r="H70" i="55"/>
  <c r="I70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M48" i="55"/>
  <c r="G48" i="55"/>
  <c r="M31" i="55"/>
  <c r="G31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N111" i="55" l="1"/>
  <c r="O111" i="55" s="1"/>
  <c r="O94" i="55"/>
  <c r="N94" i="55"/>
  <c r="N77" i="55"/>
  <c r="O77" i="55"/>
  <c r="M26" i="55"/>
  <c r="N58" i="55"/>
  <c r="N26" i="55" s="1"/>
  <c r="O58" i="55"/>
  <c r="O26" i="55" s="1"/>
  <c r="M18" i="55"/>
  <c r="N43" i="55"/>
  <c r="N18" i="55" s="1"/>
  <c r="K95" i="56"/>
  <c r="H20" i="36"/>
  <c r="K111" i="55"/>
  <c r="L111" i="55" s="1"/>
  <c r="K105" i="55"/>
  <c r="L105" i="55" s="1"/>
  <c r="K87" i="55"/>
  <c r="L87" i="55" s="1"/>
  <c r="K94" i="55"/>
  <c r="L94" i="55" s="1"/>
  <c r="K70" i="55"/>
  <c r="L70" i="55" s="1"/>
  <c r="K77" i="55"/>
  <c r="L77" i="55" s="1"/>
  <c r="K58" i="55"/>
  <c r="K26" i="55" s="1"/>
  <c r="J26" i="55"/>
  <c r="K43" i="55"/>
  <c r="K18" i="55" s="1"/>
  <c r="J18" i="55"/>
  <c r="L43" i="55"/>
  <c r="L18" i="55" s="1"/>
  <c r="L36" i="55"/>
  <c r="L40" i="55"/>
  <c r="K27" i="56"/>
  <c r="E27" i="56"/>
  <c r="N27" i="56"/>
  <c r="I27" i="56"/>
  <c r="F27" i="56"/>
  <c r="L27" i="56"/>
  <c r="H27" i="56"/>
  <c r="O27" i="56"/>
  <c r="G5" i="56"/>
  <c r="G9" i="56"/>
  <c r="G3" i="56"/>
  <c r="G7" i="56"/>
  <c r="G11" i="56"/>
  <c r="G19" i="55"/>
  <c r="H51" i="55"/>
  <c r="H108" i="55"/>
  <c r="I108" i="55" s="1"/>
  <c r="H111" i="55"/>
  <c r="I111" i="55" s="1"/>
  <c r="H87" i="55"/>
  <c r="I87" i="55" s="1"/>
  <c r="H94" i="55"/>
  <c r="I94" i="55"/>
  <c r="H75" i="55"/>
  <c r="I75" i="55" s="1"/>
  <c r="H77" i="55"/>
  <c r="I77" i="55" s="1"/>
  <c r="H59" i="55"/>
  <c r="I59" i="55" s="1"/>
  <c r="H43" i="55"/>
  <c r="H18" i="55" s="1"/>
  <c r="G18" i="55"/>
  <c r="E111" i="55"/>
  <c r="F111" i="55" s="1"/>
  <c r="F94" i="55"/>
  <c r="E94" i="55"/>
  <c r="E77" i="55"/>
  <c r="F77" i="55"/>
  <c r="D19" i="55"/>
  <c r="E51" i="55"/>
  <c r="F51" i="55" s="1"/>
  <c r="E56" i="55"/>
  <c r="E24" i="55" s="1"/>
  <c r="F56" i="55"/>
  <c r="F24" i="55" s="1"/>
  <c r="D24" i="55"/>
  <c r="E58" i="55"/>
  <c r="E26" i="55" s="1"/>
  <c r="D26" i="55"/>
  <c r="F58" i="55"/>
  <c r="F26" i="55" s="1"/>
  <c r="E43" i="55"/>
  <c r="E18" i="55" s="1"/>
  <c r="F43" i="55"/>
  <c r="F18" i="55" s="1"/>
  <c r="D18" i="55"/>
  <c r="F35" i="55"/>
  <c r="F39" i="55"/>
  <c r="M22" i="53"/>
  <c r="N109" i="53"/>
  <c r="N22" i="53" s="1"/>
  <c r="M24" i="53"/>
  <c r="N111" i="53"/>
  <c r="N24" i="53" s="1"/>
  <c r="N104" i="53"/>
  <c r="O104" i="53" s="1"/>
  <c r="N87" i="53"/>
  <c r="O87" i="53"/>
  <c r="N94" i="53"/>
  <c r="O94" i="53" s="1"/>
  <c r="N77" i="53"/>
  <c r="O77" i="53"/>
  <c r="N70" i="53"/>
  <c r="N26" i="53" s="1"/>
  <c r="M26" i="53"/>
  <c r="N55" i="53"/>
  <c r="O55" i="53" s="1"/>
  <c r="N43" i="53"/>
  <c r="O43" i="53" s="1"/>
  <c r="L111" i="53"/>
  <c r="L24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 s="1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 s="1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G9" i="21" s="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N106" i="55" l="1"/>
  <c r="O106" i="55" s="1"/>
  <c r="N108" i="55"/>
  <c r="O108" i="55" s="1"/>
  <c r="N107" i="55"/>
  <c r="O107" i="55" s="1"/>
  <c r="N102" i="55"/>
  <c r="O102" i="55" s="1"/>
  <c r="N104" i="55"/>
  <c r="O104" i="55" s="1"/>
  <c r="N103" i="55"/>
  <c r="O103" i="55" s="1"/>
  <c r="N109" i="55"/>
  <c r="O109" i="55" s="1"/>
  <c r="N110" i="55"/>
  <c r="O110" i="55" s="1"/>
  <c r="N105" i="55"/>
  <c r="O105" i="55" s="1"/>
  <c r="N92" i="55"/>
  <c r="O92" i="55" s="1"/>
  <c r="N91" i="55"/>
  <c r="O91" i="55" s="1"/>
  <c r="N88" i="55"/>
  <c r="O88" i="55" s="1"/>
  <c r="N90" i="55"/>
  <c r="O90" i="55" s="1"/>
  <c r="N93" i="55"/>
  <c r="O93" i="55" s="1"/>
  <c r="N87" i="55"/>
  <c r="O87" i="55"/>
  <c r="N85" i="55"/>
  <c r="O85" i="55" s="1"/>
  <c r="N86" i="55"/>
  <c r="O86" i="55" s="1"/>
  <c r="N89" i="55"/>
  <c r="O89" i="55" s="1"/>
  <c r="N71" i="55"/>
  <c r="O71" i="55" s="1"/>
  <c r="N73" i="55"/>
  <c r="O73" i="55"/>
  <c r="N68" i="55"/>
  <c r="O68" i="55" s="1"/>
  <c r="N70" i="55"/>
  <c r="O70" i="55" s="1"/>
  <c r="O72" i="55"/>
  <c r="N72" i="55"/>
  <c r="N69" i="55"/>
  <c r="O69" i="55" s="1"/>
  <c r="O74" i="55"/>
  <c r="N74" i="55"/>
  <c r="N76" i="55"/>
  <c r="O76" i="55" s="1"/>
  <c r="N75" i="55"/>
  <c r="O75" i="55" s="1"/>
  <c r="N51" i="55"/>
  <c r="O51" i="55" s="1"/>
  <c r="M19" i="55"/>
  <c r="M23" i="55"/>
  <c r="N55" i="55"/>
  <c r="N23" i="55" s="1"/>
  <c r="O53" i="55"/>
  <c r="O21" i="55" s="1"/>
  <c r="N53" i="55"/>
  <c r="N21" i="55" s="1"/>
  <c r="M21" i="55"/>
  <c r="M22" i="55"/>
  <c r="O54" i="55"/>
  <c r="O22" i="55" s="1"/>
  <c r="N54" i="55"/>
  <c r="N22" i="55" s="1"/>
  <c r="M24" i="55"/>
  <c r="N56" i="55"/>
  <c r="N24" i="55" s="1"/>
  <c r="O57" i="55"/>
  <c r="O25" i="55" s="1"/>
  <c r="N57" i="55"/>
  <c r="N25" i="55" s="1"/>
  <c r="M25" i="55"/>
  <c r="N52" i="55"/>
  <c r="N20" i="55" s="1"/>
  <c r="M20" i="55"/>
  <c r="O43" i="55"/>
  <c r="O18" i="55" s="1"/>
  <c r="O39" i="55"/>
  <c r="N39" i="55"/>
  <c r="N34" i="55"/>
  <c r="O34" i="55" s="1"/>
  <c r="O36" i="55"/>
  <c r="N36" i="55"/>
  <c r="N35" i="55"/>
  <c r="O35" i="55" s="1"/>
  <c r="O41" i="55"/>
  <c r="N41" i="55"/>
  <c r="M17" i="55"/>
  <c r="N42" i="55"/>
  <c r="N17" i="55" s="1"/>
  <c r="N37" i="55"/>
  <c r="O37" i="55" s="1"/>
  <c r="N38" i="55"/>
  <c r="O38" i="55" s="1"/>
  <c r="N40" i="55"/>
  <c r="O40" i="55" s="1"/>
  <c r="O109" i="53"/>
  <c r="O22" i="53" s="1"/>
  <c r="K107" i="55"/>
  <c r="L107" i="55" s="1"/>
  <c r="K106" i="55"/>
  <c r="L106" i="55" s="1"/>
  <c r="K103" i="55"/>
  <c r="L103" i="55" s="1"/>
  <c r="L102" i="55"/>
  <c r="K102" i="55"/>
  <c r="K104" i="55"/>
  <c r="L104" i="55" s="1"/>
  <c r="K109" i="55"/>
  <c r="L109" i="55" s="1"/>
  <c r="K110" i="55"/>
  <c r="L110" i="55" s="1"/>
  <c r="K108" i="55"/>
  <c r="L108" i="55" s="1"/>
  <c r="K86" i="55"/>
  <c r="L86" i="55" s="1"/>
  <c r="K91" i="55"/>
  <c r="L91" i="55"/>
  <c r="K85" i="55"/>
  <c r="L85" i="55" s="1"/>
  <c r="K93" i="55"/>
  <c r="L93" i="55" s="1"/>
  <c r="K92" i="55"/>
  <c r="L92" i="55" s="1"/>
  <c r="K90" i="55"/>
  <c r="L90" i="55"/>
  <c r="L89" i="55"/>
  <c r="K89" i="55"/>
  <c r="K88" i="55"/>
  <c r="L88" i="55"/>
  <c r="K69" i="55"/>
  <c r="L69" i="55" s="1"/>
  <c r="K74" i="55"/>
  <c r="L74" i="55" s="1"/>
  <c r="K73" i="55"/>
  <c r="L73" i="55" s="1"/>
  <c r="K76" i="55"/>
  <c r="L76" i="55" s="1"/>
  <c r="K75" i="55"/>
  <c r="L75" i="55" s="1"/>
  <c r="K68" i="55"/>
  <c r="L72" i="55"/>
  <c r="K72" i="55"/>
  <c r="K71" i="55"/>
  <c r="L71" i="55" s="1"/>
  <c r="L58" i="55"/>
  <c r="L26" i="55" s="1"/>
  <c r="K53" i="55"/>
  <c r="K21" i="55" s="1"/>
  <c r="J21" i="55"/>
  <c r="K51" i="55"/>
  <c r="L51" i="55" s="1"/>
  <c r="J19" i="55"/>
  <c r="K56" i="55"/>
  <c r="K24" i="55" s="1"/>
  <c r="J24" i="55"/>
  <c r="K54" i="55"/>
  <c r="K22" i="55" s="1"/>
  <c r="J22" i="55"/>
  <c r="K52" i="55"/>
  <c r="K20" i="55" s="1"/>
  <c r="J20" i="55"/>
  <c r="L57" i="55"/>
  <c r="L25" i="55" s="1"/>
  <c r="K57" i="55"/>
  <c r="K25" i="55" s="1"/>
  <c r="J25" i="55"/>
  <c r="K55" i="55"/>
  <c r="K23" i="55" s="1"/>
  <c r="J23" i="55"/>
  <c r="K35" i="55"/>
  <c r="L35" i="55" s="1"/>
  <c r="K41" i="55"/>
  <c r="L41" i="55"/>
  <c r="K34" i="55"/>
  <c r="L34" i="55" s="1"/>
  <c r="K42" i="55"/>
  <c r="K17" i="55" s="1"/>
  <c r="J17" i="55"/>
  <c r="K37" i="55"/>
  <c r="L37" i="55" s="1"/>
  <c r="K39" i="55"/>
  <c r="L39" i="55" s="1"/>
  <c r="K38" i="55"/>
  <c r="L38" i="55" s="1"/>
  <c r="H19" i="55"/>
  <c r="I51" i="55"/>
  <c r="I19" i="55" s="1"/>
  <c r="H107" i="55"/>
  <c r="I107" i="55" s="1"/>
  <c r="I106" i="55"/>
  <c r="H106" i="55"/>
  <c r="H103" i="55"/>
  <c r="I103" i="55" s="1"/>
  <c r="H102" i="55"/>
  <c r="I102" i="55" s="1"/>
  <c r="H105" i="55"/>
  <c r="I105" i="55" s="1"/>
  <c r="H109" i="55"/>
  <c r="I109" i="55" s="1"/>
  <c r="H110" i="55"/>
  <c r="I110" i="55" s="1"/>
  <c r="I104" i="55"/>
  <c r="H104" i="55"/>
  <c r="H90" i="55"/>
  <c r="I90" i="55"/>
  <c r="I85" i="55"/>
  <c r="H85" i="55"/>
  <c r="H86" i="55"/>
  <c r="I86" i="55"/>
  <c r="H92" i="55"/>
  <c r="I92" i="55" s="1"/>
  <c r="H93" i="55"/>
  <c r="I93" i="55" s="1"/>
  <c r="H88" i="55"/>
  <c r="I88" i="55" s="1"/>
  <c r="H89" i="55"/>
  <c r="I89" i="55" s="1"/>
  <c r="I91" i="55"/>
  <c r="H91" i="55"/>
  <c r="H72" i="55"/>
  <c r="I72" i="55" s="1"/>
  <c r="H76" i="55"/>
  <c r="I76" i="55" s="1"/>
  <c r="H73" i="55"/>
  <c r="I73" i="55" s="1"/>
  <c r="H68" i="55"/>
  <c r="I68" i="55" s="1"/>
  <c r="H69" i="55"/>
  <c r="I69" i="55" s="1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E107" i="55"/>
  <c r="F107" i="55" s="1"/>
  <c r="E102" i="55"/>
  <c r="F102" i="55" s="1"/>
  <c r="E108" i="55"/>
  <c r="F108" i="55" s="1"/>
  <c r="E106" i="55"/>
  <c r="F106" i="55" s="1"/>
  <c r="F103" i="55"/>
  <c r="E103" i="55"/>
  <c r="E104" i="55"/>
  <c r="F104" i="55" s="1"/>
  <c r="F110" i="55"/>
  <c r="E110" i="55"/>
  <c r="E109" i="55"/>
  <c r="F109" i="55" s="1"/>
  <c r="E90" i="55"/>
  <c r="F90" i="55" s="1"/>
  <c r="E85" i="55"/>
  <c r="F85" i="55" s="1"/>
  <c r="F91" i="55"/>
  <c r="E91" i="55"/>
  <c r="E89" i="55"/>
  <c r="F89" i="55" s="1"/>
  <c r="F86" i="55"/>
  <c r="E86" i="55"/>
  <c r="E87" i="55"/>
  <c r="F87" i="55" s="1"/>
  <c r="E88" i="55"/>
  <c r="F88" i="55" s="1"/>
  <c r="E93" i="55"/>
  <c r="F93" i="55" s="1"/>
  <c r="E92" i="55"/>
  <c r="F92" i="55" s="1"/>
  <c r="E76" i="55"/>
  <c r="F76" i="55" s="1"/>
  <c r="E73" i="55"/>
  <c r="F73" i="55" s="1"/>
  <c r="E72" i="55"/>
  <c r="F72" i="55"/>
  <c r="E71" i="55"/>
  <c r="F71" i="55" s="1"/>
  <c r="E75" i="55"/>
  <c r="F75" i="55"/>
  <c r="E69" i="55"/>
  <c r="F69" i="55" s="1"/>
  <c r="E68" i="55"/>
  <c r="F68" i="55" s="1"/>
  <c r="E74" i="55"/>
  <c r="F74" i="55" s="1"/>
  <c r="E70" i="55"/>
  <c r="F70" i="55" s="1"/>
  <c r="D21" i="55"/>
  <c r="E53" i="55"/>
  <c r="E21" i="55" s="1"/>
  <c r="F53" i="55"/>
  <c r="F21" i="55" s="1"/>
  <c r="D23" i="55"/>
  <c r="E55" i="55"/>
  <c r="E23" i="55" s="1"/>
  <c r="F19" i="55"/>
  <c r="E54" i="55"/>
  <c r="E22" i="55" s="1"/>
  <c r="D22" i="55"/>
  <c r="E52" i="55"/>
  <c r="E20" i="55" s="1"/>
  <c r="F52" i="55"/>
  <c r="F20" i="55" s="1"/>
  <c r="D20" i="55"/>
  <c r="E19" i="55"/>
  <c r="D25" i="55"/>
  <c r="E57" i="55"/>
  <c r="E25" i="55" s="1"/>
  <c r="E38" i="55"/>
  <c r="F38" i="55" s="1"/>
  <c r="E41" i="55"/>
  <c r="F41" i="55" s="1"/>
  <c r="E36" i="55"/>
  <c r="F36" i="55" s="1"/>
  <c r="E34" i="55"/>
  <c r="F34" i="55"/>
  <c r="E37" i="55"/>
  <c r="F37" i="55" s="1"/>
  <c r="E42" i="55"/>
  <c r="E17" i="55" s="1"/>
  <c r="D17" i="55"/>
  <c r="E40" i="55"/>
  <c r="F40" i="55"/>
  <c r="O111" i="53"/>
  <c r="O24" i="53" s="1"/>
  <c r="N106" i="53"/>
  <c r="O106" i="53" s="1"/>
  <c r="M20" i="53"/>
  <c r="O107" i="53"/>
  <c r="O20" i="53" s="1"/>
  <c r="N107" i="53"/>
  <c r="N20" i="53" s="1"/>
  <c r="N102" i="53"/>
  <c r="O102" i="53" s="1"/>
  <c r="O103" i="53"/>
  <c r="N103" i="53"/>
  <c r="N108" i="53"/>
  <c r="O108" i="53" s="1"/>
  <c r="O110" i="53"/>
  <c r="N110" i="53"/>
  <c r="N105" i="53"/>
  <c r="O105" i="53" s="1"/>
  <c r="N92" i="53"/>
  <c r="O92" i="53" s="1"/>
  <c r="N93" i="53"/>
  <c r="O93" i="53"/>
  <c r="N88" i="53"/>
  <c r="O88" i="53" s="1"/>
  <c r="N90" i="53"/>
  <c r="O90" i="53" s="1"/>
  <c r="N85" i="53"/>
  <c r="O85" i="53"/>
  <c r="N86" i="53"/>
  <c r="O86" i="53" s="1"/>
  <c r="N89" i="53"/>
  <c r="O89" i="53" s="1"/>
  <c r="N91" i="53"/>
  <c r="O91" i="53"/>
  <c r="O70" i="53"/>
  <c r="O26" i="53" s="1"/>
  <c r="N76" i="53"/>
  <c r="O76" i="53" s="1"/>
  <c r="N71" i="53"/>
  <c r="O71" i="53"/>
  <c r="N69" i="53"/>
  <c r="O69" i="53" s="1"/>
  <c r="N75" i="53"/>
  <c r="O75" i="53"/>
  <c r="N72" i="53"/>
  <c r="O72" i="53" s="1"/>
  <c r="N74" i="53"/>
  <c r="O74" i="53" s="1"/>
  <c r="N73" i="53"/>
  <c r="O73" i="53"/>
  <c r="O68" i="53"/>
  <c r="M19" i="53"/>
  <c r="N68" i="53"/>
  <c r="N52" i="53"/>
  <c r="O52" i="53" s="1"/>
  <c r="N53" i="53"/>
  <c r="O53" i="53" s="1"/>
  <c r="N51" i="53"/>
  <c r="O51" i="53" s="1"/>
  <c r="N54" i="53"/>
  <c r="O54" i="53" s="1"/>
  <c r="O42" i="53"/>
  <c r="N42" i="53"/>
  <c r="M18" i="53"/>
  <c r="N37" i="53"/>
  <c r="N18" i="53" s="1"/>
  <c r="N39" i="53"/>
  <c r="N23" i="53" s="1"/>
  <c r="M23" i="53"/>
  <c r="M21" i="53"/>
  <c r="N38" i="53"/>
  <c r="N21" i="53" s="1"/>
  <c r="M25" i="53"/>
  <c r="N40" i="53"/>
  <c r="N25" i="53" s="1"/>
  <c r="N35" i="53"/>
  <c r="O35" i="53" s="1"/>
  <c r="N34" i="53"/>
  <c r="O34" i="53" s="1"/>
  <c r="M17" i="53"/>
  <c r="O36" i="53"/>
  <c r="O17" i="53" s="1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K106" i="53"/>
  <c r="L106" i="53" s="1"/>
  <c r="K105" i="53"/>
  <c r="L105" i="53" s="1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L71" i="53"/>
  <c r="K71" i="53"/>
  <c r="K72" i="53"/>
  <c r="L72" i="53" s="1"/>
  <c r="K74" i="53"/>
  <c r="L74" i="53" s="1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K54" i="53"/>
  <c r="L54" i="53" s="1"/>
  <c r="K38" i="53"/>
  <c r="K21" i="53" s="1"/>
  <c r="J21" i="53"/>
  <c r="K37" i="53"/>
  <c r="K18" i="53" s="1"/>
  <c r="J18" i="53"/>
  <c r="K39" i="53"/>
  <c r="K23" i="53" s="1"/>
  <c r="J23" i="53"/>
  <c r="K34" i="53"/>
  <c r="L34" i="53" s="1"/>
  <c r="K36" i="53"/>
  <c r="K17" i="53" s="1"/>
  <c r="J17" i="53"/>
  <c r="K35" i="53"/>
  <c r="L35" i="53" s="1"/>
  <c r="K40" i="53"/>
  <c r="K25" i="53" s="1"/>
  <c r="J25" i="53"/>
  <c r="K42" i="53"/>
  <c r="L42" i="53" s="1"/>
  <c r="K41" i="53"/>
  <c r="L41" i="53" s="1"/>
  <c r="H110" i="53"/>
  <c r="I110" i="53" s="1"/>
  <c r="H105" i="53"/>
  <c r="I105" i="53" s="1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I107" i="53"/>
  <c r="I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I75" i="53"/>
  <c r="H75" i="53"/>
  <c r="H73" i="53"/>
  <c r="I73" i="53" s="1"/>
  <c r="H76" i="53"/>
  <c r="I76" i="53" s="1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E105" i="53"/>
  <c r="F105" i="53" s="1"/>
  <c r="E107" i="53"/>
  <c r="E20" i="53" s="1"/>
  <c r="D20" i="53"/>
  <c r="E102" i="53"/>
  <c r="F102" i="53" s="1"/>
  <c r="E90" i="53"/>
  <c r="F90" i="53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E73" i="53"/>
  <c r="F73" i="53" s="1"/>
  <c r="E72" i="53"/>
  <c r="F72" i="53" s="1"/>
  <c r="E70" i="53"/>
  <c r="E26" i="53" s="1"/>
  <c r="D26" i="53"/>
  <c r="E52" i="53"/>
  <c r="F52" i="53" s="1"/>
  <c r="E53" i="53"/>
  <c r="F53" i="53" s="1"/>
  <c r="E51" i="53"/>
  <c r="F51" i="53" s="1"/>
  <c r="F54" i="53"/>
  <c r="E54" i="53"/>
  <c r="E38" i="53"/>
  <c r="E21" i="53" s="1"/>
  <c r="D21" i="53"/>
  <c r="F40" i="53"/>
  <c r="F25" i="53" s="1"/>
  <c r="E40" i="53"/>
  <c r="E25" i="53" s="1"/>
  <c r="D25" i="53"/>
  <c r="E35" i="53"/>
  <c r="F35" i="53" s="1"/>
  <c r="E41" i="53"/>
  <c r="F41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N76" i="52"/>
  <c r="O76" i="52" s="1"/>
  <c r="N71" i="52"/>
  <c r="O71" i="52" s="1"/>
  <c r="N72" i="52"/>
  <c r="O72" i="52" s="1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O56" i="52"/>
  <c r="O25" i="52" s="1"/>
  <c r="N51" i="52"/>
  <c r="O51" i="52" s="1"/>
  <c r="M22" i="52"/>
  <c r="N53" i="52"/>
  <c r="N22" i="52" s="1"/>
  <c r="N37" i="52"/>
  <c r="O37" i="52" s="1"/>
  <c r="N39" i="52"/>
  <c r="O39" i="52" s="1"/>
  <c r="N34" i="52"/>
  <c r="O34" i="52" s="1"/>
  <c r="N40" i="52"/>
  <c r="O40" i="52" s="1"/>
  <c r="N38" i="52"/>
  <c r="O38" i="52" s="1"/>
  <c r="N35" i="52"/>
  <c r="O35" i="52" s="1"/>
  <c r="N36" i="52"/>
  <c r="O36" i="52" s="1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O110" i="52"/>
  <c r="O19" i="52" s="1"/>
  <c r="M19" i="52"/>
  <c r="N110" i="52"/>
  <c r="N19" i="52" s="1"/>
  <c r="N105" i="52"/>
  <c r="O105" i="52" s="1"/>
  <c r="O107" i="52"/>
  <c r="O17" i="52" s="1"/>
  <c r="M17" i="52"/>
  <c r="N107" i="52"/>
  <c r="N17" i="52" s="1"/>
  <c r="N106" i="52"/>
  <c r="O106" i="52" s="1"/>
  <c r="O104" i="52"/>
  <c r="N104" i="52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L107" i="52"/>
  <c r="L17" i="52" s="1"/>
  <c r="K102" i="52"/>
  <c r="L102" i="52" s="1"/>
  <c r="K108" i="52"/>
  <c r="L108" i="52" s="1"/>
  <c r="J19" i="52"/>
  <c r="K110" i="52"/>
  <c r="K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J20" i="52"/>
  <c r="K70" i="52"/>
  <c r="K20" i="52" s="1"/>
  <c r="K72" i="52"/>
  <c r="L72" i="52" s="1"/>
  <c r="K69" i="52"/>
  <c r="L69" i="52" s="1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H106" i="52"/>
  <c r="I106" i="52" s="1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H51" i="52"/>
  <c r="I51" i="52" s="1"/>
  <c r="H56" i="52"/>
  <c r="H25" i="52" s="1"/>
  <c r="I56" i="52"/>
  <c r="I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E42" i="52"/>
  <c r="F42" i="52" s="1"/>
  <c r="E37" i="52"/>
  <c r="F37" i="52" s="1"/>
  <c r="N107" i="51"/>
  <c r="O107" i="51" s="1"/>
  <c r="N103" i="51"/>
  <c r="O103" i="51" s="1"/>
  <c r="N108" i="51"/>
  <c r="O108" i="51" s="1"/>
  <c r="N102" i="51"/>
  <c r="O102" i="51" s="1"/>
  <c r="O110" i="51"/>
  <c r="N110" i="5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/>
  <c r="N52" i="51"/>
  <c r="O52" i="51" s="1"/>
  <c r="N39" i="51"/>
  <c r="O39" i="51"/>
  <c r="O34" i="51"/>
  <c r="M20" i="51"/>
  <c r="N34" i="5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K68" i="51"/>
  <c r="L68" i="51" s="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I73" i="51"/>
  <c r="I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E54" i="51"/>
  <c r="F54" i="51" s="1"/>
  <c r="E35" i="51"/>
  <c r="E23" i="51" s="1"/>
  <c r="D23" i="5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N103" i="49"/>
  <c r="O103" i="49" s="1"/>
  <c r="N102" i="49"/>
  <c r="O102" i="49" s="1"/>
  <c r="N110" i="49"/>
  <c r="O110" i="49" s="1"/>
  <c r="N104" i="49"/>
  <c r="O104" i="49" s="1"/>
  <c r="N108" i="49"/>
  <c r="N20" i="49" s="1"/>
  <c r="M20" i="49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O35" i="49"/>
  <c r="N35" i="49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N39" i="48"/>
  <c r="O39" i="48" s="1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N112" i="55" l="1"/>
  <c r="O112" i="55"/>
  <c r="N95" i="55"/>
  <c r="O95" i="55"/>
  <c r="O78" i="55"/>
  <c r="N78" i="55"/>
  <c r="O55" i="55"/>
  <c r="O23" i="55" s="1"/>
  <c r="O56" i="55"/>
  <c r="O24" i="55" s="1"/>
  <c r="O52" i="55"/>
  <c r="O20" i="55" s="1"/>
  <c r="N19" i="55"/>
  <c r="N27" i="55" s="1"/>
  <c r="N61" i="55"/>
  <c r="O19" i="55"/>
  <c r="O61" i="55"/>
  <c r="O42" i="55"/>
  <c r="O17" i="55" s="1"/>
  <c r="N44" i="55"/>
  <c r="O44" i="55"/>
  <c r="O53" i="52"/>
  <c r="O22" i="52" s="1"/>
  <c r="L37" i="53"/>
  <c r="L18" i="53" s="1"/>
  <c r="L54" i="55"/>
  <c r="L22" i="55" s="1"/>
  <c r="K61" i="48"/>
  <c r="L70" i="52"/>
  <c r="L20" i="52" s="1"/>
  <c r="O40" i="53"/>
  <c r="O25" i="53" s="1"/>
  <c r="O37" i="53"/>
  <c r="O18" i="53" s="1"/>
  <c r="F42" i="55"/>
  <c r="F17" i="55" s="1"/>
  <c r="O105" i="47"/>
  <c r="O18" i="47" s="1"/>
  <c r="O108" i="49"/>
  <c r="O20" i="49" s="1"/>
  <c r="F37" i="51"/>
  <c r="F26" i="51" s="1"/>
  <c r="L110" i="52"/>
  <c r="L19" i="52" s="1"/>
  <c r="F36" i="53"/>
  <c r="F17" i="53" s="1"/>
  <c r="F70" i="53"/>
  <c r="F26" i="53" s="1"/>
  <c r="L36" i="53"/>
  <c r="L17" i="53" s="1"/>
  <c r="F57" i="55"/>
  <c r="F25" i="55" s="1"/>
  <c r="F54" i="55"/>
  <c r="F22" i="55" s="1"/>
  <c r="K112" i="55"/>
  <c r="L112" i="55"/>
  <c r="K95" i="55"/>
  <c r="L95" i="55"/>
  <c r="K78" i="55"/>
  <c r="L68" i="55"/>
  <c r="L78" i="55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E95" i="55"/>
  <c r="F95" i="55"/>
  <c r="F78" i="55"/>
  <c r="G7" i="55" s="1"/>
  <c r="E78" i="55"/>
  <c r="F55" i="55"/>
  <c r="F23" i="55" s="1"/>
  <c r="E61" i="55"/>
  <c r="F61" i="55"/>
  <c r="E27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L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I109" i="53"/>
  <c r="I22" i="53" s="1"/>
  <c r="H112" i="53"/>
  <c r="H95" i="53"/>
  <c r="I95" i="53"/>
  <c r="I70" i="53"/>
  <c r="I26" i="53" s="1"/>
  <c r="H78" i="53"/>
  <c r="H19" i="53"/>
  <c r="H27" i="53" s="1"/>
  <c r="I78" i="53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G7" i="53" s="1"/>
  <c r="F19" i="53"/>
  <c r="E61" i="53"/>
  <c r="F61" i="53"/>
  <c r="F39" i="53"/>
  <c r="F23" i="53" s="1"/>
  <c r="F37" i="53"/>
  <c r="F18" i="53" s="1"/>
  <c r="F38" i="53"/>
  <c r="F21" i="53" s="1"/>
  <c r="E44" i="53"/>
  <c r="N95" i="52"/>
  <c r="O95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56" i="52"/>
  <c r="L25" i="52" s="1"/>
  <c r="K27" i="52"/>
  <c r="L44" i="52"/>
  <c r="K44" i="52"/>
  <c r="I110" i="52"/>
  <c r="I19" i="52" s="1"/>
  <c r="I109" i="52"/>
  <c r="I18" i="52" s="1"/>
  <c r="H112" i="52"/>
  <c r="H95" i="52"/>
  <c r="I95" i="52"/>
  <c r="H78" i="52"/>
  <c r="I78" i="52"/>
  <c r="I55" i="52"/>
  <c r="I24" i="52" s="1"/>
  <c r="H27" i="52"/>
  <c r="I53" i="52"/>
  <c r="I22" i="52" s="1"/>
  <c r="H61" i="52"/>
  <c r="I61" i="52"/>
  <c r="H44" i="52"/>
  <c r="I44" i="52"/>
  <c r="F110" i="52"/>
  <c r="F19" i="52" s="1"/>
  <c r="F107" i="52"/>
  <c r="F17" i="52" s="1"/>
  <c r="F109" i="52"/>
  <c r="F18" i="52" s="1"/>
  <c r="E112" i="52"/>
  <c r="F95" i="52"/>
  <c r="E95" i="52"/>
  <c r="F70" i="52"/>
  <c r="F20" i="52" s="1"/>
  <c r="E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O112" i="51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F68" i="51"/>
  <c r="F70" i="51"/>
  <c r="F17" i="51" s="1"/>
  <c r="F71" i="51"/>
  <c r="F18" i="51" s="1"/>
  <c r="E61" i="51"/>
  <c r="F61" i="5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E61" i="49"/>
  <c r="E44" i="49"/>
  <c r="E17" i="49"/>
  <c r="E27" i="49" s="1"/>
  <c r="F44" i="49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88" i="47"/>
  <c r="O26" i="47" s="1"/>
  <c r="N78" i="47"/>
  <c r="N20" i="47"/>
  <c r="N27" i="47" s="1"/>
  <c r="O20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20" i="47"/>
  <c r="E78" i="47"/>
  <c r="E20" i="47"/>
  <c r="E27" i="47" s="1"/>
  <c r="E61" i="47"/>
  <c r="F61" i="47"/>
  <c r="F44" i="47"/>
  <c r="E44" i="47"/>
  <c r="G3" i="47" s="1"/>
  <c r="N44" i="45"/>
  <c r="N17" i="45"/>
  <c r="O44" i="45"/>
  <c r="O17" i="45"/>
  <c r="N61" i="45"/>
  <c r="O61" i="45"/>
  <c r="O1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O27" i="55" l="1"/>
  <c r="G5" i="51"/>
  <c r="F78" i="47"/>
  <c r="O78" i="47"/>
  <c r="G9" i="51"/>
  <c r="O44" i="51"/>
  <c r="F78" i="52"/>
  <c r="G9" i="52"/>
  <c r="I112" i="52"/>
  <c r="L61" i="52"/>
  <c r="G5" i="53"/>
  <c r="F44" i="55"/>
  <c r="F27" i="55"/>
  <c r="L44" i="45"/>
  <c r="G5" i="47"/>
  <c r="O95" i="44"/>
  <c r="O78" i="45"/>
  <c r="O95" i="47"/>
  <c r="G9" i="48"/>
  <c r="G3" i="49"/>
  <c r="G9" i="49"/>
  <c r="O78" i="52"/>
  <c r="L44" i="53"/>
  <c r="O44" i="53"/>
  <c r="G11" i="55"/>
  <c r="L44" i="55"/>
  <c r="L61" i="55"/>
  <c r="G5" i="55" s="1"/>
  <c r="L27" i="55"/>
  <c r="I61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7" i="45" l="1"/>
  <c r="G9" i="43"/>
  <c r="G11" i="40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<sst xmlns="http://schemas.openxmlformats.org/spreadsheetml/2006/main" count="5778" uniqueCount="359">
  <si>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</si>
  <si>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</si>
  <si>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</si>
  <si>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</si>
  <si>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</si>
  <si>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</si>
  <si>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</si>
  <si>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</si>
  <si>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</si>
  <si>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</si>
  <si>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</si>
  <si>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</si>
  <si>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</si>
  <si>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</si>
  <si>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</si>
  <si>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</si>
  <si>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</si>
  <si>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</si>
  <si>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</si>
  <si>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</si>
  <si>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</si>
  <si>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</si>
  <si>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</si>
  <si>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</si>
  <si>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</si>
  <si>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</si>
  <si>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</si>
  <si>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</si>
  <si>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</si>
  <si>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</si>
  <si>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</si>
  <si>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</si>
  <si>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</si>
  <si>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</si>
  <si>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</si>
  <si>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</si>
  <si>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</si>
  <si>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</si>
  <si>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</si>
  <si>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</si>
  <si>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</si>
  <si>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</si>
  <si>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</si>
  <si>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</si>
  <si>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</si>
  <si>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</si>
  <si>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</si>
  <si>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</si>
  <si>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</si>
  <si>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</si>
  <si>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</si>
  <si>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</si>
  <si>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</si>
  <si>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</si>
  <si>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</si>
  <si>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</si>
  <si>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</si>
  <si>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</si>
  <si>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</si>
  <si>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</si>
  <si>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</si>
  <si>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</si>
  <si>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</si>
  <si>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</si>
  <si>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</si>
  <si>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</si>
  <si>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</si>
  <si>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</si>
  <si>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</si>
  <si>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</si>
  <si>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</si>
  <si>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</si>
  <si>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</si>
  <si>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</si>
  <si>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</si>
  <si>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</si>
  <si>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</si>
  <si>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</si>
  <si>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</si>
  <si>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</si>
  <si>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</si>
  <si>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</si>
  <si>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</si>
  <si>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</si>
  <si>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</si>
  <si>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</si>
  <si>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</si>
  <si>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</si>
  <si>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</si>
  <si>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</si>
  <si>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</si>
  <si>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</si>
  <si>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</si>
  <si>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</si>
  <si>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</si>
  <si>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</si>
  <si>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</si>
  <si>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</si>
  <si>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</si>
  <si>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</si>
  <si>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</si>
  <si>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</si>
  <si>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</si>
  <si>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</si>
  <si>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</si>
  <si>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</si>
  <si>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KRW-BCHA</t>
  </si>
  <si>
    <t>스트라티스</t>
  </si>
  <si>
    <t>엠블</t>
  </si>
  <si>
    <t>KRW-MVL</t>
  </si>
  <si>
    <t>세럼</t>
  </si>
  <si>
    <t>KRW-SRM</t>
  </si>
  <si>
    <t>플레이댑</t>
  </si>
  <si>
    <t>KRW-PLA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</si>
  <si>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</si>
  <si>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</si>
  <si>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</si>
  <si>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</si>
  <si>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</si>
  <si>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</si>
  <si>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</si>
  <si>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</si>
  <si>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</si>
  <si>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</si>
  <si>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</si>
  <si>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</si>
  <si>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</si>
  <si>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</si>
  <si>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</si>
  <si>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</si>
  <si>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</si>
  <si>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</si>
  <si>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</si>
  <si>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</si>
  <si>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</si>
  <si>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</si>
  <si>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KRW-TSHP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</si>
  <si>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</si>
  <si>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</si>
  <si>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</si>
  <si>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</si>
  <si>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</si>
  <si>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</si>
  <si>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</si>
  <si>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</si>
  <si>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</si>
  <si>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</si>
  <si>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</si>
  <si>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</si>
  <si>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</si>
  <si>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</si>
  <si>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</si>
  <si>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</si>
  <si>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</si>
  <si>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</si>
  <si>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</si>
  <si>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</si>
  <si>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KRW-ELF</t>
  </si>
  <si>
    <t>센티넬프로토콜</t>
  </si>
  <si>
    <t>온톨로지가스</t>
  </si>
  <si>
    <t>KRW-ONG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</si>
  <si>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</si>
  <si>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</si>
  <si>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</si>
  <si>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</si>
  <si>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</si>
  <si>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</si>
  <si>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</si>
  <si>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</si>
  <si>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</si>
  <si>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</si>
  <si>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</si>
  <si>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</si>
  <si>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</si>
  <si>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</si>
  <si>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</si>
  <si>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</si>
  <si>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</si>
  <si>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</si>
  <si>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</si>
  <si>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</si>
  <si>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</si>
  <si>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</si>
  <si>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</si>
  <si>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</si>
  <si>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</si>
  <si>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</si>
  <si>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</si>
  <si>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</si>
  <si>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</si>
  <si>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</si>
  <si>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</si>
  <si>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</si>
  <si>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</si>
  <si>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</si>
  <si>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</si>
  <si>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</si>
  <si>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</si>
  <si>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</si>
  <si>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</si>
  <si>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</si>
  <si>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</si>
  <si>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</si>
  <si>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</si>
  <si>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</si>
  <si>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</si>
  <si>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</si>
  <si>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</si>
  <si>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</si>
  <si>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</si>
  <si>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</si>
  <si>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</si>
  <si>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</si>
  <si>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</si>
  <si>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</si>
  <si>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</si>
  <si>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</si>
  <si>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</si>
  <si>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</si>
  <si>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</si>
  <si>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</si>
  <si>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</si>
  <si>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</si>
  <si>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</si>
  <si>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</si>
  <si>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</si>
  <si>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</si>
  <si>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KRW-ETH</t>
  </si>
  <si>
    <t>이더리움</t>
  </si>
  <si>
    <t>KRW-MTL</t>
  </si>
  <si>
    <t>라이트코인</t>
  </si>
  <si>
    <t>이오스</t>
  </si>
  <si>
    <t>비트코인캐시</t>
  </si>
  <si>
    <t>KRW-DMT</t>
  </si>
  <si>
    <t>KRW-CVC</t>
  </si>
  <si>
    <t>KRW-ENJ</t>
  </si>
  <si>
    <t>KRW-MBL</t>
  </si>
  <si>
    <t>KRW-VET</t>
  </si>
  <si>
    <t>KRW-PXL</t>
  </si>
  <si>
    <t>KRW-LINK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</si>
  <si>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</si>
  <si>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</si>
  <si>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</si>
  <si>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</si>
  <si>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KRW-XEM</t>
  </si>
  <si>
    <t>KRW-STEEM</t>
  </si>
  <si>
    <t>KRW-ARDR</t>
  </si>
  <si>
    <t>KRW-KMD</t>
  </si>
  <si>
    <t>KRW-GRS</t>
  </si>
  <si>
    <t>KRW-EMC2</t>
  </si>
  <si>
    <t>KRW-SBD</t>
  </si>
  <si>
    <t>아이콘</t>
  </si>
  <si>
    <t>KRW-ONT</t>
  </si>
  <si>
    <t>온톨로지</t>
  </si>
  <si>
    <t>KRW-ZIL</t>
  </si>
  <si>
    <t>KRW-ZRX</t>
  </si>
  <si>
    <t>KRW-LOOM</t>
  </si>
  <si>
    <t>KRW-IOST</t>
  </si>
  <si>
    <t>KRW-RFR</t>
  </si>
  <si>
    <t>KRW-IQ</t>
  </si>
  <si>
    <t>KRW-IOTA</t>
  </si>
  <si>
    <t>KRW-GAS</t>
  </si>
  <si>
    <t>가스</t>
  </si>
  <si>
    <t>KRW-KNC</t>
  </si>
  <si>
    <t>KRW-EDR</t>
  </si>
  <si>
    <t>KRW-QKC</t>
  </si>
  <si>
    <t>KRW-ANKR</t>
  </si>
  <si>
    <t>KRW-KAVA</t>
  </si>
  <si>
    <t>KRW-PCI</t>
  </si>
  <si>
    <t>페이코인</t>
  </si>
  <si>
    <t>KRW-STRAX</t>
  </si>
  <si>
    <t>KRW-SSX</t>
  </si>
  <si>
    <t>KRW-META</t>
  </si>
  <si>
    <t>KRW-CBK</t>
  </si>
  <si>
    <t>KRW-NEO</t>
  </si>
  <si>
    <t>KRW-LTC</t>
  </si>
  <si>
    <t>KRW-XRP</t>
  </si>
  <si>
    <t>KRW-OMG</t>
  </si>
  <si>
    <t>KRW-SNT</t>
  </si>
  <si>
    <t>KRW-WAVES</t>
  </si>
  <si>
    <t>KRW-QTUM</t>
  </si>
  <si>
    <t>KRW-LSK</t>
  </si>
  <si>
    <t>리스크</t>
  </si>
  <si>
    <t>KRW-XLM</t>
  </si>
  <si>
    <t>KRW-ARK</t>
  </si>
  <si>
    <t>아크</t>
  </si>
  <si>
    <t>KRW-STORJ</t>
  </si>
  <si>
    <t>스토리지</t>
  </si>
  <si>
    <t>KRW-REP</t>
  </si>
  <si>
    <t>어거</t>
  </si>
  <si>
    <t>KRW-ADA</t>
  </si>
  <si>
    <t>에이다</t>
  </si>
  <si>
    <t>KRW-POWR</t>
  </si>
  <si>
    <t>KRW-BTG</t>
  </si>
  <si>
    <t>KRW-ICX</t>
  </si>
  <si>
    <t>KRW-EOS</t>
  </si>
  <si>
    <t>KRW-TRX</t>
  </si>
  <si>
    <t>KRW-SC</t>
  </si>
  <si>
    <t>KRW-IGNIS</t>
  </si>
  <si>
    <t>KRW-POLY</t>
  </si>
  <si>
    <t>KRW-BCH</t>
  </si>
  <si>
    <t>KRW-ADX</t>
  </si>
  <si>
    <t>애드엑스</t>
  </si>
  <si>
    <t>KRW-BAT</t>
  </si>
  <si>
    <t>베이직어텐션토큰</t>
  </si>
  <si>
    <t>KRW-MFT</t>
  </si>
  <si>
    <t>KRW-UPP</t>
  </si>
  <si>
    <t>KRW-BSV</t>
  </si>
  <si>
    <t>KRW-THETA</t>
  </si>
  <si>
    <t>KRW-BTT</t>
  </si>
  <si>
    <t>KRW-MOC</t>
  </si>
  <si>
    <t>KRW-TFUEL</t>
  </si>
  <si>
    <t>KRW-MANA</t>
  </si>
  <si>
    <t>KRW-AERGO</t>
  </si>
  <si>
    <t>KRW-ATOM</t>
  </si>
  <si>
    <t>코스모스</t>
  </si>
  <si>
    <t>KRW-TT</t>
  </si>
  <si>
    <t>KRW-CRE</t>
  </si>
  <si>
    <t>KRW-SOLVE</t>
  </si>
  <si>
    <t>KRW-WAXP</t>
  </si>
  <si>
    <t>KRW-HBAR</t>
  </si>
  <si>
    <t>KRW-MED</t>
  </si>
  <si>
    <t>KRW-MLK</t>
  </si>
  <si>
    <t>밀크</t>
  </si>
  <si>
    <t>KRW-STPT</t>
  </si>
  <si>
    <t>KRW-ORBS</t>
  </si>
  <si>
    <t>KRW-CHZ</t>
  </si>
  <si>
    <t>KRW-STMX</t>
  </si>
  <si>
    <t>KRW-DKA</t>
  </si>
  <si>
    <t>KRW-HIVE</t>
  </si>
  <si>
    <t>KRW-AHT</t>
  </si>
  <si>
    <t>KRW-XTZ</t>
  </si>
  <si>
    <t>테조스</t>
  </si>
  <si>
    <t>KRW-BORA</t>
  </si>
  <si>
    <t>KRW-JST</t>
  </si>
  <si>
    <t>KRW-CRO</t>
  </si>
  <si>
    <t>KRW-TON</t>
  </si>
  <si>
    <t>KRW-SXP</t>
  </si>
  <si>
    <t>KRW-LAMB</t>
  </si>
  <si>
    <t>KRW-HUNT</t>
  </si>
  <si>
    <t>KRW-MARO</t>
  </si>
  <si>
    <t>KRW-DOT</t>
  </si>
  <si>
    <t>폴카닷</t>
  </si>
  <si>
    <t>KRW-AQT</t>
  </si>
  <si>
    <t>알파쿼크</t>
  </si>
  <si>
    <t>KRW-GLM</t>
  </si>
  <si>
    <t>KRW-QTCON</t>
  </si>
  <si>
    <t>KRW-OBSR</t>
  </si>
  <si>
    <t>KRW-FCT2</t>
  </si>
  <si>
    <t>KRW-LBC</t>
  </si>
  <si>
    <t>KRW-SAND</t>
  </si>
  <si>
    <t>KRW-HUM</t>
  </si>
  <si>
    <t>KRW-DOGE</t>
  </si>
  <si>
    <t>KRW-STRK</t>
  </si>
  <si>
    <t>KRW-PUNDIX</t>
  </si>
  <si>
    <t>KRW-FLOW</t>
  </si>
  <si>
    <t>KRW-DAWN</t>
  </si>
  <si>
    <t>KRW-AXS</t>
  </si>
  <si>
    <t>KRW-STX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</si>
</sst>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52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32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13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13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13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13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13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13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13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13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13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13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13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13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13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13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13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13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13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13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13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13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13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13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13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13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13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13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13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13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13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44287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2"/>
      <c r="I9" s="203"/>
      <c r="J9" s="1" t="s">
        <v>28</v>
      </c>
      <c r="K9" s="198" t="s">
        <v>225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7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81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06"/>
      <c r="R16" s="207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04"/>
      <c r="R17" s="205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04"/>
      <c r="R18" s="205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04"/>
      <c r="R19" s="205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04"/>
      <c r="R20" s="205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4"/>
      <c r="R21" s="205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04"/>
      <c r="R22" s="205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04"/>
      <c r="R23" s="20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4"/>
      <c r="R24" s="20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6"/>
      <c r="R25" s="20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81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31"/>
      <c r="R33" s="232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29"/>
      <c r="R34" s="230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29"/>
      <c r="R35" s="23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81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31"/>
      <c r="R50" s="232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29"/>
      <c r="R51" s="230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29"/>
      <c r="R52" s="23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81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31"/>
      <c r="R67" s="232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29"/>
      <c r="R68" s="230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29"/>
      <c r="R69" s="230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29"/>
      <c r="R70" s="230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29"/>
      <c r="R71" s="23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29"/>
      <c r="R72" s="230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29"/>
      <c r="R73" s="230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29"/>
      <c r="R74" s="230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29"/>
      <c r="R75" s="230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31"/>
      <c r="R76" s="23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81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31"/>
      <c r="R84" s="232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29"/>
      <c r="R85" s="230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29"/>
      <c r="R86" s="230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29"/>
      <c r="R87" s="230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29"/>
      <c r="R88" s="23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81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31"/>
      <c r="R101" s="232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29"/>
      <c r="R102" s="230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29"/>
      <c r="R103" s="230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29"/>
      <c r="R104" s="230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29"/>
      <c r="R105" s="230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29"/>
      <c r="R106" s="230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29"/>
      <c r="R107" s="230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29"/>
      <c r="R108" s="230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29"/>
      <c r="R109" s="230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31"/>
      <c r="R110" s="232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33"/>
      <c r="R112" s="234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031" priority="89">
      <formula>$E$27&gt;0</formula>
    </cfRule>
    <cfRule type="expression" dxfId="2030" priority="90">
      <formula>$E$27&lt;0</formula>
    </cfRule>
  </conditionalFormatting>
  <conditionalFormatting sqref="G15:I16 H27:I27">
    <cfRule type="expression" dxfId="2029" priority="87">
      <formula>$H$27&gt;0</formula>
    </cfRule>
    <cfRule type="expression" dxfId="2028" priority="88">
      <formula>$H$27&lt;0</formula>
    </cfRule>
  </conditionalFormatting>
  <conditionalFormatting sqref="J15:L16 K27:L27">
    <cfRule type="expression" dxfId="2027" priority="85">
      <formula>$K$27&gt;0</formula>
    </cfRule>
    <cfRule type="expression" dxfId="2026" priority="86">
      <formula>$K$27&lt;0</formula>
    </cfRule>
  </conditionalFormatting>
  <conditionalFormatting sqref="M15:O16 N27:O27">
    <cfRule type="expression" dxfId="2025" priority="83">
      <formula>$N$27&gt;0</formula>
    </cfRule>
    <cfRule type="expression" dxfId="2024" priority="84">
      <formula>$N$27&lt;0</formula>
    </cfRule>
  </conditionalFormatting>
  <conditionalFormatting sqref="A17:O26 A34:O43">
    <cfRule type="expression" dxfId="2023" priority="91">
      <formula>AND($N17 &gt; 0, ISNUMBER($N17))</formula>
    </cfRule>
    <cfRule type="expression" dxfId="2022" priority="92">
      <formula>AND($N17 &lt; 0, ISNUMBER($N17))</formula>
    </cfRule>
    <cfRule type="expression" dxfId="2021" priority="93">
      <formula>AND($K17 &gt; 0, ISNUMBER($K17))</formula>
    </cfRule>
    <cfRule type="expression" dxfId="2020" priority="94">
      <formula>AND($K17 &lt; 0, ISNUMBER($K17))</formula>
    </cfRule>
    <cfRule type="expression" dxfId="2019" priority="95">
      <formula>AND($H17 &gt; 0, ISNUMBER($H17))</formula>
    </cfRule>
    <cfRule type="expression" dxfId="2018" priority="96">
      <formula>AND($H17 &lt; 0, ISNUMBER($H17))</formula>
    </cfRule>
    <cfRule type="expression" dxfId="2017" priority="97">
      <formula>AND($E17 &gt; 0, ISNUMBER($E17))</formula>
    </cfRule>
    <cfRule type="expression" dxfId="2016" priority="98">
      <formula>AND($E17 &lt; 0, ISNUMBER($E17))</formula>
    </cfRule>
  </conditionalFormatting>
  <conditionalFormatting sqref="D32:F33 E44:F44">
    <cfRule type="expression" dxfId="2015" priority="81">
      <formula>$E$44&gt;0</formula>
    </cfRule>
    <cfRule type="expression" dxfId="2014" priority="82">
      <formula>$E$44&lt;0</formula>
    </cfRule>
  </conditionalFormatting>
  <conditionalFormatting sqref="G32:I33 H44:I44">
    <cfRule type="expression" dxfId="2013" priority="79">
      <formula>$H$44&gt;0</formula>
    </cfRule>
    <cfRule type="expression" dxfId="2012" priority="80">
      <formula>$H$44&lt;0</formula>
    </cfRule>
  </conditionalFormatting>
  <conditionalFormatting sqref="J32:L33 K44:L44">
    <cfRule type="expression" dxfId="2011" priority="77">
      <formula>$K$44&gt;0</formula>
    </cfRule>
    <cfRule type="expression" dxfId="2010" priority="78">
      <formula>$K$44&lt;0</formula>
    </cfRule>
  </conditionalFormatting>
  <conditionalFormatting sqref="M32:O33 N44:O44">
    <cfRule type="expression" dxfId="2009" priority="75">
      <formula>$N$44&gt;0</formula>
    </cfRule>
    <cfRule type="expression" dxfId="2008" priority="76">
      <formula>$N$44&lt;0</formula>
    </cfRule>
  </conditionalFormatting>
  <conditionalFormatting sqref="A51:O60">
    <cfRule type="expression" dxfId="2007" priority="67">
      <formula>AND($N51 &gt; 0, ISNUMBER($N51))</formula>
    </cfRule>
    <cfRule type="expression" dxfId="2006" priority="68">
      <formula>AND($N51 &lt; 0, ISNUMBER($N51))</formula>
    </cfRule>
    <cfRule type="expression" dxfId="2005" priority="69">
      <formula>AND($K51 &gt; 0, ISNUMBER($K51))</formula>
    </cfRule>
    <cfRule type="expression" dxfId="2004" priority="70">
      <formula>AND($K51 &lt; 0, ISNUMBER($K51))</formula>
    </cfRule>
    <cfRule type="expression" dxfId="2003" priority="71">
      <formula>AND($H51 &gt; 0, ISNUMBER($H51))</formula>
    </cfRule>
    <cfRule type="expression" dxfId="2002" priority="72">
      <formula>AND($H51 &lt; 0, ISNUMBER($H51))</formula>
    </cfRule>
    <cfRule type="expression" dxfId="2001" priority="73">
      <formula>AND($E51 &gt; 0, ISNUMBER($E51))</formula>
    </cfRule>
    <cfRule type="expression" dxfId="2000" priority="74">
      <formula>AND($E51 &lt; 0, ISNUMBER($E51))</formula>
    </cfRule>
  </conditionalFormatting>
  <conditionalFormatting sqref="D49:F50 E61:F61">
    <cfRule type="expression" dxfId="1999" priority="65">
      <formula>$E$61&gt;0</formula>
    </cfRule>
    <cfRule type="expression" dxfId="1998" priority="66">
      <formula>$E$61&lt;0</formula>
    </cfRule>
  </conditionalFormatting>
  <conditionalFormatting sqref="G49:I50 H61:I61">
    <cfRule type="expression" dxfId="1997" priority="63">
      <formula>$H$61&gt;0</formula>
    </cfRule>
    <cfRule type="expression" dxfId="1996" priority="64">
      <formula>$H$61&lt;0</formula>
    </cfRule>
  </conditionalFormatting>
  <conditionalFormatting sqref="J49:L50 K61:L61">
    <cfRule type="expression" dxfId="1995" priority="61">
      <formula>$K$61&gt;0</formula>
    </cfRule>
    <cfRule type="expression" dxfId="1994" priority="62">
      <formula>$K$61&lt;0</formula>
    </cfRule>
  </conditionalFormatting>
  <conditionalFormatting sqref="M49:O50 N61:O61">
    <cfRule type="expression" dxfId="1993" priority="59">
      <formula>$N$61&gt;0</formula>
    </cfRule>
    <cfRule type="expression" dxfId="1992" priority="60">
      <formula>$N$61&lt;0</formula>
    </cfRule>
  </conditionalFormatting>
  <conditionalFormatting sqref="A68:O77">
    <cfRule type="expression" dxfId="1991" priority="51">
      <formula>AND($N68 &gt; 0, ISNUMBER($N68))</formula>
    </cfRule>
    <cfRule type="expression" dxfId="1990" priority="52">
      <formula>AND($N68 &lt; 0, ISNUMBER($N68))</formula>
    </cfRule>
    <cfRule type="expression" dxfId="1989" priority="53">
      <formula>AND($K68 &gt; 0, ISNUMBER($K68))</formula>
    </cfRule>
    <cfRule type="expression" dxfId="1988" priority="54">
      <formula>AND($K68 &lt; 0, ISNUMBER($K68))</formula>
    </cfRule>
    <cfRule type="expression" dxfId="1987" priority="55">
      <formula>AND($H68 &gt; 0, ISNUMBER($H68))</formula>
    </cfRule>
    <cfRule type="expression" dxfId="1986" priority="56">
      <formula>AND($H68 &lt; 0, ISNUMBER($H68))</formula>
    </cfRule>
    <cfRule type="expression" dxfId="1985" priority="57">
      <formula>AND($E68 &gt; 0, ISNUMBER($E68))</formula>
    </cfRule>
    <cfRule type="expression" dxfId="1984" priority="58">
      <formula>AND($E68 &lt; 0, ISNUMBER($E68))</formula>
    </cfRule>
  </conditionalFormatting>
  <conditionalFormatting sqref="D66:F67 E78:F78">
    <cfRule type="expression" dxfId="1983" priority="49">
      <formula>$E$78&gt;0</formula>
    </cfRule>
    <cfRule type="expression" dxfId="1982" priority="50">
      <formula>$E$78&lt;0</formula>
    </cfRule>
  </conditionalFormatting>
  <conditionalFormatting sqref="G66:I67 H78:I78">
    <cfRule type="expression" dxfId="1981" priority="47">
      <formula>$H$78&gt;0</formula>
    </cfRule>
    <cfRule type="expression" dxfId="1980" priority="48">
      <formula>$H$78&lt;0</formula>
    </cfRule>
  </conditionalFormatting>
  <conditionalFormatting sqref="J66:L67 K78:L78">
    <cfRule type="expression" dxfId="1979" priority="45">
      <formula>$K$78&gt;0</formula>
    </cfRule>
    <cfRule type="expression" dxfId="1978" priority="46">
      <formula>$K$78&lt;0</formula>
    </cfRule>
  </conditionalFormatting>
  <conditionalFormatting sqref="M66:O67 N78:O78">
    <cfRule type="expression" dxfId="1977" priority="43">
      <formula>$N$78&gt;0</formula>
    </cfRule>
    <cfRule type="expression" dxfId="1976" priority="44">
      <formula>$N$78&lt;0</formula>
    </cfRule>
  </conditionalFormatting>
  <conditionalFormatting sqref="A85:O94">
    <cfRule type="expression" dxfId="1975" priority="35">
      <formula>AND($N85 &gt; 0, ISNUMBER($N85))</formula>
    </cfRule>
    <cfRule type="expression" dxfId="1974" priority="36">
      <formula>AND($N85 &lt; 0, ISNUMBER($N85))</formula>
    </cfRule>
    <cfRule type="expression" dxfId="1973" priority="37">
      <formula>AND($K85 &gt; 0, ISNUMBER($K85))</formula>
    </cfRule>
    <cfRule type="expression" dxfId="1972" priority="38">
      <formula>AND($K85 &lt; 0, ISNUMBER($K85))</formula>
    </cfRule>
    <cfRule type="expression" dxfId="1971" priority="39">
      <formula>AND($H85 &gt; 0, ISNUMBER($H85))</formula>
    </cfRule>
    <cfRule type="expression" dxfId="1970" priority="40">
      <formula>AND($H85 &lt; 0, ISNUMBER($H85))</formula>
    </cfRule>
    <cfRule type="expression" dxfId="1969" priority="41">
      <formula>AND($E85 &gt; 0, ISNUMBER($E85))</formula>
    </cfRule>
    <cfRule type="expression" dxfId="1968" priority="42">
      <formula>AND($E85 &lt; 0, ISNUMBER($E85))</formula>
    </cfRule>
  </conditionalFormatting>
  <conditionalFormatting sqref="D83:F84 E95:F95">
    <cfRule type="expression" dxfId="1967" priority="33">
      <formula>$E$95&gt;0</formula>
    </cfRule>
    <cfRule type="expression" dxfId="1966" priority="34">
      <formula>$E$95&lt;0</formula>
    </cfRule>
  </conditionalFormatting>
  <conditionalFormatting sqref="G83:I84 H95:I95">
    <cfRule type="expression" dxfId="1965" priority="31">
      <formula>$H$95&gt;0</formula>
    </cfRule>
    <cfRule type="expression" dxfId="1964" priority="32">
      <formula>$H$95&lt;0</formula>
    </cfRule>
  </conditionalFormatting>
  <conditionalFormatting sqref="J83:L84 K95:L95">
    <cfRule type="expression" dxfId="1963" priority="29">
      <formula>$K$95&gt;0</formula>
    </cfRule>
    <cfRule type="expression" dxfId="1962" priority="30">
      <formula>$K$95&lt;0</formula>
    </cfRule>
  </conditionalFormatting>
  <conditionalFormatting sqref="M83:O84 N95:O95">
    <cfRule type="expression" dxfId="1961" priority="27">
      <formula>$N$95&gt;0</formula>
    </cfRule>
    <cfRule type="expression" dxfId="1960" priority="28">
      <formula>$N$95&lt;0</formula>
    </cfRule>
  </conditionalFormatting>
  <conditionalFormatting sqref="A102:O111">
    <cfRule type="expression" dxfId="1959" priority="19">
      <formula>AND($N102 &gt; 0, ISNUMBER($N102))</formula>
    </cfRule>
    <cfRule type="expression" dxfId="1958" priority="20">
      <formula>AND($N102 &lt; 0, ISNUMBER($N102))</formula>
    </cfRule>
    <cfRule type="expression" dxfId="1957" priority="21">
      <formula>AND($K102 &gt; 0, ISNUMBER($K102))</formula>
    </cfRule>
    <cfRule type="expression" dxfId="1956" priority="22">
      <formula>AND($K102 &lt; 0, ISNUMBER($K102))</formula>
    </cfRule>
    <cfRule type="expression" dxfId="1955" priority="23">
      <formula>AND($H102 &gt; 0, ISNUMBER($H102))</formula>
    </cfRule>
    <cfRule type="expression" dxfId="1954" priority="24">
      <formula>AND($H102 &lt; 0, ISNUMBER($H102))</formula>
    </cfRule>
    <cfRule type="expression" dxfId="1953" priority="25">
      <formula>AND($E102 &gt; 0, ISNUMBER($E102))</formula>
    </cfRule>
    <cfRule type="expression" dxfId="1952" priority="26">
      <formula>AND($E102 &lt; 0, ISNUMBER($E102))</formula>
    </cfRule>
  </conditionalFormatting>
  <conditionalFormatting sqref="D100:F101 E112:F112">
    <cfRule type="expression" dxfId="1951" priority="17">
      <formula>$E$112&gt;0</formula>
    </cfRule>
    <cfRule type="expression" dxfId="1950" priority="18">
      <formula>$E$112&lt;0</formula>
    </cfRule>
  </conditionalFormatting>
  <conditionalFormatting sqref="G100:I101 H112:I112">
    <cfRule type="expression" dxfId="1949" priority="15">
      <formula>$H$112&gt;0</formula>
    </cfRule>
    <cfRule type="expression" dxfId="1948" priority="16">
      <formula>$H$112&lt;0</formula>
    </cfRule>
  </conditionalFormatting>
  <conditionalFormatting sqref="J100:L101 K112:L112">
    <cfRule type="expression" dxfId="1947" priority="13">
      <formula>$K$112&gt;0</formula>
    </cfRule>
    <cfRule type="expression" dxfId="1946" priority="14">
      <formula>$K$112&lt;0</formula>
    </cfRule>
  </conditionalFormatting>
  <conditionalFormatting sqref="M100:O101 N112:O112">
    <cfRule type="expression" dxfId="1945" priority="11">
      <formula>$N$112&gt;0</formula>
    </cfRule>
    <cfRule type="expression" dxfId="1944" priority="12">
      <formula>$N$112&lt;0</formula>
    </cfRule>
  </conditionalFormatting>
  <conditionalFormatting sqref="G2:I3">
    <cfRule type="expression" dxfId="194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94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94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94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93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93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3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3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3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3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44288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7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82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41" t="s">
        <v>20</v>
      </c>
      <c r="E15" s="242"/>
      <c r="F15" s="243"/>
      <c r="G15" s="241" t="s">
        <v>15</v>
      </c>
      <c r="H15" s="242"/>
      <c r="I15" s="243"/>
      <c r="J15" s="221" t="s">
        <v>34</v>
      </c>
      <c r="K15" s="221"/>
      <c r="L15" s="221"/>
      <c r="M15" s="241" t="s">
        <v>54</v>
      </c>
      <c r="N15" s="242"/>
      <c r="O15" s="243"/>
      <c r="Q15" s="206"/>
      <c r="R15" s="207"/>
    </row>
    <row r="16" spans="1:18" ht="17.25" customHeight="1" thickBot="1">
      <c r="A16" s="217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06"/>
      <c r="R16" s="207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04"/>
      <c r="R17" s="205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04"/>
      <c r="R18" s="205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04"/>
      <c r="R19" s="205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04"/>
      <c r="R20" s="205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4"/>
      <c r="R21" s="205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04"/>
      <c r="R22" s="205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04"/>
      <c r="R23" s="205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04"/>
      <c r="R24" s="205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06"/>
      <c r="R25" s="207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08"/>
      <c r="R27" s="209"/>
    </row>
    <row r="28" spans="1:18" ht="17.25" customHeight="1"/>
    <row r="29" spans="1:18" ht="17.25" customHeight="1" thickBot="1"/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82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31"/>
      <c r="R33" s="232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29"/>
      <c r="R34" s="230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29"/>
      <c r="R35" s="230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33"/>
      <c r="R44" s="234"/>
    </row>
    <row r="45" spans="1:18" ht="17.25" customHeight="1"/>
    <row r="46" spans="1:18" ht="17.25" customHeight="1" thickBot="1"/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82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31"/>
      <c r="R50" s="232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29"/>
      <c r="R51" s="230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29"/>
      <c r="R52" s="230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82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31"/>
      <c r="R67" s="232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29"/>
      <c r="R68" s="230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29"/>
      <c r="R69" s="230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29"/>
      <c r="R70" s="230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29"/>
      <c r="R71" s="23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29"/>
      <c r="R72" s="230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29"/>
      <c r="R73" s="230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29"/>
      <c r="R74" s="230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29"/>
      <c r="R75" s="230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31"/>
      <c r="R76" s="23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33"/>
      <c r="R78" s="234"/>
    </row>
    <row r="79" spans="1:18" ht="17.25" customHeight="1"/>
    <row r="80" spans="1:18" ht="17.25" customHeight="1" thickBot="1"/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82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31"/>
      <c r="R84" s="232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29"/>
      <c r="R85" s="230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29"/>
      <c r="R86" s="230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29"/>
      <c r="R87" s="230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29"/>
      <c r="R88" s="23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82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31"/>
      <c r="R101" s="232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29"/>
      <c r="R102" s="230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29"/>
      <c r="R103" s="230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29"/>
      <c r="R104" s="230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29"/>
      <c r="R105" s="230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29"/>
      <c r="R106" s="230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29"/>
      <c r="R107" s="230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29"/>
      <c r="R108" s="230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29"/>
      <c r="R109" s="230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31"/>
      <c r="R110" s="232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33"/>
      <c r="R112" s="234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933" priority="89">
      <formula>$E$27&gt;0</formula>
    </cfRule>
    <cfRule type="expression" dxfId="1932" priority="90">
      <formula>$E$27&lt;0</formula>
    </cfRule>
  </conditionalFormatting>
  <conditionalFormatting sqref="G15:I16 H27:I27">
    <cfRule type="expression" dxfId="1931" priority="87">
      <formula>$H$27&gt;0</formula>
    </cfRule>
    <cfRule type="expression" dxfId="1930" priority="88">
      <formula>$H$27&lt;0</formula>
    </cfRule>
  </conditionalFormatting>
  <conditionalFormatting sqref="J15:L16 K27:L27">
    <cfRule type="expression" dxfId="1929" priority="85">
      <formula>$K$27&gt;0</formula>
    </cfRule>
    <cfRule type="expression" dxfId="1928" priority="86">
      <formula>$K$27&lt;0</formula>
    </cfRule>
  </conditionalFormatting>
  <conditionalFormatting sqref="M15:O16 N27:O27">
    <cfRule type="expression" dxfId="1927" priority="83">
      <formula>$N$27&gt;0</formula>
    </cfRule>
    <cfRule type="expression" dxfId="1926" priority="84">
      <formula>$N$27&lt;0</formula>
    </cfRule>
  </conditionalFormatting>
  <conditionalFormatting sqref="A17:O26 A34:O43">
    <cfRule type="expression" dxfId="1925" priority="91">
      <formula>AND($N17 &gt; 0, ISNUMBER($N17))</formula>
    </cfRule>
    <cfRule type="expression" dxfId="1924" priority="92">
      <formula>AND($N17 &lt; 0, ISNUMBER($N17))</formula>
    </cfRule>
    <cfRule type="expression" dxfId="1923" priority="93">
      <formula>AND($K17 &gt; 0, ISNUMBER($K17))</formula>
    </cfRule>
    <cfRule type="expression" dxfId="1922" priority="94">
      <formula>AND($K17 &lt; 0, ISNUMBER($K17))</formula>
    </cfRule>
    <cfRule type="expression" dxfId="1921" priority="95">
      <formula>AND($H17 &gt; 0, ISNUMBER($H17))</formula>
    </cfRule>
    <cfRule type="expression" dxfId="1920" priority="96">
      <formula>AND($H17 &lt; 0, ISNUMBER($H17))</formula>
    </cfRule>
    <cfRule type="expression" dxfId="1919" priority="97">
      <formula>AND($E17 &gt; 0, ISNUMBER($E17))</formula>
    </cfRule>
    <cfRule type="expression" dxfId="1918" priority="98">
      <formula>AND($E17 &lt; 0, ISNUMBER($E17))</formula>
    </cfRule>
  </conditionalFormatting>
  <conditionalFormatting sqref="D32:F33 E44:F44">
    <cfRule type="expression" dxfId="1917" priority="81">
      <formula>$E$44&gt;0</formula>
    </cfRule>
    <cfRule type="expression" dxfId="1916" priority="82">
      <formula>$E$44&lt;0</formula>
    </cfRule>
  </conditionalFormatting>
  <conditionalFormatting sqref="G32:I33 H44:I44">
    <cfRule type="expression" dxfId="1915" priority="79">
      <formula>$H$44&gt;0</formula>
    </cfRule>
    <cfRule type="expression" dxfId="1914" priority="80">
      <formula>$H$44&lt;0</formula>
    </cfRule>
  </conditionalFormatting>
  <conditionalFormatting sqref="J32:L33 K44:L44">
    <cfRule type="expression" dxfId="1913" priority="77">
      <formula>$K$44&gt;0</formula>
    </cfRule>
    <cfRule type="expression" dxfId="1912" priority="78">
      <formula>$K$44&lt;0</formula>
    </cfRule>
  </conditionalFormatting>
  <conditionalFormatting sqref="M32:O33 N44:O44">
    <cfRule type="expression" dxfId="1911" priority="75">
      <formula>$N$44&gt;0</formula>
    </cfRule>
    <cfRule type="expression" dxfId="1910" priority="76">
      <formula>$N$44&lt;0</formula>
    </cfRule>
  </conditionalFormatting>
  <conditionalFormatting sqref="A51:O60">
    <cfRule type="expression" dxfId="1909" priority="67">
      <formula>AND($N51 &gt; 0, ISNUMBER($N51))</formula>
    </cfRule>
    <cfRule type="expression" dxfId="1908" priority="68">
      <formula>AND($N51 &lt; 0, ISNUMBER($N51))</formula>
    </cfRule>
    <cfRule type="expression" dxfId="1907" priority="69">
      <formula>AND($K51 &gt; 0, ISNUMBER($K51))</formula>
    </cfRule>
    <cfRule type="expression" dxfId="1906" priority="70">
      <formula>AND($K51 &lt; 0, ISNUMBER($K51))</formula>
    </cfRule>
    <cfRule type="expression" dxfId="1905" priority="71">
      <formula>AND($H51 &gt; 0, ISNUMBER($H51))</formula>
    </cfRule>
    <cfRule type="expression" dxfId="1904" priority="72">
      <formula>AND($H51 &lt; 0, ISNUMBER($H51))</formula>
    </cfRule>
    <cfRule type="expression" dxfId="1903" priority="73">
      <formula>AND($E51 &gt; 0, ISNUMBER($E51))</formula>
    </cfRule>
    <cfRule type="expression" dxfId="1902" priority="74">
      <formula>AND($E51 &lt; 0, ISNUMBER($E51))</formula>
    </cfRule>
  </conditionalFormatting>
  <conditionalFormatting sqref="D49:F50 E61:F61">
    <cfRule type="expression" dxfId="1901" priority="65">
      <formula>$E$61&gt;0</formula>
    </cfRule>
    <cfRule type="expression" dxfId="1900" priority="66">
      <formula>$E$61&lt;0</formula>
    </cfRule>
  </conditionalFormatting>
  <conditionalFormatting sqref="G49:I50 H61:I61">
    <cfRule type="expression" dxfId="1899" priority="63">
      <formula>$H$61&gt;0</formula>
    </cfRule>
    <cfRule type="expression" dxfId="1898" priority="64">
      <formula>$H$61&lt;0</formula>
    </cfRule>
  </conditionalFormatting>
  <conditionalFormatting sqref="J49:L50 K61:L61">
    <cfRule type="expression" dxfId="1897" priority="61">
      <formula>$K$61&gt;0</formula>
    </cfRule>
    <cfRule type="expression" dxfId="1896" priority="62">
      <formula>$K$61&lt;0</formula>
    </cfRule>
  </conditionalFormatting>
  <conditionalFormatting sqref="M49:O50 N61:O61">
    <cfRule type="expression" dxfId="1895" priority="59">
      <formula>$N$61&gt;0</formula>
    </cfRule>
    <cfRule type="expression" dxfId="1894" priority="60">
      <formula>$N$61&lt;0</formula>
    </cfRule>
  </conditionalFormatting>
  <conditionalFormatting sqref="A68:O77">
    <cfRule type="expression" dxfId="1893" priority="51">
      <formula>AND($N68 &gt; 0, ISNUMBER($N68))</formula>
    </cfRule>
    <cfRule type="expression" dxfId="1892" priority="52">
      <formula>AND($N68 &lt; 0, ISNUMBER($N68))</formula>
    </cfRule>
    <cfRule type="expression" dxfId="1891" priority="53">
      <formula>AND($K68 &gt; 0, ISNUMBER($K68))</formula>
    </cfRule>
    <cfRule type="expression" dxfId="1890" priority="54">
      <formula>AND($K68 &lt; 0, ISNUMBER($K68))</formula>
    </cfRule>
    <cfRule type="expression" dxfId="1889" priority="55">
      <formula>AND($H68 &gt; 0, ISNUMBER($H68))</formula>
    </cfRule>
    <cfRule type="expression" dxfId="1888" priority="56">
      <formula>AND($H68 &lt; 0, ISNUMBER($H68))</formula>
    </cfRule>
    <cfRule type="expression" dxfId="1887" priority="57">
      <formula>AND($E68 &gt; 0, ISNUMBER($E68))</formula>
    </cfRule>
    <cfRule type="expression" dxfId="1886" priority="58">
      <formula>AND($E68 &lt; 0, ISNUMBER($E68))</formula>
    </cfRule>
  </conditionalFormatting>
  <conditionalFormatting sqref="D66:F67 E78:F78">
    <cfRule type="expression" dxfId="1885" priority="49">
      <formula>$E$78&gt;0</formula>
    </cfRule>
    <cfRule type="expression" dxfId="1884" priority="50">
      <formula>$E$78&lt;0</formula>
    </cfRule>
  </conditionalFormatting>
  <conditionalFormatting sqref="G66:I67 H78:I78">
    <cfRule type="expression" dxfId="1883" priority="47">
      <formula>$H$78&gt;0</formula>
    </cfRule>
    <cfRule type="expression" dxfId="1882" priority="48">
      <formula>$H$78&lt;0</formula>
    </cfRule>
  </conditionalFormatting>
  <conditionalFormatting sqref="J66:L67 K78:L78">
    <cfRule type="expression" dxfId="1881" priority="45">
      <formula>$K$78&gt;0</formula>
    </cfRule>
    <cfRule type="expression" dxfId="1880" priority="46">
      <formula>$K$78&lt;0</formula>
    </cfRule>
  </conditionalFormatting>
  <conditionalFormatting sqref="M66:O67 N78:O78">
    <cfRule type="expression" dxfId="1879" priority="43">
      <formula>$N$78&gt;0</formula>
    </cfRule>
    <cfRule type="expression" dxfId="1878" priority="44">
      <formula>$N$78&lt;0</formula>
    </cfRule>
  </conditionalFormatting>
  <conditionalFormatting sqref="A85:O94">
    <cfRule type="expression" dxfId="1877" priority="35">
      <formula>AND($N85 &gt; 0, ISNUMBER($N85))</formula>
    </cfRule>
    <cfRule type="expression" dxfId="1876" priority="36">
      <formula>AND($N85 &lt; 0, ISNUMBER($N85))</formula>
    </cfRule>
    <cfRule type="expression" dxfId="1875" priority="37">
      <formula>AND($K85 &gt; 0, ISNUMBER($K85))</formula>
    </cfRule>
    <cfRule type="expression" dxfId="1874" priority="38">
      <formula>AND($K85 &lt; 0, ISNUMBER($K85))</formula>
    </cfRule>
    <cfRule type="expression" dxfId="1873" priority="39">
      <formula>AND($H85 &gt; 0, ISNUMBER($H85))</formula>
    </cfRule>
    <cfRule type="expression" dxfId="1872" priority="40">
      <formula>AND($H85 &lt; 0, ISNUMBER($H85))</formula>
    </cfRule>
    <cfRule type="expression" dxfId="1871" priority="41">
      <formula>AND($E85 &gt; 0, ISNUMBER($E85))</formula>
    </cfRule>
    <cfRule type="expression" dxfId="1870" priority="42">
      <formula>AND($E85 &lt; 0, ISNUMBER($E85))</formula>
    </cfRule>
  </conditionalFormatting>
  <conditionalFormatting sqref="D83:F84 E95:F95">
    <cfRule type="expression" dxfId="1869" priority="33">
      <formula>$E$95&gt;0</formula>
    </cfRule>
    <cfRule type="expression" dxfId="1868" priority="34">
      <formula>$E$95&lt;0</formula>
    </cfRule>
  </conditionalFormatting>
  <conditionalFormatting sqref="G83:I84 H95:I95">
    <cfRule type="expression" dxfId="1867" priority="31">
      <formula>$H$95&gt;0</formula>
    </cfRule>
    <cfRule type="expression" dxfId="1866" priority="32">
      <formula>$H$95&lt;0</formula>
    </cfRule>
  </conditionalFormatting>
  <conditionalFormatting sqref="J83:L84 K95:L95">
    <cfRule type="expression" dxfId="1865" priority="29">
      <formula>$K$95&gt;0</formula>
    </cfRule>
    <cfRule type="expression" dxfId="1864" priority="30">
      <formula>$K$95&lt;0</formula>
    </cfRule>
  </conditionalFormatting>
  <conditionalFormatting sqref="M83:O84 N95:O95">
    <cfRule type="expression" dxfId="1863" priority="27">
      <formula>$N$95&gt;0</formula>
    </cfRule>
    <cfRule type="expression" dxfId="1862" priority="28">
      <formula>$N$95&lt;0</formula>
    </cfRule>
  </conditionalFormatting>
  <conditionalFormatting sqref="A102:O111">
    <cfRule type="expression" dxfId="1861" priority="19">
      <formula>AND($N102 &gt; 0, ISNUMBER($N102))</formula>
    </cfRule>
    <cfRule type="expression" dxfId="1860" priority="20">
      <formula>AND($N102 &lt; 0, ISNUMBER($N102))</formula>
    </cfRule>
    <cfRule type="expression" dxfId="1859" priority="21">
      <formula>AND($K102 &gt; 0, ISNUMBER($K102))</formula>
    </cfRule>
    <cfRule type="expression" dxfId="1858" priority="22">
      <formula>AND($K102 &lt; 0, ISNUMBER($K102))</formula>
    </cfRule>
    <cfRule type="expression" dxfId="1857" priority="23">
      <formula>AND($H102 &gt; 0, ISNUMBER($H102))</formula>
    </cfRule>
    <cfRule type="expression" dxfId="1856" priority="24">
      <formula>AND($H102 &lt; 0, ISNUMBER($H102))</formula>
    </cfRule>
    <cfRule type="expression" dxfId="1855" priority="25">
      <formula>AND($E102 &gt; 0, ISNUMBER($E102))</formula>
    </cfRule>
    <cfRule type="expression" dxfId="1854" priority="26">
      <formula>AND($E102 &lt; 0, ISNUMBER($E102))</formula>
    </cfRule>
  </conditionalFormatting>
  <conditionalFormatting sqref="D100:F101 E112:F112">
    <cfRule type="expression" dxfId="1853" priority="17">
      <formula>$E$112&gt;0</formula>
    </cfRule>
    <cfRule type="expression" dxfId="1852" priority="18">
      <formula>$E$112&lt;0</formula>
    </cfRule>
  </conditionalFormatting>
  <conditionalFormatting sqref="G100:I101 H112:I112">
    <cfRule type="expression" dxfId="1851" priority="15">
      <formula>$H$112&gt;0</formula>
    </cfRule>
    <cfRule type="expression" dxfId="1850" priority="16">
      <formula>$H$112&lt;0</formula>
    </cfRule>
  </conditionalFormatting>
  <conditionalFormatting sqref="J100:L101 K112:L112">
    <cfRule type="expression" dxfId="1849" priority="13">
      <formula>$K$112&gt;0</formula>
    </cfRule>
    <cfRule type="expression" dxfId="1848" priority="14">
      <formula>$K$112&lt;0</formula>
    </cfRule>
  </conditionalFormatting>
  <conditionalFormatting sqref="M100:O101 N112:O112">
    <cfRule type="expression" dxfId="1847" priority="11">
      <formula>$N$112&gt;0</formula>
    </cfRule>
    <cfRule type="expression" dxfId="1846" priority="12">
      <formula>$N$112&lt;0</formula>
    </cfRule>
  </conditionalFormatting>
  <conditionalFormatting sqref="G2:I3">
    <cfRule type="expression" dxfId="184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4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4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4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4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4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3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3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3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3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44289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7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82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41" t="s">
        <v>20</v>
      </c>
      <c r="E15" s="242"/>
      <c r="F15" s="243"/>
      <c r="G15" s="241" t="s">
        <v>15</v>
      </c>
      <c r="H15" s="242"/>
      <c r="I15" s="243"/>
      <c r="J15" s="221" t="s">
        <v>34</v>
      </c>
      <c r="K15" s="221"/>
      <c r="L15" s="221"/>
      <c r="M15" s="241" t="s">
        <v>54</v>
      </c>
      <c r="N15" s="242"/>
      <c r="O15" s="243"/>
      <c r="Q15" s="206"/>
      <c r="R15" s="207"/>
    </row>
    <row r="16" spans="1:18" ht="17.25" customHeight="1" thickBot="1">
      <c r="A16" s="217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06"/>
      <c r="R16" s="207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04"/>
      <c r="R17" s="205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04"/>
      <c r="R18" s="205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04"/>
      <c r="R19" s="205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04"/>
      <c r="R20" s="205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4"/>
      <c r="R21" s="205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04"/>
      <c r="R22" s="205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04"/>
      <c r="R23" s="205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04"/>
      <c r="R24" s="205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06"/>
      <c r="R25" s="207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08"/>
      <c r="R27" s="209"/>
    </row>
    <row r="28" spans="1:18" ht="17.25" customHeight="1"/>
    <row r="29" spans="1:18" ht="17.25" customHeight="1" thickBot="1"/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82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31"/>
      <c r="R33" s="232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29"/>
      <c r="R34" s="230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29"/>
      <c r="R35" s="230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33"/>
      <c r="R44" s="234"/>
    </row>
    <row r="45" spans="1:18" ht="17.25" customHeight="1"/>
    <row r="46" spans="1:18" ht="17.25" customHeight="1" thickBot="1"/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82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31"/>
      <c r="R50" s="232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29"/>
      <c r="R51" s="230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29"/>
      <c r="R52" s="230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82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31"/>
      <c r="R67" s="232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29"/>
      <c r="R68" s="230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29"/>
      <c r="R69" s="230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29"/>
      <c r="R70" s="230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29"/>
      <c r="R71" s="23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29"/>
      <c r="R72" s="230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29"/>
      <c r="R73" s="230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29"/>
      <c r="R74" s="230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29"/>
      <c r="R75" s="230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31"/>
      <c r="R76" s="23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33"/>
      <c r="R78" s="234"/>
    </row>
    <row r="79" spans="1:18" ht="17.25" customHeight="1"/>
    <row r="80" spans="1:18" ht="17.25" customHeight="1" thickBot="1"/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82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31"/>
      <c r="R84" s="232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29"/>
      <c r="R85" s="230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29"/>
      <c r="R86" s="230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29"/>
      <c r="R87" s="230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29"/>
      <c r="R88" s="23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82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31"/>
      <c r="R101" s="232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29"/>
      <c r="R102" s="230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29"/>
      <c r="R103" s="230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29"/>
      <c r="R104" s="230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29"/>
      <c r="R105" s="230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29"/>
      <c r="R106" s="230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29"/>
      <c r="R107" s="230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29"/>
      <c r="R108" s="230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29"/>
      <c r="R109" s="230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31"/>
      <c r="R110" s="232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1835" priority="89">
      <formula>$E$27&gt;0</formula>
    </cfRule>
    <cfRule type="expression" dxfId="1834" priority="90">
      <formula>$E$27&lt;0</formula>
    </cfRule>
  </conditionalFormatting>
  <conditionalFormatting sqref="G15:I16 H27:I27">
    <cfRule type="expression" dxfId="1833" priority="87">
      <formula>$H$27&gt;0</formula>
    </cfRule>
    <cfRule type="expression" dxfId="1832" priority="88">
      <formula>$H$27&lt;0</formula>
    </cfRule>
  </conditionalFormatting>
  <conditionalFormatting sqref="J15:L16 K27:L27">
    <cfRule type="expression" dxfId="1831" priority="85">
      <formula>$K$27&gt;0</formula>
    </cfRule>
    <cfRule type="expression" dxfId="1830" priority="86">
      <formula>$K$27&lt;0</formula>
    </cfRule>
  </conditionalFormatting>
  <conditionalFormatting sqref="M15:O16 N27:O27">
    <cfRule type="expression" dxfId="1829" priority="83">
      <formula>$N$27&gt;0</formula>
    </cfRule>
    <cfRule type="expression" dxfId="1828" priority="84">
      <formula>$N$27&lt;0</formula>
    </cfRule>
  </conditionalFormatting>
  <conditionalFormatting sqref="A17:O26 A34:O43">
    <cfRule type="expression" dxfId="1827" priority="91">
      <formula>AND($N17 &gt; 0, ISNUMBER($N17))</formula>
    </cfRule>
    <cfRule type="expression" dxfId="1826" priority="92">
      <formula>AND($N17 &lt; 0, ISNUMBER($N17))</formula>
    </cfRule>
    <cfRule type="expression" dxfId="1825" priority="93">
      <formula>AND($K17 &gt; 0, ISNUMBER($K17))</formula>
    </cfRule>
    <cfRule type="expression" dxfId="1824" priority="94">
      <formula>AND($K17 &lt; 0, ISNUMBER($K17))</formula>
    </cfRule>
    <cfRule type="expression" dxfId="1823" priority="95">
      <formula>AND($H17 &gt; 0, ISNUMBER($H17))</formula>
    </cfRule>
    <cfRule type="expression" dxfId="1822" priority="96">
      <formula>AND($H17 &lt; 0, ISNUMBER($H17))</formula>
    </cfRule>
    <cfRule type="expression" dxfId="1821" priority="97">
      <formula>AND($E17 &gt; 0, ISNUMBER($E17))</formula>
    </cfRule>
    <cfRule type="expression" dxfId="1820" priority="98">
      <formula>AND($E17 &lt; 0, ISNUMBER($E17))</formula>
    </cfRule>
  </conditionalFormatting>
  <conditionalFormatting sqref="D32:F33 E44:F44">
    <cfRule type="expression" dxfId="1819" priority="81">
      <formula>$E$44&gt;0</formula>
    </cfRule>
    <cfRule type="expression" dxfId="1818" priority="82">
      <formula>$E$44&lt;0</formula>
    </cfRule>
  </conditionalFormatting>
  <conditionalFormatting sqref="G32:I33 H44:I44">
    <cfRule type="expression" dxfId="1817" priority="79">
      <formula>$H$44&gt;0</formula>
    </cfRule>
    <cfRule type="expression" dxfId="1816" priority="80">
      <formula>$H$44&lt;0</formula>
    </cfRule>
  </conditionalFormatting>
  <conditionalFormatting sqref="J32:L33 K44:L44">
    <cfRule type="expression" dxfId="1815" priority="77">
      <formula>$K$44&gt;0</formula>
    </cfRule>
    <cfRule type="expression" dxfId="1814" priority="78">
      <formula>$K$44&lt;0</formula>
    </cfRule>
  </conditionalFormatting>
  <conditionalFormatting sqref="M32:O33 N44:O44">
    <cfRule type="expression" dxfId="1813" priority="75">
      <formula>$N$44&gt;0</formula>
    </cfRule>
    <cfRule type="expression" dxfId="1812" priority="76">
      <formula>$N$44&lt;0</formula>
    </cfRule>
  </conditionalFormatting>
  <conditionalFormatting sqref="A51:O60">
    <cfRule type="expression" dxfId="1811" priority="67">
      <formula>AND($N51 &gt; 0, ISNUMBER($N51))</formula>
    </cfRule>
    <cfRule type="expression" dxfId="1810" priority="68">
      <formula>AND($N51 &lt; 0, ISNUMBER($N51))</formula>
    </cfRule>
    <cfRule type="expression" dxfId="1809" priority="69">
      <formula>AND($K51 &gt; 0, ISNUMBER($K51))</formula>
    </cfRule>
    <cfRule type="expression" dxfId="1808" priority="70">
      <formula>AND($K51 &lt; 0, ISNUMBER($K51))</formula>
    </cfRule>
    <cfRule type="expression" dxfId="1807" priority="71">
      <formula>AND($H51 &gt; 0, ISNUMBER($H51))</formula>
    </cfRule>
    <cfRule type="expression" dxfId="1806" priority="72">
      <formula>AND($H51 &lt; 0, ISNUMBER($H51))</formula>
    </cfRule>
    <cfRule type="expression" dxfId="1805" priority="73">
      <formula>AND($E51 &gt; 0, ISNUMBER($E51))</formula>
    </cfRule>
    <cfRule type="expression" dxfId="1804" priority="74">
      <formula>AND($E51 &lt; 0, ISNUMBER($E51))</formula>
    </cfRule>
  </conditionalFormatting>
  <conditionalFormatting sqref="D49:F50 E61:F61">
    <cfRule type="expression" dxfId="1803" priority="65">
      <formula>$E$61&gt;0</formula>
    </cfRule>
    <cfRule type="expression" dxfId="1802" priority="66">
      <formula>$E$61&lt;0</formula>
    </cfRule>
  </conditionalFormatting>
  <conditionalFormatting sqref="G49:I50 H61:I61">
    <cfRule type="expression" dxfId="1801" priority="63">
      <formula>$H$61&gt;0</formula>
    </cfRule>
    <cfRule type="expression" dxfId="1800" priority="64">
      <formula>$H$61&lt;0</formula>
    </cfRule>
  </conditionalFormatting>
  <conditionalFormatting sqref="J49:L50 K61:L61">
    <cfRule type="expression" dxfId="1799" priority="61">
      <formula>$K$61&gt;0</formula>
    </cfRule>
    <cfRule type="expression" dxfId="1798" priority="62">
      <formula>$K$61&lt;0</formula>
    </cfRule>
  </conditionalFormatting>
  <conditionalFormatting sqref="M49:O50 N61:O61">
    <cfRule type="expression" dxfId="1797" priority="59">
      <formula>$N$61&gt;0</formula>
    </cfRule>
    <cfRule type="expression" dxfId="1796" priority="60">
      <formula>$N$61&lt;0</formula>
    </cfRule>
  </conditionalFormatting>
  <conditionalFormatting sqref="A68:O77">
    <cfRule type="expression" dxfId="1795" priority="51">
      <formula>AND($N68 &gt; 0, ISNUMBER($N68))</formula>
    </cfRule>
    <cfRule type="expression" dxfId="1794" priority="52">
      <formula>AND($N68 &lt; 0, ISNUMBER($N68))</formula>
    </cfRule>
    <cfRule type="expression" dxfId="1793" priority="53">
      <formula>AND($K68 &gt; 0, ISNUMBER($K68))</formula>
    </cfRule>
    <cfRule type="expression" dxfId="1792" priority="54">
      <formula>AND($K68 &lt; 0, ISNUMBER($K68))</formula>
    </cfRule>
    <cfRule type="expression" dxfId="1791" priority="55">
      <formula>AND($H68 &gt; 0, ISNUMBER($H68))</formula>
    </cfRule>
    <cfRule type="expression" dxfId="1790" priority="56">
      <formula>AND($H68 &lt; 0, ISNUMBER($H68))</formula>
    </cfRule>
    <cfRule type="expression" dxfId="1789" priority="57">
      <formula>AND($E68 &gt; 0, ISNUMBER($E68))</formula>
    </cfRule>
    <cfRule type="expression" dxfId="1788" priority="58">
      <formula>AND($E68 &lt; 0, ISNUMBER($E68))</formula>
    </cfRule>
  </conditionalFormatting>
  <conditionalFormatting sqref="D66:F67 E78:F78">
    <cfRule type="expression" dxfId="1787" priority="49">
      <formula>$E$78&gt;0</formula>
    </cfRule>
    <cfRule type="expression" dxfId="1786" priority="50">
      <formula>$E$78&lt;0</formula>
    </cfRule>
  </conditionalFormatting>
  <conditionalFormatting sqref="G66:I67 H78:I78">
    <cfRule type="expression" dxfId="1785" priority="47">
      <formula>$H$78&gt;0</formula>
    </cfRule>
    <cfRule type="expression" dxfId="1784" priority="48">
      <formula>$H$78&lt;0</formula>
    </cfRule>
  </conditionalFormatting>
  <conditionalFormatting sqref="J66:L67 K78:L78">
    <cfRule type="expression" dxfId="1783" priority="45">
      <formula>$K$78&gt;0</formula>
    </cfRule>
    <cfRule type="expression" dxfId="1782" priority="46">
      <formula>$K$78&lt;0</formula>
    </cfRule>
  </conditionalFormatting>
  <conditionalFormatting sqref="M66:O67 N78:O78">
    <cfRule type="expression" dxfId="1781" priority="43">
      <formula>$N$78&gt;0</formula>
    </cfRule>
    <cfRule type="expression" dxfId="1780" priority="44">
      <formula>$N$78&lt;0</formula>
    </cfRule>
  </conditionalFormatting>
  <conditionalFormatting sqref="A85:O94">
    <cfRule type="expression" dxfId="1779" priority="35">
      <formula>AND($N85 &gt; 0, ISNUMBER($N85))</formula>
    </cfRule>
    <cfRule type="expression" dxfId="1778" priority="36">
      <formula>AND($N85 &lt; 0, ISNUMBER($N85))</formula>
    </cfRule>
    <cfRule type="expression" dxfId="1777" priority="37">
      <formula>AND($K85 &gt; 0, ISNUMBER($K85))</formula>
    </cfRule>
    <cfRule type="expression" dxfId="1776" priority="38">
      <formula>AND($K85 &lt; 0, ISNUMBER($K85))</formula>
    </cfRule>
    <cfRule type="expression" dxfId="1775" priority="39">
      <formula>AND($H85 &gt; 0, ISNUMBER($H85))</formula>
    </cfRule>
    <cfRule type="expression" dxfId="1774" priority="40">
      <formula>AND($H85 &lt; 0, ISNUMBER($H85))</formula>
    </cfRule>
    <cfRule type="expression" dxfId="1773" priority="41">
      <formula>AND($E85 &gt; 0, ISNUMBER($E85))</formula>
    </cfRule>
    <cfRule type="expression" dxfId="1772" priority="42">
      <formula>AND($E85 &lt; 0, ISNUMBER($E85))</formula>
    </cfRule>
  </conditionalFormatting>
  <conditionalFormatting sqref="D83:F84 E95:F95">
    <cfRule type="expression" dxfId="1771" priority="33">
      <formula>$E$95&gt;0</formula>
    </cfRule>
    <cfRule type="expression" dxfId="1770" priority="34">
      <formula>$E$95&lt;0</formula>
    </cfRule>
  </conditionalFormatting>
  <conditionalFormatting sqref="G83:I84 H95:I95">
    <cfRule type="expression" dxfId="1769" priority="31">
      <formula>$H$95&gt;0</formula>
    </cfRule>
    <cfRule type="expression" dxfId="1768" priority="32">
      <formula>$H$95&lt;0</formula>
    </cfRule>
  </conditionalFormatting>
  <conditionalFormatting sqref="J83:L84 K95:L95">
    <cfRule type="expression" dxfId="1767" priority="29">
      <formula>$K$95&gt;0</formula>
    </cfRule>
    <cfRule type="expression" dxfId="1766" priority="30">
      <formula>$K$95&lt;0</formula>
    </cfRule>
  </conditionalFormatting>
  <conditionalFormatting sqref="M83:O84 N95:O95">
    <cfRule type="expression" dxfId="1765" priority="27">
      <formula>$N$95&gt;0</formula>
    </cfRule>
    <cfRule type="expression" dxfId="1764" priority="28">
      <formula>$N$95&lt;0</formula>
    </cfRule>
  </conditionalFormatting>
  <conditionalFormatting sqref="A102:O111">
    <cfRule type="expression" dxfId="1763" priority="19">
      <formula>AND($N102 &gt; 0, ISNUMBER($N102))</formula>
    </cfRule>
    <cfRule type="expression" dxfId="1762" priority="20">
      <formula>AND($N102 &lt; 0, ISNUMBER($N102))</formula>
    </cfRule>
    <cfRule type="expression" dxfId="1761" priority="21">
      <formula>AND($K102 &gt; 0, ISNUMBER($K102))</formula>
    </cfRule>
    <cfRule type="expression" dxfId="1760" priority="22">
      <formula>AND($K102 &lt; 0, ISNUMBER($K102))</formula>
    </cfRule>
    <cfRule type="expression" dxfId="1759" priority="23">
      <formula>AND($H102 &gt; 0, ISNUMBER($H102))</formula>
    </cfRule>
    <cfRule type="expression" dxfId="1758" priority="24">
      <formula>AND($H102 &lt; 0, ISNUMBER($H102))</formula>
    </cfRule>
    <cfRule type="expression" dxfId="1757" priority="25">
      <formula>AND($E102 &gt; 0, ISNUMBER($E102))</formula>
    </cfRule>
    <cfRule type="expression" dxfId="1756" priority="26">
      <formula>AND($E102 &lt; 0, ISNUMBER($E102))</formula>
    </cfRule>
  </conditionalFormatting>
  <conditionalFormatting sqref="D100:F101 E112:F112">
    <cfRule type="expression" dxfId="1755" priority="17">
      <formula>$E$112&gt;0</formula>
    </cfRule>
    <cfRule type="expression" dxfId="1754" priority="18">
      <formula>$E$112&lt;0</formula>
    </cfRule>
  </conditionalFormatting>
  <conditionalFormatting sqref="G100:I101 H112:I112">
    <cfRule type="expression" dxfId="1753" priority="15">
      <formula>$H$112&gt;0</formula>
    </cfRule>
    <cfRule type="expression" dxfId="1752" priority="16">
      <formula>$H$112&lt;0</formula>
    </cfRule>
  </conditionalFormatting>
  <conditionalFormatting sqref="J100:L101 K112:L112">
    <cfRule type="expression" dxfId="1751" priority="13">
      <formula>$K$112&gt;0</formula>
    </cfRule>
    <cfRule type="expression" dxfId="1750" priority="14">
      <formula>$K$112&lt;0</formula>
    </cfRule>
  </conditionalFormatting>
  <conditionalFormatting sqref="M100:O101 N112:O112">
    <cfRule type="expression" dxfId="1749" priority="11">
      <formula>$N$112&gt;0</formula>
    </cfRule>
    <cfRule type="expression" dxfId="1748" priority="12">
      <formula>$N$112&lt;0</formula>
    </cfRule>
  </conditionalFormatting>
  <conditionalFormatting sqref="G2:I3">
    <cfRule type="expression" dxfId="174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4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4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4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4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4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4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4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3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3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44290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7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82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41" t="s">
        <v>20</v>
      </c>
      <c r="E15" s="242"/>
      <c r="F15" s="243"/>
      <c r="G15" s="241" t="s">
        <v>15</v>
      </c>
      <c r="H15" s="242"/>
      <c r="I15" s="243"/>
      <c r="J15" s="221" t="s">
        <v>34</v>
      </c>
      <c r="K15" s="221"/>
      <c r="L15" s="221"/>
      <c r="M15" s="241" t="s">
        <v>54</v>
      </c>
      <c r="N15" s="242"/>
      <c r="O15" s="243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06"/>
      <c r="R16" s="207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04"/>
      <c r="R17" s="205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04"/>
      <c r="R18" s="205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04"/>
      <c r="R19" s="205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04"/>
      <c r="R20" s="205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04"/>
      <c r="R21" s="205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04"/>
      <c r="R22" s="205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04"/>
      <c r="R23" s="20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04"/>
      <c r="R24" s="20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06"/>
      <c r="R25" s="20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06"/>
      <c r="R26" s="207"/>
    </row>
    <row r="27" spans="1:18" ht="17.25" customHeight="1" thickBot="1">
      <c r="A27" s="29" t="s">
        <v>32</v>
      </c>
      <c r="B27" s="235">
        <v>100000</v>
      </c>
      <c r="C27" s="236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82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31"/>
      <c r="R33" s="232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29"/>
      <c r="R34" s="230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29"/>
      <c r="R35" s="23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29" t="s">
        <v>32</v>
      </c>
      <c r="B44" s="235">
        <v>100000</v>
      </c>
      <c r="C44" s="236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82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31"/>
      <c r="R50" s="232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29"/>
      <c r="R51" s="230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29"/>
      <c r="R52" s="23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29" t="s">
        <v>32</v>
      </c>
      <c r="B61" s="235">
        <v>100000</v>
      </c>
      <c r="C61" s="236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82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31"/>
      <c r="R67" s="232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29"/>
      <c r="R68" s="230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29"/>
      <c r="R69" s="230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29"/>
      <c r="R70" s="230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29"/>
      <c r="R71" s="23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29"/>
      <c r="R72" s="230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29"/>
      <c r="R73" s="230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29"/>
      <c r="R74" s="230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29"/>
      <c r="R75" s="230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31"/>
      <c r="R76" s="23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1"/>
      <c r="R77" s="232"/>
    </row>
    <row r="78" spans="1:18" ht="17.25" customHeight="1" thickBot="1">
      <c r="A78" s="29" t="s">
        <v>32</v>
      </c>
      <c r="B78" s="235">
        <v>100000</v>
      </c>
      <c r="C78" s="236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82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31"/>
      <c r="R84" s="232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29"/>
      <c r="R85" s="230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29"/>
      <c r="R86" s="230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29"/>
      <c r="R87" s="230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29"/>
      <c r="R88" s="23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29" t="s">
        <v>32</v>
      </c>
      <c r="B95" s="235">
        <v>100000</v>
      </c>
      <c r="C95" s="236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82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31"/>
      <c r="R101" s="232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29"/>
      <c r="R102" s="230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29"/>
      <c r="R103" s="230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29"/>
      <c r="R104" s="230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29"/>
      <c r="R105" s="230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29"/>
      <c r="R106" s="230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29"/>
      <c r="R107" s="230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29"/>
      <c r="R108" s="230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29"/>
      <c r="R109" s="230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31"/>
      <c r="R110" s="232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31"/>
      <c r="R111" s="232"/>
    </row>
    <row r="112" spans="1:18" ht="17.25" customHeight="1" thickBot="1">
      <c r="A112" s="29" t="s">
        <v>32</v>
      </c>
      <c r="B112" s="235">
        <v>100000</v>
      </c>
      <c r="C112" s="236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33"/>
      <c r="R112" s="234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737" priority="93">
      <formula>$E$27&gt;0</formula>
    </cfRule>
    <cfRule type="expression" dxfId="1736" priority="94">
      <formula>$E$27&lt;0</formula>
    </cfRule>
  </conditionalFormatting>
  <conditionalFormatting sqref="G15:I16 H27:I27">
    <cfRule type="expression" dxfId="1735" priority="91">
      <formula>$H$27&gt;0</formula>
    </cfRule>
    <cfRule type="expression" dxfId="1734" priority="92">
      <formula>$H$27&lt;0</formula>
    </cfRule>
  </conditionalFormatting>
  <conditionalFormatting sqref="J15:L16 K27:L27">
    <cfRule type="expression" dxfId="1733" priority="89">
      <formula>$K$27&gt;0</formula>
    </cfRule>
    <cfRule type="expression" dxfId="1732" priority="90">
      <formula>$K$27&lt;0</formula>
    </cfRule>
  </conditionalFormatting>
  <conditionalFormatting sqref="M15:O16 N27:O27">
    <cfRule type="expression" dxfId="1731" priority="87">
      <formula>$N$27&gt;0</formula>
    </cfRule>
    <cfRule type="expression" dxfId="1730" priority="88">
      <formula>$N$27&lt;0</formula>
    </cfRule>
  </conditionalFormatting>
  <conditionalFormatting sqref="A17:O26 A34:O43">
    <cfRule type="expression" dxfId="1729" priority="95">
      <formula>AND($N17 &gt; 0, ISNUMBER($N17))</formula>
    </cfRule>
    <cfRule type="expression" dxfId="1728" priority="96">
      <formula>AND($N17 &lt; 0, ISNUMBER($N17))</formula>
    </cfRule>
    <cfRule type="expression" dxfId="1727" priority="97">
      <formula>AND($K17 &gt; 0, ISNUMBER($K17))</formula>
    </cfRule>
    <cfRule type="expression" dxfId="1726" priority="98">
      <formula>AND($K17 &lt; 0, ISNUMBER($K17))</formula>
    </cfRule>
    <cfRule type="expression" dxfId="1725" priority="99">
      <formula>AND($H17 &gt; 0, ISNUMBER($H17))</formula>
    </cfRule>
    <cfRule type="expression" dxfId="1724" priority="100">
      <formula>AND($H17 &lt; 0, ISNUMBER($H17))</formula>
    </cfRule>
    <cfRule type="expression" dxfId="1723" priority="101">
      <formula>AND($E17 &gt; 0, ISNUMBER($E17))</formula>
    </cfRule>
    <cfRule type="expression" dxfId="1722" priority="102">
      <formula>AND($E17 &lt; 0, ISNUMBER($E17))</formula>
    </cfRule>
  </conditionalFormatting>
  <conditionalFormatting sqref="D32:F33 E44:F44">
    <cfRule type="expression" dxfId="1721" priority="85">
      <formula>$E$44&gt;0</formula>
    </cfRule>
    <cfRule type="expression" dxfId="1720" priority="86">
      <formula>$E$44&lt;0</formula>
    </cfRule>
  </conditionalFormatting>
  <conditionalFormatting sqref="G32:I33 H44:I44">
    <cfRule type="expression" dxfId="1719" priority="83">
      <formula>$H$44&gt;0</formula>
    </cfRule>
    <cfRule type="expression" dxfId="1718" priority="84">
      <formula>$H$44&lt;0</formula>
    </cfRule>
  </conditionalFormatting>
  <conditionalFormatting sqref="J32:L33 K44:L44">
    <cfRule type="expression" dxfId="1717" priority="81">
      <formula>$K$44&gt;0</formula>
    </cfRule>
    <cfRule type="expression" dxfId="1716" priority="82">
      <formula>$K$44&lt;0</formula>
    </cfRule>
  </conditionalFormatting>
  <conditionalFormatting sqref="M32:O33 N44:O44">
    <cfRule type="expression" dxfId="1715" priority="79">
      <formula>$N$44&gt;0</formula>
    </cfRule>
    <cfRule type="expression" dxfId="1714" priority="80">
      <formula>$N$44&lt;0</formula>
    </cfRule>
  </conditionalFormatting>
  <conditionalFormatting sqref="A51:O60">
    <cfRule type="expression" dxfId="1713" priority="71">
      <formula>AND($N51 &gt; 0, ISNUMBER($N51))</formula>
    </cfRule>
    <cfRule type="expression" dxfId="1712" priority="72">
      <formula>AND($N51 &lt; 0, ISNUMBER($N51))</formula>
    </cfRule>
    <cfRule type="expression" dxfId="1711" priority="73">
      <formula>AND($K51 &gt; 0, ISNUMBER($K51))</formula>
    </cfRule>
    <cfRule type="expression" dxfId="1710" priority="74">
      <formula>AND($K51 &lt; 0, ISNUMBER($K51))</formula>
    </cfRule>
    <cfRule type="expression" dxfId="1709" priority="75">
      <formula>AND($H51 &gt; 0, ISNUMBER($H51))</formula>
    </cfRule>
    <cfRule type="expression" dxfId="1708" priority="76">
      <formula>AND($H51 &lt; 0, ISNUMBER($H51))</formula>
    </cfRule>
    <cfRule type="expression" dxfId="1707" priority="77">
      <formula>AND($E51 &gt; 0, ISNUMBER($E51))</formula>
    </cfRule>
    <cfRule type="expression" dxfId="1706" priority="78">
      <formula>AND($E51 &lt; 0, ISNUMBER($E51))</formula>
    </cfRule>
  </conditionalFormatting>
  <conditionalFormatting sqref="D49:F50 E61:F61">
    <cfRule type="expression" dxfId="1705" priority="69">
      <formula>$E$61&gt;0</formula>
    </cfRule>
    <cfRule type="expression" dxfId="1704" priority="70">
      <formula>$E$61&lt;0</formula>
    </cfRule>
  </conditionalFormatting>
  <conditionalFormatting sqref="G49:I50 H61:I61">
    <cfRule type="expression" dxfId="1703" priority="67">
      <formula>$H$61&gt;0</formula>
    </cfRule>
    <cfRule type="expression" dxfId="1702" priority="68">
      <formula>$H$61&lt;0</formula>
    </cfRule>
  </conditionalFormatting>
  <conditionalFormatting sqref="J49:L50 K61:L61">
    <cfRule type="expression" dxfId="1701" priority="65">
      <formula>$K$61&gt;0</formula>
    </cfRule>
    <cfRule type="expression" dxfId="1700" priority="66">
      <formula>$K$61&lt;0</formula>
    </cfRule>
  </conditionalFormatting>
  <conditionalFormatting sqref="M49:O50 N61:O61">
    <cfRule type="expression" dxfId="1699" priority="63">
      <formula>$N$61&gt;0</formula>
    </cfRule>
    <cfRule type="expression" dxfId="1698" priority="64">
      <formula>$N$61&lt;0</formula>
    </cfRule>
  </conditionalFormatting>
  <conditionalFormatting sqref="A68:O77">
    <cfRule type="expression" dxfId="1697" priority="55">
      <formula>AND($N68 &gt; 0, ISNUMBER($N68))</formula>
    </cfRule>
    <cfRule type="expression" dxfId="1696" priority="56">
      <formula>AND($N68 &lt; 0, ISNUMBER($N68))</formula>
    </cfRule>
    <cfRule type="expression" dxfId="1695" priority="57">
      <formula>AND($K68 &gt; 0, ISNUMBER($K68))</formula>
    </cfRule>
    <cfRule type="expression" dxfId="1694" priority="58">
      <formula>AND($K68 &lt; 0, ISNUMBER($K68))</formula>
    </cfRule>
    <cfRule type="expression" dxfId="1693" priority="59">
      <formula>AND($H68 &gt; 0, ISNUMBER($H68))</formula>
    </cfRule>
    <cfRule type="expression" dxfId="1692" priority="60">
      <formula>AND($H68 &lt; 0, ISNUMBER($H68))</formula>
    </cfRule>
    <cfRule type="expression" dxfId="1691" priority="61">
      <formula>AND($E68 &gt; 0, ISNUMBER($E68))</formula>
    </cfRule>
    <cfRule type="expression" dxfId="1690" priority="62">
      <formula>AND($E68 &lt; 0, ISNUMBER($E68))</formula>
    </cfRule>
  </conditionalFormatting>
  <conditionalFormatting sqref="D66:F67 E78:F78">
    <cfRule type="expression" dxfId="1689" priority="53">
      <formula>$E$78&gt;0</formula>
    </cfRule>
    <cfRule type="expression" dxfId="1688" priority="54">
      <formula>$E$78&lt;0</formula>
    </cfRule>
  </conditionalFormatting>
  <conditionalFormatting sqref="G66:I67 H78:I78">
    <cfRule type="expression" dxfId="1687" priority="51">
      <formula>$H$78&gt;0</formula>
    </cfRule>
    <cfRule type="expression" dxfId="1686" priority="52">
      <formula>$H$78&lt;0</formula>
    </cfRule>
  </conditionalFormatting>
  <conditionalFormatting sqref="J66:L67 K78:L78">
    <cfRule type="expression" dxfId="1685" priority="49">
      <formula>$K$78&gt;0</formula>
    </cfRule>
    <cfRule type="expression" dxfId="1684" priority="50">
      <formula>$K$78&lt;0</formula>
    </cfRule>
  </conditionalFormatting>
  <conditionalFormatting sqref="M66:O67 N78:O78">
    <cfRule type="expression" dxfId="1683" priority="47">
      <formula>$N$78&gt;0</formula>
    </cfRule>
    <cfRule type="expression" dxfId="1682" priority="48">
      <formula>$N$78&lt;0</formula>
    </cfRule>
  </conditionalFormatting>
  <conditionalFormatting sqref="A85:O94">
    <cfRule type="expression" dxfId="1681" priority="39">
      <formula>AND($N85 &gt; 0, ISNUMBER($N85))</formula>
    </cfRule>
    <cfRule type="expression" dxfId="1680" priority="40">
      <formula>AND($N85 &lt; 0, ISNUMBER($N85))</formula>
    </cfRule>
    <cfRule type="expression" dxfId="1679" priority="41">
      <formula>AND($K85 &gt; 0, ISNUMBER($K85))</formula>
    </cfRule>
    <cfRule type="expression" dxfId="1678" priority="42">
      <formula>AND($K85 &lt; 0, ISNUMBER($K85))</formula>
    </cfRule>
    <cfRule type="expression" dxfId="1677" priority="43">
      <formula>AND($H85 &gt; 0, ISNUMBER($H85))</formula>
    </cfRule>
    <cfRule type="expression" dxfId="1676" priority="44">
      <formula>AND($H85 &lt; 0, ISNUMBER($H85))</formula>
    </cfRule>
    <cfRule type="expression" dxfId="1675" priority="45">
      <formula>AND($E85 &gt; 0, ISNUMBER($E85))</formula>
    </cfRule>
    <cfRule type="expression" dxfId="1674" priority="46">
      <formula>AND($E85 &lt; 0, ISNUMBER($E85))</formula>
    </cfRule>
  </conditionalFormatting>
  <conditionalFormatting sqref="D83:F84 E95:F95">
    <cfRule type="expression" dxfId="1673" priority="37">
      <formula>$E$95&gt;0</formula>
    </cfRule>
    <cfRule type="expression" dxfId="1672" priority="38">
      <formula>$E$95&lt;0</formula>
    </cfRule>
  </conditionalFormatting>
  <conditionalFormatting sqref="G83:I84 H95:I95">
    <cfRule type="expression" dxfId="1671" priority="35">
      <formula>$H$95&gt;0</formula>
    </cfRule>
    <cfRule type="expression" dxfId="1670" priority="36">
      <formula>$H$95&lt;0</formula>
    </cfRule>
  </conditionalFormatting>
  <conditionalFormatting sqref="J83:L84 K95:L95">
    <cfRule type="expression" dxfId="1669" priority="33">
      <formula>$K$95&gt;0</formula>
    </cfRule>
    <cfRule type="expression" dxfId="1668" priority="34">
      <formula>$K$95&lt;0</formula>
    </cfRule>
  </conditionalFormatting>
  <conditionalFormatting sqref="M83:O84 N95:O95">
    <cfRule type="expression" dxfId="1667" priority="31">
      <formula>$N$95&gt;0</formula>
    </cfRule>
    <cfRule type="expression" dxfId="1666" priority="32">
      <formula>$N$95&lt;0</formula>
    </cfRule>
  </conditionalFormatting>
  <conditionalFormatting sqref="A102:O111">
    <cfRule type="expression" dxfId="1665" priority="23">
      <formula>AND($N102 &gt; 0, ISNUMBER($N102))</formula>
    </cfRule>
    <cfRule type="expression" dxfId="1664" priority="24">
      <formula>AND($N102 &lt; 0, ISNUMBER($N102))</formula>
    </cfRule>
    <cfRule type="expression" dxfId="1663" priority="25">
      <formula>AND($K102 &gt; 0, ISNUMBER($K102))</formula>
    </cfRule>
    <cfRule type="expression" dxfId="1662" priority="26">
      <formula>AND($K102 &lt; 0, ISNUMBER($K102))</formula>
    </cfRule>
    <cfRule type="expression" dxfId="1661" priority="27">
      <formula>AND($H102 &gt; 0, ISNUMBER($H102))</formula>
    </cfRule>
    <cfRule type="expression" dxfId="1660" priority="28">
      <formula>AND($H102 &lt; 0, ISNUMBER($H102))</formula>
    </cfRule>
    <cfRule type="expression" dxfId="1659" priority="29">
      <formula>AND($E102 &gt; 0, ISNUMBER($E102))</formula>
    </cfRule>
    <cfRule type="expression" dxfId="1658" priority="30">
      <formula>AND($E102 &lt; 0, ISNUMBER($E102))</formula>
    </cfRule>
  </conditionalFormatting>
  <conditionalFormatting sqref="D100:F101 E112:F112">
    <cfRule type="expression" dxfId="1657" priority="21">
      <formula>$E$112&gt;0</formula>
    </cfRule>
    <cfRule type="expression" dxfId="1656" priority="22">
      <formula>$E$112&lt;0</formula>
    </cfRule>
  </conditionalFormatting>
  <conditionalFormatting sqref="G100:I101 H112:I112">
    <cfRule type="expression" dxfId="1655" priority="19">
      <formula>$H$112&gt;0</formula>
    </cfRule>
    <cfRule type="expression" dxfId="1654" priority="20">
      <formula>$H$112&lt;0</formula>
    </cfRule>
  </conditionalFormatting>
  <conditionalFormatting sqref="J100:L101 K112:L112">
    <cfRule type="expression" dxfId="1653" priority="17">
      <formula>$K$112&gt;0</formula>
    </cfRule>
    <cfRule type="expression" dxfId="1652" priority="18">
      <formula>$K$112&lt;0</formula>
    </cfRule>
  </conditionalFormatting>
  <conditionalFormatting sqref="M100:O101 N112:O112">
    <cfRule type="expression" dxfId="1651" priority="15">
      <formula>$N$112&gt;0</formula>
    </cfRule>
    <cfRule type="expression" dxfId="1650" priority="16">
      <formula>$N$112&lt;0</formula>
    </cfRule>
  </conditionalFormatting>
  <conditionalFormatting sqref="G2:I3">
    <cfRule type="expression" dxfId="1649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48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4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4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4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4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4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4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4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4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44291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7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68" t="s">
        <v>194</v>
      </c>
      <c r="B14" s="186" t="s">
        <v>193</v>
      </c>
      <c r="C14" s="188"/>
      <c r="D14" s="186" t="s">
        <v>67</v>
      </c>
      <c r="E14" s="187"/>
      <c r="F14" s="188"/>
      <c r="G14" s="223" t="e">
        <f>_xlfn.IFNA(VLOOKUP(B14,#REF!, 2, FALSE), "-")</f>
        <v>#REF!</v>
      </c>
      <c r="H14" s="224"/>
      <c r="I14" s="225"/>
      <c r="J14" s="186" t="s">
        <v>69</v>
      </c>
      <c r="K14" s="187"/>
      <c r="L14" s="188"/>
      <c r="M14" s="226" t="e">
        <f>_xlfn.IFNA(VLOOKUP(B14,#REF!, 3, FALSE), "-")</f>
        <v>#REF!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41" t="s">
        <v>20</v>
      </c>
      <c r="E15" s="242"/>
      <c r="F15" s="243"/>
      <c r="G15" s="241" t="s">
        <v>15</v>
      </c>
      <c r="H15" s="242"/>
      <c r="I15" s="243"/>
      <c r="J15" s="221" t="s">
        <v>34</v>
      </c>
      <c r="K15" s="221"/>
      <c r="L15" s="221"/>
      <c r="M15" s="241" t="s">
        <v>54</v>
      </c>
      <c r="N15" s="242"/>
      <c r="O15" s="243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06"/>
      <c r="R16" s="207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04"/>
      <c r="R17" s="205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04"/>
      <c r="R18" s="205"/>
    </row>
    <row r="19" spans="1:18" ht="17.25" customHeight="1">
      <c r="A19" s="40" t="s">
        <v>185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04"/>
      <c r="R19" s="205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04"/>
      <c r="R20" s="205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04"/>
      <c r="R21" s="205"/>
    </row>
    <row r="22" spans="1:18" ht="17.25" customHeight="1">
      <c r="A22" s="40" t="s">
        <v>184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04"/>
      <c r="R22" s="205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04"/>
      <c r="R23" s="20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4"/>
      <c r="R24" s="20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6"/>
      <c r="R25" s="20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68" t="s">
        <v>194</v>
      </c>
      <c r="B31" s="186" t="s">
        <v>48</v>
      </c>
      <c r="C31" s="188"/>
      <c r="D31" s="186" t="s">
        <v>67</v>
      </c>
      <c r="E31" s="187"/>
      <c r="F31" s="188"/>
      <c r="G31" s="223" t="e">
        <f>_xlfn.IFNA(VLOOKUP(B31,#REF!, 2, FALSE), "-")</f>
        <v>#REF!</v>
      </c>
      <c r="H31" s="224"/>
      <c r="I31" s="225"/>
      <c r="J31" s="186" t="s">
        <v>69</v>
      </c>
      <c r="K31" s="187"/>
      <c r="L31" s="188"/>
      <c r="M31" s="226" t="e">
        <f>_xlfn.IFNA(VLOOKUP(B31,#REF!, 3, FALSE), "-")</f>
        <v>#REF!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31"/>
      <c r="R33" s="232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29"/>
      <c r="R34" s="230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29"/>
      <c r="R35" s="230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29"/>
      <c r="R36" s="230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29"/>
      <c r="R37" s="230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29"/>
      <c r="R38" s="230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29"/>
      <c r="R39" s="230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29"/>
      <c r="R40" s="230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29"/>
      <c r="R41" s="23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68" t="s">
        <v>194</v>
      </c>
      <c r="B48" s="186" t="s">
        <v>52</v>
      </c>
      <c r="C48" s="188"/>
      <c r="D48" s="186" t="s">
        <v>67</v>
      </c>
      <c r="E48" s="187"/>
      <c r="F48" s="188"/>
      <c r="G48" s="223" t="e">
        <f>_xlfn.IFNA(VLOOKUP(B48,#REF!, 2, FALSE), "-")</f>
        <v>#REF!</v>
      </c>
      <c r="H48" s="224"/>
      <c r="I48" s="225"/>
      <c r="J48" s="186" t="s">
        <v>69</v>
      </c>
      <c r="K48" s="187"/>
      <c r="L48" s="188"/>
      <c r="M48" s="226" t="e">
        <f>_xlfn.IFNA(VLOOKUP(B48,#REF!, 3, FALSE), "-")</f>
        <v>#REF!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31"/>
      <c r="R50" s="232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29"/>
      <c r="R51" s="230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29"/>
      <c r="R52" s="23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68" t="s">
        <v>194</v>
      </c>
      <c r="B65" s="186" t="s">
        <v>43</v>
      </c>
      <c r="C65" s="188"/>
      <c r="D65" s="186" t="s">
        <v>67</v>
      </c>
      <c r="E65" s="187"/>
      <c r="F65" s="188"/>
      <c r="G65" s="223" t="e">
        <f>_xlfn.IFNA(VLOOKUP(B65,#REF!, 2, FALSE), "-")</f>
        <v>#REF!</v>
      </c>
      <c r="H65" s="224"/>
      <c r="I65" s="225"/>
      <c r="J65" s="186" t="s">
        <v>69</v>
      </c>
      <c r="K65" s="187"/>
      <c r="L65" s="188"/>
      <c r="M65" s="226" t="e">
        <f>_xlfn.IFNA(VLOOKUP(B65,#REF!, 3, FALSE), "-")</f>
        <v>#REF!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31"/>
      <c r="R67" s="232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29"/>
      <c r="R68" s="230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29"/>
      <c r="R69" s="230"/>
    </row>
    <row r="70" spans="1:18" ht="17.25" customHeight="1">
      <c r="A70" s="11" t="s">
        <v>189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29"/>
      <c r="R70" s="230"/>
    </row>
    <row r="71" spans="1:18" ht="17.25" customHeight="1">
      <c r="A71" s="11" t="s">
        <v>190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29"/>
      <c r="R71" s="230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29"/>
      <c r="R72" s="230"/>
    </row>
    <row r="73" spans="1:18" ht="17.25" customHeight="1">
      <c r="A73" s="11" t="s">
        <v>191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29"/>
      <c r="R73" s="230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29"/>
      <c r="R74" s="230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29"/>
      <c r="R75" s="230"/>
    </row>
    <row r="76" spans="1:18" ht="17.25" customHeight="1">
      <c r="A76" s="11" t="s">
        <v>192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31"/>
      <c r="R76" s="232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68" t="s">
        <v>194</v>
      </c>
      <c r="B82" s="186" t="s">
        <v>186</v>
      </c>
      <c r="C82" s="188"/>
      <c r="D82" s="186" t="s">
        <v>67</v>
      </c>
      <c r="E82" s="187"/>
      <c r="F82" s="188"/>
      <c r="G82" s="223" t="e">
        <f>_xlfn.IFNA(VLOOKUP(B82,#REF!, 2, FALSE), "-")</f>
        <v>#REF!</v>
      </c>
      <c r="H82" s="224"/>
      <c r="I82" s="225"/>
      <c r="J82" s="186" t="s">
        <v>69</v>
      </c>
      <c r="K82" s="187"/>
      <c r="L82" s="188"/>
      <c r="M82" s="226" t="e">
        <f>_xlfn.IFNA(VLOOKUP(B82,#REF!, 3, FALSE), "-")</f>
        <v>#REF!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31"/>
      <c r="R84" s="232"/>
    </row>
    <row r="85" spans="1:18" ht="17.25" customHeight="1">
      <c r="A85" s="9" t="s">
        <v>183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29"/>
      <c r="R85" s="230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29"/>
      <c r="R86" s="230"/>
    </row>
    <row r="87" spans="1:18" ht="17.25" customHeight="1">
      <c r="A87" s="11" t="s">
        <v>184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29"/>
      <c r="R87" s="230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29"/>
      <c r="R88" s="230"/>
    </row>
    <row r="89" spans="1:18" ht="17.25" customHeight="1">
      <c r="A89" s="8" t="s">
        <v>185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29"/>
      <c r="R89" s="230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29"/>
      <c r="R90" s="230"/>
    </row>
    <row r="91" spans="1:18" ht="17.25" customHeight="1">
      <c r="A91" s="11" t="s">
        <v>186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29"/>
      <c r="R91" s="23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68" t="s">
        <v>194</v>
      </c>
      <c r="B99" s="186" t="s">
        <v>188</v>
      </c>
      <c r="C99" s="188"/>
      <c r="D99" s="186" t="s">
        <v>67</v>
      </c>
      <c r="E99" s="187"/>
      <c r="F99" s="188"/>
      <c r="G99" s="223" t="e">
        <f>_xlfn.IFNA(VLOOKUP(B99,#REF!, 2, FALSE), "-")</f>
        <v>#REF!</v>
      </c>
      <c r="H99" s="224"/>
      <c r="I99" s="225"/>
      <c r="J99" s="186" t="s">
        <v>69</v>
      </c>
      <c r="K99" s="187"/>
      <c r="L99" s="188"/>
      <c r="M99" s="226" t="e">
        <f>_xlfn.IFNA(VLOOKUP(B99,#REF!, 3, FALSE), "-")</f>
        <v>#REF!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31"/>
      <c r="R101" s="232"/>
    </row>
    <row r="102" spans="1:18" ht="17.25" customHeight="1">
      <c r="A102" s="9" t="s">
        <v>183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29"/>
      <c r="R102" s="230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29"/>
      <c r="R103" s="230"/>
    </row>
    <row r="104" spans="1:18" ht="17.25" customHeight="1">
      <c r="A104" s="11" t="s">
        <v>184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29"/>
      <c r="R104" s="230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29"/>
      <c r="R105" s="230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29"/>
      <c r="R106" s="230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29"/>
      <c r="R107" s="230"/>
    </row>
    <row r="108" spans="1:18" ht="17.25" customHeight="1">
      <c r="A108" s="11" t="s">
        <v>185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29"/>
      <c r="R108" s="230"/>
    </row>
    <row r="109" spans="1:18" ht="17.25" customHeight="1">
      <c r="A109" s="11" t="s">
        <v>186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29"/>
      <c r="R109" s="230"/>
    </row>
    <row r="110" spans="1:18" ht="17.25" customHeight="1">
      <c r="A110" s="11" t="s">
        <v>187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31"/>
      <c r="R110" s="232"/>
    </row>
    <row r="111" spans="1:18" ht="17.25" customHeight="1" thickBot="1">
      <c r="A111" s="13" t="s">
        <v>188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33"/>
      <c r="R112" s="234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639" priority="89">
      <formula>$E$27&gt;0</formula>
    </cfRule>
    <cfRule type="expression" dxfId="1638" priority="90">
      <formula>$E$27&lt;0</formula>
    </cfRule>
  </conditionalFormatting>
  <conditionalFormatting sqref="G15:I16 H27:I27">
    <cfRule type="expression" dxfId="1637" priority="87">
      <formula>$H$27&gt;0</formula>
    </cfRule>
    <cfRule type="expression" dxfId="1636" priority="88">
      <formula>$H$27&lt;0</formula>
    </cfRule>
  </conditionalFormatting>
  <conditionalFormatting sqref="J15:L16 K27:L27">
    <cfRule type="expression" dxfId="1635" priority="85">
      <formula>$K$27&gt;0</formula>
    </cfRule>
    <cfRule type="expression" dxfId="1634" priority="86">
      <formula>$K$27&lt;0</formula>
    </cfRule>
  </conditionalFormatting>
  <conditionalFormatting sqref="M15:O16 N27:O27">
    <cfRule type="expression" dxfId="1633" priority="83">
      <formula>$N$27&gt;0</formula>
    </cfRule>
    <cfRule type="expression" dxfId="1632" priority="84">
      <formula>$N$27&lt;0</formula>
    </cfRule>
  </conditionalFormatting>
  <conditionalFormatting sqref="A17:O26 A34:O43">
    <cfRule type="expression" dxfId="1631" priority="91">
      <formula>AND($N17 &gt; 0, ISNUMBER($N17))</formula>
    </cfRule>
    <cfRule type="expression" dxfId="1630" priority="92">
      <formula>AND($N17 &lt; 0, ISNUMBER($N17))</formula>
    </cfRule>
    <cfRule type="expression" dxfId="1629" priority="93">
      <formula>AND($K17 &gt; 0, ISNUMBER($K17))</formula>
    </cfRule>
    <cfRule type="expression" dxfId="1628" priority="94">
      <formula>AND($K17 &lt; 0, ISNUMBER($K17))</formula>
    </cfRule>
    <cfRule type="expression" dxfId="1627" priority="95">
      <formula>AND($H17 &gt; 0, ISNUMBER($H17))</formula>
    </cfRule>
    <cfRule type="expression" dxfId="1626" priority="96">
      <formula>AND($H17 &lt; 0, ISNUMBER($H17))</formula>
    </cfRule>
    <cfRule type="expression" dxfId="1625" priority="97">
      <formula>AND($E17 &gt; 0, ISNUMBER($E17))</formula>
    </cfRule>
    <cfRule type="expression" dxfId="1624" priority="98">
      <formula>AND($E17 &lt; 0, ISNUMBER($E17))</formula>
    </cfRule>
  </conditionalFormatting>
  <conditionalFormatting sqref="D32:F33 E44:F44">
    <cfRule type="expression" dxfId="1623" priority="81">
      <formula>$E$44&gt;0</formula>
    </cfRule>
    <cfRule type="expression" dxfId="1622" priority="82">
      <formula>$E$44&lt;0</formula>
    </cfRule>
  </conditionalFormatting>
  <conditionalFormatting sqref="G32:I33 H44:I44">
    <cfRule type="expression" dxfId="1621" priority="79">
      <formula>$H$44&gt;0</formula>
    </cfRule>
    <cfRule type="expression" dxfId="1620" priority="80">
      <formula>$H$44&lt;0</formula>
    </cfRule>
  </conditionalFormatting>
  <conditionalFormatting sqref="J32:L33 K44:L44">
    <cfRule type="expression" dxfId="1619" priority="77">
      <formula>$K$44&gt;0</formula>
    </cfRule>
    <cfRule type="expression" dxfId="1618" priority="78">
      <formula>$K$44&lt;0</formula>
    </cfRule>
  </conditionalFormatting>
  <conditionalFormatting sqref="M32:O33 N44:O44">
    <cfRule type="expression" dxfId="1617" priority="75">
      <formula>$N$44&gt;0</formula>
    </cfRule>
    <cfRule type="expression" dxfId="1616" priority="76">
      <formula>$N$44&lt;0</formula>
    </cfRule>
  </conditionalFormatting>
  <conditionalFormatting sqref="A51:O60">
    <cfRule type="expression" dxfId="1615" priority="67">
      <formula>AND($N51 &gt; 0, ISNUMBER($N51))</formula>
    </cfRule>
    <cfRule type="expression" dxfId="1614" priority="68">
      <formula>AND($N51 &lt; 0, ISNUMBER($N51))</formula>
    </cfRule>
    <cfRule type="expression" dxfId="1613" priority="69">
      <formula>AND($K51 &gt; 0, ISNUMBER($K51))</formula>
    </cfRule>
    <cfRule type="expression" dxfId="1612" priority="70">
      <formula>AND($K51 &lt; 0, ISNUMBER($K51))</formula>
    </cfRule>
    <cfRule type="expression" dxfId="1611" priority="71">
      <formula>AND($H51 &gt; 0, ISNUMBER($H51))</formula>
    </cfRule>
    <cfRule type="expression" dxfId="1610" priority="72">
      <formula>AND($H51 &lt; 0, ISNUMBER($H51))</formula>
    </cfRule>
    <cfRule type="expression" dxfId="1609" priority="73">
      <formula>AND($E51 &gt; 0, ISNUMBER($E51))</formula>
    </cfRule>
    <cfRule type="expression" dxfId="1608" priority="74">
      <formula>AND($E51 &lt; 0, ISNUMBER($E51))</formula>
    </cfRule>
  </conditionalFormatting>
  <conditionalFormatting sqref="D49:F50 E61:F61">
    <cfRule type="expression" dxfId="1607" priority="65">
      <formula>$E$61&gt;0</formula>
    </cfRule>
    <cfRule type="expression" dxfId="1606" priority="66">
      <formula>$E$61&lt;0</formula>
    </cfRule>
  </conditionalFormatting>
  <conditionalFormatting sqref="G49:I50 H61:I61">
    <cfRule type="expression" dxfId="1605" priority="63">
      <formula>$H$61&gt;0</formula>
    </cfRule>
    <cfRule type="expression" dxfId="1604" priority="64">
      <formula>$H$61&lt;0</formula>
    </cfRule>
  </conditionalFormatting>
  <conditionalFormatting sqref="J49:L50 K61:L61">
    <cfRule type="expression" dxfId="1603" priority="61">
      <formula>$K$61&gt;0</formula>
    </cfRule>
    <cfRule type="expression" dxfId="1602" priority="62">
      <formula>$K$61&lt;0</formula>
    </cfRule>
  </conditionalFormatting>
  <conditionalFormatting sqref="M49:O50 N61:O61">
    <cfRule type="expression" dxfId="1601" priority="59">
      <formula>$N$61&gt;0</formula>
    </cfRule>
    <cfRule type="expression" dxfId="1600" priority="60">
      <formula>$N$61&lt;0</formula>
    </cfRule>
  </conditionalFormatting>
  <conditionalFormatting sqref="A68:O77">
    <cfRule type="expression" dxfId="1599" priority="51">
      <formula>AND($N68 &gt; 0, ISNUMBER($N68))</formula>
    </cfRule>
    <cfRule type="expression" dxfId="1598" priority="52">
      <formula>AND($N68 &lt; 0, ISNUMBER($N68))</formula>
    </cfRule>
    <cfRule type="expression" dxfId="1597" priority="53">
      <formula>AND($K68 &gt; 0, ISNUMBER($K68))</formula>
    </cfRule>
    <cfRule type="expression" dxfId="1596" priority="54">
      <formula>AND($K68 &lt; 0, ISNUMBER($K68))</formula>
    </cfRule>
    <cfRule type="expression" dxfId="1595" priority="55">
      <formula>AND($H68 &gt; 0, ISNUMBER($H68))</formula>
    </cfRule>
    <cfRule type="expression" dxfId="1594" priority="56">
      <formula>AND($H68 &lt; 0, ISNUMBER($H68))</formula>
    </cfRule>
    <cfRule type="expression" dxfId="1593" priority="57">
      <formula>AND($E68 &gt; 0, ISNUMBER($E68))</formula>
    </cfRule>
    <cfRule type="expression" dxfId="1592" priority="58">
      <formula>AND($E68 &lt; 0, ISNUMBER($E68))</formula>
    </cfRule>
  </conditionalFormatting>
  <conditionalFormatting sqref="D66:F67 E78:F78">
    <cfRule type="expression" dxfId="1591" priority="49">
      <formula>$E$78&gt;0</formula>
    </cfRule>
    <cfRule type="expression" dxfId="1590" priority="50">
      <formula>$E$78&lt;0</formula>
    </cfRule>
  </conditionalFormatting>
  <conditionalFormatting sqref="G66:I67 H78:I78">
    <cfRule type="expression" dxfId="1589" priority="47">
      <formula>$H$78&gt;0</formula>
    </cfRule>
    <cfRule type="expression" dxfId="1588" priority="48">
      <formula>$H$78&lt;0</formula>
    </cfRule>
  </conditionalFormatting>
  <conditionalFormatting sqref="J66:L67 K78:L78">
    <cfRule type="expression" dxfId="1587" priority="45">
      <formula>$K$78&gt;0</formula>
    </cfRule>
    <cfRule type="expression" dxfId="1586" priority="46">
      <formula>$K$78&lt;0</formula>
    </cfRule>
  </conditionalFormatting>
  <conditionalFormatting sqref="M66:O67 N78:O78">
    <cfRule type="expression" dxfId="1585" priority="43">
      <formula>$N$78&gt;0</formula>
    </cfRule>
    <cfRule type="expression" dxfId="1584" priority="44">
      <formula>$N$78&lt;0</formula>
    </cfRule>
  </conditionalFormatting>
  <conditionalFormatting sqref="A85:O94">
    <cfRule type="expression" dxfId="1583" priority="35">
      <formula>AND($N85 &gt; 0, ISNUMBER($N85))</formula>
    </cfRule>
    <cfRule type="expression" dxfId="1582" priority="36">
      <formula>AND($N85 &lt; 0, ISNUMBER($N85))</formula>
    </cfRule>
    <cfRule type="expression" dxfId="1581" priority="37">
      <formula>AND($K85 &gt; 0, ISNUMBER($K85))</formula>
    </cfRule>
    <cfRule type="expression" dxfId="1580" priority="38">
      <formula>AND($K85 &lt; 0, ISNUMBER($K85))</formula>
    </cfRule>
    <cfRule type="expression" dxfId="1579" priority="39">
      <formula>AND($H85 &gt; 0, ISNUMBER($H85))</formula>
    </cfRule>
    <cfRule type="expression" dxfId="1578" priority="40">
      <formula>AND($H85 &lt; 0, ISNUMBER($H85))</formula>
    </cfRule>
    <cfRule type="expression" dxfId="1577" priority="41">
      <formula>AND($E85 &gt; 0, ISNUMBER($E85))</formula>
    </cfRule>
    <cfRule type="expression" dxfId="1576" priority="42">
      <formula>AND($E85 &lt; 0, ISNUMBER($E85))</formula>
    </cfRule>
  </conditionalFormatting>
  <conditionalFormatting sqref="D83:F84 E95:F95">
    <cfRule type="expression" dxfId="1575" priority="33">
      <formula>$E$95&gt;0</formula>
    </cfRule>
    <cfRule type="expression" dxfId="1574" priority="34">
      <formula>$E$95&lt;0</formula>
    </cfRule>
  </conditionalFormatting>
  <conditionalFormatting sqref="G83:I84 H95:I95">
    <cfRule type="expression" dxfId="1573" priority="31">
      <formula>$H$95&gt;0</formula>
    </cfRule>
    <cfRule type="expression" dxfId="1572" priority="32">
      <formula>$H$95&lt;0</formula>
    </cfRule>
  </conditionalFormatting>
  <conditionalFormatting sqref="J83:L84 K95:L95">
    <cfRule type="expression" dxfId="1571" priority="29">
      <formula>$K$95&gt;0</formula>
    </cfRule>
    <cfRule type="expression" dxfId="1570" priority="30">
      <formula>$K$95&lt;0</formula>
    </cfRule>
  </conditionalFormatting>
  <conditionalFormatting sqref="M83:O84 N95:O95">
    <cfRule type="expression" dxfId="1569" priority="27">
      <formula>$N$95&gt;0</formula>
    </cfRule>
    <cfRule type="expression" dxfId="1568" priority="28">
      <formula>$N$95&lt;0</formula>
    </cfRule>
  </conditionalFormatting>
  <conditionalFormatting sqref="A102:O111">
    <cfRule type="expression" dxfId="1567" priority="19">
      <formula>AND($N102 &gt; 0, ISNUMBER($N102))</formula>
    </cfRule>
    <cfRule type="expression" dxfId="1566" priority="20">
      <formula>AND($N102 &lt; 0, ISNUMBER($N102))</formula>
    </cfRule>
    <cfRule type="expression" dxfId="1565" priority="21">
      <formula>AND($K102 &gt; 0, ISNUMBER($K102))</formula>
    </cfRule>
    <cfRule type="expression" dxfId="1564" priority="22">
      <formula>AND($K102 &lt; 0, ISNUMBER($K102))</formula>
    </cfRule>
    <cfRule type="expression" dxfId="1563" priority="23">
      <formula>AND($H102 &gt; 0, ISNUMBER($H102))</formula>
    </cfRule>
    <cfRule type="expression" dxfId="1562" priority="24">
      <formula>AND($H102 &lt; 0, ISNUMBER($H102))</formula>
    </cfRule>
    <cfRule type="expression" dxfId="1561" priority="25">
      <formula>AND($E102 &gt; 0, ISNUMBER($E102))</formula>
    </cfRule>
    <cfRule type="expression" dxfId="1560" priority="26">
      <formula>AND($E102 &lt; 0, ISNUMBER($E102))</formula>
    </cfRule>
  </conditionalFormatting>
  <conditionalFormatting sqref="D100:F101 E112:F112">
    <cfRule type="expression" dxfId="1559" priority="17">
      <formula>$E$112&gt;0</formula>
    </cfRule>
    <cfRule type="expression" dxfId="1558" priority="18">
      <formula>$E$112&lt;0</formula>
    </cfRule>
  </conditionalFormatting>
  <conditionalFormatting sqref="G100:I101 H112:I112">
    <cfRule type="expression" dxfId="1557" priority="15">
      <formula>$H$112&gt;0</formula>
    </cfRule>
    <cfRule type="expression" dxfId="1556" priority="16">
      <formula>$H$112&lt;0</formula>
    </cfRule>
  </conditionalFormatting>
  <conditionalFormatting sqref="J100:L101 K112:L112">
    <cfRule type="expression" dxfId="1555" priority="13">
      <formula>$K$112&gt;0</formula>
    </cfRule>
    <cfRule type="expression" dxfId="1554" priority="14">
      <formula>$K$112&lt;0</formula>
    </cfRule>
  </conditionalFormatting>
  <conditionalFormatting sqref="M100:O101 N112:O112">
    <cfRule type="expression" dxfId="1553" priority="11">
      <formula>$N$112&gt;0</formula>
    </cfRule>
    <cfRule type="expression" dxfId="1552" priority="12">
      <formula>$N$112&lt;0</formula>
    </cfRule>
  </conditionalFormatting>
  <conditionalFormatting sqref="G2:I3">
    <cfRule type="expression" dxfId="155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5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4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4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4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4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4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4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4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4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44292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73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68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06"/>
      <c r="R16" s="207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04"/>
      <c r="R17" s="205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04"/>
      <c r="R18" s="205"/>
    </row>
    <row r="19" spans="1:18" ht="17.25" customHeight="1">
      <c r="A19" s="40" t="s">
        <v>199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04"/>
      <c r="R19" s="205"/>
    </row>
    <row r="20" spans="1:18" ht="17.25" customHeight="1">
      <c r="A20" s="40" t="s">
        <v>200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04"/>
      <c r="R20" s="205"/>
    </row>
    <row r="21" spans="1:18" ht="17.25" customHeight="1">
      <c r="A21" s="41" t="s">
        <v>202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04"/>
      <c r="R21" s="205"/>
    </row>
    <row r="22" spans="1:18" ht="17.25" customHeight="1">
      <c r="A22" s="40" t="s">
        <v>187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04"/>
      <c r="R22" s="205"/>
    </row>
    <row r="23" spans="1:18" ht="17.25" customHeight="1">
      <c r="A23" s="40" t="s">
        <v>201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04"/>
      <c r="R23" s="205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4"/>
      <c r="R24" s="205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6"/>
      <c r="R25" s="207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81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31"/>
      <c r="R33" s="232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29"/>
      <c r="R34" s="230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29"/>
      <c r="R35" s="23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81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31"/>
      <c r="R50" s="232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29"/>
      <c r="R51" s="230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29"/>
      <c r="R52" s="23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81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31"/>
      <c r="R67" s="232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29"/>
      <c r="R68" s="230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29"/>
      <c r="R69" s="230"/>
    </row>
    <row r="70" spans="1:18" ht="17.25" customHeight="1">
      <c r="A70" s="11" t="s">
        <v>192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29"/>
      <c r="R70" s="230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29"/>
      <c r="R71" s="23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29"/>
      <c r="R72" s="230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29"/>
      <c r="R73" s="230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29"/>
      <c r="R74" s="230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29"/>
      <c r="R75" s="230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31"/>
      <c r="R76" s="23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81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31"/>
      <c r="R84" s="232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29"/>
      <c r="R85" s="230"/>
    </row>
    <row r="86" spans="1:18" ht="17.25" customHeight="1">
      <c r="A86" s="11" t="s">
        <v>199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29"/>
      <c r="R86" s="230"/>
    </row>
    <row r="87" spans="1:18" ht="17.25" customHeight="1">
      <c r="A87" s="11" t="s">
        <v>200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29"/>
      <c r="R87" s="230"/>
    </row>
    <row r="88" spans="1:18" ht="17.25" customHeight="1">
      <c r="A88" s="11" t="s">
        <v>202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29"/>
      <c r="R88" s="23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81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31"/>
      <c r="R101" s="232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29"/>
      <c r="R102" s="230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29"/>
      <c r="R103" s="230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29"/>
      <c r="R104" s="230"/>
    </row>
    <row r="105" spans="1:18" ht="17.25" customHeight="1">
      <c r="A105" s="11" t="s">
        <v>199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29"/>
      <c r="R105" s="230"/>
    </row>
    <row r="106" spans="1:18" ht="17.25" customHeight="1">
      <c r="A106" s="8" t="s">
        <v>187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29"/>
      <c r="R106" s="230"/>
    </row>
    <row r="107" spans="1:18" ht="17.25" customHeight="1">
      <c r="A107" s="11" t="s">
        <v>200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29"/>
      <c r="R107" s="230"/>
    </row>
    <row r="108" spans="1:18" ht="17.25" customHeight="1">
      <c r="A108" s="11" t="s">
        <v>202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29"/>
      <c r="R108" s="230"/>
    </row>
    <row r="109" spans="1:18" ht="17.25" customHeight="1">
      <c r="A109" s="11" t="s">
        <v>201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29"/>
      <c r="R109" s="230"/>
    </row>
    <row r="110" spans="1:18" ht="17.25" customHeight="1">
      <c r="A110" s="11" t="s">
        <v>203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31"/>
      <c r="R110" s="232"/>
    </row>
    <row r="111" spans="1:18" ht="17.25" customHeight="1" thickBot="1">
      <c r="A111" s="13" t="s">
        <v>204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33"/>
      <c r="R112" s="23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541" priority="89">
      <formula>$E$27&gt;0</formula>
    </cfRule>
    <cfRule type="expression" dxfId="1540" priority="90">
      <formula>$E$27&lt;0</formula>
    </cfRule>
  </conditionalFormatting>
  <conditionalFormatting sqref="G15:I16 H27:I27">
    <cfRule type="expression" dxfId="1539" priority="87">
      <formula>$H$27&gt;0</formula>
    </cfRule>
    <cfRule type="expression" dxfId="1538" priority="88">
      <formula>$H$27&lt;0</formula>
    </cfRule>
  </conditionalFormatting>
  <conditionalFormatting sqref="J15:L16 K27:L27">
    <cfRule type="expression" dxfId="1537" priority="85">
      <formula>$K$27&gt;0</formula>
    </cfRule>
    <cfRule type="expression" dxfId="1536" priority="86">
      <formula>$K$27&lt;0</formula>
    </cfRule>
  </conditionalFormatting>
  <conditionalFormatting sqref="M15:O16 N27:O27">
    <cfRule type="expression" dxfId="1535" priority="83">
      <formula>$N$27&gt;0</formula>
    </cfRule>
    <cfRule type="expression" dxfId="1534" priority="84">
      <formula>$N$27&lt;0</formula>
    </cfRule>
  </conditionalFormatting>
  <conditionalFormatting sqref="A17:O26 A34:O43">
    <cfRule type="expression" dxfId="1533" priority="91">
      <formula>AND($N17 &gt; 0, ISNUMBER($N17))</formula>
    </cfRule>
    <cfRule type="expression" dxfId="1532" priority="92">
      <formula>AND($N17 &lt; 0, ISNUMBER($N17))</formula>
    </cfRule>
    <cfRule type="expression" dxfId="1531" priority="93">
      <formula>AND($K17 &gt; 0, ISNUMBER($K17))</formula>
    </cfRule>
    <cfRule type="expression" dxfId="1530" priority="94">
      <formula>AND($K17 &lt; 0, ISNUMBER($K17))</formula>
    </cfRule>
    <cfRule type="expression" dxfId="1529" priority="95">
      <formula>AND($H17 &gt; 0, ISNUMBER($H17))</formula>
    </cfRule>
    <cfRule type="expression" dxfId="1528" priority="96">
      <formula>AND($H17 &lt; 0, ISNUMBER($H17))</formula>
    </cfRule>
    <cfRule type="expression" dxfId="1527" priority="97">
      <formula>AND($E17 &gt; 0, ISNUMBER($E17))</formula>
    </cfRule>
    <cfRule type="expression" dxfId="1526" priority="98">
      <formula>AND($E17 &lt; 0, ISNUMBER($E17))</formula>
    </cfRule>
  </conditionalFormatting>
  <conditionalFormatting sqref="D32:F33 E44:F44">
    <cfRule type="expression" dxfId="1525" priority="81">
      <formula>$E$44&gt;0</formula>
    </cfRule>
    <cfRule type="expression" dxfId="1524" priority="82">
      <formula>$E$44&lt;0</formula>
    </cfRule>
  </conditionalFormatting>
  <conditionalFormatting sqref="G32:I33 H44:I44">
    <cfRule type="expression" dxfId="1523" priority="79">
      <formula>$H$44&gt;0</formula>
    </cfRule>
    <cfRule type="expression" dxfId="1522" priority="80">
      <formula>$H$44&lt;0</formula>
    </cfRule>
  </conditionalFormatting>
  <conditionalFormatting sqref="J32:L33 K44:L44">
    <cfRule type="expression" dxfId="1521" priority="77">
      <formula>$K$44&gt;0</formula>
    </cfRule>
    <cfRule type="expression" dxfId="1520" priority="78">
      <formula>$K$44&lt;0</formula>
    </cfRule>
  </conditionalFormatting>
  <conditionalFormatting sqref="M32:O33 N44:O44">
    <cfRule type="expression" dxfId="1519" priority="75">
      <formula>$N$44&gt;0</formula>
    </cfRule>
    <cfRule type="expression" dxfId="1518" priority="76">
      <formula>$N$44&lt;0</formula>
    </cfRule>
  </conditionalFormatting>
  <conditionalFormatting sqref="A51:O60">
    <cfRule type="expression" dxfId="1517" priority="67">
      <formula>AND($N51 &gt; 0, ISNUMBER($N51))</formula>
    </cfRule>
    <cfRule type="expression" dxfId="1516" priority="68">
      <formula>AND($N51 &lt; 0, ISNUMBER($N51))</formula>
    </cfRule>
    <cfRule type="expression" dxfId="1515" priority="69">
      <formula>AND($K51 &gt; 0, ISNUMBER($K51))</formula>
    </cfRule>
    <cfRule type="expression" dxfId="1514" priority="70">
      <formula>AND($K51 &lt; 0, ISNUMBER($K51))</formula>
    </cfRule>
    <cfRule type="expression" dxfId="1513" priority="71">
      <formula>AND($H51 &gt; 0, ISNUMBER($H51))</formula>
    </cfRule>
    <cfRule type="expression" dxfId="1512" priority="72">
      <formula>AND($H51 &lt; 0, ISNUMBER($H51))</formula>
    </cfRule>
    <cfRule type="expression" dxfId="1511" priority="73">
      <formula>AND($E51 &gt; 0, ISNUMBER($E51))</formula>
    </cfRule>
    <cfRule type="expression" dxfId="1510" priority="74">
      <formula>AND($E51 &lt; 0, ISNUMBER($E51))</formula>
    </cfRule>
  </conditionalFormatting>
  <conditionalFormatting sqref="D49:F50 E61:F61">
    <cfRule type="expression" dxfId="1509" priority="65">
      <formula>$E$61&gt;0</formula>
    </cfRule>
    <cfRule type="expression" dxfId="1508" priority="66">
      <formula>$E$61&lt;0</formula>
    </cfRule>
  </conditionalFormatting>
  <conditionalFormatting sqref="G49:I50 H61:I61">
    <cfRule type="expression" dxfId="1507" priority="63">
      <formula>$H$61&gt;0</formula>
    </cfRule>
    <cfRule type="expression" dxfId="1506" priority="64">
      <formula>$H$61&lt;0</formula>
    </cfRule>
  </conditionalFormatting>
  <conditionalFormatting sqref="J49:L50 K61:L61">
    <cfRule type="expression" dxfId="1505" priority="61">
      <formula>$K$61&gt;0</formula>
    </cfRule>
    <cfRule type="expression" dxfId="1504" priority="62">
      <formula>$K$61&lt;0</formula>
    </cfRule>
  </conditionalFormatting>
  <conditionalFormatting sqref="M49:O50 N61:O61">
    <cfRule type="expression" dxfId="1503" priority="59">
      <formula>$N$61&gt;0</formula>
    </cfRule>
    <cfRule type="expression" dxfId="1502" priority="60">
      <formula>$N$61&lt;0</formula>
    </cfRule>
  </conditionalFormatting>
  <conditionalFormatting sqref="A68:O77">
    <cfRule type="expression" dxfId="1501" priority="51">
      <formula>AND($N68 &gt; 0, ISNUMBER($N68))</formula>
    </cfRule>
    <cfRule type="expression" dxfId="1500" priority="52">
      <formula>AND($N68 &lt; 0, ISNUMBER($N68))</formula>
    </cfRule>
    <cfRule type="expression" dxfId="1499" priority="53">
      <formula>AND($K68 &gt; 0, ISNUMBER($K68))</formula>
    </cfRule>
    <cfRule type="expression" dxfId="1498" priority="54">
      <formula>AND($K68 &lt; 0, ISNUMBER($K68))</formula>
    </cfRule>
    <cfRule type="expression" dxfId="1497" priority="55">
      <formula>AND($H68 &gt; 0, ISNUMBER($H68))</formula>
    </cfRule>
    <cfRule type="expression" dxfId="1496" priority="56">
      <formula>AND($H68 &lt; 0, ISNUMBER($H68))</formula>
    </cfRule>
    <cfRule type="expression" dxfId="1495" priority="57">
      <formula>AND($E68 &gt; 0, ISNUMBER($E68))</formula>
    </cfRule>
    <cfRule type="expression" dxfId="1494" priority="58">
      <formula>AND($E68 &lt; 0, ISNUMBER($E68))</formula>
    </cfRule>
  </conditionalFormatting>
  <conditionalFormatting sqref="D66:F67 E78:F78">
    <cfRule type="expression" dxfId="1493" priority="49">
      <formula>$E$78&gt;0</formula>
    </cfRule>
    <cfRule type="expression" dxfId="1492" priority="50">
      <formula>$E$78&lt;0</formula>
    </cfRule>
  </conditionalFormatting>
  <conditionalFormatting sqref="G66:I67 H78:I78">
    <cfRule type="expression" dxfId="1491" priority="47">
      <formula>$H$78&gt;0</formula>
    </cfRule>
    <cfRule type="expression" dxfId="1490" priority="48">
      <formula>$H$78&lt;0</formula>
    </cfRule>
  </conditionalFormatting>
  <conditionalFormatting sqref="J66:L67 K78:L78">
    <cfRule type="expression" dxfId="1489" priority="45">
      <formula>$K$78&gt;0</formula>
    </cfRule>
    <cfRule type="expression" dxfId="1488" priority="46">
      <formula>$K$78&lt;0</formula>
    </cfRule>
  </conditionalFormatting>
  <conditionalFormatting sqref="M66:O67 N78:O78">
    <cfRule type="expression" dxfId="1487" priority="43">
      <formula>$N$78&gt;0</formula>
    </cfRule>
    <cfRule type="expression" dxfId="1486" priority="44">
      <formula>$N$78&lt;0</formula>
    </cfRule>
  </conditionalFormatting>
  <conditionalFormatting sqref="A85:O94">
    <cfRule type="expression" dxfId="1485" priority="35">
      <formula>AND($N85 &gt; 0, ISNUMBER($N85))</formula>
    </cfRule>
    <cfRule type="expression" dxfId="1484" priority="36">
      <formula>AND($N85 &lt; 0, ISNUMBER($N85))</formula>
    </cfRule>
    <cfRule type="expression" dxfId="1483" priority="37">
      <formula>AND($K85 &gt; 0, ISNUMBER($K85))</formula>
    </cfRule>
    <cfRule type="expression" dxfId="1482" priority="38">
      <formula>AND($K85 &lt; 0, ISNUMBER($K85))</formula>
    </cfRule>
    <cfRule type="expression" dxfId="1481" priority="39">
      <formula>AND($H85 &gt; 0, ISNUMBER($H85))</formula>
    </cfRule>
    <cfRule type="expression" dxfId="1480" priority="40">
      <formula>AND($H85 &lt; 0, ISNUMBER($H85))</formula>
    </cfRule>
    <cfRule type="expression" dxfId="1479" priority="41">
      <formula>AND($E85 &gt; 0, ISNUMBER($E85))</formula>
    </cfRule>
    <cfRule type="expression" dxfId="1478" priority="42">
      <formula>AND($E85 &lt; 0, ISNUMBER($E85))</formula>
    </cfRule>
  </conditionalFormatting>
  <conditionalFormatting sqref="D83:F84 E95:F95">
    <cfRule type="expression" dxfId="1477" priority="33">
      <formula>$E$95&gt;0</formula>
    </cfRule>
    <cfRule type="expression" dxfId="1476" priority="34">
      <formula>$E$95&lt;0</formula>
    </cfRule>
  </conditionalFormatting>
  <conditionalFormatting sqref="G83:I84 H95:I95">
    <cfRule type="expression" dxfId="1475" priority="31">
      <formula>$H$95&gt;0</formula>
    </cfRule>
    <cfRule type="expression" dxfId="1474" priority="32">
      <formula>$H$95&lt;0</formula>
    </cfRule>
  </conditionalFormatting>
  <conditionalFormatting sqref="J83:L84 K95:L95">
    <cfRule type="expression" dxfId="1473" priority="29">
      <formula>$K$95&gt;0</formula>
    </cfRule>
    <cfRule type="expression" dxfId="1472" priority="30">
      <formula>$K$95&lt;0</formula>
    </cfRule>
  </conditionalFormatting>
  <conditionalFormatting sqref="M83:O84 N95:O95">
    <cfRule type="expression" dxfId="1471" priority="27">
      <formula>$N$95&gt;0</formula>
    </cfRule>
    <cfRule type="expression" dxfId="1470" priority="28">
      <formula>$N$95&lt;0</formula>
    </cfRule>
  </conditionalFormatting>
  <conditionalFormatting sqref="A102:O111">
    <cfRule type="expression" dxfId="1469" priority="19">
      <formula>AND($N102 &gt; 0, ISNUMBER($N102))</formula>
    </cfRule>
    <cfRule type="expression" dxfId="1468" priority="20">
      <formula>AND($N102 &lt; 0, ISNUMBER($N102))</formula>
    </cfRule>
    <cfRule type="expression" dxfId="1467" priority="21">
      <formula>AND($K102 &gt; 0, ISNUMBER($K102))</formula>
    </cfRule>
    <cfRule type="expression" dxfId="1466" priority="22">
      <formula>AND($K102 &lt; 0, ISNUMBER($K102))</formula>
    </cfRule>
    <cfRule type="expression" dxfId="1465" priority="23">
      <formula>AND($H102 &gt; 0, ISNUMBER($H102))</formula>
    </cfRule>
    <cfRule type="expression" dxfId="1464" priority="24">
      <formula>AND($H102 &lt; 0, ISNUMBER($H102))</formula>
    </cfRule>
    <cfRule type="expression" dxfId="1463" priority="25">
      <formula>AND($E102 &gt; 0, ISNUMBER($E102))</formula>
    </cfRule>
    <cfRule type="expression" dxfId="1462" priority="26">
      <formula>AND($E102 &lt; 0, ISNUMBER($E102))</formula>
    </cfRule>
  </conditionalFormatting>
  <conditionalFormatting sqref="D100:F101 E112:F112">
    <cfRule type="expression" dxfId="1461" priority="17">
      <formula>$E$112&gt;0</formula>
    </cfRule>
    <cfRule type="expression" dxfId="1460" priority="18">
      <formula>$E$112&lt;0</formula>
    </cfRule>
  </conditionalFormatting>
  <conditionalFormatting sqref="G100:I101 H112:I112">
    <cfRule type="expression" dxfId="1459" priority="15">
      <formula>$H$112&gt;0</formula>
    </cfRule>
    <cfRule type="expression" dxfId="1458" priority="16">
      <formula>$H$112&lt;0</formula>
    </cfRule>
  </conditionalFormatting>
  <conditionalFormatting sqref="J100:L101 K112:L112">
    <cfRule type="expression" dxfId="1457" priority="13">
      <formula>$K$112&gt;0</formula>
    </cfRule>
    <cfRule type="expression" dxfId="1456" priority="14">
      <formula>$K$112&lt;0</formula>
    </cfRule>
  </conditionalFormatting>
  <conditionalFormatting sqref="M100:O101 N112:O112">
    <cfRule type="expression" dxfId="1455" priority="11">
      <formula>$N$112&gt;0</formula>
    </cfRule>
    <cfRule type="expression" dxfId="1454" priority="12">
      <formula>$N$112&lt;0</formula>
    </cfRule>
  </conditionalFormatting>
  <conditionalFormatting sqref="G2:I3">
    <cfRule type="expression" dxfId="145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5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5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5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4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4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4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4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4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4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44293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83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82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06"/>
      <c r="R16" s="207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04"/>
      <c r="R17" s="205"/>
    </row>
    <row r="18" spans="1:18" ht="17.25" customHeight="1">
      <c r="A18" s="40" t="s">
        <v>180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04"/>
      <c r="R18" s="205"/>
    </row>
    <row r="19" spans="1:18" ht="17.25" customHeight="1">
      <c r="A19" s="40" t="s">
        <v>123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04"/>
      <c r="R19" s="205"/>
    </row>
    <row r="20" spans="1:18" ht="17.25" customHeight="1">
      <c r="A20" s="40" t="s">
        <v>114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04"/>
      <c r="R20" s="205"/>
    </row>
    <row r="21" spans="1:18" ht="17.25" customHeight="1">
      <c r="A21" s="41" t="s">
        <v>218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04"/>
      <c r="R21" s="205"/>
    </row>
    <row r="22" spans="1:18" ht="17.25" customHeight="1">
      <c r="A22" s="40" t="s">
        <v>155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04"/>
      <c r="R22" s="205"/>
    </row>
    <row r="23" spans="1:18" ht="17.25" customHeight="1">
      <c r="A23" s="40" t="s">
        <v>152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04"/>
      <c r="R23" s="205"/>
    </row>
    <row r="24" spans="1:18" ht="17.25" customHeight="1">
      <c r="A24" s="40" t="s">
        <v>153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04"/>
      <c r="R24" s="205"/>
    </row>
    <row r="25" spans="1:18" ht="17.25" customHeight="1">
      <c r="A25" s="40" t="s">
        <v>181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06"/>
      <c r="R25" s="207"/>
    </row>
    <row r="26" spans="1:18" ht="17.25" customHeight="1" thickBot="1">
      <c r="A26" s="42" t="s">
        <v>200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82" t="s">
        <v>194</v>
      </c>
      <c r="B31" s="186" t="s">
        <v>14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93.7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-0.1160377358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31"/>
      <c r="R33" s="232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29"/>
      <c r="R34" s="230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29"/>
      <c r="R35" s="23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82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31"/>
      <c r="R50" s="232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29"/>
      <c r="R51" s="230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29"/>
      <c r="R52" s="23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82" t="s">
        <v>194</v>
      </c>
      <c r="B65" s="186" t="s">
        <v>200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305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-0.115942029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31"/>
      <c r="R67" s="232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29"/>
      <c r="R68" s="230"/>
    </row>
    <row r="69" spans="1:18" ht="17.25" customHeight="1">
      <c r="A69" s="11" t="s">
        <v>221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29"/>
      <c r="R69" s="230"/>
    </row>
    <row r="70" spans="1:18" ht="17.25" customHeight="1">
      <c r="A70" s="11" t="s">
        <v>200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29"/>
      <c r="R70" s="230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29"/>
      <c r="R71" s="23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29"/>
      <c r="R72" s="230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29"/>
      <c r="R73" s="230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29"/>
      <c r="R74" s="230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29"/>
      <c r="R75" s="230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31"/>
      <c r="R76" s="23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82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31"/>
      <c r="R84" s="232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29"/>
      <c r="R85" s="230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29"/>
      <c r="R86" s="230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29"/>
      <c r="R87" s="230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29"/>
      <c r="R88" s="23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82" t="s">
        <v>194</v>
      </c>
      <c r="B99" s="186" t="s">
        <v>221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502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-7.5506445699999994E-2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31"/>
      <c r="R101" s="232"/>
    </row>
    <row r="102" spans="1:18" ht="17.25" customHeight="1">
      <c r="A102" s="9" t="s">
        <v>204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29"/>
      <c r="R102" s="230"/>
    </row>
    <row r="103" spans="1:18" ht="17.25" customHeight="1">
      <c r="A103" s="11" t="s">
        <v>222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29"/>
      <c r="R103" s="230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29"/>
      <c r="R104" s="230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29"/>
      <c r="R105" s="230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29"/>
      <c r="R106" s="230"/>
    </row>
    <row r="107" spans="1:18" ht="17.25" customHeight="1">
      <c r="A107" s="11" t="s">
        <v>223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29"/>
      <c r="R107" s="230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29"/>
      <c r="R108" s="230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29"/>
      <c r="R109" s="230"/>
    </row>
    <row r="110" spans="1:18" ht="17.25" customHeight="1">
      <c r="A110" s="11" t="s">
        <v>224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31"/>
      <c r="R110" s="232"/>
    </row>
    <row r="111" spans="1:18" ht="17.25" customHeight="1" thickBot="1">
      <c r="A111" s="13" t="s">
        <v>221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443" priority="89">
      <formula>$E$27&gt;0</formula>
    </cfRule>
    <cfRule type="expression" dxfId="1442" priority="90">
      <formula>$E$27&lt;0</formula>
    </cfRule>
  </conditionalFormatting>
  <conditionalFormatting sqref="G15:I16 H27:I27">
    <cfRule type="expression" dxfId="1441" priority="87">
      <formula>$H$27&gt;0</formula>
    </cfRule>
    <cfRule type="expression" dxfId="1440" priority="88">
      <formula>$H$27&lt;0</formula>
    </cfRule>
  </conditionalFormatting>
  <conditionalFormatting sqref="J15:L16 K27:L27">
    <cfRule type="expression" dxfId="1439" priority="85">
      <formula>$K$27&gt;0</formula>
    </cfRule>
    <cfRule type="expression" dxfId="1438" priority="86">
      <formula>$K$27&lt;0</formula>
    </cfRule>
  </conditionalFormatting>
  <conditionalFormatting sqref="M15:O16 N27:O27">
    <cfRule type="expression" dxfId="1437" priority="83">
      <formula>$N$27&gt;0</formula>
    </cfRule>
    <cfRule type="expression" dxfId="1436" priority="84">
      <formula>$N$27&lt;0</formula>
    </cfRule>
  </conditionalFormatting>
  <conditionalFormatting sqref="A17:O26 A34:O43">
    <cfRule type="expression" dxfId="1435" priority="91">
      <formula>AND($N17 &gt; 0, ISNUMBER($N17))</formula>
    </cfRule>
    <cfRule type="expression" dxfId="1434" priority="92">
      <formula>AND($N17 &lt; 0, ISNUMBER($N17))</formula>
    </cfRule>
    <cfRule type="expression" dxfId="1433" priority="93">
      <formula>AND($K17 &gt; 0, ISNUMBER($K17))</formula>
    </cfRule>
    <cfRule type="expression" dxfId="1432" priority="94">
      <formula>AND($K17 &lt; 0, ISNUMBER($K17))</formula>
    </cfRule>
    <cfRule type="expression" dxfId="1431" priority="95">
      <formula>AND($H17 &gt; 0, ISNUMBER($H17))</formula>
    </cfRule>
    <cfRule type="expression" dxfId="1430" priority="96">
      <formula>AND($H17 &lt; 0, ISNUMBER($H17))</formula>
    </cfRule>
    <cfRule type="expression" dxfId="1429" priority="97">
      <formula>AND($E17 &gt; 0, ISNUMBER($E17))</formula>
    </cfRule>
    <cfRule type="expression" dxfId="1428" priority="98">
      <formula>AND($E17 &lt; 0, ISNUMBER($E17))</formula>
    </cfRule>
  </conditionalFormatting>
  <conditionalFormatting sqref="D32:F33 E44:F44">
    <cfRule type="expression" dxfId="1427" priority="81">
      <formula>$E$44&gt;0</formula>
    </cfRule>
    <cfRule type="expression" dxfId="1426" priority="82">
      <formula>$E$44&lt;0</formula>
    </cfRule>
  </conditionalFormatting>
  <conditionalFormatting sqref="G32:I33 H44:I44">
    <cfRule type="expression" dxfId="1425" priority="79">
      <formula>$H$44&gt;0</formula>
    </cfRule>
    <cfRule type="expression" dxfId="1424" priority="80">
      <formula>$H$44&lt;0</formula>
    </cfRule>
  </conditionalFormatting>
  <conditionalFormatting sqref="J32:L33 K44:L44">
    <cfRule type="expression" dxfId="1423" priority="77">
      <formula>$K$44&gt;0</formula>
    </cfRule>
    <cfRule type="expression" dxfId="1422" priority="78">
      <formula>$K$44&lt;0</formula>
    </cfRule>
  </conditionalFormatting>
  <conditionalFormatting sqref="M32:O33 N44:O44">
    <cfRule type="expression" dxfId="1421" priority="75">
      <formula>$N$44&gt;0</formula>
    </cfRule>
    <cfRule type="expression" dxfId="1420" priority="76">
      <formula>$N$44&lt;0</formula>
    </cfRule>
  </conditionalFormatting>
  <conditionalFormatting sqref="A51:O60">
    <cfRule type="expression" dxfId="1419" priority="67">
      <formula>AND($N51 &gt; 0, ISNUMBER($N51))</formula>
    </cfRule>
    <cfRule type="expression" dxfId="1418" priority="68">
      <formula>AND($N51 &lt; 0, ISNUMBER($N51))</formula>
    </cfRule>
    <cfRule type="expression" dxfId="1417" priority="69">
      <formula>AND($K51 &gt; 0, ISNUMBER($K51))</formula>
    </cfRule>
    <cfRule type="expression" dxfId="1416" priority="70">
      <formula>AND($K51 &lt; 0, ISNUMBER($K51))</formula>
    </cfRule>
    <cfRule type="expression" dxfId="1415" priority="71">
      <formula>AND($H51 &gt; 0, ISNUMBER($H51))</formula>
    </cfRule>
    <cfRule type="expression" dxfId="1414" priority="72">
      <formula>AND($H51 &lt; 0, ISNUMBER($H51))</formula>
    </cfRule>
    <cfRule type="expression" dxfId="1413" priority="73">
      <formula>AND($E51 &gt; 0, ISNUMBER($E51))</formula>
    </cfRule>
    <cfRule type="expression" dxfId="1412" priority="74">
      <formula>AND($E51 &lt; 0, ISNUMBER($E51))</formula>
    </cfRule>
  </conditionalFormatting>
  <conditionalFormatting sqref="D49:F50 E61:F61">
    <cfRule type="expression" dxfId="1411" priority="65">
      <formula>$E$61&gt;0</formula>
    </cfRule>
    <cfRule type="expression" dxfId="1410" priority="66">
      <formula>$E$61&lt;0</formula>
    </cfRule>
  </conditionalFormatting>
  <conditionalFormatting sqref="G49:I50 H61:I61">
    <cfRule type="expression" dxfId="1409" priority="63">
      <formula>$H$61&gt;0</formula>
    </cfRule>
    <cfRule type="expression" dxfId="1408" priority="64">
      <formula>$H$61&lt;0</formula>
    </cfRule>
  </conditionalFormatting>
  <conditionalFormatting sqref="J49:L50 K61:L61">
    <cfRule type="expression" dxfId="1407" priority="61">
      <formula>$K$61&gt;0</formula>
    </cfRule>
    <cfRule type="expression" dxfId="1406" priority="62">
      <formula>$K$61&lt;0</formula>
    </cfRule>
  </conditionalFormatting>
  <conditionalFormatting sqref="M49:O50 N61:O61">
    <cfRule type="expression" dxfId="1405" priority="59">
      <formula>$N$61&gt;0</formula>
    </cfRule>
    <cfRule type="expression" dxfId="1404" priority="60">
      <formula>$N$61&lt;0</formula>
    </cfRule>
  </conditionalFormatting>
  <conditionalFormatting sqref="A68:O77">
    <cfRule type="expression" dxfId="1403" priority="51">
      <formula>AND($N68 &gt; 0, ISNUMBER($N68))</formula>
    </cfRule>
    <cfRule type="expression" dxfId="1402" priority="52">
      <formula>AND($N68 &lt; 0, ISNUMBER($N68))</formula>
    </cfRule>
    <cfRule type="expression" dxfId="1401" priority="53">
      <formula>AND($K68 &gt; 0, ISNUMBER($K68))</formula>
    </cfRule>
    <cfRule type="expression" dxfId="1400" priority="54">
      <formula>AND($K68 &lt; 0, ISNUMBER($K68))</formula>
    </cfRule>
    <cfRule type="expression" dxfId="1399" priority="55">
      <formula>AND($H68 &gt; 0, ISNUMBER($H68))</formula>
    </cfRule>
    <cfRule type="expression" dxfId="1398" priority="56">
      <formula>AND($H68 &lt; 0, ISNUMBER($H68))</formula>
    </cfRule>
    <cfRule type="expression" dxfId="1397" priority="57">
      <formula>AND($E68 &gt; 0, ISNUMBER($E68))</formula>
    </cfRule>
    <cfRule type="expression" dxfId="1396" priority="58">
      <formula>AND($E68 &lt; 0, ISNUMBER($E68))</formula>
    </cfRule>
  </conditionalFormatting>
  <conditionalFormatting sqref="D66:F67 E78:F78">
    <cfRule type="expression" dxfId="1395" priority="49">
      <formula>$E$78&gt;0</formula>
    </cfRule>
    <cfRule type="expression" dxfId="1394" priority="50">
      <formula>$E$78&lt;0</formula>
    </cfRule>
  </conditionalFormatting>
  <conditionalFormatting sqref="G66:I67 H78:I78">
    <cfRule type="expression" dxfId="1393" priority="47">
      <formula>$H$78&gt;0</formula>
    </cfRule>
    <cfRule type="expression" dxfId="1392" priority="48">
      <formula>$H$78&lt;0</formula>
    </cfRule>
  </conditionalFormatting>
  <conditionalFormatting sqref="J66:L67 K78:L78">
    <cfRule type="expression" dxfId="1391" priority="45">
      <formula>$K$78&gt;0</formula>
    </cfRule>
    <cfRule type="expression" dxfId="1390" priority="46">
      <formula>$K$78&lt;0</formula>
    </cfRule>
  </conditionalFormatting>
  <conditionalFormatting sqref="M66:O67 N78:O78">
    <cfRule type="expression" dxfId="1389" priority="43">
      <formula>$N$78&gt;0</formula>
    </cfRule>
    <cfRule type="expression" dxfId="1388" priority="44">
      <formula>$N$78&lt;0</formula>
    </cfRule>
  </conditionalFormatting>
  <conditionalFormatting sqref="A85:O94">
    <cfRule type="expression" dxfId="1387" priority="35">
      <formula>AND($N85 &gt; 0, ISNUMBER($N85))</formula>
    </cfRule>
    <cfRule type="expression" dxfId="1386" priority="36">
      <formula>AND($N85 &lt; 0, ISNUMBER($N85))</formula>
    </cfRule>
    <cfRule type="expression" dxfId="1385" priority="37">
      <formula>AND($K85 &gt; 0, ISNUMBER($K85))</formula>
    </cfRule>
    <cfRule type="expression" dxfId="1384" priority="38">
      <formula>AND($K85 &lt; 0, ISNUMBER($K85))</formula>
    </cfRule>
    <cfRule type="expression" dxfId="1383" priority="39">
      <formula>AND($H85 &gt; 0, ISNUMBER($H85))</formula>
    </cfRule>
    <cfRule type="expression" dxfId="1382" priority="40">
      <formula>AND($H85 &lt; 0, ISNUMBER($H85))</formula>
    </cfRule>
    <cfRule type="expression" dxfId="1381" priority="41">
      <formula>AND($E85 &gt; 0, ISNUMBER($E85))</formula>
    </cfRule>
    <cfRule type="expression" dxfId="1380" priority="42">
      <formula>AND($E85 &lt; 0, ISNUMBER($E85))</formula>
    </cfRule>
  </conditionalFormatting>
  <conditionalFormatting sqref="D83:F84 E95:F95">
    <cfRule type="expression" dxfId="1379" priority="33">
      <formula>$E$95&gt;0</formula>
    </cfRule>
    <cfRule type="expression" dxfId="1378" priority="34">
      <formula>$E$95&lt;0</formula>
    </cfRule>
  </conditionalFormatting>
  <conditionalFormatting sqref="G83:I84 H95:I95">
    <cfRule type="expression" dxfId="1377" priority="31">
      <formula>$H$95&gt;0</formula>
    </cfRule>
    <cfRule type="expression" dxfId="1376" priority="32">
      <formula>$H$95&lt;0</formula>
    </cfRule>
  </conditionalFormatting>
  <conditionalFormatting sqref="J83:L84 K95:L95">
    <cfRule type="expression" dxfId="1375" priority="29">
      <formula>$K$95&gt;0</formula>
    </cfRule>
    <cfRule type="expression" dxfId="1374" priority="30">
      <formula>$K$95&lt;0</formula>
    </cfRule>
  </conditionalFormatting>
  <conditionalFormatting sqref="M83:O84 N95:O95">
    <cfRule type="expression" dxfId="1373" priority="27">
      <formula>$N$95&gt;0</formula>
    </cfRule>
    <cfRule type="expression" dxfId="1372" priority="28">
      <formula>$N$95&lt;0</formula>
    </cfRule>
  </conditionalFormatting>
  <conditionalFormatting sqref="A102:O111">
    <cfRule type="expression" dxfId="1371" priority="19">
      <formula>AND($N102 &gt; 0, ISNUMBER($N102))</formula>
    </cfRule>
    <cfRule type="expression" dxfId="1370" priority="20">
      <formula>AND($N102 &lt; 0, ISNUMBER($N102))</formula>
    </cfRule>
    <cfRule type="expression" dxfId="1369" priority="21">
      <formula>AND($K102 &gt; 0, ISNUMBER($K102))</formula>
    </cfRule>
    <cfRule type="expression" dxfId="1368" priority="22">
      <formula>AND($K102 &lt; 0, ISNUMBER($K102))</formula>
    </cfRule>
    <cfRule type="expression" dxfId="1367" priority="23">
      <formula>AND($H102 &gt; 0, ISNUMBER($H102))</formula>
    </cfRule>
    <cfRule type="expression" dxfId="1366" priority="24">
      <formula>AND($H102 &lt; 0, ISNUMBER($H102))</formula>
    </cfRule>
    <cfRule type="expression" dxfId="1365" priority="25">
      <formula>AND($E102 &gt; 0, ISNUMBER($E102))</formula>
    </cfRule>
    <cfRule type="expression" dxfId="1364" priority="26">
      <formula>AND($E102 &lt; 0, ISNUMBER($E102))</formula>
    </cfRule>
  </conditionalFormatting>
  <conditionalFormatting sqref="D100:F101 E112:F112">
    <cfRule type="expression" dxfId="1363" priority="17">
      <formula>$E$112&gt;0</formula>
    </cfRule>
    <cfRule type="expression" dxfId="1362" priority="18">
      <formula>$E$112&lt;0</formula>
    </cfRule>
  </conditionalFormatting>
  <conditionalFormatting sqref="G100:I101 H112:I112">
    <cfRule type="expression" dxfId="1361" priority="15">
      <formula>$H$112&gt;0</formula>
    </cfRule>
    <cfRule type="expression" dxfId="1360" priority="16">
      <formula>$H$112&lt;0</formula>
    </cfRule>
  </conditionalFormatting>
  <conditionalFormatting sqref="J100:L101 K112:L112">
    <cfRule type="expression" dxfId="1359" priority="13">
      <formula>$K$112&gt;0</formula>
    </cfRule>
    <cfRule type="expression" dxfId="1358" priority="14">
      <formula>$K$112&lt;0</formula>
    </cfRule>
  </conditionalFormatting>
  <conditionalFormatting sqref="M100:O101 N112:O112">
    <cfRule type="expression" dxfId="1357" priority="11">
      <formula>$N$112&gt;0</formula>
    </cfRule>
    <cfRule type="expression" dxfId="1356" priority="12">
      <formula>$N$112&lt;0</formula>
    </cfRule>
  </conditionalFormatting>
  <conditionalFormatting sqref="G2:I3">
    <cfRule type="expression" dxfId="135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5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5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5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5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5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4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4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4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4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44294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96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91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06"/>
      <c r="R16" s="207"/>
    </row>
    <row r="17" spans="1:18" ht="17.25" customHeight="1">
      <c r="A17" s="39" t="s">
        <v>171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04"/>
      <c r="R17" s="205"/>
    </row>
    <row r="18" spans="1:18" ht="17.25" customHeight="1">
      <c r="A18" s="40" t="s">
        <v>195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04"/>
      <c r="R18" s="205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04"/>
      <c r="R19" s="205"/>
    </row>
    <row r="20" spans="1:18" ht="17.25" customHeight="1">
      <c r="A20" s="40" t="s">
        <v>176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04"/>
      <c r="R20" s="205"/>
    </row>
    <row r="21" spans="1:18" ht="17.25" customHeight="1">
      <c r="A21" s="41" t="s">
        <v>180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04"/>
      <c r="R21" s="205"/>
    </row>
    <row r="22" spans="1:18" ht="17.25" customHeight="1">
      <c r="A22" s="40" t="s">
        <v>218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04"/>
      <c r="R22" s="205"/>
    </row>
    <row r="23" spans="1:18" ht="17.25" customHeight="1">
      <c r="A23" s="40" t="s">
        <v>151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04"/>
      <c r="R23" s="205"/>
    </row>
    <row r="24" spans="1:18" ht="17.25" customHeight="1">
      <c r="A24" s="40" t="s">
        <v>219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04"/>
      <c r="R24" s="205"/>
    </row>
    <row r="25" spans="1:18" ht="17.25" customHeight="1">
      <c r="A25" s="40" t="s">
        <v>144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06"/>
      <c r="R25" s="207"/>
    </row>
    <row r="26" spans="1:18" ht="17.25" customHeight="1" thickBot="1">
      <c r="A26" s="42" t="s">
        <v>215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91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31"/>
      <c r="R33" s="232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29"/>
      <c r="R34" s="230"/>
    </row>
    <row r="35" spans="1:18" ht="17.25" customHeight="1">
      <c r="A35" s="11" t="s">
        <v>169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29"/>
      <c r="R35" s="230"/>
    </row>
    <row r="36" spans="1:18" ht="17.25" customHeight="1">
      <c r="A36" s="11" t="s">
        <v>147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29"/>
      <c r="R36" s="230"/>
    </row>
    <row r="37" spans="1:18" ht="17.25" customHeight="1">
      <c r="A37" s="11" t="s">
        <v>152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29"/>
      <c r="R37" s="230"/>
    </row>
    <row r="38" spans="1:18" ht="17.25" customHeight="1">
      <c r="A38" s="8" t="s">
        <v>149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29"/>
      <c r="R38" s="230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29"/>
      <c r="R39" s="230"/>
    </row>
    <row r="40" spans="1:18" ht="17.25" customHeight="1">
      <c r="A40" s="11" t="s">
        <v>161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29"/>
      <c r="R40" s="230"/>
    </row>
    <row r="41" spans="1:18" ht="17.25" customHeight="1">
      <c r="A41" s="11" t="s">
        <v>131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29"/>
      <c r="R41" s="230"/>
    </row>
    <row r="42" spans="1:18" ht="17.25" customHeight="1">
      <c r="A42" s="11" t="s">
        <v>126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31"/>
      <c r="R42" s="232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91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31"/>
      <c r="R50" s="232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29"/>
      <c r="R51" s="230"/>
    </row>
    <row r="52" spans="1:18" ht="17.25" customHeight="1">
      <c r="A52" s="11" t="s">
        <v>140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29"/>
      <c r="R52" s="230"/>
    </row>
    <row r="53" spans="1:18" ht="17.25" customHeight="1">
      <c r="A53" s="11" t="s">
        <v>150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29"/>
      <c r="R53" s="230"/>
    </row>
    <row r="54" spans="1:18" ht="17.25" customHeight="1">
      <c r="A54" s="11" t="s">
        <v>139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29"/>
      <c r="R54" s="230"/>
    </row>
    <row r="55" spans="1:18" ht="17.25" customHeight="1">
      <c r="A55" s="8" t="s">
        <v>135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29"/>
      <c r="R55" s="230"/>
    </row>
    <row r="56" spans="1:18" ht="17.25" customHeight="1">
      <c r="A56" s="11" t="s">
        <v>108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29"/>
      <c r="R56" s="230"/>
    </row>
    <row r="57" spans="1:18" ht="17.25" customHeight="1">
      <c r="A57" s="11" t="s">
        <v>137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29"/>
      <c r="R57" s="230"/>
    </row>
    <row r="58" spans="1:18" ht="17.25" customHeight="1">
      <c r="A58" s="11" t="s">
        <v>164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29"/>
      <c r="R58" s="230"/>
    </row>
    <row r="59" spans="1:18" ht="17.25" customHeight="1">
      <c r="A59" s="11" t="s">
        <v>122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91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31"/>
      <c r="R67" s="232"/>
    </row>
    <row r="68" spans="1:18" ht="17.25" customHeight="1">
      <c r="A68" s="9" t="s">
        <v>144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29"/>
      <c r="R68" s="230"/>
    </row>
    <row r="69" spans="1:18" ht="17.25" customHeight="1">
      <c r="A69" s="11" t="s">
        <v>129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29"/>
      <c r="R69" s="230"/>
    </row>
    <row r="70" spans="1:18" ht="17.25" customHeight="1">
      <c r="A70" s="11" t="s">
        <v>154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29"/>
      <c r="R70" s="230"/>
    </row>
    <row r="71" spans="1:18" ht="17.25" customHeight="1">
      <c r="A71" s="11" t="s">
        <v>133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29"/>
      <c r="R71" s="230"/>
    </row>
    <row r="72" spans="1:18" ht="17.25" customHeight="1">
      <c r="A72" s="8" t="s">
        <v>128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29"/>
      <c r="R72" s="230"/>
    </row>
    <row r="73" spans="1:18" ht="17.25" customHeight="1">
      <c r="A73" s="11" t="s">
        <v>170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29"/>
      <c r="R73" s="230"/>
    </row>
    <row r="74" spans="1:18" ht="17.25" customHeight="1">
      <c r="A74" s="11" t="s">
        <v>119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29"/>
      <c r="R74" s="230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29"/>
      <c r="R75" s="230"/>
    </row>
    <row r="76" spans="1:18" ht="17.25" customHeight="1">
      <c r="A76" s="11" t="s">
        <v>163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31"/>
      <c r="R76" s="232"/>
    </row>
    <row r="77" spans="1:18" ht="17.25" customHeight="1" thickBot="1">
      <c r="A77" s="13" t="s">
        <v>174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91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31"/>
      <c r="R84" s="232"/>
    </row>
    <row r="85" spans="1:18" ht="17.25" customHeight="1">
      <c r="A85" s="9" t="s">
        <v>142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29"/>
      <c r="R85" s="230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29"/>
      <c r="R86" s="230"/>
    </row>
    <row r="87" spans="1:18" ht="17.25" customHeight="1">
      <c r="A87" s="11" t="s">
        <v>124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29"/>
      <c r="R87" s="230"/>
    </row>
    <row r="88" spans="1:18" ht="17.25" customHeight="1">
      <c r="A88" s="11" t="s">
        <v>166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29"/>
      <c r="R88" s="230"/>
    </row>
    <row r="89" spans="1:18" ht="17.25" customHeight="1">
      <c r="A89" s="8" t="s">
        <v>178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29"/>
      <c r="R89" s="230"/>
    </row>
    <row r="90" spans="1:18" ht="17.25" customHeight="1">
      <c r="A90" s="11" t="s">
        <v>130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29"/>
      <c r="R90" s="230"/>
    </row>
    <row r="91" spans="1:18" ht="17.25" customHeight="1">
      <c r="A91" s="11" t="s">
        <v>114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29"/>
      <c r="R91" s="230"/>
    </row>
    <row r="92" spans="1:18" ht="17.25" customHeight="1">
      <c r="A92" s="11" t="s">
        <v>148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29"/>
      <c r="R92" s="230"/>
    </row>
    <row r="93" spans="1:18" ht="17.25" customHeight="1">
      <c r="A93" s="11" t="s">
        <v>120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31"/>
      <c r="R93" s="232"/>
    </row>
    <row r="94" spans="1:18" ht="17.25" customHeight="1" thickBot="1">
      <c r="A94" s="13" t="s">
        <v>181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91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31"/>
      <c r="R101" s="232"/>
    </row>
    <row r="102" spans="1:18" ht="17.25" customHeight="1">
      <c r="A102" s="9" t="s">
        <v>171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29"/>
      <c r="R102" s="230"/>
    </row>
    <row r="103" spans="1:18" ht="17.25" customHeight="1">
      <c r="A103" s="11" t="s">
        <v>195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29"/>
      <c r="R103" s="230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29"/>
      <c r="R104" s="230"/>
    </row>
    <row r="105" spans="1:18" ht="17.25" customHeight="1">
      <c r="A105" s="11" t="s">
        <v>176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29"/>
      <c r="R105" s="230"/>
    </row>
    <row r="106" spans="1:18" ht="17.25" customHeight="1">
      <c r="A106" s="8" t="s">
        <v>180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29"/>
      <c r="R106" s="230"/>
    </row>
    <row r="107" spans="1:18" ht="17.25" customHeight="1">
      <c r="A107" s="11" t="s">
        <v>218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29"/>
      <c r="R107" s="230"/>
    </row>
    <row r="108" spans="1:18" ht="17.25" customHeight="1">
      <c r="A108" s="11" t="s">
        <v>151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29"/>
      <c r="R108" s="230"/>
    </row>
    <row r="109" spans="1:18" ht="17.25" customHeight="1">
      <c r="A109" s="11" t="s">
        <v>219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29"/>
      <c r="R109" s="230"/>
    </row>
    <row r="110" spans="1:18" ht="17.25" customHeight="1">
      <c r="A110" s="11" t="s">
        <v>144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31"/>
      <c r="R110" s="232"/>
    </row>
    <row r="111" spans="1:18" ht="17.25" customHeight="1" thickBot="1">
      <c r="A111" s="13" t="s">
        <v>215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33"/>
      <c r="R112" s="23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45" priority="89">
      <formula>$E$27&gt;0</formula>
    </cfRule>
    <cfRule type="expression" dxfId="1344" priority="90">
      <formula>$E$27&lt;0</formula>
    </cfRule>
  </conditionalFormatting>
  <conditionalFormatting sqref="G15:I16 H27:I27">
    <cfRule type="expression" dxfId="1343" priority="87">
      <formula>$H$27&gt;0</formula>
    </cfRule>
    <cfRule type="expression" dxfId="1342" priority="88">
      <formula>$H$27&lt;0</formula>
    </cfRule>
  </conditionalFormatting>
  <conditionalFormatting sqref="J15:L16 K27:L27">
    <cfRule type="expression" dxfId="1341" priority="85">
      <formula>$K$27&gt;0</formula>
    </cfRule>
    <cfRule type="expression" dxfId="1340" priority="86">
      <formula>$K$27&lt;0</formula>
    </cfRule>
  </conditionalFormatting>
  <conditionalFormatting sqref="M15:O16 N27:O27">
    <cfRule type="expression" dxfId="1339" priority="83">
      <formula>$N$27&gt;0</formula>
    </cfRule>
    <cfRule type="expression" dxfId="1338" priority="84">
      <formula>$N$27&lt;0</formula>
    </cfRule>
  </conditionalFormatting>
  <conditionalFormatting sqref="A17:O26 A34:O43">
    <cfRule type="expression" dxfId="1337" priority="91">
      <formula>AND($N17 &gt; 0, ISNUMBER($N17))</formula>
    </cfRule>
    <cfRule type="expression" dxfId="1336" priority="92">
      <formula>AND($N17 &lt; 0, ISNUMBER($N17))</formula>
    </cfRule>
    <cfRule type="expression" dxfId="1335" priority="93">
      <formula>AND($K17 &gt; 0, ISNUMBER($K17))</formula>
    </cfRule>
    <cfRule type="expression" dxfId="1334" priority="94">
      <formula>AND($K17 &lt; 0, ISNUMBER($K17))</formula>
    </cfRule>
    <cfRule type="expression" dxfId="1333" priority="95">
      <formula>AND($H17 &gt; 0, ISNUMBER($H17))</formula>
    </cfRule>
    <cfRule type="expression" dxfId="1332" priority="96">
      <formula>AND($H17 &lt; 0, ISNUMBER($H17))</formula>
    </cfRule>
    <cfRule type="expression" dxfId="1331" priority="97">
      <formula>AND($E17 &gt; 0, ISNUMBER($E17))</formula>
    </cfRule>
    <cfRule type="expression" dxfId="1330" priority="98">
      <formula>AND($E17 &lt; 0, ISNUMBER($E17))</formula>
    </cfRule>
  </conditionalFormatting>
  <conditionalFormatting sqref="D32:F33 E44:F44">
    <cfRule type="expression" dxfId="1329" priority="81">
      <formula>$E$44&gt;0</formula>
    </cfRule>
    <cfRule type="expression" dxfId="1328" priority="82">
      <formula>$E$44&lt;0</formula>
    </cfRule>
  </conditionalFormatting>
  <conditionalFormatting sqref="G32:I33 H44:I44">
    <cfRule type="expression" dxfId="1327" priority="79">
      <formula>$H$44&gt;0</formula>
    </cfRule>
    <cfRule type="expression" dxfId="1326" priority="80">
      <formula>$H$44&lt;0</formula>
    </cfRule>
  </conditionalFormatting>
  <conditionalFormatting sqref="J32:L33 K44:L44">
    <cfRule type="expression" dxfId="1325" priority="77">
      <formula>$K$44&gt;0</formula>
    </cfRule>
    <cfRule type="expression" dxfId="1324" priority="78">
      <formula>$K$44&lt;0</formula>
    </cfRule>
  </conditionalFormatting>
  <conditionalFormatting sqref="M32:O33 N44:O44">
    <cfRule type="expression" dxfId="1323" priority="75">
      <formula>$N$44&gt;0</formula>
    </cfRule>
    <cfRule type="expression" dxfId="1322" priority="76">
      <formula>$N$44&lt;0</formula>
    </cfRule>
  </conditionalFormatting>
  <conditionalFormatting sqref="A51:O60">
    <cfRule type="expression" dxfId="1321" priority="67">
      <formula>AND($N51 &gt; 0, ISNUMBER($N51))</formula>
    </cfRule>
    <cfRule type="expression" dxfId="1320" priority="68">
      <formula>AND($N51 &lt; 0, ISNUMBER($N51))</formula>
    </cfRule>
    <cfRule type="expression" dxfId="1319" priority="69">
      <formula>AND($K51 &gt; 0, ISNUMBER($K51))</formula>
    </cfRule>
    <cfRule type="expression" dxfId="1318" priority="70">
      <formula>AND($K51 &lt; 0, ISNUMBER($K51))</formula>
    </cfRule>
    <cfRule type="expression" dxfId="1317" priority="71">
      <formula>AND($H51 &gt; 0, ISNUMBER($H51))</formula>
    </cfRule>
    <cfRule type="expression" dxfId="1316" priority="72">
      <formula>AND($H51 &lt; 0, ISNUMBER($H51))</formula>
    </cfRule>
    <cfRule type="expression" dxfId="1315" priority="73">
      <formula>AND($E51 &gt; 0, ISNUMBER($E51))</formula>
    </cfRule>
    <cfRule type="expression" dxfId="1314" priority="74">
      <formula>AND($E51 &lt; 0, ISNUMBER($E51))</formula>
    </cfRule>
  </conditionalFormatting>
  <conditionalFormatting sqref="D49:F50 E61:F61">
    <cfRule type="expression" dxfId="1313" priority="65">
      <formula>$E$61&gt;0</formula>
    </cfRule>
    <cfRule type="expression" dxfId="1312" priority="66">
      <formula>$E$61&lt;0</formula>
    </cfRule>
  </conditionalFormatting>
  <conditionalFormatting sqref="G49:I50 H61:I61">
    <cfRule type="expression" dxfId="1311" priority="63">
      <formula>$H$61&gt;0</formula>
    </cfRule>
    <cfRule type="expression" dxfId="1310" priority="64">
      <formula>$H$61&lt;0</formula>
    </cfRule>
  </conditionalFormatting>
  <conditionalFormatting sqref="J49:L50 K61:L61">
    <cfRule type="expression" dxfId="1309" priority="61">
      <formula>$K$61&gt;0</formula>
    </cfRule>
    <cfRule type="expression" dxfId="1308" priority="62">
      <formula>$K$61&lt;0</formula>
    </cfRule>
  </conditionalFormatting>
  <conditionalFormatting sqref="M49:O50 N61:O61">
    <cfRule type="expression" dxfId="1307" priority="59">
      <formula>$N$61&gt;0</formula>
    </cfRule>
    <cfRule type="expression" dxfId="1306" priority="60">
      <formula>$N$61&lt;0</formula>
    </cfRule>
  </conditionalFormatting>
  <conditionalFormatting sqref="A68:O77">
    <cfRule type="expression" dxfId="1305" priority="51">
      <formula>AND($N68 &gt; 0, ISNUMBER($N68))</formula>
    </cfRule>
    <cfRule type="expression" dxfId="1304" priority="52">
      <formula>AND($N68 &lt; 0, ISNUMBER($N68))</formula>
    </cfRule>
    <cfRule type="expression" dxfId="1303" priority="53">
      <formula>AND($K68 &gt; 0, ISNUMBER($K68))</formula>
    </cfRule>
    <cfRule type="expression" dxfId="1302" priority="54">
      <formula>AND($K68 &lt; 0, ISNUMBER($K68))</formula>
    </cfRule>
    <cfRule type="expression" dxfId="1301" priority="55">
      <formula>AND($H68 &gt; 0, ISNUMBER($H68))</formula>
    </cfRule>
    <cfRule type="expression" dxfId="1300" priority="56">
      <formula>AND($H68 &lt; 0, ISNUMBER($H68))</formula>
    </cfRule>
    <cfRule type="expression" dxfId="1299" priority="57">
      <formula>AND($E68 &gt; 0, ISNUMBER($E68))</formula>
    </cfRule>
    <cfRule type="expression" dxfId="1298" priority="58">
      <formula>AND($E68 &lt; 0, ISNUMBER($E68))</formula>
    </cfRule>
  </conditionalFormatting>
  <conditionalFormatting sqref="D66:F67 E78:F78">
    <cfRule type="expression" dxfId="1297" priority="49">
      <formula>$E$78&gt;0</formula>
    </cfRule>
    <cfRule type="expression" dxfId="1296" priority="50">
      <formula>$E$78&lt;0</formula>
    </cfRule>
  </conditionalFormatting>
  <conditionalFormatting sqref="G66:I67 H78:I78">
    <cfRule type="expression" dxfId="1295" priority="47">
      <formula>$H$78&gt;0</formula>
    </cfRule>
    <cfRule type="expression" dxfId="1294" priority="48">
      <formula>$H$78&lt;0</formula>
    </cfRule>
  </conditionalFormatting>
  <conditionalFormatting sqref="J66:L67 K78:L78">
    <cfRule type="expression" dxfId="1293" priority="45">
      <formula>$K$78&gt;0</formula>
    </cfRule>
    <cfRule type="expression" dxfId="1292" priority="46">
      <formula>$K$78&lt;0</formula>
    </cfRule>
  </conditionalFormatting>
  <conditionalFormatting sqref="M66:O67 N78:O78">
    <cfRule type="expression" dxfId="1291" priority="43">
      <formula>$N$78&gt;0</formula>
    </cfRule>
    <cfRule type="expression" dxfId="1290" priority="44">
      <formula>$N$78&lt;0</formula>
    </cfRule>
  </conditionalFormatting>
  <conditionalFormatting sqref="A85:O94">
    <cfRule type="expression" dxfId="1289" priority="35">
      <formula>AND($N85 &gt; 0, ISNUMBER($N85))</formula>
    </cfRule>
    <cfRule type="expression" dxfId="1288" priority="36">
      <formula>AND($N85 &lt; 0, ISNUMBER($N85))</formula>
    </cfRule>
    <cfRule type="expression" dxfId="1287" priority="37">
      <formula>AND($K85 &gt; 0, ISNUMBER($K85))</formula>
    </cfRule>
    <cfRule type="expression" dxfId="1286" priority="38">
      <formula>AND($K85 &lt; 0, ISNUMBER($K85))</formula>
    </cfRule>
    <cfRule type="expression" dxfId="1285" priority="39">
      <formula>AND($H85 &gt; 0, ISNUMBER($H85))</formula>
    </cfRule>
    <cfRule type="expression" dxfId="1284" priority="40">
      <formula>AND($H85 &lt; 0, ISNUMBER($H85))</formula>
    </cfRule>
    <cfRule type="expression" dxfId="1283" priority="41">
      <formula>AND($E85 &gt; 0, ISNUMBER($E85))</formula>
    </cfRule>
    <cfRule type="expression" dxfId="1282" priority="42">
      <formula>AND($E85 &lt; 0, ISNUMBER($E85))</formula>
    </cfRule>
  </conditionalFormatting>
  <conditionalFormatting sqref="D83:F84 E95:F95">
    <cfRule type="expression" dxfId="1281" priority="33">
      <formula>$E$95&gt;0</formula>
    </cfRule>
    <cfRule type="expression" dxfId="1280" priority="34">
      <formula>$E$95&lt;0</formula>
    </cfRule>
  </conditionalFormatting>
  <conditionalFormatting sqref="G83:I84 H95:I95">
    <cfRule type="expression" dxfId="1279" priority="31">
      <formula>$H$95&gt;0</formula>
    </cfRule>
    <cfRule type="expression" dxfId="1278" priority="32">
      <formula>$H$95&lt;0</formula>
    </cfRule>
  </conditionalFormatting>
  <conditionalFormatting sqref="J83:L84 K95:L95">
    <cfRule type="expression" dxfId="1277" priority="29">
      <formula>$K$95&gt;0</formula>
    </cfRule>
    <cfRule type="expression" dxfId="1276" priority="30">
      <formula>$K$95&lt;0</formula>
    </cfRule>
  </conditionalFormatting>
  <conditionalFormatting sqref="M83:O84 N95:O95">
    <cfRule type="expression" dxfId="1275" priority="27">
      <formula>$N$95&gt;0</formula>
    </cfRule>
    <cfRule type="expression" dxfId="1274" priority="28">
      <formula>$N$95&lt;0</formula>
    </cfRule>
  </conditionalFormatting>
  <conditionalFormatting sqref="A102:O111">
    <cfRule type="expression" dxfId="1273" priority="19">
      <formula>AND($N102 &gt; 0, ISNUMBER($N102))</formula>
    </cfRule>
    <cfRule type="expression" dxfId="1272" priority="20">
      <formula>AND($N102 &lt; 0, ISNUMBER($N102))</formula>
    </cfRule>
    <cfRule type="expression" dxfId="1271" priority="21">
      <formula>AND($K102 &gt; 0, ISNUMBER($K102))</formula>
    </cfRule>
    <cfRule type="expression" dxfId="1270" priority="22">
      <formula>AND($K102 &lt; 0, ISNUMBER($K102))</formula>
    </cfRule>
    <cfRule type="expression" dxfId="1269" priority="23">
      <formula>AND($H102 &gt; 0, ISNUMBER($H102))</formula>
    </cfRule>
    <cfRule type="expression" dxfId="1268" priority="24">
      <formula>AND($H102 &lt; 0, ISNUMBER($H102))</formula>
    </cfRule>
    <cfRule type="expression" dxfId="1267" priority="25">
      <formula>AND($E102 &gt; 0, ISNUMBER($E102))</formula>
    </cfRule>
    <cfRule type="expression" dxfId="1266" priority="26">
      <formula>AND($E102 &lt; 0, ISNUMBER($E102))</formula>
    </cfRule>
  </conditionalFormatting>
  <conditionalFormatting sqref="D100:F101 E112:F112">
    <cfRule type="expression" dxfId="1265" priority="17">
      <formula>$E$112&gt;0</formula>
    </cfRule>
    <cfRule type="expression" dxfId="1264" priority="18">
      <formula>$E$112&lt;0</formula>
    </cfRule>
  </conditionalFormatting>
  <conditionalFormatting sqref="G100:I101 H112:I112">
    <cfRule type="expression" dxfId="1263" priority="15">
      <formula>$H$112&gt;0</formula>
    </cfRule>
    <cfRule type="expression" dxfId="1262" priority="16">
      <formula>$H$112&lt;0</formula>
    </cfRule>
  </conditionalFormatting>
  <conditionalFormatting sqref="J100:L101 K112:L112">
    <cfRule type="expression" dxfId="1261" priority="13">
      <formula>$K$112&gt;0</formula>
    </cfRule>
    <cfRule type="expression" dxfId="1260" priority="14">
      <formula>$K$112&lt;0</formula>
    </cfRule>
  </conditionalFormatting>
  <conditionalFormatting sqref="M100:O101 N112:O112">
    <cfRule type="expression" dxfId="1259" priority="11">
      <formula>$N$112&gt;0</formula>
    </cfRule>
    <cfRule type="expression" dxfId="1258" priority="12">
      <formula>$N$112&lt;0</formula>
    </cfRule>
  </conditionalFormatting>
  <conditionalFormatting sqref="G2:I3">
    <cfRule type="expression" dxfId="125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5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5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5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5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5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5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5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4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4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44295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99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98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06"/>
      <c r="R16" s="207"/>
    </row>
    <row r="17" spans="1:18" ht="17.25" customHeight="1">
      <c r="A17" s="39" t="s">
        <v>150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04"/>
      <c r="R17" s="205"/>
    </row>
    <row r="18" spans="1:18" ht="17.25" customHeight="1">
      <c r="A18" s="40" t="s">
        <v>121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04"/>
      <c r="R18" s="205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04"/>
      <c r="R19" s="205"/>
    </row>
    <row r="20" spans="1:18" ht="17.25" customHeight="1">
      <c r="A20" s="40" t="s">
        <v>118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04"/>
      <c r="R20" s="205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04"/>
      <c r="R21" s="205"/>
    </row>
    <row r="22" spans="1:18" ht="17.25" customHeight="1">
      <c r="A22" s="40" t="s">
        <v>145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04"/>
      <c r="R22" s="205"/>
    </row>
    <row r="23" spans="1:18" ht="17.25" customHeight="1">
      <c r="A23" s="40" t="s">
        <v>126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04"/>
      <c r="R23" s="205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04"/>
      <c r="R24" s="205"/>
    </row>
    <row r="25" spans="1:18" ht="17.25" customHeight="1">
      <c r="A25" s="40" t="s">
        <v>137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06"/>
      <c r="R25" s="207"/>
    </row>
    <row r="26" spans="1:18" ht="17.25" customHeight="1" thickBot="1">
      <c r="A26" s="42" t="s">
        <v>130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98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31"/>
      <c r="R33" s="232"/>
    </row>
    <row r="34" spans="1:18" ht="17.25" customHeight="1">
      <c r="A34" s="9" t="s">
        <v>152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29"/>
      <c r="R34" s="230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29"/>
      <c r="R35" s="23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98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31"/>
      <c r="R50" s="232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29"/>
      <c r="R51" s="230"/>
    </row>
    <row r="52" spans="1:18" ht="17.25" customHeight="1">
      <c r="A52" s="11" t="s">
        <v>126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29"/>
      <c r="R52" s="230"/>
    </row>
    <row r="53" spans="1:18" ht="17.25" customHeight="1">
      <c r="A53" s="11" t="s">
        <v>137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29"/>
      <c r="R53" s="230"/>
    </row>
    <row r="54" spans="1:18" ht="17.25" customHeight="1">
      <c r="A54" s="11" t="s">
        <v>135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29"/>
      <c r="R54" s="230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29"/>
      <c r="R55" s="230"/>
    </row>
    <row r="56" spans="1:18" ht="17.25" customHeight="1">
      <c r="A56" s="11" t="s">
        <v>139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29"/>
      <c r="R56" s="230"/>
    </row>
    <row r="57" spans="1:18" ht="17.25" customHeight="1">
      <c r="A57" s="11" t="s">
        <v>108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29"/>
      <c r="R57" s="230"/>
    </row>
    <row r="58" spans="1:18" ht="17.25" customHeight="1">
      <c r="A58" s="11" t="s">
        <v>122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29"/>
      <c r="R58" s="230"/>
    </row>
    <row r="59" spans="1:18" ht="17.25" customHeight="1">
      <c r="A59" s="11" t="s">
        <v>140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31"/>
      <c r="R59" s="232"/>
    </row>
    <row r="60" spans="1:18" ht="17.25" customHeight="1" thickBot="1">
      <c r="A60" s="13" t="s">
        <v>149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98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31"/>
      <c r="R67" s="232"/>
    </row>
    <row r="68" spans="1:18" ht="17.25" customHeight="1">
      <c r="A68" s="9" t="s">
        <v>114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29"/>
      <c r="R68" s="230"/>
    </row>
    <row r="69" spans="1:18" ht="17.25" customHeight="1">
      <c r="A69" s="11" t="s">
        <v>148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29"/>
      <c r="R69" s="230"/>
    </row>
    <row r="70" spans="1:18" ht="17.25" customHeight="1">
      <c r="A70" s="11" t="s">
        <v>128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29"/>
      <c r="R70" s="230"/>
    </row>
    <row r="71" spans="1:18" ht="17.25" customHeight="1">
      <c r="A71" s="11" t="s">
        <v>142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29"/>
      <c r="R71" s="230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29"/>
      <c r="R72" s="230"/>
    </row>
    <row r="73" spans="1:18" ht="17.25" customHeight="1">
      <c r="A73" s="11" t="s">
        <v>168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29"/>
      <c r="R73" s="230"/>
    </row>
    <row r="74" spans="1:18" ht="17.25" customHeight="1">
      <c r="A74" s="11" t="s">
        <v>170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29"/>
      <c r="R74" s="230"/>
    </row>
    <row r="75" spans="1:18" ht="17.25" customHeight="1">
      <c r="A75" s="11" t="s">
        <v>174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29"/>
      <c r="R75" s="230"/>
    </row>
    <row r="76" spans="1:18" ht="17.25" customHeight="1">
      <c r="A76" s="11" t="s">
        <v>120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31"/>
      <c r="R76" s="232"/>
    </row>
    <row r="77" spans="1:18" ht="17.25" customHeight="1" thickBot="1">
      <c r="A77" s="13" t="s">
        <v>177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98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31"/>
      <c r="R84" s="232"/>
    </row>
    <row r="85" spans="1:18" ht="17.25" customHeight="1">
      <c r="A85" s="9" t="s">
        <v>130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29"/>
      <c r="R85" s="230"/>
    </row>
    <row r="86" spans="1:18" ht="17.25" customHeight="1">
      <c r="A86" s="11" t="s">
        <v>116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29"/>
      <c r="R86" s="230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29"/>
      <c r="R87" s="230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29"/>
      <c r="R88" s="230"/>
    </row>
    <row r="89" spans="1:18" ht="17.25" customHeight="1">
      <c r="A89" s="8" t="s">
        <v>115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29"/>
      <c r="R89" s="230"/>
    </row>
    <row r="90" spans="1:18" ht="17.25" customHeight="1">
      <c r="A90" s="11" t="s">
        <v>167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29"/>
      <c r="R90" s="230"/>
    </row>
    <row r="91" spans="1:18" ht="17.25" customHeight="1">
      <c r="A91" s="11" t="s">
        <v>127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29"/>
      <c r="R91" s="230"/>
    </row>
    <row r="92" spans="1:18" ht="17.25" customHeight="1">
      <c r="A92" s="11" t="s">
        <v>125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29"/>
      <c r="R92" s="230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31"/>
      <c r="R93" s="232"/>
    </row>
    <row r="94" spans="1:18" ht="17.25" customHeight="1" thickBot="1">
      <c r="A94" s="13" t="s">
        <v>112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98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31"/>
      <c r="R101" s="232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29"/>
      <c r="R102" s="230"/>
    </row>
    <row r="103" spans="1:18" ht="17.25" customHeight="1">
      <c r="A103" s="11" t="s">
        <v>150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29"/>
      <c r="R103" s="230"/>
    </row>
    <row r="104" spans="1:18" ht="17.25" customHeight="1">
      <c r="A104" s="11" t="s">
        <v>121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29"/>
      <c r="R104" s="230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29"/>
      <c r="R105" s="230"/>
    </row>
    <row r="106" spans="1:18" ht="17.25" customHeight="1">
      <c r="A106" s="8" t="s">
        <v>118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29"/>
      <c r="R106" s="230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29"/>
      <c r="R107" s="230"/>
    </row>
    <row r="108" spans="1:18" ht="17.25" customHeight="1">
      <c r="A108" s="11" t="s">
        <v>145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29"/>
      <c r="R108" s="230"/>
    </row>
    <row r="109" spans="1:18" ht="17.25" customHeight="1">
      <c r="A109" s="11" t="s">
        <v>126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29"/>
      <c r="R109" s="230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31"/>
      <c r="R110" s="232"/>
    </row>
    <row r="111" spans="1:18" ht="17.25" customHeight="1" thickBot="1">
      <c r="A111" s="13" t="s">
        <v>137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247" priority="89">
      <formula>$E$27&gt;0</formula>
    </cfRule>
    <cfRule type="expression" dxfId="1246" priority="90">
      <formula>$E$27&lt;0</formula>
    </cfRule>
  </conditionalFormatting>
  <conditionalFormatting sqref="G15:I16 H27:I27">
    <cfRule type="expression" dxfId="1245" priority="87">
      <formula>$H$27&gt;0</formula>
    </cfRule>
    <cfRule type="expression" dxfId="1244" priority="88">
      <formula>$H$27&lt;0</formula>
    </cfRule>
  </conditionalFormatting>
  <conditionalFormatting sqref="J15:L16 K27:L27">
    <cfRule type="expression" dxfId="1243" priority="85">
      <formula>$K$27&gt;0</formula>
    </cfRule>
    <cfRule type="expression" dxfId="1242" priority="86">
      <formula>$K$27&lt;0</formula>
    </cfRule>
  </conditionalFormatting>
  <conditionalFormatting sqref="M15:O16 N27:O27">
    <cfRule type="expression" dxfId="1241" priority="83">
      <formula>$N$27&gt;0</formula>
    </cfRule>
    <cfRule type="expression" dxfId="1240" priority="84">
      <formula>$N$27&lt;0</formula>
    </cfRule>
  </conditionalFormatting>
  <conditionalFormatting sqref="A17:O26 A34:O43">
    <cfRule type="expression" dxfId="1239" priority="91">
      <formula>AND($N17 &gt; 0, ISNUMBER($N17))</formula>
    </cfRule>
    <cfRule type="expression" dxfId="1238" priority="92">
      <formula>AND($N17 &lt; 0, ISNUMBER($N17))</formula>
    </cfRule>
    <cfRule type="expression" dxfId="1237" priority="93">
      <formula>AND($K17 &gt; 0, ISNUMBER($K17))</formula>
    </cfRule>
    <cfRule type="expression" dxfId="1236" priority="94">
      <formula>AND($K17 &lt; 0, ISNUMBER($K17))</formula>
    </cfRule>
    <cfRule type="expression" dxfId="1235" priority="95">
      <formula>AND($H17 &gt; 0, ISNUMBER($H17))</formula>
    </cfRule>
    <cfRule type="expression" dxfId="1234" priority="96">
      <formula>AND($H17 &lt; 0, ISNUMBER($H17))</formula>
    </cfRule>
    <cfRule type="expression" dxfId="1233" priority="97">
      <formula>AND($E17 &gt; 0, ISNUMBER($E17))</formula>
    </cfRule>
    <cfRule type="expression" dxfId="1232" priority="98">
      <formula>AND($E17 &lt; 0, ISNUMBER($E17))</formula>
    </cfRule>
  </conditionalFormatting>
  <conditionalFormatting sqref="D32:F33 E44:F44">
    <cfRule type="expression" dxfId="1231" priority="81">
      <formula>$E$44&gt;0</formula>
    </cfRule>
    <cfRule type="expression" dxfId="1230" priority="82">
      <formula>$E$44&lt;0</formula>
    </cfRule>
  </conditionalFormatting>
  <conditionalFormatting sqref="G32:I33 H44:I44">
    <cfRule type="expression" dxfId="1229" priority="79">
      <formula>$H$44&gt;0</formula>
    </cfRule>
    <cfRule type="expression" dxfId="1228" priority="80">
      <formula>$H$44&lt;0</formula>
    </cfRule>
  </conditionalFormatting>
  <conditionalFormatting sqref="J32:L33 K44:L44">
    <cfRule type="expression" dxfId="1227" priority="77">
      <formula>$K$44&gt;0</formula>
    </cfRule>
    <cfRule type="expression" dxfId="1226" priority="78">
      <formula>$K$44&lt;0</formula>
    </cfRule>
  </conditionalFormatting>
  <conditionalFormatting sqref="M32:O33 N44:O44">
    <cfRule type="expression" dxfId="1225" priority="75">
      <formula>$N$44&gt;0</formula>
    </cfRule>
    <cfRule type="expression" dxfId="1224" priority="76">
      <formula>$N$44&lt;0</formula>
    </cfRule>
  </conditionalFormatting>
  <conditionalFormatting sqref="A51:O60">
    <cfRule type="expression" dxfId="1223" priority="67">
      <formula>AND($N51 &gt; 0, ISNUMBER($N51))</formula>
    </cfRule>
    <cfRule type="expression" dxfId="1222" priority="68">
      <formula>AND($N51 &lt; 0, ISNUMBER($N51))</formula>
    </cfRule>
    <cfRule type="expression" dxfId="1221" priority="69">
      <formula>AND($K51 &gt; 0, ISNUMBER($K51))</formula>
    </cfRule>
    <cfRule type="expression" dxfId="1220" priority="70">
      <formula>AND($K51 &lt; 0, ISNUMBER($K51))</formula>
    </cfRule>
    <cfRule type="expression" dxfId="1219" priority="71">
      <formula>AND($H51 &gt; 0, ISNUMBER($H51))</formula>
    </cfRule>
    <cfRule type="expression" dxfId="1218" priority="72">
      <formula>AND($H51 &lt; 0, ISNUMBER($H51))</formula>
    </cfRule>
    <cfRule type="expression" dxfId="1217" priority="73">
      <formula>AND($E51 &gt; 0, ISNUMBER($E51))</formula>
    </cfRule>
    <cfRule type="expression" dxfId="1216" priority="74">
      <formula>AND($E51 &lt; 0, ISNUMBER($E51))</formula>
    </cfRule>
  </conditionalFormatting>
  <conditionalFormatting sqref="D49:F50 E61:F61">
    <cfRule type="expression" dxfId="1215" priority="65">
      <formula>$E$61&gt;0</formula>
    </cfRule>
    <cfRule type="expression" dxfId="1214" priority="66">
      <formula>$E$61&lt;0</formula>
    </cfRule>
  </conditionalFormatting>
  <conditionalFormatting sqref="G49:I50 H61:I61">
    <cfRule type="expression" dxfId="1213" priority="63">
      <formula>$H$61&gt;0</formula>
    </cfRule>
    <cfRule type="expression" dxfId="1212" priority="64">
      <formula>$H$61&lt;0</formula>
    </cfRule>
  </conditionalFormatting>
  <conditionalFormatting sqref="J49:L50 K61:L61">
    <cfRule type="expression" dxfId="1211" priority="61">
      <formula>$K$61&gt;0</formula>
    </cfRule>
    <cfRule type="expression" dxfId="1210" priority="62">
      <formula>$K$61&lt;0</formula>
    </cfRule>
  </conditionalFormatting>
  <conditionalFormatting sqref="M49:O50 N61:O61">
    <cfRule type="expression" dxfId="1209" priority="59">
      <formula>$N$61&gt;0</formula>
    </cfRule>
    <cfRule type="expression" dxfId="1208" priority="60">
      <formula>$N$61&lt;0</formula>
    </cfRule>
  </conditionalFormatting>
  <conditionalFormatting sqref="A68:O77">
    <cfRule type="expression" dxfId="1207" priority="51">
      <formula>AND($N68 &gt; 0, ISNUMBER($N68))</formula>
    </cfRule>
    <cfRule type="expression" dxfId="1206" priority="52">
      <formula>AND($N68 &lt; 0, ISNUMBER($N68))</formula>
    </cfRule>
    <cfRule type="expression" dxfId="1205" priority="53">
      <formula>AND($K68 &gt; 0, ISNUMBER($K68))</formula>
    </cfRule>
    <cfRule type="expression" dxfId="1204" priority="54">
      <formula>AND($K68 &lt; 0, ISNUMBER($K68))</formula>
    </cfRule>
    <cfRule type="expression" dxfId="1203" priority="55">
      <formula>AND($H68 &gt; 0, ISNUMBER($H68))</formula>
    </cfRule>
    <cfRule type="expression" dxfId="1202" priority="56">
      <formula>AND($H68 &lt; 0, ISNUMBER($H68))</formula>
    </cfRule>
    <cfRule type="expression" dxfId="1201" priority="57">
      <formula>AND($E68 &gt; 0, ISNUMBER($E68))</formula>
    </cfRule>
    <cfRule type="expression" dxfId="1200" priority="58">
      <formula>AND($E68 &lt; 0, ISNUMBER($E68))</formula>
    </cfRule>
  </conditionalFormatting>
  <conditionalFormatting sqref="D66:F67 E78:F78">
    <cfRule type="expression" dxfId="1199" priority="49">
      <formula>$E$78&gt;0</formula>
    </cfRule>
    <cfRule type="expression" dxfId="1198" priority="50">
      <formula>$E$78&lt;0</formula>
    </cfRule>
  </conditionalFormatting>
  <conditionalFormatting sqref="G66:I67 H78:I78">
    <cfRule type="expression" dxfId="1197" priority="47">
      <formula>$H$78&gt;0</formula>
    </cfRule>
    <cfRule type="expression" dxfId="1196" priority="48">
      <formula>$H$78&lt;0</formula>
    </cfRule>
  </conditionalFormatting>
  <conditionalFormatting sqref="J66:L67 K78:L78">
    <cfRule type="expression" dxfId="1195" priority="45">
      <formula>$K$78&gt;0</formula>
    </cfRule>
    <cfRule type="expression" dxfId="1194" priority="46">
      <formula>$K$78&lt;0</formula>
    </cfRule>
  </conditionalFormatting>
  <conditionalFormatting sqref="M66:O67 N78:O78">
    <cfRule type="expression" dxfId="1193" priority="43">
      <formula>$N$78&gt;0</formula>
    </cfRule>
    <cfRule type="expression" dxfId="1192" priority="44">
      <formula>$N$78&lt;0</formula>
    </cfRule>
  </conditionalFormatting>
  <conditionalFormatting sqref="A85:O94">
    <cfRule type="expression" dxfId="1191" priority="35">
      <formula>AND($N85 &gt; 0, ISNUMBER($N85))</formula>
    </cfRule>
    <cfRule type="expression" dxfId="1190" priority="36">
      <formula>AND($N85 &lt; 0, ISNUMBER($N85))</formula>
    </cfRule>
    <cfRule type="expression" dxfId="1189" priority="37">
      <formula>AND($K85 &gt; 0, ISNUMBER($K85))</formula>
    </cfRule>
    <cfRule type="expression" dxfId="1188" priority="38">
      <formula>AND($K85 &lt; 0, ISNUMBER($K85))</formula>
    </cfRule>
    <cfRule type="expression" dxfId="1187" priority="39">
      <formula>AND($H85 &gt; 0, ISNUMBER($H85))</formula>
    </cfRule>
    <cfRule type="expression" dxfId="1186" priority="40">
      <formula>AND($H85 &lt; 0, ISNUMBER($H85))</formula>
    </cfRule>
    <cfRule type="expression" dxfId="1185" priority="41">
      <formula>AND($E85 &gt; 0, ISNUMBER($E85))</formula>
    </cfRule>
    <cfRule type="expression" dxfId="1184" priority="42">
      <formula>AND($E85 &lt; 0, ISNUMBER($E85))</formula>
    </cfRule>
  </conditionalFormatting>
  <conditionalFormatting sqref="D83:F84 E95:F95">
    <cfRule type="expression" dxfId="1183" priority="33">
      <formula>$E$95&gt;0</formula>
    </cfRule>
    <cfRule type="expression" dxfId="1182" priority="34">
      <formula>$E$95&lt;0</formula>
    </cfRule>
  </conditionalFormatting>
  <conditionalFormatting sqref="G83:I84 H95:I95">
    <cfRule type="expression" dxfId="1181" priority="31">
      <formula>$H$95&gt;0</formula>
    </cfRule>
    <cfRule type="expression" dxfId="1180" priority="32">
      <formula>$H$95&lt;0</formula>
    </cfRule>
  </conditionalFormatting>
  <conditionalFormatting sqref="J83:L84 K95:L95">
    <cfRule type="expression" dxfId="1179" priority="29">
      <formula>$K$95&gt;0</formula>
    </cfRule>
    <cfRule type="expression" dxfId="1178" priority="30">
      <formula>$K$95&lt;0</formula>
    </cfRule>
  </conditionalFormatting>
  <conditionalFormatting sqref="M83:O84 N95:O95">
    <cfRule type="expression" dxfId="1177" priority="27">
      <formula>$N$95&gt;0</formula>
    </cfRule>
    <cfRule type="expression" dxfId="1176" priority="28">
      <formula>$N$95&lt;0</formula>
    </cfRule>
  </conditionalFormatting>
  <conditionalFormatting sqref="A102:O111">
    <cfRule type="expression" dxfId="1175" priority="19">
      <formula>AND($N102 &gt; 0, ISNUMBER($N102))</formula>
    </cfRule>
    <cfRule type="expression" dxfId="1174" priority="20">
      <formula>AND($N102 &lt; 0, ISNUMBER($N102))</formula>
    </cfRule>
    <cfRule type="expression" dxfId="1173" priority="21">
      <formula>AND($K102 &gt; 0, ISNUMBER($K102))</formula>
    </cfRule>
    <cfRule type="expression" dxfId="1172" priority="22">
      <formula>AND($K102 &lt; 0, ISNUMBER($K102))</formula>
    </cfRule>
    <cfRule type="expression" dxfId="1171" priority="23">
      <formula>AND($H102 &gt; 0, ISNUMBER($H102))</formula>
    </cfRule>
    <cfRule type="expression" dxfId="1170" priority="24">
      <formula>AND($H102 &lt; 0, ISNUMBER($H102))</formula>
    </cfRule>
    <cfRule type="expression" dxfId="1169" priority="25">
      <formula>AND($E102 &gt; 0, ISNUMBER($E102))</formula>
    </cfRule>
    <cfRule type="expression" dxfId="1168" priority="26">
      <formula>AND($E102 &lt; 0, ISNUMBER($E102))</formula>
    </cfRule>
  </conditionalFormatting>
  <conditionalFormatting sqref="D100:F101 E112:F112">
    <cfRule type="expression" dxfId="1167" priority="17">
      <formula>$E$112&gt;0</formula>
    </cfRule>
    <cfRule type="expression" dxfId="1166" priority="18">
      <formula>$E$112&lt;0</formula>
    </cfRule>
  </conditionalFormatting>
  <conditionalFormatting sqref="G100:I101 H112:I112">
    <cfRule type="expression" dxfId="1165" priority="15">
      <formula>$H$112&gt;0</formula>
    </cfRule>
    <cfRule type="expression" dxfId="1164" priority="16">
      <formula>$H$112&lt;0</formula>
    </cfRule>
  </conditionalFormatting>
  <conditionalFormatting sqref="J100:L101 K112:L112">
    <cfRule type="expression" dxfId="1163" priority="13">
      <formula>$K$112&gt;0</formula>
    </cfRule>
    <cfRule type="expression" dxfId="1162" priority="14">
      <formula>$K$112&lt;0</formula>
    </cfRule>
  </conditionalFormatting>
  <conditionalFormatting sqref="M100:O101 N112:O112">
    <cfRule type="expression" dxfId="1161" priority="11">
      <formula>$N$112&gt;0</formula>
    </cfRule>
    <cfRule type="expression" dxfId="1160" priority="12">
      <formula>$N$112&lt;0</formula>
    </cfRule>
  </conditionalFormatting>
  <conditionalFormatting sqref="G2:I3">
    <cfRule type="expression" dxfId="115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5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5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5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5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5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5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5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5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5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44296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14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09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06"/>
      <c r="R16" s="207"/>
    </row>
    <row r="17" spans="1:18" ht="17.25" customHeight="1">
      <c r="A17" s="39" t="s">
        <v>141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04"/>
      <c r="R17" s="205"/>
    </row>
    <row r="18" spans="1:18" ht="17.25" customHeight="1">
      <c r="A18" s="40" t="s">
        <v>156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04"/>
      <c r="R18" s="205"/>
    </row>
    <row r="19" spans="1:18" ht="17.25" customHeight="1">
      <c r="A19" s="40" t="s">
        <v>177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04"/>
      <c r="R19" s="205"/>
    </row>
    <row r="20" spans="1:18" ht="17.25" customHeight="1">
      <c r="A20" s="40" t="s">
        <v>146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04"/>
      <c r="R20" s="205"/>
    </row>
    <row r="21" spans="1:18" ht="17.25" customHeight="1">
      <c r="A21" s="41" t="s">
        <v>179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04"/>
      <c r="R21" s="205"/>
    </row>
    <row r="22" spans="1:18" ht="17.25" customHeight="1">
      <c r="A22" s="40" t="s">
        <v>200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04"/>
      <c r="R22" s="205"/>
    </row>
    <row r="23" spans="1:18" ht="17.25" customHeight="1">
      <c r="A23" s="40" t="s">
        <v>172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04"/>
      <c r="R23" s="205"/>
    </row>
    <row r="24" spans="1:18" ht="17.25" customHeight="1">
      <c r="A24" s="40" t="s">
        <v>168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04"/>
      <c r="R24" s="205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06"/>
      <c r="R25" s="207"/>
    </row>
    <row r="26" spans="1:18" ht="17.25" customHeight="1" thickBot="1">
      <c r="A26" s="42" t="s">
        <v>138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09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31"/>
      <c r="R33" s="232"/>
    </row>
    <row r="34" spans="1:18" ht="17.25" customHeight="1">
      <c r="A34" s="9" t="s">
        <v>164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29"/>
      <c r="R34" s="230"/>
    </row>
    <row r="35" spans="1:18" ht="17.25" customHeight="1">
      <c r="A35" s="11" t="s">
        <v>139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29"/>
      <c r="R35" s="230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29"/>
      <c r="R36" s="230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29"/>
      <c r="R37" s="230"/>
    </row>
    <row r="38" spans="1:18" ht="17.25" customHeight="1">
      <c r="A38" s="8" t="s">
        <v>140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29"/>
      <c r="R38" s="230"/>
    </row>
    <row r="39" spans="1:18" ht="17.25" customHeight="1">
      <c r="A39" s="11" t="s">
        <v>149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29"/>
      <c r="R39" s="23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09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31"/>
      <c r="R50" s="232"/>
    </row>
    <row r="51" spans="1:18" ht="17.25" customHeight="1">
      <c r="A51" s="9" t="s">
        <v>135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29"/>
      <c r="R51" s="230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29"/>
      <c r="R52" s="23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09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31"/>
      <c r="R67" s="232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29"/>
      <c r="R68" s="230"/>
    </row>
    <row r="69" spans="1:18" ht="17.25" customHeight="1">
      <c r="A69" s="11" t="s">
        <v>116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29"/>
      <c r="R69" s="230"/>
    </row>
    <row r="70" spans="1:18" ht="17.25" customHeight="1">
      <c r="A70" s="11" t="s">
        <v>129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29"/>
      <c r="R70" s="230"/>
    </row>
    <row r="71" spans="1:18" ht="17.25" customHeight="1">
      <c r="A71" s="11" t="s">
        <v>124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29"/>
      <c r="R71" s="230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29"/>
      <c r="R72" s="230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29"/>
      <c r="R73" s="230"/>
    </row>
    <row r="74" spans="1:18" ht="17.25" customHeight="1">
      <c r="A74" s="11" t="s">
        <v>112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29"/>
      <c r="R74" s="230"/>
    </row>
    <row r="75" spans="1:18" ht="17.25" customHeight="1">
      <c r="A75" s="11" t="s">
        <v>127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29"/>
      <c r="R75" s="230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31"/>
      <c r="R76" s="232"/>
    </row>
    <row r="77" spans="1:18" ht="17.25" customHeight="1" thickBot="1">
      <c r="A77" s="13" t="s">
        <v>131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09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31"/>
      <c r="R84" s="232"/>
    </row>
    <row r="85" spans="1:18" ht="17.25" customHeight="1">
      <c r="A85" s="9" t="s">
        <v>146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29"/>
      <c r="R85" s="230"/>
    </row>
    <row r="86" spans="1:18" ht="17.25" customHeight="1">
      <c r="A86" s="11" t="s">
        <v>172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29"/>
      <c r="R86" s="230"/>
    </row>
    <row r="87" spans="1:18" ht="17.25" customHeight="1">
      <c r="A87" s="11" t="s">
        <v>168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29"/>
      <c r="R87" s="230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29"/>
      <c r="R88" s="230"/>
    </row>
    <row r="89" spans="1:18" ht="17.25" customHeight="1">
      <c r="A89" s="8" t="s">
        <v>138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29"/>
      <c r="R89" s="230"/>
    </row>
    <row r="90" spans="1:18" ht="17.25" customHeight="1">
      <c r="A90" s="11" t="s">
        <v>158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29"/>
      <c r="R90" s="230"/>
    </row>
    <row r="91" spans="1:18" ht="17.25" customHeight="1">
      <c r="A91" s="11" t="s">
        <v>167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29"/>
      <c r="R91" s="230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29"/>
      <c r="R92" s="230"/>
    </row>
    <row r="93" spans="1:18" ht="17.25" customHeight="1">
      <c r="A93" s="11" t="s">
        <v>115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09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31"/>
      <c r="R101" s="232"/>
    </row>
    <row r="102" spans="1:18" ht="17.25" customHeight="1">
      <c r="A102" s="9" t="s">
        <v>175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29"/>
      <c r="R102" s="230"/>
    </row>
    <row r="103" spans="1:18" ht="17.25" customHeight="1">
      <c r="A103" s="11" t="s">
        <v>174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29"/>
      <c r="R103" s="230"/>
    </row>
    <row r="104" spans="1:18" ht="17.25" customHeight="1">
      <c r="A104" s="11" t="s">
        <v>173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29"/>
      <c r="R104" s="230"/>
    </row>
    <row r="105" spans="1:18" ht="17.25" customHeight="1">
      <c r="A105" s="11" t="s">
        <v>182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29"/>
      <c r="R105" s="230"/>
    </row>
    <row r="106" spans="1:18" ht="17.25" customHeight="1">
      <c r="A106" s="8" t="s">
        <v>165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29"/>
      <c r="R106" s="230"/>
    </row>
    <row r="107" spans="1:18" ht="17.25" customHeight="1">
      <c r="A107" s="11" t="s">
        <v>141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29"/>
      <c r="R107" s="230"/>
    </row>
    <row r="108" spans="1:18" ht="17.25" customHeight="1">
      <c r="A108" s="11" t="s">
        <v>156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29"/>
      <c r="R108" s="230"/>
    </row>
    <row r="109" spans="1:18" ht="17.25" customHeight="1">
      <c r="A109" s="11" t="s">
        <v>177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29"/>
      <c r="R109" s="230"/>
    </row>
    <row r="110" spans="1:18" ht="17.25" customHeight="1">
      <c r="A110" s="11" t="s">
        <v>146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31"/>
      <c r="R110" s="232"/>
    </row>
    <row r="111" spans="1:18" ht="17.25" customHeight="1" thickBot="1">
      <c r="A111" s="13" t="s">
        <v>179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33"/>
      <c r="R112" s="23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149" priority="89">
      <formula>$E$27&gt;0</formula>
    </cfRule>
    <cfRule type="expression" dxfId="1148" priority="90">
      <formula>$E$27&lt;0</formula>
    </cfRule>
  </conditionalFormatting>
  <conditionalFormatting sqref="G15:I16 H27:I27">
    <cfRule type="expression" dxfId="1147" priority="87">
      <formula>$H$27&gt;0</formula>
    </cfRule>
    <cfRule type="expression" dxfId="1146" priority="88">
      <formula>$H$27&lt;0</formula>
    </cfRule>
  </conditionalFormatting>
  <conditionalFormatting sqref="J15:L16 K27:L27">
    <cfRule type="expression" dxfId="1145" priority="85">
      <formula>$K$27&gt;0</formula>
    </cfRule>
    <cfRule type="expression" dxfId="1144" priority="86">
      <formula>$K$27&lt;0</formula>
    </cfRule>
  </conditionalFormatting>
  <conditionalFormatting sqref="M15:O16 N27:O27">
    <cfRule type="expression" dxfId="1143" priority="83">
      <formula>$N$27&gt;0</formula>
    </cfRule>
    <cfRule type="expression" dxfId="1142" priority="84">
      <formula>$N$27&lt;0</formula>
    </cfRule>
  </conditionalFormatting>
  <conditionalFormatting sqref="A17:O26 A34:O43">
    <cfRule type="expression" dxfId="1141" priority="91">
      <formula>AND($N17 &gt; 0, ISNUMBER($N17))</formula>
    </cfRule>
    <cfRule type="expression" dxfId="1140" priority="92">
      <formula>AND($N17 &lt; 0, ISNUMBER($N17))</formula>
    </cfRule>
    <cfRule type="expression" dxfId="1139" priority="93">
      <formula>AND($K17 &gt; 0, ISNUMBER($K17))</formula>
    </cfRule>
    <cfRule type="expression" dxfId="1138" priority="94">
      <formula>AND($K17 &lt; 0, ISNUMBER($K17))</formula>
    </cfRule>
    <cfRule type="expression" dxfId="1137" priority="95">
      <formula>AND($H17 &gt; 0, ISNUMBER($H17))</formula>
    </cfRule>
    <cfRule type="expression" dxfId="1136" priority="96">
      <formula>AND($H17 &lt; 0, ISNUMBER($H17))</formula>
    </cfRule>
    <cfRule type="expression" dxfId="1135" priority="97">
      <formula>AND($E17 &gt; 0, ISNUMBER($E17))</formula>
    </cfRule>
    <cfRule type="expression" dxfId="1134" priority="98">
      <formula>AND($E17 &lt; 0, ISNUMBER($E17))</formula>
    </cfRule>
  </conditionalFormatting>
  <conditionalFormatting sqref="D32:F33 E44:F44">
    <cfRule type="expression" dxfId="1133" priority="81">
      <formula>$E$44&gt;0</formula>
    </cfRule>
    <cfRule type="expression" dxfId="1132" priority="82">
      <formula>$E$44&lt;0</formula>
    </cfRule>
  </conditionalFormatting>
  <conditionalFormatting sqref="G32:I33 H44:I44">
    <cfRule type="expression" dxfId="1131" priority="79">
      <formula>$H$44&gt;0</formula>
    </cfRule>
    <cfRule type="expression" dxfId="1130" priority="80">
      <formula>$H$44&lt;0</formula>
    </cfRule>
  </conditionalFormatting>
  <conditionalFormatting sqref="J32:L33 K44:L44">
    <cfRule type="expression" dxfId="1129" priority="77">
      <formula>$K$44&gt;0</formula>
    </cfRule>
    <cfRule type="expression" dxfId="1128" priority="78">
      <formula>$K$44&lt;0</formula>
    </cfRule>
  </conditionalFormatting>
  <conditionalFormatting sqref="M32:O33 N44:O44">
    <cfRule type="expression" dxfId="1127" priority="75">
      <formula>$N$44&gt;0</formula>
    </cfRule>
    <cfRule type="expression" dxfId="1126" priority="76">
      <formula>$N$44&lt;0</formula>
    </cfRule>
  </conditionalFormatting>
  <conditionalFormatting sqref="A51:O60">
    <cfRule type="expression" dxfId="1125" priority="67">
      <formula>AND($N51 &gt; 0, ISNUMBER($N51))</formula>
    </cfRule>
    <cfRule type="expression" dxfId="1124" priority="68">
      <formula>AND($N51 &lt; 0, ISNUMBER($N51))</formula>
    </cfRule>
    <cfRule type="expression" dxfId="1123" priority="69">
      <formula>AND($K51 &gt; 0, ISNUMBER($K51))</formula>
    </cfRule>
    <cfRule type="expression" dxfId="1122" priority="70">
      <formula>AND($K51 &lt; 0, ISNUMBER($K51))</formula>
    </cfRule>
    <cfRule type="expression" dxfId="1121" priority="71">
      <formula>AND($H51 &gt; 0, ISNUMBER($H51))</formula>
    </cfRule>
    <cfRule type="expression" dxfId="1120" priority="72">
      <formula>AND($H51 &lt; 0, ISNUMBER($H51))</formula>
    </cfRule>
    <cfRule type="expression" dxfId="1119" priority="73">
      <formula>AND($E51 &gt; 0, ISNUMBER($E51))</formula>
    </cfRule>
    <cfRule type="expression" dxfId="1118" priority="74">
      <formula>AND($E51 &lt; 0, ISNUMBER($E51))</formula>
    </cfRule>
  </conditionalFormatting>
  <conditionalFormatting sqref="D49:F50 E61:F61">
    <cfRule type="expression" dxfId="1117" priority="65">
      <formula>$E$61&gt;0</formula>
    </cfRule>
    <cfRule type="expression" dxfId="1116" priority="66">
      <formula>$E$61&lt;0</formula>
    </cfRule>
  </conditionalFormatting>
  <conditionalFormatting sqref="G49:I50 H61:I61">
    <cfRule type="expression" dxfId="1115" priority="63">
      <formula>$H$61&gt;0</formula>
    </cfRule>
    <cfRule type="expression" dxfId="1114" priority="64">
      <formula>$H$61&lt;0</formula>
    </cfRule>
  </conditionalFormatting>
  <conditionalFormatting sqref="J49:L50 K61:L61">
    <cfRule type="expression" dxfId="1113" priority="61">
      <formula>$K$61&gt;0</formula>
    </cfRule>
    <cfRule type="expression" dxfId="1112" priority="62">
      <formula>$K$61&lt;0</formula>
    </cfRule>
  </conditionalFormatting>
  <conditionalFormatting sqref="M49:O50 N61:O61">
    <cfRule type="expression" dxfId="1111" priority="59">
      <formula>$N$61&gt;0</formula>
    </cfRule>
    <cfRule type="expression" dxfId="1110" priority="60">
      <formula>$N$61&lt;0</formula>
    </cfRule>
  </conditionalFormatting>
  <conditionalFormatting sqref="A68:O77">
    <cfRule type="expression" dxfId="1109" priority="51">
      <formula>AND($N68 &gt; 0, ISNUMBER($N68))</formula>
    </cfRule>
    <cfRule type="expression" dxfId="1108" priority="52">
      <formula>AND($N68 &lt; 0, ISNUMBER($N68))</formula>
    </cfRule>
    <cfRule type="expression" dxfId="1107" priority="53">
      <formula>AND($K68 &gt; 0, ISNUMBER($K68))</formula>
    </cfRule>
    <cfRule type="expression" dxfId="1106" priority="54">
      <formula>AND($K68 &lt; 0, ISNUMBER($K68))</formula>
    </cfRule>
    <cfRule type="expression" dxfId="1105" priority="55">
      <formula>AND($H68 &gt; 0, ISNUMBER($H68))</formula>
    </cfRule>
    <cfRule type="expression" dxfId="1104" priority="56">
      <formula>AND($H68 &lt; 0, ISNUMBER($H68))</formula>
    </cfRule>
    <cfRule type="expression" dxfId="1103" priority="57">
      <formula>AND($E68 &gt; 0, ISNUMBER($E68))</formula>
    </cfRule>
    <cfRule type="expression" dxfId="1102" priority="58">
      <formula>AND($E68 &lt; 0, ISNUMBER($E68))</formula>
    </cfRule>
  </conditionalFormatting>
  <conditionalFormatting sqref="D66:F67 E78:F78">
    <cfRule type="expression" dxfId="1101" priority="49">
      <formula>$E$78&gt;0</formula>
    </cfRule>
    <cfRule type="expression" dxfId="1100" priority="50">
      <formula>$E$78&lt;0</formula>
    </cfRule>
  </conditionalFormatting>
  <conditionalFormatting sqref="G66:I67 H78:I78">
    <cfRule type="expression" dxfId="1099" priority="47">
      <formula>$H$78&gt;0</formula>
    </cfRule>
    <cfRule type="expression" dxfId="1098" priority="48">
      <formula>$H$78&lt;0</formula>
    </cfRule>
  </conditionalFormatting>
  <conditionalFormatting sqref="J66:L67 K78:L78">
    <cfRule type="expression" dxfId="1097" priority="45">
      <formula>$K$78&gt;0</formula>
    </cfRule>
    <cfRule type="expression" dxfId="1096" priority="46">
      <formula>$K$78&lt;0</formula>
    </cfRule>
  </conditionalFormatting>
  <conditionalFormatting sqref="M66:O67 N78:O78">
    <cfRule type="expression" dxfId="1095" priority="43">
      <formula>$N$78&gt;0</formula>
    </cfRule>
    <cfRule type="expression" dxfId="1094" priority="44">
      <formula>$N$78&lt;0</formula>
    </cfRule>
  </conditionalFormatting>
  <conditionalFormatting sqref="A85:O94">
    <cfRule type="expression" dxfId="1093" priority="35">
      <formula>AND($N85 &gt; 0, ISNUMBER($N85))</formula>
    </cfRule>
    <cfRule type="expression" dxfId="1092" priority="36">
      <formula>AND($N85 &lt; 0, ISNUMBER($N85))</formula>
    </cfRule>
    <cfRule type="expression" dxfId="1091" priority="37">
      <formula>AND($K85 &gt; 0, ISNUMBER($K85))</formula>
    </cfRule>
    <cfRule type="expression" dxfId="1090" priority="38">
      <formula>AND($K85 &lt; 0, ISNUMBER($K85))</formula>
    </cfRule>
    <cfRule type="expression" dxfId="1089" priority="39">
      <formula>AND($H85 &gt; 0, ISNUMBER($H85))</formula>
    </cfRule>
    <cfRule type="expression" dxfId="1088" priority="40">
      <formula>AND($H85 &lt; 0, ISNUMBER($H85))</formula>
    </cfRule>
    <cfRule type="expression" dxfId="1087" priority="41">
      <formula>AND($E85 &gt; 0, ISNUMBER($E85))</formula>
    </cfRule>
    <cfRule type="expression" dxfId="1086" priority="42">
      <formula>AND($E85 &lt; 0, ISNUMBER($E85))</formula>
    </cfRule>
  </conditionalFormatting>
  <conditionalFormatting sqref="D83:F84 E95:F95">
    <cfRule type="expression" dxfId="1085" priority="33">
      <formula>$E$95&gt;0</formula>
    </cfRule>
    <cfRule type="expression" dxfId="1084" priority="34">
      <formula>$E$95&lt;0</formula>
    </cfRule>
  </conditionalFormatting>
  <conditionalFormatting sqref="G83:I84 H95:I95">
    <cfRule type="expression" dxfId="1083" priority="31">
      <formula>$H$95&gt;0</formula>
    </cfRule>
    <cfRule type="expression" dxfId="1082" priority="32">
      <formula>$H$95&lt;0</formula>
    </cfRule>
  </conditionalFormatting>
  <conditionalFormatting sqref="J83:L84 K95:L95">
    <cfRule type="expression" dxfId="1081" priority="29">
      <formula>$K$95&gt;0</formula>
    </cfRule>
    <cfRule type="expression" dxfId="1080" priority="30">
      <formula>$K$95&lt;0</formula>
    </cfRule>
  </conditionalFormatting>
  <conditionalFormatting sqref="M83:O84 N95:O95">
    <cfRule type="expression" dxfId="1079" priority="27">
      <formula>$N$95&gt;0</formula>
    </cfRule>
    <cfRule type="expression" dxfId="1078" priority="28">
      <formula>$N$95&lt;0</formula>
    </cfRule>
  </conditionalFormatting>
  <conditionalFormatting sqref="A102:O111">
    <cfRule type="expression" dxfId="1077" priority="19">
      <formula>AND($N102 &gt; 0, ISNUMBER($N102))</formula>
    </cfRule>
    <cfRule type="expression" dxfId="1076" priority="20">
      <formula>AND($N102 &lt; 0, ISNUMBER($N102))</formula>
    </cfRule>
    <cfRule type="expression" dxfId="1075" priority="21">
      <formula>AND($K102 &gt; 0, ISNUMBER($K102))</formula>
    </cfRule>
    <cfRule type="expression" dxfId="1074" priority="22">
      <formula>AND($K102 &lt; 0, ISNUMBER($K102))</formula>
    </cfRule>
    <cfRule type="expression" dxfId="1073" priority="23">
      <formula>AND($H102 &gt; 0, ISNUMBER($H102))</formula>
    </cfRule>
    <cfRule type="expression" dxfId="1072" priority="24">
      <formula>AND($H102 &lt; 0, ISNUMBER($H102))</formula>
    </cfRule>
    <cfRule type="expression" dxfId="1071" priority="25">
      <formula>AND($E102 &gt; 0, ISNUMBER($E102))</formula>
    </cfRule>
    <cfRule type="expression" dxfId="1070" priority="26">
      <formula>AND($E102 &lt; 0, ISNUMBER($E102))</formula>
    </cfRule>
  </conditionalFormatting>
  <conditionalFormatting sqref="D100:F101 E112:F112">
    <cfRule type="expression" dxfId="1069" priority="17">
      <formula>$E$112&gt;0</formula>
    </cfRule>
    <cfRule type="expression" dxfId="1068" priority="18">
      <formula>$E$112&lt;0</formula>
    </cfRule>
  </conditionalFormatting>
  <conditionalFormatting sqref="G100:I101 H112:I112">
    <cfRule type="expression" dxfId="1067" priority="15">
      <formula>$H$112&gt;0</formula>
    </cfRule>
    <cfRule type="expression" dxfId="1066" priority="16">
      <formula>$H$112&lt;0</formula>
    </cfRule>
  </conditionalFormatting>
  <conditionalFormatting sqref="J100:L101 K112:L112">
    <cfRule type="expression" dxfId="1065" priority="13">
      <formula>$K$112&gt;0</formula>
    </cfRule>
    <cfRule type="expression" dxfId="1064" priority="14">
      <formula>$K$112&lt;0</formula>
    </cfRule>
  </conditionalFormatting>
  <conditionalFormatting sqref="M100:O101 N112:O112">
    <cfRule type="expression" dxfId="1063" priority="11">
      <formula>$N$112&gt;0</formula>
    </cfRule>
    <cfRule type="expression" dxfId="1062" priority="12">
      <formula>$N$112&lt;0</formula>
    </cfRule>
  </conditionalFormatting>
  <conditionalFormatting sqref="G2:I3">
    <cfRule type="expression" dxfId="106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5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5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5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5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5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5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5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44297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21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16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06"/>
      <c r="R16" s="207"/>
    </row>
    <row r="17" spans="1:18" ht="17.25" customHeight="1">
      <c r="A17" s="39" t="s">
        <v>212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04"/>
      <c r="R17" s="205"/>
    </row>
    <row r="18" spans="1:18" ht="17.25" customHeight="1">
      <c r="A18" s="40" t="s">
        <v>177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04"/>
      <c r="R18" s="205"/>
    </row>
    <row r="19" spans="1:18" ht="17.25" customHeight="1">
      <c r="A19" s="40" t="s">
        <v>148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04"/>
      <c r="R19" s="205"/>
    </row>
    <row r="20" spans="1:18" ht="17.25" customHeight="1">
      <c r="A20" s="40" t="s">
        <v>129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04"/>
      <c r="R20" s="205"/>
    </row>
    <row r="21" spans="1:18" ht="17.25" customHeight="1">
      <c r="A21" s="41" t="s">
        <v>155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04"/>
      <c r="R21" s="205"/>
    </row>
    <row r="22" spans="1:18" ht="17.25" customHeight="1">
      <c r="A22" s="40" t="s">
        <v>168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04"/>
      <c r="R22" s="205"/>
    </row>
    <row r="23" spans="1:18" ht="17.25" customHeight="1">
      <c r="A23" s="40" t="s">
        <v>117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04"/>
      <c r="R23" s="205"/>
    </row>
    <row r="24" spans="1:18" ht="17.25" customHeight="1">
      <c r="A24" s="40" t="s">
        <v>162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04"/>
      <c r="R24" s="205"/>
    </row>
    <row r="25" spans="1:18" ht="17.25" customHeight="1">
      <c r="A25" s="40" t="s">
        <v>141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06"/>
      <c r="R25" s="207"/>
    </row>
    <row r="26" spans="1:18" ht="17.25" customHeight="1" thickBot="1">
      <c r="A26" s="42" t="s">
        <v>198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16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31"/>
      <c r="R33" s="232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29"/>
      <c r="R34" s="230"/>
    </row>
    <row r="35" spans="1:18" ht="17.25" customHeight="1">
      <c r="A35" s="11" t="s">
        <v>149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29"/>
      <c r="R35" s="230"/>
    </row>
    <row r="36" spans="1:18" ht="17.25" customHeight="1">
      <c r="A36" s="11" t="s">
        <v>135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29"/>
      <c r="R36" s="230"/>
    </row>
    <row r="37" spans="1:18" ht="17.25" customHeight="1">
      <c r="A37" s="11" t="s">
        <v>122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29"/>
      <c r="R37" s="230"/>
    </row>
    <row r="38" spans="1:18" ht="17.25" customHeight="1">
      <c r="A38" s="8" t="s">
        <v>152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29"/>
      <c r="R38" s="230"/>
    </row>
    <row r="39" spans="1:18" ht="17.25" customHeight="1">
      <c r="A39" s="11" t="s">
        <v>140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29"/>
      <c r="R39" s="230"/>
    </row>
    <row r="40" spans="1:18" ht="17.25" customHeight="1">
      <c r="A40" s="11" t="s">
        <v>139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29"/>
      <c r="R40" s="230"/>
    </row>
    <row r="41" spans="1:18" ht="17.25" customHeight="1">
      <c r="A41" s="11" t="s">
        <v>108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29"/>
      <c r="R41" s="230"/>
    </row>
    <row r="42" spans="1:18" ht="17.25" customHeight="1">
      <c r="A42" s="11" t="s">
        <v>126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31"/>
      <c r="R42" s="232"/>
    </row>
    <row r="43" spans="1:18" ht="17.25" customHeight="1" thickBot="1">
      <c r="A43" s="13" t="s">
        <v>169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16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31"/>
      <c r="R50" s="232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29"/>
      <c r="R51" s="230"/>
    </row>
    <row r="52" spans="1:18" ht="17.25" customHeight="1">
      <c r="A52" s="11" t="s">
        <v>161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29"/>
      <c r="R52" s="230"/>
    </row>
    <row r="53" spans="1:18" ht="17.25" customHeight="1">
      <c r="A53" s="11" t="s">
        <v>164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29"/>
      <c r="R53" s="230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29"/>
      <c r="R54" s="230"/>
    </row>
    <row r="55" spans="1:18" ht="17.25" customHeight="1">
      <c r="A55" s="8" t="s">
        <v>137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29"/>
      <c r="R55" s="230"/>
    </row>
    <row r="56" spans="1:18" ht="17.25" customHeight="1">
      <c r="A56" s="11" t="s">
        <v>147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16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31"/>
      <c r="R67" s="232"/>
    </row>
    <row r="68" spans="1:18" ht="17.25" customHeight="1">
      <c r="A68" s="9" t="s">
        <v>141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29"/>
      <c r="R68" s="230"/>
    </row>
    <row r="69" spans="1:18" ht="17.25" customHeight="1">
      <c r="A69" s="11" t="s">
        <v>220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29"/>
      <c r="R69" s="230"/>
    </row>
    <row r="70" spans="1:18" ht="17.25" customHeight="1">
      <c r="A70" s="11" t="s">
        <v>178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29"/>
      <c r="R70" s="230"/>
    </row>
    <row r="71" spans="1:18" ht="17.25" customHeight="1">
      <c r="A71" s="11" t="s">
        <v>134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29"/>
      <c r="R71" s="230"/>
    </row>
    <row r="72" spans="1:18" ht="17.25" customHeight="1">
      <c r="A72" s="8" t="s">
        <v>131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29"/>
      <c r="R72" s="230"/>
    </row>
    <row r="73" spans="1:18" ht="17.25" customHeight="1">
      <c r="A73" s="11" t="s">
        <v>116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29"/>
      <c r="R73" s="230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29"/>
      <c r="R74" s="230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29"/>
      <c r="R75" s="230"/>
    </row>
    <row r="76" spans="1:18" ht="17.25" customHeight="1">
      <c r="A76" s="11" t="s">
        <v>119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31"/>
      <c r="R76" s="232"/>
    </row>
    <row r="77" spans="1:18" ht="17.25" customHeight="1" thickBot="1">
      <c r="A77" s="13" t="s">
        <v>166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16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31"/>
      <c r="R84" s="232"/>
    </row>
    <row r="85" spans="1:18" ht="17.25" customHeight="1">
      <c r="A85" s="9" t="s">
        <v>177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29"/>
      <c r="R85" s="230"/>
    </row>
    <row r="86" spans="1:18" ht="17.25" customHeight="1">
      <c r="A86" s="11" t="s">
        <v>148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29"/>
      <c r="R86" s="230"/>
    </row>
    <row r="87" spans="1:18" ht="17.25" customHeight="1">
      <c r="A87" s="11" t="s">
        <v>129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29"/>
      <c r="R87" s="230"/>
    </row>
    <row r="88" spans="1:18" ht="17.25" customHeight="1">
      <c r="A88" s="11" t="s">
        <v>168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29"/>
      <c r="R88" s="23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16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31"/>
      <c r="R101" s="232"/>
    </row>
    <row r="102" spans="1:18" ht="17.25" customHeight="1">
      <c r="A102" s="9" t="s">
        <v>212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29"/>
      <c r="R102" s="230"/>
    </row>
    <row r="103" spans="1:18" ht="17.25" customHeight="1">
      <c r="A103" s="11" t="s">
        <v>177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29"/>
      <c r="R103" s="230"/>
    </row>
    <row r="104" spans="1:18" ht="17.25" customHeight="1">
      <c r="A104" s="11" t="s">
        <v>148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29"/>
      <c r="R104" s="230"/>
    </row>
    <row r="105" spans="1:18" ht="17.25" customHeight="1">
      <c r="A105" s="11" t="s">
        <v>129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29"/>
      <c r="R105" s="230"/>
    </row>
    <row r="106" spans="1:18" ht="17.25" customHeight="1">
      <c r="A106" s="8" t="s">
        <v>155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29"/>
      <c r="R106" s="230"/>
    </row>
    <row r="107" spans="1:18" ht="17.25" customHeight="1">
      <c r="A107" s="11" t="s">
        <v>168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29"/>
      <c r="R107" s="230"/>
    </row>
    <row r="108" spans="1:18" ht="17.25" customHeight="1">
      <c r="A108" s="11" t="s">
        <v>117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29"/>
      <c r="R108" s="230"/>
    </row>
    <row r="109" spans="1:18" ht="17.25" customHeight="1">
      <c r="A109" s="11" t="s">
        <v>162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29"/>
      <c r="R109" s="230"/>
    </row>
    <row r="110" spans="1:18" ht="17.25" customHeight="1">
      <c r="A110" s="11" t="s">
        <v>141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31"/>
      <c r="R110" s="232"/>
    </row>
    <row r="111" spans="1:18" ht="17.25" customHeight="1" thickBot="1">
      <c r="A111" s="13" t="s">
        <v>198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33"/>
      <c r="R112" s="23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051" priority="89">
      <formula>$E$27&gt;0</formula>
    </cfRule>
    <cfRule type="expression" dxfId="1050" priority="90">
      <formula>$E$27&lt;0</formula>
    </cfRule>
  </conditionalFormatting>
  <conditionalFormatting sqref="G15:I16 H27:I27">
    <cfRule type="expression" dxfId="1049" priority="87">
      <formula>$H$27&gt;0</formula>
    </cfRule>
    <cfRule type="expression" dxfId="1048" priority="88">
      <formula>$H$27&lt;0</formula>
    </cfRule>
  </conditionalFormatting>
  <conditionalFormatting sqref="J15:L16 K27:L27">
    <cfRule type="expression" dxfId="1047" priority="85">
      <formula>$K$27&gt;0</formula>
    </cfRule>
    <cfRule type="expression" dxfId="1046" priority="86">
      <formula>$K$27&lt;0</formula>
    </cfRule>
  </conditionalFormatting>
  <conditionalFormatting sqref="M15:O16 N27:O27">
    <cfRule type="expression" dxfId="1045" priority="83">
      <formula>$N$27&gt;0</formula>
    </cfRule>
    <cfRule type="expression" dxfId="1044" priority="84">
      <formula>$N$27&lt;0</formula>
    </cfRule>
  </conditionalFormatting>
  <conditionalFormatting sqref="A17:O26 A34:O43">
    <cfRule type="expression" dxfId="1043" priority="91">
      <formula>AND($N17 &gt; 0, ISNUMBER($N17))</formula>
    </cfRule>
    <cfRule type="expression" dxfId="1042" priority="92">
      <formula>AND($N17 &lt; 0, ISNUMBER($N17))</formula>
    </cfRule>
    <cfRule type="expression" dxfId="1041" priority="93">
      <formula>AND($K17 &gt; 0, ISNUMBER($K17))</formula>
    </cfRule>
    <cfRule type="expression" dxfId="1040" priority="94">
      <formula>AND($K17 &lt; 0, ISNUMBER($K17))</formula>
    </cfRule>
    <cfRule type="expression" dxfId="1039" priority="95">
      <formula>AND($H17 &gt; 0, ISNUMBER($H17))</formula>
    </cfRule>
    <cfRule type="expression" dxfId="1038" priority="96">
      <formula>AND($H17 &lt; 0, ISNUMBER($H17))</formula>
    </cfRule>
    <cfRule type="expression" dxfId="1037" priority="97">
      <formula>AND($E17 &gt; 0, ISNUMBER($E17))</formula>
    </cfRule>
    <cfRule type="expression" dxfId="1036" priority="98">
      <formula>AND($E17 &lt; 0, ISNUMBER($E17))</formula>
    </cfRule>
  </conditionalFormatting>
  <conditionalFormatting sqref="D32:F33 E44:F44">
    <cfRule type="expression" dxfId="1035" priority="81">
      <formula>$E$44&gt;0</formula>
    </cfRule>
    <cfRule type="expression" dxfId="1034" priority="82">
      <formula>$E$44&lt;0</formula>
    </cfRule>
  </conditionalFormatting>
  <conditionalFormatting sqref="G32:I33 H44:I44">
    <cfRule type="expression" dxfId="1033" priority="79">
      <formula>$H$44&gt;0</formula>
    </cfRule>
    <cfRule type="expression" dxfId="1032" priority="80">
      <formula>$H$44&lt;0</formula>
    </cfRule>
  </conditionalFormatting>
  <conditionalFormatting sqref="J32:L33 K44:L44">
    <cfRule type="expression" dxfId="1031" priority="77">
      <formula>$K$44&gt;0</formula>
    </cfRule>
    <cfRule type="expression" dxfId="1030" priority="78">
      <formula>$K$44&lt;0</formula>
    </cfRule>
  </conditionalFormatting>
  <conditionalFormatting sqref="M32:O33 N44:O44">
    <cfRule type="expression" dxfId="1029" priority="75">
      <formula>$N$44&gt;0</formula>
    </cfRule>
    <cfRule type="expression" dxfId="1028" priority="76">
      <formula>$N$44&lt;0</formula>
    </cfRule>
  </conditionalFormatting>
  <conditionalFormatting sqref="A51:O60">
    <cfRule type="expression" dxfId="1027" priority="67">
      <formula>AND($N51 &gt; 0, ISNUMBER($N51))</formula>
    </cfRule>
    <cfRule type="expression" dxfId="1026" priority="68">
      <formula>AND($N51 &lt; 0, ISNUMBER($N51))</formula>
    </cfRule>
    <cfRule type="expression" dxfId="1025" priority="69">
      <formula>AND($K51 &gt; 0, ISNUMBER($K51))</formula>
    </cfRule>
    <cfRule type="expression" dxfId="1024" priority="70">
      <formula>AND($K51 &lt; 0, ISNUMBER($K51))</formula>
    </cfRule>
    <cfRule type="expression" dxfId="1023" priority="71">
      <formula>AND($H51 &gt; 0, ISNUMBER($H51))</formula>
    </cfRule>
    <cfRule type="expression" dxfId="1022" priority="72">
      <formula>AND($H51 &lt; 0, ISNUMBER($H51))</formula>
    </cfRule>
    <cfRule type="expression" dxfId="1021" priority="73">
      <formula>AND($E51 &gt; 0, ISNUMBER($E51))</formula>
    </cfRule>
    <cfRule type="expression" dxfId="1020" priority="74">
      <formula>AND($E51 &lt; 0, ISNUMBER($E51))</formula>
    </cfRule>
  </conditionalFormatting>
  <conditionalFormatting sqref="D49:F50 E61:F61">
    <cfRule type="expression" dxfId="1019" priority="65">
      <formula>$E$61&gt;0</formula>
    </cfRule>
    <cfRule type="expression" dxfId="1018" priority="66">
      <formula>$E$61&lt;0</formula>
    </cfRule>
  </conditionalFormatting>
  <conditionalFormatting sqref="G49:I50 H61:I61">
    <cfRule type="expression" dxfId="1017" priority="63">
      <formula>$H$61&gt;0</formula>
    </cfRule>
    <cfRule type="expression" dxfId="1016" priority="64">
      <formula>$H$61&lt;0</formula>
    </cfRule>
  </conditionalFormatting>
  <conditionalFormatting sqref="J49:L50 K61:L61">
    <cfRule type="expression" dxfId="1015" priority="61">
      <formula>$K$61&gt;0</formula>
    </cfRule>
    <cfRule type="expression" dxfId="1014" priority="62">
      <formula>$K$61&lt;0</formula>
    </cfRule>
  </conditionalFormatting>
  <conditionalFormatting sqref="M49:O50 N61:O61">
    <cfRule type="expression" dxfId="1013" priority="59">
      <formula>$N$61&gt;0</formula>
    </cfRule>
    <cfRule type="expression" dxfId="1012" priority="60">
      <formula>$N$61&lt;0</formula>
    </cfRule>
  </conditionalFormatting>
  <conditionalFormatting sqref="A68:O77">
    <cfRule type="expression" dxfId="1011" priority="51">
      <formula>AND($N68 &gt; 0, ISNUMBER($N68))</formula>
    </cfRule>
    <cfRule type="expression" dxfId="1010" priority="52">
      <formula>AND($N68 &lt; 0, ISNUMBER($N68))</formula>
    </cfRule>
    <cfRule type="expression" dxfId="1009" priority="53">
      <formula>AND($K68 &gt; 0, ISNUMBER($K68))</formula>
    </cfRule>
    <cfRule type="expression" dxfId="1008" priority="54">
      <formula>AND($K68 &lt; 0, ISNUMBER($K68))</formula>
    </cfRule>
    <cfRule type="expression" dxfId="1007" priority="55">
      <formula>AND($H68 &gt; 0, ISNUMBER($H68))</formula>
    </cfRule>
    <cfRule type="expression" dxfId="1006" priority="56">
      <formula>AND($H68 &lt; 0, ISNUMBER($H68))</formula>
    </cfRule>
    <cfRule type="expression" dxfId="1005" priority="57">
      <formula>AND($E68 &gt; 0, ISNUMBER($E68))</formula>
    </cfRule>
    <cfRule type="expression" dxfId="1004" priority="58">
      <formula>AND($E68 &lt; 0, ISNUMBER($E68))</formula>
    </cfRule>
  </conditionalFormatting>
  <conditionalFormatting sqref="D66:F67 E78:F78">
    <cfRule type="expression" dxfId="1003" priority="49">
      <formula>$E$78&gt;0</formula>
    </cfRule>
    <cfRule type="expression" dxfId="1002" priority="50">
      <formula>$E$78&lt;0</formula>
    </cfRule>
  </conditionalFormatting>
  <conditionalFormatting sqref="G66:I67 H78:I78">
    <cfRule type="expression" dxfId="1001" priority="47">
      <formula>$H$78&gt;0</formula>
    </cfRule>
    <cfRule type="expression" dxfId="1000" priority="48">
      <formula>$H$78&lt;0</formula>
    </cfRule>
  </conditionalFormatting>
  <conditionalFormatting sqref="J66:L67 K78:L78">
    <cfRule type="expression" dxfId="999" priority="45">
      <formula>$K$78&gt;0</formula>
    </cfRule>
    <cfRule type="expression" dxfId="998" priority="46">
      <formula>$K$78&lt;0</formula>
    </cfRule>
  </conditionalFormatting>
  <conditionalFormatting sqref="M66:O67 N78:O78">
    <cfRule type="expression" dxfId="997" priority="43">
      <formula>$N$78&gt;0</formula>
    </cfRule>
    <cfRule type="expression" dxfId="996" priority="44">
      <formula>$N$78&lt;0</formula>
    </cfRule>
  </conditionalFormatting>
  <conditionalFormatting sqref="A85:O94">
    <cfRule type="expression" dxfId="995" priority="35">
      <formula>AND($N85 &gt; 0, ISNUMBER($N85))</formula>
    </cfRule>
    <cfRule type="expression" dxfId="994" priority="36">
      <formula>AND($N85 &lt; 0, ISNUMBER($N85))</formula>
    </cfRule>
    <cfRule type="expression" dxfId="993" priority="37">
      <formula>AND($K85 &gt; 0, ISNUMBER($K85))</formula>
    </cfRule>
    <cfRule type="expression" dxfId="992" priority="38">
      <formula>AND($K85 &lt; 0, ISNUMBER($K85))</formula>
    </cfRule>
    <cfRule type="expression" dxfId="991" priority="39">
      <formula>AND($H85 &gt; 0, ISNUMBER($H85))</formula>
    </cfRule>
    <cfRule type="expression" dxfId="990" priority="40">
      <formula>AND($H85 &lt; 0, ISNUMBER($H85))</formula>
    </cfRule>
    <cfRule type="expression" dxfId="989" priority="41">
      <formula>AND($E85 &gt; 0, ISNUMBER($E85))</formula>
    </cfRule>
    <cfRule type="expression" dxfId="988" priority="42">
      <formula>AND($E85 &lt; 0, ISNUMBER($E85))</formula>
    </cfRule>
  </conditionalFormatting>
  <conditionalFormatting sqref="D83:F84 E95:F95">
    <cfRule type="expression" dxfId="987" priority="33">
      <formula>$E$95&gt;0</formula>
    </cfRule>
    <cfRule type="expression" dxfId="986" priority="34">
      <formula>$E$95&lt;0</formula>
    </cfRule>
  </conditionalFormatting>
  <conditionalFormatting sqref="G83:I84 H95:I95">
    <cfRule type="expression" dxfId="985" priority="31">
      <formula>$H$95&gt;0</formula>
    </cfRule>
    <cfRule type="expression" dxfId="984" priority="32">
      <formula>$H$95&lt;0</formula>
    </cfRule>
  </conditionalFormatting>
  <conditionalFormatting sqref="J83:L84 K95:L95">
    <cfRule type="expression" dxfId="983" priority="29">
      <formula>$K$95&gt;0</formula>
    </cfRule>
    <cfRule type="expression" dxfId="982" priority="30">
      <formula>$K$95&lt;0</formula>
    </cfRule>
  </conditionalFormatting>
  <conditionalFormatting sqref="M83:O84 N95:O95">
    <cfRule type="expression" dxfId="981" priority="27">
      <formula>$N$95&gt;0</formula>
    </cfRule>
    <cfRule type="expression" dxfId="980" priority="28">
      <formula>$N$95&lt;0</formula>
    </cfRule>
  </conditionalFormatting>
  <conditionalFormatting sqref="A102:O111">
    <cfRule type="expression" dxfId="979" priority="19">
      <formula>AND($N102 &gt; 0, ISNUMBER($N102))</formula>
    </cfRule>
    <cfRule type="expression" dxfId="978" priority="20">
      <formula>AND($N102 &lt; 0, ISNUMBER($N102))</formula>
    </cfRule>
    <cfRule type="expression" dxfId="977" priority="21">
      <formula>AND($K102 &gt; 0, ISNUMBER($K102))</formula>
    </cfRule>
    <cfRule type="expression" dxfId="976" priority="22">
      <formula>AND($K102 &lt; 0, ISNUMBER($K102))</formula>
    </cfRule>
    <cfRule type="expression" dxfId="975" priority="23">
      <formula>AND($H102 &gt; 0, ISNUMBER($H102))</formula>
    </cfRule>
    <cfRule type="expression" dxfId="974" priority="24">
      <formula>AND($H102 &lt; 0, ISNUMBER($H102))</formula>
    </cfRule>
    <cfRule type="expression" dxfId="973" priority="25">
      <formula>AND($E102 &gt; 0, ISNUMBER($E102))</formula>
    </cfRule>
    <cfRule type="expression" dxfId="972" priority="26">
      <formula>AND($E102 &lt; 0, ISNUMBER($E102))</formula>
    </cfRule>
  </conditionalFormatting>
  <conditionalFormatting sqref="D100:F101 E112:F112">
    <cfRule type="expression" dxfId="971" priority="17">
      <formula>$E$112&gt;0</formula>
    </cfRule>
    <cfRule type="expression" dxfId="970" priority="18">
      <formula>$E$112&lt;0</formula>
    </cfRule>
  </conditionalFormatting>
  <conditionalFormatting sqref="G100:I101 H112:I112">
    <cfRule type="expression" dxfId="969" priority="15">
      <formula>$H$112&gt;0</formula>
    </cfRule>
    <cfRule type="expression" dxfId="968" priority="16">
      <formula>$H$112&lt;0</formula>
    </cfRule>
  </conditionalFormatting>
  <conditionalFormatting sqref="J100:L101 K112:L112">
    <cfRule type="expression" dxfId="967" priority="13">
      <formula>$K$112&gt;0</formula>
    </cfRule>
    <cfRule type="expression" dxfId="966" priority="14">
      <formula>$K$112&lt;0</formula>
    </cfRule>
  </conditionalFormatting>
  <conditionalFormatting sqref="M100:O101 N112:O112">
    <cfRule type="expression" dxfId="965" priority="11">
      <formula>$N$112&gt;0</formula>
    </cfRule>
    <cfRule type="expression" dxfId="964" priority="12">
      <formula>$N$112&lt;0</formula>
    </cfRule>
  </conditionalFormatting>
  <conditionalFormatting sqref="G2:I3">
    <cfRule type="expression" dxfId="96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6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6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6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5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5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5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5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5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5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44298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28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23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06"/>
      <c r="R16" s="207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04"/>
      <c r="R17" s="205"/>
    </row>
    <row r="18" spans="1:18" ht="17.25" customHeight="1">
      <c r="A18" s="40" t="s">
        <v>202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04"/>
      <c r="R18" s="205"/>
    </row>
    <row r="19" spans="1:18" ht="17.25" customHeight="1">
      <c r="A19" s="40" t="s">
        <v>181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04"/>
      <c r="R19" s="205"/>
    </row>
    <row r="20" spans="1:18" ht="17.25" customHeight="1">
      <c r="A20" s="40" t="s">
        <v>143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04"/>
      <c r="R20" s="205"/>
    </row>
    <row r="21" spans="1:18" ht="17.25" customHeight="1">
      <c r="A21" s="41" t="s">
        <v>215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04"/>
      <c r="R21" s="205"/>
    </row>
    <row r="22" spans="1:18" ht="17.25" customHeight="1">
      <c r="A22" s="40" t="s">
        <v>152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04"/>
      <c r="R22" s="205"/>
    </row>
    <row r="23" spans="1:18" ht="17.25" customHeight="1">
      <c r="A23" s="40" t="s">
        <v>142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04"/>
      <c r="R23" s="205"/>
    </row>
    <row r="24" spans="1:18" ht="17.25" customHeight="1">
      <c r="A24" s="40" t="s">
        <v>170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04"/>
      <c r="R24" s="205"/>
    </row>
    <row r="25" spans="1:18" ht="17.25" customHeight="1">
      <c r="A25" s="40" t="s">
        <v>220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06"/>
      <c r="R25" s="207"/>
    </row>
    <row r="26" spans="1:18" ht="17.25" customHeight="1" thickBot="1">
      <c r="A26" s="42" t="s">
        <v>148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23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31"/>
      <c r="R33" s="232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29"/>
      <c r="R34" s="230"/>
    </row>
    <row r="35" spans="1:18" ht="17.25" customHeight="1">
      <c r="A35" s="11" t="s">
        <v>152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29"/>
      <c r="R35" s="230"/>
    </row>
    <row r="36" spans="1:18" ht="17.25" customHeight="1">
      <c r="A36" s="11" t="s">
        <v>149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29"/>
      <c r="R36" s="230"/>
    </row>
    <row r="37" spans="1:18" ht="17.25" customHeight="1">
      <c r="A37" s="11" t="s">
        <v>147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29"/>
      <c r="R37" s="230"/>
    </row>
    <row r="38" spans="1:18" ht="17.25" customHeight="1">
      <c r="A38" s="8" t="s">
        <v>126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29"/>
      <c r="R38" s="230"/>
    </row>
    <row r="39" spans="1:18" ht="17.25" customHeight="1">
      <c r="A39" s="11" t="s">
        <v>169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29"/>
      <c r="R39" s="230"/>
    </row>
    <row r="40" spans="1:18" ht="17.25" customHeight="1">
      <c r="A40" s="11" t="s">
        <v>139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29"/>
      <c r="R40" s="230"/>
    </row>
    <row r="41" spans="1:18" ht="17.25" customHeight="1">
      <c r="A41" s="11" t="s">
        <v>135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29"/>
      <c r="R41" s="230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31"/>
      <c r="R42" s="232"/>
    </row>
    <row r="43" spans="1:18" ht="17.25" customHeight="1" thickBot="1">
      <c r="A43" s="13" t="s">
        <v>140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23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31"/>
      <c r="R50" s="232"/>
    </row>
    <row r="51" spans="1:18" ht="17.25" customHeight="1">
      <c r="A51" s="9" t="s">
        <v>108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29"/>
      <c r="R51" s="230"/>
    </row>
    <row r="52" spans="1:18" ht="17.25" customHeight="1">
      <c r="A52" s="11" t="s">
        <v>164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29"/>
      <c r="R52" s="230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29"/>
      <c r="R53" s="230"/>
    </row>
    <row r="54" spans="1:18" ht="17.25" customHeight="1">
      <c r="A54" s="11" t="s">
        <v>161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29"/>
      <c r="R54" s="230"/>
    </row>
    <row r="55" spans="1:18" ht="17.25" customHeight="1">
      <c r="A55" s="8" t="s">
        <v>122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29"/>
      <c r="R55" s="230"/>
    </row>
    <row r="56" spans="1:18" ht="17.25" customHeight="1">
      <c r="A56" s="11" t="s">
        <v>137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23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31"/>
      <c r="R67" s="232"/>
    </row>
    <row r="68" spans="1:18" ht="17.25" customHeight="1">
      <c r="A68" s="9" t="s">
        <v>178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29"/>
      <c r="R68" s="230"/>
    </row>
    <row r="69" spans="1:18" ht="17.25" customHeight="1">
      <c r="A69" s="11" t="s">
        <v>133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29"/>
      <c r="R69" s="230"/>
    </row>
    <row r="70" spans="1:18" ht="17.25" customHeight="1">
      <c r="A70" s="11" t="s">
        <v>181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29"/>
      <c r="R70" s="230"/>
    </row>
    <row r="71" spans="1:18" ht="17.25" customHeight="1">
      <c r="A71" s="11" t="s">
        <v>128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29"/>
      <c r="R71" s="230"/>
    </row>
    <row r="72" spans="1:18" ht="17.25" customHeight="1">
      <c r="A72" s="8" t="s">
        <v>125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29"/>
      <c r="R72" s="230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29"/>
      <c r="R73" s="230"/>
    </row>
    <row r="74" spans="1:18" ht="17.25" customHeight="1">
      <c r="A74" s="11" t="s">
        <v>119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29"/>
      <c r="R74" s="230"/>
    </row>
    <row r="75" spans="1:18" ht="17.25" customHeight="1">
      <c r="A75" s="11" t="s">
        <v>127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29"/>
      <c r="R75" s="230"/>
    </row>
    <row r="76" spans="1:18" ht="17.25" customHeight="1">
      <c r="A76" s="11" t="s">
        <v>163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31"/>
      <c r="R76" s="232"/>
    </row>
    <row r="77" spans="1:18" ht="17.25" customHeight="1" thickBot="1">
      <c r="A77" s="13" t="s">
        <v>129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23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31"/>
      <c r="R84" s="232"/>
    </row>
    <row r="85" spans="1:18" ht="17.25" customHeight="1">
      <c r="A85" s="9" t="s">
        <v>130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29"/>
      <c r="R85" s="230"/>
    </row>
    <row r="86" spans="1:18" ht="17.25" customHeight="1">
      <c r="A86" s="11" t="s">
        <v>154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29"/>
      <c r="R86" s="230"/>
    </row>
    <row r="87" spans="1:18" ht="17.25" customHeight="1">
      <c r="A87" s="11" t="s">
        <v>144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29"/>
      <c r="R87" s="230"/>
    </row>
    <row r="88" spans="1:18" ht="17.25" customHeight="1">
      <c r="A88" s="11" t="s">
        <v>142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29"/>
      <c r="R88" s="230"/>
    </row>
    <row r="89" spans="1:18" ht="17.25" customHeight="1">
      <c r="A89" s="8" t="s">
        <v>170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29"/>
      <c r="R89" s="230"/>
    </row>
    <row r="90" spans="1:18" ht="17.25" customHeight="1">
      <c r="A90" s="11" t="s">
        <v>220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29"/>
      <c r="R90" s="230"/>
    </row>
    <row r="91" spans="1:18" ht="17.25" customHeight="1">
      <c r="A91" s="11" t="s">
        <v>148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29"/>
      <c r="R91" s="230"/>
    </row>
    <row r="92" spans="1:18" ht="17.25" customHeight="1">
      <c r="A92" s="11" t="s">
        <v>121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29"/>
      <c r="R92" s="230"/>
    </row>
    <row r="93" spans="1:18" ht="17.25" customHeight="1">
      <c r="A93" s="11" t="s">
        <v>172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31"/>
      <c r="R93" s="232"/>
    </row>
    <row r="94" spans="1:18" ht="17.25" customHeight="1" thickBot="1">
      <c r="A94" s="13" t="s">
        <v>141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23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31"/>
      <c r="R101" s="232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29"/>
      <c r="R102" s="230"/>
    </row>
    <row r="103" spans="1:18" ht="17.25" customHeight="1">
      <c r="A103" s="11" t="s">
        <v>178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29"/>
      <c r="R103" s="230"/>
    </row>
    <row r="104" spans="1:18" ht="17.25" customHeight="1">
      <c r="A104" s="11" t="s">
        <v>133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29"/>
      <c r="R104" s="230"/>
    </row>
    <row r="105" spans="1:18" ht="17.25" customHeight="1">
      <c r="A105" s="11" t="s">
        <v>181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29"/>
      <c r="R105" s="230"/>
    </row>
    <row r="106" spans="1:18" ht="17.25" customHeight="1">
      <c r="A106" s="8" t="s">
        <v>143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29"/>
      <c r="R106" s="230"/>
    </row>
    <row r="107" spans="1:18" ht="17.25" customHeight="1">
      <c r="A107" s="11" t="s">
        <v>215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29"/>
      <c r="R107" s="230"/>
    </row>
    <row r="108" spans="1:18" ht="17.25" customHeight="1">
      <c r="A108" s="11" t="s">
        <v>152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29"/>
      <c r="R108" s="230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29"/>
      <c r="R109" s="230"/>
    </row>
    <row r="110" spans="1:18" ht="17.25" customHeight="1">
      <c r="A110" s="11" t="s">
        <v>110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31"/>
      <c r="R110" s="232"/>
    </row>
    <row r="111" spans="1:18" ht="17.25" customHeight="1" thickBot="1">
      <c r="A111" s="13" t="s">
        <v>149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33"/>
      <c r="R112" s="23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53" priority="89">
      <formula>$E$27&gt;0</formula>
    </cfRule>
    <cfRule type="expression" dxfId="952" priority="90">
      <formula>$E$27&lt;0</formula>
    </cfRule>
  </conditionalFormatting>
  <conditionalFormatting sqref="G15:I16 H27:I27">
    <cfRule type="expression" dxfId="951" priority="87">
      <formula>$H$27&gt;0</formula>
    </cfRule>
    <cfRule type="expression" dxfId="950" priority="88">
      <formula>$H$27&lt;0</formula>
    </cfRule>
  </conditionalFormatting>
  <conditionalFormatting sqref="J15:L16 K27:L27">
    <cfRule type="expression" dxfId="949" priority="85">
      <formula>$K$27&gt;0</formula>
    </cfRule>
    <cfRule type="expression" dxfId="948" priority="86">
      <formula>$K$27&lt;0</formula>
    </cfRule>
  </conditionalFormatting>
  <conditionalFormatting sqref="M15:O16 N27:O27">
    <cfRule type="expression" dxfId="947" priority="83">
      <formula>$N$27&gt;0</formula>
    </cfRule>
    <cfRule type="expression" dxfId="946" priority="84">
      <formula>$N$27&lt;0</formula>
    </cfRule>
  </conditionalFormatting>
  <conditionalFormatting sqref="A17:O26 A34:O43">
    <cfRule type="expression" dxfId="945" priority="91">
      <formula>AND($N17 &gt; 0, ISNUMBER($N17))</formula>
    </cfRule>
    <cfRule type="expression" dxfId="944" priority="92">
      <formula>AND($N17 &lt; 0, ISNUMBER($N17))</formula>
    </cfRule>
    <cfRule type="expression" dxfId="943" priority="93">
      <formula>AND($K17 &gt; 0, ISNUMBER($K17))</formula>
    </cfRule>
    <cfRule type="expression" dxfId="942" priority="94">
      <formula>AND($K17 &lt; 0, ISNUMBER($K17))</formula>
    </cfRule>
    <cfRule type="expression" dxfId="941" priority="95">
      <formula>AND($H17 &gt; 0, ISNUMBER($H17))</formula>
    </cfRule>
    <cfRule type="expression" dxfId="940" priority="96">
      <formula>AND($H17 &lt; 0, ISNUMBER($H17))</formula>
    </cfRule>
    <cfRule type="expression" dxfId="939" priority="97">
      <formula>AND($E17 &gt; 0, ISNUMBER($E17))</formula>
    </cfRule>
    <cfRule type="expression" dxfId="938" priority="98">
      <formula>AND($E17 &lt; 0, ISNUMBER($E17))</formula>
    </cfRule>
  </conditionalFormatting>
  <conditionalFormatting sqref="D32:F33 E44:F44">
    <cfRule type="expression" dxfId="937" priority="81">
      <formula>$E$44&gt;0</formula>
    </cfRule>
    <cfRule type="expression" dxfId="936" priority="82">
      <formula>$E$44&lt;0</formula>
    </cfRule>
  </conditionalFormatting>
  <conditionalFormatting sqref="G32:I33 H44:I44">
    <cfRule type="expression" dxfId="935" priority="79">
      <formula>$H$44&gt;0</formula>
    </cfRule>
    <cfRule type="expression" dxfId="934" priority="80">
      <formula>$H$44&lt;0</formula>
    </cfRule>
  </conditionalFormatting>
  <conditionalFormatting sqref="J32:L33 K44:L44">
    <cfRule type="expression" dxfId="933" priority="77">
      <formula>$K$44&gt;0</formula>
    </cfRule>
    <cfRule type="expression" dxfId="932" priority="78">
      <formula>$K$44&lt;0</formula>
    </cfRule>
  </conditionalFormatting>
  <conditionalFormatting sqref="M32:O33 N44:O44">
    <cfRule type="expression" dxfId="931" priority="75">
      <formula>$N$44&gt;0</formula>
    </cfRule>
    <cfRule type="expression" dxfId="930" priority="76">
      <formula>$N$44&lt;0</formula>
    </cfRule>
  </conditionalFormatting>
  <conditionalFormatting sqref="A51:O60">
    <cfRule type="expression" dxfId="929" priority="67">
      <formula>AND($N51 &gt; 0, ISNUMBER($N51))</formula>
    </cfRule>
    <cfRule type="expression" dxfId="928" priority="68">
      <formula>AND($N51 &lt; 0, ISNUMBER($N51))</formula>
    </cfRule>
    <cfRule type="expression" dxfId="927" priority="69">
      <formula>AND($K51 &gt; 0, ISNUMBER($K51))</formula>
    </cfRule>
    <cfRule type="expression" dxfId="926" priority="70">
      <formula>AND($K51 &lt; 0, ISNUMBER($K51))</formula>
    </cfRule>
    <cfRule type="expression" dxfId="925" priority="71">
      <formula>AND($H51 &gt; 0, ISNUMBER($H51))</formula>
    </cfRule>
    <cfRule type="expression" dxfId="924" priority="72">
      <formula>AND($H51 &lt; 0, ISNUMBER($H51))</formula>
    </cfRule>
    <cfRule type="expression" dxfId="923" priority="73">
      <formula>AND($E51 &gt; 0, ISNUMBER($E51))</formula>
    </cfRule>
    <cfRule type="expression" dxfId="922" priority="74">
      <formula>AND($E51 &lt; 0, ISNUMBER($E51))</formula>
    </cfRule>
  </conditionalFormatting>
  <conditionalFormatting sqref="D49:F50 E61:F61">
    <cfRule type="expression" dxfId="921" priority="65">
      <formula>$E$61&gt;0</formula>
    </cfRule>
    <cfRule type="expression" dxfId="920" priority="66">
      <formula>$E$61&lt;0</formula>
    </cfRule>
  </conditionalFormatting>
  <conditionalFormatting sqref="G49:I50 H61:I61">
    <cfRule type="expression" dxfId="919" priority="63">
      <formula>$H$61&gt;0</formula>
    </cfRule>
    <cfRule type="expression" dxfId="918" priority="64">
      <formula>$H$61&lt;0</formula>
    </cfRule>
  </conditionalFormatting>
  <conditionalFormatting sqref="J49:L50 K61:L61">
    <cfRule type="expression" dxfId="917" priority="61">
      <formula>$K$61&gt;0</formula>
    </cfRule>
    <cfRule type="expression" dxfId="916" priority="62">
      <formula>$K$61&lt;0</formula>
    </cfRule>
  </conditionalFormatting>
  <conditionalFormatting sqref="M49:O50 N61:O61">
    <cfRule type="expression" dxfId="915" priority="59">
      <formula>$N$61&gt;0</formula>
    </cfRule>
    <cfRule type="expression" dxfId="914" priority="60">
      <formula>$N$61&lt;0</formula>
    </cfRule>
  </conditionalFormatting>
  <conditionalFormatting sqref="A68:O77">
    <cfRule type="expression" dxfId="913" priority="51">
      <formula>AND($N68 &gt; 0, ISNUMBER($N68))</formula>
    </cfRule>
    <cfRule type="expression" dxfId="912" priority="52">
      <formula>AND($N68 &lt; 0, ISNUMBER($N68))</formula>
    </cfRule>
    <cfRule type="expression" dxfId="911" priority="53">
      <formula>AND($K68 &gt; 0, ISNUMBER($K68))</formula>
    </cfRule>
    <cfRule type="expression" dxfId="910" priority="54">
      <formula>AND($K68 &lt; 0, ISNUMBER($K68))</formula>
    </cfRule>
    <cfRule type="expression" dxfId="909" priority="55">
      <formula>AND($H68 &gt; 0, ISNUMBER($H68))</formula>
    </cfRule>
    <cfRule type="expression" dxfId="908" priority="56">
      <formula>AND($H68 &lt; 0, ISNUMBER($H68))</formula>
    </cfRule>
    <cfRule type="expression" dxfId="907" priority="57">
      <formula>AND($E68 &gt; 0, ISNUMBER($E68))</formula>
    </cfRule>
    <cfRule type="expression" dxfId="906" priority="58">
      <formula>AND($E68 &lt; 0, ISNUMBER($E68))</formula>
    </cfRule>
  </conditionalFormatting>
  <conditionalFormatting sqref="D66:F67 E78:F78">
    <cfRule type="expression" dxfId="905" priority="49">
      <formula>$E$78&gt;0</formula>
    </cfRule>
    <cfRule type="expression" dxfId="904" priority="50">
      <formula>$E$78&lt;0</formula>
    </cfRule>
  </conditionalFormatting>
  <conditionalFormatting sqref="G66:I67 H78:I78">
    <cfRule type="expression" dxfId="903" priority="47">
      <formula>$H$78&gt;0</formula>
    </cfRule>
    <cfRule type="expression" dxfId="902" priority="48">
      <formula>$H$78&lt;0</formula>
    </cfRule>
  </conditionalFormatting>
  <conditionalFormatting sqref="J66:L67 K78:L78">
    <cfRule type="expression" dxfId="901" priority="45">
      <formula>$K$78&gt;0</formula>
    </cfRule>
    <cfRule type="expression" dxfId="900" priority="46">
      <formula>$K$78&lt;0</formula>
    </cfRule>
  </conditionalFormatting>
  <conditionalFormatting sqref="M66:O67 N78:O78">
    <cfRule type="expression" dxfId="899" priority="43">
      <formula>$N$78&gt;0</formula>
    </cfRule>
    <cfRule type="expression" dxfId="898" priority="44">
      <formula>$N$78&lt;0</formula>
    </cfRule>
  </conditionalFormatting>
  <conditionalFormatting sqref="A85:O94">
    <cfRule type="expression" dxfId="897" priority="35">
      <formula>AND($N85 &gt; 0, ISNUMBER($N85))</formula>
    </cfRule>
    <cfRule type="expression" dxfId="896" priority="36">
      <formula>AND($N85 &lt; 0, ISNUMBER($N85))</formula>
    </cfRule>
    <cfRule type="expression" dxfId="895" priority="37">
      <formula>AND($K85 &gt; 0, ISNUMBER($K85))</formula>
    </cfRule>
    <cfRule type="expression" dxfId="894" priority="38">
      <formula>AND($K85 &lt; 0, ISNUMBER($K85))</formula>
    </cfRule>
    <cfRule type="expression" dxfId="893" priority="39">
      <formula>AND($H85 &gt; 0, ISNUMBER($H85))</formula>
    </cfRule>
    <cfRule type="expression" dxfId="892" priority="40">
      <formula>AND($H85 &lt; 0, ISNUMBER($H85))</formula>
    </cfRule>
    <cfRule type="expression" dxfId="891" priority="41">
      <formula>AND($E85 &gt; 0, ISNUMBER($E85))</formula>
    </cfRule>
    <cfRule type="expression" dxfId="890" priority="42">
      <formula>AND($E85 &lt; 0, ISNUMBER($E85))</formula>
    </cfRule>
  </conditionalFormatting>
  <conditionalFormatting sqref="D83:F84 E95:F95">
    <cfRule type="expression" dxfId="889" priority="33">
      <formula>$E$95&gt;0</formula>
    </cfRule>
    <cfRule type="expression" dxfId="888" priority="34">
      <formula>$E$95&lt;0</formula>
    </cfRule>
  </conditionalFormatting>
  <conditionalFormatting sqref="G83:I84 H95:I95">
    <cfRule type="expression" dxfId="887" priority="31">
      <formula>$H$95&gt;0</formula>
    </cfRule>
    <cfRule type="expression" dxfId="886" priority="32">
      <formula>$H$95&lt;0</formula>
    </cfRule>
  </conditionalFormatting>
  <conditionalFormatting sqref="J83:L84 K95:L95">
    <cfRule type="expression" dxfId="885" priority="29">
      <formula>$K$95&gt;0</formula>
    </cfRule>
    <cfRule type="expression" dxfId="884" priority="30">
      <formula>$K$95&lt;0</formula>
    </cfRule>
  </conditionalFormatting>
  <conditionalFormatting sqref="M83:O84 N95:O95">
    <cfRule type="expression" dxfId="883" priority="27">
      <formula>$N$95&gt;0</formula>
    </cfRule>
    <cfRule type="expression" dxfId="882" priority="28">
      <formula>$N$95&lt;0</formula>
    </cfRule>
  </conditionalFormatting>
  <conditionalFormatting sqref="A102:O111">
    <cfRule type="expression" dxfId="881" priority="19">
      <formula>AND($N102 &gt; 0, ISNUMBER($N102))</formula>
    </cfRule>
    <cfRule type="expression" dxfId="880" priority="20">
      <formula>AND($N102 &lt; 0, ISNUMBER($N102))</formula>
    </cfRule>
    <cfRule type="expression" dxfId="879" priority="21">
      <formula>AND($K102 &gt; 0, ISNUMBER($K102))</formula>
    </cfRule>
    <cfRule type="expression" dxfId="878" priority="22">
      <formula>AND($K102 &lt; 0, ISNUMBER($K102))</formula>
    </cfRule>
    <cfRule type="expression" dxfId="877" priority="23">
      <formula>AND($H102 &gt; 0, ISNUMBER($H102))</formula>
    </cfRule>
    <cfRule type="expression" dxfId="876" priority="24">
      <formula>AND($H102 &lt; 0, ISNUMBER($H102))</formula>
    </cfRule>
    <cfRule type="expression" dxfId="875" priority="25">
      <formula>AND($E102 &gt; 0, ISNUMBER($E102))</formula>
    </cfRule>
    <cfRule type="expression" dxfId="874" priority="26">
      <formula>AND($E102 &lt; 0, ISNUMBER($E102))</formula>
    </cfRule>
  </conditionalFormatting>
  <conditionalFormatting sqref="D100:F101 E112:F112">
    <cfRule type="expression" dxfId="873" priority="17">
      <formula>$E$112&gt;0</formula>
    </cfRule>
    <cfRule type="expression" dxfId="872" priority="18">
      <formula>$E$112&lt;0</formula>
    </cfRule>
  </conditionalFormatting>
  <conditionalFormatting sqref="G100:I101 H112:I112">
    <cfRule type="expression" dxfId="871" priority="15">
      <formula>$H$112&gt;0</formula>
    </cfRule>
    <cfRule type="expression" dxfId="870" priority="16">
      <formula>$H$112&lt;0</formula>
    </cfRule>
  </conditionalFormatting>
  <conditionalFormatting sqref="J100:L101 K112:L112">
    <cfRule type="expression" dxfId="869" priority="13">
      <formula>$K$112&gt;0</formula>
    </cfRule>
    <cfRule type="expression" dxfId="868" priority="14">
      <formula>$K$112&lt;0</formula>
    </cfRule>
  </conditionalFormatting>
  <conditionalFormatting sqref="M100:O101 N112:O112">
    <cfRule type="expression" dxfId="867" priority="11">
      <formula>$N$112&gt;0</formula>
    </cfRule>
    <cfRule type="expression" dxfId="866" priority="12">
      <formula>$N$112&lt;0</formula>
    </cfRule>
  </conditionalFormatting>
  <conditionalFormatting sqref="G2:I3">
    <cfRule type="expression" dxfId="86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6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6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6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6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6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5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5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5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5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44299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02"/>
      <c r="I9" s="203"/>
      <c r="J9" s="1" t="s">
        <v>28</v>
      </c>
      <c r="K9" s="198" t="s">
        <v>225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35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30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06"/>
      <c r="R16" s="207"/>
    </row>
    <row r="17" spans="1:18" ht="17.25" customHeight="1">
      <c r="A17" s="39" t="s">
        <v>198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04"/>
      <c r="R17" s="205"/>
    </row>
    <row r="18" spans="1:18" ht="17.25" customHeight="1">
      <c r="A18" s="40" t="s">
        <v>197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04"/>
      <c r="R18" s="205"/>
    </row>
    <row r="19" spans="1:18" ht="17.25" customHeight="1">
      <c r="A19" s="40" t="s">
        <v>216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04"/>
      <c r="R19" s="205"/>
    </row>
    <row r="20" spans="1:18" ht="17.25" customHeight="1">
      <c r="A20" s="40" t="s">
        <v>170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04"/>
      <c r="R20" s="205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04"/>
      <c r="R21" s="205"/>
    </row>
    <row r="22" spans="1:18" ht="17.25" customHeight="1">
      <c r="A22" s="40" t="s">
        <v>196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04"/>
      <c r="R22" s="205"/>
    </row>
    <row r="23" spans="1:18" ht="17.25" customHeight="1">
      <c r="A23" s="40" t="s">
        <v>142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04"/>
      <c r="R23" s="205"/>
    </row>
    <row r="24" spans="1:18" ht="17.25" customHeight="1">
      <c r="A24" s="40" t="s">
        <v>128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04"/>
      <c r="R24" s="205"/>
    </row>
    <row r="25" spans="1:18" ht="17.25" customHeight="1">
      <c r="A25" s="40" t="s">
        <v>202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06"/>
      <c r="R25" s="207"/>
    </row>
    <row r="26" spans="1:18" ht="17.25" customHeight="1" thickBot="1">
      <c r="A26" s="42" t="s">
        <v>226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30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31"/>
      <c r="R33" s="232"/>
    </row>
    <row r="34" spans="1:18" ht="17.25" customHeight="1">
      <c r="A34" s="9" t="s">
        <v>152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29"/>
      <c r="R34" s="230"/>
    </row>
    <row r="35" spans="1:18" ht="17.25" customHeight="1">
      <c r="A35" s="11" t="s">
        <v>147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29"/>
      <c r="R35" s="230"/>
    </row>
    <row r="36" spans="1:18" ht="17.25" customHeight="1">
      <c r="A36" s="11" t="s">
        <v>108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29"/>
      <c r="R36" s="230"/>
    </row>
    <row r="37" spans="1:18" ht="17.25" customHeight="1">
      <c r="A37" s="11" t="s">
        <v>169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29"/>
      <c r="R37" s="230"/>
    </row>
    <row r="38" spans="1:18" ht="17.25" customHeight="1">
      <c r="A38" s="8" t="s">
        <v>161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29"/>
      <c r="R38" s="230"/>
    </row>
    <row r="39" spans="1:18" ht="17.25" customHeight="1">
      <c r="A39" s="11" t="s">
        <v>140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29"/>
      <c r="R39" s="230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29"/>
      <c r="R40" s="230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29"/>
      <c r="R41" s="230"/>
    </row>
    <row r="42" spans="1:18" ht="17.25" customHeight="1">
      <c r="A42" s="11" t="s">
        <v>137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31"/>
      <c r="R42" s="232"/>
    </row>
    <row r="43" spans="1:18" ht="17.25" customHeight="1" thickBot="1">
      <c r="A43" s="13" t="s">
        <v>122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30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31"/>
      <c r="R50" s="232"/>
    </row>
    <row r="51" spans="1:18" ht="17.25" customHeight="1">
      <c r="A51" s="9" t="s">
        <v>139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29"/>
      <c r="R51" s="230"/>
    </row>
    <row r="52" spans="1:18" ht="17.25" customHeight="1">
      <c r="A52" s="11" t="s">
        <v>126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29"/>
      <c r="R52" s="230"/>
    </row>
    <row r="53" spans="1:18" ht="17.25" customHeight="1">
      <c r="A53" s="11" t="s">
        <v>149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29"/>
      <c r="R53" s="230"/>
    </row>
    <row r="54" spans="1:18" ht="17.25" customHeight="1">
      <c r="A54" s="11" t="s">
        <v>164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29"/>
      <c r="R54" s="230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29"/>
      <c r="R55" s="230"/>
    </row>
    <row r="56" spans="1:18" ht="17.25" customHeight="1">
      <c r="A56" s="11" t="s">
        <v>135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30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31"/>
      <c r="R67" s="232"/>
    </row>
    <row r="68" spans="1:18" ht="17.25" customHeight="1">
      <c r="A68" s="9" t="s">
        <v>170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29"/>
      <c r="R68" s="230"/>
    </row>
    <row r="69" spans="1:18" ht="17.25" customHeight="1">
      <c r="A69" s="11" t="s">
        <v>142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29"/>
      <c r="R69" s="230"/>
    </row>
    <row r="70" spans="1:18" ht="17.25" customHeight="1">
      <c r="A70" s="11" t="s">
        <v>128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29"/>
      <c r="R70" s="230"/>
    </row>
    <row r="71" spans="1:18" ht="17.25" customHeight="1">
      <c r="A71" s="11" t="s">
        <v>134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29"/>
      <c r="R71" s="230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29"/>
      <c r="R72" s="230"/>
    </row>
    <row r="73" spans="1:18" ht="17.25" customHeight="1">
      <c r="A73" s="11" t="s">
        <v>130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29"/>
      <c r="R73" s="230"/>
    </row>
    <row r="74" spans="1:18" ht="17.25" customHeight="1">
      <c r="A74" s="11" t="s">
        <v>120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29"/>
      <c r="R74" s="230"/>
    </row>
    <row r="75" spans="1:18" ht="17.25" customHeight="1">
      <c r="A75" s="11" t="s">
        <v>150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29"/>
      <c r="R75" s="230"/>
    </row>
    <row r="76" spans="1:18" ht="17.25" customHeight="1">
      <c r="A76" s="11" t="s">
        <v>127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31"/>
      <c r="R76" s="232"/>
    </row>
    <row r="77" spans="1:18" ht="17.25" customHeight="1" thickBot="1">
      <c r="A77" s="13" t="s">
        <v>132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30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31"/>
      <c r="R84" s="232"/>
    </row>
    <row r="85" spans="1:18" ht="17.25" customHeight="1">
      <c r="A85" s="9" t="s">
        <v>125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29"/>
      <c r="R85" s="230"/>
    </row>
    <row r="86" spans="1:18" ht="17.25" customHeight="1">
      <c r="A86" s="11" t="s">
        <v>178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29"/>
      <c r="R86" s="230"/>
    </row>
    <row r="87" spans="1:18" ht="17.25" customHeight="1">
      <c r="A87" s="11" t="s">
        <v>138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29"/>
      <c r="R87" s="230"/>
    </row>
    <row r="88" spans="1:18" ht="17.25" customHeight="1">
      <c r="A88" s="11" t="s">
        <v>133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29"/>
      <c r="R88" s="230"/>
    </row>
    <row r="89" spans="1:18" ht="17.25" customHeight="1">
      <c r="A89" s="8" t="s">
        <v>121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29"/>
      <c r="R89" s="230"/>
    </row>
    <row r="90" spans="1:18" ht="17.25" customHeight="1">
      <c r="A90" s="11" t="s">
        <v>144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29"/>
      <c r="R90" s="230"/>
    </row>
    <row r="91" spans="1:18" ht="17.25" customHeight="1">
      <c r="A91" s="11" t="s">
        <v>146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29"/>
      <c r="R91" s="230"/>
    </row>
    <row r="92" spans="1:18" ht="17.25" customHeight="1">
      <c r="A92" s="11" t="s">
        <v>112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29"/>
      <c r="R92" s="230"/>
    </row>
    <row r="93" spans="1:18" ht="17.25" customHeight="1">
      <c r="A93" s="11" t="s">
        <v>114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31"/>
      <c r="R93" s="232"/>
    </row>
    <row r="94" spans="1:18" ht="17.25" customHeight="1" thickBot="1">
      <c r="A94" s="13" t="s">
        <v>172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30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31"/>
      <c r="R101" s="232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29"/>
      <c r="R102" s="230"/>
    </row>
    <row r="103" spans="1:18" ht="17.25" customHeight="1">
      <c r="A103" s="11" t="s">
        <v>107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29"/>
      <c r="R103" s="230"/>
    </row>
    <row r="104" spans="1:18" ht="17.25" customHeight="1">
      <c r="A104" s="11" t="s">
        <v>198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29"/>
      <c r="R104" s="230"/>
    </row>
    <row r="105" spans="1:18" ht="17.25" customHeight="1">
      <c r="A105" s="11" t="s">
        <v>197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29"/>
      <c r="R105" s="230"/>
    </row>
    <row r="106" spans="1:18" ht="17.25" customHeight="1">
      <c r="A106" s="8" t="s">
        <v>216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29"/>
      <c r="R106" s="230"/>
    </row>
    <row r="107" spans="1:18" ht="17.25" customHeight="1">
      <c r="A107" s="11" t="s">
        <v>170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29"/>
      <c r="R107" s="230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29"/>
      <c r="R108" s="230"/>
    </row>
    <row r="109" spans="1:18" ht="17.25" customHeight="1">
      <c r="A109" s="11" t="s">
        <v>196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29"/>
      <c r="R109" s="230"/>
    </row>
    <row r="110" spans="1:18" ht="17.25" customHeight="1">
      <c r="A110" s="11" t="s">
        <v>142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31"/>
      <c r="R110" s="232"/>
    </row>
    <row r="111" spans="1:18" ht="17.25" customHeight="1" thickBot="1">
      <c r="A111" s="13" t="s">
        <v>128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33"/>
      <c r="R112" s="23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55" priority="89">
      <formula>$E$27&gt;0</formula>
    </cfRule>
    <cfRule type="expression" dxfId="854" priority="90">
      <formula>$E$27&lt;0</formula>
    </cfRule>
  </conditionalFormatting>
  <conditionalFormatting sqref="G15:I16 H27:I27">
    <cfRule type="expression" dxfId="853" priority="87">
      <formula>$H$27&gt;0</formula>
    </cfRule>
    <cfRule type="expression" dxfId="852" priority="88">
      <formula>$H$27&lt;0</formula>
    </cfRule>
  </conditionalFormatting>
  <conditionalFormatting sqref="J15:L16 K27:L27">
    <cfRule type="expression" dxfId="851" priority="85">
      <formula>$K$27&gt;0</formula>
    </cfRule>
    <cfRule type="expression" dxfId="850" priority="86">
      <formula>$K$27&lt;0</formula>
    </cfRule>
  </conditionalFormatting>
  <conditionalFormatting sqref="M15:O16 N27:O27">
    <cfRule type="expression" dxfId="849" priority="83">
      <formula>$N$27&gt;0</formula>
    </cfRule>
    <cfRule type="expression" dxfId="848" priority="84">
      <formula>$N$27&lt;0</formula>
    </cfRule>
  </conditionalFormatting>
  <conditionalFormatting sqref="A17:O26 A34:O43">
    <cfRule type="expression" dxfId="847" priority="91">
      <formula>AND($N17 &gt; 0, ISNUMBER($N17))</formula>
    </cfRule>
    <cfRule type="expression" dxfId="846" priority="92">
      <formula>AND($N17 &lt; 0, ISNUMBER($N17))</formula>
    </cfRule>
    <cfRule type="expression" dxfId="845" priority="93">
      <formula>AND($K17 &gt; 0, ISNUMBER($K17))</formula>
    </cfRule>
    <cfRule type="expression" dxfId="844" priority="94">
      <formula>AND($K17 &lt; 0, ISNUMBER($K17))</formula>
    </cfRule>
    <cfRule type="expression" dxfId="843" priority="95">
      <formula>AND($H17 &gt; 0, ISNUMBER($H17))</formula>
    </cfRule>
    <cfRule type="expression" dxfId="842" priority="96">
      <formula>AND($H17 &lt; 0, ISNUMBER($H17))</formula>
    </cfRule>
    <cfRule type="expression" dxfId="841" priority="97">
      <formula>AND($E17 &gt; 0, ISNUMBER($E17))</formula>
    </cfRule>
    <cfRule type="expression" dxfId="840" priority="98">
      <formula>AND($E17 &lt; 0, ISNUMBER($E17))</formula>
    </cfRule>
  </conditionalFormatting>
  <conditionalFormatting sqref="D32:F33 E44:F44">
    <cfRule type="expression" dxfId="839" priority="81">
      <formula>$E$44&gt;0</formula>
    </cfRule>
    <cfRule type="expression" dxfId="838" priority="82">
      <formula>$E$44&lt;0</formula>
    </cfRule>
  </conditionalFormatting>
  <conditionalFormatting sqref="G32:I33 H44:I44">
    <cfRule type="expression" dxfId="837" priority="79">
      <formula>$H$44&gt;0</formula>
    </cfRule>
    <cfRule type="expression" dxfId="836" priority="80">
      <formula>$H$44&lt;0</formula>
    </cfRule>
  </conditionalFormatting>
  <conditionalFormatting sqref="J32:L33 K44:L44">
    <cfRule type="expression" dxfId="835" priority="77">
      <formula>$K$44&gt;0</formula>
    </cfRule>
    <cfRule type="expression" dxfId="834" priority="78">
      <formula>$K$44&lt;0</formula>
    </cfRule>
  </conditionalFormatting>
  <conditionalFormatting sqref="M32:O33 N44:O44">
    <cfRule type="expression" dxfId="833" priority="75">
      <formula>$N$44&gt;0</formula>
    </cfRule>
    <cfRule type="expression" dxfId="832" priority="76">
      <formula>$N$44&lt;0</formula>
    </cfRule>
  </conditionalFormatting>
  <conditionalFormatting sqref="A51:O60">
    <cfRule type="expression" dxfId="831" priority="67">
      <formula>AND($N51 &gt; 0, ISNUMBER($N51))</formula>
    </cfRule>
    <cfRule type="expression" dxfId="830" priority="68">
      <formula>AND($N51 &lt; 0, ISNUMBER($N51))</formula>
    </cfRule>
    <cfRule type="expression" dxfId="829" priority="69">
      <formula>AND($K51 &gt; 0, ISNUMBER($K51))</formula>
    </cfRule>
    <cfRule type="expression" dxfId="828" priority="70">
      <formula>AND($K51 &lt; 0, ISNUMBER($K51))</formula>
    </cfRule>
    <cfRule type="expression" dxfId="827" priority="71">
      <formula>AND($H51 &gt; 0, ISNUMBER($H51))</formula>
    </cfRule>
    <cfRule type="expression" dxfId="826" priority="72">
      <formula>AND($H51 &lt; 0, ISNUMBER($H51))</formula>
    </cfRule>
    <cfRule type="expression" dxfId="825" priority="73">
      <formula>AND($E51 &gt; 0, ISNUMBER($E51))</formula>
    </cfRule>
    <cfRule type="expression" dxfId="824" priority="74">
      <formula>AND($E51 &lt; 0, ISNUMBER($E51))</formula>
    </cfRule>
  </conditionalFormatting>
  <conditionalFormatting sqref="D49:F50 E61:F61">
    <cfRule type="expression" dxfId="823" priority="65">
      <formula>$E$61&gt;0</formula>
    </cfRule>
    <cfRule type="expression" dxfId="822" priority="66">
      <formula>$E$61&lt;0</formula>
    </cfRule>
  </conditionalFormatting>
  <conditionalFormatting sqref="G49:I50 H61:I61">
    <cfRule type="expression" dxfId="821" priority="63">
      <formula>$H$61&gt;0</formula>
    </cfRule>
    <cfRule type="expression" dxfId="820" priority="64">
      <formula>$H$61&lt;0</formula>
    </cfRule>
  </conditionalFormatting>
  <conditionalFormatting sqref="J49:L50 K61:L61">
    <cfRule type="expression" dxfId="819" priority="61">
      <formula>$K$61&gt;0</formula>
    </cfRule>
    <cfRule type="expression" dxfId="818" priority="62">
      <formula>$K$61&lt;0</formula>
    </cfRule>
  </conditionalFormatting>
  <conditionalFormatting sqref="M49:O50 N61:O61">
    <cfRule type="expression" dxfId="817" priority="59">
      <formula>$N$61&gt;0</formula>
    </cfRule>
    <cfRule type="expression" dxfId="816" priority="60">
      <formula>$N$61&lt;0</formula>
    </cfRule>
  </conditionalFormatting>
  <conditionalFormatting sqref="A68:O77">
    <cfRule type="expression" dxfId="815" priority="51">
      <formula>AND($N68 &gt; 0, ISNUMBER($N68))</formula>
    </cfRule>
    <cfRule type="expression" dxfId="814" priority="52">
      <formula>AND($N68 &lt; 0, ISNUMBER($N68))</formula>
    </cfRule>
    <cfRule type="expression" dxfId="813" priority="53">
      <formula>AND($K68 &gt; 0, ISNUMBER($K68))</formula>
    </cfRule>
    <cfRule type="expression" dxfId="812" priority="54">
      <formula>AND($K68 &lt; 0, ISNUMBER($K68))</formula>
    </cfRule>
    <cfRule type="expression" dxfId="811" priority="55">
      <formula>AND($H68 &gt; 0, ISNUMBER($H68))</formula>
    </cfRule>
    <cfRule type="expression" dxfId="810" priority="56">
      <formula>AND($H68 &lt; 0, ISNUMBER($H68))</formula>
    </cfRule>
    <cfRule type="expression" dxfId="809" priority="57">
      <formula>AND($E68 &gt; 0, ISNUMBER($E68))</formula>
    </cfRule>
    <cfRule type="expression" dxfId="808" priority="58">
      <formula>AND($E68 &lt; 0, ISNUMBER($E68))</formula>
    </cfRule>
  </conditionalFormatting>
  <conditionalFormatting sqref="D66:F67 E78:F78">
    <cfRule type="expression" dxfId="807" priority="49">
      <formula>$E$78&gt;0</formula>
    </cfRule>
    <cfRule type="expression" dxfId="806" priority="50">
      <formula>$E$78&lt;0</formula>
    </cfRule>
  </conditionalFormatting>
  <conditionalFormatting sqref="G66:I67 H78:I78">
    <cfRule type="expression" dxfId="805" priority="47">
      <formula>$H$78&gt;0</formula>
    </cfRule>
    <cfRule type="expression" dxfId="804" priority="48">
      <formula>$H$78&lt;0</formula>
    </cfRule>
  </conditionalFormatting>
  <conditionalFormatting sqref="J66:L67 K78:L78">
    <cfRule type="expression" dxfId="803" priority="45">
      <formula>$K$78&gt;0</formula>
    </cfRule>
    <cfRule type="expression" dxfId="802" priority="46">
      <formula>$K$78&lt;0</formula>
    </cfRule>
  </conditionalFormatting>
  <conditionalFormatting sqref="M66:O67 N78:O78">
    <cfRule type="expression" dxfId="801" priority="43">
      <formula>$N$78&gt;0</formula>
    </cfRule>
    <cfRule type="expression" dxfId="800" priority="44">
      <formula>$N$78&lt;0</formula>
    </cfRule>
  </conditionalFormatting>
  <conditionalFormatting sqref="A85:O94">
    <cfRule type="expression" dxfId="799" priority="35">
      <formula>AND($N85 &gt; 0, ISNUMBER($N85))</formula>
    </cfRule>
    <cfRule type="expression" dxfId="798" priority="36">
      <formula>AND($N85 &lt; 0, ISNUMBER($N85))</formula>
    </cfRule>
    <cfRule type="expression" dxfId="797" priority="37">
      <formula>AND($K85 &gt; 0, ISNUMBER($K85))</formula>
    </cfRule>
    <cfRule type="expression" dxfId="796" priority="38">
      <formula>AND($K85 &lt; 0, ISNUMBER($K85))</formula>
    </cfRule>
    <cfRule type="expression" dxfId="795" priority="39">
      <formula>AND($H85 &gt; 0, ISNUMBER($H85))</formula>
    </cfRule>
    <cfRule type="expression" dxfId="794" priority="40">
      <formula>AND($H85 &lt; 0, ISNUMBER($H85))</formula>
    </cfRule>
    <cfRule type="expression" dxfId="793" priority="41">
      <formula>AND($E85 &gt; 0, ISNUMBER($E85))</formula>
    </cfRule>
    <cfRule type="expression" dxfId="792" priority="42">
      <formula>AND($E85 &lt; 0, ISNUMBER($E85))</formula>
    </cfRule>
  </conditionalFormatting>
  <conditionalFormatting sqref="D83:F84 E95:F95">
    <cfRule type="expression" dxfId="791" priority="33">
      <formula>$E$95&gt;0</formula>
    </cfRule>
    <cfRule type="expression" dxfId="790" priority="34">
      <formula>$E$95&lt;0</formula>
    </cfRule>
  </conditionalFormatting>
  <conditionalFormatting sqref="G83:I84 H95:I95">
    <cfRule type="expression" dxfId="789" priority="31">
      <formula>$H$95&gt;0</formula>
    </cfRule>
    <cfRule type="expression" dxfId="788" priority="32">
      <formula>$H$95&lt;0</formula>
    </cfRule>
  </conditionalFormatting>
  <conditionalFormatting sqref="J83:L84 K95:L95">
    <cfRule type="expression" dxfId="787" priority="29">
      <formula>$K$95&gt;0</formula>
    </cfRule>
    <cfRule type="expression" dxfId="786" priority="30">
      <formula>$K$95&lt;0</formula>
    </cfRule>
  </conditionalFormatting>
  <conditionalFormatting sqref="M83:O84 N95:O95">
    <cfRule type="expression" dxfId="785" priority="27">
      <formula>$N$95&gt;0</formula>
    </cfRule>
    <cfRule type="expression" dxfId="784" priority="28">
      <formula>$N$95&lt;0</formula>
    </cfRule>
  </conditionalFormatting>
  <conditionalFormatting sqref="A102:O111">
    <cfRule type="expression" dxfId="783" priority="19">
      <formula>AND($N102 &gt; 0, ISNUMBER($N102))</formula>
    </cfRule>
    <cfRule type="expression" dxfId="782" priority="20">
      <formula>AND($N102 &lt; 0, ISNUMBER($N102))</formula>
    </cfRule>
    <cfRule type="expression" dxfId="781" priority="21">
      <formula>AND($K102 &gt; 0, ISNUMBER($K102))</formula>
    </cfRule>
    <cfRule type="expression" dxfId="780" priority="22">
      <formula>AND($K102 &lt; 0, ISNUMBER($K102))</formula>
    </cfRule>
    <cfRule type="expression" dxfId="779" priority="23">
      <formula>AND($H102 &gt; 0, ISNUMBER($H102))</formula>
    </cfRule>
    <cfRule type="expression" dxfId="778" priority="24">
      <formula>AND($H102 &lt; 0, ISNUMBER($H102))</formula>
    </cfRule>
    <cfRule type="expression" dxfId="777" priority="25">
      <formula>AND($E102 &gt; 0, ISNUMBER($E102))</formula>
    </cfRule>
    <cfRule type="expression" dxfId="776" priority="26">
      <formula>AND($E102 &lt; 0, ISNUMBER($E102))</formula>
    </cfRule>
  </conditionalFormatting>
  <conditionalFormatting sqref="D100:F101 E112:F112">
    <cfRule type="expression" dxfId="775" priority="17">
      <formula>$E$112&gt;0</formula>
    </cfRule>
    <cfRule type="expression" dxfId="774" priority="18">
      <formula>$E$112&lt;0</formula>
    </cfRule>
  </conditionalFormatting>
  <conditionalFormatting sqref="G100:I101 H112:I112">
    <cfRule type="expression" dxfId="773" priority="15">
      <formula>$H$112&gt;0</formula>
    </cfRule>
    <cfRule type="expression" dxfId="772" priority="16">
      <formula>$H$112&lt;0</formula>
    </cfRule>
  </conditionalFormatting>
  <conditionalFormatting sqref="J100:L101 K112:L112">
    <cfRule type="expression" dxfId="771" priority="13">
      <formula>$K$112&gt;0</formula>
    </cfRule>
    <cfRule type="expression" dxfId="770" priority="14">
      <formula>$K$112&lt;0</formula>
    </cfRule>
  </conditionalFormatting>
  <conditionalFormatting sqref="M100:O101 N112:O112">
    <cfRule type="expression" dxfId="769" priority="11">
      <formula>$N$112&gt;0</formula>
    </cfRule>
    <cfRule type="expression" dxfId="768" priority="12">
      <formula>$N$112&lt;0</formula>
    </cfRule>
  </conditionalFormatting>
  <conditionalFormatting sqref="G2:I3">
    <cfRule type="expression" dxfId="76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6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6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6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6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6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6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6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5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5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44300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02"/>
      <c r="I9" s="203"/>
      <c r="J9" s="1" t="s">
        <v>28</v>
      </c>
      <c r="K9" s="198" t="s">
        <v>225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42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37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06"/>
      <c r="R16" s="207"/>
    </row>
    <row r="17" spans="1:18" ht="17.25" customHeight="1">
      <c r="A17" s="39" t="s">
        <v>198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04"/>
      <c r="R17" s="205"/>
    </row>
    <row r="18" spans="1:18" ht="17.25" customHeight="1">
      <c r="A18" s="40" t="s">
        <v>212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04"/>
      <c r="R18" s="205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04"/>
      <c r="R19" s="205"/>
    </row>
    <row r="20" spans="1:18" ht="17.25" customHeight="1">
      <c r="A20" s="40" t="s">
        <v>231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04"/>
      <c r="R20" s="205"/>
    </row>
    <row r="21" spans="1:18" ht="17.25" customHeight="1">
      <c r="A21" s="41" t="s">
        <v>196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04"/>
      <c r="R21" s="205"/>
    </row>
    <row r="22" spans="1:18" ht="17.25" customHeight="1">
      <c r="A22" s="40" t="s">
        <v>170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04"/>
      <c r="R22" s="205"/>
    </row>
    <row r="23" spans="1:18" ht="17.25" customHeight="1">
      <c r="A23" s="40" t="s">
        <v>230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04"/>
      <c r="R23" s="205"/>
    </row>
    <row r="24" spans="1:18" ht="17.25" customHeight="1">
      <c r="A24" s="40" t="s">
        <v>129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04"/>
      <c r="R24" s="205"/>
    </row>
    <row r="25" spans="1:18" ht="17.25" customHeight="1">
      <c r="A25" s="40" t="s">
        <v>242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06"/>
      <c r="R25" s="207"/>
    </row>
    <row r="26" spans="1:18" ht="17.25" customHeight="1" thickBot="1">
      <c r="A26" s="42" t="s">
        <v>203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37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31"/>
      <c r="R33" s="232"/>
    </row>
    <row r="34" spans="1:18" ht="17.25" customHeight="1">
      <c r="A34" s="9" t="s">
        <v>140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29"/>
      <c r="R34" s="230"/>
    </row>
    <row r="35" spans="1:18" ht="17.25" customHeight="1">
      <c r="A35" s="11" t="s">
        <v>161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29"/>
      <c r="R35" s="230"/>
    </row>
    <row r="36" spans="1:18" ht="17.25" customHeight="1">
      <c r="A36" s="11" t="s">
        <v>169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29"/>
      <c r="R36" s="230"/>
    </row>
    <row r="37" spans="1:18" ht="17.25" customHeight="1">
      <c r="A37" s="11" t="s">
        <v>122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29"/>
      <c r="R37" s="230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29"/>
      <c r="R38" s="230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29"/>
      <c r="R39" s="230"/>
    </row>
    <row r="40" spans="1:18" ht="17.25" customHeight="1">
      <c r="A40" s="11" t="s">
        <v>137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29"/>
      <c r="R40" s="230"/>
    </row>
    <row r="41" spans="1:18" ht="17.25" customHeight="1">
      <c r="A41" s="11" t="s">
        <v>147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29"/>
      <c r="R41" s="230"/>
    </row>
    <row r="42" spans="1:18" ht="17.25" customHeight="1">
      <c r="A42" s="11" t="s">
        <v>108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31"/>
      <c r="R42" s="232"/>
    </row>
    <row r="43" spans="1:18" ht="17.25" customHeight="1" thickBot="1">
      <c r="A43" s="13" t="s">
        <v>152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37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31"/>
      <c r="R50" s="232"/>
    </row>
    <row r="51" spans="1:18" ht="17.25" customHeight="1">
      <c r="A51" s="9" t="s">
        <v>126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29"/>
      <c r="R51" s="230"/>
    </row>
    <row r="52" spans="1:18" ht="17.25" customHeight="1">
      <c r="A52" s="11" t="s">
        <v>164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29"/>
      <c r="R52" s="230"/>
    </row>
    <row r="53" spans="1:18" ht="17.25" customHeight="1">
      <c r="A53" s="11" t="s">
        <v>135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29"/>
      <c r="R53" s="230"/>
    </row>
    <row r="54" spans="1:18" ht="17.25" customHeight="1">
      <c r="A54" s="11" t="s">
        <v>139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29"/>
      <c r="R54" s="230"/>
    </row>
    <row r="55" spans="1:18" ht="17.25" customHeight="1">
      <c r="A55" s="8" t="s">
        <v>149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29"/>
      <c r="R55" s="230"/>
    </row>
    <row r="56" spans="1:18" ht="17.25" customHeight="1">
      <c r="A56" s="11" t="s">
        <v>232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37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31"/>
      <c r="R67" s="232"/>
    </row>
    <row r="68" spans="1:18" ht="17.25" customHeight="1">
      <c r="A68" s="9" t="s">
        <v>174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29"/>
      <c r="R68" s="230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29"/>
      <c r="R69" s="230"/>
    </row>
    <row r="70" spans="1:18" ht="17.25" customHeight="1">
      <c r="A70" s="11" t="s">
        <v>170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29"/>
      <c r="R70" s="230"/>
    </row>
    <row r="71" spans="1:18" ht="17.25" customHeight="1">
      <c r="A71" s="11" t="s">
        <v>129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29"/>
      <c r="R71" s="230"/>
    </row>
    <row r="72" spans="1:18" ht="17.25" customHeight="1">
      <c r="A72" s="8" t="s">
        <v>172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29"/>
      <c r="R72" s="230"/>
    </row>
    <row r="73" spans="1:18" ht="17.25" customHeight="1">
      <c r="A73" s="11" t="s">
        <v>178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29"/>
      <c r="R73" s="230"/>
    </row>
    <row r="74" spans="1:18" ht="17.25" customHeight="1">
      <c r="A74" s="11" t="s">
        <v>119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29"/>
      <c r="R74" s="230"/>
    </row>
    <row r="75" spans="1:18" ht="17.25" customHeight="1">
      <c r="A75" s="11" t="s">
        <v>220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29"/>
      <c r="R75" s="230"/>
    </row>
    <row r="76" spans="1:18" ht="17.25" customHeight="1">
      <c r="A76" s="11" t="s">
        <v>154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31"/>
      <c r="R76" s="232"/>
    </row>
    <row r="77" spans="1:18" ht="17.25" customHeight="1" thickBot="1">
      <c r="A77" s="13" t="s">
        <v>120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37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31"/>
      <c r="R84" s="232"/>
    </row>
    <row r="85" spans="1:18" ht="17.25" customHeight="1">
      <c r="A85" s="9" t="s">
        <v>116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29"/>
      <c r="R85" s="230"/>
    </row>
    <row r="86" spans="1:18" ht="17.25" customHeight="1">
      <c r="A86" s="11" t="s">
        <v>177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29"/>
      <c r="R86" s="230"/>
    </row>
    <row r="87" spans="1:18" ht="17.25" customHeight="1">
      <c r="A87" s="11" t="s">
        <v>142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29"/>
      <c r="R87" s="230"/>
    </row>
    <row r="88" spans="1:18" ht="17.25" customHeight="1">
      <c r="A88" s="11" t="s">
        <v>148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29"/>
      <c r="R88" s="230"/>
    </row>
    <row r="89" spans="1:18" ht="17.25" customHeight="1">
      <c r="A89" s="8" t="s">
        <v>114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29"/>
      <c r="R89" s="230"/>
    </row>
    <row r="90" spans="1:18" ht="17.25" customHeight="1">
      <c r="A90" s="11" t="s">
        <v>141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29"/>
      <c r="R90" s="230"/>
    </row>
    <row r="91" spans="1:18" ht="17.25" customHeight="1">
      <c r="A91" s="11" t="s">
        <v>181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29"/>
      <c r="R91" s="230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29"/>
      <c r="R92" s="230"/>
    </row>
    <row r="93" spans="1:18" ht="17.25" customHeight="1">
      <c r="A93" s="11" t="s">
        <v>133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31"/>
      <c r="R93" s="232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37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31"/>
      <c r="R101" s="232"/>
    </row>
    <row r="102" spans="1:18" ht="17.25" customHeight="1">
      <c r="A102" s="9" t="s">
        <v>140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29"/>
      <c r="R102" s="230"/>
    </row>
    <row r="103" spans="1:18" ht="17.25" customHeight="1">
      <c r="A103" s="11" t="s">
        <v>174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29"/>
      <c r="R103" s="230"/>
    </row>
    <row r="104" spans="1:18" ht="17.25" customHeight="1">
      <c r="A104" s="11" t="s">
        <v>198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29"/>
      <c r="R104" s="230"/>
    </row>
    <row r="105" spans="1:18" ht="17.25" customHeight="1">
      <c r="A105" s="11" t="s">
        <v>212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29"/>
      <c r="R105" s="230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29"/>
      <c r="R106" s="230"/>
    </row>
    <row r="107" spans="1:18" ht="17.25" customHeight="1">
      <c r="A107" s="11" t="s">
        <v>231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29"/>
      <c r="R107" s="230"/>
    </row>
    <row r="108" spans="1:18" ht="17.25" customHeight="1">
      <c r="A108" s="11" t="s">
        <v>196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29"/>
      <c r="R108" s="230"/>
    </row>
    <row r="109" spans="1:18" ht="17.25" customHeight="1">
      <c r="A109" s="11" t="s">
        <v>170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29"/>
      <c r="R109" s="230"/>
    </row>
    <row r="110" spans="1:18" ht="17.25" customHeight="1">
      <c r="A110" s="11" t="s">
        <v>230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31"/>
      <c r="R110" s="232"/>
    </row>
    <row r="111" spans="1:18" ht="17.25" customHeight="1" thickBot="1">
      <c r="A111" s="13" t="s">
        <v>129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33"/>
      <c r="R112" s="23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57" priority="89">
      <formula>$E$27&gt;0</formula>
    </cfRule>
    <cfRule type="expression" dxfId="756" priority="90">
      <formula>$E$27&lt;0</formula>
    </cfRule>
  </conditionalFormatting>
  <conditionalFormatting sqref="G15:I16 H27:I27">
    <cfRule type="expression" dxfId="755" priority="87">
      <formula>$H$27&gt;0</formula>
    </cfRule>
    <cfRule type="expression" dxfId="754" priority="88">
      <formula>$H$27&lt;0</formula>
    </cfRule>
  </conditionalFormatting>
  <conditionalFormatting sqref="J15:L16 K27:L27">
    <cfRule type="expression" dxfId="753" priority="85">
      <formula>$K$27&gt;0</formula>
    </cfRule>
    <cfRule type="expression" dxfId="752" priority="86">
      <formula>$K$27&lt;0</formula>
    </cfRule>
  </conditionalFormatting>
  <conditionalFormatting sqref="M15:O16 N27:O27">
    <cfRule type="expression" dxfId="751" priority="83">
      <formula>$N$27&gt;0</formula>
    </cfRule>
    <cfRule type="expression" dxfId="750" priority="84">
      <formula>$N$27&lt;0</formula>
    </cfRule>
  </conditionalFormatting>
  <conditionalFormatting sqref="A17:O26 A34:O43">
    <cfRule type="expression" dxfId="749" priority="91">
      <formula>AND($N17 &gt; 0, ISNUMBER($N17))</formula>
    </cfRule>
    <cfRule type="expression" dxfId="748" priority="92">
      <formula>AND($N17 &lt; 0, ISNUMBER($N17))</formula>
    </cfRule>
    <cfRule type="expression" dxfId="747" priority="93">
      <formula>AND($K17 &gt; 0, ISNUMBER($K17))</formula>
    </cfRule>
    <cfRule type="expression" dxfId="746" priority="94">
      <formula>AND($K17 &lt; 0, ISNUMBER($K17))</formula>
    </cfRule>
    <cfRule type="expression" dxfId="745" priority="95">
      <formula>AND($H17 &gt; 0, ISNUMBER($H17))</formula>
    </cfRule>
    <cfRule type="expression" dxfId="744" priority="96">
      <formula>AND($H17 &lt; 0, ISNUMBER($H17))</formula>
    </cfRule>
    <cfRule type="expression" dxfId="743" priority="97">
      <formula>AND($E17 &gt; 0, ISNUMBER($E17))</formula>
    </cfRule>
    <cfRule type="expression" dxfId="742" priority="98">
      <formula>AND($E17 &lt; 0, ISNUMBER($E17))</formula>
    </cfRule>
  </conditionalFormatting>
  <conditionalFormatting sqref="D32:F33 E44:F44">
    <cfRule type="expression" dxfId="741" priority="81">
      <formula>$E$44&gt;0</formula>
    </cfRule>
    <cfRule type="expression" dxfId="740" priority="82">
      <formula>$E$44&lt;0</formula>
    </cfRule>
  </conditionalFormatting>
  <conditionalFormatting sqref="G32:I33 H44:I44">
    <cfRule type="expression" dxfId="739" priority="79">
      <formula>$H$44&gt;0</formula>
    </cfRule>
    <cfRule type="expression" dxfId="738" priority="80">
      <formula>$H$44&lt;0</formula>
    </cfRule>
  </conditionalFormatting>
  <conditionalFormatting sqref="J32:L33 K44:L44">
    <cfRule type="expression" dxfId="737" priority="77">
      <formula>$K$44&gt;0</formula>
    </cfRule>
    <cfRule type="expression" dxfId="736" priority="78">
      <formula>$K$44&lt;0</formula>
    </cfRule>
  </conditionalFormatting>
  <conditionalFormatting sqref="M32:O33 N44:O44">
    <cfRule type="expression" dxfId="735" priority="75">
      <formula>$N$44&gt;0</formula>
    </cfRule>
    <cfRule type="expression" dxfId="734" priority="76">
      <formula>$N$44&lt;0</formula>
    </cfRule>
  </conditionalFormatting>
  <conditionalFormatting sqref="A51:O60">
    <cfRule type="expression" dxfId="733" priority="67">
      <formula>AND($N51 &gt; 0, ISNUMBER($N51))</formula>
    </cfRule>
    <cfRule type="expression" dxfId="732" priority="68">
      <formula>AND($N51 &lt; 0, ISNUMBER($N51))</formula>
    </cfRule>
    <cfRule type="expression" dxfId="731" priority="69">
      <formula>AND($K51 &gt; 0, ISNUMBER($K51))</formula>
    </cfRule>
    <cfRule type="expression" dxfId="730" priority="70">
      <formula>AND($K51 &lt; 0, ISNUMBER($K51))</formula>
    </cfRule>
    <cfRule type="expression" dxfId="729" priority="71">
      <formula>AND($H51 &gt; 0, ISNUMBER($H51))</formula>
    </cfRule>
    <cfRule type="expression" dxfId="728" priority="72">
      <formula>AND($H51 &lt; 0, ISNUMBER($H51))</formula>
    </cfRule>
    <cfRule type="expression" dxfId="727" priority="73">
      <formula>AND($E51 &gt; 0, ISNUMBER($E51))</formula>
    </cfRule>
    <cfRule type="expression" dxfId="726" priority="74">
      <formula>AND($E51 &lt; 0, ISNUMBER($E51))</formula>
    </cfRule>
  </conditionalFormatting>
  <conditionalFormatting sqref="D49:F50 E61:F61">
    <cfRule type="expression" dxfId="725" priority="65">
      <formula>$E$61&gt;0</formula>
    </cfRule>
    <cfRule type="expression" dxfId="724" priority="66">
      <formula>$E$61&lt;0</formula>
    </cfRule>
  </conditionalFormatting>
  <conditionalFormatting sqref="G49:I50 H61:I61">
    <cfRule type="expression" dxfId="723" priority="63">
      <formula>$H$61&gt;0</formula>
    </cfRule>
    <cfRule type="expression" dxfId="722" priority="64">
      <formula>$H$61&lt;0</formula>
    </cfRule>
  </conditionalFormatting>
  <conditionalFormatting sqref="J49:L50 K61:L61">
    <cfRule type="expression" dxfId="721" priority="61">
      <formula>$K$61&gt;0</formula>
    </cfRule>
    <cfRule type="expression" dxfId="720" priority="62">
      <formula>$K$61&lt;0</formula>
    </cfRule>
  </conditionalFormatting>
  <conditionalFormatting sqref="M49:O50 N61:O61">
    <cfRule type="expression" dxfId="719" priority="59">
      <formula>$N$61&gt;0</formula>
    </cfRule>
    <cfRule type="expression" dxfId="718" priority="60">
      <formula>$N$61&lt;0</formula>
    </cfRule>
  </conditionalFormatting>
  <conditionalFormatting sqref="A68:O77">
    <cfRule type="expression" dxfId="717" priority="51">
      <formula>AND($N68 &gt; 0, ISNUMBER($N68))</formula>
    </cfRule>
    <cfRule type="expression" dxfId="716" priority="52">
      <formula>AND($N68 &lt; 0, ISNUMBER($N68))</formula>
    </cfRule>
    <cfRule type="expression" dxfId="715" priority="53">
      <formula>AND($K68 &gt; 0, ISNUMBER($K68))</formula>
    </cfRule>
    <cfRule type="expression" dxfId="714" priority="54">
      <formula>AND($K68 &lt; 0, ISNUMBER($K68))</formula>
    </cfRule>
    <cfRule type="expression" dxfId="713" priority="55">
      <formula>AND($H68 &gt; 0, ISNUMBER($H68))</formula>
    </cfRule>
    <cfRule type="expression" dxfId="712" priority="56">
      <formula>AND($H68 &lt; 0, ISNUMBER($H68))</formula>
    </cfRule>
    <cfRule type="expression" dxfId="711" priority="57">
      <formula>AND($E68 &gt; 0, ISNUMBER($E68))</formula>
    </cfRule>
    <cfRule type="expression" dxfId="710" priority="58">
      <formula>AND($E68 &lt; 0, ISNUMBER($E68))</formula>
    </cfRule>
  </conditionalFormatting>
  <conditionalFormatting sqref="D66:F67 E78:F78">
    <cfRule type="expression" dxfId="709" priority="49">
      <formula>$E$78&gt;0</formula>
    </cfRule>
    <cfRule type="expression" dxfId="708" priority="50">
      <formula>$E$78&lt;0</formula>
    </cfRule>
  </conditionalFormatting>
  <conditionalFormatting sqref="G66:I67 H78:I78">
    <cfRule type="expression" dxfId="707" priority="47">
      <formula>$H$78&gt;0</formula>
    </cfRule>
    <cfRule type="expression" dxfId="706" priority="48">
      <formula>$H$78&lt;0</formula>
    </cfRule>
  </conditionalFormatting>
  <conditionalFormatting sqref="J66:L67 K78:L78">
    <cfRule type="expression" dxfId="705" priority="45">
      <formula>$K$78&gt;0</formula>
    </cfRule>
    <cfRule type="expression" dxfId="704" priority="46">
      <formula>$K$78&lt;0</formula>
    </cfRule>
  </conditionalFormatting>
  <conditionalFormatting sqref="M66:O67 N78:O78">
    <cfRule type="expression" dxfId="703" priority="43">
      <formula>$N$78&gt;0</formula>
    </cfRule>
    <cfRule type="expression" dxfId="702" priority="44">
      <formula>$N$78&lt;0</formula>
    </cfRule>
  </conditionalFormatting>
  <conditionalFormatting sqref="A85:O94">
    <cfRule type="expression" dxfId="701" priority="35">
      <formula>AND($N85 &gt; 0, ISNUMBER($N85))</formula>
    </cfRule>
    <cfRule type="expression" dxfId="700" priority="36">
      <formula>AND($N85 &lt; 0, ISNUMBER($N85))</formula>
    </cfRule>
    <cfRule type="expression" dxfId="699" priority="37">
      <formula>AND($K85 &gt; 0, ISNUMBER($K85))</formula>
    </cfRule>
    <cfRule type="expression" dxfId="698" priority="38">
      <formula>AND($K85 &lt; 0, ISNUMBER($K85))</formula>
    </cfRule>
    <cfRule type="expression" dxfId="697" priority="39">
      <formula>AND($H85 &gt; 0, ISNUMBER($H85))</formula>
    </cfRule>
    <cfRule type="expression" dxfId="696" priority="40">
      <formula>AND($H85 &lt; 0, ISNUMBER($H85))</formula>
    </cfRule>
    <cfRule type="expression" dxfId="695" priority="41">
      <formula>AND($E85 &gt; 0, ISNUMBER($E85))</formula>
    </cfRule>
    <cfRule type="expression" dxfId="694" priority="42">
      <formula>AND($E85 &lt; 0, ISNUMBER($E85))</formula>
    </cfRule>
  </conditionalFormatting>
  <conditionalFormatting sqref="D83:F84 E95:F95">
    <cfRule type="expression" dxfId="693" priority="33">
      <formula>$E$95&gt;0</formula>
    </cfRule>
    <cfRule type="expression" dxfId="692" priority="34">
      <formula>$E$95&lt;0</formula>
    </cfRule>
  </conditionalFormatting>
  <conditionalFormatting sqref="G83:I84 H95:I95">
    <cfRule type="expression" dxfId="691" priority="31">
      <formula>$H$95&gt;0</formula>
    </cfRule>
    <cfRule type="expression" dxfId="690" priority="32">
      <formula>$H$95&lt;0</formula>
    </cfRule>
  </conditionalFormatting>
  <conditionalFormatting sqref="J83:L84 K95:L95">
    <cfRule type="expression" dxfId="689" priority="29">
      <formula>$K$95&gt;0</formula>
    </cfRule>
    <cfRule type="expression" dxfId="688" priority="30">
      <formula>$K$95&lt;0</formula>
    </cfRule>
  </conditionalFormatting>
  <conditionalFormatting sqref="M83:O84 N95:O95">
    <cfRule type="expression" dxfId="687" priority="27">
      <formula>$N$95&gt;0</formula>
    </cfRule>
    <cfRule type="expression" dxfId="686" priority="28">
      <formula>$N$95&lt;0</formula>
    </cfRule>
  </conditionalFormatting>
  <conditionalFormatting sqref="A102:O111">
    <cfRule type="expression" dxfId="685" priority="19">
      <formula>AND($N102 &gt; 0, ISNUMBER($N102))</formula>
    </cfRule>
    <cfRule type="expression" dxfId="684" priority="20">
      <formula>AND($N102 &lt; 0, ISNUMBER($N102))</formula>
    </cfRule>
    <cfRule type="expression" dxfId="683" priority="21">
      <formula>AND($K102 &gt; 0, ISNUMBER($K102))</formula>
    </cfRule>
    <cfRule type="expression" dxfId="682" priority="22">
      <formula>AND($K102 &lt; 0, ISNUMBER($K102))</formula>
    </cfRule>
    <cfRule type="expression" dxfId="681" priority="23">
      <formula>AND($H102 &gt; 0, ISNUMBER($H102))</formula>
    </cfRule>
    <cfRule type="expression" dxfId="680" priority="24">
      <formula>AND($H102 &lt; 0, ISNUMBER($H102))</formula>
    </cfRule>
    <cfRule type="expression" dxfId="679" priority="25">
      <formula>AND($E102 &gt; 0, ISNUMBER($E102))</formula>
    </cfRule>
    <cfRule type="expression" dxfId="678" priority="26">
      <formula>AND($E102 &lt; 0, ISNUMBER($E102))</formula>
    </cfRule>
  </conditionalFormatting>
  <conditionalFormatting sqref="D100:F101 E112:F112">
    <cfRule type="expression" dxfId="677" priority="17">
      <formula>$E$112&gt;0</formula>
    </cfRule>
    <cfRule type="expression" dxfId="676" priority="18">
      <formula>$E$112&lt;0</formula>
    </cfRule>
  </conditionalFormatting>
  <conditionalFormatting sqref="G100:I101 H112:I112">
    <cfRule type="expression" dxfId="675" priority="15">
      <formula>$H$112&gt;0</formula>
    </cfRule>
    <cfRule type="expression" dxfId="674" priority="16">
      <formula>$H$112&lt;0</formula>
    </cfRule>
  </conditionalFormatting>
  <conditionalFormatting sqref="J100:L101 K112:L112">
    <cfRule type="expression" dxfId="673" priority="13">
      <formula>$K$112&gt;0</formula>
    </cfRule>
    <cfRule type="expression" dxfId="672" priority="14">
      <formula>$K$112&lt;0</formula>
    </cfRule>
  </conditionalFormatting>
  <conditionalFormatting sqref="M100:O101 N112:O112">
    <cfRule type="expression" dxfId="671" priority="11">
      <formula>$N$112&gt;0</formula>
    </cfRule>
    <cfRule type="expression" dxfId="670" priority="12">
      <formula>$N$112&lt;0</formula>
    </cfRule>
  </conditionalFormatting>
  <conditionalFormatting sqref="G2:I3">
    <cfRule type="expression" dxfId="66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6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6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6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6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6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6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6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6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6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44301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02"/>
      <c r="I9" s="203"/>
      <c r="J9" s="1" t="s">
        <v>28</v>
      </c>
      <c r="K9" s="198" t="s">
        <v>225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45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44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06"/>
      <c r="R16" s="207"/>
    </row>
    <row r="17" spans="1:18" ht="17.25" customHeight="1">
      <c r="A17" s="39" t="s">
        <v>169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04"/>
      <c r="R17" s="205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04"/>
      <c r="R18" s="205"/>
    </row>
    <row r="19" spans="1:18" ht="17.25" customHeight="1">
      <c r="A19" s="40" t="s">
        <v>129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04"/>
      <c r="R19" s="205"/>
    </row>
    <row r="20" spans="1:18" ht="17.25" customHeight="1">
      <c r="A20" s="40" t="s">
        <v>232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04"/>
      <c r="R20" s="205"/>
    </row>
    <row r="21" spans="1:18" ht="17.25" customHeight="1">
      <c r="A21" s="41" t="s">
        <v>243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04"/>
      <c r="R21" s="205"/>
    </row>
    <row r="22" spans="1:18" ht="17.25" customHeight="1">
      <c r="A22" s="40" t="s">
        <v>201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04"/>
      <c r="R22" s="205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04"/>
      <c r="R23" s="20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4"/>
      <c r="R24" s="20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6"/>
      <c r="R25" s="20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44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31"/>
      <c r="R33" s="232"/>
    </row>
    <row r="34" spans="1:18" ht="17.25" customHeight="1">
      <c r="A34" s="9" t="s">
        <v>169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29"/>
      <c r="R34" s="230"/>
    </row>
    <row r="35" spans="1:18" ht="17.25" customHeight="1">
      <c r="A35" s="11" t="s">
        <v>147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29"/>
      <c r="R35" s="230"/>
    </row>
    <row r="36" spans="1:18" ht="17.25" customHeight="1">
      <c r="A36" s="11" t="s">
        <v>149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29"/>
      <c r="R36" s="230"/>
    </row>
    <row r="37" spans="1:18" ht="17.25" customHeight="1">
      <c r="A37" s="11" t="s">
        <v>131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29"/>
      <c r="R37" s="230"/>
    </row>
    <row r="38" spans="1:18" ht="17.25" customHeight="1">
      <c r="A38" s="8" t="s">
        <v>161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29"/>
      <c r="R38" s="230"/>
    </row>
    <row r="39" spans="1:18" ht="17.25" customHeight="1">
      <c r="A39" s="11" t="s">
        <v>108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29"/>
      <c r="R39" s="230"/>
    </row>
    <row r="40" spans="1:18" ht="17.25" customHeight="1">
      <c r="A40" s="11" t="s">
        <v>122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29"/>
      <c r="R40" s="230"/>
    </row>
    <row r="41" spans="1:18" ht="17.25" customHeight="1">
      <c r="A41" s="11" t="s">
        <v>150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29"/>
      <c r="R41" s="230"/>
    </row>
    <row r="42" spans="1:18" ht="17.25" customHeight="1">
      <c r="A42" s="11" t="s">
        <v>139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31"/>
      <c r="R42" s="232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44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31"/>
      <c r="R50" s="232"/>
    </row>
    <row r="51" spans="1:18" ht="17.25" customHeight="1">
      <c r="A51" s="9" t="s">
        <v>164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29"/>
      <c r="R51" s="230"/>
    </row>
    <row r="52" spans="1:18" ht="17.25" customHeight="1">
      <c r="A52" s="11" t="s">
        <v>137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29"/>
      <c r="R52" s="230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29"/>
      <c r="R53" s="230"/>
    </row>
    <row r="54" spans="1:18" ht="17.25" customHeight="1">
      <c r="A54" s="11" t="s">
        <v>135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29"/>
      <c r="R54" s="230"/>
    </row>
    <row r="55" spans="1:18" ht="17.25" customHeight="1">
      <c r="A55" s="8" t="s">
        <v>126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29"/>
      <c r="R55" s="230"/>
    </row>
    <row r="56" spans="1:18" ht="17.25" customHeight="1">
      <c r="A56" s="11" t="s">
        <v>140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44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31"/>
      <c r="R67" s="232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29"/>
      <c r="R68" s="230"/>
    </row>
    <row r="69" spans="1:18" ht="17.25" customHeight="1">
      <c r="A69" t="s">
        <v>152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29"/>
      <c r="R69" s="230"/>
    </row>
    <row r="70" spans="1:18" ht="17.25" customHeight="1">
      <c r="A70" t="s">
        <v>220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29"/>
      <c r="R70" s="230"/>
    </row>
    <row r="71" spans="1:18" ht="17.25" customHeight="1">
      <c r="A71" t="s">
        <v>129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29"/>
      <c r="R71" s="230"/>
    </row>
    <row r="72" spans="1:18" ht="17.25" customHeight="1">
      <c r="A72" t="s">
        <v>119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29"/>
      <c r="R72" s="230"/>
    </row>
    <row r="73" spans="1:18" ht="17.25" customHeight="1">
      <c r="A73" t="s">
        <v>120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29"/>
      <c r="R73" s="230"/>
    </row>
    <row r="74" spans="1:18" ht="17.25" customHeight="1">
      <c r="A74" t="s">
        <v>178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29"/>
      <c r="R74" s="230"/>
    </row>
    <row r="75" spans="1:18" ht="17.25" customHeight="1">
      <c r="A75" t="s">
        <v>181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29"/>
      <c r="R75" s="230"/>
    </row>
    <row r="76" spans="1:18" ht="17.25" customHeight="1">
      <c r="A76" t="s">
        <v>154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31"/>
      <c r="R76" s="232"/>
    </row>
    <row r="77" spans="1:18" ht="17.25" customHeight="1" thickBot="1">
      <c r="A77" t="s">
        <v>128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44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31"/>
      <c r="R84" s="232"/>
    </row>
    <row r="85" spans="1:18" ht="17.25" customHeight="1">
      <c r="A85" s="9" t="s">
        <v>142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29"/>
      <c r="R85" s="230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29"/>
      <c r="R86" s="230"/>
    </row>
    <row r="87" spans="1:18" ht="17.25" customHeight="1">
      <c r="A87" s="11" t="s">
        <v>170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29"/>
      <c r="R87" s="230"/>
    </row>
    <row r="88" spans="1:18" ht="17.25" customHeight="1">
      <c r="A88" s="11" t="s">
        <v>144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29"/>
      <c r="R88" s="230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29"/>
      <c r="R89" s="230"/>
    </row>
    <row r="90" spans="1:18" ht="17.25" customHeight="1">
      <c r="A90" s="11" t="s">
        <v>163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29"/>
      <c r="R90" s="230"/>
    </row>
    <row r="91" spans="1:18" ht="17.25" customHeight="1">
      <c r="A91" s="11" t="s">
        <v>174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29"/>
      <c r="R91" s="230"/>
    </row>
    <row r="92" spans="1:18" ht="17.25" customHeight="1">
      <c r="A92" s="11" t="s">
        <v>124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29"/>
      <c r="R92" s="230"/>
    </row>
    <row r="93" spans="1:18" ht="17.25" customHeight="1">
      <c r="A93" s="11" t="s">
        <v>141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31"/>
      <c r="R93" s="232"/>
    </row>
    <row r="94" spans="1:18" ht="17.25" customHeight="1" thickBot="1">
      <c r="A94" s="13" t="s">
        <v>172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44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31"/>
      <c r="R101" s="232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29"/>
      <c r="R102" s="230"/>
    </row>
    <row r="103" spans="1:18" ht="17.25" customHeight="1">
      <c r="A103" s="11" t="s">
        <v>152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29"/>
      <c r="R103" s="230"/>
    </row>
    <row r="104" spans="1:18" ht="17.25" customHeight="1">
      <c r="A104" s="11" t="s">
        <v>220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29"/>
      <c r="R104" s="230"/>
    </row>
    <row r="105" spans="1:18" ht="17.25" customHeight="1">
      <c r="A105" s="11" t="s">
        <v>169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29"/>
      <c r="R105" s="230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29"/>
      <c r="R106" s="230"/>
    </row>
    <row r="107" spans="1:18" ht="17.25" customHeight="1">
      <c r="A107" s="11" t="s">
        <v>129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29"/>
      <c r="R107" s="230"/>
    </row>
    <row r="108" spans="1:18" ht="17.25" customHeight="1">
      <c r="A108" s="11" t="s">
        <v>232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29"/>
      <c r="R108" s="230"/>
    </row>
    <row r="109" spans="1:18" ht="17.25" customHeight="1">
      <c r="A109" s="11" t="s">
        <v>198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29"/>
      <c r="R109" s="230"/>
    </row>
    <row r="110" spans="1:18" ht="17.25" customHeight="1">
      <c r="A110" s="11" t="s">
        <v>119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31"/>
      <c r="R110" s="232"/>
    </row>
    <row r="111" spans="1:18" ht="17.25" customHeight="1" thickBot="1">
      <c r="A111" s="13" t="s">
        <v>228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659" priority="89">
      <formula>$E$27&gt;0</formula>
    </cfRule>
    <cfRule type="expression" dxfId="658" priority="90">
      <formula>$E$27&lt;0</formula>
    </cfRule>
  </conditionalFormatting>
  <conditionalFormatting sqref="G15:I16 H27:I27">
    <cfRule type="expression" dxfId="657" priority="87">
      <formula>$H$27&gt;0</formula>
    </cfRule>
    <cfRule type="expression" dxfId="656" priority="88">
      <formula>$H$27&lt;0</formula>
    </cfRule>
  </conditionalFormatting>
  <conditionalFormatting sqref="J15:L16 K27:L27">
    <cfRule type="expression" dxfId="655" priority="85">
      <formula>$K$27&gt;0</formula>
    </cfRule>
    <cfRule type="expression" dxfId="654" priority="86">
      <formula>$K$27&lt;0</formula>
    </cfRule>
  </conditionalFormatting>
  <conditionalFormatting sqref="M15:O16 N27:O27">
    <cfRule type="expression" dxfId="653" priority="83">
      <formula>$N$27&gt;0</formula>
    </cfRule>
    <cfRule type="expression" dxfId="652" priority="84">
      <formula>$N$27&lt;0</formula>
    </cfRule>
  </conditionalFormatting>
  <conditionalFormatting sqref="A17:O26 A34:O43">
    <cfRule type="expression" dxfId="651" priority="91">
      <formula>AND($N17 &gt; 0, ISNUMBER($N17))</formula>
    </cfRule>
    <cfRule type="expression" dxfId="650" priority="92">
      <formula>AND($N17 &lt; 0, ISNUMBER($N17))</formula>
    </cfRule>
    <cfRule type="expression" dxfId="649" priority="93">
      <formula>AND($K17 &gt; 0, ISNUMBER($K17))</formula>
    </cfRule>
    <cfRule type="expression" dxfId="648" priority="94">
      <formula>AND($K17 &lt; 0, ISNUMBER($K17))</formula>
    </cfRule>
    <cfRule type="expression" dxfId="647" priority="95">
      <formula>AND($H17 &gt; 0, ISNUMBER($H17))</formula>
    </cfRule>
    <cfRule type="expression" dxfId="646" priority="96">
      <formula>AND($H17 &lt; 0, ISNUMBER($H17))</formula>
    </cfRule>
    <cfRule type="expression" dxfId="645" priority="97">
      <formula>AND($E17 &gt; 0, ISNUMBER($E17))</formula>
    </cfRule>
    <cfRule type="expression" dxfId="644" priority="98">
      <formula>AND($E17 &lt; 0, ISNUMBER($E17))</formula>
    </cfRule>
  </conditionalFormatting>
  <conditionalFormatting sqref="D32:F33 E44:F44">
    <cfRule type="expression" dxfId="643" priority="81">
      <formula>$E$44&gt;0</formula>
    </cfRule>
    <cfRule type="expression" dxfId="642" priority="82">
      <formula>$E$44&lt;0</formula>
    </cfRule>
  </conditionalFormatting>
  <conditionalFormatting sqref="G32:I33 H44:I44">
    <cfRule type="expression" dxfId="641" priority="79">
      <formula>$H$44&gt;0</formula>
    </cfRule>
    <cfRule type="expression" dxfId="640" priority="80">
      <formula>$H$44&lt;0</formula>
    </cfRule>
  </conditionalFormatting>
  <conditionalFormatting sqref="J32:L33 K44:L44">
    <cfRule type="expression" dxfId="639" priority="77">
      <formula>$K$44&gt;0</formula>
    </cfRule>
    <cfRule type="expression" dxfId="638" priority="78">
      <formula>$K$44&lt;0</formula>
    </cfRule>
  </conditionalFormatting>
  <conditionalFormatting sqref="M32:O33 N44:O44">
    <cfRule type="expression" dxfId="637" priority="75">
      <formula>$N$44&gt;0</formula>
    </cfRule>
    <cfRule type="expression" dxfId="636" priority="76">
      <formula>$N$44&lt;0</formula>
    </cfRule>
  </conditionalFormatting>
  <conditionalFormatting sqref="A51:O60">
    <cfRule type="expression" dxfId="635" priority="67">
      <formula>AND($N51 &gt; 0, ISNUMBER($N51))</formula>
    </cfRule>
    <cfRule type="expression" dxfId="634" priority="68">
      <formula>AND($N51 &lt; 0, ISNUMBER($N51))</formula>
    </cfRule>
    <cfRule type="expression" dxfId="633" priority="69">
      <formula>AND($K51 &gt; 0, ISNUMBER($K51))</formula>
    </cfRule>
    <cfRule type="expression" dxfId="632" priority="70">
      <formula>AND($K51 &lt; 0, ISNUMBER($K51))</formula>
    </cfRule>
    <cfRule type="expression" dxfId="631" priority="71">
      <formula>AND($H51 &gt; 0, ISNUMBER($H51))</formula>
    </cfRule>
    <cfRule type="expression" dxfId="630" priority="72">
      <formula>AND($H51 &lt; 0, ISNUMBER($H51))</formula>
    </cfRule>
    <cfRule type="expression" dxfId="629" priority="73">
      <formula>AND($E51 &gt; 0, ISNUMBER($E51))</formula>
    </cfRule>
    <cfRule type="expression" dxfId="628" priority="74">
      <formula>AND($E51 &lt; 0, ISNUMBER($E51))</formula>
    </cfRule>
  </conditionalFormatting>
  <conditionalFormatting sqref="D49:F50 E61:F61">
    <cfRule type="expression" dxfId="627" priority="65">
      <formula>$E$61&gt;0</formula>
    </cfRule>
    <cfRule type="expression" dxfId="626" priority="66">
      <formula>$E$61&lt;0</formula>
    </cfRule>
  </conditionalFormatting>
  <conditionalFormatting sqref="G49:I50 H61:I61">
    <cfRule type="expression" dxfId="625" priority="63">
      <formula>$H$61&gt;0</formula>
    </cfRule>
    <cfRule type="expression" dxfId="624" priority="64">
      <formula>$H$61&lt;0</formula>
    </cfRule>
  </conditionalFormatting>
  <conditionalFormatting sqref="J49:L50 K61:L61">
    <cfRule type="expression" dxfId="623" priority="61">
      <formula>$K$61&gt;0</formula>
    </cfRule>
    <cfRule type="expression" dxfId="622" priority="62">
      <formula>$K$61&lt;0</formula>
    </cfRule>
  </conditionalFormatting>
  <conditionalFormatting sqref="M49:O50 N61:O61">
    <cfRule type="expression" dxfId="621" priority="59">
      <formula>$N$61&gt;0</formula>
    </cfRule>
    <cfRule type="expression" dxfId="620" priority="60">
      <formula>$N$61&lt;0</formula>
    </cfRule>
  </conditionalFormatting>
  <conditionalFormatting sqref="A68:O77">
    <cfRule type="expression" dxfId="619" priority="51">
      <formula>AND($N68 &gt; 0, ISNUMBER($N68))</formula>
    </cfRule>
    <cfRule type="expression" dxfId="618" priority="52">
      <formula>AND($N68 &lt; 0, ISNUMBER($N68))</formula>
    </cfRule>
    <cfRule type="expression" dxfId="617" priority="53">
      <formula>AND($K68 &gt; 0, ISNUMBER($K68))</formula>
    </cfRule>
    <cfRule type="expression" dxfId="616" priority="54">
      <formula>AND($K68 &lt; 0, ISNUMBER($K68))</formula>
    </cfRule>
    <cfRule type="expression" dxfId="615" priority="55">
      <formula>AND($H68 &gt; 0, ISNUMBER($H68))</formula>
    </cfRule>
    <cfRule type="expression" dxfId="614" priority="56">
      <formula>AND($H68 &lt; 0, ISNUMBER($H68))</formula>
    </cfRule>
    <cfRule type="expression" dxfId="613" priority="57">
      <formula>AND($E68 &gt; 0, ISNUMBER($E68))</formula>
    </cfRule>
    <cfRule type="expression" dxfId="612" priority="58">
      <formula>AND($E68 &lt; 0, ISNUMBER($E68))</formula>
    </cfRule>
  </conditionalFormatting>
  <conditionalFormatting sqref="D66:F67 E78:F78">
    <cfRule type="expression" dxfId="611" priority="49">
      <formula>$E$78&gt;0</formula>
    </cfRule>
    <cfRule type="expression" dxfId="610" priority="50">
      <formula>$E$78&lt;0</formula>
    </cfRule>
  </conditionalFormatting>
  <conditionalFormatting sqref="G66:I67 H78:I78">
    <cfRule type="expression" dxfId="609" priority="47">
      <formula>$H$78&gt;0</formula>
    </cfRule>
    <cfRule type="expression" dxfId="608" priority="48">
      <formula>$H$78&lt;0</formula>
    </cfRule>
  </conditionalFormatting>
  <conditionalFormatting sqref="J66:L67 K78:L78">
    <cfRule type="expression" dxfId="607" priority="45">
      <formula>$K$78&gt;0</formula>
    </cfRule>
    <cfRule type="expression" dxfId="606" priority="46">
      <formula>$K$78&lt;0</formula>
    </cfRule>
  </conditionalFormatting>
  <conditionalFormatting sqref="M66:O67 N78:O78">
    <cfRule type="expression" dxfId="605" priority="43">
      <formula>$N$78&gt;0</formula>
    </cfRule>
    <cfRule type="expression" dxfId="604" priority="44">
      <formula>$N$78&lt;0</formula>
    </cfRule>
  </conditionalFormatting>
  <conditionalFormatting sqref="A85:O94">
    <cfRule type="expression" dxfId="603" priority="35">
      <formula>AND($N85 &gt; 0, ISNUMBER($N85))</formula>
    </cfRule>
    <cfRule type="expression" dxfId="602" priority="36">
      <formula>AND($N85 &lt; 0, ISNUMBER($N85))</formula>
    </cfRule>
    <cfRule type="expression" dxfId="601" priority="37">
      <formula>AND($K85 &gt; 0, ISNUMBER($K85))</formula>
    </cfRule>
    <cfRule type="expression" dxfId="600" priority="38">
      <formula>AND($K85 &lt; 0, ISNUMBER($K85))</formula>
    </cfRule>
    <cfRule type="expression" dxfId="599" priority="39">
      <formula>AND($H85 &gt; 0, ISNUMBER($H85))</formula>
    </cfRule>
    <cfRule type="expression" dxfId="598" priority="40">
      <formula>AND($H85 &lt; 0, ISNUMBER($H85))</formula>
    </cfRule>
    <cfRule type="expression" dxfId="597" priority="41">
      <formula>AND($E85 &gt; 0, ISNUMBER($E85))</formula>
    </cfRule>
    <cfRule type="expression" dxfId="596" priority="42">
      <formula>AND($E85 &lt; 0, ISNUMBER($E85))</formula>
    </cfRule>
  </conditionalFormatting>
  <conditionalFormatting sqref="D83:F84 E95:F95">
    <cfRule type="expression" dxfId="595" priority="33">
      <formula>$E$95&gt;0</formula>
    </cfRule>
    <cfRule type="expression" dxfId="594" priority="34">
      <formula>$E$95&lt;0</formula>
    </cfRule>
  </conditionalFormatting>
  <conditionalFormatting sqref="G83:I84 H95:I95">
    <cfRule type="expression" dxfId="593" priority="31">
      <formula>$H$95&gt;0</formula>
    </cfRule>
    <cfRule type="expression" dxfId="592" priority="32">
      <formula>$H$95&lt;0</formula>
    </cfRule>
  </conditionalFormatting>
  <conditionalFormatting sqref="J83:L84 K95:L95">
    <cfRule type="expression" dxfId="591" priority="29">
      <formula>$K$95&gt;0</formula>
    </cfRule>
    <cfRule type="expression" dxfId="590" priority="30">
      <formula>$K$95&lt;0</formula>
    </cfRule>
  </conditionalFormatting>
  <conditionalFormatting sqref="M83:O84 N95:O95">
    <cfRule type="expression" dxfId="589" priority="27">
      <formula>$N$95&gt;0</formula>
    </cfRule>
    <cfRule type="expression" dxfId="588" priority="28">
      <formula>$N$95&lt;0</formula>
    </cfRule>
  </conditionalFormatting>
  <conditionalFormatting sqref="A102:O111">
    <cfRule type="expression" dxfId="587" priority="19">
      <formula>AND($N102 &gt; 0, ISNUMBER($N102))</formula>
    </cfRule>
    <cfRule type="expression" dxfId="586" priority="20">
      <formula>AND($N102 &lt; 0, ISNUMBER($N102))</formula>
    </cfRule>
    <cfRule type="expression" dxfId="585" priority="21">
      <formula>AND($K102 &gt; 0, ISNUMBER($K102))</formula>
    </cfRule>
    <cfRule type="expression" dxfId="584" priority="22">
      <formula>AND($K102 &lt; 0, ISNUMBER($K102))</formula>
    </cfRule>
    <cfRule type="expression" dxfId="583" priority="23">
      <formula>AND($H102 &gt; 0, ISNUMBER($H102))</formula>
    </cfRule>
    <cfRule type="expression" dxfId="582" priority="24">
      <formula>AND($H102 &lt; 0, ISNUMBER($H102))</formula>
    </cfRule>
    <cfRule type="expression" dxfId="581" priority="25">
      <formula>AND($E102 &gt; 0, ISNUMBER($E102))</formula>
    </cfRule>
    <cfRule type="expression" dxfId="580" priority="26">
      <formula>AND($E102 &lt; 0, ISNUMBER($E102))</formula>
    </cfRule>
  </conditionalFormatting>
  <conditionalFormatting sqref="D100:F101 E112:F112">
    <cfRule type="expression" dxfId="579" priority="17">
      <formula>$E$112&gt;0</formula>
    </cfRule>
    <cfRule type="expression" dxfId="578" priority="18">
      <formula>$E$112&lt;0</formula>
    </cfRule>
  </conditionalFormatting>
  <conditionalFormatting sqref="G100:I101 H112:I112">
    <cfRule type="expression" dxfId="577" priority="15">
      <formula>$H$112&gt;0</formula>
    </cfRule>
    <cfRule type="expression" dxfId="576" priority="16">
      <formula>$H$112&lt;0</formula>
    </cfRule>
  </conditionalFormatting>
  <conditionalFormatting sqref="J100:L101 K112:L112">
    <cfRule type="expression" dxfId="575" priority="13">
      <formula>$K$112&gt;0</formula>
    </cfRule>
    <cfRule type="expression" dxfId="574" priority="14">
      <formula>$K$112&lt;0</formula>
    </cfRule>
  </conditionalFormatting>
  <conditionalFormatting sqref="M100:O101 N112:O112">
    <cfRule type="expression" dxfId="573" priority="11">
      <formula>$N$112&gt;0</formula>
    </cfRule>
    <cfRule type="expression" dxfId="572" priority="12">
      <formula>$N$112&lt;0</formula>
    </cfRule>
  </conditionalFormatting>
  <conditionalFormatting sqref="G2:I3">
    <cfRule type="expression" dxfId="57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7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6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6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6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6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6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6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6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6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44302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02"/>
      <c r="I9" s="203"/>
      <c r="J9" s="1" t="s">
        <v>28</v>
      </c>
      <c r="K9" s="198" t="s">
        <v>225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>
        <v>98</v>
      </c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52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51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06"/>
      <c r="R16" s="207"/>
    </row>
    <row r="17" spans="1:18" ht="17.25" customHeight="1">
      <c r="A17" s="39" t="s">
        <v>170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04"/>
      <c r="R17" s="205"/>
    </row>
    <row r="18" spans="1:18" ht="17.25" customHeight="1">
      <c r="A18" s="40" t="s">
        <v>128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04"/>
      <c r="R18" s="205"/>
    </row>
    <row r="19" spans="1:18" ht="17.25" customHeight="1">
      <c r="A19" s="40" t="s">
        <v>218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04"/>
      <c r="R19" s="205"/>
    </row>
    <row r="20" spans="1:18" ht="17.25" customHeight="1">
      <c r="A20" s="40" t="s">
        <v>164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04"/>
      <c r="R20" s="205"/>
    </row>
    <row r="21" spans="1:18" ht="17.25" customHeight="1">
      <c r="A21" s="41" t="s">
        <v>144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04"/>
      <c r="R21" s="205"/>
    </row>
    <row r="22" spans="1:18" ht="17.25" customHeight="1">
      <c r="A22" s="40" t="s">
        <v>129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04"/>
      <c r="R22" s="205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04"/>
      <c r="R23" s="205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04"/>
      <c r="R24" s="205"/>
    </row>
    <row r="25" spans="1:18" ht="17.25" customHeight="1">
      <c r="A25" s="40" t="s">
        <v>122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06"/>
      <c r="R25" s="207"/>
    </row>
    <row r="26" spans="1:18" ht="17.25" customHeight="1" thickBot="1">
      <c r="A26" s="42" t="s">
        <v>147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51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31"/>
      <c r="R33" s="232"/>
    </row>
    <row r="34" spans="1:18" ht="17.25" customHeight="1">
      <c r="A34" s="9" t="s">
        <v>164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29"/>
      <c r="R34" s="230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29"/>
      <c r="R35" s="230"/>
    </row>
    <row r="36" spans="1:18" ht="17.25" customHeight="1">
      <c r="A36" s="11" t="s">
        <v>122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29"/>
      <c r="R36" s="230"/>
    </row>
    <row r="37" spans="1:18" ht="17.25" customHeight="1">
      <c r="A37" s="11" t="s">
        <v>147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29"/>
      <c r="R37" s="230"/>
    </row>
    <row r="38" spans="1:18" ht="17.25" customHeight="1">
      <c r="A38" s="8" t="s">
        <v>135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29"/>
      <c r="R38" s="230"/>
    </row>
    <row r="39" spans="1:18" ht="17.25" customHeight="1">
      <c r="A39" s="11" t="s">
        <v>108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29"/>
      <c r="R39" s="230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29"/>
      <c r="R40" s="230"/>
    </row>
    <row r="41" spans="1:18" ht="17.25" customHeight="1">
      <c r="A41" s="11" t="s">
        <v>139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29"/>
      <c r="R41" s="230"/>
    </row>
    <row r="42" spans="1:18" ht="17.25" customHeight="1">
      <c r="A42" s="11" t="s">
        <v>149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31"/>
      <c r="R42" s="232"/>
    </row>
    <row r="43" spans="1:18" ht="17.25" customHeight="1" thickBot="1">
      <c r="A43" s="13" t="s">
        <v>137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51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31"/>
      <c r="R50" s="232"/>
    </row>
    <row r="51" spans="1:18" ht="17.25" customHeight="1">
      <c r="A51" s="9" t="s">
        <v>161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29"/>
      <c r="R51" s="230"/>
    </row>
    <row r="52" spans="1:18" ht="17.25" customHeight="1">
      <c r="A52" s="11" t="s">
        <v>150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29"/>
      <c r="R52" s="230"/>
    </row>
    <row r="53" spans="1:18" ht="17.25" customHeight="1">
      <c r="A53" s="11" t="s">
        <v>126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29"/>
      <c r="R53" s="230"/>
    </row>
    <row r="54" spans="1:18" ht="17.25" customHeight="1">
      <c r="A54" s="11" t="s">
        <v>152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29"/>
      <c r="R54" s="230"/>
    </row>
    <row r="55" spans="1:18" ht="17.25" customHeight="1">
      <c r="A55" s="8" t="s">
        <v>140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29"/>
      <c r="R55" s="230"/>
    </row>
    <row r="56" spans="1:18" ht="17.25" customHeight="1">
      <c r="A56" s="11" t="s">
        <v>169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51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31"/>
      <c r="R67" s="232"/>
    </row>
    <row r="68" spans="1:18" ht="17.25" customHeight="1">
      <c r="A68" s="9" t="s">
        <v>120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29"/>
      <c r="R68" s="230"/>
    </row>
    <row r="69" spans="1:18" ht="17.25" customHeight="1">
      <c r="A69" s="11" t="s">
        <v>241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29"/>
      <c r="R69" s="230"/>
    </row>
    <row r="70" spans="1:18" ht="17.25" customHeight="1">
      <c r="A70" s="11" t="s">
        <v>170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29"/>
      <c r="R70" s="230"/>
    </row>
    <row r="71" spans="1:18" ht="17.25" customHeight="1">
      <c r="A71" s="11" t="s">
        <v>128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29"/>
      <c r="R71" s="230"/>
    </row>
    <row r="72" spans="1:18" ht="17.25" customHeight="1">
      <c r="A72" s="8" t="s">
        <v>144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29"/>
      <c r="R72" s="230"/>
    </row>
    <row r="73" spans="1:18" ht="17.25" customHeight="1">
      <c r="A73" s="11" t="s">
        <v>129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29"/>
      <c r="R73" s="230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29"/>
      <c r="R74" s="230"/>
    </row>
    <row r="75" spans="1:18" ht="17.25" customHeight="1">
      <c r="A75" s="11" t="s">
        <v>158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29"/>
      <c r="R75" s="230"/>
    </row>
    <row r="76" spans="1:18" ht="17.25" customHeight="1">
      <c r="A76" s="11" t="s">
        <v>112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31"/>
      <c r="R76" s="232"/>
    </row>
    <row r="77" spans="1:18" ht="17.25" customHeight="1" thickBot="1">
      <c r="A77" s="13" t="s">
        <v>163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51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31"/>
      <c r="R84" s="232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29"/>
      <c r="R85" s="230"/>
    </row>
    <row r="86" spans="1:18" ht="17.25" customHeight="1">
      <c r="A86" s="11" t="s">
        <v>146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29"/>
      <c r="R86" s="230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29"/>
      <c r="R87" s="230"/>
    </row>
    <row r="88" spans="1:18" ht="17.25" customHeight="1">
      <c r="A88" s="11" t="s">
        <v>115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29"/>
      <c r="R88" s="230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29"/>
      <c r="R89" s="230"/>
    </row>
    <row r="90" spans="1:18" ht="17.25" customHeight="1">
      <c r="A90" s="11" t="s">
        <v>138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29"/>
      <c r="R90" s="230"/>
    </row>
    <row r="91" spans="1:18" ht="17.25" customHeight="1">
      <c r="A91" s="11" t="s">
        <v>116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29"/>
      <c r="R91" s="230"/>
    </row>
    <row r="92" spans="1:18" ht="17.25" customHeight="1">
      <c r="A92" s="11" t="s">
        <v>131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29"/>
      <c r="R92" s="230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31"/>
      <c r="R93" s="232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51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31"/>
      <c r="R101" s="232"/>
    </row>
    <row r="102" spans="1:18" ht="17.25" customHeight="1">
      <c r="A102" s="9" t="s">
        <v>120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29"/>
      <c r="R102" s="230"/>
    </row>
    <row r="103" spans="1:18" ht="17.25" customHeight="1">
      <c r="A103" s="11" t="s">
        <v>241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29"/>
      <c r="R103" s="230"/>
    </row>
    <row r="104" spans="1:18" ht="17.25" customHeight="1">
      <c r="A104" s="11" t="s">
        <v>170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29"/>
      <c r="R104" s="230"/>
    </row>
    <row r="105" spans="1:18" ht="17.25" customHeight="1">
      <c r="A105" s="11" t="s">
        <v>128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29"/>
      <c r="R105" s="230"/>
    </row>
    <row r="106" spans="1:18" ht="17.25" customHeight="1">
      <c r="A106" s="8" t="s">
        <v>218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29"/>
      <c r="R106" s="230"/>
    </row>
    <row r="107" spans="1:18" ht="17.25" customHeight="1">
      <c r="A107" s="11" t="s">
        <v>164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29"/>
      <c r="R107" s="230"/>
    </row>
    <row r="108" spans="1:18" ht="17.25" customHeight="1">
      <c r="A108" s="11" t="s">
        <v>144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29"/>
      <c r="R108" s="230"/>
    </row>
    <row r="109" spans="1:18" ht="17.25" customHeight="1">
      <c r="A109" s="11" t="s">
        <v>129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29"/>
      <c r="R109" s="230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31"/>
      <c r="R110" s="232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61" priority="89">
      <formula>$E$27&gt;0</formula>
    </cfRule>
    <cfRule type="expression" dxfId="560" priority="90">
      <formula>$E$27&lt;0</formula>
    </cfRule>
  </conditionalFormatting>
  <conditionalFormatting sqref="G15:I16 H27:I27">
    <cfRule type="expression" dxfId="559" priority="87">
      <formula>$H$27&gt;0</formula>
    </cfRule>
    <cfRule type="expression" dxfId="558" priority="88">
      <formula>$H$27&lt;0</formula>
    </cfRule>
  </conditionalFormatting>
  <conditionalFormatting sqref="J15:L16 K27:L27">
    <cfRule type="expression" dxfId="557" priority="85">
      <formula>$K$27&gt;0</formula>
    </cfRule>
    <cfRule type="expression" dxfId="556" priority="86">
      <formula>$K$27&lt;0</formula>
    </cfRule>
  </conditionalFormatting>
  <conditionalFormatting sqref="M15:O16 N27:O27">
    <cfRule type="expression" dxfId="555" priority="83">
      <formula>$N$27&gt;0</formula>
    </cfRule>
    <cfRule type="expression" dxfId="554" priority="84">
      <formula>$N$27&lt;0</formula>
    </cfRule>
  </conditionalFormatting>
  <conditionalFormatting sqref="A17:O26 A34:O43">
    <cfRule type="expression" dxfId="553" priority="91">
      <formula>AND($N17 &gt; 0, ISNUMBER($N17))</formula>
    </cfRule>
    <cfRule type="expression" dxfId="552" priority="92">
      <formula>AND($N17 &lt; 0, ISNUMBER($N17))</formula>
    </cfRule>
    <cfRule type="expression" dxfId="551" priority="93">
      <formula>AND($K17 &gt; 0, ISNUMBER($K17))</formula>
    </cfRule>
    <cfRule type="expression" dxfId="550" priority="94">
      <formula>AND($K17 &lt; 0, ISNUMBER($K17))</formula>
    </cfRule>
    <cfRule type="expression" dxfId="549" priority="95">
      <formula>AND($H17 &gt; 0, ISNUMBER($H17))</formula>
    </cfRule>
    <cfRule type="expression" dxfId="548" priority="96">
      <formula>AND($H17 &lt; 0, ISNUMBER($H17))</formula>
    </cfRule>
    <cfRule type="expression" dxfId="547" priority="97">
      <formula>AND($E17 &gt; 0, ISNUMBER($E17))</formula>
    </cfRule>
    <cfRule type="expression" dxfId="546" priority="98">
      <formula>AND($E17 &lt; 0, ISNUMBER($E17))</formula>
    </cfRule>
  </conditionalFormatting>
  <conditionalFormatting sqref="D32:F33 E44:F44">
    <cfRule type="expression" dxfId="545" priority="81">
      <formula>$E$44&gt;0</formula>
    </cfRule>
    <cfRule type="expression" dxfId="544" priority="82">
      <formula>$E$44&lt;0</formula>
    </cfRule>
  </conditionalFormatting>
  <conditionalFormatting sqref="G32:I33 H44:I44">
    <cfRule type="expression" dxfId="543" priority="79">
      <formula>$H$44&gt;0</formula>
    </cfRule>
    <cfRule type="expression" dxfId="542" priority="80">
      <formula>$H$44&lt;0</formula>
    </cfRule>
  </conditionalFormatting>
  <conditionalFormatting sqref="J32:L33 K44:L44">
    <cfRule type="expression" dxfId="541" priority="77">
      <formula>$K$44&gt;0</formula>
    </cfRule>
    <cfRule type="expression" dxfId="540" priority="78">
      <formula>$K$44&lt;0</formula>
    </cfRule>
  </conditionalFormatting>
  <conditionalFormatting sqref="M32:O33 N44:O44">
    <cfRule type="expression" dxfId="539" priority="75">
      <formula>$N$44&gt;0</formula>
    </cfRule>
    <cfRule type="expression" dxfId="538" priority="76">
      <formula>$N$44&lt;0</formula>
    </cfRule>
  </conditionalFormatting>
  <conditionalFormatting sqref="A51:O60">
    <cfRule type="expression" dxfId="537" priority="67">
      <formula>AND($N51 &gt; 0, ISNUMBER($N51))</formula>
    </cfRule>
    <cfRule type="expression" dxfId="536" priority="68">
      <formula>AND($N51 &lt; 0, ISNUMBER($N51))</formula>
    </cfRule>
    <cfRule type="expression" dxfId="535" priority="69">
      <formula>AND($K51 &gt; 0, ISNUMBER($K51))</formula>
    </cfRule>
    <cfRule type="expression" dxfId="534" priority="70">
      <formula>AND($K51 &lt; 0, ISNUMBER($K51))</formula>
    </cfRule>
    <cfRule type="expression" dxfId="533" priority="71">
      <formula>AND($H51 &gt; 0, ISNUMBER($H51))</formula>
    </cfRule>
    <cfRule type="expression" dxfId="532" priority="72">
      <formula>AND($H51 &lt; 0, ISNUMBER($H51))</formula>
    </cfRule>
    <cfRule type="expression" dxfId="531" priority="73">
      <formula>AND($E51 &gt; 0, ISNUMBER($E51))</formula>
    </cfRule>
    <cfRule type="expression" dxfId="530" priority="74">
      <formula>AND($E51 &lt; 0, ISNUMBER($E51))</formula>
    </cfRule>
  </conditionalFormatting>
  <conditionalFormatting sqref="D49:F50 E61:F61">
    <cfRule type="expression" dxfId="529" priority="65">
      <formula>$E$61&gt;0</formula>
    </cfRule>
    <cfRule type="expression" dxfId="528" priority="66">
      <formula>$E$61&lt;0</formula>
    </cfRule>
  </conditionalFormatting>
  <conditionalFormatting sqref="G49:I50 H61:I61">
    <cfRule type="expression" dxfId="527" priority="63">
      <formula>$H$61&gt;0</formula>
    </cfRule>
    <cfRule type="expression" dxfId="526" priority="64">
      <formula>$H$61&lt;0</formula>
    </cfRule>
  </conditionalFormatting>
  <conditionalFormatting sqref="J49:L50 K61:L61">
    <cfRule type="expression" dxfId="525" priority="61">
      <formula>$K$61&gt;0</formula>
    </cfRule>
    <cfRule type="expression" dxfId="524" priority="62">
      <formula>$K$61&lt;0</formula>
    </cfRule>
  </conditionalFormatting>
  <conditionalFormatting sqref="M49:O50 N61:O61">
    <cfRule type="expression" dxfId="523" priority="59">
      <formula>$N$61&gt;0</formula>
    </cfRule>
    <cfRule type="expression" dxfId="522" priority="60">
      <formula>$N$61&lt;0</formula>
    </cfRule>
  </conditionalFormatting>
  <conditionalFormatting sqref="A68:O77">
    <cfRule type="expression" dxfId="521" priority="51">
      <formula>AND($N68 &gt; 0, ISNUMBER($N68))</formula>
    </cfRule>
    <cfRule type="expression" dxfId="520" priority="52">
      <formula>AND($N68 &lt; 0, ISNUMBER($N68))</formula>
    </cfRule>
    <cfRule type="expression" dxfId="519" priority="53">
      <formula>AND($K68 &gt; 0, ISNUMBER($K68))</formula>
    </cfRule>
    <cfRule type="expression" dxfId="518" priority="54">
      <formula>AND($K68 &lt; 0, ISNUMBER($K68))</formula>
    </cfRule>
    <cfRule type="expression" dxfId="517" priority="55">
      <formula>AND($H68 &gt; 0, ISNUMBER($H68))</formula>
    </cfRule>
    <cfRule type="expression" dxfId="516" priority="56">
      <formula>AND($H68 &lt; 0, ISNUMBER($H68))</formula>
    </cfRule>
    <cfRule type="expression" dxfId="515" priority="57">
      <formula>AND($E68 &gt; 0, ISNUMBER($E68))</formula>
    </cfRule>
    <cfRule type="expression" dxfId="514" priority="58">
      <formula>AND($E68 &lt; 0, ISNUMBER($E68))</formula>
    </cfRule>
  </conditionalFormatting>
  <conditionalFormatting sqref="D66:F67 E78:F78">
    <cfRule type="expression" dxfId="513" priority="49">
      <formula>$E$78&gt;0</formula>
    </cfRule>
    <cfRule type="expression" dxfId="512" priority="50">
      <formula>$E$78&lt;0</formula>
    </cfRule>
  </conditionalFormatting>
  <conditionalFormatting sqref="G66:I67 H78:I78">
    <cfRule type="expression" dxfId="511" priority="47">
      <formula>$H$78&gt;0</formula>
    </cfRule>
    <cfRule type="expression" dxfId="510" priority="48">
      <formula>$H$78&lt;0</formula>
    </cfRule>
  </conditionalFormatting>
  <conditionalFormatting sqref="J66:L67 K78:L78">
    <cfRule type="expression" dxfId="509" priority="45">
      <formula>$K$78&gt;0</formula>
    </cfRule>
    <cfRule type="expression" dxfId="508" priority="46">
      <formula>$K$78&lt;0</formula>
    </cfRule>
  </conditionalFormatting>
  <conditionalFormatting sqref="M66:O67 N78:O78">
    <cfRule type="expression" dxfId="507" priority="43">
      <formula>$N$78&gt;0</formula>
    </cfRule>
    <cfRule type="expression" dxfId="506" priority="44">
      <formula>$N$78&lt;0</formula>
    </cfRule>
  </conditionalFormatting>
  <conditionalFormatting sqref="A85:O94">
    <cfRule type="expression" dxfId="505" priority="35">
      <formula>AND($N85 &gt; 0, ISNUMBER($N85))</formula>
    </cfRule>
    <cfRule type="expression" dxfId="504" priority="36">
      <formula>AND($N85 &lt; 0, ISNUMBER($N85))</formula>
    </cfRule>
    <cfRule type="expression" dxfId="503" priority="37">
      <formula>AND($K85 &gt; 0, ISNUMBER($K85))</formula>
    </cfRule>
    <cfRule type="expression" dxfId="502" priority="38">
      <formula>AND($K85 &lt; 0, ISNUMBER($K85))</formula>
    </cfRule>
    <cfRule type="expression" dxfId="501" priority="39">
      <formula>AND($H85 &gt; 0, ISNUMBER($H85))</formula>
    </cfRule>
    <cfRule type="expression" dxfId="500" priority="40">
      <formula>AND($H85 &lt; 0, ISNUMBER($H85))</formula>
    </cfRule>
    <cfRule type="expression" dxfId="499" priority="41">
      <formula>AND($E85 &gt; 0, ISNUMBER($E85))</formula>
    </cfRule>
    <cfRule type="expression" dxfId="498" priority="42">
      <formula>AND($E85 &lt; 0, ISNUMBER($E85))</formula>
    </cfRule>
  </conditionalFormatting>
  <conditionalFormatting sqref="D83:F84 E95:F95">
    <cfRule type="expression" dxfId="497" priority="33">
      <formula>$E$95&gt;0</formula>
    </cfRule>
    <cfRule type="expression" dxfId="496" priority="34">
      <formula>$E$95&lt;0</formula>
    </cfRule>
  </conditionalFormatting>
  <conditionalFormatting sqref="G83:I84 H95:I95">
    <cfRule type="expression" dxfId="495" priority="31">
      <formula>$H$95&gt;0</formula>
    </cfRule>
    <cfRule type="expression" dxfId="494" priority="32">
      <formula>$H$95&lt;0</formula>
    </cfRule>
  </conditionalFormatting>
  <conditionalFormatting sqref="J83:L84 K95:L95">
    <cfRule type="expression" dxfId="493" priority="29">
      <formula>$K$95&gt;0</formula>
    </cfRule>
    <cfRule type="expression" dxfId="492" priority="30">
      <formula>$K$95&lt;0</formula>
    </cfRule>
  </conditionalFormatting>
  <conditionalFormatting sqref="M83:O84 N95:O95">
    <cfRule type="expression" dxfId="491" priority="27">
      <formula>$N$95&gt;0</formula>
    </cfRule>
    <cfRule type="expression" dxfId="490" priority="28">
      <formula>$N$95&lt;0</formula>
    </cfRule>
  </conditionalFormatting>
  <conditionalFormatting sqref="A102:O111">
    <cfRule type="expression" dxfId="489" priority="19">
      <formula>AND($N102 &gt; 0, ISNUMBER($N102))</formula>
    </cfRule>
    <cfRule type="expression" dxfId="488" priority="20">
      <formula>AND($N102 &lt; 0, ISNUMBER($N102))</formula>
    </cfRule>
    <cfRule type="expression" dxfId="487" priority="21">
      <formula>AND($K102 &gt; 0, ISNUMBER($K102))</formula>
    </cfRule>
    <cfRule type="expression" dxfId="486" priority="22">
      <formula>AND($K102 &lt; 0, ISNUMBER($K102))</formula>
    </cfRule>
    <cfRule type="expression" dxfId="485" priority="23">
      <formula>AND($H102 &gt; 0, ISNUMBER($H102))</formula>
    </cfRule>
    <cfRule type="expression" dxfId="484" priority="24">
      <formula>AND($H102 &lt; 0, ISNUMBER($H102))</formula>
    </cfRule>
    <cfRule type="expression" dxfId="483" priority="25">
      <formula>AND($E102 &gt; 0, ISNUMBER($E102))</formula>
    </cfRule>
    <cfRule type="expression" dxfId="482" priority="26">
      <formula>AND($E102 &lt; 0, ISNUMBER($E102))</formula>
    </cfRule>
  </conditionalFormatting>
  <conditionalFormatting sqref="D100:F101 E112:F112">
    <cfRule type="expression" dxfId="481" priority="17">
      <formula>$E$112&gt;0</formula>
    </cfRule>
    <cfRule type="expression" dxfId="480" priority="18">
      <formula>$E$112&lt;0</formula>
    </cfRule>
  </conditionalFormatting>
  <conditionalFormatting sqref="G100:I101 H112:I112">
    <cfRule type="expression" dxfId="479" priority="15">
      <formula>$H$112&gt;0</formula>
    </cfRule>
    <cfRule type="expression" dxfId="478" priority="16">
      <formula>$H$112&lt;0</formula>
    </cfRule>
  </conditionalFormatting>
  <conditionalFormatting sqref="J100:L101 K112:L112">
    <cfRule type="expression" dxfId="477" priority="13">
      <formula>$K$112&gt;0</formula>
    </cfRule>
    <cfRule type="expression" dxfId="476" priority="14">
      <formula>$K$112&lt;0</formula>
    </cfRule>
  </conditionalFormatting>
  <conditionalFormatting sqref="M100:O101 N112:O112">
    <cfRule type="expression" dxfId="475" priority="11">
      <formula>$N$112&gt;0</formula>
    </cfRule>
    <cfRule type="expression" dxfId="474" priority="12">
      <formula>$N$112&lt;0</formula>
    </cfRule>
  </conditionalFormatting>
  <conditionalFormatting sqref="G2:I3">
    <cfRule type="expression" dxfId="47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7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7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7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6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6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6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6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6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6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44287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02"/>
      <c r="I9" s="203"/>
      <c r="J9" s="1" t="s">
        <v>28</v>
      </c>
      <c r="K9" s="198" t="s">
        <v>225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59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58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06"/>
      <c r="R16" s="207"/>
    </row>
    <row r="17" spans="1:18" ht="17.25" customHeight="1">
      <c r="A17" s="39" t="s">
        <v>151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04"/>
      <c r="R17" s="205"/>
    </row>
    <row r="18" spans="1:18" ht="17.25" customHeight="1">
      <c r="A18" s="40" t="s">
        <v>159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04"/>
      <c r="R18" s="205"/>
    </row>
    <row r="19" spans="1:18" ht="17.25" customHeight="1">
      <c r="A19" s="40" t="s">
        <v>162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04"/>
      <c r="R19" s="205"/>
    </row>
    <row r="20" spans="1:18" ht="17.25" customHeight="1">
      <c r="A20" s="40" t="s">
        <v>142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04"/>
      <c r="R20" s="205"/>
    </row>
    <row r="21" spans="1:18" ht="17.25" customHeight="1">
      <c r="A21" s="41" t="s">
        <v>122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04"/>
      <c r="R21" s="205"/>
    </row>
    <row r="22" spans="1:18" ht="17.25" customHeight="1">
      <c r="A22" s="40" t="s">
        <v>150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04"/>
      <c r="R22" s="205"/>
    </row>
    <row r="23" spans="1:18" ht="17.25" customHeight="1">
      <c r="A23" s="40" t="s">
        <v>140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04"/>
      <c r="R23" s="205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04"/>
      <c r="R24" s="205"/>
    </row>
    <row r="25" spans="1:18" ht="17.25" customHeight="1">
      <c r="A25" s="40" t="s">
        <v>135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06"/>
      <c r="R25" s="207"/>
    </row>
    <row r="26" spans="1:18" ht="17.25" customHeight="1" thickBot="1">
      <c r="A26" s="42" t="s">
        <v>164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58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31"/>
      <c r="R33" s="232"/>
    </row>
    <row r="34" spans="1:18" ht="17.25" customHeight="1">
      <c r="A34" s="9" t="s">
        <v>169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229"/>
      <c r="R34" s="230"/>
    </row>
    <row r="35" spans="1:18" ht="17.25" customHeight="1">
      <c r="A35" s="11" t="s">
        <v>147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229"/>
      <c r="R35" s="230"/>
    </row>
    <row r="36" spans="1:18" ht="17.25" customHeight="1">
      <c r="A36" s="11" t="s">
        <v>149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229"/>
      <c r="R36" s="230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229"/>
      <c r="R37" s="230"/>
    </row>
    <row r="38" spans="1:18" ht="17.25" customHeight="1">
      <c r="A38" s="8" t="s">
        <v>161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229"/>
      <c r="R38" s="230"/>
    </row>
    <row r="39" spans="1:18" ht="17.25" customHeight="1">
      <c r="A39" s="11" t="s">
        <v>126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229"/>
      <c r="R39" s="230"/>
    </row>
    <row r="40" spans="1:18" ht="17.25" customHeight="1">
      <c r="A40" s="11" t="s">
        <v>152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229"/>
      <c r="R40" s="230"/>
    </row>
    <row r="41" spans="1:18" ht="17.25" customHeight="1">
      <c r="A41" s="11" t="s">
        <v>137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229"/>
      <c r="R41" s="230"/>
    </row>
    <row r="42" spans="1:18" ht="17.25" customHeight="1">
      <c r="A42" s="11" t="s">
        <v>131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231"/>
      <c r="R42" s="232"/>
    </row>
    <row r="43" spans="1:18" ht="17.25" customHeight="1" thickBot="1">
      <c r="A43" s="13" t="s">
        <v>108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58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31"/>
      <c r="R50" s="232"/>
    </row>
    <row r="51" spans="1:18" ht="17.25" customHeight="1">
      <c r="A51" s="9" t="s">
        <v>139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229"/>
      <c r="R51" s="230"/>
    </row>
    <row r="52" spans="1:18" ht="17.25" customHeight="1">
      <c r="A52" s="11" t="s">
        <v>122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229"/>
      <c r="R52" s="230"/>
    </row>
    <row r="53" spans="1:18" ht="17.25" customHeight="1">
      <c r="A53" s="11" t="s">
        <v>150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229"/>
      <c r="R53" s="230"/>
    </row>
    <row r="54" spans="1:18" ht="17.25" customHeight="1">
      <c r="A54" s="11" t="s">
        <v>140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229"/>
      <c r="R54" s="230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229"/>
      <c r="R55" s="230"/>
    </row>
    <row r="56" spans="1:18" ht="17.25" customHeight="1">
      <c r="A56" s="11" t="s">
        <v>135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229"/>
      <c r="R56" s="230"/>
    </row>
    <row r="57" spans="1:18" ht="17.25" customHeight="1">
      <c r="A57" s="11" t="s">
        <v>164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58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31"/>
      <c r="R67" s="232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229"/>
      <c r="R68" s="230"/>
    </row>
    <row r="69" spans="1:18" ht="17.25" customHeight="1">
      <c r="A69" s="11" t="s">
        <v>128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229"/>
      <c r="R69" s="230"/>
    </row>
    <row r="70" spans="1:18" ht="17.25" customHeight="1">
      <c r="A70" s="11" t="s">
        <v>142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229"/>
      <c r="R70" s="230"/>
    </row>
    <row r="71" spans="1:18" ht="17.25" customHeight="1">
      <c r="A71" s="11" t="s">
        <v>144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229"/>
      <c r="R71" s="230"/>
    </row>
    <row r="72" spans="1:18" ht="17.25" customHeight="1">
      <c r="A72" s="8" t="s">
        <v>148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229"/>
      <c r="R72" s="230"/>
    </row>
    <row r="73" spans="1:18" ht="17.25" customHeight="1">
      <c r="A73" s="11" t="s">
        <v>129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229"/>
      <c r="R73" s="230"/>
    </row>
    <row r="74" spans="1:18" ht="17.25" customHeight="1">
      <c r="A74" s="11" t="s">
        <v>138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229"/>
      <c r="R74" s="230"/>
    </row>
    <row r="75" spans="1:18" ht="17.25" customHeight="1">
      <c r="A75" s="11" t="s">
        <v>130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229"/>
      <c r="R75" s="230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231"/>
      <c r="R76" s="232"/>
    </row>
    <row r="77" spans="1:18" ht="17.25" customHeight="1" thickBot="1">
      <c r="A77" s="13" t="s">
        <v>154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58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31"/>
      <c r="R84" s="232"/>
    </row>
    <row r="85" spans="1:18" ht="17.25" customHeight="1">
      <c r="A85" s="9" t="s">
        <v>181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229"/>
      <c r="R85" s="230"/>
    </row>
    <row r="86" spans="1:18" ht="17.25" customHeight="1">
      <c r="A86" s="11" t="s">
        <v>119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229"/>
      <c r="R86" s="230"/>
    </row>
    <row r="87" spans="1:18" ht="17.25" customHeight="1">
      <c r="A87" s="11" t="s">
        <v>178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229"/>
      <c r="R87" s="230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229"/>
      <c r="R88" s="230"/>
    </row>
    <row r="89" spans="1:18" ht="17.25" customHeight="1">
      <c r="A89" s="8" t="s">
        <v>134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229"/>
      <c r="R89" s="230"/>
    </row>
    <row r="90" spans="1:18" ht="17.25" customHeight="1">
      <c r="A90" s="11" t="s">
        <v>125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229"/>
      <c r="R90" s="230"/>
    </row>
    <row r="91" spans="1:18" ht="17.25" customHeight="1">
      <c r="A91" s="11" t="s">
        <v>172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229"/>
      <c r="R91" s="230"/>
    </row>
    <row r="92" spans="1:18" ht="17.25" customHeight="1">
      <c r="A92" s="11" t="s">
        <v>163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229"/>
      <c r="R92" s="230"/>
    </row>
    <row r="93" spans="1:18" ht="17.25" customHeight="1">
      <c r="A93" s="11" t="s">
        <v>133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231"/>
      <c r="R93" s="232"/>
    </row>
    <row r="94" spans="1:18" ht="17.25" customHeight="1" thickBot="1">
      <c r="A94" s="13" t="s">
        <v>170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58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31"/>
      <c r="R101" s="232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229"/>
      <c r="R102" s="230"/>
    </row>
    <row r="103" spans="1:18" ht="17.25" customHeight="1">
      <c r="A103" s="11" t="s">
        <v>262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229"/>
      <c r="R103" s="230"/>
    </row>
    <row r="104" spans="1:18" ht="17.25" customHeight="1">
      <c r="A104" s="11" t="s">
        <v>169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229"/>
      <c r="R104" s="230"/>
    </row>
    <row r="105" spans="1:18" ht="17.25" customHeight="1">
      <c r="A105" s="11" t="s">
        <v>128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229"/>
      <c r="R105" s="230"/>
    </row>
    <row r="106" spans="1:18" ht="17.25" customHeight="1">
      <c r="A106" s="8" t="s">
        <v>215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229"/>
      <c r="R106" s="230"/>
    </row>
    <row r="107" spans="1:18" ht="17.25" customHeight="1">
      <c r="A107" s="11" t="s">
        <v>151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229"/>
      <c r="R107" s="230"/>
    </row>
    <row r="108" spans="1:18" ht="17.25" customHeight="1">
      <c r="A108" s="11" t="s">
        <v>218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229"/>
      <c r="R108" s="230"/>
    </row>
    <row r="109" spans="1:18" ht="17.25" customHeight="1">
      <c r="A109" s="11" t="s">
        <v>159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229"/>
      <c r="R109" s="230"/>
    </row>
    <row r="110" spans="1:18" ht="17.25" customHeight="1">
      <c r="A110" s="11" t="s">
        <v>162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231"/>
      <c r="R110" s="232"/>
    </row>
    <row r="111" spans="1:18" ht="17.25" customHeight="1" thickBot="1">
      <c r="A111" s="13" t="s">
        <v>142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463" priority="89">
      <formula>$E$27&gt;0</formula>
    </cfRule>
    <cfRule type="expression" dxfId="462" priority="90">
      <formula>$E$27&lt;0</formula>
    </cfRule>
  </conditionalFormatting>
  <conditionalFormatting sqref="G15:I16 H27:I27">
    <cfRule type="expression" dxfId="461" priority="87">
      <formula>$H$27&gt;0</formula>
    </cfRule>
    <cfRule type="expression" dxfId="460" priority="88">
      <formula>$H$27&lt;0</formula>
    </cfRule>
  </conditionalFormatting>
  <conditionalFormatting sqref="J15:L16 K27:L27">
    <cfRule type="expression" dxfId="459" priority="85">
      <formula>$K$27&gt;0</formula>
    </cfRule>
    <cfRule type="expression" dxfId="458" priority="86">
      <formula>$K$27&lt;0</formula>
    </cfRule>
  </conditionalFormatting>
  <conditionalFormatting sqref="M15:O16 N27:O27">
    <cfRule type="expression" dxfId="457" priority="83">
      <formula>$N$27&gt;0</formula>
    </cfRule>
    <cfRule type="expression" dxfId="456" priority="84">
      <formula>$N$27&lt;0</formula>
    </cfRule>
  </conditionalFormatting>
  <conditionalFormatting sqref="A17:O26 A34:O43">
    <cfRule type="expression" dxfId="455" priority="91">
      <formula>AND($N17 &gt; 0, ISNUMBER($N17))</formula>
    </cfRule>
    <cfRule type="expression" dxfId="454" priority="92">
      <formula>AND($N17 &lt; 0, ISNUMBER($N17))</formula>
    </cfRule>
    <cfRule type="expression" dxfId="453" priority="93">
      <formula>AND($K17 &gt; 0, ISNUMBER($K17))</formula>
    </cfRule>
    <cfRule type="expression" dxfId="452" priority="94">
      <formula>AND($K17 &lt; 0, ISNUMBER($K17))</formula>
    </cfRule>
    <cfRule type="expression" dxfId="451" priority="95">
      <formula>AND($H17 &gt; 0, ISNUMBER($H17))</formula>
    </cfRule>
    <cfRule type="expression" dxfId="450" priority="96">
      <formula>AND($H17 &lt; 0, ISNUMBER($H17))</formula>
    </cfRule>
    <cfRule type="expression" dxfId="449" priority="97">
      <formula>AND($E17 &gt; 0, ISNUMBER($E17))</formula>
    </cfRule>
    <cfRule type="expression" dxfId="448" priority="98">
      <formula>AND($E17 &lt; 0, ISNUMBER($E17))</formula>
    </cfRule>
  </conditionalFormatting>
  <conditionalFormatting sqref="D32:F33 E44:F44">
    <cfRule type="expression" dxfId="447" priority="81">
      <formula>$E$44&gt;0</formula>
    </cfRule>
    <cfRule type="expression" dxfId="446" priority="82">
      <formula>$E$44&lt;0</formula>
    </cfRule>
  </conditionalFormatting>
  <conditionalFormatting sqref="G32:I33 H44:I44">
    <cfRule type="expression" dxfId="445" priority="79">
      <formula>$H$44&gt;0</formula>
    </cfRule>
    <cfRule type="expression" dxfId="444" priority="80">
      <formula>$H$44&lt;0</formula>
    </cfRule>
  </conditionalFormatting>
  <conditionalFormatting sqref="J32:L33 K44:L44">
    <cfRule type="expression" dxfId="443" priority="77">
      <formula>$K$44&gt;0</formula>
    </cfRule>
    <cfRule type="expression" dxfId="442" priority="78">
      <formula>$K$44&lt;0</formula>
    </cfRule>
  </conditionalFormatting>
  <conditionalFormatting sqref="M32:O33 N44:O44">
    <cfRule type="expression" dxfId="441" priority="75">
      <formula>$N$44&gt;0</formula>
    </cfRule>
    <cfRule type="expression" dxfId="440" priority="76">
      <formula>$N$44&lt;0</formula>
    </cfRule>
  </conditionalFormatting>
  <conditionalFormatting sqref="A51:O60">
    <cfRule type="expression" dxfId="439" priority="67">
      <formula>AND($N51 &gt; 0, ISNUMBER($N51))</formula>
    </cfRule>
    <cfRule type="expression" dxfId="438" priority="68">
      <formula>AND($N51 &lt; 0, ISNUMBER($N51))</formula>
    </cfRule>
    <cfRule type="expression" dxfId="437" priority="69">
      <formula>AND($K51 &gt; 0, ISNUMBER($K51))</formula>
    </cfRule>
    <cfRule type="expression" dxfId="436" priority="70">
      <formula>AND($K51 &lt; 0, ISNUMBER($K51))</formula>
    </cfRule>
    <cfRule type="expression" dxfId="435" priority="71">
      <formula>AND($H51 &gt; 0, ISNUMBER($H51))</formula>
    </cfRule>
    <cfRule type="expression" dxfId="434" priority="72">
      <formula>AND($H51 &lt; 0, ISNUMBER($H51))</formula>
    </cfRule>
    <cfRule type="expression" dxfId="433" priority="73">
      <formula>AND($E51 &gt; 0, ISNUMBER($E51))</formula>
    </cfRule>
    <cfRule type="expression" dxfId="432" priority="74">
      <formula>AND($E51 &lt; 0, ISNUMBER($E51))</formula>
    </cfRule>
  </conditionalFormatting>
  <conditionalFormatting sqref="D49:F50 E61:F61">
    <cfRule type="expression" dxfId="431" priority="65">
      <formula>$E$61&gt;0</formula>
    </cfRule>
    <cfRule type="expression" dxfId="430" priority="66">
      <formula>$E$61&lt;0</formula>
    </cfRule>
  </conditionalFormatting>
  <conditionalFormatting sqref="G49:I50 H61:I61">
    <cfRule type="expression" dxfId="429" priority="63">
      <formula>$H$61&gt;0</formula>
    </cfRule>
    <cfRule type="expression" dxfId="428" priority="64">
      <formula>$H$61&lt;0</formula>
    </cfRule>
  </conditionalFormatting>
  <conditionalFormatting sqref="J49:L50 K61:L61">
    <cfRule type="expression" dxfId="427" priority="61">
      <formula>$K$61&gt;0</formula>
    </cfRule>
    <cfRule type="expression" dxfId="426" priority="62">
      <formula>$K$61&lt;0</formula>
    </cfRule>
  </conditionalFormatting>
  <conditionalFormatting sqref="M49:O50 N61:O61">
    <cfRule type="expression" dxfId="425" priority="59">
      <formula>$N$61&gt;0</formula>
    </cfRule>
    <cfRule type="expression" dxfId="424" priority="60">
      <formula>$N$61&lt;0</formula>
    </cfRule>
  </conditionalFormatting>
  <conditionalFormatting sqref="A68:O77">
    <cfRule type="expression" dxfId="423" priority="51">
      <formula>AND($N68 &gt; 0, ISNUMBER($N68))</formula>
    </cfRule>
    <cfRule type="expression" dxfId="422" priority="52">
      <formula>AND($N68 &lt; 0, ISNUMBER($N68))</formula>
    </cfRule>
    <cfRule type="expression" dxfId="421" priority="53">
      <formula>AND($K68 &gt; 0, ISNUMBER($K68))</formula>
    </cfRule>
    <cfRule type="expression" dxfId="420" priority="54">
      <formula>AND($K68 &lt; 0, ISNUMBER($K68))</formula>
    </cfRule>
    <cfRule type="expression" dxfId="419" priority="55">
      <formula>AND($H68 &gt; 0, ISNUMBER($H68))</formula>
    </cfRule>
    <cfRule type="expression" dxfId="418" priority="56">
      <formula>AND($H68 &lt; 0, ISNUMBER($H68))</formula>
    </cfRule>
    <cfRule type="expression" dxfId="417" priority="57">
      <formula>AND($E68 &gt; 0, ISNUMBER($E68))</formula>
    </cfRule>
    <cfRule type="expression" dxfId="416" priority="58">
      <formula>AND($E68 &lt; 0, ISNUMBER($E68))</formula>
    </cfRule>
  </conditionalFormatting>
  <conditionalFormatting sqref="D66:F67 E78:F78">
    <cfRule type="expression" dxfId="415" priority="49">
      <formula>$E$78&gt;0</formula>
    </cfRule>
    <cfRule type="expression" dxfId="414" priority="50">
      <formula>$E$78&lt;0</formula>
    </cfRule>
  </conditionalFormatting>
  <conditionalFormatting sqref="G66:I67 H78:I78">
    <cfRule type="expression" dxfId="413" priority="47">
      <formula>$H$78&gt;0</formula>
    </cfRule>
    <cfRule type="expression" dxfId="412" priority="48">
      <formula>$H$78&lt;0</formula>
    </cfRule>
  </conditionalFormatting>
  <conditionalFormatting sqref="J66:L67 K78:L78">
    <cfRule type="expression" dxfId="411" priority="45">
      <formula>$K$78&gt;0</formula>
    </cfRule>
    <cfRule type="expression" dxfId="410" priority="46">
      <formula>$K$78&lt;0</formula>
    </cfRule>
  </conditionalFormatting>
  <conditionalFormatting sqref="M66:O67 N78:O78">
    <cfRule type="expression" dxfId="409" priority="43">
      <formula>$N$78&gt;0</formula>
    </cfRule>
    <cfRule type="expression" dxfId="408" priority="44">
      <formula>$N$78&lt;0</formula>
    </cfRule>
  </conditionalFormatting>
  <conditionalFormatting sqref="A85:O94">
    <cfRule type="expression" dxfId="407" priority="35">
      <formula>AND($N85 &gt; 0, ISNUMBER($N85))</formula>
    </cfRule>
    <cfRule type="expression" dxfId="406" priority="36">
      <formula>AND($N85 &lt; 0, ISNUMBER($N85))</formula>
    </cfRule>
    <cfRule type="expression" dxfId="405" priority="37">
      <formula>AND($K85 &gt; 0, ISNUMBER($K85))</formula>
    </cfRule>
    <cfRule type="expression" dxfId="404" priority="38">
      <formula>AND($K85 &lt; 0, ISNUMBER($K85))</formula>
    </cfRule>
    <cfRule type="expression" dxfId="403" priority="39">
      <formula>AND($H85 &gt; 0, ISNUMBER($H85))</formula>
    </cfRule>
    <cfRule type="expression" dxfId="402" priority="40">
      <formula>AND($H85 &lt; 0, ISNUMBER($H85))</formula>
    </cfRule>
    <cfRule type="expression" dxfId="401" priority="41">
      <formula>AND($E85 &gt; 0, ISNUMBER($E85))</formula>
    </cfRule>
    <cfRule type="expression" dxfId="400" priority="42">
      <formula>AND($E85 &lt; 0, ISNUMBER($E85))</formula>
    </cfRule>
  </conditionalFormatting>
  <conditionalFormatting sqref="D83:F84 E95:F95">
    <cfRule type="expression" dxfId="399" priority="33">
      <formula>$E$95&gt;0</formula>
    </cfRule>
    <cfRule type="expression" dxfId="398" priority="34">
      <formula>$E$95&lt;0</formula>
    </cfRule>
  </conditionalFormatting>
  <conditionalFormatting sqref="G83:I84 H95:I95">
    <cfRule type="expression" dxfId="397" priority="31">
      <formula>$H$95&gt;0</formula>
    </cfRule>
    <cfRule type="expression" dxfId="396" priority="32">
      <formula>$H$95&lt;0</formula>
    </cfRule>
  </conditionalFormatting>
  <conditionalFormatting sqref="J83:L84 K95:L95">
    <cfRule type="expression" dxfId="395" priority="29">
      <formula>$K$95&gt;0</formula>
    </cfRule>
    <cfRule type="expression" dxfId="394" priority="30">
      <formula>$K$95&lt;0</formula>
    </cfRule>
  </conditionalFormatting>
  <conditionalFormatting sqref="M83:O84 N95:O95">
    <cfRule type="expression" dxfId="393" priority="27">
      <formula>$N$95&gt;0</formula>
    </cfRule>
    <cfRule type="expression" dxfId="392" priority="28">
      <formula>$N$95&lt;0</formula>
    </cfRule>
  </conditionalFormatting>
  <conditionalFormatting sqref="A102:O111">
    <cfRule type="expression" dxfId="391" priority="19">
      <formula>AND($N102 &gt; 0, ISNUMBER($N102))</formula>
    </cfRule>
    <cfRule type="expression" dxfId="390" priority="20">
      <formula>AND($N102 &lt; 0, ISNUMBER($N102))</formula>
    </cfRule>
    <cfRule type="expression" dxfId="389" priority="21">
      <formula>AND($K102 &gt; 0, ISNUMBER($K102))</formula>
    </cfRule>
    <cfRule type="expression" dxfId="388" priority="22">
      <formula>AND($K102 &lt; 0, ISNUMBER($K102))</formula>
    </cfRule>
    <cfRule type="expression" dxfId="387" priority="23">
      <formula>AND($H102 &gt; 0, ISNUMBER($H102))</formula>
    </cfRule>
    <cfRule type="expression" dxfId="386" priority="24">
      <formula>AND($H102 &lt; 0, ISNUMBER($H102))</formula>
    </cfRule>
    <cfRule type="expression" dxfId="385" priority="25">
      <formula>AND($E102 &gt; 0, ISNUMBER($E102))</formula>
    </cfRule>
    <cfRule type="expression" dxfId="384" priority="26">
      <formula>AND($E102 &lt; 0, ISNUMBER($E102))</formula>
    </cfRule>
  </conditionalFormatting>
  <conditionalFormatting sqref="D100:F101 E112:F112">
    <cfRule type="expression" dxfId="383" priority="17">
      <formula>$E$112&gt;0</formula>
    </cfRule>
    <cfRule type="expression" dxfId="382" priority="18">
      <formula>$E$112&lt;0</formula>
    </cfRule>
  </conditionalFormatting>
  <conditionalFormatting sqref="G100:I101 H112:I112">
    <cfRule type="expression" dxfId="381" priority="15">
      <formula>$H$112&gt;0</formula>
    </cfRule>
    <cfRule type="expression" dxfId="380" priority="16">
      <formula>$H$112&lt;0</formula>
    </cfRule>
  </conditionalFormatting>
  <conditionalFormatting sqref="J100:L101 K112:L112">
    <cfRule type="expression" dxfId="379" priority="13">
      <formula>$K$112&gt;0</formula>
    </cfRule>
    <cfRule type="expression" dxfId="378" priority="14">
      <formula>$K$112&lt;0</formula>
    </cfRule>
  </conditionalFormatting>
  <conditionalFormatting sqref="M100:O101 N112:O112">
    <cfRule type="expression" dxfId="377" priority="11">
      <formula>$N$112&gt;0</formula>
    </cfRule>
    <cfRule type="expression" dxfId="376" priority="12">
      <formula>$N$112&lt;0</formula>
    </cfRule>
  </conditionalFormatting>
  <conditionalFormatting sqref="G2:I3">
    <cfRule type="expression" dxfId="37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7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7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7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7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7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6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6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6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6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44287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02"/>
      <c r="I9" s="203"/>
      <c r="J9" s="1" t="s">
        <v>28</v>
      </c>
      <c r="K9" s="198" t="s">
        <v>225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66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65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44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4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06"/>
      <c r="R16" s="207"/>
    </row>
    <row r="17" spans="1:18" ht="17.25" customHeight="1">
      <c r="A17" s="9" t="s">
        <v>122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04"/>
      <c r="R17" s="205"/>
    </row>
    <row r="18" spans="1:18" ht="17.25" customHeight="1">
      <c r="A18" s="11" t="s">
        <v>169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04"/>
      <c r="R18" s="205"/>
    </row>
    <row r="19" spans="1:18" ht="17.25" customHeight="1">
      <c r="A19" s="11" t="s">
        <v>152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04"/>
      <c r="R19" s="205"/>
    </row>
    <row r="20" spans="1:18" ht="17.25" customHeight="1">
      <c r="A20" s="40" t="s">
        <v>143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04"/>
      <c r="R20" s="205"/>
    </row>
    <row r="21" spans="1:18" ht="17.25" customHeight="1">
      <c r="A21" s="41" t="s">
        <v>139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04"/>
      <c r="R21" s="205"/>
    </row>
    <row r="22" spans="1:18" ht="17.25" customHeight="1">
      <c r="A22" s="40" t="s">
        <v>218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04"/>
      <c r="R22" s="205"/>
    </row>
    <row r="23" spans="1:18" ht="17.25" customHeight="1">
      <c r="A23" s="40" t="s">
        <v>149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04"/>
      <c r="R23" s="205"/>
    </row>
    <row r="24" spans="1:18" ht="17.25" customHeight="1">
      <c r="A24" s="40" t="s">
        <v>251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04"/>
      <c r="R24" s="205"/>
    </row>
    <row r="25" spans="1:18" ht="17.25" customHeight="1">
      <c r="A25" s="11" t="s">
        <v>135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06"/>
      <c r="R25" s="207"/>
    </row>
    <row r="26" spans="1:18" ht="17.25" customHeight="1" thickBot="1">
      <c r="A26" s="11" t="s">
        <v>181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65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231"/>
      <c r="R33" s="232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229"/>
      <c r="R34" s="230"/>
    </row>
    <row r="35" spans="1:18" ht="17.25" customHeight="1">
      <c r="A35" s="11" t="s">
        <v>147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229"/>
      <c r="R35" s="230"/>
    </row>
    <row r="36" spans="1:18" ht="17.25" customHeight="1">
      <c r="A36" s="11" t="s">
        <v>122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229"/>
      <c r="R36" s="230"/>
    </row>
    <row r="37" spans="1:18" ht="17.25" customHeight="1">
      <c r="A37" s="11" t="s">
        <v>169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229"/>
      <c r="R37" s="230"/>
    </row>
    <row r="38" spans="1:18" ht="17.25" customHeight="1">
      <c r="A38" s="8" t="s">
        <v>139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229"/>
      <c r="R38" s="230"/>
    </row>
    <row r="39" spans="1:18" ht="17.25" customHeight="1">
      <c r="A39" s="11" t="s">
        <v>149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229"/>
      <c r="R39" s="230"/>
    </row>
    <row r="40" spans="1:18" ht="17.25" customHeight="1">
      <c r="A40" s="11" t="s">
        <v>135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229"/>
      <c r="R40" s="230"/>
    </row>
    <row r="41" spans="1:18" ht="17.25" customHeight="1">
      <c r="A41" s="11" t="s">
        <v>137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229"/>
      <c r="R41" s="230"/>
    </row>
    <row r="42" spans="1:18" ht="17.25" customHeight="1">
      <c r="A42" s="11" t="s">
        <v>161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231"/>
      <c r="R42" s="232"/>
    </row>
    <row r="43" spans="1:18" ht="17.25" customHeight="1" thickBot="1">
      <c r="A43" s="13" t="s">
        <v>126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231"/>
      <c r="R43" s="232"/>
    </row>
    <row r="44" spans="1:18" ht="17.25" customHeight="1" thickBot="1">
      <c r="A44" s="57" t="s">
        <v>32</v>
      </c>
      <c r="B44" s="235">
        <v>300000</v>
      </c>
      <c r="C44" s="236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65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231"/>
      <c r="R50" s="232"/>
    </row>
    <row r="51" spans="1:18" ht="17.25" customHeight="1">
      <c r="A51" s="9" t="s">
        <v>108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229"/>
      <c r="R51" s="230"/>
    </row>
    <row r="52" spans="1:18" ht="17.25" customHeight="1">
      <c r="A52" s="11" t="s">
        <v>164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229"/>
      <c r="R52" s="230"/>
    </row>
    <row r="53" spans="1:18" ht="17.25" customHeight="1">
      <c r="A53" s="11" t="s">
        <v>140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229"/>
      <c r="R53" s="230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229"/>
      <c r="R54" s="230"/>
    </row>
    <row r="55" spans="1:18" ht="17.25" customHeight="1">
      <c r="A55" s="8" t="s">
        <v>150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229"/>
      <c r="R55" s="23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300000</v>
      </c>
      <c r="C61" s="236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65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231"/>
      <c r="R67" s="232"/>
    </row>
    <row r="68" spans="1:18" ht="17.25" customHeight="1">
      <c r="A68" s="9" t="s">
        <v>152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229"/>
      <c r="R68" s="230"/>
    </row>
    <row r="69" spans="1:18" ht="17.25" customHeight="1">
      <c r="A69" s="11" t="s">
        <v>125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229"/>
      <c r="R69" s="230"/>
    </row>
    <row r="70" spans="1:18" ht="17.25" customHeight="1">
      <c r="A70" s="11" t="s">
        <v>181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229"/>
      <c r="R70" s="230"/>
    </row>
    <row r="71" spans="1:18" ht="17.25" customHeight="1">
      <c r="A71" s="11" t="s">
        <v>166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229"/>
      <c r="R71" s="230"/>
    </row>
    <row r="72" spans="1:18" ht="17.25" customHeight="1">
      <c r="A72" s="8" t="s">
        <v>132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229"/>
      <c r="R72" s="230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229"/>
      <c r="R73" s="230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229"/>
      <c r="R74" s="230"/>
    </row>
    <row r="75" spans="1:18" ht="17.25" customHeight="1">
      <c r="A75" s="11" t="s">
        <v>116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229"/>
      <c r="R75" s="230"/>
    </row>
    <row r="76" spans="1:18" ht="17.25" customHeight="1">
      <c r="A76" s="11" t="s">
        <v>114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231"/>
      <c r="R76" s="232"/>
    </row>
    <row r="77" spans="1:18" ht="17.25" customHeight="1" thickBot="1">
      <c r="A77" s="13" t="s">
        <v>121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231"/>
      <c r="R77" s="232"/>
    </row>
    <row r="78" spans="1:18" ht="17.25" customHeight="1" thickBot="1">
      <c r="A78" s="57" t="s">
        <v>32</v>
      </c>
      <c r="B78" s="235">
        <v>300000</v>
      </c>
      <c r="C78" s="236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65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231"/>
      <c r="R84" s="232"/>
    </row>
    <row r="85" spans="1:18" ht="17.25" customHeight="1">
      <c r="A85" s="9" t="s">
        <v>146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229"/>
      <c r="R85" s="230"/>
    </row>
    <row r="86" spans="1:18" ht="17.25" customHeight="1">
      <c r="A86" s="11" t="s">
        <v>158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229"/>
      <c r="R86" s="230"/>
    </row>
    <row r="87" spans="1:18" ht="17.25" customHeight="1">
      <c r="A87" s="11" t="s">
        <v>142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229"/>
      <c r="R87" s="230"/>
    </row>
    <row r="88" spans="1:18" ht="17.25" customHeight="1">
      <c r="A88" s="11" t="s">
        <v>120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229"/>
      <c r="R88" s="230"/>
    </row>
    <row r="89" spans="1:18" ht="17.25" customHeight="1">
      <c r="A89" s="8" t="s">
        <v>119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229"/>
      <c r="R89" s="230"/>
    </row>
    <row r="90" spans="1:18" ht="17.25" customHeight="1">
      <c r="A90" s="11" t="s">
        <v>178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229"/>
      <c r="R90" s="230"/>
    </row>
    <row r="91" spans="1:18" ht="17.25" customHeight="1">
      <c r="A91" s="11" t="s">
        <v>241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229"/>
      <c r="R91" s="230"/>
    </row>
    <row r="92" spans="1:18" ht="17.25" customHeight="1">
      <c r="A92" s="11" t="s">
        <v>172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229"/>
      <c r="R92" s="230"/>
    </row>
    <row r="93" spans="1:18" ht="17.25" customHeight="1">
      <c r="A93" s="11" t="s">
        <v>131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231"/>
      <c r="R93" s="232"/>
    </row>
    <row r="94" spans="1:18" ht="17.25" customHeight="1" thickBot="1">
      <c r="A94" s="13" t="s">
        <v>141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231"/>
      <c r="R94" s="232"/>
    </row>
    <row r="95" spans="1:18" ht="17.25" customHeight="1" thickBot="1">
      <c r="A95" s="57" t="s">
        <v>32</v>
      </c>
      <c r="B95" s="235">
        <v>300000</v>
      </c>
      <c r="C95" s="236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65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231"/>
      <c r="R101" s="232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229"/>
      <c r="R102" s="230"/>
    </row>
    <row r="103" spans="1:18" ht="17.25" customHeight="1">
      <c r="A103" s="11" t="s">
        <v>147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229"/>
      <c r="R103" s="230"/>
    </row>
    <row r="104" spans="1:18" ht="17.25" customHeight="1">
      <c r="A104" s="11" t="s">
        <v>122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229"/>
      <c r="R104" s="230"/>
    </row>
    <row r="105" spans="1:18" ht="17.25" customHeight="1">
      <c r="A105" s="11" t="s">
        <v>169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229"/>
      <c r="R105" s="230"/>
    </row>
    <row r="106" spans="1:18" ht="17.25" customHeight="1">
      <c r="A106" s="8" t="s">
        <v>152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229"/>
      <c r="R106" s="230"/>
    </row>
    <row r="107" spans="1:18" ht="17.25" customHeight="1">
      <c r="A107" s="11" t="s">
        <v>143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229"/>
      <c r="R107" s="230"/>
    </row>
    <row r="108" spans="1:18" ht="17.25" customHeight="1">
      <c r="A108" s="11" t="s">
        <v>139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229"/>
      <c r="R108" s="230"/>
    </row>
    <row r="109" spans="1:18" ht="17.25" customHeight="1">
      <c r="A109" s="11" t="s">
        <v>218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229"/>
      <c r="R109" s="230"/>
    </row>
    <row r="110" spans="1:18" ht="17.25" customHeight="1">
      <c r="A110" s="11" t="s">
        <v>149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231"/>
      <c r="R110" s="232"/>
    </row>
    <row r="111" spans="1:18" ht="17.25" customHeight="1" thickBot="1">
      <c r="A111" s="13" t="s">
        <v>251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231"/>
      <c r="R111" s="232"/>
    </row>
    <row r="112" spans="1:18" ht="17.25" customHeight="1" thickBot="1">
      <c r="A112" s="57" t="s">
        <v>32</v>
      </c>
      <c r="B112" s="235">
        <v>300000</v>
      </c>
      <c r="C112" s="236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65" priority="97">
      <formula>$E$27&gt;0</formula>
    </cfRule>
    <cfRule type="expression" dxfId="364" priority="98">
      <formula>$E$27&lt;0</formula>
    </cfRule>
  </conditionalFormatting>
  <conditionalFormatting sqref="G15:I16 H27:I27">
    <cfRule type="expression" dxfId="363" priority="95">
      <formula>$H$27&gt;0</formula>
    </cfRule>
    <cfRule type="expression" dxfId="362" priority="96">
      <formula>$H$27&lt;0</formula>
    </cfRule>
  </conditionalFormatting>
  <conditionalFormatting sqref="J15:L16 K27:L27">
    <cfRule type="expression" dxfId="361" priority="93">
      <formula>$K$27&gt;0</formula>
    </cfRule>
    <cfRule type="expression" dxfId="360" priority="94">
      <formula>$K$27&lt;0</formula>
    </cfRule>
  </conditionalFormatting>
  <conditionalFormatting sqref="M15:O16 N27:O27">
    <cfRule type="expression" dxfId="359" priority="91">
      <formula>$N$27&gt;0</formula>
    </cfRule>
    <cfRule type="expression" dxfId="358" priority="92">
      <formula>$N$27&lt;0</formula>
    </cfRule>
  </conditionalFormatting>
  <conditionalFormatting sqref="A34:O43 A17:O25 B26:O26">
    <cfRule type="expression" dxfId="357" priority="99">
      <formula>AND($N17 &gt; 0, ISNUMBER($N17))</formula>
    </cfRule>
    <cfRule type="expression" dxfId="356" priority="100">
      <formula>AND($N17 &lt; 0, ISNUMBER($N17))</formula>
    </cfRule>
    <cfRule type="expression" dxfId="355" priority="101">
      <formula>AND($K17 &gt; 0, ISNUMBER($K17))</formula>
    </cfRule>
    <cfRule type="expression" dxfId="354" priority="102">
      <formula>AND($K17 &lt; 0, ISNUMBER($K17))</formula>
    </cfRule>
    <cfRule type="expression" dxfId="353" priority="103">
      <formula>AND($H17 &gt; 0, ISNUMBER($H17))</formula>
    </cfRule>
    <cfRule type="expression" dxfId="352" priority="104">
      <formula>AND($H17 &lt; 0, ISNUMBER($H17))</formula>
    </cfRule>
    <cfRule type="expression" dxfId="351" priority="105">
      <formula>AND($E17 &gt; 0, ISNUMBER($E17))</formula>
    </cfRule>
    <cfRule type="expression" dxfId="350" priority="106">
      <formula>AND($E17 &lt; 0, ISNUMBER($E17))</formula>
    </cfRule>
  </conditionalFormatting>
  <conditionalFormatting sqref="D32:F33 E44:F44">
    <cfRule type="expression" dxfId="349" priority="89">
      <formula>$E$44&gt;0</formula>
    </cfRule>
    <cfRule type="expression" dxfId="348" priority="90">
      <formula>$E$44&lt;0</formula>
    </cfRule>
  </conditionalFormatting>
  <conditionalFormatting sqref="G32:I33 H44:I44">
    <cfRule type="expression" dxfId="347" priority="87">
      <formula>$H$44&gt;0</formula>
    </cfRule>
    <cfRule type="expression" dxfId="346" priority="88">
      <formula>$H$44&lt;0</formula>
    </cfRule>
  </conditionalFormatting>
  <conditionalFormatting sqref="J32:L33 K44:L44">
    <cfRule type="expression" dxfId="345" priority="85">
      <formula>$K$44&gt;0</formula>
    </cfRule>
    <cfRule type="expression" dxfId="344" priority="86">
      <formula>$K$44&lt;0</formula>
    </cfRule>
  </conditionalFormatting>
  <conditionalFormatting sqref="M32:O33 N44:O44">
    <cfRule type="expression" dxfId="343" priority="83">
      <formula>$N$44&gt;0</formula>
    </cfRule>
    <cfRule type="expression" dxfId="342" priority="84">
      <formula>$N$44&lt;0</formula>
    </cfRule>
  </conditionalFormatting>
  <conditionalFormatting sqref="A51:O60">
    <cfRule type="expression" dxfId="341" priority="75">
      <formula>AND($N51 &gt; 0, ISNUMBER($N51))</formula>
    </cfRule>
    <cfRule type="expression" dxfId="340" priority="76">
      <formula>AND($N51 &lt; 0, ISNUMBER($N51))</formula>
    </cfRule>
    <cfRule type="expression" dxfId="339" priority="77">
      <formula>AND($K51 &gt; 0, ISNUMBER($K51))</formula>
    </cfRule>
    <cfRule type="expression" dxfId="338" priority="78">
      <formula>AND($K51 &lt; 0, ISNUMBER($K51))</formula>
    </cfRule>
    <cfRule type="expression" dxfId="337" priority="79">
      <formula>AND($H51 &gt; 0, ISNUMBER($H51))</formula>
    </cfRule>
    <cfRule type="expression" dxfId="336" priority="80">
      <formula>AND($H51 &lt; 0, ISNUMBER($H51))</formula>
    </cfRule>
    <cfRule type="expression" dxfId="335" priority="81">
      <formula>AND($E51 &gt; 0, ISNUMBER($E51))</formula>
    </cfRule>
    <cfRule type="expression" dxfId="334" priority="82">
      <formula>AND($E51 &lt; 0, ISNUMBER($E51))</formula>
    </cfRule>
  </conditionalFormatting>
  <conditionalFormatting sqref="D49:F50 E61:F61">
    <cfRule type="expression" dxfId="333" priority="73">
      <formula>$E$61&gt;0</formula>
    </cfRule>
    <cfRule type="expression" dxfId="332" priority="74">
      <formula>$E$61&lt;0</formula>
    </cfRule>
  </conditionalFormatting>
  <conditionalFormatting sqref="G49:I50 H61:I61">
    <cfRule type="expression" dxfId="331" priority="71">
      <formula>$H$61&gt;0</formula>
    </cfRule>
    <cfRule type="expression" dxfId="330" priority="72">
      <formula>$H$61&lt;0</formula>
    </cfRule>
  </conditionalFormatting>
  <conditionalFormatting sqref="J49:L50 K61:L61">
    <cfRule type="expression" dxfId="329" priority="69">
      <formula>$K$61&gt;0</formula>
    </cfRule>
    <cfRule type="expression" dxfId="328" priority="70">
      <formula>$K$61&lt;0</formula>
    </cfRule>
  </conditionalFormatting>
  <conditionalFormatting sqref="M49:O50 N61:O61">
    <cfRule type="expression" dxfId="327" priority="67">
      <formula>$N$61&gt;0</formula>
    </cfRule>
    <cfRule type="expression" dxfId="326" priority="68">
      <formula>$N$61&lt;0</formula>
    </cfRule>
  </conditionalFormatting>
  <conditionalFormatting sqref="A68:O77">
    <cfRule type="expression" dxfId="325" priority="59">
      <formula>AND($N68 &gt; 0, ISNUMBER($N68))</formula>
    </cfRule>
    <cfRule type="expression" dxfId="324" priority="60">
      <formula>AND($N68 &lt; 0, ISNUMBER($N68))</formula>
    </cfRule>
    <cfRule type="expression" dxfId="323" priority="61">
      <formula>AND($K68 &gt; 0, ISNUMBER($K68))</formula>
    </cfRule>
    <cfRule type="expression" dxfId="322" priority="62">
      <formula>AND($K68 &lt; 0, ISNUMBER($K68))</formula>
    </cfRule>
    <cfRule type="expression" dxfId="321" priority="63">
      <formula>AND($H68 &gt; 0, ISNUMBER($H68))</formula>
    </cfRule>
    <cfRule type="expression" dxfId="320" priority="64">
      <formula>AND($H68 &lt; 0, ISNUMBER($H68))</formula>
    </cfRule>
    <cfRule type="expression" dxfId="319" priority="65">
      <formula>AND($E68 &gt; 0, ISNUMBER($E68))</formula>
    </cfRule>
    <cfRule type="expression" dxfId="318" priority="66">
      <formula>AND($E68 &lt; 0, ISNUMBER($E68))</formula>
    </cfRule>
  </conditionalFormatting>
  <conditionalFormatting sqref="D66:F67 E78:F78">
    <cfRule type="expression" dxfId="317" priority="57">
      <formula>$E$78&gt;0</formula>
    </cfRule>
    <cfRule type="expression" dxfId="316" priority="58">
      <formula>$E$78&lt;0</formula>
    </cfRule>
  </conditionalFormatting>
  <conditionalFormatting sqref="G66:I67 H78:I78">
    <cfRule type="expression" dxfId="315" priority="55">
      <formula>$H$78&gt;0</formula>
    </cfRule>
    <cfRule type="expression" dxfId="314" priority="56">
      <formula>$H$78&lt;0</formula>
    </cfRule>
  </conditionalFormatting>
  <conditionalFormatting sqref="J66:L67 K78:L78">
    <cfRule type="expression" dxfId="313" priority="53">
      <formula>$K$78&gt;0</formula>
    </cfRule>
    <cfRule type="expression" dxfId="312" priority="54">
      <formula>$K$78&lt;0</formula>
    </cfRule>
  </conditionalFormatting>
  <conditionalFormatting sqref="M66:O67 N78:O78">
    <cfRule type="expression" dxfId="311" priority="51">
      <formula>$N$78&gt;0</formula>
    </cfRule>
    <cfRule type="expression" dxfId="310" priority="52">
      <formula>$N$78&lt;0</formula>
    </cfRule>
  </conditionalFormatting>
  <conditionalFormatting sqref="A85:O94">
    <cfRule type="expression" dxfId="309" priority="43">
      <formula>AND($N85 &gt; 0, ISNUMBER($N85))</formula>
    </cfRule>
    <cfRule type="expression" dxfId="308" priority="44">
      <formula>AND($N85 &lt; 0, ISNUMBER($N85))</formula>
    </cfRule>
    <cfRule type="expression" dxfId="307" priority="45">
      <formula>AND($K85 &gt; 0, ISNUMBER($K85))</formula>
    </cfRule>
    <cfRule type="expression" dxfId="306" priority="46">
      <formula>AND($K85 &lt; 0, ISNUMBER($K85))</formula>
    </cfRule>
    <cfRule type="expression" dxfId="305" priority="47">
      <formula>AND($H85 &gt; 0, ISNUMBER($H85))</formula>
    </cfRule>
    <cfRule type="expression" dxfId="304" priority="48">
      <formula>AND($H85 &lt; 0, ISNUMBER($H85))</formula>
    </cfRule>
    <cfRule type="expression" dxfId="303" priority="49">
      <formula>AND($E85 &gt; 0, ISNUMBER($E85))</formula>
    </cfRule>
    <cfRule type="expression" dxfId="302" priority="50">
      <formula>AND($E85 &lt; 0, ISNUMBER($E85))</formula>
    </cfRule>
  </conditionalFormatting>
  <conditionalFormatting sqref="D83:F84 E95:F95">
    <cfRule type="expression" dxfId="301" priority="41">
      <formula>$E$95&gt;0</formula>
    </cfRule>
    <cfRule type="expression" dxfId="300" priority="42">
      <formula>$E$95&lt;0</formula>
    </cfRule>
  </conditionalFormatting>
  <conditionalFormatting sqref="G83:I84 H95:I95">
    <cfRule type="expression" dxfId="299" priority="39">
      <formula>$H$95&gt;0</formula>
    </cfRule>
    <cfRule type="expression" dxfId="298" priority="40">
      <formula>$H$95&lt;0</formula>
    </cfRule>
  </conditionalFormatting>
  <conditionalFormatting sqref="J83:L84 K95:L95">
    <cfRule type="expression" dxfId="297" priority="37">
      <formula>$K$95&gt;0</formula>
    </cfRule>
    <cfRule type="expression" dxfId="296" priority="38">
      <formula>$K$95&lt;0</formula>
    </cfRule>
  </conditionalFormatting>
  <conditionalFormatting sqref="M83:O84 N95:O95">
    <cfRule type="expression" dxfId="295" priority="35">
      <formula>$N$95&gt;0</formula>
    </cfRule>
    <cfRule type="expression" dxfId="294" priority="36">
      <formula>$N$95&lt;0</formula>
    </cfRule>
  </conditionalFormatting>
  <conditionalFormatting sqref="A102:O111">
    <cfRule type="expression" dxfId="293" priority="27">
      <formula>AND($N102 &gt; 0, ISNUMBER($N102))</formula>
    </cfRule>
    <cfRule type="expression" dxfId="292" priority="28">
      <formula>AND($N102 &lt; 0, ISNUMBER($N102))</formula>
    </cfRule>
    <cfRule type="expression" dxfId="291" priority="29">
      <formula>AND($K102 &gt; 0, ISNUMBER($K102))</formula>
    </cfRule>
    <cfRule type="expression" dxfId="290" priority="30">
      <formula>AND($K102 &lt; 0, ISNUMBER($K102))</formula>
    </cfRule>
    <cfRule type="expression" dxfId="289" priority="31">
      <formula>AND($H102 &gt; 0, ISNUMBER($H102))</formula>
    </cfRule>
    <cfRule type="expression" dxfId="288" priority="32">
      <formula>AND($H102 &lt; 0, ISNUMBER($H102))</formula>
    </cfRule>
    <cfRule type="expression" dxfId="287" priority="33">
      <formula>AND($E102 &gt; 0, ISNUMBER($E102))</formula>
    </cfRule>
    <cfRule type="expression" dxfId="286" priority="34">
      <formula>AND($E102 &lt; 0, ISNUMBER($E102))</formula>
    </cfRule>
  </conditionalFormatting>
  <conditionalFormatting sqref="D100:F101 E112:F112">
    <cfRule type="expression" dxfId="285" priority="25">
      <formula>$E$112&gt;0</formula>
    </cfRule>
    <cfRule type="expression" dxfId="284" priority="26">
      <formula>$E$112&lt;0</formula>
    </cfRule>
  </conditionalFormatting>
  <conditionalFormatting sqref="G100:I101 H112:I112">
    <cfRule type="expression" dxfId="283" priority="23">
      <formula>$H$112&gt;0</formula>
    </cfRule>
    <cfRule type="expression" dxfId="282" priority="24">
      <formula>$H$112&lt;0</formula>
    </cfRule>
  </conditionalFormatting>
  <conditionalFormatting sqref="J100:L101 K112:L112">
    <cfRule type="expression" dxfId="281" priority="21">
      <formula>$K$112&gt;0</formula>
    </cfRule>
    <cfRule type="expression" dxfId="280" priority="22">
      <formula>$K$112&lt;0</formula>
    </cfRule>
  </conditionalFormatting>
  <conditionalFormatting sqref="M100:O101 N112:O112">
    <cfRule type="expression" dxfId="279" priority="19">
      <formula>$N$112&gt;0</formula>
    </cfRule>
    <cfRule type="expression" dxfId="278" priority="20">
      <formula>$N$112&lt;0</formula>
    </cfRule>
  </conditionalFormatting>
  <conditionalFormatting sqref="G2:I3">
    <cfRule type="expression" dxfId="277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76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75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74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73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72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71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70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69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68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267" priority="1">
      <formula>AND($N26 &gt; 0, ISNUMBER($N26))</formula>
    </cfRule>
    <cfRule type="expression" dxfId="266" priority="2">
      <formula>AND($N26 &lt; 0, ISNUMBER($N26))</formula>
    </cfRule>
    <cfRule type="expression" dxfId="265" priority="3">
      <formula>AND($K26 &gt; 0, ISNUMBER($K26))</formula>
    </cfRule>
    <cfRule type="expression" dxfId="264" priority="4">
      <formula>AND($K26 &lt; 0, ISNUMBER($K26))</formula>
    </cfRule>
    <cfRule type="expression" dxfId="263" priority="5">
      <formula>AND($H26 &gt; 0, ISNUMBER($H26))</formula>
    </cfRule>
    <cfRule type="expression" dxfId="262" priority="6">
      <formula>AND($H26 &lt; 0, ISNUMBER($H26))</formula>
    </cfRule>
    <cfRule type="expression" dxfId="261" priority="7">
      <formula>AND($E26 &gt; 0, ISNUMBER($E26))</formula>
    </cfRule>
    <cfRule type="expression" dxfId="260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zoomScaleNormal="100" workbookViewId="0">
      <selection activeCell="K8" sqref="K8:O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44287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-137,887 KRW (-4.60%)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-94,356 KRW (-3.93%)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13,847 KRW (0.46%)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-34,796 KRW (-1.16%)</v>
      </c>
      <c r="H9" s="202"/>
      <c r="I9" s="203"/>
      <c r="J9" s="1" t="s">
        <v>28</v>
      </c>
      <c r="K9" s="198" t="s">
        <v>225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9,656 KRW (0.32%)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73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72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06"/>
      <c r="R16" s="207"/>
    </row>
    <row r="17" spans="1:18" ht="17.25" customHeight="1">
      <c r="A17" s="39" t="s">
        <v>150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-1730.1038062283737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-24913.494809688589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-12110.726643598615</v>
      </c>
      <c r="M17" s="89">
        <f>IF(NOT(_xlfn.IFNA(VLOOKUP($A17, $A$30:$O$112, 13, FALSE), "")=0), _xlfn.IFNA(VLOOKUP($A17, $A$30:$O$112, 13, FALSE), ""), "")</f>
        <v>81.7</v>
      </c>
      <c r="N17" s="22">
        <f>IF(NOT(_xlfn.IFNA(VLOOKUP($A17, $A$30:$O$112, 14, FALSE), "")=0), _xlfn.IFNA(VLOOKUP($A17, $A$30:$O$112, 14, FALSE), ""), "")</f>
        <v>-5.7670126874279123E-2</v>
      </c>
      <c r="O17" s="43">
        <f>IF(NOT(_xlfn.IFNA(VLOOKUP($A17, $A$30:$O$112, 15, FALSE), "")=0), _xlfn.IFNA(VLOOKUP($A17, $A$30:$O$112, 15, FALSE), ""), "")</f>
        <v>-17301.038062283737</v>
      </c>
      <c r="Q17" s="204"/>
      <c r="R17" s="205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1812.6888217522271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-20845.921450151061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-8157.0996978851836</v>
      </c>
      <c r="M18" s="36">
        <f t="shared" ref="M18:M26" si="11">IF(NOT(_xlfn.IFNA(VLOOKUP($A18, $A$30:$O$112, 13, FALSE), "")=0), _xlfn.IFNA(VLOOKUP($A18, $A$30:$O$112, 13, FALSE), ""), "")</f>
        <v>31.6</v>
      </c>
      <c r="N18" s="5">
        <f t="shared" ref="N18:N26" si="12">IF(NOT(_xlfn.IFNA(VLOOKUP($A18, $A$30:$O$112, 14, FALSE), "")=0), _xlfn.IFNA(VLOOKUP($A18, $A$30:$O$112, 14, FALSE), ""), "")</f>
        <v>-4.5317220543806644E-2</v>
      </c>
      <c r="O18" s="44">
        <f t="shared" ref="O18:O26" si="13">IF(NOT(_xlfn.IFNA(VLOOKUP($A18, $A$30:$O$112, 15, FALSE), "")=0), _xlfn.IFNA(VLOOKUP($A18, $A$30:$O$112, 15, FALSE), ""), "")</f>
        <v>-13595.166163141994</v>
      </c>
      <c r="Q18" s="204"/>
      <c r="R18" s="205"/>
    </row>
    <row r="19" spans="1:18" ht="17.25" customHeight="1">
      <c r="A19" s="40" t="s">
        <v>164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-21201.413427561838</v>
      </c>
      <c r="J19" s="36">
        <f t="shared" si="8"/>
        <v>27.5</v>
      </c>
      <c r="K19" s="5">
        <f t="shared" si="9"/>
        <v>-2.8268551236749141E-2</v>
      </c>
      <c r="L19" s="59">
        <f t="shared" si="10"/>
        <v>-8480.5653710247425</v>
      </c>
      <c r="M19" s="36">
        <f t="shared" si="11"/>
        <v>26.6</v>
      </c>
      <c r="N19" s="5">
        <f t="shared" si="12"/>
        <v>-6.0070671378091849E-2</v>
      </c>
      <c r="O19" s="44">
        <f t="shared" si="13"/>
        <v>-18021.201413427556</v>
      </c>
      <c r="Q19" s="204"/>
      <c r="R19" s="205"/>
    </row>
    <row r="20" spans="1:18" ht="17.25" customHeight="1">
      <c r="A20" s="40" t="s">
        <v>108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2439.024390243937</v>
      </c>
      <c r="G20" s="36">
        <f t="shared" si="0"/>
        <v>35</v>
      </c>
      <c r="H20" s="5">
        <f t="shared" si="6"/>
        <v>-5.1490514905149012E-2</v>
      </c>
      <c r="I20" s="59">
        <f t="shared" si="7"/>
        <v>-15447.154471544703</v>
      </c>
      <c r="J20" s="36">
        <f t="shared" si="8"/>
        <v>36.1</v>
      </c>
      <c r="K20" s="5">
        <f t="shared" si="9"/>
        <v>-2.1680216802167945E-2</v>
      </c>
      <c r="L20" s="59">
        <f t="shared" si="10"/>
        <v>-6504.0650406503837</v>
      </c>
      <c r="M20" s="36">
        <f t="shared" si="11"/>
        <v>35.6</v>
      </c>
      <c r="N20" s="5">
        <f t="shared" si="12"/>
        <v>-3.5230352303522956E-2</v>
      </c>
      <c r="O20" s="44">
        <f t="shared" si="13"/>
        <v>-10569.105691056888</v>
      </c>
      <c r="Q20" s="204"/>
      <c r="R20" s="205"/>
    </row>
    <row r="21" spans="1:18" ht="17.25" customHeight="1">
      <c r="A21" s="41" t="s">
        <v>137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1298.7012987012708</v>
      </c>
      <c r="G21" s="37">
        <f t="shared" si="0"/>
        <v>22</v>
      </c>
      <c r="H21" s="24">
        <f t="shared" si="6"/>
        <v>-4.7619047619047679E-2</v>
      </c>
      <c r="I21" s="60">
        <f t="shared" si="7"/>
        <v>-14285.714285714304</v>
      </c>
      <c r="J21" s="37">
        <f t="shared" si="8"/>
        <v>22.6</v>
      </c>
      <c r="K21" s="24">
        <f t="shared" si="9"/>
        <v>-2.1645021645021644E-2</v>
      </c>
      <c r="L21" s="60">
        <f t="shared" si="10"/>
        <v>-6493.5064935064929</v>
      </c>
      <c r="M21" s="37">
        <f t="shared" si="11"/>
        <v>22.2</v>
      </c>
      <c r="N21" s="24">
        <f t="shared" si="12"/>
        <v>-3.896103896103905E-2</v>
      </c>
      <c r="O21" s="62">
        <f t="shared" si="13"/>
        <v>-11688.311688311715</v>
      </c>
      <c r="Q21" s="204"/>
      <c r="R21" s="205"/>
    </row>
    <row r="22" spans="1:18" ht="17.25" customHeight="1">
      <c r="A22" s="40" t="s">
        <v>126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2924.7910863509869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-16295.264623955396</v>
      </c>
      <c r="J22" s="36">
        <f t="shared" si="8"/>
        <v>70</v>
      </c>
      <c r="K22" s="5">
        <f t="shared" si="9"/>
        <v>-2.5069637883008318E-2</v>
      </c>
      <c r="L22" s="59">
        <f t="shared" si="10"/>
        <v>-7520.8913649024953</v>
      </c>
      <c r="M22" s="36">
        <f t="shared" si="11"/>
        <v>67.400000000000006</v>
      </c>
      <c r="N22" s="5">
        <f t="shared" si="12"/>
        <v>-6.1281337047353647E-2</v>
      </c>
      <c r="O22" s="44">
        <f t="shared" si="13"/>
        <v>-18384.401114206095</v>
      </c>
      <c r="Q22" s="204"/>
      <c r="R22" s="205"/>
    </row>
    <row r="23" spans="1:18" ht="17.25" customHeight="1">
      <c r="A23" s="40" t="s">
        <v>139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1063.8297872340577</v>
      </c>
      <c r="G23" s="36">
        <f t="shared" si="0"/>
        <v>27</v>
      </c>
      <c r="H23" s="5">
        <f t="shared" si="6"/>
        <v>-4.255319148936168E-2</v>
      </c>
      <c r="I23" s="59">
        <f t="shared" si="7"/>
        <v>-12765.957446808505</v>
      </c>
      <c r="J23" s="36">
        <f t="shared" si="8"/>
        <v>27.8</v>
      </c>
      <c r="K23" s="5">
        <f t="shared" si="9"/>
        <v>-1.4184397163120517E-2</v>
      </c>
      <c r="L23" s="59">
        <f t="shared" si="10"/>
        <v>-4255.3191489361552</v>
      </c>
      <c r="M23" s="36">
        <f t="shared" si="11"/>
        <v>27.1</v>
      </c>
      <c r="N23" s="5">
        <f t="shared" si="12"/>
        <v>-3.9007092198581485E-2</v>
      </c>
      <c r="O23" s="44">
        <f t="shared" si="13"/>
        <v>-11702.127659574446</v>
      </c>
      <c r="Q23" s="204"/>
      <c r="R23" s="205"/>
    </row>
    <row r="24" spans="1:18" ht="17.25" customHeight="1">
      <c r="A24" s="40" t="s">
        <v>149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11590.90909090911</v>
      </c>
      <c r="G24" s="36">
        <f t="shared" si="0"/>
        <v>43.9</v>
      </c>
      <c r="H24" s="5">
        <f t="shared" si="6"/>
        <v>-2.2727272727273051E-3</v>
      </c>
      <c r="I24" s="59">
        <f t="shared" si="7"/>
        <v>-681.81818181819153</v>
      </c>
      <c r="J24" s="36">
        <f t="shared" si="8"/>
        <v>45.2</v>
      </c>
      <c r="K24" s="5">
        <f t="shared" si="9"/>
        <v>2.7272727272727337E-2</v>
      </c>
      <c r="L24" s="59">
        <f t="shared" si="10"/>
        <v>8181.8181818182011</v>
      </c>
      <c r="M24" s="36">
        <f t="shared" si="11"/>
        <v>44.3</v>
      </c>
      <c r="N24" s="5">
        <f t="shared" si="12"/>
        <v>6.8181818181817537E-3</v>
      </c>
      <c r="O24" s="44">
        <f t="shared" si="13"/>
        <v>2045.4545454545262</v>
      </c>
      <c r="Q24" s="204"/>
      <c r="R24" s="205"/>
    </row>
    <row r="25" spans="1:18" ht="17.25" customHeight="1">
      <c r="A25" s="40" t="s">
        <v>169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28723.404255319139</v>
      </c>
      <c r="G25" s="36">
        <f t="shared" si="0"/>
        <v>57.9</v>
      </c>
      <c r="H25" s="5">
        <f t="shared" si="6"/>
        <v>2.6595744680851064E-2</v>
      </c>
      <c r="I25" s="59">
        <f t="shared" si="7"/>
        <v>7978.7234042553191</v>
      </c>
      <c r="J25" s="36">
        <f t="shared" si="8"/>
        <v>59.2</v>
      </c>
      <c r="K25" s="5">
        <f t="shared" si="9"/>
        <v>4.9645390070922064E-2</v>
      </c>
      <c r="L25" s="59">
        <f t="shared" si="10"/>
        <v>14893.617021276619</v>
      </c>
      <c r="M25" s="36">
        <f t="shared" si="11"/>
        <v>56.7</v>
      </c>
      <c r="N25" s="5">
        <f t="shared" si="12"/>
        <v>5.3191489361702881E-3</v>
      </c>
      <c r="O25" s="44">
        <f t="shared" si="13"/>
        <v>1595.7446808510865</v>
      </c>
      <c r="Q25" s="206"/>
      <c r="R25" s="207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-14210.526315789451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-33947.368421052612</v>
      </c>
      <c r="J26" s="38">
        <f t="shared" si="8"/>
        <v>35.4</v>
      </c>
      <c r="K26" s="16">
        <f t="shared" si="9"/>
        <v>-6.842105263157898E-2</v>
      </c>
      <c r="L26" s="61">
        <f t="shared" si="10"/>
        <v>-20526.315789473694</v>
      </c>
      <c r="M26" s="38">
        <f t="shared" si="11"/>
        <v>34.5</v>
      </c>
      <c r="N26" s="16">
        <f t="shared" si="12"/>
        <v>-9.2105263157894732E-2</v>
      </c>
      <c r="O26" s="45">
        <f t="shared" si="13"/>
        <v>-27631.57894736842</v>
      </c>
      <c r="Q26" s="206"/>
      <c r="R26" s="207"/>
    </row>
    <row r="27" spans="1:18" ht="17.25" customHeight="1" thickBot="1">
      <c r="A27" s="57" t="s">
        <v>32</v>
      </c>
      <c r="B27" s="235">
        <v>300000</v>
      </c>
      <c r="C27" s="236"/>
      <c r="D27" s="57" t="s">
        <v>82</v>
      </c>
      <c r="E27" s="46">
        <f>IF(COUNT(E17:E26), SUM(E17:E26) / COUNT(E17:E26), 0)</f>
        <v>1.2560266151293667E-2</v>
      </c>
      <c r="F27" s="47">
        <f>SUM(F17:F26)</f>
        <v>33912.718608492905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-152405.3837140399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-50973.054346882956</v>
      </c>
      <c r="M27" s="57" t="s">
        <v>82</v>
      </c>
      <c r="N27" s="46">
        <f>IF(COUNT(N17:N26), SUM(N17:N26) / COUNT(N17:N26), 0)</f>
        <v>-4.1750577171021749E-2</v>
      </c>
      <c r="O27" s="47">
        <f>SUM(O17:O26)</f>
        <v>-125251.73151306523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72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231"/>
      <c r="R33" s="232"/>
    </row>
    <row r="34" spans="1:18" ht="17.25" customHeight="1">
      <c r="A34" s="9" t="s">
        <v>122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-35664.335664335682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-50349.65034965035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-45104.895104895113</v>
      </c>
      <c r="M34" s="89">
        <v>24</v>
      </c>
      <c r="N34" s="22">
        <f>IF(ISNUMBER(M34), (M34 - $B34) / $B34, "")</f>
        <v>-0.16083916083916089</v>
      </c>
      <c r="O34" s="43">
        <f>IF(ISNUMBER(M34), $B44 * N34, "")</f>
        <v>-48251.748251748264</v>
      </c>
      <c r="Q34" s="229"/>
      <c r="R34" s="230"/>
    </row>
    <row r="35" spans="1:18" ht="17.25" customHeight="1">
      <c r="A35" s="11" t="s">
        <v>152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19620.253164556972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949.36708860758597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8544.303797468363</v>
      </c>
      <c r="M35" s="36">
        <v>93.7</v>
      </c>
      <c r="N35" s="5">
        <f t="shared" ref="N35:N43" si="17">IF(ISNUMBER(M35), (M35 - $B35) / $B35, "")</f>
        <v>-1.16033755274261E-2</v>
      </c>
      <c r="O35" s="44">
        <f>IF(ISNUMBER(M35), $B44 * N35, "")</f>
        <v>-3481.0126582278299</v>
      </c>
      <c r="Q35" s="229"/>
      <c r="R35" s="230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14491.26413155191</v>
      </c>
      <c r="G36" s="36">
        <v>95.7</v>
      </c>
      <c r="H36" s="5">
        <f t="shared" si="15"/>
        <v>-1.6443987667009191E-2</v>
      </c>
      <c r="I36" s="44">
        <f>IF(ISNUMBER(G36), $B44 * H36, "")</f>
        <v>-4933.196300102757</v>
      </c>
      <c r="J36" s="36">
        <v>100</v>
      </c>
      <c r="K36" s="5">
        <f t="shared" si="16"/>
        <v>2.774922918807814E-2</v>
      </c>
      <c r="L36" s="44">
        <f>IF(ISNUMBER(J36), $B44 * K36, "")</f>
        <v>8324.768756423442</v>
      </c>
      <c r="M36" s="36">
        <v>97</v>
      </c>
      <c r="N36" s="5">
        <f t="shared" si="17"/>
        <v>-3.0832476875642051E-3</v>
      </c>
      <c r="O36" s="44">
        <f>IF(ISNUMBER(M36), $B44 * N36, "")</f>
        <v>-924.97430626926155</v>
      </c>
      <c r="Q36" s="229"/>
      <c r="R36" s="230"/>
    </row>
    <row r="37" spans="1:18" ht="17.25" customHeight="1">
      <c r="A37" s="11" t="s">
        <v>131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7624.3093922651833</v>
      </c>
      <c r="G37" s="36">
        <v>88.6</v>
      </c>
      <c r="H37" s="5">
        <f t="shared" si="15"/>
        <v>-2.099447513812161E-2</v>
      </c>
      <c r="I37" s="44">
        <f>IF(ISNUMBER(G37), $B44 * H37, "")</f>
        <v>-6298.3425414364829</v>
      </c>
      <c r="J37" s="36">
        <v>91.7</v>
      </c>
      <c r="K37" s="5">
        <f t="shared" si="16"/>
        <v>1.3259668508287324E-2</v>
      </c>
      <c r="L37" s="44">
        <f>IF(ISNUMBER(J37), $B44 * K37, "")</f>
        <v>3977.9005524861973</v>
      </c>
      <c r="M37" s="36">
        <v>89.4</v>
      </c>
      <c r="N37" s="5">
        <f t="shared" si="17"/>
        <v>-1.2154696132596622E-2</v>
      </c>
      <c r="O37" s="44">
        <f>IF(ISNUMBER(M37), $B44 * N37, "")</f>
        <v>-3646.4088397789869</v>
      </c>
      <c r="Q37" s="229"/>
      <c r="R37" s="230"/>
    </row>
    <row r="38" spans="1:18" ht="17.25" customHeight="1">
      <c r="A38" s="8" t="s">
        <v>147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2884.6153846153743</v>
      </c>
      <c r="G38" s="37">
        <v>10.1</v>
      </c>
      <c r="H38" s="24">
        <f t="shared" si="15"/>
        <v>-2.8846153846153914E-2</v>
      </c>
      <c r="I38" s="44">
        <f>IF(ISNUMBER(G38), $B44 * H38, "")</f>
        <v>-8653.8461538461743</v>
      </c>
      <c r="J38" s="37">
        <v>10.3</v>
      </c>
      <c r="K38" s="24">
        <f t="shared" si="16"/>
        <v>-9.6153846153845812E-3</v>
      </c>
      <c r="L38" s="44">
        <f>IF(ISNUMBER(J38), $B44 * K38, "")</f>
        <v>-2884.6153846153743</v>
      </c>
      <c r="M38" s="37">
        <v>10.1</v>
      </c>
      <c r="N38" s="24">
        <f t="shared" si="17"/>
        <v>-2.8846153846153914E-2</v>
      </c>
      <c r="O38" s="44">
        <f>IF(ISNUMBER(M38), $B44 * N38, "")</f>
        <v>-8653.8461538461743</v>
      </c>
      <c r="Q38" s="229"/>
      <c r="R38" s="230"/>
    </row>
    <row r="39" spans="1:18" ht="17.25" customHeight="1">
      <c r="A39" s="11" t="s">
        <v>161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-4897.9591836734526</v>
      </c>
      <c r="G39" s="36">
        <v>22.8</v>
      </c>
      <c r="H39" s="5">
        <f t="shared" si="15"/>
        <v>-6.9387755102040788E-2</v>
      </c>
      <c r="I39" s="48">
        <f>IF(ISNUMBER(G39), $B44 * H39, "")</f>
        <v>-20816.326530612238</v>
      </c>
      <c r="J39" s="36">
        <v>23.5</v>
      </c>
      <c r="K39" s="5">
        <f t="shared" si="16"/>
        <v>-4.0816326530612242E-2</v>
      </c>
      <c r="L39" s="48">
        <f>IF(ISNUMBER(J39), $B44 * K39, "")</f>
        <v>-12244.897959183672</v>
      </c>
      <c r="M39" s="36">
        <v>22.7</v>
      </c>
      <c r="N39" s="5">
        <f t="shared" si="17"/>
        <v>-7.3469387755102075E-2</v>
      </c>
      <c r="O39" s="48">
        <f>IF(ISNUMBER(M39), $B44 * N39, "")</f>
        <v>-22040.816326530621</v>
      </c>
      <c r="Q39" s="229"/>
      <c r="R39" s="230"/>
    </row>
    <row r="40" spans="1:18" ht="17.25" customHeight="1">
      <c r="A40" s="11" t="s">
        <v>140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4724.4094488189239</v>
      </c>
      <c r="G40" s="36">
        <v>24.4</v>
      </c>
      <c r="H40" s="5">
        <f t="shared" si="15"/>
        <v>-3.937007874015748E-2</v>
      </c>
      <c r="I40" s="44">
        <f>IF(ISNUMBER(G40), $B44 * H40, "")</f>
        <v>-11811.023622047243</v>
      </c>
      <c r="J40" s="36">
        <v>25.2</v>
      </c>
      <c r="K40" s="5">
        <f t="shared" si="16"/>
        <v>-7.8740157480314682E-3</v>
      </c>
      <c r="L40" s="44">
        <f>IF(ISNUMBER(J40), $B44 * K40, "")</f>
        <v>-2362.2047244094406</v>
      </c>
      <c r="M40" s="36">
        <v>24.6</v>
      </c>
      <c r="N40" s="5">
        <f t="shared" si="17"/>
        <v>-3.1496062992125873E-2</v>
      </c>
      <c r="O40" s="44">
        <f>IF(ISNUMBER(M40), $B44 * N40, "")</f>
        <v>-9448.8188976377623</v>
      </c>
      <c r="Q40" s="229"/>
      <c r="R40" s="230"/>
    </row>
    <row r="41" spans="1:18" ht="17.25" customHeight="1">
      <c r="A41" s="11" t="s">
        <v>135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1916.9329073482359</v>
      </c>
      <c r="G41" s="36">
        <v>30</v>
      </c>
      <c r="H41" s="5">
        <f t="shared" si="15"/>
        <v>-4.1533546325878613E-2</v>
      </c>
      <c r="I41" s="44">
        <f>IF(ISNUMBER(G41), $B44 * H41, "")</f>
        <v>-12460.063897763584</v>
      </c>
      <c r="J41" s="36">
        <v>31.2</v>
      </c>
      <c r="K41" s="5">
        <f t="shared" si="16"/>
        <v>-3.1948881789137834E-3</v>
      </c>
      <c r="L41" s="44">
        <f>IF(ISNUMBER(J41), $B44 * K41, "")</f>
        <v>-958.46645367413498</v>
      </c>
      <c r="M41" s="36">
        <v>30.2</v>
      </c>
      <c r="N41" s="5">
        <f t="shared" si="17"/>
        <v>-3.5143769968051165E-2</v>
      </c>
      <c r="O41" s="44">
        <f>IF(ISNUMBER(M41), $B44 * N41, "")</f>
        <v>-10543.13099041535</v>
      </c>
      <c r="Q41" s="229"/>
      <c r="R41" s="230"/>
    </row>
    <row r="42" spans="1:18" ht="17.25" customHeight="1">
      <c r="A42" s="11" t="s">
        <v>150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-1730.1038062283737</v>
      </c>
      <c r="G42" s="36">
        <v>79.5</v>
      </c>
      <c r="H42" s="5">
        <f t="shared" si="15"/>
        <v>-8.3044982698961961E-2</v>
      </c>
      <c r="I42" s="44">
        <f>IF(ISNUMBER(G42), $B44 * H42, "")</f>
        <v>-24913.494809688589</v>
      </c>
      <c r="J42" s="36">
        <v>83.2</v>
      </c>
      <c r="K42" s="5">
        <f t="shared" si="16"/>
        <v>-4.0369088811995385E-2</v>
      </c>
      <c r="L42" s="44">
        <f>IF(ISNUMBER(J42), $B44 * K42, "")</f>
        <v>-12110.726643598615</v>
      </c>
      <c r="M42" s="36">
        <v>81.7</v>
      </c>
      <c r="N42" s="5">
        <f t="shared" si="17"/>
        <v>-5.7670126874279123E-2</v>
      </c>
      <c r="O42" s="44">
        <f>IF(ISNUMBER(M42), $B44 * N42, "")</f>
        <v>-17301.038062283737</v>
      </c>
      <c r="P42" s="17"/>
      <c r="Q42" s="231"/>
      <c r="R42" s="232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1812.6888217522271</v>
      </c>
      <c r="G43" s="38">
        <v>30.8</v>
      </c>
      <c r="H43" s="16">
        <f t="shared" si="15"/>
        <v>-6.9486404833836876E-2</v>
      </c>
      <c r="I43" s="45">
        <f>IF(ISNUMBER(G43), $B44 * H43, "")</f>
        <v>-20845.921450151061</v>
      </c>
      <c r="J43" s="38">
        <v>32.200000000000003</v>
      </c>
      <c r="K43" s="16">
        <f t="shared" si="16"/>
        <v>-2.7190332326283945E-2</v>
      </c>
      <c r="L43" s="45">
        <f>IF(ISNUMBER(J43), $B44 * K43, "")</f>
        <v>-8157.0996978851836</v>
      </c>
      <c r="M43" s="38">
        <v>31.6</v>
      </c>
      <c r="N43" s="16">
        <f t="shared" si="17"/>
        <v>-4.5317220543806644E-2</v>
      </c>
      <c r="O43" s="45">
        <f>IF(ISNUMBER(M43), $B44 * N43, "")</f>
        <v>-13595.166163141994</v>
      </c>
      <c r="P43" s="17"/>
      <c r="Q43" s="231"/>
      <c r="R43" s="232"/>
    </row>
    <row r="44" spans="1:18" ht="17.25" customHeight="1" thickBot="1">
      <c r="A44" s="57" t="s">
        <v>32</v>
      </c>
      <c r="B44" s="235">
        <v>300000</v>
      </c>
      <c r="C44" s="236"/>
      <c r="D44" s="57" t="s">
        <v>82</v>
      </c>
      <c r="E44" s="46">
        <f>IF(COUNT(E34:E43), SUM(E34:E43) / COUNT(E34:E43), 0)</f>
        <v>3.5940248655571055E-3</v>
      </c>
      <c r="F44" s="47">
        <f>SUM(F34:F43)</f>
        <v>10782.07459667132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-160132.49856669089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-62975.932861883535</v>
      </c>
      <c r="M44" s="57" t="s">
        <v>82</v>
      </c>
      <c r="N44" s="46">
        <f>IF(COUNT(N34:N43), SUM(N34:N43) / COUNT(N34:N43), 0)</f>
        <v>-4.5962320216626669E-2</v>
      </c>
      <c r="O44" s="47">
        <f>SUM(O34:O43)</f>
        <v>-137886.96064987997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72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231"/>
      <c r="R50" s="232"/>
    </row>
    <row r="51" spans="1:18" ht="17.25" customHeight="1">
      <c r="A51" s="9" t="s">
        <v>164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-21201.413427561838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-8480.5653710247425</v>
      </c>
      <c r="M51" s="89">
        <v>26.6</v>
      </c>
      <c r="N51" s="22">
        <f>IF(ISNUMBER(M51), (M51 - $B51) / $B51, "")</f>
        <v>-6.0070671378091849E-2</v>
      </c>
      <c r="O51" s="43">
        <f>IF(ISNUMBER(M51), $B61 * N51, "")</f>
        <v>-18021.201413427556</v>
      </c>
      <c r="Q51" s="229"/>
      <c r="R51" s="230"/>
    </row>
    <row r="52" spans="1:18" ht="17.25" customHeight="1">
      <c r="A52" s="11" t="s">
        <v>108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2439.024390243937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-15447.154471544703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-6504.0650406503837</v>
      </c>
      <c r="M52" s="36">
        <v>35.6</v>
      </c>
      <c r="N52" s="5">
        <f t="shared" ref="N52:N60" si="21">IF(ISNUMBER(M52), (M52 - $B52) / $B52, "")</f>
        <v>-3.5230352303522956E-2</v>
      </c>
      <c r="O52" s="44">
        <f>IF(ISNUMBER(M52), $B61 * N52, "")</f>
        <v>-10569.105691056888</v>
      </c>
      <c r="Q52" s="229"/>
      <c r="R52" s="230"/>
    </row>
    <row r="53" spans="1:18" ht="17.25" customHeight="1">
      <c r="A53" s="11" t="s">
        <v>137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1298.7012987012708</v>
      </c>
      <c r="G53" s="36">
        <v>22</v>
      </c>
      <c r="H53" s="5">
        <f t="shared" si="19"/>
        <v>-4.7619047619047679E-2</v>
      </c>
      <c r="I53" s="44">
        <f>IF(ISNUMBER(G53), $B61 * H53, "")</f>
        <v>-14285.714285714304</v>
      </c>
      <c r="J53" s="36">
        <v>22.6</v>
      </c>
      <c r="K53" s="5">
        <f t="shared" si="20"/>
        <v>-2.1645021645021644E-2</v>
      </c>
      <c r="L53" s="44">
        <f>IF(ISNUMBER(J53), $B61 * K53, "")</f>
        <v>-6493.5064935064929</v>
      </c>
      <c r="M53" s="36">
        <v>22.2</v>
      </c>
      <c r="N53" s="5">
        <f t="shared" si="21"/>
        <v>-3.896103896103905E-2</v>
      </c>
      <c r="O53" s="44">
        <f>IF(ISNUMBER(M53), $B61 * N53, "")</f>
        <v>-11688.311688311715</v>
      </c>
      <c r="Q53" s="229"/>
      <c r="R53" s="230"/>
    </row>
    <row r="54" spans="1:18" ht="17.25" customHeight="1">
      <c r="A54" s="11" t="s">
        <v>126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2924.7910863509869</v>
      </c>
      <c r="G54" s="36">
        <v>67.900000000000006</v>
      </c>
      <c r="H54" s="5">
        <f t="shared" si="19"/>
        <v>-5.4317548746517987E-2</v>
      </c>
      <c r="I54" s="44">
        <f>IF(ISNUMBER(G54), $B61 * H54, "")</f>
        <v>-16295.264623955396</v>
      </c>
      <c r="J54" s="36">
        <v>70</v>
      </c>
      <c r="K54" s="5">
        <f t="shared" si="20"/>
        <v>-2.5069637883008318E-2</v>
      </c>
      <c r="L54" s="44">
        <f>IF(ISNUMBER(J54), $B61 * K54, "")</f>
        <v>-7520.8913649024953</v>
      </c>
      <c r="M54" s="36">
        <v>67.400000000000006</v>
      </c>
      <c r="N54" s="5">
        <f t="shared" si="21"/>
        <v>-6.1281337047353647E-2</v>
      </c>
      <c r="O54" s="44">
        <f>IF(ISNUMBER(M54), $B61 * N54, "")</f>
        <v>-18384.401114206095</v>
      </c>
      <c r="Q54" s="229"/>
      <c r="R54" s="230"/>
    </row>
    <row r="55" spans="1:18" ht="17.25" customHeight="1">
      <c r="A55" s="8" t="s">
        <v>139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1063.8297872340577</v>
      </c>
      <c r="G55" s="37">
        <v>27</v>
      </c>
      <c r="H55" s="24">
        <f t="shared" si="19"/>
        <v>-4.255319148936168E-2</v>
      </c>
      <c r="I55" s="44">
        <f>IF(ISNUMBER(G55), $B61 * H55, "")</f>
        <v>-12765.957446808505</v>
      </c>
      <c r="J55" s="37">
        <v>27.8</v>
      </c>
      <c r="K55" s="24">
        <f t="shared" si="20"/>
        <v>-1.4184397163120517E-2</v>
      </c>
      <c r="L55" s="44">
        <f>IF(ISNUMBER(J55), $B61 * K55, "")</f>
        <v>-4255.3191489361552</v>
      </c>
      <c r="M55" s="37">
        <v>27.1</v>
      </c>
      <c r="N55" s="24">
        <f t="shared" si="21"/>
        <v>-3.9007092198581485E-2</v>
      </c>
      <c r="O55" s="44">
        <f>IF(ISNUMBER(M55), $B61 * N55, "")</f>
        <v>-11702.127659574446</v>
      </c>
      <c r="Q55" s="229"/>
      <c r="R55" s="230"/>
    </row>
    <row r="56" spans="1:18" ht="17.25" customHeight="1">
      <c r="A56" s="11" t="s">
        <v>149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11590.90909090911</v>
      </c>
      <c r="G56" s="36">
        <v>43.9</v>
      </c>
      <c r="H56" s="5">
        <f t="shared" si="19"/>
        <v>-2.2727272727273051E-3</v>
      </c>
      <c r="I56" s="48">
        <f>IF(ISNUMBER(G56), $B61 * H56, "")</f>
        <v>-681.81818181819153</v>
      </c>
      <c r="J56" s="36">
        <v>45.2</v>
      </c>
      <c r="K56" s="5">
        <f t="shared" si="20"/>
        <v>2.7272727272727337E-2</v>
      </c>
      <c r="L56" s="48">
        <f>IF(ISNUMBER(J56), $B61 * K56, "")</f>
        <v>8181.8181818182011</v>
      </c>
      <c r="M56" s="36">
        <v>44.3</v>
      </c>
      <c r="N56" s="5">
        <f t="shared" si="21"/>
        <v>6.8181818181817537E-3</v>
      </c>
      <c r="O56" s="48">
        <f>IF(ISNUMBER(M56), $B61 * N56, "")</f>
        <v>2045.4545454545262</v>
      </c>
      <c r="Q56" s="229"/>
      <c r="R56" s="230"/>
    </row>
    <row r="57" spans="1:18" ht="17.25" customHeight="1">
      <c r="A57" s="11" t="s">
        <v>169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28723.404255319139</v>
      </c>
      <c r="G57" s="36">
        <v>57.9</v>
      </c>
      <c r="H57" s="5">
        <f t="shared" si="19"/>
        <v>2.6595744680851064E-2</v>
      </c>
      <c r="I57" s="44">
        <f>IF(ISNUMBER(G57), $B61 * H57, "")</f>
        <v>7978.7234042553191</v>
      </c>
      <c r="J57" s="36">
        <v>59.2</v>
      </c>
      <c r="K57" s="5">
        <f t="shared" si="20"/>
        <v>4.9645390070922064E-2</v>
      </c>
      <c r="L57" s="44">
        <f>IF(ISNUMBER(J57), $B61 * K57, "")</f>
        <v>14893.617021276619</v>
      </c>
      <c r="M57" s="36">
        <v>56.7</v>
      </c>
      <c r="N57" s="5">
        <f t="shared" si="21"/>
        <v>5.3191489361702881E-3</v>
      </c>
      <c r="O57" s="44">
        <f>IF(ISNUMBER(M57), $B61 * N57, "")</f>
        <v>1595.7446808510865</v>
      </c>
      <c r="Q57" s="229"/>
      <c r="R57" s="230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-14210.526315789451</v>
      </c>
      <c r="G58" s="36">
        <v>33.700000000000003</v>
      </c>
      <c r="H58" s="5">
        <f t="shared" si="19"/>
        <v>-0.11315789473684203</v>
      </c>
      <c r="I58" s="44">
        <f>IF(ISNUMBER(G58), $B61 * H58, "")</f>
        <v>-33947.368421052612</v>
      </c>
      <c r="J58" s="36">
        <v>35.4</v>
      </c>
      <c r="K58" s="5">
        <f t="shared" si="20"/>
        <v>-6.842105263157898E-2</v>
      </c>
      <c r="L58" s="44">
        <f>IF(ISNUMBER(J58), $B61 * K58, "")</f>
        <v>-20526.315789473694</v>
      </c>
      <c r="M58" s="36">
        <v>34.5</v>
      </c>
      <c r="N58" s="5">
        <f t="shared" si="21"/>
        <v>-9.2105263157894732E-2</v>
      </c>
      <c r="O58" s="44">
        <f>IF(ISNUMBER(M58), $B61 * N58, "")</f>
        <v>-27631.57894736842</v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300000</v>
      </c>
      <c r="C61" s="236"/>
      <c r="D61" s="57" t="s">
        <v>82</v>
      </c>
      <c r="E61" s="46">
        <f>IF(COUNT(E51:E60), SUM(E51:E60) / COUNT(E51:E60), 0)</f>
        <v>1.4095888997070437E-2</v>
      </c>
      <c r="F61" s="47">
        <f>SUM(F51:F60)</f>
        <v>33830.133592969054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-106645.96745420023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-30705.228005399142</v>
      </c>
      <c r="M61" s="57" t="s">
        <v>82</v>
      </c>
      <c r="N61" s="46">
        <f>IF(COUNT(N51:N60), SUM(N51:N60) / COUNT(N51:N60), 0)</f>
        <v>-3.9314803036516459E-2</v>
      </c>
      <c r="O61" s="47">
        <f>SUM(O51:O60)</f>
        <v>-94355.527287639503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72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231"/>
      <c r="R67" s="232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11455.847255369928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79474.940334128885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70883.054892601431</v>
      </c>
      <c r="M68" s="89">
        <v>467</v>
      </c>
      <c r="N68" s="22">
        <f>IF(ISNUMBER(M68), (M68 - $B68) / $B68, "")</f>
        <v>0.11455847255369929</v>
      </c>
      <c r="O68" s="43">
        <f>IF(ISNUMBER(M68), $B78 * N68, "")</f>
        <v>34367.541766109789</v>
      </c>
      <c r="Q68" s="229"/>
      <c r="R68" s="230"/>
    </row>
    <row r="69" spans="1:18" ht="17.25" customHeight="1">
      <c r="A69" s="11" t="s">
        <v>146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-20779.220779220781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-33766.233766233767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-23376.623376623374</v>
      </c>
      <c r="M69" s="36">
        <v>208</v>
      </c>
      <c r="N69" s="5">
        <f t="shared" ref="N69:N77" si="25">IF(ISNUMBER(M69), (M69 - $B69) / $B69, "")</f>
        <v>-9.9567099567099568E-2</v>
      </c>
      <c r="O69" s="44">
        <f>IF(ISNUMBER(M69), $B78 * N69, "")</f>
        <v>-29870.129870129869</v>
      </c>
      <c r="Q69" s="229"/>
      <c r="R69" s="230"/>
    </row>
    <row r="70" spans="1:18" ht="17.25" customHeight="1">
      <c r="A70" s="11" t="s">
        <v>129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56317.689530685922</v>
      </c>
      <c r="G70" s="36">
        <v>313</v>
      </c>
      <c r="H70" s="5">
        <f t="shared" si="23"/>
        <v>0.1299638989169675</v>
      </c>
      <c r="I70" s="44">
        <f>IF(ISNUMBER(G70), $B78 * H70, "")</f>
        <v>38989.169675090248</v>
      </c>
      <c r="J70" s="36">
        <v>322</v>
      </c>
      <c r="K70" s="5">
        <f t="shared" si="24"/>
        <v>0.16245487364620939</v>
      </c>
      <c r="L70" s="44">
        <f>IF(ISNUMBER(J70), $B78 * K70, "")</f>
        <v>48736.462093862814</v>
      </c>
      <c r="M70" s="36">
        <v>305</v>
      </c>
      <c r="N70" s="5">
        <f t="shared" si="25"/>
        <v>0.10108303249097472</v>
      </c>
      <c r="O70" s="44">
        <f>IF(ISNUMBER(M70), $B78 * N70, "")</f>
        <v>30324.909747292415</v>
      </c>
      <c r="Q70" s="229"/>
      <c r="R70" s="230"/>
    </row>
    <row r="71" spans="1:18" ht="17.25" customHeight="1">
      <c r="A71" s="11" t="s">
        <v>125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22916.666666666668</v>
      </c>
      <c r="G71" s="36">
        <v>325</v>
      </c>
      <c r="H71" s="5">
        <f t="shared" si="23"/>
        <v>0.12847222222222221</v>
      </c>
      <c r="I71" s="44">
        <f>IF(ISNUMBER(G71), $B78 * H71, "")</f>
        <v>38541.666666666664</v>
      </c>
      <c r="J71" s="36">
        <v>310</v>
      </c>
      <c r="K71" s="5">
        <f t="shared" si="24"/>
        <v>7.6388888888888895E-2</v>
      </c>
      <c r="L71" s="44">
        <f>IF(ISNUMBER(J71), $B78 * K71, "")</f>
        <v>22916.666666666668</v>
      </c>
      <c r="M71" s="36">
        <v>316</v>
      </c>
      <c r="N71" s="5">
        <f t="shared" si="25"/>
        <v>9.7222222222222224E-2</v>
      </c>
      <c r="O71" s="44">
        <f>IF(ISNUMBER(M71), $B78 * N71, "")</f>
        <v>29166.666666666668</v>
      </c>
      <c r="Q71" s="229"/>
      <c r="R71" s="230"/>
    </row>
    <row r="72" spans="1:18" ht="17.25" customHeight="1">
      <c r="A72" s="8" t="s">
        <v>130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1500</v>
      </c>
      <c r="G72" s="37">
        <v>194</v>
      </c>
      <c r="H72" s="24">
        <f t="shared" si="23"/>
        <v>-0.03</v>
      </c>
      <c r="I72" s="44">
        <f>IF(ISNUMBER(G72), $B78 * H72, "")</f>
        <v>-9000</v>
      </c>
      <c r="J72" s="37">
        <v>199</v>
      </c>
      <c r="K72" s="24">
        <f t="shared" si="24"/>
        <v>-5.0000000000000001E-3</v>
      </c>
      <c r="L72" s="44">
        <f>IF(ISNUMBER(J72), $B78 * K72, "")</f>
        <v>-1500</v>
      </c>
      <c r="M72" s="37">
        <v>194</v>
      </c>
      <c r="N72" s="24">
        <f t="shared" si="25"/>
        <v>-0.03</v>
      </c>
      <c r="O72" s="44">
        <f>IF(ISNUMBER(M72), $B78 * N72, "")</f>
        <v>-9000</v>
      </c>
      <c r="Q72" s="229"/>
      <c r="R72" s="230"/>
    </row>
    <row r="73" spans="1:18" ht="17.25" customHeight="1">
      <c r="A73" s="11" t="s">
        <v>121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6020.0668896321067</v>
      </c>
      <c r="G73" s="36">
        <v>308</v>
      </c>
      <c r="H73" s="5">
        <f t="shared" si="23"/>
        <v>3.0100334448160536E-2</v>
      </c>
      <c r="I73" s="48">
        <f>IF(ISNUMBER(G73), $B78 * H73, "")</f>
        <v>9030.1003344481614</v>
      </c>
      <c r="J73" s="36">
        <v>309</v>
      </c>
      <c r="K73" s="5">
        <f t="shared" si="24"/>
        <v>3.3444816053511704E-2</v>
      </c>
      <c r="L73" s="48">
        <f>IF(ISNUMBER(J73), $B78 * K73, "")</f>
        <v>10033.444816053512</v>
      </c>
      <c r="M73" s="36">
        <v>310</v>
      </c>
      <c r="N73" s="5">
        <f t="shared" si="25"/>
        <v>3.678929765886288E-2</v>
      </c>
      <c r="O73" s="48">
        <f>IF(ISNUMBER(M73), $B78 * N73, "")</f>
        <v>11036.789297658865</v>
      </c>
      <c r="Q73" s="229"/>
      <c r="R73" s="230"/>
    </row>
    <row r="74" spans="1:18" ht="17.25" customHeight="1">
      <c r="A74" s="11" t="s">
        <v>144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8716.7070217917681</v>
      </c>
      <c r="G74" s="36">
        <v>408</v>
      </c>
      <c r="H74" s="5">
        <f t="shared" si="23"/>
        <v>-1.2106537530266344E-2</v>
      </c>
      <c r="I74" s="44">
        <f>IF(ISNUMBER(G74), $B78 * H74, "")</f>
        <v>-3631.9612590799029</v>
      </c>
      <c r="J74" s="36">
        <v>420</v>
      </c>
      <c r="K74" s="5">
        <f t="shared" si="24"/>
        <v>1.6949152542372881E-2</v>
      </c>
      <c r="L74" s="44">
        <f>IF(ISNUMBER(J74), $B78 * K74, "")</f>
        <v>5084.7457627118647</v>
      </c>
      <c r="M74" s="36">
        <v>399</v>
      </c>
      <c r="N74" s="5">
        <f t="shared" si="25"/>
        <v>-3.3898305084745763E-2</v>
      </c>
      <c r="O74" s="44">
        <f>IF(ISNUMBER(M74), $B78 * N74, "")</f>
        <v>-10169.491525423729</v>
      </c>
      <c r="Q74" s="229"/>
      <c r="R74" s="230"/>
    </row>
    <row r="75" spans="1:18" ht="17.25" customHeight="1">
      <c r="A75" s="11" t="s">
        <v>133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6060.606060606061</v>
      </c>
      <c r="G75" s="36">
        <v>385</v>
      </c>
      <c r="H75" s="5">
        <f t="shared" si="23"/>
        <v>-2.7777777777777776E-2</v>
      </c>
      <c r="I75" s="44">
        <f>IF(ISNUMBER(G75), $B78 * H75, "")</f>
        <v>-8333.3333333333321</v>
      </c>
      <c r="J75" s="36">
        <v>395</v>
      </c>
      <c r="K75" s="5">
        <f t="shared" si="24"/>
        <v>-2.5252525252525255E-3</v>
      </c>
      <c r="L75" s="44">
        <f>IF(ISNUMBER(J75), $B78 * K75, "")</f>
        <v>-757.57575757575762</v>
      </c>
      <c r="M75" s="36">
        <v>375</v>
      </c>
      <c r="N75" s="5">
        <f t="shared" si="25"/>
        <v>-5.3030303030303032E-2</v>
      </c>
      <c r="O75" s="44">
        <f>IF(ISNUMBER(M75), $B78 * N75, "")</f>
        <v>-15909.09090909091</v>
      </c>
      <c r="Q75" s="229"/>
      <c r="R75" s="230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3883.4951456310682</v>
      </c>
      <c r="G76" s="36">
        <v>592</v>
      </c>
      <c r="H76" s="5">
        <f t="shared" si="23"/>
        <v>-4.2071197411003236E-2</v>
      </c>
      <c r="I76" s="44">
        <f>IF(ISNUMBER(G76), $B78 * H76, "")</f>
        <v>-12621.359223300971</v>
      </c>
      <c r="J76" s="36">
        <v>637</v>
      </c>
      <c r="K76" s="5">
        <f t="shared" si="24"/>
        <v>3.0744336569579287E-2</v>
      </c>
      <c r="L76" s="44">
        <f>IF(ISNUMBER(J76), $B78 * K76, "")</f>
        <v>9223.3009708737864</v>
      </c>
      <c r="M76" s="36">
        <v>596</v>
      </c>
      <c r="N76" s="5">
        <f t="shared" si="25"/>
        <v>-3.5598705501618123E-2</v>
      </c>
      <c r="O76" s="44">
        <f>IF(ISNUMBER(M76), $B78 * N76, "")</f>
        <v>-10679.611650485436</v>
      </c>
      <c r="Q76" s="231"/>
      <c r="R76" s="232"/>
    </row>
    <row r="77" spans="1:18" ht="17.25" customHeight="1" thickBot="1">
      <c r="A77" s="13" t="s">
        <v>142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1401.8691588785045</v>
      </c>
      <c r="G77" s="38">
        <v>203</v>
      </c>
      <c r="H77" s="16">
        <f t="shared" si="23"/>
        <v>-5.1401869158878503E-2</v>
      </c>
      <c r="I77" s="45">
        <f>IF(ISNUMBER(G77), $B78 * H77, "")</f>
        <v>-15420.560747663551</v>
      </c>
      <c r="J77" s="38">
        <v>211</v>
      </c>
      <c r="K77" s="16">
        <f t="shared" si="24"/>
        <v>-1.4018691588785047E-2</v>
      </c>
      <c r="L77" s="45">
        <f>IF(ISNUMBER(J77), $B78 * K77, "")</f>
        <v>-4205.6074766355141</v>
      </c>
      <c r="M77" s="38">
        <v>203</v>
      </c>
      <c r="N77" s="16">
        <f t="shared" si="25"/>
        <v>-5.1401869158878503E-2</v>
      </c>
      <c r="O77" s="45">
        <f>IF(ISNUMBER(M77), $B78 * N77, "")</f>
        <v>-15420.560747663551</v>
      </c>
      <c r="Q77" s="231"/>
      <c r="R77" s="232"/>
    </row>
    <row r="78" spans="1:18" ht="17.25" customHeight="1" thickBot="1">
      <c r="A78" s="57" t="s">
        <v>32</v>
      </c>
      <c r="B78" s="235">
        <v>300000</v>
      </c>
      <c r="C78" s="236"/>
      <c r="D78" s="57" t="s">
        <v>82</v>
      </c>
      <c r="E78" s="46">
        <f>IF(COUNT(E68:E77), SUM(E68:E77) / COUNT(E68:E77), 0)</f>
        <v>3.249790898334709E-2</v>
      </c>
      <c r="F78" s="47">
        <f>SUM(F68:F77)</f>
        <v>97493.726950041237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83262.428680722427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137037.86859193543</v>
      </c>
      <c r="M78" s="57" t="s">
        <v>82</v>
      </c>
      <c r="N78" s="46">
        <f>IF(COUNT(N68:N77), SUM(N68:N77) / COUNT(N68:N77), 0)</f>
        <v>4.615674258311415E-3</v>
      </c>
      <c r="O78" s="47">
        <f>SUM(O68:O77)</f>
        <v>13847.022774934236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72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231"/>
      <c r="R84" s="232"/>
    </row>
    <row r="85" spans="1:18" ht="17.25" customHeight="1">
      <c r="A85" s="9" t="s">
        <v>154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15476.190476190475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1190.4761904761904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8333.3333333333321</v>
      </c>
      <c r="M85" s="89">
        <v>248</v>
      </c>
      <c r="N85" s="22">
        <f>IF(ISNUMBER(M85), (M85 - $B85) / $B85, "")</f>
        <v>-1.5873015873015872E-2</v>
      </c>
      <c r="O85" s="43">
        <f>IF(ISNUMBER(M85), $B95 * N85, "")</f>
        <v>-4761.9047619047615</v>
      </c>
      <c r="Q85" s="229"/>
      <c r="R85" s="230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12107.623318385649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-2690.5829596412555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6726.4573991031384</v>
      </c>
      <c r="M86" s="36">
        <v>223</v>
      </c>
      <c r="N86" s="5">
        <f t="shared" ref="N86:N94" si="29">IF(ISNUMBER(M86), (M86 - $B86) / $B86, "")</f>
        <v>0</v>
      </c>
      <c r="O86" s="44">
        <f>IF(ISNUMBER(M86), $B95 * N86, "")</f>
        <v>0</v>
      </c>
      <c r="Q86" s="229"/>
      <c r="R86" s="230"/>
    </row>
    <row r="87" spans="1:18" ht="17.25" customHeight="1">
      <c r="A87" s="11" t="s">
        <v>170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18750</v>
      </c>
      <c r="G87" s="36">
        <v>179</v>
      </c>
      <c r="H87" s="5">
        <f t="shared" si="27"/>
        <v>1.7045454545454544E-2</v>
      </c>
      <c r="I87" s="44">
        <f>IF(ISNUMBER(G87), $B95 * H87, "")</f>
        <v>5113.6363636363631</v>
      </c>
      <c r="J87" s="36">
        <v>182</v>
      </c>
      <c r="K87" s="5">
        <f t="shared" si="28"/>
        <v>3.4090909090909088E-2</v>
      </c>
      <c r="L87" s="44">
        <f>IF(ISNUMBER(J87), $B95 * K87, "")</f>
        <v>10227.272727272726</v>
      </c>
      <c r="M87" s="36">
        <v>175</v>
      </c>
      <c r="N87" s="5">
        <f t="shared" si="29"/>
        <v>-5.681818181818182E-3</v>
      </c>
      <c r="O87" s="44">
        <f>IF(ISNUMBER(M87), $B95 * N87, "")</f>
        <v>-1704.5454545454545</v>
      </c>
      <c r="Q87" s="229"/>
      <c r="R87" s="230"/>
    </row>
    <row r="88" spans="1:18" ht="17.25" customHeight="1">
      <c r="A88" s="11" t="s">
        <v>112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6217.6165803108806</v>
      </c>
      <c r="G88" s="36">
        <v>556</v>
      </c>
      <c r="H88" s="5">
        <f t="shared" si="27"/>
        <v>-3.9723661485319514E-2</v>
      </c>
      <c r="I88" s="44">
        <f>IF(ISNUMBER(G88), $B95 * H88, "")</f>
        <v>-11917.098445595855</v>
      </c>
      <c r="J88" s="36">
        <v>578</v>
      </c>
      <c r="K88" s="5">
        <f t="shared" si="28"/>
        <v>-1.7271157167530224E-3</v>
      </c>
      <c r="L88" s="44">
        <f>IF(ISNUMBER(J88), $B95 * K88, "")</f>
        <v>-518.13471502590676</v>
      </c>
      <c r="M88" s="36">
        <v>569</v>
      </c>
      <c r="N88" s="5">
        <f t="shared" si="29"/>
        <v>-1.7271157167530225E-2</v>
      </c>
      <c r="O88" s="44">
        <f>IF(ISNUMBER(M88), $B95 * N88, "")</f>
        <v>-5181.3471502590673</v>
      </c>
      <c r="Q88" s="229"/>
      <c r="R88" s="230"/>
    </row>
    <row r="89" spans="1:18" ht="17.25" customHeight="1">
      <c r="A89" s="8" t="s">
        <v>167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3024.1935483870966</v>
      </c>
      <c r="G89" s="37">
        <v>473</v>
      </c>
      <c r="H89" s="24">
        <f t="shared" si="27"/>
        <v>-4.6370967741935484E-2</v>
      </c>
      <c r="I89" s="44">
        <f>IF(ISNUMBER(G89), $B95 * H89, "")</f>
        <v>-13911.290322580646</v>
      </c>
      <c r="J89" s="37">
        <v>492</v>
      </c>
      <c r="K89" s="24">
        <f t="shared" si="28"/>
        <v>-8.0645161290322578E-3</v>
      </c>
      <c r="L89" s="44">
        <f>IF(ISNUMBER(J89), $B95 * K89, "")</f>
        <v>-2419.3548387096776</v>
      </c>
      <c r="M89" s="37">
        <v>497</v>
      </c>
      <c r="N89" s="24">
        <f t="shared" si="29"/>
        <v>2.0161290322580645E-3</v>
      </c>
      <c r="O89" s="44">
        <f>IF(ISNUMBER(M89), $B95 * N89, "")</f>
        <v>604.83870967741939</v>
      </c>
      <c r="Q89" s="229"/>
      <c r="R89" s="230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4017.8571428571427</v>
      </c>
      <c r="G90" s="36">
        <v>210</v>
      </c>
      <c r="H90" s="5">
        <f t="shared" si="27"/>
        <v>-6.25E-2</v>
      </c>
      <c r="I90" s="48">
        <f>IF(ISNUMBER(G90), $B95 * H90, "")</f>
        <v>-18750</v>
      </c>
      <c r="J90" s="36">
        <v>223</v>
      </c>
      <c r="K90" s="5">
        <f t="shared" si="28"/>
        <v>-4.464285714285714E-3</v>
      </c>
      <c r="L90" s="48">
        <f>IF(ISNUMBER(J90), $B95 * K90, "")</f>
        <v>-1339.2857142857142</v>
      </c>
      <c r="M90" s="36">
        <v>224</v>
      </c>
      <c r="N90" s="5">
        <f t="shared" si="29"/>
        <v>0</v>
      </c>
      <c r="O90" s="48">
        <f>IF(ISNUMBER(M90), $B95 * N90, "")</f>
        <v>0</v>
      </c>
      <c r="Q90" s="229"/>
      <c r="R90" s="230"/>
    </row>
    <row r="91" spans="1:18" ht="17.25" customHeight="1">
      <c r="A91" s="11" t="s">
        <v>172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10416.666666666668</v>
      </c>
      <c r="G91" s="36">
        <v>559</v>
      </c>
      <c r="H91" s="5">
        <f t="shared" si="27"/>
        <v>-2.9513888888888888E-2</v>
      </c>
      <c r="I91" s="44">
        <f>IF(ISNUMBER(G91), $B95 * H91, "")</f>
        <v>-8854.1666666666661</v>
      </c>
      <c r="J91" s="36">
        <v>589</v>
      </c>
      <c r="K91" s="5">
        <f t="shared" si="28"/>
        <v>2.2569444444444444E-2</v>
      </c>
      <c r="L91" s="44">
        <f>IF(ISNUMBER(J91), $B95 * K91, "")</f>
        <v>6770.833333333333</v>
      </c>
      <c r="M91" s="36">
        <v>559</v>
      </c>
      <c r="N91" s="5">
        <f t="shared" si="29"/>
        <v>-2.9513888888888888E-2</v>
      </c>
      <c r="O91" s="44">
        <f>IF(ISNUMBER(M91), $B95 * N91, "")</f>
        <v>-8854.1666666666661</v>
      </c>
      <c r="Q91" s="229"/>
      <c r="R91" s="230"/>
    </row>
    <row r="92" spans="1:18" ht="17.25" customHeight="1">
      <c r="A92" s="11" t="s">
        <v>177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-600</v>
      </c>
      <c r="G92" s="36">
        <v>465</v>
      </c>
      <c r="H92" s="5">
        <f t="shared" si="27"/>
        <v>-7.0000000000000007E-2</v>
      </c>
      <c r="I92" s="44">
        <f>IF(ISNUMBER(G92), $B95 * H92, "")</f>
        <v>-21000.000000000004</v>
      </c>
      <c r="J92" s="36">
        <v>493</v>
      </c>
      <c r="K92" s="5">
        <f t="shared" si="28"/>
        <v>-1.4E-2</v>
      </c>
      <c r="L92" s="44">
        <f>IF(ISNUMBER(J92), $B95 * K92, "")</f>
        <v>-4200</v>
      </c>
      <c r="M92" s="36">
        <v>481</v>
      </c>
      <c r="N92" s="5">
        <f t="shared" si="29"/>
        <v>-3.7999999999999999E-2</v>
      </c>
      <c r="O92" s="44">
        <f>IF(ISNUMBER(M92), $B95 * N92, "")</f>
        <v>-11400</v>
      </c>
      <c r="Q92" s="229"/>
      <c r="R92" s="230"/>
    </row>
    <row r="93" spans="1:18" ht="17.25" customHeight="1">
      <c r="A93" s="11" t="s">
        <v>138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12244.897959183672</v>
      </c>
      <c r="G93" s="36">
        <v>337</v>
      </c>
      <c r="H93" s="5">
        <f t="shared" si="27"/>
        <v>-1.7492711370262391E-2</v>
      </c>
      <c r="I93" s="44">
        <f>IF(ISNUMBER(G93), $B95 * H93, "")</f>
        <v>-5247.8134110787178</v>
      </c>
      <c r="J93" s="36">
        <v>351</v>
      </c>
      <c r="K93" s="5">
        <f t="shared" si="28"/>
        <v>2.3323615160349854E-2</v>
      </c>
      <c r="L93" s="44">
        <f>IF(ISNUMBER(J93), $B95 * K93, "")</f>
        <v>6997.0845481049564</v>
      </c>
      <c r="M93" s="36">
        <v>346</v>
      </c>
      <c r="N93" s="5">
        <f t="shared" si="29"/>
        <v>8.7463556851311956E-3</v>
      </c>
      <c r="O93" s="44">
        <f>IF(ISNUMBER(M93), $B95 * N93, "")</f>
        <v>2623.9067055393589</v>
      </c>
      <c r="Q93" s="231"/>
      <c r="R93" s="232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4081.6326530612241</v>
      </c>
      <c r="G94" s="38">
        <v>142</v>
      </c>
      <c r="H94" s="16">
        <f t="shared" si="27"/>
        <v>-3.4013605442176874E-2</v>
      </c>
      <c r="I94" s="45">
        <f>IF(ISNUMBER(G94), $B95 * H94, "")</f>
        <v>-10204.081632653062</v>
      </c>
      <c r="J94" s="38">
        <v>148</v>
      </c>
      <c r="K94" s="16">
        <f t="shared" si="28"/>
        <v>6.8027210884353739E-3</v>
      </c>
      <c r="L94" s="45">
        <f>IF(ISNUMBER(J94), $B95 * K94, "")</f>
        <v>2040.8163265306121</v>
      </c>
      <c r="M94" s="38">
        <v>144</v>
      </c>
      <c r="N94" s="16">
        <f t="shared" si="29"/>
        <v>-2.0408163265306121E-2</v>
      </c>
      <c r="O94" s="45">
        <f>IF(ISNUMBER(M94), $B95 * N94, "")</f>
        <v>-6122.4489795918362</v>
      </c>
      <c r="Q94" s="231"/>
      <c r="R94" s="232"/>
    </row>
    <row r="95" spans="1:18" ht="17.25" customHeight="1" thickBot="1">
      <c r="A95" s="57" t="s">
        <v>32</v>
      </c>
      <c r="B95" s="235">
        <v>300000</v>
      </c>
      <c r="C95" s="236"/>
      <c r="D95" s="57" t="s">
        <v>82</v>
      </c>
      <c r="E95" s="46">
        <f>IF(COUNT(E85:E94), SUM(E85:E94) / COUNT(E85:E94), 0)</f>
        <v>2.8578892781680937E-2</v>
      </c>
      <c r="F95" s="47">
        <f>SUM(F85:F94)</f>
        <v>85736.678345042819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-86270.92088410366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32619.022399656802</v>
      </c>
      <c r="M95" s="57" t="s">
        <v>82</v>
      </c>
      <c r="N95" s="46">
        <f>IF(COUNT(N85:N94), SUM(N85:N94) / COUNT(N85:N94), 0)</f>
        <v>-1.1598555865917003E-2</v>
      </c>
      <c r="O95" s="47">
        <f>SUM(O85:O94)</f>
        <v>-34795.667597751002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72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231"/>
      <c r="R101" s="232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11455.847255369928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79474.940334128885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70883.054892601431</v>
      </c>
      <c r="M102" s="89">
        <v>467</v>
      </c>
      <c r="N102" s="22">
        <f>IF(ISNUMBER(M102), (M102 - $B102) / $B102, "")</f>
        <v>0.11455847255369929</v>
      </c>
      <c r="O102" s="43">
        <f>IF(ISNUMBER(M102), $B112 * N102, "")</f>
        <v>34367.541766109789</v>
      </c>
      <c r="Q102" s="229"/>
      <c r="R102" s="230"/>
    </row>
    <row r="103" spans="1:18" ht="17.25" customHeight="1">
      <c r="A103" s="11" t="s">
        <v>122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-35664.335664335682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-50349.65034965035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-45104.895104895113</v>
      </c>
      <c r="M103" s="36">
        <v>24</v>
      </c>
      <c r="N103" s="5">
        <f t="shared" ref="N103:N111" si="33">IF(ISNUMBER(M103), (M103 - $B103) / $B103, "")</f>
        <v>-0.16083916083916089</v>
      </c>
      <c r="O103" s="44">
        <f>IF(ISNUMBER(M103), $B112 * N103, "")</f>
        <v>-48251.748251748264</v>
      </c>
      <c r="Q103" s="229"/>
      <c r="R103" s="230"/>
    </row>
    <row r="104" spans="1:18" ht="17.25" customHeight="1">
      <c r="A104" s="11" t="s">
        <v>146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-20779.220779220781</v>
      </c>
      <c r="G104" s="36">
        <v>205</v>
      </c>
      <c r="H104" s="5">
        <f t="shared" si="31"/>
        <v>-0.11255411255411256</v>
      </c>
      <c r="I104" s="44">
        <f>IF(ISNUMBER(G104), $B112 * H104, "")</f>
        <v>-33766.233766233767</v>
      </c>
      <c r="J104" s="36">
        <v>213</v>
      </c>
      <c r="K104" s="5">
        <f t="shared" si="32"/>
        <v>-7.792207792207792E-2</v>
      </c>
      <c r="L104" s="44">
        <f>IF(ISNUMBER(J104), $B112 * K104, "")</f>
        <v>-23376.623376623374</v>
      </c>
      <c r="M104" s="36">
        <v>208</v>
      </c>
      <c r="N104" s="5">
        <f t="shared" si="33"/>
        <v>-9.9567099567099568E-2</v>
      </c>
      <c r="O104" s="44">
        <f>IF(ISNUMBER(M104), $B112 * N104, "")</f>
        <v>-29870.129870129869</v>
      </c>
      <c r="Q104" s="229"/>
      <c r="R104" s="230"/>
    </row>
    <row r="105" spans="1:18" ht="17.25" customHeight="1">
      <c r="A105" s="11" t="s">
        <v>262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28884.026258205689</v>
      </c>
      <c r="G105" s="36">
        <v>23920</v>
      </c>
      <c r="H105" s="5">
        <f t="shared" si="31"/>
        <v>4.6827133479212253E-2</v>
      </c>
      <c r="I105" s="44">
        <f>IF(ISNUMBER(G105), $B112 * H105, "")</f>
        <v>14048.140043763677</v>
      </c>
      <c r="J105" s="36">
        <v>24510</v>
      </c>
      <c r="K105" s="5">
        <f t="shared" si="32"/>
        <v>7.264770240700219E-2</v>
      </c>
      <c r="L105" s="44">
        <f>IF(ISNUMBER(J105), $B112 * K105, "")</f>
        <v>21794.310722100658</v>
      </c>
      <c r="M105" s="36">
        <v>23320</v>
      </c>
      <c r="N105" s="5">
        <f t="shared" si="33"/>
        <v>2.0568927789934355E-2</v>
      </c>
      <c r="O105" s="44">
        <f>IF(ISNUMBER(M105), $B112 * N105, "")</f>
        <v>6170.6783369803061</v>
      </c>
      <c r="Q105" s="229"/>
      <c r="R105" s="230"/>
    </row>
    <row r="106" spans="1:18" ht="17.25" customHeight="1">
      <c r="A106" s="8" t="s">
        <v>218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10534.252477380438</v>
      </c>
      <c r="G106" s="37">
        <v>46010</v>
      </c>
      <c r="H106" s="24">
        <f t="shared" si="31"/>
        <v>-8.8323998276604917E-3</v>
      </c>
      <c r="I106" s="44">
        <f>IF(ISNUMBER(G106), $B112 * H106, "")</f>
        <v>-2649.7199482981473</v>
      </c>
      <c r="J106" s="37">
        <v>47000</v>
      </c>
      <c r="K106" s="24">
        <f t="shared" si="32"/>
        <v>1.2494614390348987E-2</v>
      </c>
      <c r="L106" s="44">
        <f>IF(ISNUMBER(J106), $B112 * K106, "")</f>
        <v>3748.384317104696</v>
      </c>
      <c r="M106" s="37">
        <v>45030</v>
      </c>
      <c r="N106" s="24">
        <f t="shared" si="33"/>
        <v>-2.994398965962947E-2</v>
      </c>
      <c r="O106" s="44">
        <f>IF(ISNUMBER(M106), $B112 * N106, "")</f>
        <v>-8983.1968978888417</v>
      </c>
      <c r="Q106" s="229"/>
      <c r="R106" s="230"/>
    </row>
    <row r="107" spans="1:18" ht="17.25" customHeight="1">
      <c r="A107" s="11" t="s">
        <v>129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56317.689530685922</v>
      </c>
      <c r="G107" s="36">
        <v>313</v>
      </c>
      <c r="H107" s="5">
        <f t="shared" si="31"/>
        <v>0.1299638989169675</v>
      </c>
      <c r="I107" s="48">
        <f>IF(ISNUMBER(G107), $B112 * H107, "")</f>
        <v>38989.169675090248</v>
      </c>
      <c r="J107" s="36">
        <v>322</v>
      </c>
      <c r="K107" s="5">
        <f t="shared" si="32"/>
        <v>0.16245487364620939</v>
      </c>
      <c r="L107" s="48">
        <f>IF(ISNUMBER(J107), $B112 * K107, "")</f>
        <v>48736.462093862814</v>
      </c>
      <c r="M107" s="36">
        <v>305</v>
      </c>
      <c r="N107" s="5">
        <f t="shared" si="33"/>
        <v>0.10108303249097472</v>
      </c>
      <c r="O107" s="48">
        <f>IF(ISNUMBER(M107), $B112 * N107, "")</f>
        <v>30324.909747292415</v>
      </c>
      <c r="Q107" s="229"/>
      <c r="R107" s="230"/>
    </row>
    <row r="108" spans="1:18" ht="17.25" customHeight="1">
      <c r="A108" s="11" t="s">
        <v>152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19620.253164556972</v>
      </c>
      <c r="G108" s="36">
        <v>95.1</v>
      </c>
      <c r="H108" s="5">
        <f t="shared" si="31"/>
        <v>3.1645569620252865E-3</v>
      </c>
      <c r="I108" s="44">
        <f>IF(ISNUMBER(G108), $B112 * H108, "")</f>
        <v>949.36708860758597</v>
      </c>
      <c r="J108" s="36">
        <v>97.5</v>
      </c>
      <c r="K108" s="5">
        <f t="shared" si="32"/>
        <v>2.8481012658227878E-2</v>
      </c>
      <c r="L108" s="44">
        <f>IF(ISNUMBER(J108), $B112 * K108, "")</f>
        <v>8544.303797468363</v>
      </c>
      <c r="M108" s="36">
        <v>93.7</v>
      </c>
      <c r="N108" s="5">
        <f t="shared" si="33"/>
        <v>-1.16033755274261E-2</v>
      </c>
      <c r="O108" s="44">
        <f>IF(ISNUMBER(M108), $B112 * N108, "")</f>
        <v>-3481.0126582278299</v>
      </c>
      <c r="Q108" s="229"/>
      <c r="R108" s="230"/>
    </row>
    <row r="109" spans="1:18" ht="17.25" customHeight="1">
      <c r="A109" s="11" t="s">
        <v>228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10949.681077250178</v>
      </c>
      <c r="G109" s="36">
        <v>2871000</v>
      </c>
      <c r="H109" s="5">
        <f t="shared" si="31"/>
        <v>1.7363571934798015E-2</v>
      </c>
      <c r="I109" s="44">
        <f>IF(ISNUMBER(G109), $B112 * H109, "")</f>
        <v>5209.071580439404</v>
      </c>
      <c r="J109" s="36">
        <v>2897000</v>
      </c>
      <c r="K109" s="5">
        <f t="shared" si="32"/>
        <v>2.657689581856839E-2</v>
      </c>
      <c r="L109" s="44">
        <f>IF(ISNUMBER(J109), $B112 * K109, "")</f>
        <v>7973.0687455705165</v>
      </c>
      <c r="M109" s="36">
        <v>2824000</v>
      </c>
      <c r="N109" s="5">
        <f t="shared" si="33"/>
        <v>7.0871722182849046E-4</v>
      </c>
      <c r="O109" s="44">
        <f>IF(ISNUMBER(M109), $B112 * N109, "")</f>
        <v>212.61516654854714</v>
      </c>
      <c r="Q109" s="229"/>
      <c r="R109" s="230"/>
    </row>
    <row r="110" spans="1:18" ht="17.25" customHeight="1">
      <c r="A110" s="11" t="s">
        <v>240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25600.6628003314</v>
      </c>
      <c r="G110" s="36">
        <v>50330</v>
      </c>
      <c r="H110" s="5">
        <f t="shared" si="31"/>
        <v>4.2460646230323112E-2</v>
      </c>
      <c r="I110" s="44">
        <f>IF(ISNUMBER(G110), $B112 * H110, "")</f>
        <v>12738.193869096935</v>
      </c>
      <c r="J110" s="36">
        <v>51270</v>
      </c>
      <c r="K110" s="5">
        <f t="shared" si="32"/>
        <v>6.1930405965202981E-2</v>
      </c>
      <c r="L110" s="44">
        <f>IF(ISNUMBER(J110), $B112 * K110, "")</f>
        <v>18579.121789560893</v>
      </c>
      <c r="M110" s="36">
        <v>48280</v>
      </c>
      <c r="N110" s="5">
        <f t="shared" si="33"/>
        <v>0</v>
      </c>
      <c r="O110" s="44">
        <f>IF(ISNUMBER(M110), $B112 * N110, "")</f>
        <v>0</v>
      </c>
      <c r="Q110" s="231"/>
      <c r="R110" s="232"/>
    </row>
    <row r="111" spans="1:18" ht="17.25" customHeight="1" thickBot="1">
      <c r="A111" s="13" t="s">
        <v>125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22916.666666666668</v>
      </c>
      <c r="G111" s="38">
        <v>325</v>
      </c>
      <c r="H111" s="16">
        <f t="shared" si="31"/>
        <v>0.12847222222222221</v>
      </c>
      <c r="I111" s="45">
        <f>IF(ISNUMBER(G111), $B112 * H111, "")</f>
        <v>38541.666666666664</v>
      </c>
      <c r="J111" s="38">
        <v>310</v>
      </c>
      <c r="K111" s="16">
        <f t="shared" si="32"/>
        <v>7.6388888888888895E-2</v>
      </c>
      <c r="L111" s="45">
        <f>IF(ISNUMBER(J111), $B112 * K111, "")</f>
        <v>22916.666666666668</v>
      </c>
      <c r="M111" s="38">
        <v>316</v>
      </c>
      <c r="N111" s="16">
        <f t="shared" si="33"/>
        <v>9.7222222222222224E-2</v>
      </c>
      <c r="O111" s="45">
        <f>IF(ISNUMBER(M111), $B112 * N111, "")</f>
        <v>29166.666666666668</v>
      </c>
      <c r="Q111" s="231"/>
      <c r="R111" s="232"/>
    </row>
    <row r="112" spans="1:18" ht="17.25" customHeight="1" thickBot="1">
      <c r="A112" s="57" t="s">
        <v>32</v>
      </c>
      <c r="B112" s="235">
        <v>300000</v>
      </c>
      <c r="C112" s="236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129835.52278689074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103184.94519361114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134693.85454341755</v>
      </c>
      <c r="M112" s="57" t="s">
        <v>82</v>
      </c>
      <c r="N112" s="46">
        <f>IF(COUNT(N102:N111), SUM(N102:N111) / COUNT(N102:N111), 0)</f>
        <v>3.2187746685343049E-3</v>
      </c>
      <c r="O112" s="47">
        <f>SUM(O102:O111)</f>
        <v>9656.3240056029244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59" priority="89">
      <formula>$E$27&gt;0</formula>
    </cfRule>
    <cfRule type="expression" dxfId="258" priority="90">
      <formula>$E$27&lt;0</formula>
    </cfRule>
  </conditionalFormatting>
  <conditionalFormatting sqref="G15:I16 H27:I27">
    <cfRule type="expression" dxfId="257" priority="87">
      <formula>$H$27&gt;0</formula>
    </cfRule>
    <cfRule type="expression" dxfId="256" priority="88">
      <formula>$H$27&lt;0</formula>
    </cfRule>
  </conditionalFormatting>
  <conditionalFormatting sqref="J15:L16 K27:L27">
    <cfRule type="expression" dxfId="255" priority="85">
      <formula>$K$27&gt;0</formula>
    </cfRule>
    <cfRule type="expression" dxfId="254" priority="86">
      <formula>$K$27&lt;0</formula>
    </cfRule>
  </conditionalFormatting>
  <conditionalFormatting sqref="M15:O16 N27:O27">
    <cfRule type="expression" dxfId="253" priority="83">
      <formula>$N$27&gt;0</formula>
    </cfRule>
    <cfRule type="expression" dxfId="252" priority="84">
      <formula>$N$27&lt;0</formula>
    </cfRule>
  </conditionalFormatting>
  <conditionalFormatting sqref="A17:O26 A34:O43">
    <cfRule type="expression" dxfId="251" priority="91">
      <formula>AND($N17 &gt; 0, ISNUMBER($N17))</formula>
    </cfRule>
    <cfRule type="expression" dxfId="250" priority="92">
      <formula>AND($N17 &lt; 0, ISNUMBER($N17))</formula>
    </cfRule>
    <cfRule type="expression" dxfId="249" priority="93">
      <formula>AND($K17 &gt; 0, ISNUMBER($K17))</formula>
    </cfRule>
    <cfRule type="expression" dxfId="248" priority="94">
      <formula>AND($K17 &lt; 0, ISNUMBER($K17))</formula>
    </cfRule>
    <cfRule type="expression" dxfId="247" priority="95">
      <formula>AND($H17 &gt; 0, ISNUMBER($H17))</formula>
    </cfRule>
    <cfRule type="expression" dxfId="246" priority="96">
      <formula>AND($H17 &lt; 0, ISNUMBER($H17))</formula>
    </cfRule>
    <cfRule type="expression" dxfId="245" priority="97">
      <formula>AND($E17 &gt; 0, ISNUMBER($E17))</formula>
    </cfRule>
    <cfRule type="expression" dxfId="244" priority="98">
      <formula>AND($E17 &lt; 0, ISNUMBER($E17))</formula>
    </cfRule>
  </conditionalFormatting>
  <conditionalFormatting sqref="D32:F33 E44:F44">
    <cfRule type="expression" dxfId="243" priority="81">
      <formula>$E$44&gt;0</formula>
    </cfRule>
    <cfRule type="expression" dxfId="242" priority="82">
      <formula>$E$44&lt;0</formula>
    </cfRule>
  </conditionalFormatting>
  <conditionalFormatting sqref="G32:I33 H44:I44">
    <cfRule type="expression" dxfId="241" priority="79">
      <formula>$H$44&gt;0</formula>
    </cfRule>
    <cfRule type="expression" dxfId="240" priority="80">
      <formula>$H$44&lt;0</formula>
    </cfRule>
  </conditionalFormatting>
  <conditionalFormatting sqref="J32:L33 K44:L44">
    <cfRule type="expression" dxfId="239" priority="77">
      <formula>$K$44&gt;0</formula>
    </cfRule>
    <cfRule type="expression" dxfId="238" priority="78">
      <formula>$K$44&lt;0</formula>
    </cfRule>
  </conditionalFormatting>
  <conditionalFormatting sqref="M32:O33 N44:O44">
    <cfRule type="expression" dxfId="237" priority="75">
      <formula>$N$44&gt;0</formula>
    </cfRule>
    <cfRule type="expression" dxfId="236" priority="76">
      <formula>$N$44&lt;0</formula>
    </cfRule>
  </conditionalFormatting>
  <conditionalFormatting sqref="A51:O60">
    <cfRule type="expression" dxfId="235" priority="67">
      <formula>AND($N51 &gt; 0, ISNUMBER($N51))</formula>
    </cfRule>
    <cfRule type="expression" dxfId="234" priority="68">
      <formula>AND($N51 &lt; 0, ISNUMBER($N51))</formula>
    </cfRule>
    <cfRule type="expression" dxfId="233" priority="69">
      <formula>AND($K51 &gt; 0, ISNUMBER($K51))</formula>
    </cfRule>
    <cfRule type="expression" dxfId="232" priority="70">
      <formula>AND($K51 &lt; 0, ISNUMBER($K51))</formula>
    </cfRule>
    <cfRule type="expression" dxfId="231" priority="71">
      <formula>AND($H51 &gt; 0, ISNUMBER($H51))</formula>
    </cfRule>
    <cfRule type="expression" dxfId="230" priority="72">
      <formula>AND($H51 &lt; 0, ISNUMBER($H51))</formula>
    </cfRule>
    <cfRule type="expression" dxfId="229" priority="73">
      <formula>AND($E51 &gt; 0, ISNUMBER($E51))</formula>
    </cfRule>
    <cfRule type="expression" dxfId="228" priority="74">
      <formula>AND($E51 &lt; 0, ISNUMBER($E51))</formula>
    </cfRule>
  </conditionalFormatting>
  <conditionalFormatting sqref="D49:F50 E61:F61">
    <cfRule type="expression" dxfId="227" priority="65">
      <formula>$E$61&gt;0</formula>
    </cfRule>
    <cfRule type="expression" dxfId="226" priority="66">
      <formula>$E$61&lt;0</formula>
    </cfRule>
  </conditionalFormatting>
  <conditionalFormatting sqref="G49:I50 H61:I61">
    <cfRule type="expression" dxfId="225" priority="63">
      <formula>$H$61&gt;0</formula>
    </cfRule>
    <cfRule type="expression" dxfId="224" priority="64">
      <formula>$H$61&lt;0</formula>
    </cfRule>
  </conditionalFormatting>
  <conditionalFormatting sqref="J49:L50 K61:L61">
    <cfRule type="expression" dxfId="223" priority="61">
      <formula>$K$61&gt;0</formula>
    </cfRule>
    <cfRule type="expression" dxfId="222" priority="62">
      <formula>$K$61&lt;0</formula>
    </cfRule>
  </conditionalFormatting>
  <conditionalFormatting sqref="M49:O50 N61:O61">
    <cfRule type="expression" dxfId="221" priority="59">
      <formula>$N$61&gt;0</formula>
    </cfRule>
    <cfRule type="expression" dxfId="220" priority="60">
      <formula>$N$61&lt;0</formula>
    </cfRule>
  </conditionalFormatting>
  <conditionalFormatting sqref="A68:O77">
    <cfRule type="expression" dxfId="219" priority="51">
      <formula>AND($N68 &gt; 0, ISNUMBER($N68))</formula>
    </cfRule>
    <cfRule type="expression" dxfId="218" priority="52">
      <formula>AND($N68 &lt; 0, ISNUMBER($N68))</formula>
    </cfRule>
    <cfRule type="expression" dxfId="217" priority="53">
      <formula>AND($K68 &gt; 0, ISNUMBER($K68))</formula>
    </cfRule>
    <cfRule type="expression" dxfId="216" priority="54">
      <formula>AND($K68 &lt; 0, ISNUMBER($K68))</formula>
    </cfRule>
    <cfRule type="expression" dxfId="215" priority="55">
      <formula>AND($H68 &gt; 0, ISNUMBER($H68))</formula>
    </cfRule>
    <cfRule type="expression" dxfId="214" priority="56">
      <formula>AND($H68 &lt; 0, ISNUMBER($H68))</formula>
    </cfRule>
    <cfRule type="expression" dxfId="213" priority="57">
      <formula>AND($E68 &gt; 0, ISNUMBER($E68))</formula>
    </cfRule>
    <cfRule type="expression" dxfId="212" priority="58">
      <formula>AND($E68 &lt; 0, ISNUMBER($E68))</formula>
    </cfRule>
  </conditionalFormatting>
  <conditionalFormatting sqref="D66:F67 E78:F78">
    <cfRule type="expression" dxfId="211" priority="49">
      <formula>$E$78&gt;0</formula>
    </cfRule>
    <cfRule type="expression" dxfId="210" priority="50">
      <formula>$E$78&lt;0</formula>
    </cfRule>
  </conditionalFormatting>
  <conditionalFormatting sqref="G66:I67 H78:I78">
    <cfRule type="expression" dxfId="209" priority="47">
      <formula>$H$78&gt;0</formula>
    </cfRule>
    <cfRule type="expression" dxfId="208" priority="48">
      <formula>$H$78&lt;0</formula>
    </cfRule>
  </conditionalFormatting>
  <conditionalFormatting sqref="J66:L67 K78:L78">
    <cfRule type="expression" dxfId="207" priority="45">
      <formula>$K$78&gt;0</formula>
    </cfRule>
    <cfRule type="expression" dxfId="206" priority="46">
      <formula>$K$78&lt;0</formula>
    </cfRule>
  </conditionalFormatting>
  <conditionalFormatting sqref="M66:O67 N78:O78">
    <cfRule type="expression" dxfId="205" priority="43">
      <formula>$N$78&gt;0</formula>
    </cfRule>
    <cfRule type="expression" dxfId="204" priority="44">
      <formula>$N$78&lt;0</formula>
    </cfRule>
  </conditionalFormatting>
  <conditionalFormatting sqref="A85:O94">
    <cfRule type="expression" dxfId="203" priority="35">
      <formula>AND($N85 &gt; 0, ISNUMBER($N85))</formula>
    </cfRule>
    <cfRule type="expression" dxfId="202" priority="36">
      <formula>AND($N85 &lt; 0, ISNUMBER($N85))</formula>
    </cfRule>
    <cfRule type="expression" dxfId="201" priority="37">
      <formula>AND($K85 &gt; 0, ISNUMBER($K85))</formula>
    </cfRule>
    <cfRule type="expression" dxfId="200" priority="38">
      <formula>AND($K85 &lt; 0, ISNUMBER($K85))</formula>
    </cfRule>
    <cfRule type="expression" dxfId="199" priority="39">
      <formula>AND($H85 &gt; 0, ISNUMBER($H85))</formula>
    </cfRule>
    <cfRule type="expression" dxfId="198" priority="40">
      <formula>AND($H85 &lt; 0, ISNUMBER($H85))</formula>
    </cfRule>
    <cfRule type="expression" dxfId="197" priority="41">
      <formula>AND($E85 &gt; 0, ISNUMBER($E85))</formula>
    </cfRule>
    <cfRule type="expression" dxfId="196" priority="42">
      <formula>AND($E85 &lt; 0, ISNUMBER($E85))</formula>
    </cfRule>
  </conditionalFormatting>
  <conditionalFormatting sqref="D83:F84 E95:F95">
    <cfRule type="expression" dxfId="195" priority="33">
      <formula>$E$95&gt;0</formula>
    </cfRule>
    <cfRule type="expression" dxfId="194" priority="34">
      <formula>$E$95&lt;0</formula>
    </cfRule>
  </conditionalFormatting>
  <conditionalFormatting sqref="G83:I84 H95:I95">
    <cfRule type="expression" dxfId="193" priority="31">
      <formula>$H$95&gt;0</formula>
    </cfRule>
    <cfRule type="expression" dxfId="192" priority="32">
      <formula>$H$95&lt;0</formula>
    </cfRule>
  </conditionalFormatting>
  <conditionalFormatting sqref="J83:L84 K95:L95">
    <cfRule type="expression" dxfId="191" priority="29">
      <formula>$K$95&gt;0</formula>
    </cfRule>
    <cfRule type="expression" dxfId="190" priority="30">
      <formula>$K$95&lt;0</formula>
    </cfRule>
  </conditionalFormatting>
  <conditionalFormatting sqref="M83:O84 N95:O95">
    <cfRule type="expression" dxfId="189" priority="27">
      <formula>$N$95&gt;0</formula>
    </cfRule>
    <cfRule type="expression" dxfId="188" priority="28">
      <formula>$N$95&lt;0</formula>
    </cfRule>
  </conditionalFormatting>
  <conditionalFormatting sqref="A102:O111">
    <cfRule type="expression" dxfId="187" priority="19">
      <formula>AND($N102 &gt; 0, ISNUMBER($N102))</formula>
    </cfRule>
    <cfRule type="expression" dxfId="186" priority="20">
      <formula>AND($N102 &lt; 0, ISNUMBER($N102))</formula>
    </cfRule>
    <cfRule type="expression" dxfId="185" priority="21">
      <formula>AND($K102 &gt; 0, ISNUMBER($K102))</formula>
    </cfRule>
    <cfRule type="expression" dxfId="184" priority="22">
      <formula>AND($K102 &lt; 0, ISNUMBER($K102))</formula>
    </cfRule>
    <cfRule type="expression" dxfId="183" priority="23">
      <formula>AND($H102 &gt; 0, ISNUMBER($H102))</formula>
    </cfRule>
    <cfRule type="expression" dxfId="182" priority="24">
      <formula>AND($H102 &lt; 0, ISNUMBER($H102))</formula>
    </cfRule>
    <cfRule type="expression" dxfId="181" priority="25">
      <formula>AND($E102 &gt; 0, ISNUMBER($E102))</formula>
    </cfRule>
    <cfRule type="expression" dxfId="180" priority="26">
      <formula>AND($E102 &lt; 0, ISNUMBER($E102))</formula>
    </cfRule>
  </conditionalFormatting>
  <conditionalFormatting sqref="D100:F101 E112:F112">
    <cfRule type="expression" dxfId="179" priority="17">
      <formula>$E$112&gt;0</formula>
    </cfRule>
    <cfRule type="expression" dxfId="178" priority="18">
      <formula>$E$112&lt;0</formula>
    </cfRule>
  </conditionalFormatting>
  <conditionalFormatting sqref="G100:I101 H112:I112">
    <cfRule type="expression" dxfId="177" priority="15">
      <formula>$H$112&gt;0</formula>
    </cfRule>
    <cfRule type="expression" dxfId="176" priority="16">
      <formula>$H$112&lt;0</formula>
    </cfRule>
  </conditionalFormatting>
  <conditionalFormatting sqref="J100:L101 K112:L112">
    <cfRule type="expression" dxfId="175" priority="13">
      <formula>$K$112&gt;0</formula>
    </cfRule>
    <cfRule type="expression" dxfId="174" priority="14">
      <formula>$K$112&lt;0</formula>
    </cfRule>
  </conditionalFormatting>
  <conditionalFormatting sqref="M100:O101 N112:O112">
    <cfRule type="expression" dxfId="173" priority="11">
      <formula>$N$112&gt;0</formula>
    </cfRule>
    <cfRule type="expression" dxfId="172" priority="12">
      <formula>$N$112&lt;0</formula>
    </cfRule>
  </conditionalFormatting>
  <conditionalFormatting sqref="G2:I3">
    <cfRule type="expression" dxfId="17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tabSelected="1" zoomScaleNormal="100" workbookViewId="0">
      <selection activeCell="A17" sqref="A17:A26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44287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2"/>
      <c r="I9" s="203"/>
      <c r="J9" s="1" t="s">
        <v>28</v>
      </c>
      <c r="K9" s="198" t="s">
        <v>225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80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79" t="s">
        <v>194</v>
      </c>
      <c r="B14" s="186" t="s">
        <v>193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72880000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-3.6526843199999999E-2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06"/>
      <c r="R16" s="207"/>
    </row>
    <row r="17" spans="1:18" ht="17.25" customHeight="1">
      <c r="A17" s="39" t="s">
        <v>196</v>
      </c>
      <c r="B17" s="89">
        <f>IF(NOT(_xlfn.IFNA(VLOOKUP($A17, $A$30:$O$112, 2, FALSE), "")=0), _xlfn.IFNA(VLOOKUP($A17, $A$30:$O$112, 2, FALSE), ""), "")</f>
        <v>8180</v>
      </c>
      <c r="C17" s="22">
        <f>IF(NOT(_xlfn.IFNA(VLOOKUP($A17, $A$30:$O$112, 3, FALSE), "")=0), _xlfn.IFNA(VLOOKUP($A17, $A$30:$O$112, 3, FALSE), ""), "")</f>
        <v>0.7591397849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04"/>
      <c r="R17" s="205"/>
    </row>
    <row r="18" spans="1:18" ht="17.25" customHeight="1">
      <c r="A18" s="40" t="s">
        <v>97</v>
      </c>
      <c r="B18" s="36">
        <f t="shared" ref="B18:B26" si="1">IF(NOT(_xlfn.IFNA(VLOOKUP($A18, $A$30:$O$112, 2, FALSE), "")=0), _xlfn.IFNA(VLOOKUP($A18, $A$30:$O$112, 2, FALSE), ""), "")</f>
        <v>10070</v>
      </c>
      <c r="C18" s="5">
        <f t="shared" ref="C18:C26" si="2">IF(NOT(_xlfn.IFNA(VLOOKUP($A18, $A$30:$O$112, 3, FALSE), "")=0), _xlfn.IFNA(VLOOKUP($A18, $A$30:$O$112, 3, FALSE), ""), "")</f>
        <v>0.21765417170000001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04"/>
      <c r="R18" s="205"/>
    </row>
    <row r="19" spans="1:18" ht="17.25" customHeight="1">
      <c r="A19" s="40" t="s">
        <v>197</v>
      </c>
      <c r="B19" s="36">
        <f t="shared" si="1"/>
        <v>10830</v>
      </c>
      <c r="C19" s="5">
        <f t="shared" si="2"/>
        <v>0.19933554819999999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04"/>
      <c r="R19" s="205"/>
    </row>
    <row r="20" spans="1:18" ht="17.25" customHeight="1">
      <c r="A20" s="40" t="s">
        <v>198</v>
      </c>
      <c r="B20" s="36">
        <f t="shared" si="1"/>
        <v>3040</v>
      </c>
      <c r="C20" s="5">
        <f t="shared" si="2"/>
        <v>0.13221601490000001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04"/>
      <c r="R20" s="205"/>
    </row>
    <row r="21" spans="1:18" ht="17.25" customHeight="1">
      <c r="A21" s="41" t="s">
        <v>107</v>
      </c>
      <c r="B21" s="37">
        <f t="shared" si="1"/>
        <v>5070</v>
      </c>
      <c r="C21" s="24">
        <f t="shared" si="2"/>
        <v>8.2177161200000001E-2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4"/>
      <c r="R21" s="205"/>
    </row>
    <row r="22" spans="1:18" ht="17.25" customHeight="1">
      <c r="A22" s="40" t="s">
        <v>94</v>
      </c>
      <c r="B22" s="36">
        <f t="shared" si="1"/>
        <v>467</v>
      </c>
      <c r="C22" s="5">
        <f t="shared" si="2"/>
        <v>7.60368664E-2</v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04"/>
      <c r="R22" s="205"/>
    </row>
    <row r="23" spans="1:18" ht="17.25" customHeight="1">
      <c r="A23" s="40" t="s">
        <v>216</v>
      </c>
      <c r="B23" s="36">
        <f t="shared" si="1"/>
        <v>5225</v>
      </c>
      <c r="C23" s="5">
        <f t="shared" si="2"/>
        <v>6.9600818800000006E-2</v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04"/>
      <c r="R23" s="205"/>
    </row>
    <row r="24" spans="1:18" ht="17.25" customHeight="1">
      <c r="A24" s="40" t="s">
        <v>125</v>
      </c>
      <c r="B24" s="36">
        <f t="shared" si="1"/>
        <v>316</v>
      </c>
      <c r="C24" s="5">
        <f t="shared" si="2"/>
        <v>5.3333333300000001E-2</v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4"/>
      <c r="R24" s="205"/>
    </row>
    <row r="25" spans="1:18" ht="17.25" customHeight="1">
      <c r="A25" s="40" t="s">
        <v>195</v>
      </c>
      <c r="B25" s="36">
        <f t="shared" si="1"/>
        <v>45510</v>
      </c>
      <c r="C25" s="5">
        <f t="shared" si="2"/>
        <v>4.3567989000000001E-2</v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6"/>
      <c r="R25" s="207"/>
    </row>
    <row r="26" spans="1:18" ht="17.25" customHeight="1" thickBot="1">
      <c r="A26" s="42" t="s">
        <v>141</v>
      </c>
      <c r="B26" s="38">
        <f t="shared" si="1"/>
        <v>436</v>
      </c>
      <c r="C26" s="16">
        <f t="shared" si="2"/>
        <v>3.8095238099999998E-2</v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79" t="s">
        <v>194</v>
      </c>
      <c r="B31" s="186" t="s">
        <v>193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72880000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-3.6526843199999999E-2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231"/>
      <c r="R33" s="232"/>
    </row>
    <row r="34" spans="1:18" ht="17.25" customHeight="1">
      <c r="A34" s="9" t="s">
        <v>103</v>
      </c>
      <c r="B34" s="31">
        <v>97</v>
      </c>
      <c r="C34" s="22">
        <v>-3.9603960399999999E-2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29"/>
      <c r="R34" s="230"/>
    </row>
    <row r="35" spans="1:18" ht="17.25" customHeight="1">
      <c r="A35" s="11" t="s">
        <v>108</v>
      </c>
      <c r="B35" s="32">
        <v>35.6</v>
      </c>
      <c r="C35" s="5">
        <v>-6.3157894699999995E-2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29"/>
      <c r="R35" s="230"/>
    </row>
    <row r="36" spans="1:18" ht="17.25" customHeight="1">
      <c r="A36" s="11" t="s">
        <v>147</v>
      </c>
      <c r="B36" s="32">
        <v>10.1</v>
      </c>
      <c r="C36" s="5">
        <v>-7.3394495399999995E-2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 t="s">
        <v>137</v>
      </c>
      <c r="B37" s="32">
        <v>22.2</v>
      </c>
      <c r="C37" s="5">
        <v>-7.8838174299999994E-2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 t="s">
        <v>100</v>
      </c>
      <c r="B38" s="33">
        <v>31.6</v>
      </c>
      <c r="C38" s="24">
        <v>-8.4057970999999995E-2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 t="s">
        <v>131</v>
      </c>
      <c r="B39" s="32">
        <v>89.4</v>
      </c>
      <c r="C39" s="5">
        <v>-8.5889570600000006E-2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 t="s">
        <v>150</v>
      </c>
      <c r="B40" s="32">
        <v>81.7</v>
      </c>
      <c r="C40" s="5">
        <v>-8.6129753899999995E-2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 t="s">
        <v>140</v>
      </c>
      <c r="B41" s="32">
        <v>24.6</v>
      </c>
      <c r="C41" s="5">
        <v>-8.8888888900000004E-2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 t="s">
        <v>139</v>
      </c>
      <c r="B42" s="32">
        <v>27.1</v>
      </c>
      <c r="C42" s="5">
        <v>-9.3645484900000006E-2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 t="s">
        <v>149</v>
      </c>
      <c r="B43" s="34">
        <v>44.3</v>
      </c>
      <c r="C43" s="16">
        <v>-9.4069529700000001E-2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79" t="s">
        <v>194</v>
      </c>
      <c r="B48" s="186" t="s">
        <v>193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72880000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-3.6526843199999999E-2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231"/>
      <c r="R50" s="232"/>
    </row>
    <row r="51" spans="1:18" ht="17.25" customHeight="1">
      <c r="A51" s="9" t="s">
        <v>164</v>
      </c>
      <c r="B51" s="31">
        <v>26.6</v>
      </c>
      <c r="C51" s="22">
        <v>-9.5238095199999998E-2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29"/>
      <c r="R51" s="230"/>
    </row>
    <row r="52" spans="1:18" ht="17.25" customHeight="1">
      <c r="A52" s="11" t="s">
        <v>161</v>
      </c>
      <c r="B52" s="32">
        <v>22.7</v>
      </c>
      <c r="C52" s="5">
        <v>-9.5617529899999998E-2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29"/>
      <c r="R52" s="230"/>
    </row>
    <row r="53" spans="1:18" ht="17.25" customHeight="1">
      <c r="A53" s="11" t="s">
        <v>135</v>
      </c>
      <c r="B53" s="32">
        <v>30.2</v>
      </c>
      <c r="C53" s="5">
        <v>-0.1011904762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 t="s">
        <v>126</v>
      </c>
      <c r="B54" s="32">
        <v>67.400000000000006</v>
      </c>
      <c r="C54" s="5">
        <v>-0.110817942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 t="s">
        <v>152</v>
      </c>
      <c r="B55" s="33">
        <v>93.7</v>
      </c>
      <c r="C55" s="24">
        <v>-0.1160377358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 t="s">
        <v>122</v>
      </c>
      <c r="B56" s="32">
        <v>24</v>
      </c>
      <c r="C56" s="5">
        <v>-0.14590747330000001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 t="s">
        <v>169</v>
      </c>
      <c r="B57" s="32">
        <v>56.7</v>
      </c>
      <c r="C57" s="5">
        <v>-0.14608433730000001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 t="s">
        <v>95</v>
      </c>
      <c r="B58" s="32">
        <v>34.5</v>
      </c>
      <c r="C58" s="5">
        <v>-0.1605839416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79" t="s">
        <v>194</v>
      </c>
      <c r="B65" s="186" t="s">
        <v>193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72880000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-3.6526843199999999E-2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231"/>
      <c r="R67" s="232"/>
    </row>
    <row r="68" spans="1:18" ht="17.25" customHeight="1">
      <c r="A68" s="9" t="s">
        <v>94</v>
      </c>
      <c r="B68" s="31">
        <v>467</v>
      </c>
      <c r="C68" s="22">
        <v>7.60368664E-2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29"/>
      <c r="R68" s="230"/>
    </row>
    <row r="69" spans="1:18" ht="17.25" customHeight="1">
      <c r="A69" s="11" t="s">
        <v>125</v>
      </c>
      <c r="B69" s="32">
        <v>316</v>
      </c>
      <c r="C69" s="5">
        <v>5.3333333300000001E-2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29"/>
      <c r="R69" s="230"/>
    </row>
    <row r="70" spans="1:18" ht="17.25" customHeight="1">
      <c r="A70" s="11" t="s">
        <v>141</v>
      </c>
      <c r="B70" s="32">
        <v>436</v>
      </c>
      <c r="C70" s="5">
        <v>3.8095238099999998E-2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29"/>
      <c r="R70" s="230"/>
    </row>
    <row r="71" spans="1:18" ht="17.25" customHeight="1">
      <c r="A71" s="11" t="s">
        <v>98</v>
      </c>
      <c r="B71" s="32">
        <v>267</v>
      </c>
      <c r="C71" s="5">
        <v>3.0888030899999998E-2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29"/>
      <c r="R71" s="230"/>
    </row>
    <row r="72" spans="1:18" ht="17.25" customHeight="1">
      <c r="A72" s="8" t="s">
        <v>121</v>
      </c>
      <c r="B72" s="33">
        <v>310</v>
      </c>
      <c r="C72" s="24">
        <v>1.6393442599999999E-2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29"/>
      <c r="R72" s="230"/>
    </row>
    <row r="73" spans="1:18" ht="17.25" customHeight="1">
      <c r="A73" s="11" t="s">
        <v>124</v>
      </c>
      <c r="B73" s="32">
        <v>719</v>
      </c>
      <c r="C73" s="5">
        <v>1.26760563E-2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29"/>
      <c r="R73" s="230"/>
    </row>
    <row r="74" spans="1:18" ht="17.25" customHeight="1">
      <c r="A74" s="11" t="s">
        <v>138</v>
      </c>
      <c r="B74" s="32">
        <v>346</v>
      </c>
      <c r="C74" s="5">
        <v>-8.5959885000000003E-3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29"/>
      <c r="R74" s="230"/>
    </row>
    <row r="75" spans="1:18" ht="17.25" customHeight="1">
      <c r="A75" s="11" t="s">
        <v>114</v>
      </c>
      <c r="B75" s="32">
        <v>528</v>
      </c>
      <c r="C75" s="5">
        <v>-1.67597765E-2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29"/>
      <c r="R75" s="230"/>
    </row>
    <row r="76" spans="1:18" ht="17.25" customHeight="1">
      <c r="A76" s="11" t="s">
        <v>101</v>
      </c>
      <c r="B76" s="32">
        <v>223</v>
      </c>
      <c r="C76" s="5">
        <v>-1.76211454E-2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31"/>
      <c r="R76" s="232"/>
    </row>
    <row r="77" spans="1:18" ht="17.25" customHeight="1" thickBot="1">
      <c r="A77" s="13" t="s">
        <v>167</v>
      </c>
      <c r="B77" s="34">
        <v>497</v>
      </c>
      <c r="C77" s="16">
        <v>-1.9723865899999998E-2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79" t="s">
        <v>194</v>
      </c>
      <c r="B82" s="186" t="s">
        <v>193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72880000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-3.6526843199999999E-2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231"/>
      <c r="R84" s="232"/>
    </row>
    <row r="85" spans="1:18" ht="17.25" customHeight="1">
      <c r="A85" s="9" t="s">
        <v>99</v>
      </c>
      <c r="B85" s="31">
        <v>224</v>
      </c>
      <c r="C85" s="22">
        <v>-3.0303030299999999E-2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29"/>
      <c r="R85" s="230"/>
    </row>
    <row r="86" spans="1:18" ht="17.25" customHeight="1">
      <c r="A86" s="11" t="s">
        <v>127</v>
      </c>
      <c r="B86" s="32">
        <v>128</v>
      </c>
      <c r="C86" s="5">
        <v>-3.7593985000000003E-2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29"/>
      <c r="R86" s="230"/>
    </row>
    <row r="87" spans="1:18" ht="17.25" customHeight="1">
      <c r="A87" s="11" t="s">
        <v>132</v>
      </c>
      <c r="B87" s="32">
        <v>153</v>
      </c>
      <c r="C87" s="5">
        <v>-4.9689441000000001E-2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29"/>
      <c r="R87" s="230"/>
    </row>
    <row r="88" spans="1:18" ht="17.25" customHeight="1">
      <c r="A88" s="11" t="s">
        <v>102</v>
      </c>
      <c r="B88" s="32">
        <v>144</v>
      </c>
      <c r="C88" s="5">
        <v>-5.2631578900000003E-2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29"/>
      <c r="R88" s="230"/>
    </row>
    <row r="89" spans="1:18" ht="17.25" customHeight="1">
      <c r="A89" s="8" t="s">
        <v>241</v>
      </c>
      <c r="B89" s="33">
        <v>198</v>
      </c>
      <c r="C89" s="24">
        <v>-5.2631578900000003E-2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 t="s">
        <v>166</v>
      </c>
      <c r="B90" s="32">
        <v>196</v>
      </c>
      <c r="C90" s="5">
        <v>-5.3140096599999999E-2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 t="s">
        <v>112</v>
      </c>
      <c r="B91" s="32">
        <v>569</v>
      </c>
      <c r="C91" s="5">
        <v>-5.3244592299999997E-2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 t="s">
        <v>130</v>
      </c>
      <c r="B92" s="32">
        <v>194</v>
      </c>
      <c r="C92" s="5">
        <v>-5.3658536600000001E-2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 t="s">
        <v>115</v>
      </c>
      <c r="B93" s="32">
        <v>454</v>
      </c>
      <c r="C93" s="5">
        <v>-5.4166666699999998E-2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 t="s">
        <v>158</v>
      </c>
      <c r="B94" s="34">
        <v>202</v>
      </c>
      <c r="C94" s="16">
        <v>-5.6074766400000003E-2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79" t="s">
        <v>194</v>
      </c>
      <c r="B99" s="186" t="s">
        <v>193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72880000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-3.6526843199999999E-2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231"/>
      <c r="R101" s="232"/>
    </row>
    <row r="102" spans="1:18" ht="17.25" customHeight="1">
      <c r="A102" s="9" t="s">
        <v>196</v>
      </c>
      <c r="B102" s="31">
        <v>8180</v>
      </c>
      <c r="C102" s="22">
        <v>0.7591397849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29"/>
      <c r="R102" s="230"/>
    </row>
    <row r="103" spans="1:18" ht="17.25" customHeight="1">
      <c r="A103" s="11" t="s">
        <v>97</v>
      </c>
      <c r="B103" s="32">
        <v>10070</v>
      </c>
      <c r="C103" s="5">
        <v>0.21765417170000001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29"/>
      <c r="R103" s="230"/>
    </row>
    <row r="104" spans="1:18" ht="17.25" customHeight="1">
      <c r="A104" s="11" t="s">
        <v>197</v>
      </c>
      <c r="B104" s="32">
        <v>10830</v>
      </c>
      <c r="C104" s="5">
        <v>0.19933554819999999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29"/>
      <c r="R104" s="230"/>
    </row>
    <row r="105" spans="1:18" ht="17.25" customHeight="1">
      <c r="A105" s="11" t="s">
        <v>198</v>
      </c>
      <c r="B105" s="32">
        <v>3040</v>
      </c>
      <c r="C105" s="5">
        <v>0.13221601490000001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29"/>
      <c r="R105" s="230"/>
    </row>
    <row r="106" spans="1:18" ht="17.25" customHeight="1">
      <c r="A106" s="8" t="s">
        <v>107</v>
      </c>
      <c r="B106" s="33">
        <v>5070</v>
      </c>
      <c r="C106" s="24">
        <v>8.2177161200000001E-2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29"/>
      <c r="R106" s="230"/>
    </row>
    <row r="107" spans="1:18" ht="17.25" customHeight="1">
      <c r="A107" s="11" t="s">
        <v>94</v>
      </c>
      <c r="B107" s="32">
        <v>467</v>
      </c>
      <c r="C107" s="5">
        <v>7.60368664E-2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29"/>
      <c r="R107" s="230"/>
    </row>
    <row r="108" spans="1:18" ht="17.25" customHeight="1">
      <c r="A108" s="11" t="s">
        <v>216</v>
      </c>
      <c r="B108" s="32">
        <v>5225</v>
      </c>
      <c r="C108" s="5">
        <v>6.9600818800000006E-2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29"/>
      <c r="R108" s="230"/>
    </row>
    <row r="109" spans="1:18" ht="17.25" customHeight="1">
      <c r="A109" s="11" t="s">
        <v>125</v>
      </c>
      <c r="B109" s="32">
        <v>316</v>
      </c>
      <c r="C109" s="5">
        <v>5.3333333300000001E-2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29"/>
      <c r="R109" s="230"/>
    </row>
    <row r="110" spans="1:18" ht="17.25" customHeight="1">
      <c r="A110" s="11" t="s">
        <v>195</v>
      </c>
      <c r="B110" s="32">
        <v>45510</v>
      </c>
      <c r="C110" s="5">
        <v>4.3567989000000001E-2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31"/>
      <c r="R110" s="232"/>
    </row>
    <row r="111" spans="1:18" ht="17.25" customHeight="1" thickBot="1">
      <c r="A111" s="13" t="s">
        <v>141</v>
      </c>
      <c r="B111" s="34">
        <v>436</v>
      </c>
      <c r="C111" s="16">
        <v>3.8095238099999998E-2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61" priority="89">
      <formula>$E$27&gt;0</formula>
    </cfRule>
    <cfRule type="expression" dxfId="160" priority="90">
      <formula>$E$27&lt;0</formula>
    </cfRule>
  </conditionalFormatting>
  <conditionalFormatting sqref="G15:I16 H27:I27">
    <cfRule type="expression" dxfId="159" priority="87">
      <formula>$H$27&gt;0</formula>
    </cfRule>
    <cfRule type="expression" dxfId="158" priority="88">
      <formula>$H$27&lt;0</formula>
    </cfRule>
  </conditionalFormatting>
  <conditionalFormatting sqref="J15:L16 K27:L27">
    <cfRule type="expression" dxfId="157" priority="85">
      <formula>$K$27&gt;0</formula>
    </cfRule>
    <cfRule type="expression" dxfId="156" priority="86">
      <formula>$K$27&lt;0</formula>
    </cfRule>
  </conditionalFormatting>
  <conditionalFormatting sqref="M15:O16 N27:O27">
    <cfRule type="expression" dxfId="155" priority="83">
      <formula>$N$27&gt;0</formula>
    </cfRule>
    <cfRule type="expression" dxfId="154" priority="84">
      <formula>$N$27&lt;0</formula>
    </cfRule>
  </conditionalFormatting>
  <conditionalFormatting sqref="A17:O26 A34:O43">
    <cfRule type="expression" dxfId="153" priority="91">
      <formula>AND($N17 &gt; 0, ISNUMBER($N17))</formula>
    </cfRule>
    <cfRule type="expression" dxfId="152" priority="92">
      <formula>AND($N17 &lt; 0, ISNUMBER($N17))</formula>
    </cfRule>
    <cfRule type="expression" dxfId="151" priority="93">
      <formula>AND($K17 &gt; 0, ISNUMBER($K17))</formula>
    </cfRule>
    <cfRule type="expression" dxfId="150" priority="94">
      <formula>AND($K17 &lt; 0, ISNUMBER($K17))</formula>
    </cfRule>
    <cfRule type="expression" dxfId="149" priority="95">
      <formula>AND($H17 &gt; 0, ISNUMBER($H17))</formula>
    </cfRule>
    <cfRule type="expression" dxfId="148" priority="96">
      <formula>AND($H17 &lt; 0, ISNUMBER($H17))</formula>
    </cfRule>
    <cfRule type="expression" dxfId="147" priority="97">
      <formula>AND($E17 &gt; 0, ISNUMBER($E17))</formula>
    </cfRule>
    <cfRule type="expression" dxfId="146" priority="98">
      <formula>AND($E17 &lt; 0, ISNUMBER($E17))</formula>
    </cfRule>
  </conditionalFormatting>
  <conditionalFormatting sqref="D32:F33 E44:F44">
    <cfRule type="expression" dxfId="145" priority="81">
      <formula>$E$44&gt;0</formula>
    </cfRule>
    <cfRule type="expression" dxfId="144" priority="82">
      <formula>$E$44&lt;0</formula>
    </cfRule>
  </conditionalFormatting>
  <conditionalFormatting sqref="G32:I33 H44:I44">
    <cfRule type="expression" dxfId="143" priority="79">
      <formula>$H$44&gt;0</formula>
    </cfRule>
    <cfRule type="expression" dxfId="142" priority="80">
      <formula>$H$44&lt;0</formula>
    </cfRule>
  </conditionalFormatting>
  <conditionalFormatting sqref="J32:L33 K44:L44">
    <cfRule type="expression" dxfId="141" priority="77">
      <formula>$K$44&gt;0</formula>
    </cfRule>
    <cfRule type="expression" dxfId="140" priority="78">
      <formula>$K$44&lt;0</formula>
    </cfRule>
  </conditionalFormatting>
  <conditionalFormatting sqref="M32:O33 N44:O44">
    <cfRule type="expression" dxfId="139" priority="75">
      <formula>$N$44&gt;0</formula>
    </cfRule>
    <cfRule type="expression" dxfId="138" priority="76">
      <formula>$N$44&lt;0</formula>
    </cfRule>
  </conditionalFormatting>
  <conditionalFormatting sqref="A51:O60">
    <cfRule type="expression" dxfId="137" priority="67">
      <formula>AND($N51 &gt; 0, ISNUMBER($N51))</formula>
    </cfRule>
    <cfRule type="expression" dxfId="136" priority="68">
      <formula>AND($N51 &lt; 0, ISNUMBER($N51))</formula>
    </cfRule>
    <cfRule type="expression" dxfId="135" priority="69">
      <formula>AND($K51 &gt; 0, ISNUMBER($K51))</formula>
    </cfRule>
    <cfRule type="expression" dxfId="134" priority="70">
      <formula>AND($K51 &lt; 0, ISNUMBER($K51))</formula>
    </cfRule>
    <cfRule type="expression" dxfId="133" priority="71">
      <formula>AND($H51 &gt; 0, ISNUMBER($H51))</formula>
    </cfRule>
    <cfRule type="expression" dxfId="132" priority="72">
      <formula>AND($H51 &lt; 0, ISNUMBER($H51))</formula>
    </cfRule>
    <cfRule type="expression" dxfId="131" priority="73">
      <formula>AND($E51 &gt; 0, ISNUMBER($E51))</formula>
    </cfRule>
    <cfRule type="expression" dxfId="130" priority="74">
      <formula>AND($E51 &lt; 0, ISNUMBER($E51))</formula>
    </cfRule>
  </conditionalFormatting>
  <conditionalFormatting sqref="D49:F50 E61:F61">
    <cfRule type="expression" dxfId="129" priority="65">
      <formula>$E$61&gt;0</formula>
    </cfRule>
    <cfRule type="expression" dxfId="128" priority="66">
      <formula>$E$61&lt;0</formula>
    </cfRule>
  </conditionalFormatting>
  <conditionalFormatting sqref="G49:I50 H61:I61">
    <cfRule type="expression" dxfId="127" priority="63">
      <formula>$H$61&gt;0</formula>
    </cfRule>
    <cfRule type="expression" dxfId="126" priority="64">
      <formula>$H$61&lt;0</formula>
    </cfRule>
  </conditionalFormatting>
  <conditionalFormatting sqref="J49:L50 K61:L61">
    <cfRule type="expression" dxfId="125" priority="61">
      <formula>$K$61&gt;0</formula>
    </cfRule>
    <cfRule type="expression" dxfId="124" priority="62">
      <formula>$K$61&lt;0</formula>
    </cfRule>
  </conditionalFormatting>
  <conditionalFormatting sqref="M49:O50 N61:O61">
    <cfRule type="expression" dxfId="123" priority="59">
      <formula>$N$61&gt;0</formula>
    </cfRule>
    <cfRule type="expression" dxfId="122" priority="60">
      <formula>$N$61&lt;0</formula>
    </cfRule>
  </conditionalFormatting>
  <conditionalFormatting sqref="A68:O77">
    <cfRule type="expression" dxfId="121" priority="51">
      <formula>AND($N68 &gt; 0, ISNUMBER($N68))</formula>
    </cfRule>
    <cfRule type="expression" dxfId="120" priority="52">
      <formula>AND($N68 &lt; 0, ISNUMBER($N68))</formula>
    </cfRule>
    <cfRule type="expression" dxfId="119" priority="53">
      <formula>AND($K68 &gt; 0, ISNUMBER($K68))</formula>
    </cfRule>
    <cfRule type="expression" dxfId="118" priority="54">
      <formula>AND($K68 &lt; 0, ISNUMBER($K68))</formula>
    </cfRule>
    <cfRule type="expression" dxfId="117" priority="55">
      <formula>AND($H68 &gt; 0, ISNUMBER($H68))</formula>
    </cfRule>
    <cfRule type="expression" dxfId="116" priority="56">
      <formula>AND($H68 &lt; 0, ISNUMBER($H68))</formula>
    </cfRule>
    <cfRule type="expression" dxfId="115" priority="57">
      <formula>AND($E68 &gt; 0, ISNUMBER($E68))</formula>
    </cfRule>
    <cfRule type="expression" dxfId="114" priority="58">
      <formula>AND($E68 &lt; 0, ISNUMBER($E68))</formula>
    </cfRule>
  </conditionalFormatting>
  <conditionalFormatting sqref="D66:F67 E78:F78">
    <cfRule type="expression" dxfId="113" priority="49">
      <formula>$E$78&gt;0</formula>
    </cfRule>
    <cfRule type="expression" dxfId="112" priority="50">
      <formula>$E$78&lt;0</formula>
    </cfRule>
  </conditionalFormatting>
  <conditionalFormatting sqref="G66:I67 H78:I78">
    <cfRule type="expression" dxfId="111" priority="47">
      <formula>$H$78&gt;0</formula>
    </cfRule>
    <cfRule type="expression" dxfId="110" priority="48">
      <formula>$H$78&lt;0</formula>
    </cfRule>
  </conditionalFormatting>
  <conditionalFormatting sqref="J66:L67 K78:L78">
    <cfRule type="expression" dxfId="109" priority="45">
      <formula>$K$78&gt;0</formula>
    </cfRule>
    <cfRule type="expression" dxfId="108" priority="46">
      <formula>$K$78&lt;0</formula>
    </cfRule>
  </conditionalFormatting>
  <conditionalFormatting sqref="M66:O67 N78:O78">
    <cfRule type="expression" dxfId="107" priority="43">
      <formula>$N$78&gt;0</formula>
    </cfRule>
    <cfRule type="expression" dxfId="106" priority="44">
      <formula>$N$78&lt;0</formula>
    </cfRule>
  </conditionalFormatting>
  <conditionalFormatting sqref="A85:O94">
    <cfRule type="expression" dxfId="105" priority="35">
      <formula>AND($N85 &gt; 0, ISNUMBER($N85))</formula>
    </cfRule>
    <cfRule type="expression" dxfId="104" priority="36">
      <formula>AND($N85 &lt; 0, ISNUMBER($N85))</formula>
    </cfRule>
    <cfRule type="expression" dxfId="103" priority="37">
      <formula>AND($K85 &gt; 0, ISNUMBER($K85))</formula>
    </cfRule>
    <cfRule type="expression" dxfId="102" priority="38">
      <formula>AND($K85 &lt; 0, ISNUMBER($K85))</formula>
    </cfRule>
    <cfRule type="expression" dxfId="101" priority="39">
      <formula>AND($H85 &gt; 0, ISNUMBER($H85))</formula>
    </cfRule>
    <cfRule type="expression" dxfId="100" priority="40">
      <formula>AND($H85 &lt; 0, ISNUMBER($H85))</formula>
    </cfRule>
    <cfRule type="expression" dxfId="99" priority="41">
      <formula>AND($E85 &gt; 0, ISNUMBER($E85))</formula>
    </cfRule>
    <cfRule type="expression" dxfId="98" priority="42">
      <formula>AND($E85 &lt; 0, ISNUMBER($E85))</formula>
    </cfRule>
  </conditionalFormatting>
  <conditionalFormatting sqref="D83:F84 E95:F95">
    <cfRule type="expression" dxfId="97" priority="33">
      <formula>$E$95&gt;0</formula>
    </cfRule>
    <cfRule type="expression" dxfId="96" priority="34">
      <formula>$E$95&lt;0</formula>
    </cfRule>
  </conditionalFormatting>
  <conditionalFormatting sqref="G83:I84 H95:I95">
    <cfRule type="expression" dxfId="95" priority="31">
      <formula>$H$95&gt;0</formula>
    </cfRule>
    <cfRule type="expression" dxfId="94" priority="32">
      <formula>$H$95&lt;0</formula>
    </cfRule>
  </conditionalFormatting>
  <conditionalFormatting sqref="J83:L84 K95:L95">
    <cfRule type="expression" dxfId="93" priority="29">
      <formula>$K$95&gt;0</formula>
    </cfRule>
    <cfRule type="expression" dxfId="92" priority="30">
      <formula>$K$95&lt;0</formula>
    </cfRule>
  </conditionalFormatting>
  <conditionalFormatting sqref="M83:O84 N95:O95">
    <cfRule type="expression" dxfId="91" priority="27">
      <formula>$N$95&gt;0</formula>
    </cfRule>
    <cfRule type="expression" dxfId="90" priority="28">
      <formula>$N$95&lt;0</formula>
    </cfRule>
  </conditionalFormatting>
  <conditionalFormatting sqref="A102:O111">
    <cfRule type="expression" dxfId="89" priority="19">
      <formula>AND($N102 &gt; 0, ISNUMBER($N102))</formula>
    </cfRule>
    <cfRule type="expression" dxfId="88" priority="20">
      <formula>AND($N102 &lt; 0, ISNUMBER($N102))</formula>
    </cfRule>
    <cfRule type="expression" dxfId="87" priority="21">
      <formula>AND($K102 &gt; 0, ISNUMBER($K102))</formula>
    </cfRule>
    <cfRule type="expression" dxfId="86" priority="22">
      <formula>AND($K102 &lt; 0, ISNUMBER($K102))</formula>
    </cfRule>
    <cfRule type="expression" dxfId="85" priority="23">
      <formula>AND($H102 &gt; 0, ISNUMBER($H102))</formula>
    </cfRule>
    <cfRule type="expression" dxfId="84" priority="24">
      <formula>AND($H102 &lt; 0, ISNUMBER($H102))</formula>
    </cfRule>
    <cfRule type="expression" dxfId="83" priority="25">
      <formula>AND($E102 &gt; 0, ISNUMBER($E102))</formula>
    </cfRule>
    <cfRule type="expression" dxfId="82" priority="26">
      <formula>AND($E102 &lt; 0, ISNUMBER($E102))</formula>
    </cfRule>
  </conditionalFormatting>
  <conditionalFormatting sqref="D100:F101 E112:F112">
    <cfRule type="expression" dxfId="81" priority="17">
      <formula>$E$112&gt;0</formula>
    </cfRule>
    <cfRule type="expression" dxfId="80" priority="18">
      <formula>$E$112&lt;0</formula>
    </cfRule>
  </conditionalFormatting>
  <conditionalFormatting sqref="G100:I101 H112:I112">
    <cfRule type="expression" dxfId="79" priority="15">
      <formula>$H$112&gt;0</formula>
    </cfRule>
    <cfRule type="expression" dxfId="78" priority="16">
      <formula>$H$112&lt;0</formula>
    </cfRule>
  </conditionalFormatting>
  <conditionalFormatting sqref="J100:L101 K112:L112">
    <cfRule type="expression" dxfId="77" priority="13">
      <formula>$K$112&gt;0</formula>
    </cfRule>
    <cfRule type="expression" dxfId="76" priority="14">
      <formula>$K$112&lt;0</formula>
    </cfRule>
  </conditionalFormatting>
  <conditionalFormatting sqref="M100:O101 N112:O112">
    <cfRule type="expression" dxfId="75" priority="11">
      <formula>$N$112&gt;0</formula>
    </cfRule>
    <cfRule type="expression" dxfId="74" priority="12">
      <formula>$N$112&lt;0</formula>
    </cfRule>
  </conditionalFormatting>
  <conditionalFormatting sqref="G2:I3">
    <cfRule type="expression" dxfId="7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 filterMode="1"/>
  <dimension ref="A1:Q200"/>
  <sheetViews>
    <sheetView workbookViewId="0">
      <selection activeCell="B23" sqref="B23:D37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213</v>
      </c>
      <c r="B1" t="s">
        <v>214</v>
      </c>
      <c r="C1">
        <v>72880000</v>
      </c>
      <c r="D1" s="90">
        <v>-3.6526843199999999E-2</v>
      </c>
      <c r="E1" s="67"/>
      <c r="F1" s="67"/>
      <c r="G1" s="67"/>
      <c r="H1" s="67"/>
      <c r="I1" s="67"/>
    </row>
    <row r="2" spans="1:17" hidden="1">
      <c r="A2" t="s">
        <v>356</v>
      </c>
      <c r="B2" t="s">
        <v>196</v>
      </c>
      <c r="C2">
        <v>8180</v>
      </c>
      <c r="D2" s="90">
        <v>0.7591397849</v>
      </c>
      <c r="E2" s="67"/>
      <c r="F2" s="67"/>
      <c r="G2" s="67"/>
      <c r="H2" s="67"/>
      <c r="I2" s="67"/>
    </row>
    <row r="3" spans="1:17" ht="17.25" hidden="1" thickBot="1">
      <c r="A3" t="s">
        <v>273</v>
      </c>
      <c r="B3" t="s">
        <v>97</v>
      </c>
      <c r="C3">
        <v>10070</v>
      </c>
      <c r="D3" s="90">
        <v>0.21765417170000001</v>
      </c>
      <c r="E3" s="67"/>
      <c r="F3" s="67"/>
      <c r="G3" s="186" t="s">
        <v>209</v>
      </c>
      <c r="H3" s="187"/>
      <c r="I3" s="188"/>
      <c r="K3" s="186" t="s">
        <v>205</v>
      </c>
      <c r="L3" s="187"/>
      <c r="M3" s="188"/>
      <c r="O3" s="186" t="s">
        <v>84</v>
      </c>
      <c r="P3" s="187"/>
      <c r="Q3" s="188"/>
    </row>
    <row r="4" spans="1:17" ht="17.25" hidden="1" thickBot="1">
      <c r="A4" t="s">
        <v>357</v>
      </c>
      <c r="B4" t="s">
        <v>197</v>
      </c>
      <c r="C4">
        <v>10830</v>
      </c>
      <c r="D4" s="90">
        <v>0.19933554819999999</v>
      </c>
      <c r="E4" s="67"/>
      <c r="F4" s="67"/>
      <c r="G4" s="195" t="s">
        <v>211</v>
      </c>
      <c r="H4" s="196"/>
      <c r="I4" s="197"/>
      <c r="K4" s="195" t="s">
        <v>208</v>
      </c>
      <c r="L4" s="186" t="s">
        <v>54</v>
      </c>
      <c r="M4" s="188"/>
      <c r="O4" s="195" t="s">
        <v>208</v>
      </c>
      <c r="P4" s="186" t="s">
        <v>54</v>
      </c>
      <c r="Q4" s="188"/>
    </row>
    <row r="5" spans="1:17" ht="17.25" hidden="1" thickBot="1">
      <c r="A5" t="s">
        <v>358</v>
      </c>
      <c r="B5" t="s">
        <v>198</v>
      </c>
      <c r="C5">
        <v>3040</v>
      </c>
      <c r="D5" s="90">
        <v>0.13221601490000001</v>
      </c>
      <c r="E5" s="67"/>
      <c r="F5" s="67"/>
      <c r="G5" s="201"/>
      <c r="H5" s="202"/>
      <c r="I5" s="203"/>
      <c r="K5" s="201"/>
      <c r="L5" s="75" t="s">
        <v>206</v>
      </c>
      <c r="M5" s="76" t="s">
        <v>207</v>
      </c>
      <c r="O5" s="201"/>
      <c r="P5" s="75" t="s">
        <v>206</v>
      </c>
      <c r="Q5" s="76" t="s">
        <v>207</v>
      </c>
    </row>
    <row r="6" spans="1:17" ht="17.25" hidden="1" thickBot="1">
      <c r="A6" t="s">
        <v>270</v>
      </c>
      <c r="B6" t="s">
        <v>107</v>
      </c>
      <c r="C6">
        <v>5070</v>
      </c>
      <c r="D6" s="90">
        <v>8.2177161200000001E-2</v>
      </c>
      <c r="E6" s="67"/>
      <c r="F6" s="67"/>
      <c r="G6" s="105" t="s">
        <v>69</v>
      </c>
      <c r="H6" s="187" t="s">
        <v>67</v>
      </c>
      <c r="I6" s="188"/>
      <c r="K6" s="107" t="s">
        <v>122</v>
      </c>
      <c r="L6" s="77">
        <f t="shared" ref="L6:L15" si="0">_xlfn.IFNA(VLOOKUP(K6, $B$1:$D$200, 2, FALSE), "")</f>
        <v>24</v>
      </c>
      <c r="M6" s="78">
        <f t="shared" ref="M6:M15" si="1">_xlfn.IFNA(VLOOKUP(K6, $B$1:$D$200, 3, FALSE), "")</f>
        <v>-0.14590747330000001</v>
      </c>
      <c r="O6" s="108" t="s">
        <v>164</v>
      </c>
      <c r="P6" s="77">
        <f>_xlfn.IFNA(VLOOKUP(O6, $B$1:$D$200, 2, FALSE), "")</f>
        <v>26.6</v>
      </c>
      <c r="Q6" s="78">
        <f>_xlfn.IFNA(VLOOKUP(O6, $B$1:$D$200, 3, FALSE), "")</f>
        <v>-9.5238095199999998E-2</v>
      </c>
    </row>
    <row r="7" spans="1:17">
      <c r="A7" t="s">
        <v>352</v>
      </c>
      <c r="B7" t="s">
        <v>94</v>
      </c>
      <c r="C7">
        <v>467</v>
      </c>
      <c r="D7" s="90">
        <v>7.60368664E-2</v>
      </c>
      <c r="E7" s="67"/>
      <c r="F7" s="67"/>
      <c r="G7" s="250">
        <f>_xlfn.IFNA(VLOOKUP(G4, $B$1:$D$200, 3, FALSE), "-")</f>
        <v>-3.6526843199999999E-2</v>
      </c>
      <c r="H7" s="246">
        <f>_xlfn.IFNA(VLOOKUP(G4, $B$1:$D$200, 2, FALSE), "-")</f>
        <v>72880000</v>
      </c>
      <c r="I7" s="247"/>
      <c r="K7" s="108" t="s">
        <v>152</v>
      </c>
      <c r="L7" s="77">
        <f t="shared" si="0"/>
        <v>93.7</v>
      </c>
      <c r="M7" s="78">
        <f t="shared" si="1"/>
        <v>-0.1160377358</v>
      </c>
      <c r="O7" s="108" t="s">
        <v>108</v>
      </c>
      <c r="P7" s="77">
        <f t="shared" ref="P7:P15" si="2">_xlfn.IFNA(VLOOKUP(O7, $B$1:$D$200, 2, FALSE), "")</f>
        <v>35.6</v>
      </c>
      <c r="Q7" s="78">
        <f t="shared" ref="Q7:Q15" si="3">_xlfn.IFNA(VLOOKUP(O7, $B$1:$D$200, 3, FALSE), "")</f>
        <v>-6.3157894699999995E-2</v>
      </c>
    </row>
    <row r="8" spans="1:17" ht="17.25" hidden="1" thickBot="1">
      <c r="A8" t="s">
        <v>229</v>
      </c>
      <c r="B8" t="s">
        <v>216</v>
      </c>
      <c r="C8">
        <v>5225</v>
      </c>
      <c r="D8" s="90">
        <v>6.9600818800000006E-2</v>
      </c>
      <c r="E8" s="67"/>
      <c r="F8" s="67"/>
      <c r="G8" s="251"/>
      <c r="H8" s="248"/>
      <c r="I8" s="249"/>
      <c r="K8" s="108" t="s">
        <v>103</v>
      </c>
      <c r="L8" s="77">
        <f t="shared" si="0"/>
        <v>97</v>
      </c>
      <c r="M8" s="78">
        <f t="shared" si="1"/>
        <v>-3.9603960399999999E-2</v>
      </c>
      <c r="O8" s="108" t="s">
        <v>137</v>
      </c>
      <c r="P8" s="77">
        <f t="shared" si="2"/>
        <v>22.2</v>
      </c>
      <c r="Q8" s="78">
        <f t="shared" si="3"/>
        <v>-7.8838174299999994E-2</v>
      </c>
    </row>
    <row r="9" spans="1:17" ht="17.25" thickBot="1">
      <c r="A9" t="s">
        <v>328</v>
      </c>
      <c r="B9" t="s">
        <v>125</v>
      </c>
      <c r="C9">
        <v>316</v>
      </c>
      <c r="D9" s="90">
        <v>5.3333333300000001E-2</v>
      </c>
      <c r="E9" s="67"/>
      <c r="F9" s="67"/>
      <c r="K9" s="108" t="s">
        <v>131</v>
      </c>
      <c r="L9" s="77">
        <f t="shared" si="0"/>
        <v>89.4</v>
      </c>
      <c r="M9" s="78">
        <f t="shared" si="1"/>
        <v>-8.5889570600000006E-2</v>
      </c>
      <c r="O9" s="108" t="s">
        <v>126</v>
      </c>
      <c r="P9" s="77">
        <f t="shared" si="2"/>
        <v>67.400000000000006</v>
      </c>
      <c r="Q9" s="78">
        <f t="shared" si="3"/>
        <v>-0.110817942</v>
      </c>
    </row>
    <row r="10" spans="1:17" ht="17.25" hidden="1" thickBot="1">
      <c r="A10" t="s">
        <v>355</v>
      </c>
      <c r="B10" t="s">
        <v>195</v>
      </c>
      <c r="C10">
        <v>45510</v>
      </c>
      <c r="D10" s="90">
        <v>4.3567989000000001E-2</v>
      </c>
      <c r="E10" s="67"/>
      <c r="F10" s="67"/>
      <c r="G10" s="186" t="s">
        <v>210</v>
      </c>
      <c r="H10" s="187"/>
      <c r="I10" s="188"/>
      <c r="K10" s="108" t="s">
        <v>147</v>
      </c>
      <c r="L10" s="77">
        <f t="shared" si="0"/>
        <v>10.1</v>
      </c>
      <c r="M10" s="78">
        <f t="shared" si="1"/>
        <v>-7.3394495399999995E-2</v>
      </c>
      <c r="O10" s="108" t="s">
        <v>139</v>
      </c>
      <c r="P10" s="77">
        <f t="shared" si="2"/>
        <v>27.1</v>
      </c>
      <c r="Q10" s="78">
        <f t="shared" si="3"/>
        <v>-9.3645484900000006E-2</v>
      </c>
    </row>
    <row r="11" spans="1:17">
      <c r="A11" t="s">
        <v>313</v>
      </c>
      <c r="B11" t="s">
        <v>141</v>
      </c>
      <c r="C11">
        <v>436</v>
      </c>
      <c r="D11" s="90">
        <v>3.8095238099999998E-2</v>
      </c>
      <c r="E11" s="67"/>
      <c r="F11" s="67"/>
      <c r="G11" s="195" t="s">
        <v>211</v>
      </c>
      <c r="H11" s="196"/>
      <c r="I11" s="197"/>
      <c r="K11" s="108" t="s">
        <v>161</v>
      </c>
      <c r="L11" s="77">
        <f t="shared" si="0"/>
        <v>22.7</v>
      </c>
      <c r="M11" s="78">
        <f t="shared" si="1"/>
        <v>-9.5617529899999998E-2</v>
      </c>
      <c r="O11" s="108" t="s">
        <v>149</v>
      </c>
      <c r="P11" s="77">
        <f t="shared" si="2"/>
        <v>44.3</v>
      </c>
      <c r="Q11" s="78">
        <f t="shared" si="3"/>
        <v>-9.4069529700000001E-2</v>
      </c>
    </row>
    <row r="12" spans="1:17" ht="17.25" thickBot="1">
      <c r="A12" t="s">
        <v>349</v>
      </c>
      <c r="B12" t="s">
        <v>98</v>
      </c>
      <c r="C12">
        <v>267</v>
      </c>
      <c r="D12" s="90">
        <v>3.0888030899999998E-2</v>
      </c>
      <c r="E12" s="67"/>
      <c r="F12" s="67"/>
      <c r="G12" s="201"/>
      <c r="H12" s="202"/>
      <c r="I12" s="203"/>
      <c r="K12" s="108" t="s">
        <v>140</v>
      </c>
      <c r="L12" s="77">
        <f t="shared" si="0"/>
        <v>24.6</v>
      </c>
      <c r="M12" s="78">
        <f t="shared" si="1"/>
        <v>-8.8888888900000004E-2</v>
      </c>
      <c r="O12" s="108" t="s">
        <v>169</v>
      </c>
      <c r="P12" s="77">
        <f t="shared" si="2"/>
        <v>56.7</v>
      </c>
      <c r="Q12" s="78">
        <f t="shared" si="3"/>
        <v>-0.14608433730000001</v>
      </c>
    </row>
    <row r="13" spans="1:17" ht="17.25" hidden="1" thickBot="1">
      <c r="A13" t="s">
        <v>268</v>
      </c>
      <c r="B13" t="s">
        <v>269</v>
      </c>
      <c r="C13">
        <v>2270</v>
      </c>
      <c r="D13" s="90">
        <v>2.2522522499999999E-2</v>
      </c>
      <c r="E13" s="67"/>
      <c r="F13" s="67"/>
      <c r="G13" s="105" t="s">
        <v>69</v>
      </c>
      <c r="H13" s="187" t="s">
        <v>67</v>
      </c>
      <c r="I13" s="188"/>
      <c r="K13" s="108" t="s">
        <v>135</v>
      </c>
      <c r="L13" s="77">
        <f t="shared" si="0"/>
        <v>30.2</v>
      </c>
      <c r="M13" s="78">
        <f t="shared" si="1"/>
        <v>-0.1011904762</v>
      </c>
      <c r="O13" s="108" t="s">
        <v>95</v>
      </c>
      <c r="P13" s="77">
        <f t="shared" si="2"/>
        <v>34.5</v>
      </c>
      <c r="Q13" s="78">
        <f t="shared" si="3"/>
        <v>-0.1605839416</v>
      </c>
    </row>
    <row r="14" spans="1:17">
      <c r="A14" t="s">
        <v>333</v>
      </c>
      <c r="B14" t="s">
        <v>121</v>
      </c>
      <c r="C14">
        <v>310</v>
      </c>
      <c r="D14" s="90">
        <v>1.6393442599999999E-2</v>
      </c>
      <c r="E14" s="67"/>
      <c r="F14" s="67"/>
      <c r="G14" s="250">
        <f>_xlfn.IFNA(VLOOKUP(G11, $B$1:$D$200, 3, FALSE), "-")</f>
        <v>-3.6526843199999999E-2</v>
      </c>
      <c r="H14" s="246">
        <f>_xlfn.IFNA(VLOOKUP(G11, $B$1:$D$200, 2, FALSE), "-")</f>
        <v>72880000</v>
      </c>
      <c r="I14" s="247"/>
      <c r="K14" s="108" t="s">
        <v>150</v>
      </c>
      <c r="L14" s="77">
        <f t="shared" si="0"/>
        <v>81.7</v>
      </c>
      <c r="M14" s="78">
        <f t="shared" si="1"/>
        <v>-8.6129753899999995E-2</v>
      </c>
      <c r="O14" s="108"/>
      <c r="P14" s="77" t="str">
        <f t="shared" si="2"/>
        <v/>
      </c>
      <c r="Q14" s="78" t="str">
        <f t="shared" si="3"/>
        <v/>
      </c>
    </row>
    <row r="15" spans="1:17" ht="17.25" hidden="1" thickBot="1">
      <c r="A15" t="s">
        <v>343</v>
      </c>
      <c r="B15" t="s">
        <v>344</v>
      </c>
      <c r="C15">
        <v>8835</v>
      </c>
      <c r="D15" s="90">
        <v>1.43513203E-2</v>
      </c>
      <c r="E15" s="67"/>
      <c r="F15" s="67"/>
      <c r="G15" s="251"/>
      <c r="H15" s="248"/>
      <c r="I15" s="249"/>
      <c r="K15" s="106" t="s">
        <v>100</v>
      </c>
      <c r="L15" s="79">
        <f t="shared" si="0"/>
        <v>31.6</v>
      </c>
      <c r="M15" s="80">
        <f t="shared" si="1"/>
        <v>-8.4057970999999995E-2</v>
      </c>
      <c r="O15" s="106"/>
      <c r="P15" s="79" t="str">
        <f t="shared" si="2"/>
        <v/>
      </c>
      <c r="Q15" s="80" t="str">
        <f t="shared" si="3"/>
        <v/>
      </c>
    </row>
    <row r="16" spans="1:17" ht="17.25" thickBot="1">
      <c r="A16" t="s">
        <v>329</v>
      </c>
      <c r="B16" t="s">
        <v>124</v>
      </c>
      <c r="C16">
        <v>719</v>
      </c>
      <c r="D16" s="90">
        <v>1.26760563E-2</v>
      </c>
      <c r="E16" s="67"/>
      <c r="F16" s="67"/>
      <c r="G16" s="67"/>
      <c r="H16" s="67"/>
      <c r="I16" s="67"/>
    </row>
    <row r="17" spans="1:17" ht="17.25" hidden="1" thickBot="1">
      <c r="A17" t="s">
        <v>336</v>
      </c>
      <c r="B17" t="s">
        <v>118</v>
      </c>
      <c r="C17">
        <v>16080</v>
      </c>
      <c r="D17" s="90">
        <v>-4.9504950000000001E-3</v>
      </c>
      <c r="E17" s="67"/>
      <c r="F17" s="67"/>
      <c r="G17" s="67"/>
      <c r="H17" s="67"/>
      <c r="I17" s="67"/>
    </row>
    <row r="18" spans="1:17" ht="17.25" thickBot="1">
      <c r="A18" t="s">
        <v>318</v>
      </c>
      <c r="B18" t="s">
        <v>138</v>
      </c>
      <c r="C18">
        <v>346</v>
      </c>
      <c r="D18" s="90">
        <v>-8.5959885000000003E-3</v>
      </c>
      <c r="E18" s="67"/>
      <c r="F18" s="67"/>
      <c r="G18" s="186" t="s">
        <v>81</v>
      </c>
      <c r="H18" s="187"/>
      <c r="I18" s="188"/>
      <c r="K18" s="186" t="s">
        <v>85</v>
      </c>
      <c r="L18" s="187"/>
      <c r="M18" s="188"/>
      <c r="O18" s="186" t="s">
        <v>86</v>
      </c>
      <c r="P18" s="187"/>
      <c r="Q18" s="188"/>
    </row>
    <row r="19" spans="1:17" ht="17.25" thickBot="1">
      <c r="A19" t="s">
        <v>340</v>
      </c>
      <c r="B19" t="s">
        <v>114</v>
      </c>
      <c r="C19">
        <v>528</v>
      </c>
      <c r="D19" s="90">
        <v>-1.67597765E-2</v>
      </c>
      <c r="E19" s="67"/>
      <c r="F19" s="67"/>
      <c r="G19" s="195" t="s">
        <v>208</v>
      </c>
      <c r="H19" s="186" t="s">
        <v>54</v>
      </c>
      <c r="I19" s="188"/>
      <c r="K19" s="195" t="s">
        <v>208</v>
      </c>
      <c r="L19" s="186" t="s">
        <v>54</v>
      </c>
      <c r="M19" s="188"/>
      <c r="O19" s="195" t="s">
        <v>208</v>
      </c>
      <c r="P19" s="186" t="s">
        <v>54</v>
      </c>
      <c r="Q19" s="188"/>
    </row>
    <row r="20" spans="1:17" ht="17.25" thickBot="1">
      <c r="A20" t="s">
        <v>272</v>
      </c>
      <c r="B20" t="s">
        <v>101</v>
      </c>
      <c r="C20">
        <v>223</v>
      </c>
      <c r="D20" s="90">
        <v>-1.76211454E-2</v>
      </c>
      <c r="E20" s="67"/>
      <c r="F20" s="67"/>
      <c r="G20" s="201"/>
      <c r="H20" s="75" t="s">
        <v>206</v>
      </c>
      <c r="I20" s="76" t="s">
        <v>207</v>
      </c>
      <c r="K20" s="201"/>
      <c r="L20" s="75" t="s">
        <v>206</v>
      </c>
      <c r="M20" s="76" t="s">
        <v>207</v>
      </c>
      <c r="O20" s="201"/>
      <c r="P20" s="75" t="s">
        <v>206</v>
      </c>
      <c r="Q20" s="76" t="s">
        <v>207</v>
      </c>
    </row>
    <row r="21" spans="1:17">
      <c r="A21" t="s">
        <v>299</v>
      </c>
      <c r="B21" t="s">
        <v>167</v>
      </c>
      <c r="C21">
        <v>497</v>
      </c>
      <c r="D21" s="90">
        <v>-1.9723865899999998E-2</v>
      </c>
      <c r="E21" s="67"/>
      <c r="F21" s="67"/>
      <c r="G21" s="107" t="s">
        <v>94</v>
      </c>
      <c r="H21" s="77">
        <f t="shared" ref="H21:H30" si="4">_xlfn.IFNA(VLOOKUP(G21, $B$1:$D$200, 2, FALSE), "")</f>
        <v>467</v>
      </c>
      <c r="I21" s="78">
        <f t="shared" ref="I21:I30" si="5">_xlfn.IFNA(VLOOKUP(G21, $B$1:$D$200, 3, FALSE), "")</f>
        <v>7.60368664E-2</v>
      </c>
      <c r="K21" s="107" t="s">
        <v>94</v>
      </c>
      <c r="L21" s="77">
        <f t="shared" ref="L21:L30" si="6">_xlfn.IFNA(VLOOKUP(K21, $B$1:$D$200, 2, FALSE), "")</f>
        <v>467</v>
      </c>
      <c r="M21" s="78">
        <f t="shared" ref="M21:M30" si="7">_xlfn.IFNA(VLOOKUP(K21, $B$1:$D$200, 3, FALSE), "")</f>
        <v>7.60368664E-2</v>
      </c>
      <c r="O21" s="108" t="s">
        <v>154</v>
      </c>
      <c r="P21" s="77">
        <f>_xlfn.IFNA(VLOOKUP(O21, $B$1:$D$200, 2, FALSE), "")</f>
        <v>248</v>
      </c>
      <c r="Q21" s="78">
        <f>_xlfn.IFNA(VLOOKUP(O21, $B$1:$D$200, 3, FALSE), "")</f>
        <v>-8.82352941E-2</v>
      </c>
    </row>
    <row r="22" spans="1:17" hidden="1">
      <c r="A22" t="s">
        <v>322</v>
      </c>
      <c r="B22" t="s">
        <v>323</v>
      </c>
      <c r="C22">
        <v>2355</v>
      </c>
      <c r="D22" s="90">
        <v>-2.48447205E-2</v>
      </c>
      <c r="E22" s="67"/>
      <c r="F22" s="67"/>
      <c r="G22" s="108" t="s">
        <v>122</v>
      </c>
      <c r="H22" s="77">
        <f t="shared" si="4"/>
        <v>24</v>
      </c>
      <c r="I22" s="78">
        <f t="shared" si="5"/>
        <v>-0.14590747330000001</v>
      </c>
      <c r="K22" s="108" t="s">
        <v>146</v>
      </c>
      <c r="L22" s="77">
        <f t="shared" si="6"/>
        <v>208</v>
      </c>
      <c r="M22" s="78">
        <f t="shared" si="7"/>
        <v>-0.1072961373</v>
      </c>
      <c r="O22" s="108" t="s">
        <v>101</v>
      </c>
      <c r="P22" s="77">
        <f t="shared" ref="P22:P30" si="8">_xlfn.IFNA(VLOOKUP(O22, $B$1:$D$200, 2, FALSE), "")</f>
        <v>223</v>
      </c>
      <c r="Q22" s="78">
        <f t="shared" ref="Q22:Q30" si="9">_xlfn.IFNA(VLOOKUP(O22, $B$1:$D$200, 3, FALSE), "")</f>
        <v>-1.76211454E-2</v>
      </c>
    </row>
    <row r="23" spans="1:17">
      <c r="A23" t="s">
        <v>348</v>
      </c>
      <c r="B23" t="s">
        <v>99</v>
      </c>
      <c r="C23">
        <v>224</v>
      </c>
      <c r="D23" s="90">
        <v>-3.0303030299999999E-2</v>
      </c>
      <c r="E23" s="67"/>
      <c r="F23" s="67"/>
      <c r="G23" s="108" t="s">
        <v>146</v>
      </c>
      <c r="H23" s="77">
        <f t="shared" si="4"/>
        <v>208</v>
      </c>
      <c r="I23" s="78">
        <f t="shared" si="5"/>
        <v>-0.1072961373</v>
      </c>
      <c r="K23" s="108" t="s">
        <v>129</v>
      </c>
      <c r="L23" s="77">
        <f t="shared" si="6"/>
        <v>305</v>
      </c>
      <c r="M23" s="78">
        <f t="shared" si="7"/>
        <v>-0.115942029</v>
      </c>
      <c r="O23" s="108" t="s">
        <v>170</v>
      </c>
      <c r="P23" s="77">
        <f t="shared" si="8"/>
        <v>175</v>
      </c>
      <c r="Q23" s="78">
        <f t="shared" si="9"/>
        <v>-9.7938144300000002E-2</v>
      </c>
    </row>
    <row r="24" spans="1:17" hidden="1">
      <c r="A24" t="s">
        <v>280</v>
      </c>
      <c r="B24" t="s">
        <v>180</v>
      </c>
      <c r="C24">
        <v>24120</v>
      </c>
      <c r="D24" s="90">
        <v>-3.1714170999999999E-2</v>
      </c>
      <c r="E24" s="67"/>
      <c r="F24" s="67"/>
      <c r="G24" s="108" t="s">
        <v>262</v>
      </c>
      <c r="H24" s="77">
        <f t="shared" si="4"/>
        <v>23320</v>
      </c>
      <c r="I24" s="78">
        <f t="shared" si="5"/>
        <v>-0.13244047619999999</v>
      </c>
      <c r="K24" s="108" t="s">
        <v>125</v>
      </c>
      <c r="L24" s="77">
        <f t="shared" si="6"/>
        <v>316</v>
      </c>
      <c r="M24" s="78">
        <f t="shared" si="7"/>
        <v>5.3333333300000001E-2</v>
      </c>
      <c r="O24" s="108" t="s">
        <v>112</v>
      </c>
      <c r="P24" s="77">
        <f t="shared" si="8"/>
        <v>569</v>
      </c>
      <c r="Q24" s="78">
        <f t="shared" si="9"/>
        <v>-5.3244592299999997E-2</v>
      </c>
    </row>
    <row r="25" spans="1:17" hidden="1">
      <c r="A25" t="s">
        <v>250</v>
      </c>
      <c r="B25" t="s">
        <v>173</v>
      </c>
      <c r="C25">
        <v>10750</v>
      </c>
      <c r="D25" s="90">
        <v>-3.5874439500000001E-2</v>
      </c>
      <c r="E25" s="67"/>
      <c r="F25" s="67"/>
      <c r="G25" s="108" t="s">
        <v>218</v>
      </c>
      <c r="H25" s="77">
        <f t="shared" si="4"/>
        <v>45030</v>
      </c>
      <c r="I25" s="78">
        <f t="shared" si="5"/>
        <v>-0.11148382</v>
      </c>
      <c r="K25" s="108" t="s">
        <v>130</v>
      </c>
      <c r="L25" s="77">
        <f t="shared" si="6"/>
        <v>194</v>
      </c>
      <c r="M25" s="78">
        <f t="shared" si="7"/>
        <v>-5.3658536600000001E-2</v>
      </c>
      <c r="O25" s="108" t="s">
        <v>167</v>
      </c>
      <c r="P25" s="77">
        <f t="shared" si="8"/>
        <v>497</v>
      </c>
      <c r="Q25" s="78">
        <f t="shared" si="9"/>
        <v>-1.9723865899999998E-2</v>
      </c>
    </row>
    <row r="26" spans="1:17">
      <c r="A26" t="s">
        <v>238</v>
      </c>
      <c r="B26" t="s">
        <v>127</v>
      </c>
      <c r="C26">
        <v>128</v>
      </c>
      <c r="D26" s="90">
        <v>-3.7593985000000003E-2</v>
      </c>
      <c r="E26" s="67"/>
      <c r="F26" s="67"/>
      <c r="G26" s="108" t="s">
        <v>129</v>
      </c>
      <c r="H26" s="77">
        <f t="shared" si="4"/>
        <v>305</v>
      </c>
      <c r="I26" s="78">
        <f t="shared" si="5"/>
        <v>-0.115942029</v>
      </c>
      <c r="K26" s="108" t="s">
        <v>121</v>
      </c>
      <c r="L26" s="77">
        <f t="shared" si="6"/>
        <v>310</v>
      </c>
      <c r="M26" s="78">
        <f t="shared" si="7"/>
        <v>1.6393442599999999E-2</v>
      </c>
      <c r="O26" s="108" t="s">
        <v>99</v>
      </c>
      <c r="P26" s="77">
        <f t="shared" si="8"/>
        <v>224</v>
      </c>
      <c r="Q26" s="78">
        <f t="shared" si="9"/>
        <v>-3.0303030299999999E-2</v>
      </c>
    </row>
    <row r="27" spans="1:17" hidden="1">
      <c r="A27" t="s">
        <v>346</v>
      </c>
      <c r="B27" t="s">
        <v>103</v>
      </c>
      <c r="C27">
        <v>97</v>
      </c>
      <c r="D27" s="90">
        <v>-3.9603960399999999E-2</v>
      </c>
      <c r="E27" s="67"/>
      <c r="F27" s="67"/>
      <c r="G27" s="108" t="s">
        <v>152</v>
      </c>
      <c r="H27" s="77">
        <f t="shared" si="4"/>
        <v>93.7</v>
      </c>
      <c r="I27" s="78">
        <f t="shared" si="5"/>
        <v>-0.1160377358</v>
      </c>
      <c r="K27" s="108" t="s">
        <v>144</v>
      </c>
      <c r="L27" s="77">
        <f t="shared" si="6"/>
        <v>399</v>
      </c>
      <c r="M27" s="78">
        <f t="shared" si="7"/>
        <v>-6.7757009300000004E-2</v>
      </c>
      <c r="O27" s="108" t="s">
        <v>172</v>
      </c>
      <c r="P27" s="77">
        <f t="shared" si="8"/>
        <v>559</v>
      </c>
      <c r="Q27" s="78">
        <f t="shared" si="9"/>
        <v>-7.1428571400000002E-2</v>
      </c>
    </row>
    <row r="28" spans="1:17" hidden="1">
      <c r="A28" t="s">
        <v>111</v>
      </c>
      <c r="B28" t="s">
        <v>110</v>
      </c>
      <c r="C28">
        <v>8015</v>
      </c>
      <c r="D28" s="90">
        <v>-4.8099762499999997E-2</v>
      </c>
      <c r="E28" s="67"/>
      <c r="F28" s="67"/>
      <c r="G28" s="108" t="s">
        <v>228</v>
      </c>
      <c r="H28" s="77">
        <f t="shared" si="4"/>
        <v>2824000</v>
      </c>
      <c r="I28" s="78">
        <f t="shared" si="5"/>
        <v>-6.2105612800000001E-2</v>
      </c>
      <c r="K28" s="108" t="s">
        <v>133</v>
      </c>
      <c r="L28" s="77">
        <f t="shared" si="6"/>
        <v>375</v>
      </c>
      <c r="M28" s="78">
        <f t="shared" si="7"/>
        <v>-0.1007194245</v>
      </c>
      <c r="O28" s="108" t="s">
        <v>177</v>
      </c>
      <c r="P28" s="77">
        <f t="shared" si="8"/>
        <v>481</v>
      </c>
      <c r="Q28" s="78">
        <f t="shared" si="9"/>
        <v>-7.1428571400000002E-2</v>
      </c>
    </row>
    <row r="29" spans="1:17">
      <c r="A29" t="s">
        <v>321</v>
      </c>
      <c r="B29" t="s">
        <v>132</v>
      </c>
      <c r="C29">
        <v>153</v>
      </c>
      <c r="D29" s="90">
        <v>-4.9689441000000001E-2</v>
      </c>
      <c r="E29" s="67"/>
      <c r="F29" s="67"/>
      <c r="G29" s="108" t="s">
        <v>240</v>
      </c>
      <c r="H29" s="77">
        <f t="shared" si="4"/>
        <v>48280</v>
      </c>
      <c r="I29" s="78">
        <f t="shared" si="5"/>
        <v>-8.5432847100000001E-2</v>
      </c>
      <c r="K29" s="108" t="s">
        <v>104</v>
      </c>
      <c r="L29" s="77">
        <f t="shared" si="6"/>
        <v>596</v>
      </c>
      <c r="M29" s="78">
        <f t="shared" si="7"/>
        <v>-6.14173228E-2</v>
      </c>
      <c r="O29" s="108" t="s">
        <v>138</v>
      </c>
      <c r="P29" s="77">
        <f t="shared" si="8"/>
        <v>346</v>
      </c>
      <c r="Q29" s="78">
        <f t="shared" si="9"/>
        <v>-8.5959885000000003E-3</v>
      </c>
    </row>
    <row r="30" spans="1:17" ht="17.25" hidden="1" thickBot="1">
      <c r="A30" t="s">
        <v>277</v>
      </c>
      <c r="B30" t="s">
        <v>219</v>
      </c>
      <c r="C30">
        <v>10780</v>
      </c>
      <c r="D30" s="90">
        <v>-5.1890941099999997E-2</v>
      </c>
      <c r="E30" s="67"/>
      <c r="F30" s="67"/>
      <c r="G30" s="106" t="s">
        <v>125</v>
      </c>
      <c r="H30" s="79">
        <f t="shared" si="4"/>
        <v>316</v>
      </c>
      <c r="I30" s="80">
        <f t="shared" si="5"/>
        <v>5.3333333300000001E-2</v>
      </c>
      <c r="K30" s="106" t="s">
        <v>142</v>
      </c>
      <c r="L30" s="79">
        <f t="shared" si="6"/>
        <v>203</v>
      </c>
      <c r="M30" s="80">
        <f t="shared" si="7"/>
        <v>-8.55855856E-2</v>
      </c>
      <c r="O30" s="106" t="s">
        <v>102</v>
      </c>
      <c r="P30" s="79">
        <f t="shared" si="8"/>
        <v>144</v>
      </c>
      <c r="Q30" s="80">
        <f t="shared" si="9"/>
        <v>-5.2631578900000003E-2</v>
      </c>
    </row>
    <row r="31" spans="1:17">
      <c r="A31" t="s">
        <v>271</v>
      </c>
      <c r="B31" t="s">
        <v>102</v>
      </c>
      <c r="C31">
        <v>144</v>
      </c>
      <c r="D31" s="90">
        <v>-5.2631578900000003E-2</v>
      </c>
      <c r="E31" s="67"/>
      <c r="F31" s="67"/>
      <c r="G31" s="67"/>
      <c r="H31" s="67"/>
      <c r="I31" s="67"/>
    </row>
    <row r="32" spans="1:17">
      <c r="A32" t="s">
        <v>351</v>
      </c>
      <c r="B32" t="s">
        <v>241</v>
      </c>
      <c r="C32">
        <v>198</v>
      </c>
      <c r="D32" s="90">
        <v>-5.2631578900000003E-2</v>
      </c>
      <c r="E32" s="67"/>
      <c r="F32" s="67"/>
      <c r="G32" s="67"/>
      <c r="H32" s="67"/>
      <c r="I32" s="67"/>
    </row>
    <row r="33" spans="1:9">
      <c r="A33" t="s">
        <v>256</v>
      </c>
      <c r="B33" t="s">
        <v>166</v>
      </c>
      <c r="C33">
        <v>196</v>
      </c>
      <c r="D33" s="90">
        <v>-5.3140096599999999E-2</v>
      </c>
      <c r="E33" s="67"/>
      <c r="F33" s="67"/>
      <c r="G33" s="67"/>
      <c r="H33" s="67"/>
      <c r="I33" s="67"/>
    </row>
    <row r="34" spans="1:9">
      <c r="A34" t="s">
        <v>113</v>
      </c>
      <c r="B34" t="s">
        <v>112</v>
      </c>
      <c r="C34">
        <v>569</v>
      </c>
      <c r="D34" s="90">
        <v>-5.3244592299999997E-2</v>
      </c>
      <c r="E34" s="67"/>
      <c r="F34" s="67"/>
      <c r="G34" s="67"/>
      <c r="H34" s="67"/>
      <c r="I34" s="67"/>
    </row>
    <row r="35" spans="1:9">
      <c r="A35" t="s">
        <v>325</v>
      </c>
      <c r="B35" t="s">
        <v>130</v>
      </c>
      <c r="C35">
        <v>194</v>
      </c>
      <c r="D35" s="90">
        <v>-5.3658536600000001E-2</v>
      </c>
      <c r="E35" s="67"/>
      <c r="F35" s="67"/>
      <c r="G35" s="67"/>
      <c r="H35" s="67"/>
      <c r="I35" s="67"/>
    </row>
    <row r="36" spans="1:9">
      <c r="A36" t="s">
        <v>339</v>
      </c>
      <c r="B36" t="s">
        <v>115</v>
      </c>
      <c r="C36">
        <v>454</v>
      </c>
      <c r="D36" s="90">
        <v>-5.4166666699999998E-2</v>
      </c>
      <c r="E36" s="67"/>
      <c r="F36" s="67"/>
      <c r="G36" s="67"/>
      <c r="H36" s="67"/>
      <c r="I36" s="67"/>
    </row>
    <row r="37" spans="1:9">
      <c r="A37" t="s">
        <v>306</v>
      </c>
      <c r="B37" t="s">
        <v>158</v>
      </c>
      <c r="C37">
        <v>202</v>
      </c>
      <c r="D37" s="90">
        <v>-5.6074766400000003E-2</v>
      </c>
      <c r="E37" s="67"/>
      <c r="F37" s="67"/>
      <c r="G37" s="67"/>
      <c r="H37" s="67"/>
      <c r="I37" s="67"/>
    </row>
    <row r="38" spans="1:9">
      <c r="A38" t="s">
        <v>319</v>
      </c>
      <c r="B38" t="s">
        <v>134</v>
      </c>
      <c r="C38">
        <v>263</v>
      </c>
      <c r="D38" s="90">
        <v>-6.0714285700000002E-2</v>
      </c>
      <c r="E38" s="67"/>
      <c r="F38" s="67"/>
      <c r="G38" s="67"/>
      <c r="H38" s="67"/>
      <c r="I38" s="67"/>
    </row>
    <row r="39" spans="1:9">
      <c r="A39" t="s">
        <v>338</v>
      </c>
      <c r="B39" t="s">
        <v>116</v>
      </c>
      <c r="C39">
        <v>107</v>
      </c>
      <c r="D39" s="90">
        <v>-6.1403508799999999E-2</v>
      </c>
      <c r="E39" s="67"/>
      <c r="F39" s="67"/>
      <c r="G39" s="67"/>
      <c r="H39" s="67"/>
      <c r="I39" s="67"/>
    </row>
    <row r="40" spans="1:9">
      <c r="A40" t="s">
        <v>345</v>
      </c>
      <c r="B40" t="s">
        <v>104</v>
      </c>
      <c r="C40">
        <v>596</v>
      </c>
      <c r="D40" s="90">
        <v>-6.14173228E-2</v>
      </c>
      <c r="E40" s="67"/>
      <c r="F40" s="67"/>
      <c r="G40" s="67"/>
      <c r="H40" s="67"/>
      <c r="I40" s="67"/>
    </row>
    <row r="41" spans="1:9" hidden="1">
      <c r="A41" t="s">
        <v>227</v>
      </c>
      <c r="B41" t="s">
        <v>228</v>
      </c>
      <c r="C41">
        <v>2824000</v>
      </c>
      <c r="D41" s="90">
        <v>-6.2105612800000001E-2</v>
      </c>
      <c r="E41" s="67"/>
      <c r="F41" s="67"/>
      <c r="G41" s="67"/>
      <c r="H41" s="67"/>
      <c r="I41" s="67"/>
    </row>
    <row r="42" spans="1:9" hidden="1">
      <c r="A42" t="s">
        <v>248</v>
      </c>
      <c r="B42" t="s">
        <v>175</v>
      </c>
      <c r="C42">
        <v>1715</v>
      </c>
      <c r="D42" s="90">
        <v>-6.2841530100000001E-2</v>
      </c>
      <c r="E42" s="67"/>
      <c r="F42" s="67"/>
      <c r="G42" s="67"/>
      <c r="H42" s="67"/>
      <c r="I42" s="67"/>
    </row>
    <row r="43" spans="1:9" hidden="1">
      <c r="A43" t="s">
        <v>109</v>
      </c>
      <c r="B43" t="s">
        <v>108</v>
      </c>
      <c r="C43">
        <v>35.6</v>
      </c>
      <c r="D43" s="90">
        <v>-6.3157894699999995E-2</v>
      </c>
      <c r="E43" s="67"/>
      <c r="F43" s="67"/>
      <c r="G43" s="67"/>
      <c r="H43" s="67"/>
      <c r="I43" s="67"/>
    </row>
    <row r="44" spans="1:9">
      <c r="A44" t="s">
        <v>335</v>
      </c>
      <c r="B44" t="s">
        <v>119</v>
      </c>
      <c r="C44">
        <v>259</v>
      </c>
      <c r="D44" s="90">
        <v>-6.4981949499999997E-2</v>
      </c>
      <c r="E44" s="67"/>
      <c r="F44" s="67"/>
      <c r="G44" s="67"/>
      <c r="H44" s="67"/>
      <c r="I44" s="67"/>
    </row>
    <row r="45" spans="1:9" hidden="1">
      <c r="A45" t="s">
        <v>353</v>
      </c>
      <c r="B45" t="s">
        <v>93</v>
      </c>
      <c r="C45">
        <v>63410</v>
      </c>
      <c r="D45" s="90">
        <v>-6.5989099999999995E-2</v>
      </c>
      <c r="E45" s="67"/>
      <c r="F45" s="67"/>
      <c r="G45" s="67"/>
      <c r="H45" s="67"/>
      <c r="I45" s="67"/>
    </row>
    <row r="46" spans="1:9" hidden="1">
      <c r="A46" t="s">
        <v>281</v>
      </c>
      <c r="B46" t="s">
        <v>282</v>
      </c>
      <c r="C46">
        <v>7160</v>
      </c>
      <c r="D46" s="90">
        <v>-6.7100977199999995E-2</v>
      </c>
      <c r="E46" s="67"/>
      <c r="F46" s="67"/>
      <c r="G46" s="67"/>
      <c r="H46" s="67"/>
      <c r="I46" s="67"/>
    </row>
    <row r="47" spans="1:9" hidden="1">
      <c r="A47" t="s">
        <v>245</v>
      </c>
      <c r="B47" t="s">
        <v>179</v>
      </c>
      <c r="C47">
        <v>1310</v>
      </c>
      <c r="D47" s="90">
        <v>-6.76156584E-2</v>
      </c>
      <c r="E47" s="67"/>
      <c r="F47" s="67"/>
      <c r="G47" s="67"/>
      <c r="H47" s="67"/>
      <c r="I47" s="67"/>
    </row>
    <row r="48" spans="1:9">
      <c r="A48" t="s">
        <v>311</v>
      </c>
      <c r="B48" t="s">
        <v>144</v>
      </c>
      <c r="C48">
        <v>399</v>
      </c>
      <c r="D48" s="90">
        <v>-6.7757009300000004E-2</v>
      </c>
      <c r="E48" s="67"/>
      <c r="F48" s="67"/>
      <c r="G48" s="67"/>
      <c r="H48" s="67"/>
      <c r="I48" s="67"/>
    </row>
    <row r="49" spans="1:9" hidden="1">
      <c r="A49" t="s">
        <v>233</v>
      </c>
      <c r="B49" t="s">
        <v>165</v>
      </c>
      <c r="C49">
        <v>1370</v>
      </c>
      <c r="D49" s="90">
        <v>-6.8027210899999996E-2</v>
      </c>
      <c r="E49" s="67"/>
      <c r="F49" s="67"/>
      <c r="G49" s="67"/>
      <c r="H49" s="67"/>
      <c r="I49" s="67"/>
    </row>
    <row r="50" spans="1:9" hidden="1">
      <c r="A50" t="s">
        <v>247</v>
      </c>
      <c r="B50" t="s">
        <v>176</v>
      </c>
      <c r="C50">
        <v>3650</v>
      </c>
      <c r="D50" s="90">
        <v>-6.8877550999999995E-2</v>
      </c>
      <c r="E50" s="67"/>
      <c r="F50" s="67"/>
      <c r="G50" s="67"/>
      <c r="H50" s="67"/>
      <c r="I50" s="67"/>
    </row>
    <row r="51" spans="1:9">
      <c r="A51" t="s">
        <v>246</v>
      </c>
      <c r="B51" t="s">
        <v>177</v>
      </c>
      <c r="C51">
        <v>481</v>
      </c>
      <c r="D51" s="90">
        <v>-7.1428571400000002E-2</v>
      </c>
      <c r="E51" s="67"/>
      <c r="F51" s="67"/>
      <c r="G51" s="67"/>
      <c r="H51" s="67"/>
      <c r="I51" s="67"/>
    </row>
    <row r="52" spans="1:9">
      <c r="A52" t="s">
        <v>292</v>
      </c>
      <c r="B52" t="s">
        <v>172</v>
      </c>
      <c r="C52">
        <v>559</v>
      </c>
      <c r="D52" s="90">
        <v>-7.1428571400000002E-2</v>
      </c>
      <c r="E52" s="67"/>
      <c r="F52" s="67"/>
      <c r="G52" s="67"/>
      <c r="H52" s="67"/>
      <c r="I52" s="67"/>
    </row>
    <row r="53" spans="1:9">
      <c r="A53" t="s">
        <v>298</v>
      </c>
      <c r="B53" t="s">
        <v>168</v>
      </c>
      <c r="C53">
        <v>191</v>
      </c>
      <c r="D53" s="90">
        <v>-7.2815534000000001E-2</v>
      </c>
      <c r="E53" s="67"/>
      <c r="F53" s="67"/>
      <c r="G53" s="67"/>
      <c r="H53" s="67"/>
      <c r="I53" s="67"/>
    </row>
    <row r="54" spans="1:9" hidden="1">
      <c r="A54" t="s">
        <v>309</v>
      </c>
      <c r="B54" t="s">
        <v>147</v>
      </c>
      <c r="C54">
        <v>10.1</v>
      </c>
      <c r="D54" s="90">
        <v>-7.3394495399999995E-2</v>
      </c>
      <c r="E54" s="67"/>
      <c r="F54" s="67"/>
      <c r="G54" s="67"/>
      <c r="H54" s="67"/>
      <c r="I54" s="67"/>
    </row>
    <row r="55" spans="1:9" hidden="1">
      <c r="A55" t="s">
        <v>284</v>
      </c>
      <c r="B55" t="s">
        <v>285</v>
      </c>
      <c r="C55">
        <v>2620</v>
      </c>
      <c r="D55" s="90">
        <v>-7.4204946999999993E-2</v>
      </c>
      <c r="E55" s="67"/>
      <c r="F55" s="67"/>
      <c r="G55" s="67"/>
      <c r="H55" s="67"/>
      <c r="I55" s="67"/>
    </row>
    <row r="56" spans="1:9" hidden="1">
      <c r="A56" t="s">
        <v>354</v>
      </c>
      <c r="B56" t="s">
        <v>92</v>
      </c>
      <c r="C56">
        <v>4250</v>
      </c>
      <c r="D56" s="90">
        <v>-7.5081610399999998E-2</v>
      </c>
      <c r="E56" s="67"/>
      <c r="F56" s="67"/>
      <c r="G56" s="67"/>
      <c r="H56" s="67"/>
      <c r="I56" s="67"/>
    </row>
    <row r="57" spans="1:9">
      <c r="A57" t="s">
        <v>244</v>
      </c>
      <c r="B57" t="s">
        <v>181</v>
      </c>
      <c r="C57">
        <v>502</v>
      </c>
      <c r="D57" s="90">
        <v>-7.5506445699999994E-2</v>
      </c>
      <c r="E57" s="67"/>
      <c r="F57" s="67"/>
      <c r="G57" s="67"/>
      <c r="H57" s="67"/>
      <c r="I57" s="67"/>
    </row>
    <row r="58" spans="1:9" hidden="1">
      <c r="A58" t="s">
        <v>290</v>
      </c>
      <c r="B58" t="s">
        <v>291</v>
      </c>
      <c r="C58">
        <v>1585</v>
      </c>
      <c r="D58" s="90">
        <v>-7.5801749299999999E-2</v>
      </c>
      <c r="E58" s="67"/>
      <c r="F58" s="67"/>
      <c r="G58" s="67"/>
      <c r="H58" s="67"/>
      <c r="I58" s="67"/>
    </row>
    <row r="59" spans="1:9" hidden="1">
      <c r="A59" t="s">
        <v>255</v>
      </c>
      <c r="B59" t="s">
        <v>156</v>
      </c>
      <c r="C59">
        <v>2170</v>
      </c>
      <c r="D59" s="90">
        <v>-7.8556263299999998E-2</v>
      </c>
      <c r="E59" s="67"/>
      <c r="F59" s="67"/>
      <c r="G59" s="67"/>
      <c r="H59" s="67"/>
      <c r="I59" s="67"/>
    </row>
    <row r="60" spans="1:9" hidden="1">
      <c r="A60" t="s">
        <v>236</v>
      </c>
      <c r="B60" t="s">
        <v>137</v>
      </c>
      <c r="C60">
        <v>22.2</v>
      </c>
      <c r="D60" s="90">
        <v>-7.8838174299999994E-2</v>
      </c>
      <c r="E60" s="67"/>
      <c r="F60" s="67"/>
      <c r="G60" s="67"/>
      <c r="H60" s="67"/>
      <c r="I60" s="67"/>
    </row>
    <row r="61" spans="1:9" hidden="1">
      <c r="A61" t="s">
        <v>275</v>
      </c>
      <c r="B61" t="s">
        <v>230</v>
      </c>
      <c r="C61">
        <v>338850</v>
      </c>
      <c r="D61" s="90">
        <v>-7.9712113000000001E-2</v>
      </c>
      <c r="E61" s="67"/>
      <c r="F61" s="67"/>
      <c r="G61" s="67"/>
      <c r="H61" s="67"/>
      <c r="I61" s="67"/>
    </row>
    <row r="62" spans="1:9" hidden="1">
      <c r="A62" t="s">
        <v>341</v>
      </c>
      <c r="B62" t="s">
        <v>342</v>
      </c>
      <c r="C62">
        <v>46200</v>
      </c>
      <c r="D62" s="90">
        <v>-8.2605242300000006E-2</v>
      </c>
      <c r="E62" s="67"/>
      <c r="F62" s="67"/>
      <c r="G62" s="67"/>
      <c r="H62" s="67"/>
      <c r="I62" s="67"/>
    </row>
    <row r="63" spans="1:9" hidden="1">
      <c r="A63" t="s">
        <v>347</v>
      </c>
      <c r="B63" t="s">
        <v>100</v>
      </c>
      <c r="C63">
        <v>31.6</v>
      </c>
      <c r="D63" s="90">
        <v>-8.4057970999999995E-2</v>
      </c>
      <c r="E63" s="67"/>
      <c r="F63" s="67"/>
      <c r="G63" s="67"/>
      <c r="H63" s="67"/>
      <c r="I63" s="67"/>
    </row>
    <row r="64" spans="1:9" hidden="1">
      <c r="A64" t="s">
        <v>239</v>
      </c>
      <c r="B64" t="s">
        <v>240</v>
      </c>
      <c r="C64">
        <v>48280</v>
      </c>
      <c r="D64" s="90">
        <v>-8.5432847100000001E-2</v>
      </c>
      <c r="E64" s="67"/>
      <c r="F64" s="67"/>
      <c r="G64" s="67"/>
      <c r="H64" s="67"/>
      <c r="I64" s="67"/>
    </row>
    <row r="65" spans="1:9">
      <c r="A65" t="s">
        <v>266</v>
      </c>
      <c r="B65" t="s">
        <v>142</v>
      </c>
      <c r="C65">
        <v>203</v>
      </c>
      <c r="D65" s="90">
        <v>-8.55855856E-2</v>
      </c>
      <c r="E65" s="67"/>
      <c r="F65" s="67"/>
      <c r="G65" s="67"/>
      <c r="H65" s="67"/>
      <c r="I65" s="67"/>
    </row>
    <row r="66" spans="1:9">
      <c r="A66" t="s">
        <v>249</v>
      </c>
      <c r="B66" t="s">
        <v>174</v>
      </c>
      <c r="C66">
        <v>566</v>
      </c>
      <c r="D66" s="90">
        <v>-8.5621970899999997E-2</v>
      </c>
      <c r="E66" s="67"/>
      <c r="F66" s="67"/>
      <c r="G66" s="67"/>
      <c r="H66" s="67"/>
      <c r="I66" s="67"/>
    </row>
    <row r="67" spans="1:9" hidden="1">
      <c r="A67" t="s">
        <v>324</v>
      </c>
      <c r="B67" t="s">
        <v>131</v>
      </c>
      <c r="C67">
        <v>89.4</v>
      </c>
      <c r="D67" s="90">
        <v>-8.5889570600000006E-2</v>
      </c>
      <c r="E67" s="67"/>
      <c r="F67" s="67"/>
      <c r="G67" s="67"/>
      <c r="H67" s="67"/>
      <c r="I67" s="67"/>
    </row>
    <row r="68" spans="1:9" hidden="1">
      <c r="A68" t="s">
        <v>301</v>
      </c>
      <c r="B68" t="s">
        <v>302</v>
      </c>
      <c r="C68">
        <v>1540</v>
      </c>
      <c r="D68" s="90">
        <v>-8.6053412499999996E-2</v>
      </c>
      <c r="E68" s="67"/>
      <c r="F68" s="67"/>
      <c r="G68" s="67"/>
      <c r="H68" s="67"/>
      <c r="I68" s="67"/>
    </row>
    <row r="69" spans="1:9" hidden="1">
      <c r="A69" t="s">
        <v>264</v>
      </c>
      <c r="B69" t="s">
        <v>150</v>
      </c>
      <c r="C69">
        <v>81.7</v>
      </c>
      <c r="D69" s="90">
        <v>-8.6129753899999995E-2</v>
      </c>
      <c r="E69" s="67"/>
      <c r="F69" s="67"/>
      <c r="G69" s="67"/>
      <c r="H69" s="67"/>
      <c r="I69" s="67"/>
    </row>
    <row r="70" spans="1:9" hidden="1">
      <c r="A70" t="s">
        <v>260</v>
      </c>
      <c r="B70" t="s">
        <v>162</v>
      </c>
      <c r="C70">
        <v>3000</v>
      </c>
      <c r="D70" s="90">
        <v>-8.6757990899999998E-2</v>
      </c>
      <c r="E70" s="67"/>
      <c r="F70" s="67"/>
      <c r="G70" s="67"/>
      <c r="H70" s="67"/>
      <c r="I70" s="67"/>
    </row>
    <row r="71" spans="1:9">
      <c r="A71" t="s">
        <v>350</v>
      </c>
      <c r="B71" t="s">
        <v>96</v>
      </c>
      <c r="C71">
        <v>694</v>
      </c>
      <c r="D71" s="90">
        <v>-8.68421053E-2</v>
      </c>
      <c r="E71" s="67"/>
      <c r="F71" s="67"/>
      <c r="G71" s="67"/>
      <c r="H71" s="67"/>
      <c r="I71" s="67"/>
    </row>
    <row r="72" spans="1:9">
      <c r="A72" t="s">
        <v>254</v>
      </c>
      <c r="B72" t="s">
        <v>154</v>
      </c>
      <c r="C72">
        <v>248</v>
      </c>
      <c r="D72" s="90">
        <v>-8.82352941E-2</v>
      </c>
      <c r="E72" s="67"/>
      <c r="F72" s="67"/>
      <c r="G72" s="67"/>
      <c r="H72" s="67"/>
      <c r="I72" s="67"/>
    </row>
    <row r="73" spans="1:9" hidden="1">
      <c r="A73" t="s">
        <v>316</v>
      </c>
      <c r="B73" t="s">
        <v>140</v>
      </c>
      <c r="C73">
        <v>24.6</v>
      </c>
      <c r="D73" s="90">
        <v>-8.8888888900000004E-2</v>
      </c>
      <c r="E73" s="67"/>
      <c r="F73" s="67"/>
      <c r="G73" s="67"/>
      <c r="H73" s="67"/>
      <c r="I73" s="67"/>
    </row>
    <row r="74" spans="1:9" hidden="1">
      <c r="A74" t="s">
        <v>263</v>
      </c>
      <c r="B74" t="s">
        <v>155</v>
      </c>
      <c r="C74">
        <v>3715</v>
      </c>
      <c r="D74" s="90">
        <v>-8.9460784299999999E-2</v>
      </c>
      <c r="E74" s="67"/>
      <c r="F74" s="67"/>
      <c r="G74" s="67"/>
      <c r="H74" s="67"/>
      <c r="I74" s="67"/>
    </row>
    <row r="75" spans="1:9">
      <c r="A75" t="s">
        <v>283</v>
      </c>
      <c r="B75" t="s">
        <v>178</v>
      </c>
      <c r="C75">
        <v>648</v>
      </c>
      <c r="D75" s="90">
        <v>-9.1164095400000006E-2</v>
      </c>
      <c r="E75" s="67"/>
      <c r="F75" s="67"/>
      <c r="G75" s="67"/>
      <c r="H75" s="67"/>
      <c r="I75" s="67"/>
    </row>
    <row r="76" spans="1:9" hidden="1">
      <c r="A76" t="s">
        <v>267</v>
      </c>
      <c r="B76" t="s">
        <v>123</v>
      </c>
      <c r="C76">
        <v>6690</v>
      </c>
      <c r="D76" s="90">
        <v>-9.2881355900000004E-2</v>
      </c>
      <c r="E76" s="67"/>
      <c r="F76" s="67"/>
      <c r="G76" s="67"/>
      <c r="H76" s="67"/>
      <c r="I76" s="67"/>
    </row>
    <row r="77" spans="1:9" hidden="1">
      <c r="A77" t="s">
        <v>331</v>
      </c>
      <c r="B77" t="s">
        <v>332</v>
      </c>
      <c r="C77">
        <v>7600</v>
      </c>
      <c r="D77" s="90">
        <v>-9.3619558699999994E-2</v>
      </c>
      <c r="E77" s="67"/>
      <c r="F77" s="67"/>
      <c r="G77" s="67"/>
      <c r="H77" s="67"/>
      <c r="I77" s="67"/>
    </row>
    <row r="78" spans="1:9" hidden="1">
      <c r="A78" t="s">
        <v>317</v>
      </c>
      <c r="B78" t="s">
        <v>139</v>
      </c>
      <c r="C78">
        <v>27.1</v>
      </c>
      <c r="D78" s="90">
        <v>-9.3645484900000006E-2</v>
      </c>
      <c r="E78" s="67"/>
      <c r="F78" s="67"/>
      <c r="G78" s="67"/>
      <c r="H78" s="67"/>
      <c r="I78" s="67"/>
    </row>
    <row r="79" spans="1:9">
      <c r="A79" t="s">
        <v>157</v>
      </c>
      <c r="B79" t="s">
        <v>148</v>
      </c>
      <c r="C79">
        <v>579</v>
      </c>
      <c r="D79" s="90">
        <v>-9.3896713600000001E-2</v>
      </c>
      <c r="E79" s="67"/>
      <c r="F79" s="67"/>
      <c r="G79" s="67"/>
      <c r="H79" s="67"/>
      <c r="I79" s="67"/>
    </row>
    <row r="80" spans="1:9" hidden="1">
      <c r="A80" t="s">
        <v>265</v>
      </c>
      <c r="B80" t="s">
        <v>149</v>
      </c>
      <c r="C80">
        <v>44.3</v>
      </c>
      <c r="D80" s="90">
        <v>-9.4069529700000001E-2</v>
      </c>
      <c r="E80" s="67"/>
      <c r="F80" s="67"/>
      <c r="G80" s="67"/>
      <c r="H80" s="67"/>
      <c r="I80" s="67"/>
    </row>
    <row r="81" spans="1:9" hidden="1">
      <c r="A81" t="s">
        <v>258</v>
      </c>
      <c r="B81" t="s">
        <v>164</v>
      </c>
      <c r="C81">
        <v>26.6</v>
      </c>
      <c r="D81" s="90">
        <v>-9.5238095199999998E-2</v>
      </c>
      <c r="E81" s="67"/>
      <c r="F81" s="67"/>
      <c r="G81" s="67"/>
      <c r="H81" s="67"/>
      <c r="I81" s="67"/>
    </row>
    <row r="82" spans="1:9" hidden="1">
      <c r="A82" t="s">
        <v>305</v>
      </c>
      <c r="B82" t="s">
        <v>161</v>
      </c>
      <c r="C82">
        <v>22.7</v>
      </c>
      <c r="D82" s="90">
        <v>-9.5617529899999998E-2</v>
      </c>
      <c r="E82" s="67"/>
      <c r="F82" s="67"/>
      <c r="G82" s="67"/>
      <c r="H82" s="67"/>
      <c r="I82" s="67"/>
    </row>
    <row r="83" spans="1:9" hidden="1">
      <c r="A83" t="s">
        <v>279</v>
      </c>
      <c r="B83" t="s">
        <v>182</v>
      </c>
      <c r="C83">
        <v>16550</v>
      </c>
      <c r="D83" s="90">
        <v>-9.5628415300000005E-2</v>
      </c>
      <c r="E83" s="67"/>
      <c r="F83" s="67"/>
      <c r="G83" s="67"/>
      <c r="H83" s="67"/>
      <c r="I83" s="67"/>
    </row>
    <row r="84" spans="1:9" hidden="1">
      <c r="A84" t="s">
        <v>276</v>
      </c>
      <c r="B84" t="s">
        <v>212</v>
      </c>
      <c r="C84">
        <v>1710</v>
      </c>
      <c r="D84" s="90">
        <v>-9.7625329799999994E-2</v>
      </c>
      <c r="E84" s="67"/>
      <c r="F84" s="67"/>
      <c r="G84" s="67"/>
      <c r="H84" s="67"/>
      <c r="I84" s="67"/>
    </row>
    <row r="85" spans="1:9" hidden="1">
      <c r="A85" t="s">
        <v>294</v>
      </c>
      <c r="B85" t="s">
        <v>251</v>
      </c>
      <c r="C85">
        <v>2860</v>
      </c>
      <c r="D85" s="90">
        <v>-9.7791798099999994E-2</v>
      </c>
      <c r="E85" s="67"/>
      <c r="F85" s="67"/>
      <c r="G85" s="67"/>
      <c r="H85" s="67"/>
      <c r="I85" s="67"/>
    </row>
    <row r="86" spans="1:9">
      <c r="A86" t="s">
        <v>296</v>
      </c>
      <c r="B86" t="s">
        <v>170</v>
      </c>
      <c r="C86">
        <v>175</v>
      </c>
      <c r="D86" s="90">
        <v>-9.7938144300000002E-2</v>
      </c>
      <c r="E86" s="67"/>
      <c r="F86" s="67"/>
      <c r="G86" s="67"/>
      <c r="H86" s="67"/>
      <c r="I86" s="67"/>
    </row>
    <row r="87" spans="1:9">
      <c r="A87" t="s">
        <v>234</v>
      </c>
      <c r="B87" t="s">
        <v>163</v>
      </c>
      <c r="C87">
        <v>687</v>
      </c>
      <c r="D87" s="90">
        <v>-9.8425196899999998E-2</v>
      </c>
      <c r="E87" s="67"/>
      <c r="F87" s="67"/>
      <c r="G87" s="67"/>
      <c r="H87" s="67"/>
      <c r="I87" s="67"/>
    </row>
    <row r="88" spans="1:9" hidden="1">
      <c r="A88" t="s">
        <v>286</v>
      </c>
      <c r="B88" t="s">
        <v>287</v>
      </c>
      <c r="C88">
        <v>2465</v>
      </c>
      <c r="D88" s="90">
        <v>-0.1003649635</v>
      </c>
      <c r="E88" s="67"/>
      <c r="F88" s="67"/>
      <c r="G88" s="67"/>
      <c r="H88" s="67"/>
      <c r="I88" s="67"/>
    </row>
    <row r="89" spans="1:9">
      <c r="A89" t="s">
        <v>320</v>
      </c>
      <c r="B89" t="s">
        <v>133</v>
      </c>
      <c r="C89">
        <v>375</v>
      </c>
      <c r="D89" s="90">
        <v>-0.1007194245</v>
      </c>
      <c r="E89" s="67"/>
      <c r="F89" s="67"/>
      <c r="G89" s="67"/>
      <c r="H89" s="67"/>
      <c r="I89" s="67"/>
    </row>
    <row r="90" spans="1:9" hidden="1">
      <c r="A90" t="s">
        <v>300</v>
      </c>
      <c r="B90" t="s">
        <v>232</v>
      </c>
      <c r="C90">
        <v>1178000</v>
      </c>
      <c r="D90" s="90">
        <v>-0.10076335879999999</v>
      </c>
      <c r="E90" s="67"/>
      <c r="F90" s="67"/>
      <c r="G90" s="67"/>
      <c r="H90" s="67"/>
      <c r="I90" s="67"/>
    </row>
    <row r="91" spans="1:9" hidden="1">
      <c r="A91" t="s">
        <v>288</v>
      </c>
      <c r="B91" t="s">
        <v>289</v>
      </c>
      <c r="C91">
        <v>55010</v>
      </c>
      <c r="D91" s="90">
        <v>-0.10099689489999999</v>
      </c>
      <c r="E91" s="67"/>
      <c r="F91" s="67"/>
      <c r="G91" s="67"/>
      <c r="H91" s="67"/>
      <c r="I91" s="67"/>
    </row>
    <row r="92" spans="1:9" hidden="1">
      <c r="A92" t="s">
        <v>136</v>
      </c>
      <c r="B92" t="s">
        <v>135</v>
      </c>
      <c r="C92">
        <v>30.2</v>
      </c>
      <c r="D92" s="90">
        <v>-0.1011904762</v>
      </c>
      <c r="E92" s="67"/>
      <c r="F92" s="67"/>
      <c r="G92" s="67"/>
      <c r="H92" s="67"/>
      <c r="I92" s="67"/>
    </row>
    <row r="93" spans="1:9" hidden="1">
      <c r="A93" t="s">
        <v>235</v>
      </c>
      <c r="B93" t="s">
        <v>145</v>
      </c>
      <c r="C93">
        <v>3250</v>
      </c>
      <c r="D93" s="90">
        <v>-0.10220994479999999</v>
      </c>
      <c r="E93" s="67"/>
      <c r="F93" s="67"/>
      <c r="G93" s="67"/>
      <c r="H93" s="67"/>
      <c r="I93" s="67"/>
    </row>
    <row r="94" spans="1:9" hidden="1">
      <c r="A94" t="s">
        <v>106</v>
      </c>
      <c r="B94" t="s">
        <v>105</v>
      </c>
      <c r="C94">
        <v>55100</v>
      </c>
      <c r="D94" s="90">
        <v>-0.1040650407</v>
      </c>
      <c r="E94" s="67"/>
      <c r="F94" s="67"/>
      <c r="G94" s="67"/>
      <c r="H94" s="67"/>
      <c r="I94" s="67"/>
    </row>
    <row r="95" spans="1:9">
      <c r="A95" t="s">
        <v>326</v>
      </c>
      <c r="B95" t="s">
        <v>128</v>
      </c>
      <c r="C95">
        <v>663</v>
      </c>
      <c r="D95" s="90">
        <v>-0.1052631579</v>
      </c>
      <c r="E95" s="67"/>
      <c r="F95" s="67"/>
      <c r="G95" s="67"/>
      <c r="H95" s="67"/>
      <c r="I95" s="67"/>
    </row>
    <row r="96" spans="1:9" hidden="1">
      <c r="A96" t="s">
        <v>293</v>
      </c>
      <c r="B96" t="s">
        <v>171</v>
      </c>
      <c r="C96">
        <v>117250</v>
      </c>
      <c r="D96" s="90">
        <v>-0.1056445461</v>
      </c>
      <c r="E96" s="67"/>
      <c r="F96" s="67"/>
      <c r="G96" s="67"/>
      <c r="H96" s="67"/>
      <c r="I96" s="67"/>
    </row>
    <row r="97" spans="1:9" hidden="1">
      <c r="A97" t="s">
        <v>314</v>
      </c>
      <c r="B97" t="s">
        <v>315</v>
      </c>
      <c r="C97">
        <v>25810</v>
      </c>
      <c r="D97" s="90">
        <v>-0.10630193910000001</v>
      </c>
      <c r="E97" s="67"/>
      <c r="F97" s="67"/>
      <c r="G97" s="67"/>
      <c r="H97" s="67"/>
      <c r="I97" s="67"/>
    </row>
    <row r="98" spans="1:9">
      <c r="A98" t="s">
        <v>310</v>
      </c>
      <c r="B98" t="s">
        <v>146</v>
      </c>
      <c r="C98">
        <v>208</v>
      </c>
      <c r="D98" s="90">
        <v>-0.1072961373</v>
      </c>
      <c r="E98" s="67"/>
      <c r="F98" s="67"/>
      <c r="G98" s="67"/>
      <c r="H98" s="67"/>
      <c r="I98" s="67"/>
    </row>
    <row r="99" spans="1:9" hidden="1">
      <c r="A99" t="s">
        <v>252</v>
      </c>
      <c r="B99" t="s">
        <v>253</v>
      </c>
      <c r="C99">
        <v>2860</v>
      </c>
      <c r="D99" s="90">
        <v>-0.1104199067</v>
      </c>
      <c r="E99" s="67"/>
      <c r="F99" s="67"/>
      <c r="G99" s="67"/>
      <c r="H99" s="67"/>
      <c r="I99" s="67"/>
    </row>
    <row r="100" spans="1:9" hidden="1">
      <c r="A100" t="s">
        <v>327</v>
      </c>
      <c r="B100" t="s">
        <v>126</v>
      </c>
      <c r="C100">
        <v>67.400000000000006</v>
      </c>
      <c r="D100" s="90">
        <v>-0.110817942</v>
      </c>
      <c r="E100" s="67"/>
      <c r="F100" s="67"/>
      <c r="G100" s="67"/>
      <c r="H100" s="67"/>
      <c r="I100" s="67"/>
    </row>
    <row r="101" spans="1:9" hidden="1">
      <c r="A101" t="s">
        <v>217</v>
      </c>
      <c r="B101" t="s">
        <v>218</v>
      </c>
      <c r="C101">
        <v>45030</v>
      </c>
      <c r="D101" s="90">
        <v>-0.11148382</v>
      </c>
      <c r="E101" s="67"/>
      <c r="F101" s="67"/>
      <c r="G101" s="67"/>
      <c r="H101" s="67"/>
      <c r="I101" s="67"/>
    </row>
    <row r="102" spans="1:9" hidden="1">
      <c r="A102" t="s">
        <v>303</v>
      </c>
      <c r="B102" t="s">
        <v>304</v>
      </c>
      <c r="C102">
        <v>1610</v>
      </c>
      <c r="D102" s="90">
        <v>-0.1129476584</v>
      </c>
      <c r="E102" s="67"/>
      <c r="F102" s="67"/>
      <c r="G102" s="67"/>
      <c r="H102" s="67"/>
      <c r="I102" s="67"/>
    </row>
    <row r="103" spans="1:9">
      <c r="A103" t="s">
        <v>237</v>
      </c>
      <c r="B103" t="s">
        <v>129</v>
      </c>
      <c r="C103">
        <v>305</v>
      </c>
      <c r="D103" s="90">
        <v>-0.115942029</v>
      </c>
      <c r="E103" s="67"/>
      <c r="F103" s="67"/>
      <c r="G103" s="67"/>
      <c r="H103" s="67"/>
      <c r="I103" s="67"/>
    </row>
    <row r="104" spans="1:9" hidden="1">
      <c r="A104" t="s">
        <v>257</v>
      </c>
      <c r="B104" t="s">
        <v>152</v>
      </c>
      <c r="C104">
        <v>93.7</v>
      </c>
      <c r="D104" s="90">
        <v>-0.1160377358</v>
      </c>
      <c r="E104" s="67"/>
      <c r="F104" s="67"/>
      <c r="G104" s="67"/>
      <c r="H104" s="67"/>
      <c r="I104" s="67"/>
    </row>
    <row r="105" spans="1:9" hidden="1">
      <c r="A105" t="s">
        <v>307</v>
      </c>
      <c r="B105" t="s">
        <v>153</v>
      </c>
      <c r="C105">
        <v>398150</v>
      </c>
      <c r="D105" s="90">
        <v>-0.11981872440000001</v>
      </c>
      <c r="E105" s="67"/>
      <c r="F105" s="67"/>
      <c r="G105" s="67"/>
      <c r="H105" s="67"/>
      <c r="I105" s="67"/>
    </row>
    <row r="106" spans="1:9" hidden="1">
      <c r="A106" t="s">
        <v>308</v>
      </c>
      <c r="B106" t="s">
        <v>151</v>
      </c>
      <c r="C106">
        <v>13930</v>
      </c>
      <c r="D106" s="90">
        <v>-0.1200252685</v>
      </c>
      <c r="E106" s="67"/>
      <c r="F106" s="67"/>
      <c r="G106" s="67"/>
      <c r="H106" s="67"/>
      <c r="I106" s="67"/>
    </row>
    <row r="107" spans="1:9" hidden="1">
      <c r="A107" t="s">
        <v>337</v>
      </c>
      <c r="B107" t="s">
        <v>117</v>
      </c>
      <c r="C107">
        <v>4880</v>
      </c>
      <c r="D107" s="90">
        <v>-0.12072072070000001</v>
      </c>
      <c r="E107" s="67"/>
      <c r="F107" s="67"/>
      <c r="G107" s="67"/>
      <c r="H107" s="67"/>
      <c r="I107" s="67"/>
    </row>
    <row r="108" spans="1:9">
      <c r="A108" t="s">
        <v>278</v>
      </c>
      <c r="B108" t="s">
        <v>220</v>
      </c>
      <c r="C108">
        <v>250</v>
      </c>
      <c r="D108" s="90">
        <v>-0.1228070175</v>
      </c>
      <c r="E108" s="67"/>
      <c r="F108" s="67"/>
      <c r="G108" s="67"/>
      <c r="H108" s="67"/>
      <c r="I108" s="67"/>
    </row>
    <row r="109" spans="1:9" hidden="1">
      <c r="A109" t="s">
        <v>312</v>
      </c>
      <c r="B109" t="s">
        <v>143</v>
      </c>
      <c r="C109">
        <v>1590</v>
      </c>
      <c r="D109" s="90">
        <v>-0.12637362639999999</v>
      </c>
    </row>
    <row r="110" spans="1:9" hidden="1">
      <c r="A110" t="s">
        <v>295</v>
      </c>
      <c r="B110" t="s">
        <v>231</v>
      </c>
      <c r="C110">
        <v>8735</v>
      </c>
      <c r="D110" s="90">
        <v>-0.1265</v>
      </c>
    </row>
    <row r="111" spans="1:9" hidden="1">
      <c r="A111" t="s">
        <v>160</v>
      </c>
      <c r="B111" t="s">
        <v>159</v>
      </c>
      <c r="C111">
        <v>1510</v>
      </c>
      <c r="D111" s="90">
        <v>-0.1296829971</v>
      </c>
    </row>
    <row r="112" spans="1:9" hidden="1">
      <c r="A112" t="s">
        <v>261</v>
      </c>
      <c r="B112" t="s">
        <v>262</v>
      </c>
      <c r="C112">
        <v>23320</v>
      </c>
      <c r="D112" s="90">
        <v>-0.13244047619999999</v>
      </c>
    </row>
    <row r="113" spans="1:4">
      <c r="A113" t="s">
        <v>334</v>
      </c>
      <c r="B113" t="s">
        <v>120</v>
      </c>
      <c r="C113">
        <v>185</v>
      </c>
      <c r="D113" s="90">
        <v>-0.1395348837</v>
      </c>
    </row>
    <row r="114" spans="1:4" hidden="1">
      <c r="A114" t="s">
        <v>274</v>
      </c>
      <c r="B114" t="s">
        <v>215</v>
      </c>
      <c r="C114">
        <v>141600</v>
      </c>
      <c r="D114" s="90">
        <v>-0.14025500909999999</v>
      </c>
    </row>
    <row r="115" spans="1:4" hidden="1">
      <c r="A115" t="s">
        <v>330</v>
      </c>
      <c r="B115" t="s">
        <v>122</v>
      </c>
      <c r="C115">
        <v>24</v>
      </c>
      <c r="D115" s="90">
        <v>-0.14590747330000001</v>
      </c>
    </row>
    <row r="116" spans="1:4" hidden="1">
      <c r="A116" t="s">
        <v>297</v>
      </c>
      <c r="B116" t="s">
        <v>169</v>
      </c>
      <c r="C116">
        <v>56.7</v>
      </c>
      <c r="D116" s="90">
        <v>-0.14608433730000001</v>
      </c>
    </row>
    <row r="117" spans="1:4" hidden="1">
      <c r="A117" t="s">
        <v>259</v>
      </c>
      <c r="B117" t="s">
        <v>95</v>
      </c>
      <c r="C117">
        <v>34.5</v>
      </c>
      <c r="D117" s="90">
        <v>-0.1605839416</v>
      </c>
    </row>
    <row r="118" spans="1:4" hidden="1"/>
    <row r="119" spans="1:4" hidden="1"/>
    <row r="120" spans="1:4" hidden="1"/>
    <row r="121" spans="1:4" hidden="1"/>
    <row r="122" spans="1:4" hidden="1"/>
    <row r="123" spans="1:4" hidden="1"/>
    <row r="124" spans="1:4" hidden="1"/>
    <row r="125" spans="1:4" hidden="1"/>
    <row r="126" spans="1:4" hidden="1"/>
    <row r="127" spans="1:4" hidden="1"/>
    <row r="128" spans="1:4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</sheetData>
  <autoFilter ref="A1:D200" xr:uid="{14AEFAED-F8D0-499D-B306-448A9878D59D}">
    <filterColumn colId="2">
      <customFilters and="1">
        <customFilter operator="greaterThanOrEqual" val="100"/>
        <customFilter operator="lessThanOrEqual" val="1000"/>
      </customFilters>
    </filterColumn>
    <sortState xmlns:xlrd2="http://schemas.microsoft.com/office/spreadsheetml/2017/richdata2" ref="A2:D117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2021-04-19T16:28:31Z</dcterms:modified>
</cp:coreProperties>
</file>