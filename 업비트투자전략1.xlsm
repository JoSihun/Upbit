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BC9244F-96DA-4F44-80A6-F57C4C97F939}" xr6:coauthVersionLast="46" xr6:coauthVersionMax="46" xr10:uidLastSave="{00000000-0000-0000-0000-000000000000}"/>
  <bookViews>
    <workbookView xWindow="-120" yWindow="-120" windowWidth="29040" windowHeight="15840" firstSheet="5" activeTab="11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현재가테이블" sheetId="37" r:id="rId14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0" hidden="1">투자전략1!#REF!</definedName>
    <definedName name="_xlnm._FilterDatabase" localSheetId="13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7" l="1"/>
  <c r="N111" i="47"/>
  <c r="L111" i="47"/>
  <c r="K111" i="47"/>
  <c r="I111" i="47"/>
  <c r="H111" i="47"/>
  <c r="F111" i="47"/>
  <c r="E111" i="47"/>
  <c r="O110" i="47"/>
  <c r="N110" i="47"/>
  <c r="L110" i="47"/>
  <c r="K110" i="47"/>
  <c r="I110" i="47"/>
  <c r="H110" i="47"/>
  <c r="F110" i="47"/>
  <c r="E110" i="47"/>
  <c r="O109" i="47"/>
  <c r="N109" i="47"/>
  <c r="L109" i="47"/>
  <c r="K109" i="47"/>
  <c r="I109" i="47"/>
  <c r="H109" i="47"/>
  <c r="F109" i="47"/>
  <c r="E109" i="47"/>
  <c r="O108" i="47"/>
  <c r="N108" i="47"/>
  <c r="L108" i="47"/>
  <c r="K108" i="47"/>
  <c r="I108" i="47"/>
  <c r="H108" i="47"/>
  <c r="F108" i="47"/>
  <c r="E108" i="47"/>
  <c r="O107" i="47"/>
  <c r="N107" i="47"/>
  <c r="L107" i="47"/>
  <c r="K107" i="47"/>
  <c r="I107" i="47"/>
  <c r="H107" i="47"/>
  <c r="F107" i="47"/>
  <c r="E107" i="47"/>
  <c r="O106" i="47"/>
  <c r="N106" i="47"/>
  <c r="L106" i="47"/>
  <c r="K106" i="47"/>
  <c r="I106" i="47"/>
  <c r="H106" i="47"/>
  <c r="F106" i="47"/>
  <c r="E106" i="47"/>
  <c r="O105" i="47"/>
  <c r="N105" i="47"/>
  <c r="L105" i="47"/>
  <c r="K105" i="47"/>
  <c r="I105" i="47"/>
  <c r="H105" i="47"/>
  <c r="F105" i="47"/>
  <c r="E105" i="47"/>
  <c r="O104" i="47"/>
  <c r="N104" i="47"/>
  <c r="L104" i="47"/>
  <c r="K104" i="47"/>
  <c r="I104" i="47"/>
  <c r="H104" i="47"/>
  <c r="F104" i="47"/>
  <c r="E104" i="47"/>
  <c r="O103" i="47"/>
  <c r="N103" i="47"/>
  <c r="L103" i="47"/>
  <c r="K103" i="47"/>
  <c r="I103" i="47"/>
  <c r="H103" i="47"/>
  <c r="F103" i="47"/>
  <c r="E103" i="47"/>
  <c r="O102" i="47"/>
  <c r="O112" i="47" s="1"/>
  <c r="N102" i="47"/>
  <c r="N112" i="47" s="1"/>
  <c r="L102" i="47"/>
  <c r="L112" i="47" s="1"/>
  <c r="K102" i="47"/>
  <c r="K112" i="47" s="1"/>
  <c r="I102" i="47"/>
  <c r="I112" i="47" s="1"/>
  <c r="H102" i="47"/>
  <c r="H112" i="47" s="1"/>
  <c r="F102" i="47"/>
  <c r="F112" i="47" s="1"/>
  <c r="E102" i="47"/>
  <c r="E112" i="47" s="1"/>
  <c r="M99" i="47"/>
  <c r="G99" i="47"/>
  <c r="O94" i="47"/>
  <c r="N94" i="47"/>
  <c r="L94" i="47"/>
  <c r="K94" i="47"/>
  <c r="I94" i="47"/>
  <c r="H94" i="47"/>
  <c r="F94" i="47"/>
  <c r="E94" i="47"/>
  <c r="O93" i="47"/>
  <c r="N93" i="47"/>
  <c r="L93" i="47"/>
  <c r="K93" i="47"/>
  <c r="I93" i="47"/>
  <c r="H93" i="47"/>
  <c r="F93" i="47"/>
  <c r="E93" i="47"/>
  <c r="O92" i="47"/>
  <c r="N92" i="47"/>
  <c r="L92" i="47"/>
  <c r="K92" i="47"/>
  <c r="I92" i="47"/>
  <c r="H92" i="47"/>
  <c r="F92" i="47"/>
  <c r="E92" i="47"/>
  <c r="O91" i="47"/>
  <c r="N91" i="47"/>
  <c r="L91" i="47"/>
  <c r="K91" i="47"/>
  <c r="I91" i="47"/>
  <c r="H91" i="47"/>
  <c r="F91" i="47"/>
  <c r="E91" i="47"/>
  <c r="O90" i="47"/>
  <c r="N90" i="47"/>
  <c r="L90" i="47"/>
  <c r="K90" i="47"/>
  <c r="I90" i="47"/>
  <c r="H90" i="47"/>
  <c r="F90" i="47"/>
  <c r="E90" i="47"/>
  <c r="O89" i="47"/>
  <c r="N89" i="47"/>
  <c r="L89" i="47"/>
  <c r="K89" i="47"/>
  <c r="I89" i="47"/>
  <c r="H89" i="47"/>
  <c r="F89" i="47"/>
  <c r="E89" i="47"/>
  <c r="O88" i="47"/>
  <c r="N88" i="47"/>
  <c r="L88" i="47"/>
  <c r="K88" i="47"/>
  <c r="I88" i="47"/>
  <c r="H88" i="47"/>
  <c r="F88" i="47"/>
  <c r="E88" i="47"/>
  <c r="O87" i="47"/>
  <c r="N87" i="47"/>
  <c r="L87" i="47"/>
  <c r="K87" i="47"/>
  <c r="I87" i="47"/>
  <c r="H87" i="47"/>
  <c r="F87" i="47"/>
  <c r="E87" i="47"/>
  <c r="O86" i="47"/>
  <c r="N86" i="47"/>
  <c r="L86" i="47"/>
  <c r="K86" i="47"/>
  <c r="I86" i="47"/>
  <c r="H86" i="47"/>
  <c r="F86" i="47"/>
  <c r="E86" i="47"/>
  <c r="O85" i="47"/>
  <c r="O95" i="47" s="1"/>
  <c r="N85" i="47"/>
  <c r="L85" i="47"/>
  <c r="L95" i="47" s="1"/>
  <c r="K85" i="47"/>
  <c r="K95" i="47" s="1"/>
  <c r="I85" i="47"/>
  <c r="I95" i="47" s="1"/>
  <c r="H85" i="47"/>
  <c r="H95" i="47" s="1"/>
  <c r="F85" i="47"/>
  <c r="F95" i="47" s="1"/>
  <c r="E85" i="47"/>
  <c r="E95" i="47" s="1"/>
  <c r="M82" i="47"/>
  <c r="G82" i="47"/>
  <c r="O77" i="47"/>
  <c r="N77" i="47"/>
  <c r="L77" i="47"/>
  <c r="K77" i="47"/>
  <c r="I77" i="47"/>
  <c r="H77" i="47"/>
  <c r="F77" i="47"/>
  <c r="E77" i="47"/>
  <c r="O76" i="47"/>
  <c r="N76" i="47"/>
  <c r="L76" i="47"/>
  <c r="K76" i="47"/>
  <c r="I76" i="47"/>
  <c r="H76" i="47"/>
  <c r="F76" i="47"/>
  <c r="E76" i="47"/>
  <c r="O75" i="47"/>
  <c r="N75" i="47"/>
  <c r="L75" i="47"/>
  <c r="K75" i="47"/>
  <c r="I75" i="47"/>
  <c r="H75" i="47"/>
  <c r="F75" i="47"/>
  <c r="E75" i="47"/>
  <c r="O74" i="47"/>
  <c r="N74" i="47"/>
  <c r="L74" i="47"/>
  <c r="K74" i="47"/>
  <c r="I74" i="47"/>
  <c r="H74" i="47"/>
  <c r="F74" i="47"/>
  <c r="E74" i="47"/>
  <c r="O73" i="47"/>
  <c r="N73" i="47"/>
  <c r="L73" i="47"/>
  <c r="K73" i="47"/>
  <c r="I73" i="47"/>
  <c r="H73" i="47"/>
  <c r="F73" i="47"/>
  <c r="E73" i="47"/>
  <c r="O72" i="47"/>
  <c r="N72" i="47"/>
  <c r="L72" i="47"/>
  <c r="K72" i="47"/>
  <c r="I72" i="47"/>
  <c r="H72" i="47"/>
  <c r="F72" i="47"/>
  <c r="E72" i="47"/>
  <c r="O71" i="47"/>
  <c r="N71" i="47"/>
  <c r="L71" i="47"/>
  <c r="K71" i="47"/>
  <c r="I71" i="47"/>
  <c r="H71" i="47"/>
  <c r="F71" i="47"/>
  <c r="E71" i="47"/>
  <c r="O70" i="47"/>
  <c r="N70" i="47"/>
  <c r="L70" i="47"/>
  <c r="K70" i="47"/>
  <c r="I70" i="47"/>
  <c r="H70" i="47"/>
  <c r="F70" i="47"/>
  <c r="E70" i="47"/>
  <c r="O69" i="47"/>
  <c r="N69" i="47"/>
  <c r="L69" i="47"/>
  <c r="K69" i="47"/>
  <c r="I69" i="47"/>
  <c r="H69" i="47"/>
  <c r="F69" i="47"/>
  <c r="E69" i="47"/>
  <c r="O68" i="47"/>
  <c r="O78" i="47" s="1"/>
  <c r="N68" i="47"/>
  <c r="N78" i="47" s="1"/>
  <c r="L68" i="47"/>
  <c r="L78" i="47" s="1"/>
  <c r="K68" i="47"/>
  <c r="I68" i="47"/>
  <c r="I78" i="47" s="1"/>
  <c r="H68" i="47"/>
  <c r="H78" i="47" s="1"/>
  <c r="F68" i="47"/>
  <c r="F78" i="47" s="1"/>
  <c r="E68" i="47"/>
  <c r="E78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O61" i="47" s="1"/>
  <c r="N51" i="47"/>
  <c r="N61" i="47" s="1"/>
  <c r="L51" i="47"/>
  <c r="L61" i="47" s="1"/>
  <c r="K51" i="47"/>
  <c r="K61" i="47" s="1"/>
  <c r="I51" i="47"/>
  <c r="I61" i="47" s="1"/>
  <c r="H51" i="47"/>
  <c r="H61" i="47" s="1"/>
  <c r="F51" i="47"/>
  <c r="F61" i="47" s="1"/>
  <c r="E51" i="47"/>
  <c r="E61" i="47" s="1"/>
  <c r="M48" i="47"/>
  <c r="G48" i="47"/>
  <c r="O43" i="47"/>
  <c r="N43" i="47"/>
  <c r="L43" i="47"/>
  <c r="K43" i="47"/>
  <c r="I43" i="47"/>
  <c r="H43" i="47"/>
  <c r="F43" i="47"/>
  <c r="E43" i="47"/>
  <c r="O42" i="47"/>
  <c r="N42" i="47"/>
  <c r="L42" i="47"/>
  <c r="K42" i="47"/>
  <c r="I42" i="47"/>
  <c r="H42" i="47"/>
  <c r="F42" i="47"/>
  <c r="E42" i="47"/>
  <c r="O41" i="47"/>
  <c r="N41" i="47"/>
  <c r="L41" i="47"/>
  <c r="K41" i="47"/>
  <c r="I41" i="47"/>
  <c r="H41" i="47"/>
  <c r="F41" i="47"/>
  <c r="E41" i="47"/>
  <c r="O40" i="47"/>
  <c r="N40" i="47"/>
  <c r="L40" i="47"/>
  <c r="K40" i="47"/>
  <c r="I40" i="47"/>
  <c r="H40" i="47"/>
  <c r="F40" i="47"/>
  <c r="E40" i="47"/>
  <c r="O39" i="47"/>
  <c r="N39" i="47"/>
  <c r="L39" i="47"/>
  <c r="K39" i="47"/>
  <c r="I39" i="47"/>
  <c r="H39" i="47"/>
  <c r="F39" i="47"/>
  <c r="E39" i="47"/>
  <c r="O38" i="47"/>
  <c r="N38" i="47"/>
  <c r="L38" i="47"/>
  <c r="K38" i="47"/>
  <c r="I38" i="47"/>
  <c r="H38" i="47"/>
  <c r="F38" i="47"/>
  <c r="E38" i="47"/>
  <c r="O37" i="47"/>
  <c r="N37" i="47"/>
  <c r="L37" i="47"/>
  <c r="K37" i="47"/>
  <c r="I37" i="47"/>
  <c r="H37" i="47"/>
  <c r="F37" i="47"/>
  <c r="E37" i="47"/>
  <c r="O36" i="47"/>
  <c r="N36" i="47"/>
  <c r="L36" i="47"/>
  <c r="K36" i="47"/>
  <c r="I36" i="47"/>
  <c r="H36" i="47"/>
  <c r="F36" i="47"/>
  <c r="E36" i="47"/>
  <c r="O35" i="47"/>
  <c r="N35" i="47"/>
  <c r="L35" i="47"/>
  <c r="K35" i="47"/>
  <c r="I35" i="47"/>
  <c r="H35" i="47"/>
  <c r="F35" i="47"/>
  <c r="E35" i="47"/>
  <c r="O34" i="47"/>
  <c r="O44" i="47" s="1"/>
  <c r="N34" i="47"/>
  <c r="N44" i="47" s="1"/>
  <c r="L34" i="47"/>
  <c r="L44" i="47" s="1"/>
  <c r="K34" i="47"/>
  <c r="K44" i="47" s="1"/>
  <c r="I34" i="47"/>
  <c r="I44" i="47" s="1"/>
  <c r="H34" i="47"/>
  <c r="H44" i="47" s="1"/>
  <c r="F34" i="47"/>
  <c r="F44" i="47" s="1"/>
  <c r="E34" i="47"/>
  <c r="E44" i="47" s="1"/>
  <c r="M31" i="47"/>
  <c r="G31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95" i="47" l="1"/>
  <c r="G9" i="47" s="1"/>
  <c r="K78" i="47"/>
  <c r="N43" i="45"/>
  <c r="O43" i="45" s="1"/>
  <c r="N56" i="45"/>
  <c r="O56" i="45" s="1"/>
  <c r="N74" i="45"/>
  <c r="O74" i="45" s="1"/>
  <c r="N77" i="45"/>
  <c r="O77" i="45"/>
  <c r="N94" i="45"/>
  <c r="O94" i="45" s="1"/>
  <c r="N87" i="45"/>
  <c r="O87" i="45" s="1"/>
  <c r="N111" i="45"/>
  <c r="O111" i="45"/>
  <c r="N108" i="45"/>
  <c r="O108" i="45" s="1"/>
  <c r="H27" i="47"/>
  <c r="L27" i="47"/>
  <c r="E27" i="47"/>
  <c r="I27" i="47"/>
  <c r="F27" i="47"/>
  <c r="K27" i="47"/>
  <c r="O27" i="47"/>
  <c r="N27" i="47"/>
  <c r="G5" i="47"/>
  <c r="G3" i="47"/>
  <c r="G7" i="47"/>
  <c r="G11" i="47"/>
  <c r="N23" i="21"/>
  <c r="N17" i="21"/>
  <c r="H21" i="22"/>
  <c r="O95" i="21"/>
  <c r="I78" i="21"/>
  <c r="K111" i="45"/>
  <c r="L111" i="45" s="1"/>
  <c r="K94" i="45"/>
  <c r="L94" i="45"/>
  <c r="K77" i="45"/>
  <c r="L77" i="45" s="1"/>
  <c r="K75" i="45"/>
  <c r="L75" i="45" s="1"/>
  <c r="K56" i="45"/>
  <c r="L56" i="45" s="1"/>
  <c r="L53" i="45"/>
  <c r="K53" i="45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F74" i="45"/>
  <c r="E74" i="45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37" i="45" l="1"/>
  <c r="O37" i="45"/>
  <c r="N39" i="45"/>
  <c r="O39" i="45" s="1"/>
  <c r="N34" i="45"/>
  <c r="O34" i="45" s="1"/>
  <c r="M17" i="45"/>
  <c r="N36" i="45"/>
  <c r="O36" i="45" s="1"/>
  <c r="O38" i="45"/>
  <c r="N38" i="45"/>
  <c r="M22" i="45"/>
  <c r="N35" i="45"/>
  <c r="N22" i="45" s="1"/>
  <c r="O35" i="45"/>
  <c r="O22" i="45" s="1"/>
  <c r="N40" i="45"/>
  <c r="O40" i="45" s="1"/>
  <c r="N42" i="45"/>
  <c r="O42" i="45" s="1"/>
  <c r="N41" i="45"/>
  <c r="O41" i="45"/>
  <c r="N52" i="45"/>
  <c r="O52" i="45" s="1"/>
  <c r="N54" i="45"/>
  <c r="O54" i="45" s="1"/>
  <c r="N53" i="45"/>
  <c r="O53" i="45"/>
  <c r="N55" i="45"/>
  <c r="O55" i="45"/>
  <c r="N51" i="45"/>
  <c r="O51" i="45" s="1"/>
  <c r="N73" i="45"/>
  <c r="O73" i="45" s="1"/>
  <c r="N68" i="45"/>
  <c r="O68" i="45" s="1"/>
  <c r="M18" i="45"/>
  <c r="N69" i="45"/>
  <c r="O69" i="45" s="1"/>
  <c r="O75" i="45"/>
  <c r="N75" i="45"/>
  <c r="N76" i="45"/>
  <c r="O76" i="45" s="1"/>
  <c r="N71" i="45"/>
  <c r="O71" i="45" s="1"/>
  <c r="N72" i="45"/>
  <c r="O72" i="45" s="1"/>
  <c r="O70" i="45"/>
  <c r="O19" i="45" s="1"/>
  <c r="N70" i="45"/>
  <c r="N19" i="45" s="1"/>
  <c r="M19" i="45"/>
  <c r="N89" i="45"/>
  <c r="N24" i="45" s="1"/>
  <c r="O89" i="45"/>
  <c r="O24" i="45" s="1"/>
  <c r="M24" i="45"/>
  <c r="O90" i="45"/>
  <c r="O25" i="45" s="1"/>
  <c r="N90" i="45"/>
  <c r="N25" i="45" s="1"/>
  <c r="M25" i="45"/>
  <c r="N86" i="45"/>
  <c r="O86" i="45" s="1"/>
  <c r="N92" i="45"/>
  <c r="O92" i="45" s="1"/>
  <c r="N85" i="45"/>
  <c r="O85" i="45"/>
  <c r="N93" i="45"/>
  <c r="O93" i="45"/>
  <c r="N88" i="45"/>
  <c r="N23" i="45" s="1"/>
  <c r="M23" i="45"/>
  <c r="M26" i="45"/>
  <c r="N91" i="45"/>
  <c r="N26" i="45" s="1"/>
  <c r="O91" i="45"/>
  <c r="O26" i="45" s="1"/>
  <c r="M20" i="45"/>
  <c r="N106" i="45"/>
  <c r="N20" i="45" s="1"/>
  <c r="N107" i="45"/>
  <c r="N21" i="45" s="1"/>
  <c r="M21" i="45"/>
  <c r="O107" i="45"/>
  <c r="O21" i="45" s="1"/>
  <c r="O102" i="45"/>
  <c r="N102" i="45"/>
  <c r="N105" i="45"/>
  <c r="O105" i="45"/>
  <c r="N109" i="45"/>
  <c r="O109" i="45" s="1"/>
  <c r="N103" i="45"/>
  <c r="O103" i="45"/>
  <c r="O110" i="45"/>
  <c r="N110" i="45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L88" i="45"/>
  <c r="L23" i="45" s="1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L35" i="45"/>
  <c r="L22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I107" i="45"/>
  <c r="I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I92" i="45"/>
  <c r="H92" i="45"/>
  <c r="H93" i="45"/>
  <c r="I93" i="45"/>
  <c r="I88" i="45"/>
  <c r="I2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I35" i="45"/>
  <c r="I22" i="45" s="1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I36" i="45"/>
  <c r="H36" i="45"/>
  <c r="E107" i="45"/>
  <c r="E21" i="45" s="1"/>
  <c r="D21" i="45"/>
  <c r="F102" i="45"/>
  <c r="E102" i="45"/>
  <c r="E104" i="45"/>
  <c r="F104" i="45" s="1"/>
  <c r="D20" i="45"/>
  <c r="E106" i="45"/>
  <c r="E20" i="45" s="1"/>
  <c r="F103" i="45"/>
  <c r="E103" i="45"/>
  <c r="E109" i="45"/>
  <c r="F109" i="45" s="1"/>
  <c r="F108" i="45"/>
  <c r="E108" i="45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F91" i="45"/>
  <c r="F26" i="45" s="1"/>
  <c r="E91" i="45"/>
  <c r="E26" i="45" s="1"/>
  <c r="F87" i="45"/>
  <c r="E87" i="45"/>
  <c r="E69" i="45"/>
  <c r="F69" i="45" s="1"/>
  <c r="E75" i="45"/>
  <c r="F75" i="45" s="1"/>
  <c r="E76" i="45"/>
  <c r="F76" i="45" s="1"/>
  <c r="F70" i="45"/>
  <c r="F19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/>
  <c r="N105" i="44"/>
  <c r="O105" i="44" s="1"/>
  <c r="N110" i="44"/>
  <c r="O110" i="44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O39" i="44"/>
  <c r="N39" i="44"/>
  <c r="N34" i="44"/>
  <c r="O34" i="44" s="1"/>
  <c r="O35" i="44"/>
  <c r="N35" i="44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L76" i="44"/>
  <c r="K76" i="44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/>
  <c r="H68" i="44"/>
  <c r="I68" i="44" s="1"/>
  <c r="G25" i="44"/>
  <c r="H69" i="44"/>
  <c r="I69" i="44" s="1"/>
  <c r="H75" i="44"/>
  <c r="I75" i="44" s="1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44" i="45" l="1"/>
  <c r="N17" i="45"/>
  <c r="O44" i="45"/>
  <c r="O17" i="45"/>
  <c r="N61" i="45"/>
  <c r="O61" i="45"/>
  <c r="O18" i="45"/>
  <c r="O78" i="45"/>
  <c r="N18" i="45"/>
  <c r="N27" i="45" s="1"/>
  <c r="N78" i="45"/>
  <c r="O88" i="45"/>
  <c r="O23" i="45" s="1"/>
  <c r="N95" i="45"/>
  <c r="O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I112" i="45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F112" i="45"/>
  <c r="E112" i="45"/>
  <c r="F88" i="45"/>
  <c r="F23" i="45" s="1"/>
  <c r="F89" i="45"/>
  <c r="F24" i="45" s="1"/>
  <c r="E95" i="45"/>
  <c r="E78" i="45"/>
  <c r="E18" i="45"/>
  <c r="F7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O19" i="44"/>
  <c r="O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F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45" l="1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F95" i="45"/>
  <c r="K27" i="45"/>
  <c r="G9" i="45"/>
  <c r="L27" i="45"/>
  <c r="H27" i="45"/>
  <c r="I27" i="45"/>
  <c r="G3" i="45"/>
  <c r="F27" i="45"/>
  <c r="E27" i="45"/>
  <c r="N27" i="44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G11" i="44"/>
  <c r="O112" i="43"/>
  <c r="G11" i="43" s="1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<sst xmlns="http://schemas.openxmlformats.org/spreadsheetml/2006/main" count="3774" uniqueCount="358">
  <si>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</si>
  <si>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</si>
  <si>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</si>
  <si>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</si>
  <si>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</si>
  <si>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</si>
  <si>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</si>
  <si>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</si>
  <si>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</si>
  <si>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</si>
  <si>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</si>
  <si>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</si>
  <si>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</si>
  <si>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</si>
  <si>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</si>
  <si>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</si>
  <si>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</si>
  <si>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</si>
  <si>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</si>
  <si>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</si>
  <si>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</si>
  <si>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</si>
  <si>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</si>
  <si>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</si>
  <si>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</si>
  <si>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</si>
  <si>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</si>
  <si>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</si>
  <si>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</si>
  <si>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</si>
  <si>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</si>
  <si>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</si>
  <si>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</si>
  <si>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</si>
  <si>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</si>
  <si>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</si>
  <si>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</si>
  <si>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</si>
  <si>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</si>
  <si>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</si>
  <si>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</si>
  <si>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</si>
  <si>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</si>
  <si>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</si>
  <si>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</si>
  <si>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</si>
  <si>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</si>
  <si>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</si>
  <si>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</si>
  <si>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</si>
  <si>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</si>
  <si>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</si>
  <si>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</si>
  <si>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</si>
  <si>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</si>
  <si>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</si>
  <si>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</si>
  <si>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</si>
  <si>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</si>
  <si>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</si>
  <si>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</si>
  <si>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</si>
  <si>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</si>
  <si>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</si>
  <si>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</si>
  <si>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</si>
  <si>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</si>
  <si>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</si>
  <si>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</si>
  <si>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</si>
  <si>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</si>
  <si>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</si>
  <si>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</si>
  <si>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</si>
  <si>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</si>
  <si>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</si>
  <si>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</si>
  <si>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</si>
  <si>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</si>
  <si>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</si>
  <si>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</si>
  <si>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</si>
  <si>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</si>
  <si>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</si>
  <si>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</si>
  <si>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</si>
  <si>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</si>
  <si>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</si>
  <si>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</si>
  <si>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</si>
  <si>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</si>
  <si>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</si>
  <si>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</si>
  <si>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</si>
  <si>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</si>
  <si>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</si>
  <si>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</si>
  <si>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</si>
  <si>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</si>
  <si>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</si>
  <si>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</si>
  <si>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</si>
  <si>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</si>
  <si>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</si>
  <si>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</si>
  <si>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</si>
  <si>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</si>
  <si>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</si>
  <si>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</si>
  <si>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</si>
  <si>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</si>
  <si>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</si>
  <si>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</si>
  <si>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</si>
  <si>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</si>
  <si>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</si>
  <si>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</si>
  <si>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</si>
  <si>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</si>
  <si>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</si>
  <si>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</si>
  <si>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</si>
  <si>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</si>
  <si>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</si>
  <si>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</si>
  <si>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</si>
  <si>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</si>
  <si>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</si>
  <si>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</si>
  <si>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</si>
  <si>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</si>
  <si>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</si>
  <si>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</si>
  <si>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</si>
  <si>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</si>
  <si>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</si>
  <si>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</si>
  <si>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</si>
  <si>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</si>
  <si>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</si>
  <si>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</si>
  <si>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</si>
  <si>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</si>
  <si>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</si>
  <si>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</si>
  <si>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</si>
  <si>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</si>
  <si>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</si>
  <si>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</si>
  <si>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</si>
  <si>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</si>
  <si>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</si>
  <si>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</si>
  <si>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</si>
  <si>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</si>
  <si>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</si>
  <si>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</si>
  <si>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</si>
  <si>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</si>
  <si>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</si>
  <si>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</si>
  <si>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</si>
  <si>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</si>
  <si>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</si>
  <si>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</si>
  <si>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</si>
  <si>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</si>
  <si>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</si>
  <si>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</si>
  <si>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</si>
  <si>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</si>
  <si>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</si>
  <si>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</si>
  <si>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</si>
  <si>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</si>
  <si>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</si>
  <si>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</si>
  <si>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</si>
  <si>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</si>
  <si>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</si>
  <si>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</si>
  <si>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</si>
  <si>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</si>
  <si>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</si>
  <si>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</si>
  <si>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</si>
  <si>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</si>
  <si>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</si>
  <si>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</si>
  <si>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</si>
  <si>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</si>
  <si>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</si>
  <si>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</si>
  <si>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</si>
  <si>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</si>
  <si>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</si>
  <si>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</si>
  <si>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</si>
  <si>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</si>
  <si>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</si>
  <si>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</si>
  <si>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</si>
  <si>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</si>
  <si>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</si>
  <si>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</si>
  <si>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</si>
  <si>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</si>
  <si>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</si>
  <si>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</si>
  <si>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</si>
  <si>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</si>
  <si>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</si>
  <si>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</si>
  <si>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</si>
  <si>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</si>
  <si>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</si>
  <si>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</si>
  <si>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</si>
  <si>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</si>
  <si>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</si>
  <si>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</si>
  <si>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</si>
  <si>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</si>
  <si>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</si>
  <si>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</si>
  <si>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</si>
  <si>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</si>
  <si>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</si>
  <si>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</si>
  <si>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</si>
  <si>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</si>
  <si>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</si>
  <si>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</si>
  <si>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</si>
  <si>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</si>
  <si>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</si>
  <si>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</si>
  <si>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</si>
  <si>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</si>
  <si>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</si>
  <si>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</si>
  <si>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</si>
  <si>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</si>
  <si>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</si>
  <si>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</si>
  <si>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</si>
  <si>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</si>
  <si>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</si>
  <si>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</si>
  <si>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</si>
  <si>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</si>
  <si>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</si>
  <si>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</si>
  <si>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</si>
  <si>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</si>
  <si>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</si>
  <si>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</si>
  <si>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</si>
  <si>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</si>
  <si>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</si>
  <si>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</si>
  <si>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</si>
  <si>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</si>
  <si>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</si>
  <si>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</si>
  <si>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</si>
  <si>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</si>
  <si>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</si>
  <si>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</si>
  <si>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</si>
  <si>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</si>
  <si>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</si>
  <si>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</si>
  <si>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</si>
  <si>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</si>
  <si>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</si>
  <si>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</si>
  <si>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</si>
  <si>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</si>
  <si>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</si>
  <si>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</si>
  <si>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</si>
  <si>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</si>
  <si>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</si>
  <si>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</si>
  <si>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</si>
  <si>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</si>
  <si>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</si>
  <si>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</si>
  <si>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</si>
  <si>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</si>
  <si>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</si>
  <si>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</si>
  <si>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</si>
  <si>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</si>
  <si>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</si>
  <si>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</si>
  <si>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</si>
  <si>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</si>
  <si>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</si>
  <si>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</si>
  <si>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</si>
  <si>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</si>
  <si>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</si>
  <si>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</si>
  <si>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</si>
  <si>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</si>
  <si>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</si>
  <si>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</si>
  <si>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</si>
  <si>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</si>
  <si>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</si>
  <si>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</si>
  <si>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</si>
  <si>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</si>
  <si>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</si>
  <si>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</si>
  <si>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</si>
  <si>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</si>
  <si>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</si>
  <si>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</si>
  <si>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</si>
  <si>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</si>
  <si>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</si>
  <si>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</si>
  <si>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</si>
  <si>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</si>
  <si>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</si>
  <si>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</si>
  <si>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</si>
  <si>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</si>
  <si>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</si>
  <si>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</si>
  <si>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</si>
  <si>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</si>
  <si>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</si>
  <si>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</si>
  <si>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</si>
  <si>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</si>
  <si>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</si>
  <si>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</si>
  <si>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</si>
  <si>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</si>
  <si>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</si>
  <si>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</si>
  <si>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</si>
  <si>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</si>
  <si>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</si>
  <si>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</si>
  <si>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</si>
  <si>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</si>
  <si>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</si>
  <si>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</si>
  <si>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</si>
  <si>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</si>
  <si>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</si>
  <si>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오전 00:03</t>
    <phoneticPr fontId="1" type="noConversion"/>
  </si>
  <si>
    <t>헤데라해시그래프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</si>
</sst>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1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DB5D4A46-4B35-4AE8-B190-1B4E06377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7BFB52C5-227F-47BA-B858-97EDFE671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ECB50EC6-774C-45DD-AD19-AFB645FCC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2C4DC421-E296-43A5-8400-4AC1244EE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9DBB8195-6261-4E96-8B43-BA95B8354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5CD52ACF-D7DF-4E4B-8D59-FA1C16B77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8083D46B-D76C-44E9-AB72-2BDB2E709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AD984746-C6A8-41D4-B1A9-7D08A51A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A4AE89D2-82CF-4BF4-BB2E-C56AC4685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B732B810-68D2-4DB3-AC97-919081B9E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53E891D6-8BEC-40F5-936C-5C1D7D219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7D8291DD-735E-469B-A7E9-0C4B84AC1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3D8F6A6-C926-4509-AFD7-4811EF737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B6DBDCE8-F573-4897-B293-6F3FAA8AD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B08ADBE6-1E3C-47A7-A4A2-583751A4E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3084F9F4-0358-4FB8-AC36-0059A643D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C4E48687-4389-41A9-8E50-B19F87A16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F4721E46-83B2-4A5B-9C54-CD078F4C1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261374D8-749B-440B-8341-7FC5A3F5D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7872D89D-37E1-4789-B075-8A8671339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D29E7D6E-D6AC-42BF-A05A-1F4DE705D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2F50B6D7-9715-403E-B171-BA842D0E9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2C90871-1906-42AF-BA6F-3CAD5B28A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3E9C3085-5A53-480C-9248-1B5F92753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E4D6E962-8E3E-4497-8A0E-D7DB007E3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711A5AE6-B844-49AD-B13E-DDEA188E4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6D5653E0-934B-4BC3-81A0-536DBEE76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5B6B3FA7-83A5-4B1D-B692-3CE17A9C3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5EB04479-3D84-4EEF-8B8D-8B285AA33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E0E57913-266F-4326-84BF-5C779A9C6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A693E118-E8D6-446C-8B2A-EBE271878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C259865C-43E2-4713-BA42-ECA141AAE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CC4E4941-FE40-4314-A44E-FF3B724B2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6F5E4201-84BB-4510-85E8-00517CB3E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E76C075F-27F9-40E3-A7F7-FB3D79103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B6B8C41C-5429-4F16-8554-0C4382A8F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44287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 t="s">
        <v>355</v>
      </c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81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7"/>
      <c r="R16" s="158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5"/>
      <c r="R17" s="15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5"/>
      <c r="R18" s="15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5"/>
      <c r="R19" s="15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5"/>
      <c r="R20" s="15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5"/>
      <c r="R21" s="15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5"/>
      <c r="R22" s="15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5"/>
      <c r="R23" s="15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1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2"/>
      <c r="R33" s="183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80"/>
      <c r="R34" s="18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0"/>
      <c r="R35" s="18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1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2"/>
      <c r="R50" s="18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1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2"/>
      <c r="R67" s="18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0"/>
      <c r="R68" s="18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0"/>
      <c r="R69" s="18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0"/>
      <c r="R70" s="18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1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2"/>
      <c r="R84" s="18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0"/>
      <c r="R86" s="18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1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2"/>
      <c r="R101" s="183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80"/>
      <c r="R102" s="181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0"/>
      <c r="R103" s="181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0"/>
      <c r="R104" s="181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0"/>
      <c r="R105" s="181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0"/>
      <c r="R106" s="181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0"/>
      <c r="R107" s="181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0"/>
      <c r="R108" s="181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0"/>
      <c r="R109" s="181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2"/>
      <c r="R110" s="183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4"/>
      <c r="R112" s="18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1" priority="89">
      <formula>$E$27&gt;0</formula>
    </cfRule>
    <cfRule type="expression" dxfId="1320" priority="90">
      <formula>$E$27&lt;0</formula>
    </cfRule>
  </conditionalFormatting>
  <conditionalFormatting sqref="G15:I16 H27:I27">
    <cfRule type="expression" dxfId="1319" priority="87">
      <formula>$H$27&gt;0</formula>
    </cfRule>
    <cfRule type="expression" dxfId="1318" priority="88">
      <formula>$H$27&lt;0</formula>
    </cfRule>
  </conditionalFormatting>
  <conditionalFormatting sqref="J15:L16 K27:L27">
    <cfRule type="expression" dxfId="1317" priority="85">
      <formula>$K$27&gt;0</formula>
    </cfRule>
    <cfRule type="expression" dxfId="1316" priority="86">
      <formula>$K$27&lt;0</formula>
    </cfRule>
  </conditionalFormatting>
  <conditionalFormatting sqref="M15:O16 N27:O27">
    <cfRule type="expression" dxfId="1315" priority="83">
      <formula>$N$27&gt;0</formula>
    </cfRule>
    <cfRule type="expression" dxfId="1314" priority="84">
      <formula>$N$27&lt;0</formula>
    </cfRule>
  </conditionalFormatting>
  <conditionalFormatting sqref="A17:O26 A34:O43">
    <cfRule type="expression" dxfId="1313" priority="91">
      <formula>AND($N17 &gt; 0, ISNUMBER($N17))</formula>
    </cfRule>
    <cfRule type="expression" dxfId="1312" priority="92">
      <formula>AND($N17 &lt; 0, ISNUMBER($N17))</formula>
    </cfRule>
    <cfRule type="expression" dxfId="1311" priority="93">
      <formula>AND($K17 &gt; 0, ISNUMBER($K17))</formula>
    </cfRule>
    <cfRule type="expression" dxfId="1310" priority="94">
      <formula>AND($K17 &lt; 0, ISNUMBER($K17))</formula>
    </cfRule>
    <cfRule type="expression" dxfId="1309" priority="95">
      <formula>AND($H17 &gt; 0, ISNUMBER($H17))</formula>
    </cfRule>
    <cfRule type="expression" dxfId="1308" priority="96">
      <formula>AND($H17 &lt; 0, ISNUMBER($H17))</formula>
    </cfRule>
    <cfRule type="expression" dxfId="1307" priority="97">
      <formula>AND($E17 &gt; 0, ISNUMBER($E17))</formula>
    </cfRule>
    <cfRule type="expression" dxfId="1306" priority="98">
      <formula>AND($E17 &lt; 0, ISNUMBER($E17))</formula>
    </cfRule>
  </conditionalFormatting>
  <conditionalFormatting sqref="D32:F33 E44:F44">
    <cfRule type="expression" dxfId="1305" priority="81">
      <formula>$E$44&gt;0</formula>
    </cfRule>
    <cfRule type="expression" dxfId="1304" priority="82">
      <formula>$E$44&lt;0</formula>
    </cfRule>
  </conditionalFormatting>
  <conditionalFormatting sqref="G32:I33 H44:I44">
    <cfRule type="expression" dxfId="1303" priority="79">
      <formula>$H$44&gt;0</formula>
    </cfRule>
    <cfRule type="expression" dxfId="1302" priority="80">
      <formula>$H$44&lt;0</formula>
    </cfRule>
  </conditionalFormatting>
  <conditionalFormatting sqref="J32:L33 K44:L44">
    <cfRule type="expression" dxfId="1301" priority="77">
      <formula>$K$44&gt;0</formula>
    </cfRule>
    <cfRule type="expression" dxfId="1300" priority="78">
      <formula>$K$44&lt;0</formula>
    </cfRule>
  </conditionalFormatting>
  <conditionalFormatting sqref="M32:O33 N44:O44">
    <cfRule type="expression" dxfId="1299" priority="75">
      <formula>$N$44&gt;0</formula>
    </cfRule>
    <cfRule type="expression" dxfId="1298" priority="76">
      <formula>$N$44&lt;0</formula>
    </cfRule>
  </conditionalFormatting>
  <conditionalFormatting sqref="A51:O60">
    <cfRule type="expression" dxfId="1297" priority="67">
      <formula>AND($N51 &gt; 0, ISNUMBER($N51))</formula>
    </cfRule>
    <cfRule type="expression" dxfId="1296" priority="68">
      <formula>AND($N51 &lt; 0, ISNUMBER($N51))</formula>
    </cfRule>
    <cfRule type="expression" dxfId="1295" priority="69">
      <formula>AND($K51 &gt; 0, ISNUMBER($K51))</formula>
    </cfRule>
    <cfRule type="expression" dxfId="1294" priority="70">
      <formula>AND($K51 &lt; 0, ISNUMBER($K51))</formula>
    </cfRule>
    <cfRule type="expression" dxfId="1293" priority="71">
      <formula>AND($H51 &gt; 0, ISNUMBER($H51))</formula>
    </cfRule>
    <cfRule type="expression" dxfId="1292" priority="72">
      <formula>AND($H51 &lt; 0, ISNUMBER($H51))</formula>
    </cfRule>
    <cfRule type="expression" dxfId="1291" priority="73">
      <formula>AND($E51 &gt; 0, ISNUMBER($E51))</formula>
    </cfRule>
    <cfRule type="expression" dxfId="1290" priority="74">
      <formula>AND($E51 &lt; 0, ISNUMBER($E51))</formula>
    </cfRule>
  </conditionalFormatting>
  <conditionalFormatting sqref="D49:F50 E61:F61">
    <cfRule type="expression" dxfId="1289" priority="65">
      <formula>$E$61&gt;0</formula>
    </cfRule>
    <cfRule type="expression" dxfId="1288" priority="66">
      <formula>$E$61&lt;0</formula>
    </cfRule>
  </conditionalFormatting>
  <conditionalFormatting sqref="G49:I50 H61:I61">
    <cfRule type="expression" dxfId="1287" priority="63">
      <formula>$H$61&gt;0</formula>
    </cfRule>
    <cfRule type="expression" dxfId="1286" priority="64">
      <formula>$H$61&lt;0</formula>
    </cfRule>
  </conditionalFormatting>
  <conditionalFormatting sqref="J49:L50 K61:L61">
    <cfRule type="expression" dxfId="1285" priority="61">
      <formula>$K$61&gt;0</formula>
    </cfRule>
    <cfRule type="expression" dxfId="1284" priority="62">
      <formula>$K$61&lt;0</formula>
    </cfRule>
  </conditionalFormatting>
  <conditionalFormatting sqref="M49:O50 N61:O61">
    <cfRule type="expression" dxfId="1283" priority="59">
      <formula>$N$61&gt;0</formula>
    </cfRule>
    <cfRule type="expression" dxfId="1282" priority="60">
      <formula>$N$61&lt;0</formula>
    </cfRule>
  </conditionalFormatting>
  <conditionalFormatting sqref="A68:O77">
    <cfRule type="expression" dxfId="1281" priority="51">
      <formula>AND($N68 &gt; 0, ISNUMBER($N68))</formula>
    </cfRule>
    <cfRule type="expression" dxfId="1280" priority="52">
      <formula>AND($N68 &lt; 0, ISNUMBER($N68))</formula>
    </cfRule>
    <cfRule type="expression" dxfId="1279" priority="53">
      <formula>AND($K68 &gt; 0, ISNUMBER($K68))</formula>
    </cfRule>
    <cfRule type="expression" dxfId="1278" priority="54">
      <formula>AND($K68 &lt; 0, ISNUMBER($K68))</formula>
    </cfRule>
    <cfRule type="expression" dxfId="1277" priority="55">
      <formula>AND($H68 &gt; 0, ISNUMBER($H68))</formula>
    </cfRule>
    <cfRule type="expression" dxfId="1276" priority="56">
      <formula>AND($H68 &lt; 0, ISNUMBER($H68))</formula>
    </cfRule>
    <cfRule type="expression" dxfId="1275" priority="57">
      <formula>AND($E68 &gt; 0, ISNUMBER($E68))</formula>
    </cfRule>
    <cfRule type="expression" dxfId="1274" priority="58">
      <formula>AND($E68 &lt; 0, ISNUMBER($E68))</formula>
    </cfRule>
  </conditionalFormatting>
  <conditionalFormatting sqref="D66:F67 E78:F78">
    <cfRule type="expression" dxfId="1273" priority="49">
      <formula>$E$78&gt;0</formula>
    </cfRule>
    <cfRule type="expression" dxfId="1272" priority="50">
      <formula>$E$78&lt;0</formula>
    </cfRule>
  </conditionalFormatting>
  <conditionalFormatting sqref="G66:I67 H78:I78">
    <cfRule type="expression" dxfId="1271" priority="47">
      <formula>$H$78&gt;0</formula>
    </cfRule>
    <cfRule type="expression" dxfId="1270" priority="48">
      <formula>$H$78&lt;0</formula>
    </cfRule>
  </conditionalFormatting>
  <conditionalFormatting sqref="J66:L67 K78:L78">
    <cfRule type="expression" dxfId="1269" priority="45">
      <formula>$K$78&gt;0</formula>
    </cfRule>
    <cfRule type="expression" dxfId="1268" priority="46">
      <formula>$K$78&lt;0</formula>
    </cfRule>
  </conditionalFormatting>
  <conditionalFormatting sqref="M66:O67 N78:O78">
    <cfRule type="expression" dxfId="1267" priority="43">
      <formula>$N$78&gt;0</formula>
    </cfRule>
    <cfRule type="expression" dxfId="1266" priority="44">
      <formula>$N$78&lt;0</formula>
    </cfRule>
  </conditionalFormatting>
  <conditionalFormatting sqref="A85:O94">
    <cfRule type="expression" dxfId="1265" priority="35">
      <formula>AND($N85 &gt; 0, ISNUMBER($N85))</formula>
    </cfRule>
    <cfRule type="expression" dxfId="1264" priority="36">
      <formula>AND($N85 &lt; 0, ISNUMBER($N85))</formula>
    </cfRule>
    <cfRule type="expression" dxfId="1263" priority="37">
      <formula>AND($K85 &gt; 0, ISNUMBER($K85))</formula>
    </cfRule>
    <cfRule type="expression" dxfId="1262" priority="38">
      <formula>AND($K85 &lt; 0, ISNUMBER($K85))</formula>
    </cfRule>
    <cfRule type="expression" dxfId="1261" priority="39">
      <formula>AND($H85 &gt; 0, ISNUMBER($H85))</formula>
    </cfRule>
    <cfRule type="expression" dxfId="1260" priority="40">
      <formula>AND($H85 &lt; 0, ISNUMBER($H85))</formula>
    </cfRule>
    <cfRule type="expression" dxfId="1259" priority="41">
      <formula>AND($E85 &gt; 0, ISNUMBER($E85))</formula>
    </cfRule>
    <cfRule type="expression" dxfId="1258" priority="42">
      <formula>AND($E85 &lt; 0, ISNUMBER($E85))</formula>
    </cfRule>
  </conditionalFormatting>
  <conditionalFormatting sqref="D83:F84 E95:F95">
    <cfRule type="expression" dxfId="1257" priority="33">
      <formula>$E$95&gt;0</formula>
    </cfRule>
    <cfRule type="expression" dxfId="1256" priority="34">
      <formula>$E$95&lt;0</formula>
    </cfRule>
  </conditionalFormatting>
  <conditionalFormatting sqref="G83:I84 H95:I95">
    <cfRule type="expression" dxfId="1255" priority="31">
      <formula>$H$95&gt;0</formula>
    </cfRule>
    <cfRule type="expression" dxfId="1254" priority="32">
      <formula>$H$95&lt;0</formula>
    </cfRule>
  </conditionalFormatting>
  <conditionalFormatting sqref="J83:L84 K95:L95">
    <cfRule type="expression" dxfId="1253" priority="29">
      <formula>$K$95&gt;0</formula>
    </cfRule>
    <cfRule type="expression" dxfId="1252" priority="30">
      <formula>$K$95&lt;0</formula>
    </cfRule>
  </conditionalFormatting>
  <conditionalFormatting sqref="M83:O84 N95:O95">
    <cfRule type="expression" dxfId="1251" priority="27">
      <formula>$N$95&gt;0</formula>
    </cfRule>
    <cfRule type="expression" dxfId="1250" priority="28">
      <formula>$N$95&lt;0</formula>
    </cfRule>
  </conditionalFormatting>
  <conditionalFormatting sqref="A102:O111">
    <cfRule type="expression" dxfId="1249" priority="19">
      <formula>AND($N102 &gt; 0, ISNUMBER($N102))</formula>
    </cfRule>
    <cfRule type="expression" dxfId="1248" priority="20">
      <formula>AND($N102 &lt; 0, ISNUMBER($N102))</formula>
    </cfRule>
    <cfRule type="expression" dxfId="1247" priority="21">
      <formula>AND($K102 &gt; 0, ISNUMBER($K102))</formula>
    </cfRule>
    <cfRule type="expression" dxfId="1246" priority="22">
      <formula>AND($K102 &lt; 0, ISNUMBER($K102))</formula>
    </cfRule>
    <cfRule type="expression" dxfId="1245" priority="23">
      <formula>AND($H102 &gt; 0, ISNUMBER($H102))</formula>
    </cfRule>
    <cfRule type="expression" dxfId="1244" priority="24">
      <formula>AND($H102 &lt; 0, ISNUMBER($H102))</formula>
    </cfRule>
    <cfRule type="expression" dxfId="1243" priority="25">
      <formula>AND($E102 &gt; 0, ISNUMBER($E102))</formula>
    </cfRule>
    <cfRule type="expression" dxfId="1242" priority="26">
      <formula>AND($E102 &lt; 0, ISNUMBER($E102))</formula>
    </cfRule>
  </conditionalFormatting>
  <conditionalFormatting sqref="D100:F101 E112:F112">
    <cfRule type="expression" dxfId="1241" priority="17">
      <formula>$E$112&gt;0</formula>
    </cfRule>
    <cfRule type="expression" dxfId="1240" priority="18">
      <formula>$E$112&lt;0</formula>
    </cfRule>
  </conditionalFormatting>
  <conditionalFormatting sqref="G100:I101 H112:I112">
    <cfRule type="expression" dxfId="1239" priority="15">
      <formula>$H$112&gt;0</formula>
    </cfRule>
    <cfRule type="expression" dxfId="1238" priority="16">
      <formula>$H$112&lt;0</formula>
    </cfRule>
  </conditionalFormatting>
  <conditionalFormatting sqref="J100:L101 K112:L112">
    <cfRule type="expression" dxfId="1237" priority="13">
      <formula>$K$112&gt;0</formula>
    </cfRule>
    <cfRule type="expression" dxfId="1236" priority="14">
      <formula>$K$112&lt;0</formula>
    </cfRule>
  </conditionalFormatting>
  <conditionalFormatting sqref="M100:O101 N112:O112">
    <cfRule type="expression" dxfId="1235" priority="11">
      <formula>$N$112&gt;0</formula>
    </cfRule>
    <cfRule type="expression" dxfId="1234" priority="12">
      <formula>$N$112&lt;0</formula>
    </cfRule>
  </conditionalFormatting>
  <conditionalFormatting sqref="G2:I3">
    <cfRule type="expression" dxfId="12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44288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82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92" t="s">
        <v>20</v>
      </c>
      <c r="E15" s="193"/>
      <c r="F15" s="194"/>
      <c r="G15" s="192" t="s">
        <v>15</v>
      </c>
      <c r="H15" s="193"/>
      <c r="I15" s="194"/>
      <c r="J15" s="172" t="s">
        <v>34</v>
      </c>
      <c r="K15" s="172"/>
      <c r="L15" s="172"/>
      <c r="M15" s="192" t="s">
        <v>54</v>
      </c>
      <c r="N15" s="193"/>
      <c r="O15" s="194"/>
      <c r="Q15" s="157"/>
      <c r="R15" s="158"/>
    </row>
    <row r="16" spans="1:18" ht="17.25" customHeight="1" thickBot="1">
      <c r="A16" s="16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7"/>
      <c r="R16" s="158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5"/>
      <c r="R17" s="156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5"/>
      <c r="R18" s="156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5"/>
      <c r="R19" s="156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5"/>
      <c r="R20" s="156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5"/>
      <c r="R21" s="156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5"/>
      <c r="R22" s="15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5"/>
      <c r="R23" s="15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9"/>
      <c r="R27" s="160"/>
    </row>
    <row r="28" spans="1:18" ht="17.25" customHeight="1"/>
    <row r="29" spans="1:18" ht="17.25" customHeight="1" thickBot="1"/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2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2"/>
      <c r="R33" s="183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0"/>
      <c r="R34" s="181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80"/>
      <c r="R35" s="181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4"/>
      <c r="R44" s="185"/>
    </row>
    <row r="45" spans="1:18" ht="17.25" customHeight="1"/>
    <row r="46" spans="1:18" ht="17.25" customHeight="1" thickBot="1"/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2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2"/>
      <c r="R50" s="183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80"/>
      <c r="R52" s="181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2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2"/>
      <c r="R67" s="18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0"/>
      <c r="R68" s="18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0"/>
      <c r="R69" s="18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0"/>
      <c r="R70" s="18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4"/>
      <c r="R78" s="185"/>
    </row>
    <row r="79" spans="1:18" ht="17.25" customHeight="1"/>
    <row r="80" spans="1:18" ht="17.25" customHeight="1" thickBot="1"/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2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2"/>
      <c r="R84" s="18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0"/>
      <c r="R86" s="18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2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2"/>
      <c r="R101" s="183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0"/>
      <c r="R102" s="181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80"/>
      <c r="R103" s="181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80"/>
      <c r="R104" s="181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80"/>
      <c r="R105" s="181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80"/>
      <c r="R106" s="181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80"/>
      <c r="R107" s="181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80"/>
      <c r="R108" s="181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80"/>
      <c r="R109" s="181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82"/>
      <c r="R110" s="183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4"/>
      <c r="R112" s="18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44289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82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92" t="s">
        <v>20</v>
      </c>
      <c r="E15" s="193"/>
      <c r="F15" s="194"/>
      <c r="G15" s="192" t="s">
        <v>15</v>
      </c>
      <c r="H15" s="193"/>
      <c r="I15" s="194"/>
      <c r="J15" s="172" t="s">
        <v>34</v>
      </c>
      <c r="K15" s="172"/>
      <c r="L15" s="172"/>
      <c r="M15" s="192" t="s">
        <v>54</v>
      </c>
      <c r="N15" s="193"/>
      <c r="O15" s="194"/>
      <c r="Q15" s="157"/>
      <c r="R15" s="158"/>
    </row>
    <row r="16" spans="1:18" ht="17.25" customHeight="1" thickBot="1">
      <c r="A16" s="16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7"/>
      <c r="R16" s="158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5"/>
      <c r="R17" s="156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5"/>
      <c r="R18" s="156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5"/>
      <c r="R19" s="156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5"/>
      <c r="R20" s="156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5"/>
      <c r="R21" s="156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5"/>
      <c r="R22" s="15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5"/>
      <c r="R23" s="15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9"/>
      <c r="R27" s="160"/>
    </row>
    <row r="28" spans="1:18" ht="17.25" customHeight="1"/>
    <row r="29" spans="1:18" ht="17.25" customHeight="1" thickBot="1"/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2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2"/>
      <c r="R33" s="183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0"/>
      <c r="R34" s="181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80"/>
      <c r="R35" s="181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4"/>
      <c r="R44" s="185"/>
    </row>
    <row r="45" spans="1:18" ht="17.25" customHeight="1"/>
    <row r="46" spans="1:18" ht="17.25" customHeight="1" thickBot="1"/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2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2"/>
      <c r="R50" s="183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80"/>
      <c r="R52" s="181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2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2"/>
      <c r="R67" s="18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0"/>
      <c r="R68" s="18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0"/>
      <c r="R69" s="18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0"/>
      <c r="R70" s="18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4"/>
      <c r="R78" s="185"/>
    </row>
    <row r="79" spans="1:18" ht="17.25" customHeight="1"/>
    <row r="80" spans="1:18" ht="17.25" customHeight="1" thickBot="1"/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2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2"/>
      <c r="R84" s="18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0"/>
      <c r="R86" s="18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2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2"/>
      <c r="R101" s="183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0"/>
      <c r="R102" s="181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80"/>
      <c r="R103" s="181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80"/>
      <c r="R104" s="181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80"/>
      <c r="R105" s="181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80"/>
      <c r="R106" s="181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80"/>
      <c r="R107" s="181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80"/>
      <c r="R108" s="181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80"/>
      <c r="R109" s="181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82"/>
      <c r="R110" s="183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4"/>
      <c r="R112" s="18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44290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82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92" t="s">
        <v>20</v>
      </c>
      <c r="E15" s="193"/>
      <c r="F15" s="194"/>
      <c r="G15" s="192" t="s">
        <v>15</v>
      </c>
      <c r="H15" s="193"/>
      <c r="I15" s="194"/>
      <c r="J15" s="172" t="s">
        <v>34</v>
      </c>
      <c r="K15" s="172"/>
      <c r="L15" s="172"/>
      <c r="M15" s="192" t="s">
        <v>54</v>
      </c>
      <c r="N15" s="193"/>
      <c r="O15" s="194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57"/>
      <c r="R16" s="158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55"/>
      <c r="R17" s="156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55"/>
      <c r="R18" s="156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55"/>
      <c r="R19" s="156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55"/>
      <c r="R20" s="156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55"/>
      <c r="R21" s="156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55"/>
      <c r="R22" s="156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55"/>
      <c r="R23" s="15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55"/>
      <c r="R24" s="15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57"/>
      <c r="R26" s="158"/>
    </row>
    <row r="27" spans="1:18" ht="17.25" customHeight="1" thickBot="1">
      <c r="A27" s="29" t="s">
        <v>32</v>
      </c>
      <c r="B27" s="186">
        <v>100000</v>
      </c>
      <c r="C27" s="187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2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82"/>
      <c r="R33" s="183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80"/>
      <c r="R34" s="18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0"/>
      <c r="R35" s="18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29" t="s">
        <v>32</v>
      </c>
      <c r="B44" s="186">
        <v>100000</v>
      </c>
      <c r="C44" s="187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2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82"/>
      <c r="R50" s="18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29" t="s">
        <v>32</v>
      </c>
      <c r="B61" s="186">
        <v>100000</v>
      </c>
      <c r="C61" s="187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2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82"/>
      <c r="R67" s="18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0"/>
      <c r="R68" s="18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0"/>
      <c r="R69" s="18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0"/>
      <c r="R70" s="18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29" t="s">
        <v>32</v>
      </c>
      <c r="B78" s="186">
        <v>100000</v>
      </c>
      <c r="C78" s="187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2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82"/>
      <c r="R84" s="18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0"/>
      <c r="R86" s="18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29" t="s">
        <v>32</v>
      </c>
      <c r="B95" s="186">
        <v>100000</v>
      </c>
      <c r="C95" s="187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2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82"/>
      <c r="R101" s="183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80"/>
      <c r="R102" s="181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80"/>
      <c r="R103" s="181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80"/>
      <c r="R104" s="181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80"/>
      <c r="R105" s="181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80"/>
      <c r="R106" s="181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80"/>
      <c r="R107" s="181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80"/>
      <c r="R108" s="181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80"/>
      <c r="R109" s="181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82"/>
      <c r="R110" s="183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82"/>
      <c r="R111" s="183"/>
    </row>
    <row r="112" spans="1:18" ht="17.25" customHeight="1" thickBot="1">
      <c r="A112" s="29" t="s">
        <v>32</v>
      </c>
      <c r="B112" s="186">
        <v>100000</v>
      </c>
      <c r="C112" s="187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84"/>
      <c r="R112" s="185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27" priority="93">
      <formula>$E$27&gt;0</formula>
    </cfRule>
    <cfRule type="expression" dxfId="1026" priority="94">
      <formula>$E$27&lt;0</formula>
    </cfRule>
  </conditionalFormatting>
  <conditionalFormatting sqref="G15:I16 H27:I27">
    <cfRule type="expression" dxfId="1025" priority="91">
      <formula>$H$27&gt;0</formula>
    </cfRule>
    <cfRule type="expression" dxfId="1024" priority="92">
      <formula>$H$27&lt;0</formula>
    </cfRule>
  </conditionalFormatting>
  <conditionalFormatting sqref="J15:L16 K27:L27">
    <cfRule type="expression" dxfId="1023" priority="89">
      <formula>$K$27&gt;0</formula>
    </cfRule>
    <cfRule type="expression" dxfId="1022" priority="90">
      <formula>$K$27&lt;0</formula>
    </cfRule>
  </conditionalFormatting>
  <conditionalFormatting sqref="M15:O16 N27:O27">
    <cfRule type="expression" dxfId="1021" priority="87">
      <formula>$N$27&gt;0</formula>
    </cfRule>
    <cfRule type="expression" dxfId="1020" priority="88">
      <formula>$N$27&lt;0</formula>
    </cfRule>
  </conditionalFormatting>
  <conditionalFormatting sqref="A17:O26 A34:O43">
    <cfRule type="expression" dxfId="1019" priority="95">
      <formula>AND($N17 &gt; 0, ISNUMBER($N17))</formula>
    </cfRule>
    <cfRule type="expression" dxfId="1018" priority="96">
      <formula>AND($N17 &lt; 0, ISNUMBER($N17))</formula>
    </cfRule>
    <cfRule type="expression" dxfId="1017" priority="97">
      <formula>AND($K17 &gt; 0, ISNUMBER($K17))</formula>
    </cfRule>
    <cfRule type="expression" dxfId="1016" priority="98">
      <formula>AND($K17 &lt; 0, ISNUMBER($K17))</formula>
    </cfRule>
    <cfRule type="expression" dxfId="1015" priority="99">
      <formula>AND($H17 &gt; 0, ISNUMBER($H17))</formula>
    </cfRule>
    <cfRule type="expression" dxfId="1014" priority="100">
      <formula>AND($H17 &lt; 0, ISNUMBER($H17))</formula>
    </cfRule>
    <cfRule type="expression" dxfId="1013" priority="101">
      <formula>AND($E17 &gt; 0, ISNUMBER($E17))</formula>
    </cfRule>
    <cfRule type="expression" dxfId="1012" priority="102">
      <formula>AND($E17 &lt; 0, ISNUMBER($E17))</formula>
    </cfRule>
  </conditionalFormatting>
  <conditionalFormatting sqref="D32:F33 E44:F44">
    <cfRule type="expression" dxfId="1011" priority="85">
      <formula>$E$44&gt;0</formula>
    </cfRule>
    <cfRule type="expression" dxfId="1010" priority="86">
      <formula>$E$44&lt;0</formula>
    </cfRule>
  </conditionalFormatting>
  <conditionalFormatting sqref="G32:I33 H44:I44">
    <cfRule type="expression" dxfId="1009" priority="83">
      <formula>$H$44&gt;0</formula>
    </cfRule>
    <cfRule type="expression" dxfId="1008" priority="84">
      <formula>$H$44&lt;0</formula>
    </cfRule>
  </conditionalFormatting>
  <conditionalFormatting sqref="J32:L33 K44:L44">
    <cfRule type="expression" dxfId="1007" priority="81">
      <formula>$K$44&gt;0</formula>
    </cfRule>
    <cfRule type="expression" dxfId="1006" priority="82">
      <formula>$K$44&lt;0</formula>
    </cfRule>
  </conditionalFormatting>
  <conditionalFormatting sqref="M32:O33 N44:O44">
    <cfRule type="expression" dxfId="1005" priority="79">
      <formula>$N$44&gt;0</formula>
    </cfRule>
    <cfRule type="expression" dxfId="1004" priority="80">
      <formula>$N$44&lt;0</formula>
    </cfRule>
  </conditionalFormatting>
  <conditionalFormatting sqref="A51:O60">
    <cfRule type="expression" dxfId="1003" priority="71">
      <formula>AND($N51 &gt; 0, ISNUMBER($N51))</formula>
    </cfRule>
    <cfRule type="expression" dxfId="1002" priority="72">
      <formula>AND($N51 &lt; 0, ISNUMBER($N51))</formula>
    </cfRule>
    <cfRule type="expression" dxfId="1001" priority="73">
      <formula>AND($K51 &gt; 0, ISNUMBER($K51))</formula>
    </cfRule>
    <cfRule type="expression" dxfId="1000" priority="74">
      <formula>AND($K51 &lt; 0, ISNUMBER($K51))</formula>
    </cfRule>
    <cfRule type="expression" dxfId="999" priority="75">
      <formula>AND($H51 &gt; 0, ISNUMBER($H51))</formula>
    </cfRule>
    <cfRule type="expression" dxfId="998" priority="76">
      <formula>AND($H51 &lt; 0, ISNUMBER($H51))</formula>
    </cfRule>
    <cfRule type="expression" dxfId="997" priority="77">
      <formula>AND($E51 &gt; 0, ISNUMBER($E51))</formula>
    </cfRule>
    <cfRule type="expression" dxfId="996" priority="78">
      <formula>AND($E51 &lt; 0, ISNUMBER($E51))</formula>
    </cfRule>
  </conditionalFormatting>
  <conditionalFormatting sqref="D49:F50 E61:F61">
    <cfRule type="expression" dxfId="995" priority="69">
      <formula>$E$61&gt;0</formula>
    </cfRule>
    <cfRule type="expression" dxfId="994" priority="70">
      <formula>$E$61&lt;0</formula>
    </cfRule>
  </conditionalFormatting>
  <conditionalFormatting sqref="G49:I50 H61:I61">
    <cfRule type="expression" dxfId="993" priority="67">
      <formula>$H$61&gt;0</formula>
    </cfRule>
    <cfRule type="expression" dxfId="992" priority="68">
      <formula>$H$61&lt;0</formula>
    </cfRule>
  </conditionalFormatting>
  <conditionalFormatting sqref="J49:L50 K61:L61">
    <cfRule type="expression" dxfId="991" priority="65">
      <formula>$K$61&gt;0</formula>
    </cfRule>
    <cfRule type="expression" dxfId="990" priority="66">
      <formula>$K$61&lt;0</formula>
    </cfRule>
  </conditionalFormatting>
  <conditionalFormatting sqref="M49:O50 N61:O61">
    <cfRule type="expression" dxfId="989" priority="63">
      <formula>$N$61&gt;0</formula>
    </cfRule>
    <cfRule type="expression" dxfId="988" priority="64">
      <formula>$N$61&lt;0</formula>
    </cfRule>
  </conditionalFormatting>
  <conditionalFormatting sqref="A68:O77">
    <cfRule type="expression" dxfId="987" priority="55">
      <formula>AND($N68 &gt; 0, ISNUMBER($N68))</formula>
    </cfRule>
    <cfRule type="expression" dxfId="986" priority="56">
      <formula>AND($N68 &lt; 0, ISNUMBER($N68))</formula>
    </cfRule>
    <cfRule type="expression" dxfId="985" priority="57">
      <formula>AND($K68 &gt; 0, ISNUMBER($K68))</formula>
    </cfRule>
    <cfRule type="expression" dxfId="984" priority="58">
      <formula>AND($K68 &lt; 0, ISNUMBER($K68))</formula>
    </cfRule>
    <cfRule type="expression" dxfId="983" priority="59">
      <formula>AND($H68 &gt; 0, ISNUMBER($H68))</formula>
    </cfRule>
    <cfRule type="expression" dxfId="982" priority="60">
      <formula>AND($H68 &lt; 0, ISNUMBER($H68))</formula>
    </cfRule>
    <cfRule type="expression" dxfId="981" priority="61">
      <formula>AND($E68 &gt; 0, ISNUMBER($E68))</formula>
    </cfRule>
    <cfRule type="expression" dxfId="980" priority="62">
      <formula>AND($E68 &lt; 0, ISNUMBER($E68))</formula>
    </cfRule>
  </conditionalFormatting>
  <conditionalFormatting sqref="D66:F67 E78:F78">
    <cfRule type="expression" dxfId="979" priority="53">
      <formula>$E$78&gt;0</formula>
    </cfRule>
    <cfRule type="expression" dxfId="978" priority="54">
      <formula>$E$78&lt;0</formula>
    </cfRule>
  </conditionalFormatting>
  <conditionalFormatting sqref="G66:I67 H78:I78">
    <cfRule type="expression" dxfId="977" priority="51">
      <formula>$H$78&gt;0</formula>
    </cfRule>
    <cfRule type="expression" dxfId="976" priority="52">
      <formula>$H$78&lt;0</formula>
    </cfRule>
  </conditionalFormatting>
  <conditionalFormatting sqref="J66:L67 K78:L78">
    <cfRule type="expression" dxfId="975" priority="49">
      <formula>$K$78&gt;0</formula>
    </cfRule>
    <cfRule type="expression" dxfId="974" priority="50">
      <formula>$K$78&lt;0</formula>
    </cfRule>
  </conditionalFormatting>
  <conditionalFormatting sqref="M66:O67 N78:O78">
    <cfRule type="expression" dxfId="973" priority="47">
      <formula>$N$78&gt;0</formula>
    </cfRule>
    <cfRule type="expression" dxfId="972" priority="48">
      <formula>$N$78&lt;0</formula>
    </cfRule>
  </conditionalFormatting>
  <conditionalFormatting sqref="A85:O94">
    <cfRule type="expression" dxfId="971" priority="39">
      <formula>AND($N85 &gt; 0, ISNUMBER($N85))</formula>
    </cfRule>
    <cfRule type="expression" dxfId="970" priority="40">
      <formula>AND($N85 &lt; 0, ISNUMBER($N85))</formula>
    </cfRule>
    <cfRule type="expression" dxfId="969" priority="41">
      <formula>AND($K85 &gt; 0, ISNUMBER($K85))</formula>
    </cfRule>
    <cfRule type="expression" dxfId="968" priority="42">
      <formula>AND($K85 &lt; 0, ISNUMBER($K85))</formula>
    </cfRule>
    <cfRule type="expression" dxfId="967" priority="43">
      <formula>AND($H85 &gt; 0, ISNUMBER($H85))</formula>
    </cfRule>
    <cfRule type="expression" dxfId="966" priority="44">
      <formula>AND($H85 &lt; 0, ISNUMBER($H85))</formula>
    </cfRule>
    <cfRule type="expression" dxfId="965" priority="45">
      <formula>AND($E85 &gt; 0, ISNUMBER($E85))</formula>
    </cfRule>
    <cfRule type="expression" dxfId="964" priority="46">
      <formula>AND($E85 &lt; 0, ISNUMBER($E85))</formula>
    </cfRule>
  </conditionalFormatting>
  <conditionalFormatting sqref="D83:F84 E95:F95">
    <cfRule type="expression" dxfId="963" priority="37">
      <formula>$E$95&gt;0</formula>
    </cfRule>
    <cfRule type="expression" dxfId="962" priority="38">
      <formula>$E$95&lt;0</formula>
    </cfRule>
  </conditionalFormatting>
  <conditionalFormatting sqref="G83:I84 H95:I95">
    <cfRule type="expression" dxfId="961" priority="35">
      <formula>$H$95&gt;0</formula>
    </cfRule>
    <cfRule type="expression" dxfId="960" priority="36">
      <formula>$H$95&lt;0</formula>
    </cfRule>
  </conditionalFormatting>
  <conditionalFormatting sqref="J83:L84 K95:L95">
    <cfRule type="expression" dxfId="959" priority="33">
      <formula>$K$95&gt;0</formula>
    </cfRule>
    <cfRule type="expression" dxfId="958" priority="34">
      <formula>$K$95&lt;0</formula>
    </cfRule>
  </conditionalFormatting>
  <conditionalFormatting sqref="M83:O84 N95:O95">
    <cfRule type="expression" dxfId="957" priority="31">
      <formula>$N$95&gt;0</formula>
    </cfRule>
    <cfRule type="expression" dxfId="956" priority="32">
      <formula>$N$95&lt;0</formula>
    </cfRule>
  </conditionalFormatting>
  <conditionalFormatting sqref="A102:O111">
    <cfRule type="expression" dxfId="955" priority="23">
      <formula>AND($N102 &gt; 0, ISNUMBER($N102))</formula>
    </cfRule>
    <cfRule type="expression" dxfId="954" priority="24">
      <formula>AND($N102 &lt; 0, ISNUMBER($N102))</formula>
    </cfRule>
    <cfRule type="expression" dxfId="953" priority="25">
      <formula>AND($K102 &gt; 0, ISNUMBER($K102))</formula>
    </cfRule>
    <cfRule type="expression" dxfId="952" priority="26">
      <formula>AND($K102 &lt; 0, ISNUMBER($K102))</formula>
    </cfRule>
    <cfRule type="expression" dxfId="951" priority="27">
      <formula>AND($H102 &gt; 0, ISNUMBER($H102))</formula>
    </cfRule>
    <cfRule type="expression" dxfId="950" priority="28">
      <formula>AND($H102 &lt; 0, ISNUMBER($H102))</formula>
    </cfRule>
    <cfRule type="expression" dxfId="949" priority="29">
      <formula>AND($E102 &gt; 0, ISNUMBER($E102))</formula>
    </cfRule>
    <cfRule type="expression" dxfId="948" priority="30">
      <formula>AND($E102 &lt; 0, ISNUMBER($E102))</formula>
    </cfRule>
  </conditionalFormatting>
  <conditionalFormatting sqref="D100:F101 E112:F112">
    <cfRule type="expression" dxfId="947" priority="21">
      <formula>$E$112&gt;0</formula>
    </cfRule>
    <cfRule type="expression" dxfId="946" priority="22">
      <formula>$E$112&lt;0</formula>
    </cfRule>
  </conditionalFormatting>
  <conditionalFormatting sqref="G100:I101 H112:I112">
    <cfRule type="expression" dxfId="945" priority="19">
      <formula>$H$112&gt;0</formula>
    </cfRule>
    <cfRule type="expression" dxfId="944" priority="20">
      <formula>$H$112&lt;0</formula>
    </cfRule>
  </conditionalFormatting>
  <conditionalFormatting sqref="J100:L101 K112:L112">
    <cfRule type="expression" dxfId="943" priority="17">
      <formula>$K$112&gt;0</formula>
    </cfRule>
    <cfRule type="expression" dxfId="942" priority="18">
      <formula>$K$112&lt;0</formula>
    </cfRule>
  </conditionalFormatting>
  <conditionalFormatting sqref="M100:O101 N112:O112">
    <cfRule type="expression" dxfId="941" priority="15">
      <formula>$N$112&gt;0</formula>
    </cfRule>
    <cfRule type="expression" dxfId="940" priority="16">
      <formula>$N$112&lt;0</formula>
    </cfRule>
  </conditionalFormatting>
  <conditionalFormatting sqref="G2:I3">
    <cfRule type="expression" dxfId="93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44291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68" t="s">
        <v>311</v>
      </c>
      <c r="B14" s="137" t="s">
        <v>310</v>
      </c>
      <c r="C14" s="139"/>
      <c r="D14" s="137" t="s">
        <v>67</v>
      </c>
      <c r="E14" s="138"/>
      <c r="F14" s="139"/>
      <c r="G14" s="174" t="e">
        <f>_xlfn.IFNA(VLOOKUP(B14,#REF!, 2, FALSE), "-")</f>
        <v>#REF!</v>
      </c>
      <c r="H14" s="175"/>
      <c r="I14" s="176"/>
      <c r="J14" s="137" t="s">
        <v>69</v>
      </c>
      <c r="K14" s="138"/>
      <c r="L14" s="139"/>
      <c r="M14" s="177" t="e">
        <f>_xlfn.IFNA(VLOOKUP(B14,#REF!, 3, FALSE), "-")</f>
        <v>#REF!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92" t="s">
        <v>20</v>
      </c>
      <c r="E15" s="193"/>
      <c r="F15" s="194"/>
      <c r="G15" s="192" t="s">
        <v>15</v>
      </c>
      <c r="H15" s="193"/>
      <c r="I15" s="194"/>
      <c r="J15" s="172" t="s">
        <v>34</v>
      </c>
      <c r="K15" s="172"/>
      <c r="L15" s="172"/>
      <c r="M15" s="192" t="s">
        <v>54</v>
      </c>
      <c r="N15" s="193"/>
      <c r="O15" s="194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7"/>
      <c r="R16" s="158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55"/>
      <c r="R17" s="156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55"/>
      <c r="R18" s="156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55"/>
      <c r="R19" s="156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55"/>
      <c r="R20" s="156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55"/>
      <c r="R21" s="156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55"/>
      <c r="R22" s="156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55"/>
      <c r="R23" s="15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68" t="s">
        <v>311</v>
      </c>
      <c r="B31" s="137" t="s">
        <v>48</v>
      </c>
      <c r="C31" s="139"/>
      <c r="D31" s="137" t="s">
        <v>67</v>
      </c>
      <c r="E31" s="138"/>
      <c r="F31" s="139"/>
      <c r="G31" s="174" t="e">
        <f>_xlfn.IFNA(VLOOKUP(B31,#REF!, 2, FALSE), "-")</f>
        <v>#REF!</v>
      </c>
      <c r="H31" s="175"/>
      <c r="I31" s="176"/>
      <c r="J31" s="137" t="s">
        <v>69</v>
      </c>
      <c r="K31" s="138"/>
      <c r="L31" s="139"/>
      <c r="M31" s="177" t="e">
        <f>_xlfn.IFNA(VLOOKUP(B31,#REF!, 3, FALSE), "-")</f>
        <v>#REF!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2"/>
      <c r="R33" s="183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80"/>
      <c r="R34" s="181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80"/>
      <c r="R35" s="181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80"/>
      <c r="R36" s="181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80"/>
      <c r="R37" s="181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80"/>
      <c r="R38" s="181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80"/>
      <c r="R39" s="181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80"/>
      <c r="R40" s="181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68" t="s">
        <v>311</v>
      </c>
      <c r="B48" s="137" t="s">
        <v>52</v>
      </c>
      <c r="C48" s="139"/>
      <c r="D48" s="137" t="s">
        <v>67</v>
      </c>
      <c r="E48" s="138"/>
      <c r="F48" s="139"/>
      <c r="G48" s="174" t="e">
        <f>_xlfn.IFNA(VLOOKUP(B48,#REF!, 2, FALSE), "-")</f>
        <v>#REF!</v>
      </c>
      <c r="H48" s="175"/>
      <c r="I48" s="176"/>
      <c r="J48" s="137" t="s">
        <v>69</v>
      </c>
      <c r="K48" s="138"/>
      <c r="L48" s="139"/>
      <c r="M48" s="177" t="e">
        <f>_xlfn.IFNA(VLOOKUP(B48,#REF!, 3, FALSE), "-")</f>
        <v>#REF!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2"/>
      <c r="R50" s="183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80"/>
      <c r="R51" s="181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68" t="s">
        <v>311</v>
      </c>
      <c r="B65" s="137" t="s">
        <v>43</v>
      </c>
      <c r="C65" s="139"/>
      <c r="D65" s="137" t="s">
        <v>67</v>
      </c>
      <c r="E65" s="138"/>
      <c r="F65" s="139"/>
      <c r="G65" s="174" t="e">
        <f>_xlfn.IFNA(VLOOKUP(B65,#REF!, 2, FALSE), "-")</f>
        <v>#REF!</v>
      </c>
      <c r="H65" s="175"/>
      <c r="I65" s="176"/>
      <c r="J65" s="137" t="s">
        <v>69</v>
      </c>
      <c r="K65" s="138"/>
      <c r="L65" s="139"/>
      <c r="M65" s="177" t="e">
        <f>_xlfn.IFNA(VLOOKUP(B65,#REF!, 3, FALSE), "-")</f>
        <v>#REF!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2"/>
      <c r="R67" s="183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80"/>
      <c r="R68" s="181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80"/>
      <c r="R69" s="181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80"/>
      <c r="R70" s="181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80"/>
      <c r="R71" s="181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80"/>
      <c r="R72" s="181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80"/>
      <c r="R73" s="181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80"/>
      <c r="R74" s="181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80"/>
      <c r="R75" s="181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82"/>
      <c r="R76" s="183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68" t="s">
        <v>311</v>
      </c>
      <c r="B82" s="137" t="s">
        <v>303</v>
      </c>
      <c r="C82" s="139"/>
      <c r="D82" s="137" t="s">
        <v>67</v>
      </c>
      <c r="E82" s="138"/>
      <c r="F82" s="139"/>
      <c r="G82" s="174" t="e">
        <f>_xlfn.IFNA(VLOOKUP(B82,#REF!, 2, FALSE), "-")</f>
        <v>#REF!</v>
      </c>
      <c r="H82" s="175"/>
      <c r="I82" s="176"/>
      <c r="J82" s="137" t="s">
        <v>69</v>
      </c>
      <c r="K82" s="138"/>
      <c r="L82" s="139"/>
      <c r="M82" s="177" t="e">
        <f>_xlfn.IFNA(VLOOKUP(B82,#REF!, 3, FALSE), "-")</f>
        <v>#REF!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2"/>
      <c r="R84" s="183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80"/>
      <c r="R85" s="181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80"/>
      <c r="R86" s="181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80"/>
      <c r="R87" s="181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80"/>
      <c r="R88" s="181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80"/>
      <c r="R89" s="181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80"/>
      <c r="R90" s="181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68" t="s">
        <v>311</v>
      </c>
      <c r="B99" s="137" t="s">
        <v>305</v>
      </c>
      <c r="C99" s="139"/>
      <c r="D99" s="137" t="s">
        <v>67</v>
      </c>
      <c r="E99" s="138"/>
      <c r="F99" s="139"/>
      <c r="G99" s="174" t="e">
        <f>_xlfn.IFNA(VLOOKUP(B99,#REF!, 2, FALSE), "-")</f>
        <v>#REF!</v>
      </c>
      <c r="H99" s="175"/>
      <c r="I99" s="176"/>
      <c r="J99" s="137" t="s">
        <v>69</v>
      </c>
      <c r="K99" s="138"/>
      <c r="L99" s="139"/>
      <c r="M99" s="177" t="e">
        <f>_xlfn.IFNA(VLOOKUP(B99,#REF!, 3, FALSE), "-")</f>
        <v>#REF!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2"/>
      <c r="R101" s="183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80"/>
      <c r="R102" s="181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80"/>
      <c r="R103" s="181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80"/>
      <c r="R104" s="181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80"/>
      <c r="R105" s="181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80"/>
      <c r="R106" s="181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80"/>
      <c r="R107" s="181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80"/>
      <c r="R108" s="181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80"/>
      <c r="R109" s="181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82"/>
      <c r="R110" s="183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84"/>
      <c r="R112" s="18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44292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73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68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57"/>
      <c r="R16" s="158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55"/>
      <c r="R17" s="156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55"/>
      <c r="R18" s="156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55"/>
      <c r="R19" s="156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55"/>
      <c r="R20" s="156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55"/>
      <c r="R21" s="156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55"/>
      <c r="R22" s="156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55"/>
      <c r="R23" s="156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1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82"/>
      <c r="R33" s="183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80"/>
      <c r="R34" s="18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0"/>
      <c r="R35" s="18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1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82"/>
      <c r="R50" s="183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80"/>
      <c r="R51" s="181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1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82"/>
      <c r="R67" s="183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80"/>
      <c r="R68" s="181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80"/>
      <c r="R69" s="181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80"/>
      <c r="R70" s="18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1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82"/>
      <c r="R84" s="183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80"/>
      <c r="R85" s="181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80"/>
      <c r="R86" s="181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80"/>
      <c r="R87" s="181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1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82"/>
      <c r="R101" s="183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80"/>
      <c r="R102" s="181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80"/>
      <c r="R103" s="181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80"/>
      <c r="R104" s="181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80"/>
      <c r="R105" s="181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80"/>
      <c r="R106" s="181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80"/>
      <c r="R107" s="181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80"/>
      <c r="R108" s="181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80"/>
      <c r="R109" s="181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82"/>
      <c r="R110" s="183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31" priority="89">
      <formula>$E$27&gt;0</formula>
    </cfRule>
    <cfRule type="expression" dxfId="830" priority="90">
      <formula>$E$27&lt;0</formula>
    </cfRule>
  </conditionalFormatting>
  <conditionalFormatting sqref="G15:I16 H27:I27">
    <cfRule type="expression" dxfId="829" priority="87">
      <formula>$H$27&gt;0</formula>
    </cfRule>
    <cfRule type="expression" dxfId="828" priority="88">
      <formula>$H$27&lt;0</formula>
    </cfRule>
  </conditionalFormatting>
  <conditionalFormatting sqref="J15:L16 K27:L27">
    <cfRule type="expression" dxfId="827" priority="85">
      <formula>$K$27&gt;0</formula>
    </cfRule>
    <cfRule type="expression" dxfId="826" priority="86">
      <formula>$K$27&lt;0</formula>
    </cfRule>
  </conditionalFormatting>
  <conditionalFormatting sqref="M15:O16 N27:O27">
    <cfRule type="expression" dxfId="825" priority="83">
      <formula>$N$27&gt;0</formula>
    </cfRule>
    <cfRule type="expression" dxfId="824" priority="84">
      <formula>$N$27&lt;0</formula>
    </cfRule>
  </conditionalFormatting>
  <conditionalFormatting sqref="A17:O26 A34:O43">
    <cfRule type="expression" dxfId="823" priority="91">
      <formula>AND($N17 &gt; 0, ISNUMBER($N17))</formula>
    </cfRule>
    <cfRule type="expression" dxfId="822" priority="92">
      <formula>AND($N17 &lt; 0, ISNUMBER($N17))</formula>
    </cfRule>
    <cfRule type="expression" dxfId="821" priority="93">
      <formula>AND($K17 &gt; 0, ISNUMBER($K17))</formula>
    </cfRule>
    <cfRule type="expression" dxfId="820" priority="94">
      <formula>AND($K17 &lt; 0, ISNUMBER($K17))</formula>
    </cfRule>
    <cfRule type="expression" dxfId="819" priority="95">
      <formula>AND($H17 &gt; 0, ISNUMBER($H17))</formula>
    </cfRule>
    <cfRule type="expression" dxfId="818" priority="96">
      <formula>AND($H17 &lt; 0, ISNUMBER($H17))</formula>
    </cfRule>
    <cfRule type="expression" dxfId="817" priority="97">
      <formula>AND($E17 &gt; 0, ISNUMBER($E17))</formula>
    </cfRule>
    <cfRule type="expression" dxfId="816" priority="98">
      <formula>AND($E17 &lt; 0, ISNUMBER($E17))</formula>
    </cfRule>
  </conditionalFormatting>
  <conditionalFormatting sqref="D32:F33 E44:F44">
    <cfRule type="expression" dxfId="815" priority="81">
      <formula>$E$44&gt;0</formula>
    </cfRule>
    <cfRule type="expression" dxfId="814" priority="82">
      <formula>$E$44&lt;0</formula>
    </cfRule>
  </conditionalFormatting>
  <conditionalFormatting sqref="G32:I33 H44:I44">
    <cfRule type="expression" dxfId="813" priority="79">
      <formula>$H$44&gt;0</formula>
    </cfRule>
    <cfRule type="expression" dxfId="812" priority="80">
      <formula>$H$44&lt;0</formula>
    </cfRule>
  </conditionalFormatting>
  <conditionalFormatting sqref="J32:L33 K44:L44">
    <cfRule type="expression" dxfId="811" priority="77">
      <formula>$K$44&gt;0</formula>
    </cfRule>
    <cfRule type="expression" dxfId="810" priority="78">
      <formula>$K$44&lt;0</formula>
    </cfRule>
  </conditionalFormatting>
  <conditionalFormatting sqref="M32:O33 N44:O44">
    <cfRule type="expression" dxfId="809" priority="75">
      <formula>$N$44&gt;0</formula>
    </cfRule>
    <cfRule type="expression" dxfId="808" priority="76">
      <formula>$N$44&lt;0</formula>
    </cfRule>
  </conditionalFormatting>
  <conditionalFormatting sqref="A51:O60">
    <cfRule type="expression" dxfId="807" priority="67">
      <formula>AND($N51 &gt; 0, ISNUMBER($N51))</formula>
    </cfRule>
    <cfRule type="expression" dxfId="806" priority="68">
      <formula>AND($N51 &lt; 0, ISNUMBER($N51))</formula>
    </cfRule>
    <cfRule type="expression" dxfId="805" priority="69">
      <formula>AND($K51 &gt; 0, ISNUMBER($K51))</formula>
    </cfRule>
    <cfRule type="expression" dxfId="804" priority="70">
      <formula>AND($K51 &lt; 0, ISNUMBER($K51))</formula>
    </cfRule>
    <cfRule type="expression" dxfId="803" priority="71">
      <formula>AND($H51 &gt; 0, ISNUMBER($H51))</formula>
    </cfRule>
    <cfRule type="expression" dxfId="802" priority="72">
      <formula>AND($H51 &lt; 0, ISNUMBER($H51))</formula>
    </cfRule>
    <cfRule type="expression" dxfId="801" priority="73">
      <formula>AND($E51 &gt; 0, ISNUMBER($E51))</formula>
    </cfRule>
    <cfRule type="expression" dxfId="800" priority="74">
      <formula>AND($E51 &lt; 0, ISNUMBER($E51))</formula>
    </cfRule>
  </conditionalFormatting>
  <conditionalFormatting sqref="D49:F50 E61:F61">
    <cfRule type="expression" dxfId="799" priority="65">
      <formula>$E$61&gt;0</formula>
    </cfRule>
    <cfRule type="expression" dxfId="798" priority="66">
      <formula>$E$61&lt;0</formula>
    </cfRule>
  </conditionalFormatting>
  <conditionalFormatting sqref="G49:I50 H61:I61">
    <cfRule type="expression" dxfId="797" priority="63">
      <formula>$H$61&gt;0</formula>
    </cfRule>
    <cfRule type="expression" dxfId="796" priority="64">
      <formula>$H$61&lt;0</formula>
    </cfRule>
  </conditionalFormatting>
  <conditionalFormatting sqref="J49:L50 K61:L61">
    <cfRule type="expression" dxfId="795" priority="61">
      <formula>$K$61&gt;0</formula>
    </cfRule>
    <cfRule type="expression" dxfId="794" priority="62">
      <formula>$K$61&lt;0</formula>
    </cfRule>
  </conditionalFormatting>
  <conditionalFormatting sqref="M49:O50 N61:O61">
    <cfRule type="expression" dxfId="793" priority="59">
      <formula>$N$61&gt;0</formula>
    </cfRule>
    <cfRule type="expression" dxfId="792" priority="60">
      <formula>$N$61&lt;0</formula>
    </cfRule>
  </conditionalFormatting>
  <conditionalFormatting sqref="A68:O77">
    <cfRule type="expression" dxfId="791" priority="51">
      <formula>AND($N68 &gt; 0, ISNUMBER($N68))</formula>
    </cfRule>
    <cfRule type="expression" dxfId="790" priority="52">
      <formula>AND($N68 &lt; 0, ISNUMBER($N68))</formula>
    </cfRule>
    <cfRule type="expression" dxfId="789" priority="53">
      <formula>AND($K68 &gt; 0, ISNUMBER($K68))</formula>
    </cfRule>
    <cfRule type="expression" dxfId="788" priority="54">
      <formula>AND($K68 &lt; 0, ISNUMBER($K68))</formula>
    </cfRule>
    <cfRule type="expression" dxfId="787" priority="55">
      <formula>AND($H68 &gt; 0, ISNUMBER($H68))</formula>
    </cfRule>
    <cfRule type="expression" dxfId="786" priority="56">
      <formula>AND($H68 &lt; 0, ISNUMBER($H68))</formula>
    </cfRule>
    <cfRule type="expression" dxfId="785" priority="57">
      <formula>AND($E68 &gt; 0, ISNUMBER($E68))</formula>
    </cfRule>
    <cfRule type="expression" dxfId="784" priority="58">
      <formula>AND($E68 &lt; 0, ISNUMBER($E68))</formula>
    </cfRule>
  </conditionalFormatting>
  <conditionalFormatting sqref="D66:F67 E78:F78">
    <cfRule type="expression" dxfId="783" priority="49">
      <formula>$E$78&gt;0</formula>
    </cfRule>
    <cfRule type="expression" dxfId="782" priority="50">
      <formula>$E$78&lt;0</formula>
    </cfRule>
  </conditionalFormatting>
  <conditionalFormatting sqref="G66:I67 H78:I78">
    <cfRule type="expression" dxfId="781" priority="47">
      <formula>$H$78&gt;0</formula>
    </cfRule>
    <cfRule type="expression" dxfId="780" priority="48">
      <formula>$H$78&lt;0</formula>
    </cfRule>
  </conditionalFormatting>
  <conditionalFormatting sqref="J66:L67 K78:L78">
    <cfRule type="expression" dxfId="779" priority="45">
      <formula>$K$78&gt;0</formula>
    </cfRule>
    <cfRule type="expression" dxfId="778" priority="46">
      <formula>$K$78&lt;0</formula>
    </cfRule>
  </conditionalFormatting>
  <conditionalFormatting sqref="M66:O67 N78:O78">
    <cfRule type="expression" dxfId="777" priority="43">
      <formula>$N$78&gt;0</formula>
    </cfRule>
    <cfRule type="expression" dxfId="776" priority="44">
      <formula>$N$78&lt;0</formula>
    </cfRule>
  </conditionalFormatting>
  <conditionalFormatting sqref="A85:O94">
    <cfRule type="expression" dxfId="775" priority="35">
      <formula>AND($N85 &gt; 0, ISNUMBER($N85))</formula>
    </cfRule>
    <cfRule type="expression" dxfId="774" priority="36">
      <formula>AND($N85 &lt; 0, ISNUMBER($N85))</formula>
    </cfRule>
    <cfRule type="expression" dxfId="773" priority="37">
      <formula>AND($K85 &gt; 0, ISNUMBER($K85))</formula>
    </cfRule>
    <cfRule type="expression" dxfId="772" priority="38">
      <formula>AND($K85 &lt; 0, ISNUMBER($K85))</formula>
    </cfRule>
    <cfRule type="expression" dxfId="771" priority="39">
      <formula>AND($H85 &gt; 0, ISNUMBER($H85))</formula>
    </cfRule>
    <cfRule type="expression" dxfId="770" priority="40">
      <formula>AND($H85 &lt; 0, ISNUMBER($H85))</formula>
    </cfRule>
    <cfRule type="expression" dxfId="769" priority="41">
      <formula>AND($E85 &gt; 0, ISNUMBER($E85))</formula>
    </cfRule>
    <cfRule type="expression" dxfId="768" priority="42">
      <formula>AND($E85 &lt; 0, ISNUMBER($E85))</formula>
    </cfRule>
  </conditionalFormatting>
  <conditionalFormatting sqref="D83:F84 E95:F95">
    <cfRule type="expression" dxfId="767" priority="33">
      <formula>$E$95&gt;0</formula>
    </cfRule>
    <cfRule type="expression" dxfId="766" priority="34">
      <formula>$E$95&lt;0</formula>
    </cfRule>
  </conditionalFormatting>
  <conditionalFormatting sqref="G83:I84 H95:I95">
    <cfRule type="expression" dxfId="765" priority="31">
      <formula>$H$95&gt;0</formula>
    </cfRule>
    <cfRule type="expression" dxfId="764" priority="32">
      <formula>$H$95&lt;0</formula>
    </cfRule>
  </conditionalFormatting>
  <conditionalFormatting sqref="J83:L84 K95:L95">
    <cfRule type="expression" dxfId="763" priority="29">
      <formula>$K$95&gt;0</formula>
    </cfRule>
    <cfRule type="expression" dxfId="762" priority="30">
      <formula>$K$95&lt;0</formula>
    </cfRule>
  </conditionalFormatting>
  <conditionalFormatting sqref="M83:O84 N95:O95">
    <cfRule type="expression" dxfId="761" priority="27">
      <formula>$N$95&gt;0</formula>
    </cfRule>
    <cfRule type="expression" dxfId="760" priority="28">
      <formula>$N$95&lt;0</formula>
    </cfRule>
  </conditionalFormatting>
  <conditionalFormatting sqref="A102:O111">
    <cfRule type="expression" dxfId="759" priority="19">
      <formula>AND($N102 &gt; 0, ISNUMBER($N102))</formula>
    </cfRule>
    <cfRule type="expression" dxfId="758" priority="20">
      <formula>AND($N102 &lt; 0, ISNUMBER($N102))</formula>
    </cfRule>
    <cfRule type="expression" dxfId="757" priority="21">
      <formula>AND($K102 &gt; 0, ISNUMBER($K102))</formula>
    </cfRule>
    <cfRule type="expression" dxfId="756" priority="22">
      <formula>AND($K102 &lt; 0, ISNUMBER($K102))</formula>
    </cfRule>
    <cfRule type="expression" dxfId="755" priority="23">
      <formula>AND($H102 &gt; 0, ISNUMBER($H102))</formula>
    </cfRule>
    <cfRule type="expression" dxfId="754" priority="24">
      <formula>AND($H102 &lt; 0, ISNUMBER($H102))</formula>
    </cfRule>
    <cfRule type="expression" dxfId="753" priority="25">
      <formula>AND($E102 &gt; 0, ISNUMBER($E102))</formula>
    </cfRule>
    <cfRule type="expression" dxfId="752" priority="26">
      <formula>AND($E102 &lt; 0, ISNUMBER($E102))</formula>
    </cfRule>
  </conditionalFormatting>
  <conditionalFormatting sqref="D100:F101 E112:F112">
    <cfRule type="expression" dxfId="751" priority="17">
      <formula>$E$112&gt;0</formula>
    </cfRule>
    <cfRule type="expression" dxfId="750" priority="18">
      <formula>$E$112&lt;0</formula>
    </cfRule>
  </conditionalFormatting>
  <conditionalFormatting sqref="G100:I101 H112:I112">
    <cfRule type="expression" dxfId="749" priority="15">
      <formula>$H$112&gt;0</formula>
    </cfRule>
    <cfRule type="expression" dxfId="748" priority="16">
      <formula>$H$112&lt;0</formula>
    </cfRule>
  </conditionalFormatting>
  <conditionalFormatting sqref="J100:L101 K112:L112">
    <cfRule type="expression" dxfId="747" priority="13">
      <formula>$K$112&gt;0</formula>
    </cfRule>
    <cfRule type="expression" dxfId="746" priority="14">
      <formula>$K$112&lt;0</formula>
    </cfRule>
  </conditionalFormatting>
  <conditionalFormatting sqref="M100:O101 N112:O112">
    <cfRule type="expression" dxfId="745" priority="11">
      <formula>$N$112&gt;0</formula>
    </cfRule>
    <cfRule type="expression" dxfId="744" priority="12">
      <formula>$N$112&lt;0</formula>
    </cfRule>
  </conditionalFormatting>
  <conditionalFormatting sqref="G2:I3">
    <cfRule type="expression" dxfId="7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44293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83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82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57"/>
      <c r="R16" s="158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55"/>
      <c r="R17" s="156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55"/>
      <c r="R18" s="156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55"/>
      <c r="R19" s="156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55"/>
      <c r="R20" s="156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55"/>
      <c r="R21" s="156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55"/>
      <c r="R22" s="156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55"/>
      <c r="R23" s="156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55"/>
      <c r="R24" s="156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57"/>
      <c r="R25" s="158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82" t="s">
        <v>311</v>
      </c>
      <c r="B31" s="137" t="s">
        <v>14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76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2.5641025599999999E-2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82"/>
      <c r="R33" s="183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80"/>
      <c r="R34" s="18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0"/>
      <c r="R35" s="18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82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82"/>
      <c r="R50" s="183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82" t="s">
        <v>311</v>
      </c>
      <c r="B65" s="137" t="s">
        <v>321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170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-7.1038251400000002E-2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82"/>
      <c r="R67" s="183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80"/>
      <c r="R68" s="181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80"/>
      <c r="R69" s="181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80"/>
      <c r="R70" s="18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82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82"/>
      <c r="R84" s="183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0"/>
      <c r="R86" s="18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82" t="s">
        <v>311</v>
      </c>
      <c r="B99" s="137" t="s">
        <v>351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544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-6.3683304600000004E-2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82"/>
      <c r="R101" s="183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80"/>
      <c r="R102" s="181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80"/>
      <c r="R103" s="181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80"/>
      <c r="R104" s="181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80"/>
      <c r="R105" s="181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80"/>
      <c r="R106" s="181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80"/>
      <c r="R107" s="181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80"/>
      <c r="R108" s="181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80"/>
      <c r="R109" s="181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82"/>
      <c r="R110" s="183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84"/>
      <c r="R112" s="18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44294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96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91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57"/>
      <c r="R16" s="158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55"/>
      <c r="R17" s="156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55"/>
      <c r="R18" s="156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55"/>
      <c r="R19" s="156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55"/>
      <c r="R20" s="156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55"/>
      <c r="R21" s="156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55"/>
      <c r="R22" s="156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55"/>
      <c r="R23" s="156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55"/>
      <c r="R24" s="156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57"/>
      <c r="R25" s="158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91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82"/>
      <c r="R33" s="183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80"/>
      <c r="R34" s="181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80"/>
      <c r="R35" s="181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80"/>
      <c r="R36" s="181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80"/>
      <c r="R37" s="181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80"/>
      <c r="R38" s="181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80"/>
      <c r="R39" s="181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80"/>
      <c r="R40" s="181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80"/>
      <c r="R41" s="181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82"/>
      <c r="R42" s="183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91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82"/>
      <c r="R50" s="183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80"/>
      <c r="R51" s="181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80"/>
      <c r="R52" s="181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80"/>
      <c r="R53" s="181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80"/>
      <c r="R54" s="181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80"/>
      <c r="R55" s="181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80"/>
      <c r="R56" s="181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80"/>
      <c r="R57" s="181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80"/>
      <c r="R58" s="181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91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82"/>
      <c r="R67" s="183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80"/>
      <c r="R68" s="181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80"/>
      <c r="R69" s="181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80"/>
      <c r="R70" s="181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80"/>
      <c r="R71" s="181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80"/>
      <c r="R72" s="181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80"/>
      <c r="R73" s="181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80"/>
      <c r="R74" s="181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80"/>
      <c r="R75" s="181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82"/>
      <c r="R76" s="183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91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82"/>
      <c r="R84" s="183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80"/>
      <c r="R85" s="181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80"/>
      <c r="R86" s="181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80"/>
      <c r="R87" s="181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80"/>
      <c r="R88" s="181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80"/>
      <c r="R89" s="181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80"/>
      <c r="R90" s="181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80"/>
      <c r="R91" s="181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80"/>
      <c r="R92" s="181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82"/>
      <c r="R93" s="183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91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82"/>
      <c r="R101" s="183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80"/>
      <c r="R102" s="181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80"/>
      <c r="R103" s="181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80"/>
      <c r="R104" s="181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80"/>
      <c r="R105" s="181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80"/>
      <c r="R106" s="181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80"/>
      <c r="R107" s="181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80"/>
      <c r="R108" s="181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80"/>
      <c r="R109" s="181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82"/>
      <c r="R110" s="183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35" priority="89">
      <formula>$E$27&gt;0</formula>
    </cfRule>
    <cfRule type="expression" dxfId="634" priority="90">
      <formula>$E$27&lt;0</formula>
    </cfRule>
  </conditionalFormatting>
  <conditionalFormatting sqref="G15:I16 H27:I27">
    <cfRule type="expression" dxfId="633" priority="87">
      <formula>$H$27&gt;0</formula>
    </cfRule>
    <cfRule type="expression" dxfId="632" priority="88">
      <formula>$H$27&lt;0</formula>
    </cfRule>
  </conditionalFormatting>
  <conditionalFormatting sqref="J15:L16 K27:L27">
    <cfRule type="expression" dxfId="631" priority="85">
      <formula>$K$27&gt;0</formula>
    </cfRule>
    <cfRule type="expression" dxfId="630" priority="86">
      <formula>$K$27&lt;0</formula>
    </cfRule>
  </conditionalFormatting>
  <conditionalFormatting sqref="M15:O16 N27:O27">
    <cfRule type="expression" dxfId="629" priority="83">
      <formula>$N$27&gt;0</formula>
    </cfRule>
    <cfRule type="expression" dxfId="628" priority="84">
      <formula>$N$27&lt;0</formula>
    </cfRule>
  </conditionalFormatting>
  <conditionalFormatting sqref="A17:O26 A34:O43">
    <cfRule type="expression" dxfId="627" priority="91">
      <formula>AND($N17 &gt; 0, ISNUMBER($N17))</formula>
    </cfRule>
    <cfRule type="expression" dxfId="626" priority="92">
      <formula>AND($N17 &lt; 0, ISNUMBER($N17))</formula>
    </cfRule>
    <cfRule type="expression" dxfId="625" priority="93">
      <formula>AND($K17 &gt; 0, ISNUMBER($K17))</formula>
    </cfRule>
    <cfRule type="expression" dxfId="624" priority="94">
      <formula>AND($K17 &lt; 0, ISNUMBER($K17))</formula>
    </cfRule>
    <cfRule type="expression" dxfId="623" priority="95">
      <formula>AND($H17 &gt; 0, ISNUMBER($H17))</formula>
    </cfRule>
    <cfRule type="expression" dxfId="622" priority="96">
      <formula>AND($H17 &lt; 0, ISNUMBER($H17))</formula>
    </cfRule>
    <cfRule type="expression" dxfId="621" priority="97">
      <formula>AND($E17 &gt; 0, ISNUMBER($E17))</formula>
    </cfRule>
    <cfRule type="expression" dxfId="620" priority="98">
      <formula>AND($E17 &lt; 0, ISNUMBER($E17))</formula>
    </cfRule>
  </conditionalFormatting>
  <conditionalFormatting sqref="D32:F33 E44:F44">
    <cfRule type="expression" dxfId="619" priority="81">
      <formula>$E$44&gt;0</formula>
    </cfRule>
    <cfRule type="expression" dxfId="618" priority="82">
      <formula>$E$44&lt;0</formula>
    </cfRule>
  </conditionalFormatting>
  <conditionalFormatting sqref="G32:I33 H44:I44">
    <cfRule type="expression" dxfId="617" priority="79">
      <formula>$H$44&gt;0</formula>
    </cfRule>
    <cfRule type="expression" dxfId="616" priority="80">
      <formula>$H$44&lt;0</formula>
    </cfRule>
  </conditionalFormatting>
  <conditionalFormatting sqref="J32:L33 K44:L44">
    <cfRule type="expression" dxfId="615" priority="77">
      <formula>$K$44&gt;0</formula>
    </cfRule>
    <cfRule type="expression" dxfId="614" priority="78">
      <formula>$K$44&lt;0</formula>
    </cfRule>
  </conditionalFormatting>
  <conditionalFormatting sqref="M32:O33 N44:O44">
    <cfRule type="expression" dxfId="613" priority="75">
      <formula>$N$44&gt;0</formula>
    </cfRule>
    <cfRule type="expression" dxfId="612" priority="76">
      <formula>$N$44&lt;0</formula>
    </cfRule>
  </conditionalFormatting>
  <conditionalFormatting sqref="A51:O60">
    <cfRule type="expression" dxfId="611" priority="67">
      <formula>AND($N51 &gt; 0, ISNUMBER($N51))</formula>
    </cfRule>
    <cfRule type="expression" dxfId="610" priority="68">
      <formula>AND($N51 &lt; 0, ISNUMBER($N51))</formula>
    </cfRule>
    <cfRule type="expression" dxfId="609" priority="69">
      <formula>AND($K51 &gt; 0, ISNUMBER($K51))</formula>
    </cfRule>
    <cfRule type="expression" dxfId="608" priority="70">
      <formula>AND($K51 &lt; 0, ISNUMBER($K51))</formula>
    </cfRule>
    <cfRule type="expression" dxfId="607" priority="71">
      <formula>AND($H51 &gt; 0, ISNUMBER($H51))</formula>
    </cfRule>
    <cfRule type="expression" dxfId="606" priority="72">
      <formula>AND($H51 &lt; 0, ISNUMBER($H51))</formula>
    </cfRule>
    <cfRule type="expression" dxfId="605" priority="73">
      <formula>AND($E51 &gt; 0, ISNUMBER($E51))</formula>
    </cfRule>
    <cfRule type="expression" dxfId="604" priority="74">
      <formula>AND($E51 &lt; 0, ISNUMBER($E51))</formula>
    </cfRule>
  </conditionalFormatting>
  <conditionalFormatting sqref="D49:F50 E61:F61">
    <cfRule type="expression" dxfId="603" priority="65">
      <formula>$E$61&gt;0</formula>
    </cfRule>
    <cfRule type="expression" dxfId="602" priority="66">
      <formula>$E$61&lt;0</formula>
    </cfRule>
  </conditionalFormatting>
  <conditionalFormatting sqref="G49:I50 H61:I61">
    <cfRule type="expression" dxfId="601" priority="63">
      <formula>$H$61&gt;0</formula>
    </cfRule>
    <cfRule type="expression" dxfId="600" priority="64">
      <formula>$H$61&lt;0</formula>
    </cfRule>
  </conditionalFormatting>
  <conditionalFormatting sqref="J49:L50 K61:L61">
    <cfRule type="expression" dxfId="599" priority="61">
      <formula>$K$61&gt;0</formula>
    </cfRule>
    <cfRule type="expression" dxfId="598" priority="62">
      <formula>$K$61&lt;0</formula>
    </cfRule>
  </conditionalFormatting>
  <conditionalFormatting sqref="M49:O50 N61:O61">
    <cfRule type="expression" dxfId="597" priority="59">
      <formula>$N$61&gt;0</formula>
    </cfRule>
    <cfRule type="expression" dxfId="596" priority="60">
      <formula>$N$61&lt;0</formula>
    </cfRule>
  </conditionalFormatting>
  <conditionalFormatting sqref="A68:O77">
    <cfRule type="expression" dxfId="595" priority="51">
      <formula>AND($N68 &gt; 0, ISNUMBER($N68))</formula>
    </cfRule>
    <cfRule type="expression" dxfId="594" priority="52">
      <formula>AND($N68 &lt; 0, ISNUMBER($N68))</formula>
    </cfRule>
    <cfRule type="expression" dxfId="593" priority="53">
      <formula>AND($K68 &gt; 0, ISNUMBER($K68))</formula>
    </cfRule>
    <cfRule type="expression" dxfId="592" priority="54">
      <formula>AND($K68 &lt; 0, ISNUMBER($K68))</formula>
    </cfRule>
    <cfRule type="expression" dxfId="591" priority="55">
      <formula>AND($H68 &gt; 0, ISNUMBER($H68))</formula>
    </cfRule>
    <cfRule type="expression" dxfId="590" priority="56">
      <formula>AND($H68 &lt; 0, ISNUMBER($H68))</formula>
    </cfRule>
    <cfRule type="expression" dxfId="589" priority="57">
      <formula>AND($E68 &gt; 0, ISNUMBER($E68))</formula>
    </cfRule>
    <cfRule type="expression" dxfId="588" priority="58">
      <formula>AND($E68 &lt; 0, ISNUMBER($E68))</formula>
    </cfRule>
  </conditionalFormatting>
  <conditionalFormatting sqref="D66:F67 E78:F78">
    <cfRule type="expression" dxfId="587" priority="49">
      <formula>$E$78&gt;0</formula>
    </cfRule>
    <cfRule type="expression" dxfId="586" priority="50">
      <formula>$E$78&lt;0</formula>
    </cfRule>
  </conditionalFormatting>
  <conditionalFormatting sqref="G66:I67 H78:I78">
    <cfRule type="expression" dxfId="585" priority="47">
      <formula>$H$78&gt;0</formula>
    </cfRule>
    <cfRule type="expression" dxfId="584" priority="48">
      <formula>$H$78&lt;0</formula>
    </cfRule>
  </conditionalFormatting>
  <conditionalFormatting sqref="J66:L67 K78:L78">
    <cfRule type="expression" dxfId="583" priority="45">
      <formula>$K$78&gt;0</formula>
    </cfRule>
    <cfRule type="expression" dxfId="582" priority="46">
      <formula>$K$78&lt;0</formula>
    </cfRule>
  </conditionalFormatting>
  <conditionalFormatting sqref="M66:O67 N78:O78">
    <cfRule type="expression" dxfId="581" priority="43">
      <formula>$N$78&gt;0</formula>
    </cfRule>
    <cfRule type="expression" dxfId="580" priority="44">
      <formula>$N$78&lt;0</formula>
    </cfRule>
  </conditionalFormatting>
  <conditionalFormatting sqref="A85:O94">
    <cfRule type="expression" dxfId="579" priority="35">
      <formula>AND($N85 &gt; 0, ISNUMBER($N85))</formula>
    </cfRule>
    <cfRule type="expression" dxfId="578" priority="36">
      <formula>AND($N85 &lt; 0, ISNUMBER($N85))</formula>
    </cfRule>
    <cfRule type="expression" dxfId="577" priority="37">
      <formula>AND($K85 &gt; 0, ISNUMBER($K85))</formula>
    </cfRule>
    <cfRule type="expression" dxfId="576" priority="38">
      <formula>AND($K85 &lt; 0, ISNUMBER($K85))</formula>
    </cfRule>
    <cfRule type="expression" dxfId="575" priority="39">
      <formula>AND($H85 &gt; 0, ISNUMBER($H85))</formula>
    </cfRule>
    <cfRule type="expression" dxfId="574" priority="40">
      <formula>AND($H85 &lt; 0, ISNUMBER($H85))</formula>
    </cfRule>
    <cfRule type="expression" dxfId="573" priority="41">
      <formula>AND($E85 &gt; 0, ISNUMBER($E85))</formula>
    </cfRule>
    <cfRule type="expression" dxfId="572" priority="42">
      <formula>AND($E85 &lt; 0, ISNUMBER($E85))</formula>
    </cfRule>
  </conditionalFormatting>
  <conditionalFormatting sqref="D83:F84 E95:F95">
    <cfRule type="expression" dxfId="571" priority="33">
      <formula>$E$95&gt;0</formula>
    </cfRule>
    <cfRule type="expression" dxfId="570" priority="34">
      <formula>$E$95&lt;0</formula>
    </cfRule>
  </conditionalFormatting>
  <conditionalFormatting sqref="G83:I84 H95:I95">
    <cfRule type="expression" dxfId="569" priority="31">
      <formula>$H$95&gt;0</formula>
    </cfRule>
    <cfRule type="expression" dxfId="568" priority="32">
      <formula>$H$95&lt;0</formula>
    </cfRule>
  </conditionalFormatting>
  <conditionalFormatting sqref="J83:L84 K95:L95">
    <cfRule type="expression" dxfId="567" priority="29">
      <formula>$K$95&gt;0</formula>
    </cfRule>
    <cfRule type="expression" dxfId="566" priority="30">
      <formula>$K$95&lt;0</formula>
    </cfRule>
  </conditionalFormatting>
  <conditionalFormatting sqref="M83:O84 N95:O95">
    <cfRule type="expression" dxfId="565" priority="27">
      <formula>$N$95&gt;0</formula>
    </cfRule>
    <cfRule type="expression" dxfId="564" priority="28">
      <formula>$N$95&lt;0</formula>
    </cfRule>
  </conditionalFormatting>
  <conditionalFormatting sqref="A102:O111">
    <cfRule type="expression" dxfId="563" priority="19">
      <formula>AND($N102 &gt; 0, ISNUMBER($N102))</formula>
    </cfRule>
    <cfRule type="expression" dxfId="562" priority="20">
      <formula>AND($N102 &lt; 0, ISNUMBER($N102))</formula>
    </cfRule>
    <cfRule type="expression" dxfId="561" priority="21">
      <formula>AND($K102 &gt; 0, ISNUMBER($K102))</formula>
    </cfRule>
    <cfRule type="expression" dxfId="560" priority="22">
      <formula>AND($K102 &lt; 0, ISNUMBER($K102))</formula>
    </cfRule>
    <cfRule type="expression" dxfId="559" priority="23">
      <formula>AND($H102 &gt; 0, ISNUMBER($H102))</formula>
    </cfRule>
    <cfRule type="expression" dxfId="558" priority="24">
      <formula>AND($H102 &lt; 0, ISNUMBER($H102))</formula>
    </cfRule>
    <cfRule type="expression" dxfId="557" priority="25">
      <formula>AND($E102 &gt; 0, ISNUMBER($E102))</formula>
    </cfRule>
    <cfRule type="expression" dxfId="556" priority="26">
      <formula>AND($E102 &lt; 0, ISNUMBER($E102))</formula>
    </cfRule>
  </conditionalFormatting>
  <conditionalFormatting sqref="D100:F101 E112:F112">
    <cfRule type="expression" dxfId="555" priority="17">
      <formula>$E$112&gt;0</formula>
    </cfRule>
    <cfRule type="expression" dxfId="554" priority="18">
      <formula>$E$112&lt;0</formula>
    </cfRule>
  </conditionalFormatting>
  <conditionalFormatting sqref="G100:I101 H112:I112">
    <cfRule type="expression" dxfId="553" priority="15">
      <formula>$H$112&gt;0</formula>
    </cfRule>
    <cfRule type="expression" dxfId="552" priority="16">
      <formula>$H$112&lt;0</formula>
    </cfRule>
  </conditionalFormatting>
  <conditionalFormatting sqref="J100:L101 K112:L112">
    <cfRule type="expression" dxfId="551" priority="13">
      <formula>$K$112&gt;0</formula>
    </cfRule>
    <cfRule type="expression" dxfId="550" priority="14">
      <formula>$K$112&lt;0</formula>
    </cfRule>
  </conditionalFormatting>
  <conditionalFormatting sqref="M100:O101 N112:O112">
    <cfRule type="expression" dxfId="549" priority="11">
      <formula>$N$112&gt;0</formula>
    </cfRule>
    <cfRule type="expression" dxfId="548" priority="12">
      <formula>$N$112&lt;0</formula>
    </cfRule>
  </conditionalFormatting>
  <conditionalFormatting sqref="G2:I3">
    <cfRule type="expression" dxfId="5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44295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99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98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57"/>
      <c r="R16" s="158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55"/>
      <c r="R17" s="156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55"/>
      <c r="R18" s="156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55"/>
      <c r="R19" s="156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55"/>
      <c r="R20" s="156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55"/>
      <c r="R21" s="156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55"/>
      <c r="R22" s="156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55"/>
      <c r="R23" s="156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55"/>
      <c r="R24" s="156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57"/>
      <c r="R25" s="158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98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82"/>
      <c r="R33" s="183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80"/>
      <c r="R34" s="181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80"/>
      <c r="R35" s="18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98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82"/>
      <c r="R50" s="183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80"/>
      <c r="R51" s="181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80"/>
      <c r="R52" s="181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80"/>
      <c r="R53" s="181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80"/>
      <c r="R54" s="181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80"/>
      <c r="R55" s="181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80"/>
      <c r="R56" s="181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80"/>
      <c r="R57" s="181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80"/>
      <c r="R58" s="181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82"/>
      <c r="R59" s="183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98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82"/>
      <c r="R67" s="183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80"/>
      <c r="R68" s="181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80"/>
      <c r="R69" s="181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80"/>
      <c r="R70" s="181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80"/>
      <c r="R71" s="181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80"/>
      <c r="R72" s="181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80"/>
      <c r="R73" s="181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80"/>
      <c r="R74" s="181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80"/>
      <c r="R75" s="181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82"/>
      <c r="R76" s="183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98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82"/>
      <c r="R84" s="183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80"/>
      <c r="R85" s="181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80"/>
      <c r="R86" s="181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80"/>
      <c r="R87" s="181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80"/>
      <c r="R88" s="181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80"/>
      <c r="R89" s="181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80"/>
      <c r="R90" s="181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80"/>
      <c r="R91" s="181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80"/>
      <c r="R92" s="181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82"/>
      <c r="R93" s="183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98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82"/>
      <c r="R101" s="183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80"/>
      <c r="R102" s="181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80"/>
      <c r="R103" s="181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80"/>
      <c r="R104" s="181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80"/>
      <c r="R105" s="181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80"/>
      <c r="R106" s="181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80"/>
      <c r="R107" s="181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80"/>
      <c r="R108" s="181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80"/>
      <c r="R109" s="181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82"/>
      <c r="R110" s="183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84"/>
      <c r="R112" s="18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37" priority="89">
      <formula>$E$27&gt;0</formula>
    </cfRule>
    <cfRule type="expression" dxfId="536" priority="90">
      <formula>$E$27&lt;0</formula>
    </cfRule>
  </conditionalFormatting>
  <conditionalFormatting sqref="G15:I16 H27:I27">
    <cfRule type="expression" dxfId="535" priority="87">
      <formula>$H$27&gt;0</formula>
    </cfRule>
    <cfRule type="expression" dxfId="534" priority="88">
      <formula>$H$27&lt;0</formula>
    </cfRule>
  </conditionalFormatting>
  <conditionalFormatting sqref="J15:L16 K27:L27">
    <cfRule type="expression" dxfId="533" priority="85">
      <formula>$K$27&gt;0</formula>
    </cfRule>
    <cfRule type="expression" dxfId="532" priority="86">
      <formula>$K$27&lt;0</formula>
    </cfRule>
  </conditionalFormatting>
  <conditionalFormatting sqref="M15:O16 N27:O27">
    <cfRule type="expression" dxfId="531" priority="83">
      <formula>$N$27&gt;0</formula>
    </cfRule>
    <cfRule type="expression" dxfId="530" priority="84">
      <formula>$N$27&lt;0</formula>
    </cfRule>
  </conditionalFormatting>
  <conditionalFormatting sqref="A17:O26 A34:O43">
    <cfRule type="expression" dxfId="529" priority="91">
      <formula>AND($N17 &gt; 0, ISNUMBER($N17))</formula>
    </cfRule>
    <cfRule type="expression" dxfId="528" priority="92">
      <formula>AND($N17 &lt; 0, ISNUMBER($N17))</formula>
    </cfRule>
    <cfRule type="expression" dxfId="527" priority="93">
      <formula>AND($K17 &gt; 0, ISNUMBER($K17))</formula>
    </cfRule>
    <cfRule type="expression" dxfId="526" priority="94">
      <formula>AND($K17 &lt; 0, ISNUMBER($K17))</formula>
    </cfRule>
    <cfRule type="expression" dxfId="525" priority="95">
      <formula>AND($H17 &gt; 0, ISNUMBER($H17))</formula>
    </cfRule>
    <cfRule type="expression" dxfId="524" priority="96">
      <formula>AND($H17 &lt; 0, ISNUMBER($H17))</formula>
    </cfRule>
    <cfRule type="expression" dxfId="523" priority="97">
      <formula>AND($E17 &gt; 0, ISNUMBER($E17))</formula>
    </cfRule>
    <cfRule type="expression" dxfId="522" priority="98">
      <formula>AND($E17 &lt; 0, ISNUMBER($E17))</formula>
    </cfRule>
  </conditionalFormatting>
  <conditionalFormatting sqref="D32:F33 E44:F44">
    <cfRule type="expression" dxfId="521" priority="81">
      <formula>$E$44&gt;0</formula>
    </cfRule>
    <cfRule type="expression" dxfId="520" priority="82">
      <formula>$E$44&lt;0</formula>
    </cfRule>
  </conditionalFormatting>
  <conditionalFormatting sqref="G32:I33 H44:I44">
    <cfRule type="expression" dxfId="519" priority="79">
      <formula>$H$44&gt;0</formula>
    </cfRule>
    <cfRule type="expression" dxfId="518" priority="80">
      <formula>$H$44&lt;0</formula>
    </cfRule>
  </conditionalFormatting>
  <conditionalFormatting sqref="J32:L33 K44:L44">
    <cfRule type="expression" dxfId="517" priority="77">
      <formula>$K$44&gt;0</formula>
    </cfRule>
    <cfRule type="expression" dxfId="516" priority="78">
      <formula>$K$44&lt;0</formula>
    </cfRule>
  </conditionalFormatting>
  <conditionalFormatting sqref="M32:O33 N44:O44">
    <cfRule type="expression" dxfId="515" priority="75">
      <formula>$N$44&gt;0</formula>
    </cfRule>
    <cfRule type="expression" dxfId="514" priority="76">
      <formula>$N$44&lt;0</formula>
    </cfRule>
  </conditionalFormatting>
  <conditionalFormatting sqref="A51:O60">
    <cfRule type="expression" dxfId="513" priority="67">
      <formula>AND($N51 &gt; 0, ISNUMBER($N51))</formula>
    </cfRule>
    <cfRule type="expression" dxfId="512" priority="68">
      <formula>AND($N51 &lt; 0, ISNUMBER($N51))</formula>
    </cfRule>
    <cfRule type="expression" dxfId="511" priority="69">
      <formula>AND($K51 &gt; 0, ISNUMBER($K51))</formula>
    </cfRule>
    <cfRule type="expression" dxfId="510" priority="70">
      <formula>AND($K51 &lt; 0, ISNUMBER($K51))</formula>
    </cfRule>
    <cfRule type="expression" dxfId="509" priority="71">
      <formula>AND($H51 &gt; 0, ISNUMBER($H51))</formula>
    </cfRule>
    <cfRule type="expression" dxfId="508" priority="72">
      <formula>AND($H51 &lt; 0, ISNUMBER($H51))</formula>
    </cfRule>
    <cfRule type="expression" dxfId="507" priority="73">
      <formula>AND($E51 &gt; 0, ISNUMBER($E51))</formula>
    </cfRule>
    <cfRule type="expression" dxfId="506" priority="74">
      <formula>AND($E51 &lt; 0, ISNUMBER($E51))</formula>
    </cfRule>
  </conditionalFormatting>
  <conditionalFormatting sqref="D49:F50 E61:F61">
    <cfRule type="expression" dxfId="505" priority="65">
      <formula>$E$61&gt;0</formula>
    </cfRule>
    <cfRule type="expression" dxfId="504" priority="66">
      <formula>$E$61&lt;0</formula>
    </cfRule>
  </conditionalFormatting>
  <conditionalFormatting sqref="G49:I50 H61:I61">
    <cfRule type="expression" dxfId="503" priority="63">
      <formula>$H$61&gt;0</formula>
    </cfRule>
    <cfRule type="expression" dxfId="502" priority="64">
      <formula>$H$61&lt;0</formula>
    </cfRule>
  </conditionalFormatting>
  <conditionalFormatting sqref="J49:L50 K61:L61">
    <cfRule type="expression" dxfId="501" priority="61">
      <formula>$K$61&gt;0</formula>
    </cfRule>
    <cfRule type="expression" dxfId="500" priority="62">
      <formula>$K$61&lt;0</formula>
    </cfRule>
  </conditionalFormatting>
  <conditionalFormatting sqref="M49:O50 N61:O61">
    <cfRule type="expression" dxfId="499" priority="59">
      <formula>$N$61&gt;0</formula>
    </cfRule>
    <cfRule type="expression" dxfId="498" priority="60">
      <formula>$N$61&lt;0</formula>
    </cfRule>
  </conditionalFormatting>
  <conditionalFormatting sqref="A68:O77">
    <cfRule type="expression" dxfId="497" priority="51">
      <formula>AND($N68 &gt; 0, ISNUMBER($N68))</formula>
    </cfRule>
    <cfRule type="expression" dxfId="496" priority="52">
      <formula>AND($N68 &lt; 0, ISNUMBER($N68))</formula>
    </cfRule>
    <cfRule type="expression" dxfId="495" priority="53">
      <formula>AND($K68 &gt; 0, ISNUMBER($K68))</formula>
    </cfRule>
    <cfRule type="expression" dxfId="494" priority="54">
      <formula>AND($K68 &lt; 0, ISNUMBER($K68))</formula>
    </cfRule>
    <cfRule type="expression" dxfId="493" priority="55">
      <formula>AND($H68 &gt; 0, ISNUMBER($H68))</formula>
    </cfRule>
    <cfRule type="expression" dxfId="492" priority="56">
      <formula>AND($H68 &lt; 0, ISNUMBER($H68))</formula>
    </cfRule>
    <cfRule type="expression" dxfId="491" priority="57">
      <formula>AND($E68 &gt; 0, ISNUMBER($E68))</formula>
    </cfRule>
    <cfRule type="expression" dxfId="490" priority="58">
      <formula>AND($E68 &lt; 0, ISNUMBER($E68))</formula>
    </cfRule>
  </conditionalFormatting>
  <conditionalFormatting sqref="D66:F67 E78:F78">
    <cfRule type="expression" dxfId="489" priority="49">
      <formula>$E$78&gt;0</formula>
    </cfRule>
    <cfRule type="expression" dxfId="488" priority="50">
      <formula>$E$78&lt;0</formula>
    </cfRule>
  </conditionalFormatting>
  <conditionalFormatting sqref="G66:I67 H78:I78">
    <cfRule type="expression" dxfId="487" priority="47">
      <formula>$H$78&gt;0</formula>
    </cfRule>
    <cfRule type="expression" dxfId="486" priority="48">
      <formula>$H$78&lt;0</formula>
    </cfRule>
  </conditionalFormatting>
  <conditionalFormatting sqref="J66:L67 K78:L78">
    <cfRule type="expression" dxfId="485" priority="45">
      <formula>$K$78&gt;0</formula>
    </cfRule>
    <cfRule type="expression" dxfId="484" priority="46">
      <formula>$K$78&lt;0</formula>
    </cfRule>
  </conditionalFormatting>
  <conditionalFormatting sqref="M66:O67 N78:O78">
    <cfRule type="expression" dxfId="483" priority="43">
      <formula>$N$78&gt;0</formula>
    </cfRule>
    <cfRule type="expression" dxfId="482" priority="44">
      <formula>$N$78&lt;0</formula>
    </cfRule>
  </conditionalFormatting>
  <conditionalFormatting sqref="A85:O94">
    <cfRule type="expression" dxfId="481" priority="35">
      <formula>AND($N85 &gt; 0, ISNUMBER($N85))</formula>
    </cfRule>
    <cfRule type="expression" dxfId="480" priority="36">
      <formula>AND($N85 &lt; 0, ISNUMBER($N85))</formula>
    </cfRule>
    <cfRule type="expression" dxfId="479" priority="37">
      <formula>AND($K85 &gt; 0, ISNUMBER($K85))</formula>
    </cfRule>
    <cfRule type="expression" dxfId="478" priority="38">
      <formula>AND($K85 &lt; 0, ISNUMBER($K85))</formula>
    </cfRule>
    <cfRule type="expression" dxfId="477" priority="39">
      <formula>AND($H85 &gt; 0, ISNUMBER($H85))</formula>
    </cfRule>
    <cfRule type="expression" dxfId="476" priority="40">
      <formula>AND($H85 &lt; 0, ISNUMBER($H85))</formula>
    </cfRule>
    <cfRule type="expression" dxfId="475" priority="41">
      <formula>AND($E85 &gt; 0, ISNUMBER($E85))</formula>
    </cfRule>
    <cfRule type="expression" dxfId="474" priority="42">
      <formula>AND($E85 &lt; 0, ISNUMBER($E85))</formula>
    </cfRule>
  </conditionalFormatting>
  <conditionalFormatting sqref="D83:F84 E95:F95">
    <cfRule type="expression" dxfId="473" priority="33">
      <formula>$E$95&gt;0</formula>
    </cfRule>
    <cfRule type="expression" dxfId="472" priority="34">
      <formula>$E$95&lt;0</formula>
    </cfRule>
  </conditionalFormatting>
  <conditionalFormatting sqref="G83:I84 H95:I95">
    <cfRule type="expression" dxfId="471" priority="31">
      <formula>$H$95&gt;0</formula>
    </cfRule>
    <cfRule type="expression" dxfId="470" priority="32">
      <formula>$H$95&lt;0</formula>
    </cfRule>
  </conditionalFormatting>
  <conditionalFormatting sqref="J83:L84 K95:L95">
    <cfRule type="expression" dxfId="469" priority="29">
      <formula>$K$95&gt;0</formula>
    </cfRule>
    <cfRule type="expression" dxfId="468" priority="30">
      <formula>$K$95&lt;0</formula>
    </cfRule>
  </conditionalFormatting>
  <conditionalFormatting sqref="M83:O84 N95:O95">
    <cfRule type="expression" dxfId="467" priority="27">
      <formula>$N$95&gt;0</formula>
    </cfRule>
    <cfRule type="expression" dxfId="466" priority="28">
      <formula>$N$95&lt;0</formula>
    </cfRule>
  </conditionalFormatting>
  <conditionalFormatting sqref="A102:O111">
    <cfRule type="expression" dxfId="465" priority="19">
      <formula>AND($N102 &gt; 0, ISNUMBER($N102))</formula>
    </cfRule>
    <cfRule type="expression" dxfId="464" priority="20">
      <formula>AND($N102 &lt; 0, ISNUMBER($N102))</formula>
    </cfRule>
    <cfRule type="expression" dxfId="463" priority="21">
      <formula>AND($K102 &gt; 0, ISNUMBER($K102))</formula>
    </cfRule>
    <cfRule type="expression" dxfId="462" priority="22">
      <formula>AND($K102 &lt; 0, ISNUMBER($K102))</formula>
    </cfRule>
    <cfRule type="expression" dxfId="461" priority="23">
      <formula>AND($H102 &gt; 0, ISNUMBER($H102))</formula>
    </cfRule>
    <cfRule type="expression" dxfId="460" priority="24">
      <formula>AND($H102 &lt; 0, ISNUMBER($H102))</formula>
    </cfRule>
    <cfRule type="expression" dxfId="459" priority="25">
      <formula>AND($E102 &gt; 0, ISNUMBER($E102))</formula>
    </cfRule>
    <cfRule type="expression" dxfId="458" priority="26">
      <formula>AND($E102 &lt; 0, ISNUMBER($E102))</formula>
    </cfRule>
  </conditionalFormatting>
  <conditionalFormatting sqref="D100:F101 E112:F112">
    <cfRule type="expression" dxfId="457" priority="17">
      <formula>$E$112&gt;0</formula>
    </cfRule>
    <cfRule type="expression" dxfId="456" priority="18">
      <formula>$E$112&lt;0</formula>
    </cfRule>
  </conditionalFormatting>
  <conditionalFormatting sqref="G100:I101 H112:I112">
    <cfRule type="expression" dxfId="455" priority="15">
      <formula>$H$112&gt;0</formula>
    </cfRule>
    <cfRule type="expression" dxfId="454" priority="16">
      <formula>$H$112&lt;0</formula>
    </cfRule>
  </conditionalFormatting>
  <conditionalFormatting sqref="J100:L101 K112:L112">
    <cfRule type="expression" dxfId="453" priority="13">
      <formula>$K$112&gt;0</formula>
    </cfRule>
    <cfRule type="expression" dxfId="452" priority="14">
      <formula>$K$112&lt;0</formula>
    </cfRule>
  </conditionalFormatting>
  <conditionalFormatting sqref="M100:O101 N112:O112">
    <cfRule type="expression" dxfId="451" priority="11">
      <formula>$N$112&gt;0</formula>
    </cfRule>
    <cfRule type="expression" dxfId="450" priority="12">
      <formula>$N$112&lt;0</formula>
    </cfRule>
  </conditionalFormatting>
  <conditionalFormatting sqref="G2:I3">
    <cfRule type="expression" dxfId="4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44296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114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109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57"/>
      <c r="R16" s="158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55"/>
      <c r="R17" s="156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55"/>
      <c r="R18" s="156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55"/>
      <c r="R19" s="156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55"/>
      <c r="R20" s="156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55"/>
      <c r="R21" s="156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55"/>
      <c r="R22" s="156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55"/>
      <c r="R23" s="156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55"/>
      <c r="R24" s="156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57"/>
      <c r="R25" s="158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109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82"/>
      <c r="R33" s="183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80"/>
      <c r="R34" s="181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80"/>
      <c r="R35" s="181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80"/>
      <c r="R36" s="181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80"/>
      <c r="R37" s="181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80"/>
      <c r="R38" s="181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80"/>
      <c r="R39" s="18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109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82"/>
      <c r="R50" s="183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80"/>
      <c r="R51" s="18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0"/>
      <c r="R52" s="18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109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82"/>
      <c r="R67" s="183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80"/>
      <c r="R68" s="181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80"/>
      <c r="R69" s="181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80"/>
      <c r="R70" s="181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80"/>
      <c r="R71" s="181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80"/>
      <c r="R72" s="181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80"/>
      <c r="R73" s="181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80"/>
      <c r="R74" s="181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80"/>
      <c r="R75" s="181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82"/>
      <c r="R76" s="183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109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82"/>
      <c r="R84" s="183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80"/>
      <c r="R85" s="181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80"/>
      <c r="R86" s="181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80"/>
      <c r="R87" s="181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80"/>
      <c r="R88" s="181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80"/>
      <c r="R89" s="181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80"/>
      <c r="R90" s="181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80"/>
      <c r="R91" s="181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80"/>
      <c r="R92" s="181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109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82"/>
      <c r="R101" s="183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80"/>
      <c r="R102" s="181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80"/>
      <c r="R103" s="181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80"/>
      <c r="R104" s="181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80"/>
      <c r="R105" s="181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80"/>
      <c r="R106" s="181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80"/>
      <c r="R107" s="181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80"/>
      <c r="R108" s="181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80"/>
      <c r="R109" s="181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82"/>
      <c r="R110" s="183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39" priority="89">
      <formula>$E$27&gt;0</formula>
    </cfRule>
    <cfRule type="expression" dxfId="438" priority="90">
      <formula>$E$27&lt;0</formula>
    </cfRule>
  </conditionalFormatting>
  <conditionalFormatting sqref="G15:I16 H27:I27">
    <cfRule type="expression" dxfId="437" priority="87">
      <formula>$H$27&gt;0</formula>
    </cfRule>
    <cfRule type="expression" dxfId="436" priority="88">
      <formula>$H$27&lt;0</formula>
    </cfRule>
  </conditionalFormatting>
  <conditionalFormatting sqref="J15:L16 K27:L27">
    <cfRule type="expression" dxfId="435" priority="85">
      <formula>$K$27&gt;0</formula>
    </cfRule>
    <cfRule type="expression" dxfId="434" priority="86">
      <formula>$K$27&lt;0</formula>
    </cfRule>
  </conditionalFormatting>
  <conditionalFormatting sqref="M15:O16 N27:O27">
    <cfRule type="expression" dxfId="433" priority="83">
      <formula>$N$27&gt;0</formula>
    </cfRule>
    <cfRule type="expression" dxfId="432" priority="84">
      <formula>$N$27&lt;0</formula>
    </cfRule>
  </conditionalFormatting>
  <conditionalFormatting sqref="A17:O26 A34:O43">
    <cfRule type="expression" dxfId="431" priority="91">
      <formula>AND($N17 &gt; 0, ISNUMBER($N17))</formula>
    </cfRule>
    <cfRule type="expression" dxfId="430" priority="92">
      <formula>AND($N17 &lt; 0, ISNUMBER($N17))</formula>
    </cfRule>
    <cfRule type="expression" dxfId="429" priority="93">
      <formula>AND($K17 &gt; 0, ISNUMBER($K17))</formula>
    </cfRule>
    <cfRule type="expression" dxfId="428" priority="94">
      <formula>AND($K17 &lt; 0, ISNUMBER($K17))</formula>
    </cfRule>
    <cfRule type="expression" dxfId="427" priority="95">
      <formula>AND($H17 &gt; 0, ISNUMBER($H17))</formula>
    </cfRule>
    <cfRule type="expression" dxfId="426" priority="96">
      <formula>AND($H17 &lt; 0, ISNUMBER($H17))</formula>
    </cfRule>
    <cfRule type="expression" dxfId="425" priority="97">
      <formula>AND($E17 &gt; 0, ISNUMBER($E17))</formula>
    </cfRule>
    <cfRule type="expression" dxfId="424" priority="98">
      <formula>AND($E17 &lt; 0, ISNUMBER($E17))</formula>
    </cfRule>
  </conditionalFormatting>
  <conditionalFormatting sqref="D32:F33 E44:F44">
    <cfRule type="expression" dxfId="423" priority="81">
      <formula>$E$44&gt;0</formula>
    </cfRule>
    <cfRule type="expression" dxfId="422" priority="82">
      <formula>$E$44&lt;0</formula>
    </cfRule>
  </conditionalFormatting>
  <conditionalFormatting sqref="G32:I33 H44:I44">
    <cfRule type="expression" dxfId="421" priority="79">
      <formula>$H$44&gt;0</formula>
    </cfRule>
    <cfRule type="expression" dxfId="420" priority="80">
      <formula>$H$44&lt;0</formula>
    </cfRule>
  </conditionalFormatting>
  <conditionalFormatting sqref="J32:L33 K44:L44">
    <cfRule type="expression" dxfId="419" priority="77">
      <formula>$K$44&gt;0</formula>
    </cfRule>
    <cfRule type="expression" dxfId="418" priority="78">
      <formula>$K$44&lt;0</formula>
    </cfRule>
  </conditionalFormatting>
  <conditionalFormatting sqref="M32:O33 N44:O44">
    <cfRule type="expression" dxfId="417" priority="75">
      <formula>$N$44&gt;0</formula>
    </cfRule>
    <cfRule type="expression" dxfId="416" priority="76">
      <formula>$N$44&lt;0</formula>
    </cfRule>
  </conditionalFormatting>
  <conditionalFormatting sqref="A51:O60">
    <cfRule type="expression" dxfId="415" priority="67">
      <formula>AND($N51 &gt; 0, ISNUMBER($N51))</formula>
    </cfRule>
    <cfRule type="expression" dxfId="414" priority="68">
      <formula>AND($N51 &lt; 0, ISNUMBER($N51))</formula>
    </cfRule>
    <cfRule type="expression" dxfId="413" priority="69">
      <formula>AND($K51 &gt; 0, ISNUMBER($K51))</formula>
    </cfRule>
    <cfRule type="expression" dxfId="412" priority="70">
      <formula>AND($K51 &lt; 0, ISNUMBER($K51))</formula>
    </cfRule>
    <cfRule type="expression" dxfId="411" priority="71">
      <formula>AND($H51 &gt; 0, ISNUMBER($H51))</formula>
    </cfRule>
    <cfRule type="expression" dxfId="410" priority="72">
      <formula>AND($H51 &lt; 0, ISNUMBER($H51))</formula>
    </cfRule>
    <cfRule type="expression" dxfId="409" priority="73">
      <formula>AND($E51 &gt; 0, ISNUMBER($E51))</formula>
    </cfRule>
    <cfRule type="expression" dxfId="408" priority="74">
      <formula>AND($E51 &lt; 0, ISNUMBER($E51))</formula>
    </cfRule>
  </conditionalFormatting>
  <conditionalFormatting sqref="D49:F50 E61:F61">
    <cfRule type="expression" dxfId="407" priority="65">
      <formula>$E$61&gt;0</formula>
    </cfRule>
    <cfRule type="expression" dxfId="406" priority="66">
      <formula>$E$61&lt;0</formula>
    </cfRule>
  </conditionalFormatting>
  <conditionalFormatting sqref="G49:I50 H61:I61">
    <cfRule type="expression" dxfId="405" priority="63">
      <formula>$H$61&gt;0</formula>
    </cfRule>
    <cfRule type="expression" dxfId="404" priority="64">
      <formula>$H$61&lt;0</formula>
    </cfRule>
  </conditionalFormatting>
  <conditionalFormatting sqref="J49:L50 K61:L61">
    <cfRule type="expression" dxfId="403" priority="61">
      <formula>$K$61&gt;0</formula>
    </cfRule>
    <cfRule type="expression" dxfId="402" priority="62">
      <formula>$K$61&lt;0</formula>
    </cfRule>
  </conditionalFormatting>
  <conditionalFormatting sqref="M49:O50 N61:O61">
    <cfRule type="expression" dxfId="401" priority="59">
      <formula>$N$61&gt;0</formula>
    </cfRule>
    <cfRule type="expression" dxfId="400" priority="60">
      <formula>$N$61&lt;0</formula>
    </cfRule>
  </conditionalFormatting>
  <conditionalFormatting sqref="A68:O77">
    <cfRule type="expression" dxfId="399" priority="51">
      <formula>AND($N68 &gt; 0, ISNUMBER($N68))</formula>
    </cfRule>
    <cfRule type="expression" dxfId="398" priority="52">
      <formula>AND($N68 &lt; 0, ISNUMBER($N68))</formula>
    </cfRule>
    <cfRule type="expression" dxfId="397" priority="53">
      <formula>AND($K68 &gt; 0, ISNUMBER($K68))</formula>
    </cfRule>
    <cfRule type="expression" dxfId="396" priority="54">
      <formula>AND($K68 &lt; 0, ISNUMBER($K68))</formula>
    </cfRule>
    <cfRule type="expression" dxfId="395" priority="55">
      <formula>AND($H68 &gt; 0, ISNUMBER($H68))</formula>
    </cfRule>
    <cfRule type="expression" dxfId="394" priority="56">
      <formula>AND($H68 &lt; 0, ISNUMBER($H68))</formula>
    </cfRule>
    <cfRule type="expression" dxfId="393" priority="57">
      <formula>AND($E68 &gt; 0, ISNUMBER($E68))</formula>
    </cfRule>
    <cfRule type="expression" dxfId="392" priority="58">
      <formula>AND($E68 &lt; 0, ISNUMBER($E68))</formula>
    </cfRule>
  </conditionalFormatting>
  <conditionalFormatting sqref="D66:F67 E78:F78">
    <cfRule type="expression" dxfId="391" priority="49">
      <formula>$E$78&gt;0</formula>
    </cfRule>
    <cfRule type="expression" dxfId="390" priority="50">
      <formula>$E$78&lt;0</formula>
    </cfRule>
  </conditionalFormatting>
  <conditionalFormatting sqref="G66:I67 H78:I78">
    <cfRule type="expression" dxfId="389" priority="47">
      <formula>$H$78&gt;0</formula>
    </cfRule>
    <cfRule type="expression" dxfId="388" priority="48">
      <formula>$H$78&lt;0</formula>
    </cfRule>
  </conditionalFormatting>
  <conditionalFormatting sqref="J66:L67 K78:L78">
    <cfRule type="expression" dxfId="387" priority="45">
      <formula>$K$78&gt;0</formula>
    </cfRule>
    <cfRule type="expression" dxfId="386" priority="46">
      <formula>$K$78&lt;0</formula>
    </cfRule>
  </conditionalFormatting>
  <conditionalFormatting sqref="M66:O67 N78:O78">
    <cfRule type="expression" dxfId="385" priority="43">
      <formula>$N$78&gt;0</formula>
    </cfRule>
    <cfRule type="expression" dxfId="384" priority="44">
      <formula>$N$78&lt;0</formula>
    </cfRule>
  </conditionalFormatting>
  <conditionalFormatting sqref="A85:O94">
    <cfRule type="expression" dxfId="383" priority="35">
      <formula>AND($N85 &gt; 0, ISNUMBER($N85))</formula>
    </cfRule>
    <cfRule type="expression" dxfId="382" priority="36">
      <formula>AND($N85 &lt; 0, ISNUMBER($N85))</formula>
    </cfRule>
    <cfRule type="expression" dxfId="381" priority="37">
      <formula>AND($K85 &gt; 0, ISNUMBER($K85))</formula>
    </cfRule>
    <cfRule type="expression" dxfId="380" priority="38">
      <formula>AND($K85 &lt; 0, ISNUMBER($K85))</formula>
    </cfRule>
    <cfRule type="expression" dxfId="379" priority="39">
      <formula>AND($H85 &gt; 0, ISNUMBER($H85))</formula>
    </cfRule>
    <cfRule type="expression" dxfId="378" priority="40">
      <formula>AND($H85 &lt; 0, ISNUMBER($H85))</formula>
    </cfRule>
    <cfRule type="expression" dxfId="377" priority="41">
      <formula>AND($E85 &gt; 0, ISNUMBER($E85))</formula>
    </cfRule>
    <cfRule type="expression" dxfId="376" priority="42">
      <formula>AND($E85 &lt; 0, ISNUMBER($E85))</formula>
    </cfRule>
  </conditionalFormatting>
  <conditionalFormatting sqref="D83:F84 E95:F95">
    <cfRule type="expression" dxfId="375" priority="33">
      <formula>$E$95&gt;0</formula>
    </cfRule>
    <cfRule type="expression" dxfId="374" priority="34">
      <formula>$E$95&lt;0</formula>
    </cfRule>
  </conditionalFormatting>
  <conditionalFormatting sqref="G83:I84 H95:I95">
    <cfRule type="expression" dxfId="373" priority="31">
      <formula>$H$95&gt;0</formula>
    </cfRule>
    <cfRule type="expression" dxfId="372" priority="32">
      <formula>$H$95&lt;0</formula>
    </cfRule>
  </conditionalFormatting>
  <conditionalFormatting sqref="J83:L84 K95:L95">
    <cfRule type="expression" dxfId="371" priority="29">
      <formula>$K$95&gt;0</formula>
    </cfRule>
    <cfRule type="expression" dxfId="370" priority="30">
      <formula>$K$95&lt;0</formula>
    </cfRule>
  </conditionalFormatting>
  <conditionalFormatting sqref="M83:O84 N95:O95">
    <cfRule type="expression" dxfId="369" priority="27">
      <formula>$N$95&gt;0</formula>
    </cfRule>
    <cfRule type="expression" dxfId="368" priority="28">
      <formula>$N$95&lt;0</formula>
    </cfRule>
  </conditionalFormatting>
  <conditionalFormatting sqref="A102:O111">
    <cfRule type="expression" dxfId="367" priority="19">
      <formula>AND($N102 &gt; 0, ISNUMBER($N102))</formula>
    </cfRule>
    <cfRule type="expression" dxfId="366" priority="20">
      <formula>AND($N102 &lt; 0, ISNUMBER($N102))</formula>
    </cfRule>
    <cfRule type="expression" dxfId="365" priority="21">
      <formula>AND($K102 &gt; 0, ISNUMBER($K102))</formula>
    </cfRule>
    <cfRule type="expression" dxfId="364" priority="22">
      <formula>AND($K102 &lt; 0, ISNUMBER($K102))</formula>
    </cfRule>
    <cfRule type="expression" dxfId="363" priority="23">
      <formula>AND($H102 &gt; 0, ISNUMBER($H102))</formula>
    </cfRule>
    <cfRule type="expression" dxfId="362" priority="24">
      <formula>AND($H102 &lt; 0, ISNUMBER($H102))</formula>
    </cfRule>
    <cfRule type="expression" dxfId="361" priority="25">
      <formula>AND($E102 &gt; 0, ISNUMBER($E102))</formula>
    </cfRule>
    <cfRule type="expression" dxfId="360" priority="26">
      <formula>AND($E102 &lt; 0, ISNUMBER($E102))</formula>
    </cfRule>
  </conditionalFormatting>
  <conditionalFormatting sqref="D100:F101 E112:F112">
    <cfRule type="expression" dxfId="359" priority="17">
      <formula>$E$112&gt;0</formula>
    </cfRule>
    <cfRule type="expression" dxfId="358" priority="18">
      <formula>$E$112&lt;0</formula>
    </cfRule>
  </conditionalFormatting>
  <conditionalFormatting sqref="G100:I101 H112:I112">
    <cfRule type="expression" dxfId="357" priority="15">
      <formula>$H$112&gt;0</formula>
    </cfRule>
    <cfRule type="expression" dxfId="356" priority="16">
      <formula>$H$112&lt;0</formula>
    </cfRule>
  </conditionalFormatting>
  <conditionalFormatting sqref="J100:L101 K112:L112">
    <cfRule type="expression" dxfId="355" priority="13">
      <formula>$K$112&gt;0</formula>
    </cfRule>
    <cfRule type="expression" dxfId="354" priority="14">
      <formula>$K$112&lt;0</formula>
    </cfRule>
  </conditionalFormatting>
  <conditionalFormatting sqref="M100:O101 N112:O112">
    <cfRule type="expression" dxfId="353" priority="11">
      <formula>$N$112&gt;0</formula>
    </cfRule>
    <cfRule type="expression" dxfId="352" priority="12">
      <formula>$N$112&lt;0</formula>
    </cfRule>
  </conditionalFormatting>
  <conditionalFormatting sqref="G2:I3">
    <cfRule type="expression" dxfId="3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44297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121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116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57"/>
      <c r="R16" s="158"/>
    </row>
    <row r="17" spans="1:18" ht="17.25" customHeight="1">
      <c r="A17" s="39" t="s">
        <v>333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55"/>
      <c r="R17" s="156"/>
    </row>
    <row r="18" spans="1:18" ht="17.25" customHeight="1">
      <c r="A18" s="40" t="s">
        <v>286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55"/>
      <c r="R18" s="156"/>
    </row>
    <row r="19" spans="1:18" ht="17.25" customHeight="1">
      <c r="A19" s="40" t="s">
        <v>210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55"/>
      <c r="R19" s="156"/>
    </row>
    <row r="20" spans="1:18" ht="17.25" customHeight="1">
      <c r="A20" s="40" t="s">
        <v>169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55"/>
      <c r="R20" s="156"/>
    </row>
    <row r="21" spans="1:18" ht="17.25" customHeight="1">
      <c r="A21" s="41" t="s">
        <v>221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55"/>
      <c r="R21" s="156"/>
    </row>
    <row r="22" spans="1:18" ht="17.25" customHeight="1">
      <c r="A22" s="40" t="s">
        <v>257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55"/>
      <c r="R22" s="156"/>
    </row>
    <row r="23" spans="1:18" ht="17.25" customHeight="1">
      <c r="A23" s="40" t="s">
        <v>141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55"/>
      <c r="R23" s="156"/>
    </row>
    <row r="24" spans="1:18" ht="17.25" customHeight="1">
      <c r="A24" s="40" t="s">
        <v>234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55"/>
      <c r="R24" s="156"/>
    </row>
    <row r="25" spans="1:18" ht="17.25" customHeight="1">
      <c r="A25" s="40" t="s">
        <v>196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57"/>
      <c r="R25" s="158"/>
    </row>
    <row r="26" spans="1:18" ht="17.25" customHeight="1" thickBot="1">
      <c r="A26" s="42" t="s">
        <v>319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116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82"/>
      <c r="R33" s="183"/>
    </row>
    <row r="34" spans="1:18" ht="17.25" customHeight="1">
      <c r="A34" s="9" t="s">
        <v>96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80"/>
      <c r="R34" s="181"/>
    </row>
    <row r="35" spans="1:18" ht="17.25" customHeight="1">
      <c r="A35" s="11" t="s">
        <v>211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80"/>
      <c r="R35" s="181"/>
    </row>
    <row r="36" spans="1:18" ht="17.25" customHeight="1">
      <c r="A36" s="11" t="s">
        <v>183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80"/>
      <c r="R36" s="181"/>
    </row>
    <row r="37" spans="1:18" ht="17.25" customHeight="1">
      <c r="A37" s="11" t="s">
        <v>155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80"/>
      <c r="R37" s="181"/>
    </row>
    <row r="38" spans="1:18" ht="17.25" customHeight="1">
      <c r="A38" s="8" t="s">
        <v>217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80"/>
      <c r="R38" s="181"/>
    </row>
    <row r="39" spans="1:18" ht="17.25" customHeight="1">
      <c r="A39" s="11" t="s">
        <v>193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80"/>
      <c r="R39" s="181"/>
    </row>
    <row r="40" spans="1:18" ht="17.25" customHeight="1">
      <c r="A40" s="11" t="s">
        <v>191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80"/>
      <c r="R40" s="181"/>
    </row>
    <row r="41" spans="1:18" ht="17.25" customHeight="1">
      <c r="A41" s="11" t="s">
        <v>127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80"/>
      <c r="R41" s="181"/>
    </row>
    <row r="42" spans="1:18" ht="17.25" customHeight="1">
      <c r="A42" s="11" t="s">
        <v>163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82"/>
      <c r="R42" s="183"/>
    </row>
    <row r="43" spans="1:18" ht="17.25" customHeight="1" thickBot="1">
      <c r="A43" s="13" t="s">
        <v>259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116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82"/>
      <c r="R50" s="183"/>
    </row>
    <row r="51" spans="1:18" ht="17.25" customHeight="1">
      <c r="A51" s="9" t="s">
        <v>98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80"/>
      <c r="R51" s="181"/>
    </row>
    <row r="52" spans="1:18" ht="17.25" customHeight="1">
      <c r="A52" s="11" t="s">
        <v>232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80"/>
      <c r="R52" s="181"/>
    </row>
    <row r="53" spans="1:18" ht="17.25" customHeight="1">
      <c r="A53" s="11" t="s">
        <v>239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80"/>
      <c r="R53" s="181"/>
    </row>
    <row r="54" spans="1:18" ht="17.25" customHeight="1">
      <c r="A54" s="11" t="s">
        <v>109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80"/>
      <c r="R54" s="181"/>
    </row>
    <row r="55" spans="1:18" ht="17.25" customHeight="1">
      <c r="A55" s="8" t="s">
        <v>186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80"/>
      <c r="R55" s="181"/>
    </row>
    <row r="56" spans="1:18" ht="17.25" customHeight="1">
      <c r="A56" s="11" t="s">
        <v>208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116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82"/>
      <c r="R67" s="183"/>
    </row>
    <row r="68" spans="1:18" ht="17.25" customHeight="1">
      <c r="A68" s="9" t="s">
        <v>196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80"/>
      <c r="R68" s="181"/>
    </row>
    <row r="69" spans="1:18" ht="17.25" customHeight="1">
      <c r="A69" s="11" t="s">
        <v>350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80"/>
      <c r="R69" s="181"/>
    </row>
    <row r="70" spans="1:18" ht="17.25" customHeight="1">
      <c r="A70" s="11" t="s">
        <v>288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80"/>
      <c r="R70" s="181"/>
    </row>
    <row r="71" spans="1:18" ht="17.25" customHeight="1">
      <c r="A71" s="11" t="s">
        <v>181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80"/>
      <c r="R71" s="181"/>
    </row>
    <row r="72" spans="1:18" ht="17.25" customHeight="1">
      <c r="A72" s="8" t="s">
        <v>173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80"/>
      <c r="R72" s="181"/>
    </row>
    <row r="73" spans="1:18" ht="17.25" customHeight="1">
      <c r="A73" s="11" t="s">
        <v>139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80"/>
      <c r="R73" s="181"/>
    </row>
    <row r="74" spans="1:18" ht="17.25" customHeight="1">
      <c r="A74" s="11" t="s">
        <v>117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80"/>
      <c r="R74" s="181"/>
    </row>
    <row r="75" spans="1:18" ht="17.25" customHeight="1">
      <c r="A75" s="11" t="s">
        <v>105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80"/>
      <c r="R75" s="181"/>
    </row>
    <row r="76" spans="1:18" ht="17.25" customHeight="1">
      <c r="A76" s="11" t="s">
        <v>145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82"/>
      <c r="R76" s="183"/>
    </row>
    <row r="77" spans="1:18" ht="17.25" customHeight="1" thickBot="1">
      <c r="A77" s="13" t="s">
        <v>247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116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82"/>
      <c r="R84" s="183"/>
    </row>
    <row r="85" spans="1:18" ht="17.25" customHeight="1">
      <c r="A85" s="9" t="s">
        <v>286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80"/>
      <c r="R85" s="181"/>
    </row>
    <row r="86" spans="1:18" ht="17.25" customHeight="1">
      <c r="A86" s="11" t="s">
        <v>210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80"/>
      <c r="R86" s="181"/>
    </row>
    <row r="87" spans="1:18" ht="17.25" customHeight="1">
      <c r="A87" s="11" t="s">
        <v>169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80"/>
      <c r="R87" s="181"/>
    </row>
    <row r="88" spans="1:18" ht="17.25" customHeight="1">
      <c r="A88" s="11" t="s">
        <v>257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80"/>
      <c r="R88" s="18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116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82"/>
      <c r="R101" s="183"/>
    </row>
    <row r="102" spans="1:18" ht="17.25" customHeight="1">
      <c r="A102" s="9" t="s">
        <v>333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80"/>
      <c r="R102" s="181"/>
    </row>
    <row r="103" spans="1:18" ht="17.25" customHeight="1">
      <c r="A103" s="11" t="s">
        <v>286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80"/>
      <c r="R103" s="181"/>
    </row>
    <row r="104" spans="1:18" ht="17.25" customHeight="1">
      <c r="A104" s="11" t="s">
        <v>210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80"/>
      <c r="R104" s="181"/>
    </row>
    <row r="105" spans="1:18" ht="17.25" customHeight="1">
      <c r="A105" s="11" t="s">
        <v>169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80"/>
      <c r="R105" s="181"/>
    </row>
    <row r="106" spans="1:18" ht="17.25" customHeight="1">
      <c r="A106" s="8" t="s">
        <v>221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80"/>
      <c r="R106" s="181"/>
    </row>
    <row r="107" spans="1:18" ht="17.25" customHeight="1">
      <c r="A107" s="11" t="s">
        <v>257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80"/>
      <c r="R107" s="181"/>
    </row>
    <row r="108" spans="1:18" ht="17.25" customHeight="1">
      <c r="A108" s="11" t="s">
        <v>141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80"/>
      <c r="R108" s="181"/>
    </row>
    <row r="109" spans="1:18" ht="17.25" customHeight="1">
      <c r="A109" s="11" t="s">
        <v>234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80"/>
      <c r="R109" s="181"/>
    </row>
    <row r="110" spans="1:18" ht="17.25" customHeight="1">
      <c r="A110" s="11" t="s">
        <v>196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82"/>
      <c r="R110" s="183"/>
    </row>
    <row r="111" spans="1:18" ht="17.25" customHeight="1" thickBot="1">
      <c r="A111" s="13" t="s">
        <v>319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41" priority="89">
      <formula>$E$27&gt;0</formula>
    </cfRule>
    <cfRule type="expression" dxfId="340" priority="90">
      <formula>$E$27&lt;0</formula>
    </cfRule>
  </conditionalFormatting>
  <conditionalFormatting sqref="G15:I16 H27:I27">
    <cfRule type="expression" dxfId="339" priority="87">
      <formula>$H$27&gt;0</formula>
    </cfRule>
    <cfRule type="expression" dxfId="338" priority="88">
      <formula>$H$27&lt;0</formula>
    </cfRule>
  </conditionalFormatting>
  <conditionalFormatting sqref="J15:L16 K27:L27">
    <cfRule type="expression" dxfId="337" priority="85">
      <formula>$K$27&gt;0</formula>
    </cfRule>
    <cfRule type="expression" dxfId="336" priority="86">
      <formula>$K$27&lt;0</formula>
    </cfRule>
  </conditionalFormatting>
  <conditionalFormatting sqref="M15:O16 N27:O27">
    <cfRule type="expression" dxfId="335" priority="83">
      <formula>$N$27&gt;0</formula>
    </cfRule>
    <cfRule type="expression" dxfId="334" priority="84">
      <formula>$N$27&lt;0</formula>
    </cfRule>
  </conditionalFormatting>
  <conditionalFormatting sqref="A17:O26 A34:O43">
    <cfRule type="expression" dxfId="333" priority="91">
      <formula>AND($N17 &gt; 0, ISNUMBER($N17))</formula>
    </cfRule>
    <cfRule type="expression" dxfId="332" priority="92">
      <formula>AND($N17 &lt; 0, ISNUMBER($N17))</formula>
    </cfRule>
    <cfRule type="expression" dxfId="331" priority="93">
      <formula>AND($K17 &gt; 0, ISNUMBER($K17))</formula>
    </cfRule>
    <cfRule type="expression" dxfId="330" priority="94">
      <formula>AND($K17 &lt; 0, ISNUMBER($K17))</formula>
    </cfRule>
    <cfRule type="expression" dxfId="329" priority="95">
      <formula>AND($H17 &gt; 0, ISNUMBER($H17))</formula>
    </cfRule>
    <cfRule type="expression" dxfId="328" priority="96">
      <formula>AND($H17 &lt; 0, ISNUMBER($H17))</formula>
    </cfRule>
    <cfRule type="expression" dxfId="327" priority="97">
      <formula>AND($E17 &gt; 0, ISNUMBER($E17))</formula>
    </cfRule>
    <cfRule type="expression" dxfId="326" priority="98">
      <formula>AND($E17 &lt; 0, ISNUMBER($E17))</formula>
    </cfRule>
  </conditionalFormatting>
  <conditionalFormatting sqref="D32:F33 E44:F44">
    <cfRule type="expression" dxfId="325" priority="81">
      <formula>$E$44&gt;0</formula>
    </cfRule>
    <cfRule type="expression" dxfId="324" priority="82">
      <formula>$E$44&lt;0</formula>
    </cfRule>
  </conditionalFormatting>
  <conditionalFormatting sqref="G32:I33 H44:I44">
    <cfRule type="expression" dxfId="323" priority="79">
      <formula>$H$44&gt;0</formula>
    </cfRule>
    <cfRule type="expression" dxfId="322" priority="80">
      <formula>$H$44&lt;0</formula>
    </cfRule>
  </conditionalFormatting>
  <conditionalFormatting sqref="J32:L33 K44:L44">
    <cfRule type="expression" dxfId="321" priority="77">
      <formula>$K$44&gt;0</formula>
    </cfRule>
    <cfRule type="expression" dxfId="320" priority="78">
      <formula>$K$44&lt;0</formula>
    </cfRule>
  </conditionalFormatting>
  <conditionalFormatting sqref="M32:O33 N44:O44">
    <cfRule type="expression" dxfId="319" priority="75">
      <formula>$N$44&gt;0</formula>
    </cfRule>
    <cfRule type="expression" dxfId="318" priority="76">
      <formula>$N$44&lt;0</formula>
    </cfRule>
  </conditionalFormatting>
  <conditionalFormatting sqref="A51:O60">
    <cfRule type="expression" dxfId="317" priority="67">
      <formula>AND($N51 &gt; 0, ISNUMBER($N51))</formula>
    </cfRule>
    <cfRule type="expression" dxfId="316" priority="68">
      <formula>AND($N51 &lt; 0, ISNUMBER($N51))</formula>
    </cfRule>
    <cfRule type="expression" dxfId="315" priority="69">
      <formula>AND($K51 &gt; 0, ISNUMBER($K51))</formula>
    </cfRule>
    <cfRule type="expression" dxfId="314" priority="70">
      <formula>AND($K51 &lt; 0, ISNUMBER($K51))</formula>
    </cfRule>
    <cfRule type="expression" dxfId="313" priority="71">
      <formula>AND($H51 &gt; 0, ISNUMBER($H51))</formula>
    </cfRule>
    <cfRule type="expression" dxfId="312" priority="72">
      <formula>AND($H51 &lt; 0, ISNUMBER($H51))</formula>
    </cfRule>
    <cfRule type="expression" dxfId="311" priority="73">
      <formula>AND($E51 &gt; 0, ISNUMBER($E51))</formula>
    </cfRule>
    <cfRule type="expression" dxfId="310" priority="74">
      <formula>AND($E51 &lt; 0, ISNUMBER($E51))</formula>
    </cfRule>
  </conditionalFormatting>
  <conditionalFormatting sqref="D49:F50 E61:F61">
    <cfRule type="expression" dxfId="309" priority="65">
      <formula>$E$61&gt;0</formula>
    </cfRule>
    <cfRule type="expression" dxfId="308" priority="66">
      <formula>$E$61&lt;0</formula>
    </cfRule>
  </conditionalFormatting>
  <conditionalFormatting sqref="G49:I50 H61:I61">
    <cfRule type="expression" dxfId="307" priority="63">
      <formula>$H$61&gt;0</formula>
    </cfRule>
    <cfRule type="expression" dxfId="306" priority="64">
      <formula>$H$61&lt;0</formula>
    </cfRule>
  </conditionalFormatting>
  <conditionalFormatting sqref="J49:L50 K61:L61">
    <cfRule type="expression" dxfId="305" priority="61">
      <formula>$K$61&gt;0</formula>
    </cfRule>
    <cfRule type="expression" dxfId="304" priority="62">
      <formula>$K$61&lt;0</formula>
    </cfRule>
  </conditionalFormatting>
  <conditionalFormatting sqref="M49:O50 N61:O61">
    <cfRule type="expression" dxfId="303" priority="59">
      <formula>$N$61&gt;0</formula>
    </cfRule>
    <cfRule type="expression" dxfId="302" priority="60">
      <formula>$N$61&lt;0</formula>
    </cfRule>
  </conditionalFormatting>
  <conditionalFormatting sqref="A68:O77">
    <cfRule type="expression" dxfId="301" priority="51">
      <formula>AND($N68 &gt; 0, ISNUMBER($N68))</formula>
    </cfRule>
    <cfRule type="expression" dxfId="300" priority="52">
      <formula>AND($N68 &lt; 0, ISNUMBER($N68))</formula>
    </cfRule>
    <cfRule type="expression" dxfId="299" priority="53">
      <formula>AND($K68 &gt; 0, ISNUMBER($K68))</formula>
    </cfRule>
    <cfRule type="expression" dxfId="298" priority="54">
      <formula>AND($K68 &lt; 0, ISNUMBER($K68))</formula>
    </cfRule>
    <cfRule type="expression" dxfId="297" priority="55">
      <formula>AND($H68 &gt; 0, ISNUMBER($H68))</formula>
    </cfRule>
    <cfRule type="expression" dxfId="296" priority="56">
      <formula>AND($H68 &lt; 0, ISNUMBER($H68))</formula>
    </cfRule>
    <cfRule type="expression" dxfId="295" priority="57">
      <formula>AND($E68 &gt; 0, ISNUMBER($E68))</formula>
    </cfRule>
    <cfRule type="expression" dxfId="294" priority="58">
      <formula>AND($E68 &lt; 0, ISNUMBER($E68))</formula>
    </cfRule>
  </conditionalFormatting>
  <conditionalFormatting sqref="D66:F67 E78:F78">
    <cfRule type="expression" dxfId="293" priority="49">
      <formula>$E$78&gt;0</formula>
    </cfRule>
    <cfRule type="expression" dxfId="292" priority="50">
      <formula>$E$78&lt;0</formula>
    </cfRule>
  </conditionalFormatting>
  <conditionalFormatting sqref="G66:I67 H78:I78">
    <cfRule type="expression" dxfId="291" priority="47">
      <formula>$H$78&gt;0</formula>
    </cfRule>
    <cfRule type="expression" dxfId="290" priority="48">
      <formula>$H$78&lt;0</formula>
    </cfRule>
  </conditionalFormatting>
  <conditionalFormatting sqref="J66:L67 K78:L78">
    <cfRule type="expression" dxfId="289" priority="45">
      <formula>$K$78&gt;0</formula>
    </cfRule>
    <cfRule type="expression" dxfId="288" priority="46">
      <formula>$K$78&lt;0</formula>
    </cfRule>
  </conditionalFormatting>
  <conditionalFormatting sqref="M66:O67 N78:O78">
    <cfRule type="expression" dxfId="287" priority="43">
      <formula>$N$78&gt;0</formula>
    </cfRule>
    <cfRule type="expression" dxfId="286" priority="44">
      <formula>$N$78&lt;0</formula>
    </cfRule>
  </conditionalFormatting>
  <conditionalFormatting sqref="A85:O94">
    <cfRule type="expression" dxfId="285" priority="35">
      <formula>AND($N85 &gt; 0, ISNUMBER($N85))</formula>
    </cfRule>
    <cfRule type="expression" dxfId="284" priority="36">
      <formula>AND($N85 &lt; 0, ISNUMBER($N85))</formula>
    </cfRule>
    <cfRule type="expression" dxfId="283" priority="37">
      <formula>AND($K85 &gt; 0, ISNUMBER($K85))</formula>
    </cfRule>
    <cfRule type="expression" dxfId="282" priority="38">
      <formula>AND($K85 &lt; 0, ISNUMBER($K85))</formula>
    </cfRule>
    <cfRule type="expression" dxfId="281" priority="39">
      <formula>AND($H85 &gt; 0, ISNUMBER($H85))</formula>
    </cfRule>
    <cfRule type="expression" dxfId="280" priority="40">
      <formula>AND($H85 &lt; 0, ISNUMBER($H85))</formula>
    </cfRule>
    <cfRule type="expression" dxfId="279" priority="41">
      <formula>AND($E85 &gt; 0, ISNUMBER($E85))</formula>
    </cfRule>
    <cfRule type="expression" dxfId="278" priority="42">
      <formula>AND($E85 &lt; 0, ISNUMBER($E85))</formula>
    </cfRule>
  </conditionalFormatting>
  <conditionalFormatting sqref="D83:F84 E95:F95">
    <cfRule type="expression" dxfId="277" priority="33">
      <formula>$E$95&gt;0</formula>
    </cfRule>
    <cfRule type="expression" dxfId="276" priority="34">
      <formula>$E$95&lt;0</formula>
    </cfRule>
  </conditionalFormatting>
  <conditionalFormatting sqref="G83:I84 H95:I95">
    <cfRule type="expression" dxfId="275" priority="31">
      <formula>$H$95&gt;0</formula>
    </cfRule>
    <cfRule type="expression" dxfId="274" priority="32">
      <formula>$H$95&lt;0</formula>
    </cfRule>
  </conditionalFormatting>
  <conditionalFormatting sqref="J83:L84 K95:L95">
    <cfRule type="expression" dxfId="273" priority="29">
      <formula>$K$95&gt;0</formula>
    </cfRule>
    <cfRule type="expression" dxfId="272" priority="30">
      <formula>$K$95&lt;0</formula>
    </cfRule>
  </conditionalFormatting>
  <conditionalFormatting sqref="M83:O84 N95:O95">
    <cfRule type="expression" dxfId="271" priority="27">
      <formula>$N$95&gt;0</formula>
    </cfRule>
    <cfRule type="expression" dxfId="270" priority="28">
      <formula>$N$95&lt;0</formula>
    </cfRule>
  </conditionalFormatting>
  <conditionalFormatting sqref="A102:O111">
    <cfRule type="expression" dxfId="269" priority="19">
      <formula>AND($N102 &gt; 0, ISNUMBER($N102))</formula>
    </cfRule>
    <cfRule type="expression" dxfId="268" priority="20">
      <formula>AND($N102 &lt; 0, ISNUMBER($N102))</formula>
    </cfRule>
    <cfRule type="expression" dxfId="267" priority="21">
      <formula>AND($K102 &gt; 0, ISNUMBER($K102))</formula>
    </cfRule>
    <cfRule type="expression" dxfId="266" priority="22">
      <formula>AND($K102 &lt; 0, ISNUMBER($K102))</formula>
    </cfRule>
    <cfRule type="expression" dxfId="265" priority="23">
      <formula>AND($H102 &gt; 0, ISNUMBER($H102))</formula>
    </cfRule>
    <cfRule type="expression" dxfId="264" priority="24">
      <formula>AND($H102 &lt; 0, ISNUMBER($H102))</formula>
    </cfRule>
    <cfRule type="expression" dxfId="263" priority="25">
      <formula>AND($E102 &gt; 0, ISNUMBER($E102))</formula>
    </cfRule>
    <cfRule type="expression" dxfId="262" priority="26">
      <formula>AND($E102 &lt; 0, ISNUMBER($E102))</formula>
    </cfRule>
  </conditionalFormatting>
  <conditionalFormatting sqref="D100:F101 E112:F112">
    <cfRule type="expression" dxfId="261" priority="17">
      <formula>$E$112&gt;0</formula>
    </cfRule>
    <cfRule type="expression" dxfId="260" priority="18">
      <formula>$E$112&lt;0</formula>
    </cfRule>
  </conditionalFormatting>
  <conditionalFormatting sqref="G100:I101 H112:I112">
    <cfRule type="expression" dxfId="259" priority="15">
      <formula>$H$112&gt;0</formula>
    </cfRule>
    <cfRule type="expression" dxfId="258" priority="16">
      <formula>$H$112&lt;0</formula>
    </cfRule>
  </conditionalFormatting>
  <conditionalFormatting sqref="J100:L101 K112:L112">
    <cfRule type="expression" dxfId="257" priority="13">
      <formula>$K$112&gt;0</formula>
    </cfRule>
    <cfRule type="expression" dxfId="256" priority="14">
      <formula>$K$112&lt;0</formula>
    </cfRule>
  </conditionalFormatting>
  <conditionalFormatting sqref="M100:O101 N112:O112">
    <cfRule type="expression" dxfId="255" priority="11">
      <formula>$N$112&gt;0</formula>
    </cfRule>
    <cfRule type="expression" dxfId="254" priority="12">
      <formula>$N$112&lt;0</formula>
    </cfRule>
  </conditionalFormatting>
  <conditionalFormatting sqref="G2:I3">
    <cfRule type="expression" dxfId="2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abSelected="1"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44298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53"/>
      <c r="I9" s="154"/>
      <c r="J9" s="1" t="s">
        <v>28</v>
      </c>
      <c r="K9" s="149"/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128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123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57"/>
      <c r="R16" s="158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55"/>
      <c r="R17" s="156"/>
    </row>
    <row r="18" spans="1:18" ht="17.25" customHeight="1">
      <c r="A18" s="40" t="s">
        <v>323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55"/>
      <c r="R18" s="156"/>
    </row>
    <row r="19" spans="1:18" ht="17.25" customHeight="1">
      <c r="A19" s="40" t="s">
        <v>296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55"/>
      <c r="R19" s="156"/>
    </row>
    <row r="20" spans="1:18" ht="17.25" customHeight="1">
      <c r="A20" s="40" t="s">
        <v>200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55"/>
      <c r="R20" s="156"/>
    </row>
    <row r="21" spans="1:18" ht="17.25" customHeight="1">
      <c r="A21" s="41" t="s">
        <v>339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55"/>
      <c r="R21" s="156"/>
    </row>
    <row r="22" spans="1:18" ht="17.25" customHeight="1">
      <c r="A22" s="40" t="s">
        <v>217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55"/>
      <c r="R22" s="156"/>
    </row>
    <row r="23" spans="1:18" ht="17.25" customHeight="1">
      <c r="A23" s="40" t="s">
        <v>198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55"/>
      <c r="R23" s="156"/>
    </row>
    <row r="24" spans="1:18" ht="17.25" customHeight="1">
      <c r="A24" s="40" t="s">
        <v>261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55"/>
      <c r="R24" s="156"/>
    </row>
    <row r="25" spans="1:18" ht="17.25" customHeight="1">
      <c r="A25" s="40" t="s">
        <v>350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57"/>
      <c r="R25" s="158"/>
    </row>
    <row r="26" spans="1:18" ht="17.25" customHeight="1" thickBot="1">
      <c r="A26" s="42" t="s">
        <v>210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123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82"/>
      <c r="R33" s="183"/>
    </row>
    <row r="34" spans="1:18" ht="17.25" customHeight="1">
      <c r="A34" s="9" t="s">
        <v>96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80"/>
      <c r="R34" s="181"/>
    </row>
    <row r="35" spans="1:18" ht="17.25" customHeight="1">
      <c r="A35" s="11" t="s">
        <v>217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80"/>
      <c r="R35" s="181"/>
    </row>
    <row r="36" spans="1:18" ht="17.25" customHeight="1">
      <c r="A36" s="11" t="s">
        <v>211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80"/>
      <c r="R36" s="181"/>
    </row>
    <row r="37" spans="1:18" ht="17.25" customHeight="1">
      <c r="A37" s="11" t="s">
        <v>208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80"/>
      <c r="R37" s="181"/>
    </row>
    <row r="38" spans="1:18" ht="17.25" customHeight="1">
      <c r="A38" s="8" t="s">
        <v>163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80"/>
      <c r="R38" s="181"/>
    </row>
    <row r="39" spans="1:18" ht="17.25" customHeight="1">
      <c r="A39" s="11" t="s">
        <v>259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80"/>
      <c r="R39" s="181"/>
    </row>
    <row r="40" spans="1:18" ht="17.25" customHeight="1">
      <c r="A40" s="11" t="s">
        <v>191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80"/>
      <c r="R40" s="181"/>
    </row>
    <row r="41" spans="1:18" ht="17.25" customHeight="1">
      <c r="A41" s="11" t="s">
        <v>183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80"/>
      <c r="R41" s="181"/>
    </row>
    <row r="42" spans="1:18" ht="17.25" customHeight="1">
      <c r="A42" s="11" t="s">
        <v>98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82"/>
      <c r="R42" s="183"/>
    </row>
    <row r="43" spans="1:18" ht="17.25" customHeight="1" thickBot="1">
      <c r="A43" s="13" t="s">
        <v>193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123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82"/>
      <c r="R50" s="183"/>
    </row>
    <row r="51" spans="1:18" ht="17.25" customHeight="1">
      <c r="A51" s="9" t="s">
        <v>127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80"/>
      <c r="R51" s="181"/>
    </row>
    <row r="52" spans="1:18" ht="17.25" customHeight="1">
      <c r="A52" s="11" t="s">
        <v>239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80"/>
      <c r="R52" s="181"/>
    </row>
    <row r="53" spans="1:18" ht="17.25" customHeight="1">
      <c r="A53" s="11" t="s">
        <v>109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80"/>
      <c r="R53" s="181"/>
    </row>
    <row r="54" spans="1:18" ht="17.25" customHeight="1">
      <c r="A54" s="11" t="s">
        <v>232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80"/>
      <c r="R54" s="181"/>
    </row>
    <row r="55" spans="1:18" ht="17.25" customHeight="1">
      <c r="A55" s="8" t="s">
        <v>155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80"/>
      <c r="R55" s="181"/>
    </row>
    <row r="56" spans="1:18" ht="17.25" customHeight="1">
      <c r="A56" s="11" t="s">
        <v>186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123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82"/>
      <c r="R67" s="183"/>
    </row>
    <row r="68" spans="1:18" ht="17.25" customHeight="1">
      <c r="A68" s="9" t="s">
        <v>288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80"/>
      <c r="R68" s="181"/>
    </row>
    <row r="69" spans="1:18" ht="17.25" customHeight="1">
      <c r="A69" s="11" t="s">
        <v>179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80"/>
      <c r="R69" s="181"/>
    </row>
    <row r="70" spans="1:18" ht="17.25" customHeight="1">
      <c r="A70" s="11" t="s">
        <v>296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80"/>
      <c r="R70" s="181"/>
    </row>
    <row r="71" spans="1:18" ht="17.25" customHeight="1">
      <c r="A71" s="11" t="s">
        <v>167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80"/>
      <c r="R71" s="181"/>
    </row>
    <row r="72" spans="1:18" ht="17.25" customHeight="1">
      <c r="A72" s="8" t="s">
        <v>161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80"/>
      <c r="R72" s="181"/>
    </row>
    <row r="73" spans="1:18" ht="17.25" customHeight="1">
      <c r="A73" s="11" t="s">
        <v>101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80"/>
      <c r="R73" s="181"/>
    </row>
    <row r="74" spans="1:18" ht="17.25" customHeight="1">
      <c r="A74" s="11" t="s">
        <v>145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80"/>
      <c r="R74" s="181"/>
    </row>
    <row r="75" spans="1:18" ht="17.25" customHeight="1">
      <c r="A75" s="11" t="s">
        <v>165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80"/>
      <c r="R75" s="181"/>
    </row>
    <row r="76" spans="1:18" ht="17.25" customHeight="1">
      <c r="A76" s="11" t="s">
        <v>237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82"/>
      <c r="R76" s="183"/>
    </row>
    <row r="77" spans="1:18" ht="17.25" customHeight="1" thickBot="1">
      <c r="A77" s="13" t="s">
        <v>169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123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82"/>
      <c r="R84" s="183"/>
    </row>
    <row r="85" spans="1:18" ht="17.25" customHeight="1">
      <c r="A85" s="9" t="s">
        <v>171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80"/>
      <c r="R85" s="181"/>
    </row>
    <row r="86" spans="1:18" ht="17.25" customHeight="1">
      <c r="A86" s="11" t="s">
        <v>220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80"/>
      <c r="R86" s="181"/>
    </row>
    <row r="87" spans="1:18" ht="17.25" customHeight="1">
      <c r="A87" s="11" t="s">
        <v>202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80"/>
      <c r="R87" s="181"/>
    </row>
    <row r="88" spans="1:18" ht="17.25" customHeight="1">
      <c r="A88" s="11" t="s">
        <v>198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80"/>
      <c r="R88" s="181"/>
    </row>
    <row r="89" spans="1:18" ht="17.25" customHeight="1">
      <c r="A89" s="8" t="s">
        <v>261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80"/>
      <c r="R89" s="181"/>
    </row>
    <row r="90" spans="1:18" ht="17.25" customHeight="1">
      <c r="A90" s="11" t="s">
        <v>350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80"/>
      <c r="R90" s="181"/>
    </row>
    <row r="91" spans="1:18" ht="17.25" customHeight="1">
      <c r="A91" s="11" t="s">
        <v>210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80"/>
      <c r="R91" s="181"/>
    </row>
    <row r="92" spans="1:18" ht="17.25" customHeight="1">
      <c r="A92" s="11" t="s">
        <v>149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80"/>
      <c r="R92" s="181"/>
    </row>
    <row r="93" spans="1:18" ht="17.25" customHeight="1">
      <c r="A93" s="11" t="s">
        <v>269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82"/>
      <c r="R93" s="183"/>
    </row>
    <row r="94" spans="1:18" ht="17.25" customHeight="1" thickBot="1">
      <c r="A94" s="13" t="s">
        <v>196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123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82"/>
      <c r="R101" s="183"/>
    </row>
    <row r="102" spans="1:18" ht="17.25" customHeight="1">
      <c r="A102" s="9" t="s">
        <v>96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80"/>
      <c r="R102" s="181"/>
    </row>
    <row r="103" spans="1:18" ht="17.25" customHeight="1">
      <c r="A103" s="11" t="s">
        <v>288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80"/>
      <c r="R103" s="181"/>
    </row>
    <row r="104" spans="1:18" ht="17.25" customHeight="1">
      <c r="A104" s="11" t="s">
        <v>179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80"/>
      <c r="R104" s="181"/>
    </row>
    <row r="105" spans="1:18" ht="17.25" customHeight="1">
      <c r="A105" s="11" t="s">
        <v>296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80"/>
      <c r="R105" s="181"/>
    </row>
    <row r="106" spans="1:18" ht="17.25" customHeight="1">
      <c r="A106" s="8" t="s">
        <v>200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80"/>
      <c r="R106" s="181"/>
    </row>
    <row r="107" spans="1:18" ht="17.25" customHeight="1">
      <c r="A107" s="11" t="s">
        <v>339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80"/>
      <c r="R107" s="181"/>
    </row>
    <row r="108" spans="1:18" ht="17.25" customHeight="1">
      <c r="A108" s="11" t="s">
        <v>217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80"/>
      <c r="R108" s="181"/>
    </row>
    <row r="109" spans="1:18" ht="17.25" customHeight="1">
      <c r="A109" s="11" t="s">
        <v>103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80"/>
      <c r="R109" s="181"/>
    </row>
    <row r="110" spans="1:18" ht="17.25" customHeight="1">
      <c r="A110" s="11" t="s">
        <v>129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82"/>
      <c r="R110" s="183"/>
    </row>
    <row r="111" spans="1:18" ht="17.25" customHeight="1" thickBot="1">
      <c r="A111" s="13" t="s">
        <v>211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43" priority="89">
      <formula>$E$27&gt;0</formula>
    </cfRule>
    <cfRule type="expression" dxfId="242" priority="90">
      <formula>$E$27&lt;0</formula>
    </cfRule>
  </conditionalFormatting>
  <conditionalFormatting sqref="G15:I16 H27:I27">
    <cfRule type="expression" dxfId="241" priority="87">
      <formula>$H$27&gt;0</formula>
    </cfRule>
    <cfRule type="expression" dxfId="240" priority="88">
      <formula>$H$27&lt;0</formula>
    </cfRule>
  </conditionalFormatting>
  <conditionalFormatting sqref="J15:L16 K27:L27">
    <cfRule type="expression" dxfId="239" priority="85">
      <formula>$K$27&gt;0</formula>
    </cfRule>
    <cfRule type="expression" dxfId="238" priority="86">
      <formula>$K$27&lt;0</formula>
    </cfRule>
  </conditionalFormatting>
  <conditionalFormatting sqref="M15:O16 N27:O27">
    <cfRule type="expression" dxfId="237" priority="83">
      <formula>$N$27&gt;0</formula>
    </cfRule>
    <cfRule type="expression" dxfId="236" priority="84">
      <formula>$N$27&lt;0</formula>
    </cfRule>
  </conditionalFormatting>
  <conditionalFormatting sqref="A17:O26 A34:O43">
    <cfRule type="expression" dxfId="235" priority="91">
      <formula>AND($N17 &gt; 0, ISNUMBER($N17))</formula>
    </cfRule>
    <cfRule type="expression" dxfId="234" priority="92">
      <formula>AND($N17 &lt; 0, ISNUMBER($N17))</formula>
    </cfRule>
    <cfRule type="expression" dxfId="233" priority="93">
      <formula>AND($K17 &gt; 0, ISNUMBER($K17))</formula>
    </cfRule>
    <cfRule type="expression" dxfId="232" priority="94">
      <formula>AND($K17 &lt; 0, ISNUMBER($K17))</formula>
    </cfRule>
    <cfRule type="expression" dxfId="231" priority="95">
      <formula>AND($H17 &gt; 0, ISNUMBER($H17))</formula>
    </cfRule>
    <cfRule type="expression" dxfId="230" priority="96">
      <formula>AND($H17 &lt; 0, ISNUMBER($H17))</formula>
    </cfRule>
    <cfRule type="expression" dxfId="229" priority="97">
      <formula>AND($E17 &gt; 0, ISNUMBER($E17))</formula>
    </cfRule>
    <cfRule type="expression" dxfId="228" priority="98">
      <formula>AND($E17 &lt; 0, ISNUMBER($E17))</formula>
    </cfRule>
  </conditionalFormatting>
  <conditionalFormatting sqref="D32:F33 E44:F44">
    <cfRule type="expression" dxfId="227" priority="81">
      <formula>$E$44&gt;0</formula>
    </cfRule>
    <cfRule type="expression" dxfId="226" priority="82">
      <formula>$E$44&lt;0</formula>
    </cfRule>
  </conditionalFormatting>
  <conditionalFormatting sqref="G32:I33 H44:I44">
    <cfRule type="expression" dxfId="225" priority="79">
      <formula>$H$44&gt;0</formula>
    </cfRule>
    <cfRule type="expression" dxfId="224" priority="80">
      <formula>$H$44&lt;0</formula>
    </cfRule>
  </conditionalFormatting>
  <conditionalFormatting sqref="J32:L33 K44:L44">
    <cfRule type="expression" dxfId="223" priority="77">
      <formula>$K$44&gt;0</formula>
    </cfRule>
    <cfRule type="expression" dxfId="222" priority="78">
      <formula>$K$44&lt;0</formula>
    </cfRule>
  </conditionalFormatting>
  <conditionalFormatting sqref="M32:O33 N44:O44">
    <cfRule type="expression" dxfId="221" priority="75">
      <formula>$N$44&gt;0</formula>
    </cfRule>
    <cfRule type="expression" dxfId="220" priority="76">
      <formula>$N$44&lt;0</formula>
    </cfRule>
  </conditionalFormatting>
  <conditionalFormatting sqref="A51:O60">
    <cfRule type="expression" dxfId="219" priority="67">
      <formula>AND($N51 &gt; 0, ISNUMBER($N51))</formula>
    </cfRule>
    <cfRule type="expression" dxfId="218" priority="68">
      <formula>AND($N51 &lt; 0, ISNUMBER($N51))</formula>
    </cfRule>
    <cfRule type="expression" dxfId="217" priority="69">
      <formula>AND($K51 &gt; 0, ISNUMBER($K51))</formula>
    </cfRule>
    <cfRule type="expression" dxfId="216" priority="70">
      <formula>AND($K51 &lt; 0, ISNUMBER($K51))</formula>
    </cfRule>
    <cfRule type="expression" dxfId="215" priority="71">
      <formula>AND($H51 &gt; 0, ISNUMBER($H51))</formula>
    </cfRule>
    <cfRule type="expression" dxfId="214" priority="72">
      <formula>AND($H51 &lt; 0, ISNUMBER($H51))</formula>
    </cfRule>
    <cfRule type="expression" dxfId="213" priority="73">
      <formula>AND($E51 &gt; 0, ISNUMBER($E51))</formula>
    </cfRule>
    <cfRule type="expression" dxfId="212" priority="74">
      <formula>AND($E51 &lt; 0, ISNUMBER($E51))</formula>
    </cfRule>
  </conditionalFormatting>
  <conditionalFormatting sqref="D49:F50 E61:F61">
    <cfRule type="expression" dxfId="211" priority="65">
      <formula>$E$61&gt;0</formula>
    </cfRule>
    <cfRule type="expression" dxfId="210" priority="66">
      <formula>$E$61&lt;0</formula>
    </cfRule>
  </conditionalFormatting>
  <conditionalFormatting sqref="G49:I50 H61:I61">
    <cfRule type="expression" dxfId="209" priority="63">
      <formula>$H$61&gt;0</formula>
    </cfRule>
    <cfRule type="expression" dxfId="208" priority="64">
      <formula>$H$61&lt;0</formula>
    </cfRule>
  </conditionalFormatting>
  <conditionalFormatting sqref="J49:L50 K61:L61">
    <cfRule type="expression" dxfId="207" priority="61">
      <formula>$K$61&gt;0</formula>
    </cfRule>
    <cfRule type="expression" dxfId="206" priority="62">
      <formula>$K$61&lt;0</formula>
    </cfRule>
  </conditionalFormatting>
  <conditionalFormatting sqref="M49:O50 N61:O61">
    <cfRule type="expression" dxfId="205" priority="59">
      <formula>$N$61&gt;0</formula>
    </cfRule>
    <cfRule type="expression" dxfId="204" priority="60">
      <formula>$N$61&lt;0</formula>
    </cfRule>
  </conditionalFormatting>
  <conditionalFormatting sqref="A68:O77">
    <cfRule type="expression" dxfId="203" priority="51">
      <formula>AND($N68 &gt; 0, ISNUMBER($N68))</formula>
    </cfRule>
    <cfRule type="expression" dxfId="202" priority="52">
      <formula>AND($N68 &lt; 0, ISNUMBER($N68))</formula>
    </cfRule>
    <cfRule type="expression" dxfId="201" priority="53">
      <formula>AND($K68 &gt; 0, ISNUMBER($K68))</formula>
    </cfRule>
    <cfRule type="expression" dxfId="200" priority="54">
      <formula>AND($K68 &lt; 0, ISNUMBER($K68))</formula>
    </cfRule>
    <cfRule type="expression" dxfId="199" priority="55">
      <formula>AND($H68 &gt; 0, ISNUMBER($H68))</formula>
    </cfRule>
    <cfRule type="expression" dxfId="198" priority="56">
      <formula>AND($H68 &lt; 0, ISNUMBER($H68))</formula>
    </cfRule>
    <cfRule type="expression" dxfId="197" priority="57">
      <formula>AND($E68 &gt; 0, ISNUMBER($E68))</formula>
    </cfRule>
    <cfRule type="expression" dxfId="196" priority="58">
      <formula>AND($E68 &lt; 0, ISNUMBER($E68))</formula>
    </cfRule>
  </conditionalFormatting>
  <conditionalFormatting sqref="D66:F67 E78:F78">
    <cfRule type="expression" dxfId="195" priority="49">
      <formula>$E$78&gt;0</formula>
    </cfRule>
    <cfRule type="expression" dxfId="194" priority="50">
      <formula>$E$78&lt;0</formula>
    </cfRule>
  </conditionalFormatting>
  <conditionalFormatting sqref="G66:I67 H78:I78">
    <cfRule type="expression" dxfId="193" priority="47">
      <formula>$H$78&gt;0</formula>
    </cfRule>
    <cfRule type="expression" dxfId="192" priority="48">
      <formula>$H$78&lt;0</formula>
    </cfRule>
  </conditionalFormatting>
  <conditionalFormatting sqref="J66:L67 K78:L78">
    <cfRule type="expression" dxfId="191" priority="45">
      <formula>$K$78&gt;0</formula>
    </cfRule>
    <cfRule type="expression" dxfId="190" priority="46">
      <formula>$K$78&lt;0</formula>
    </cfRule>
  </conditionalFormatting>
  <conditionalFormatting sqref="M66:O67 N78:O78">
    <cfRule type="expression" dxfId="189" priority="43">
      <formula>$N$78&gt;0</formula>
    </cfRule>
    <cfRule type="expression" dxfId="188" priority="44">
      <formula>$N$78&lt;0</formula>
    </cfRule>
  </conditionalFormatting>
  <conditionalFormatting sqref="A85:O94">
    <cfRule type="expression" dxfId="187" priority="35">
      <formula>AND($N85 &gt; 0, ISNUMBER($N85))</formula>
    </cfRule>
    <cfRule type="expression" dxfId="186" priority="36">
      <formula>AND($N85 &lt; 0, ISNUMBER($N85))</formula>
    </cfRule>
    <cfRule type="expression" dxfId="185" priority="37">
      <formula>AND($K85 &gt; 0, ISNUMBER($K85))</formula>
    </cfRule>
    <cfRule type="expression" dxfId="184" priority="38">
      <formula>AND($K85 &lt; 0, ISNUMBER($K85))</formula>
    </cfRule>
    <cfRule type="expression" dxfId="183" priority="39">
      <formula>AND($H85 &gt; 0, ISNUMBER($H85))</formula>
    </cfRule>
    <cfRule type="expression" dxfId="182" priority="40">
      <formula>AND($H85 &lt; 0, ISNUMBER($H85))</formula>
    </cfRule>
    <cfRule type="expression" dxfId="181" priority="41">
      <formula>AND($E85 &gt; 0, ISNUMBER($E85))</formula>
    </cfRule>
    <cfRule type="expression" dxfId="180" priority="42">
      <formula>AND($E85 &lt; 0, ISNUMBER($E85))</formula>
    </cfRule>
  </conditionalFormatting>
  <conditionalFormatting sqref="D83:F84 E95:F95">
    <cfRule type="expression" dxfId="179" priority="33">
      <formula>$E$95&gt;0</formula>
    </cfRule>
    <cfRule type="expression" dxfId="178" priority="34">
      <formula>$E$95&lt;0</formula>
    </cfRule>
  </conditionalFormatting>
  <conditionalFormatting sqref="G83:I84 H95:I95">
    <cfRule type="expression" dxfId="177" priority="31">
      <formula>$H$95&gt;0</formula>
    </cfRule>
    <cfRule type="expression" dxfId="176" priority="32">
      <formula>$H$95&lt;0</formula>
    </cfRule>
  </conditionalFormatting>
  <conditionalFormatting sqref="J83:L84 K95:L95">
    <cfRule type="expression" dxfId="175" priority="29">
      <formula>$K$95&gt;0</formula>
    </cfRule>
    <cfRule type="expression" dxfId="174" priority="30">
      <formula>$K$95&lt;0</formula>
    </cfRule>
  </conditionalFormatting>
  <conditionalFormatting sqref="M83:O84 N95:O95">
    <cfRule type="expression" dxfId="173" priority="27">
      <formula>$N$95&gt;0</formula>
    </cfRule>
    <cfRule type="expression" dxfId="172" priority="28">
      <formula>$N$95&lt;0</formula>
    </cfRule>
  </conditionalFormatting>
  <conditionalFormatting sqref="A102:O111">
    <cfRule type="expression" dxfId="171" priority="19">
      <formula>AND($N102 &gt; 0, ISNUMBER($N102))</formula>
    </cfRule>
    <cfRule type="expression" dxfId="170" priority="20">
      <formula>AND($N102 &lt; 0, ISNUMBER($N102))</formula>
    </cfRule>
    <cfRule type="expression" dxfId="169" priority="21">
      <formula>AND($K102 &gt; 0, ISNUMBER($K102))</formula>
    </cfRule>
    <cfRule type="expression" dxfId="168" priority="22">
      <formula>AND($K102 &lt; 0, ISNUMBER($K102))</formula>
    </cfRule>
    <cfRule type="expression" dxfId="167" priority="23">
      <formula>AND($H102 &gt; 0, ISNUMBER($H102))</formula>
    </cfRule>
    <cfRule type="expression" dxfId="166" priority="24">
      <formula>AND($H102 &lt; 0, ISNUMBER($H102))</formula>
    </cfRule>
    <cfRule type="expression" dxfId="165" priority="25">
      <formula>AND($E102 &gt; 0, ISNUMBER($E102))</formula>
    </cfRule>
    <cfRule type="expression" dxfId="164" priority="26">
      <formula>AND($E102 &lt; 0, ISNUMBER($E102))</formula>
    </cfRule>
  </conditionalFormatting>
  <conditionalFormatting sqref="D100:F101 E112:F112">
    <cfRule type="expression" dxfId="163" priority="17">
      <formula>$E$112&gt;0</formula>
    </cfRule>
    <cfRule type="expression" dxfId="162" priority="18">
      <formula>$E$112&lt;0</formula>
    </cfRule>
  </conditionalFormatting>
  <conditionalFormatting sqref="G100:I101 H112:I112">
    <cfRule type="expression" dxfId="161" priority="15">
      <formula>$H$112&gt;0</formula>
    </cfRule>
    <cfRule type="expression" dxfId="160" priority="16">
      <formula>$H$112&lt;0</formula>
    </cfRule>
  </conditionalFormatting>
  <conditionalFormatting sqref="J100:L101 K112:L112">
    <cfRule type="expression" dxfId="159" priority="13">
      <formula>$K$112&gt;0</formula>
    </cfRule>
    <cfRule type="expression" dxfId="158" priority="14">
      <formula>$K$112&lt;0</formula>
    </cfRule>
  </conditionalFormatting>
  <conditionalFormatting sqref="M100:O101 N112:O112">
    <cfRule type="expression" dxfId="157" priority="11">
      <formula>$N$112&gt;0</formula>
    </cfRule>
    <cfRule type="expression" dxfId="156" priority="12">
      <formula>$N$112&lt;0</formula>
    </cfRule>
  </conditionalFormatting>
  <conditionalFormatting sqref="G2:I3">
    <cfRule type="expression" dxfId="1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27" sqref="A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7" t="s">
        <v>0</v>
      </c>
      <c r="B1" s="138"/>
      <c r="C1" s="138"/>
      <c r="D1" s="138"/>
      <c r="E1" s="138"/>
      <c r="F1" s="139"/>
      <c r="G1" s="140">
        <v>44287</v>
      </c>
      <c r="H1" s="141"/>
      <c r="I1" s="142"/>
      <c r="J1" s="137" t="s">
        <v>33</v>
      </c>
      <c r="K1" s="138"/>
      <c r="L1" s="138"/>
      <c r="M1" s="138"/>
      <c r="N1" s="138"/>
      <c r="O1" s="139"/>
      <c r="Q1" s="137" t="s">
        <v>1</v>
      </c>
      <c r="R1" s="139"/>
    </row>
    <row r="2" spans="1:18" ht="17.25" customHeight="1">
      <c r="A2" s="3" t="s">
        <v>22</v>
      </c>
      <c r="B2" s="143" t="s">
        <v>31</v>
      </c>
      <c r="C2" s="144"/>
      <c r="D2" s="144"/>
      <c r="E2" s="144"/>
      <c r="F2" s="145"/>
      <c r="G2" s="146" t="s">
        <v>83</v>
      </c>
      <c r="H2" s="147"/>
      <c r="I2" s="148"/>
      <c r="J2" s="3" t="s">
        <v>22</v>
      </c>
      <c r="K2" s="143" t="s">
        <v>61</v>
      </c>
      <c r="L2" s="144"/>
      <c r="M2" s="144"/>
      <c r="N2" s="144"/>
      <c r="O2" s="145"/>
      <c r="Q2" s="18" t="s">
        <v>89</v>
      </c>
      <c r="R2" s="49">
        <v>0.375</v>
      </c>
    </row>
    <row r="3" spans="1:18" ht="17.25" customHeight="1" thickBot="1">
      <c r="A3" s="1" t="s">
        <v>23</v>
      </c>
      <c r="B3" s="149" t="s">
        <v>55</v>
      </c>
      <c r="C3" s="150"/>
      <c r="D3" s="150"/>
      <c r="E3" s="150"/>
      <c r="F3" s="151"/>
      <c r="G3" s="15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53"/>
      <c r="I3" s="154"/>
      <c r="J3" s="1" t="s">
        <v>23</v>
      </c>
      <c r="K3" s="149" t="s">
        <v>59</v>
      </c>
      <c r="L3" s="150"/>
      <c r="M3" s="150"/>
      <c r="N3" s="150"/>
      <c r="O3" s="15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49" t="s">
        <v>56</v>
      </c>
      <c r="C4" s="150"/>
      <c r="D4" s="150"/>
      <c r="E4" s="150"/>
      <c r="F4" s="151"/>
      <c r="G4" s="146" t="s">
        <v>84</v>
      </c>
      <c r="H4" s="147"/>
      <c r="I4" s="148"/>
      <c r="J4" s="1" t="s">
        <v>30</v>
      </c>
      <c r="K4" s="149" t="s">
        <v>60</v>
      </c>
      <c r="L4" s="150"/>
      <c r="M4" s="150"/>
      <c r="N4" s="150"/>
      <c r="O4" s="151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49" t="s">
        <v>57</v>
      </c>
      <c r="C5" s="150"/>
      <c r="D5" s="150"/>
      <c r="E5" s="150"/>
      <c r="F5" s="151"/>
      <c r="G5" s="15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3"/>
      <c r="I5" s="154"/>
      <c r="J5" s="1" t="s">
        <v>24</v>
      </c>
      <c r="K5" s="149" t="s">
        <v>62</v>
      </c>
      <c r="L5" s="150"/>
      <c r="M5" s="150"/>
      <c r="N5" s="150"/>
      <c r="O5" s="151"/>
    </row>
    <row r="6" spans="1:18">
      <c r="A6" s="1" t="s">
        <v>25</v>
      </c>
      <c r="B6" s="149" t="s">
        <v>58</v>
      </c>
      <c r="C6" s="150"/>
      <c r="D6" s="150"/>
      <c r="E6" s="150"/>
      <c r="F6" s="151"/>
      <c r="G6" s="146" t="s">
        <v>85</v>
      </c>
      <c r="H6" s="147"/>
      <c r="I6" s="148"/>
      <c r="J6" s="1" t="s">
        <v>25</v>
      </c>
      <c r="K6" s="149" t="s">
        <v>63</v>
      </c>
      <c r="L6" s="150"/>
      <c r="M6" s="150"/>
      <c r="N6" s="150"/>
      <c r="O6" s="151"/>
    </row>
    <row r="7" spans="1:18" ht="17.25" thickBot="1">
      <c r="A7" s="1" t="s">
        <v>26</v>
      </c>
      <c r="B7" s="149" t="s">
        <v>64</v>
      </c>
      <c r="C7" s="150"/>
      <c r="D7" s="150"/>
      <c r="E7" s="150"/>
      <c r="F7" s="151"/>
      <c r="G7" s="15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3"/>
      <c r="I7" s="154"/>
      <c r="J7" s="1" t="s">
        <v>26</v>
      </c>
      <c r="K7" s="149" t="s">
        <v>65</v>
      </c>
      <c r="L7" s="150"/>
      <c r="M7" s="150"/>
      <c r="N7" s="150"/>
      <c r="O7" s="151"/>
    </row>
    <row r="8" spans="1:18" ht="17.25" thickBot="1">
      <c r="A8" s="1" t="s">
        <v>27</v>
      </c>
      <c r="B8" s="149" t="s">
        <v>66</v>
      </c>
      <c r="C8" s="150"/>
      <c r="D8" s="150"/>
      <c r="E8" s="150"/>
      <c r="F8" s="151"/>
      <c r="G8" s="146" t="s">
        <v>86</v>
      </c>
      <c r="H8" s="147"/>
      <c r="I8" s="148"/>
      <c r="J8" s="1" t="s">
        <v>27</v>
      </c>
      <c r="K8" s="149" t="s">
        <v>88</v>
      </c>
      <c r="L8" s="150"/>
      <c r="M8" s="150"/>
      <c r="N8" s="150"/>
      <c r="O8" s="151"/>
      <c r="Q8" s="137" t="s">
        <v>16</v>
      </c>
      <c r="R8" s="139"/>
    </row>
    <row r="9" spans="1:18" ht="17.25" thickBot="1">
      <c r="A9" s="1" t="s">
        <v>28</v>
      </c>
      <c r="B9" s="149"/>
      <c r="C9" s="150"/>
      <c r="D9" s="150"/>
      <c r="E9" s="150"/>
      <c r="F9" s="151"/>
      <c r="G9" s="15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3"/>
      <c r="I9" s="154"/>
      <c r="J9" s="1" t="s">
        <v>28</v>
      </c>
      <c r="K9" s="149" t="s">
        <v>355</v>
      </c>
      <c r="L9" s="150"/>
      <c r="M9" s="150"/>
      <c r="N9" s="150"/>
      <c r="O9" s="151"/>
      <c r="Q9" s="18" t="s">
        <v>2</v>
      </c>
      <c r="R9" s="51">
        <v>10</v>
      </c>
    </row>
    <row r="10" spans="1:18">
      <c r="A10" s="1" t="s">
        <v>29</v>
      </c>
      <c r="B10" s="149"/>
      <c r="C10" s="150"/>
      <c r="D10" s="150"/>
      <c r="E10" s="150"/>
      <c r="F10" s="151"/>
      <c r="G10" s="146" t="s">
        <v>81</v>
      </c>
      <c r="H10" s="147"/>
      <c r="I10" s="148"/>
      <c r="J10" s="1" t="s">
        <v>29</v>
      </c>
      <c r="K10" s="149"/>
      <c r="L10" s="150"/>
      <c r="M10" s="150"/>
      <c r="N10" s="150"/>
      <c r="O10" s="151"/>
      <c r="Q10" s="18" t="s">
        <v>3</v>
      </c>
      <c r="R10" s="51">
        <v>100</v>
      </c>
    </row>
    <row r="11" spans="1:18" ht="17.25" thickBot="1">
      <c r="A11" s="2" t="s">
        <v>21</v>
      </c>
      <c r="B11" s="161"/>
      <c r="C11" s="162"/>
      <c r="D11" s="162"/>
      <c r="E11" s="162"/>
      <c r="F11" s="163"/>
      <c r="G11" s="15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53"/>
      <c r="I11" s="154"/>
      <c r="J11" s="2" t="s">
        <v>21</v>
      </c>
      <c r="K11" s="161"/>
      <c r="L11" s="162"/>
      <c r="M11" s="162"/>
      <c r="N11" s="162"/>
      <c r="O11" s="163"/>
      <c r="Q11" s="135" t="s">
        <v>17</v>
      </c>
      <c r="R11" s="52">
        <v>1000</v>
      </c>
    </row>
    <row r="12" spans="1:18" ht="17.25" thickBot="1"/>
    <row r="13" spans="1:18" ht="17.25" customHeight="1" thickBot="1">
      <c r="A13" s="137" t="s">
        <v>87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9"/>
      <c r="Q13" s="164"/>
      <c r="R13" s="165"/>
    </row>
    <row r="14" spans="1:18" ht="17.25" customHeight="1" thickBot="1">
      <c r="A14" s="130" t="s">
        <v>311</v>
      </c>
      <c r="B14" s="137" t="s">
        <v>310</v>
      </c>
      <c r="C14" s="139"/>
      <c r="D14" s="137" t="s">
        <v>67</v>
      </c>
      <c r="E14" s="138"/>
      <c r="F14" s="139"/>
      <c r="G14" s="174">
        <f>_xlfn.IFNA(VLOOKUP(B14, 현재가테이블!$B$1:$D$200, 2, FALSE), "-")</f>
        <v>78395000</v>
      </c>
      <c r="H14" s="175"/>
      <c r="I14" s="176"/>
      <c r="J14" s="137" t="s">
        <v>69</v>
      </c>
      <c r="K14" s="138"/>
      <c r="L14" s="139"/>
      <c r="M14" s="177">
        <f>_xlfn.IFNA(VLOOKUP(B14, 현재가테이블!$B$1:$D$200, 3, FALSE), "-")</f>
        <v>-4.4194404999999999E-3</v>
      </c>
      <c r="N14" s="178"/>
      <c r="O14" s="179"/>
      <c r="Q14" s="166"/>
      <c r="R14" s="167"/>
    </row>
    <row r="15" spans="1:18" ht="17.25" customHeight="1" thickBot="1">
      <c r="A15" s="168" t="s">
        <v>18</v>
      </c>
      <c r="B15" s="169" t="s">
        <v>54</v>
      </c>
      <c r="C15" s="170"/>
      <c r="D15" s="171" t="s">
        <v>20</v>
      </c>
      <c r="E15" s="172"/>
      <c r="F15" s="173"/>
      <c r="G15" s="171" t="s">
        <v>15</v>
      </c>
      <c r="H15" s="172"/>
      <c r="I15" s="173"/>
      <c r="J15" s="172" t="s">
        <v>34</v>
      </c>
      <c r="K15" s="172"/>
      <c r="L15" s="172"/>
      <c r="M15" s="171" t="s">
        <v>54</v>
      </c>
      <c r="N15" s="172"/>
      <c r="O15" s="173"/>
      <c r="Q15" s="157"/>
      <c r="R15" s="158"/>
    </row>
    <row r="16" spans="1:18" ht="17.25" customHeight="1" thickBot="1">
      <c r="A16" s="16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57"/>
      <c r="R16" s="158"/>
    </row>
    <row r="17" spans="1:18" ht="17.25" customHeight="1">
      <c r="A17" s="39" t="s">
        <v>319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5"/>
      <c r="R17" s="156"/>
    </row>
    <row r="18" spans="1:18" ht="17.25" customHeight="1">
      <c r="A18" s="40" t="s">
        <v>317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5"/>
      <c r="R18" s="156"/>
    </row>
    <row r="19" spans="1:18" ht="17.25" customHeight="1">
      <c r="A19" s="40" t="s">
        <v>341</v>
      </c>
      <c r="B19" s="36">
        <f t="shared" si="1"/>
        <v>6660</v>
      </c>
      <c r="C19" s="5">
        <f t="shared" si="2"/>
        <v>7.8542510100000004E-2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5"/>
      <c r="R19" s="156"/>
    </row>
    <row r="20" spans="1:18" ht="17.25" customHeight="1">
      <c r="A20" s="40" t="s">
        <v>261</v>
      </c>
      <c r="B20" s="36">
        <f t="shared" si="1"/>
        <v>172</v>
      </c>
      <c r="C20" s="5">
        <f t="shared" si="2"/>
        <v>7.4999999999999997E-2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5"/>
      <c r="R20" s="156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5"/>
      <c r="R21" s="156"/>
    </row>
    <row r="22" spans="1:18" ht="17.25" customHeight="1">
      <c r="A22" s="40" t="s">
        <v>315</v>
      </c>
      <c r="B22" s="36">
        <f t="shared" si="1"/>
        <v>4905</v>
      </c>
      <c r="C22" s="5">
        <f t="shared" si="2"/>
        <v>6.2838569900000002E-2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5"/>
      <c r="R22" s="156"/>
    </row>
    <row r="23" spans="1:18" ht="17.25" customHeight="1">
      <c r="A23" s="40" t="s">
        <v>198</v>
      </c>
      <c r="B23" s="36">
        <f t="shared" si="1"/>
        <v>204</v>
      </c>
      <c r="C23" s="5">
        <f t="shared" si="2"/>
        <v>6.25E-2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5"/>
      <c r="R23" s="156"/>
    </row>
    <row r="24" spans="1:18" ht="17.25" customHeight="1">
      <c r="A24" s="40" t="s">
        <v>167</v>
      </c>
      <c r="B24" s="36">
        <f t="shared" si="1"/>
        <v>644</v>
      </c>
      <c r="C24" s="5">
        <f t="shared" si="2"/>
        <v>5.2287581700000002E-2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5"/>
      <c r="R24" s="156"/>
    </row>
    <row r="25" spans="1:18" ht="17.25" customHeight="1">
      <c r="A25" s="40" t="s">
        <v>323</v>
      </c>
      <c r="B25" s="36">
        <f t="shared" si="1"/>
        <v>752</v>
      </c>
      <c r="C25" s="5">
        <f t="shared" si="2"/>
        <v>-1.44167759E-2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7"/>
      <c r="R25" s="158"/>
    </row>
    <row r="26" spans="1:18" ht="17.25" customHeight="1" thickBot="1">
      <c r="A26" s="42" t="s">
        <v>357</v>
      </c>
      <c r="B26" s="38">
        <f t="shared" si="1"/>
        <v>446</v>
      </c>
      <c r="C26" s="16">
        <f t="shared" si="2"/>
        <v>-2.4070021899999999E-2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7"/>
      <c r="R26" s="158"/>
    </row>
    <row r="27" spans="1:18" ht="17.25" customHeight="1" thickBot="1">
      <c r="A27" s="57" t="s">
        <v>32</v>
      </c>
      <c r="B27" s="186">
        <v>100000</v>
      </c>
      <c r="C27" s="18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9"/>
      <c r="R27" s="16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7" t="s">
        <v>83</v>
      </c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9"/>
      <c r="Q30" s="188"/>
      <c r="R30" s="189"/>
    </row>
    <row r="31" spans="1:18" ht="17.25" customHeight="1" thickBot="1">
      <c r="A31" s="130" t="s">
        <v>311</v>
      </c>
      <c r="B31" s="137" t="s">
        <v>310</v>
      </c>
      <c r="C31" s="139"/>
      <c r="D31" s="137" t="s">
        <v>67</v>
      </c>
      <c r="E31" s="138"/>
      <c r="F31" s="139"/>
      <c r="G31" s="174">
        <f>_xlfn.IFNA(VLOOKUP(B31, 현재가테이블!$B$1:$D$200, 2, FALSE), "-")</f>
        <v>78395000</v>
      </c>
      <c r="H31" s="175"/>
      <c r="I31" s="176"/>
      <c r="J31" s="137" t="s">
        <v>69</v>
      </c>
      <c r="K31" s="138"/>
      <c r="L31" s="139"/>
      <c r="M31" s="177">
        <f>_xlfn.IFNA(VLOOKUP(B31, 현재가테이블!$B$1:$D$200, 3, FALSE), "-")</f>
        <v>-4.4194404999999999E-3</v>
      </c>
      <c r="N31" s="178"/>
      <c r="O31" s="179"/>
      <c r="Q31" s="190"/>
      <c r="R31" s="191"/>
    </row>
    <row r="32" spans="1:18" ht="17.25" customHeight="1" thickBot="1">
      <c r="A32" s="168" t="s">
        <v>18</v>
      </c>
      <c r="B32" s="169" t="s">
        <v>54</v>
      </c>
      <c r="C32" s="170"/>
      <c r="D32" s="192" t="s">
        <v>20</v>
      </c>
      <c r="E32" s="193"/>
      <c r="F32" s="194"/>
      <c r="G32" s="192" t="s">
        <v>15</v>
      </c>
      <c r="H32" s="193"/>
      <c r="I32" s="194"/>
      <c r="J32" s="172" t="s">
        <v>34</v>
      </c>
      <c r="K32" s="172"/>
      <c r="L32" s="172"/>
      <c r="M32" s="192" t="s">
        <v>54</v>
      </c>
      <c r="N32" s="193"/>
      <c r="O32" s="194"/>
      <c r="Q32" s="182"/>
      <c r="R32" s="183"/>
    </row>
    <row r="33" spans="1:18" ht="17.25" customHeight="1" thickBot="1">
      <c r="A33" s="16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82"/>
      <c r="R33" s="183"/>
    </row>
    <row r="34" spans="1:18" ht="17.25" customHeight="1">
      <c r="A34" s="9" t="s">
        <v>217</v>
      </c>
      <c r="B34" s="31">
        <v>76</v>
      </c>
      <c r="C34" s="22">
        <v>2.5641025599999999E-2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80"/>
      <c r="R34" s="181"/>
    </row>
    <row r="35" spans="1:18" ht="17.25" customHeight="1">
      <c r="A35" s="11" t="s">
        <v>208</v>
      </c>
      <c r="B35" s="32">
        <v>10.7</v>
      </c>
      <c r="C35" s="5">
        <v>-2.7272727300000001E-2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0"/>
      <c r="R35" s="181"/>
    </row>
    <row r="36" spans="1:18" ht="17.25" customHeight="1">
      <c r="A36" s="11" t="s">
        <v>127</v>
      </c>
      <c r="B36" s="32">
        <v>45.8</v>
      </c>
      <c r="C36" s="5">
        <v>-3.7815126099999999E-2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0"/>
      <c r="R36" s="181"/>
    </row>
    <row r="37" spans="1:18" ht="17.25" customHeight="1">
      <c r="A37" s="11" t="s">
        <v>259</v>
      </c>
      <c r="B37" s="32">
        <v>34.6</v>
      </c>
      <c r="C37" s="5">
        <v>-4.4198895000000002E-2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0"/>
      <c r="R37" s="181"/>
    </row>
    <row r="38" spans="1:18" ht="17.25" customHeight="1">
      <c r="A38" s="8" t="s">
        <v>232</v>
      </c>
      <c r="B38" s="33">
        <v>28.1</v>
      </c>
      <c r="C38" s="24">
        <v>-4.42176871E-2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0"/>
      <c r="R38" s="181"/>
    </row>
    <row r="39" spans="1:18" ht="17.25" customHeight="1">
      <c r="A39" s="11" t="s">
        <v>193</v>
      </c>
      <c r="B39" s="32">
        <v>29.1</v>
      </c>
      <c r="C39" s="5">
        <v>-4.9019607799999997E-2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0"/>
      <c r="R39" s="181"/>
    </row>
    <row r="40" spans="1:18" ht="17.25" customHeight="1">
      <c r="A40" s="11" t="s">
        <v>98</v>
      </c>
      <c r="B40" s="32">
        <v>31.5</v>
      </c>
      <c r="C40" s="5">
        <v>-5.1204819300000003E-2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0"/>
      <c r="R40" s="181"/>
    </row>
    <row r="41" spans="1:18" ht="17.25" customHeight="1">
      <c r="A41" s="11" t="s">
        <v>109</v>
      </c>
      <c r="B41" s="32">
        <v>40.200000000000003</v>
      </c>
      <c r="C41" s="5">
        <v>-5.4117647099999999E-2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0"/>
      <c r="R41" s="181"/>
    </row>
    <row r="42" spans="1:18" ht="17.25" customHeight="1">
      <c r="A42" s="11" t="s">
        <v>186</v>
      </c>
      <c r="B42" s="32">
        <v>28.4</v>
      </c>
      <c r="C42" s="5">
        <v>-5.6478405299999999E-2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2"/>
      <c r="R42" s="183"/>
    </row>
    <row r="43" spans="1:18" ht="17.25" customHeight="1" thickBot="1">
      <c r="A43" s="13" t="s">
        <v>155</v>
      </c>
      <c r="B43" s="34">
        <v>26.7</v>
      </c>
      <c r="C43" s="16">
        <v>-5.9859154900000003E-2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2"/>
      <c r="R43" s="183"/>
    </row>
    <row r="44" spans="1:18" ht="17.25" customHeight="1" thickBot="1">
      <c r="A44" s="57" t="s">
        <v>32</v>
      </c>
      <c r="B44" s="186">
        <v>100000</v>
      </c>
      <c r="C44" s="18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84"/>
      <c r="R44" s="18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7" t="s">
        <v>84</v>
      </c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9"/>
      <c r="Q47" s="188"/>
      <c r="R47" s="189"/>
    </row>
    <row r="48" spans="1:18" ht="17.25" customHeight="1" thickBot="1">
      <c r="A48" s="130" t="s">
        <v>311</v>
      </c>
      <c r="B48" s="137" t="s">
        <v>310</v>
      </c>
      <c r="C48" s="139"/>
      <c r="D48" s="137" t="s">
        <v>67</v>
      </c>
      <c r="E48" s="138"/>
      <c r="F48" s="139"/>
      <c r="G48" s="174">
        <f>_xlfn.IFNA(VLOOKUP(B48, 현재가테이블!$B$1:$D$200, 2, FALSE), "-")</f>
        <v>78395000</v>
      </c>
      <c r="H48" s="175"/>
      <c r="I48" s="176"/>
      <c r="J48" s="137" t="s">
        <v>69</v>
      </c>
      <c r="K48" s="138"/>
      <c r="L48" s="139"/>
      <c r="M48" s="177">
        <f>_xlfn.IFNA(VLOOKUP(B48, 현재가테이블!$B$1:$D$200, 3, FALSE), "-")</f>
        <v>-4.4194404999999999E-3</v>
      </c>
      <c r="N48" s="178"/>
      <c r="O48" s="179"/>
      <c r="Q48" s="190"/>
      <c r="R48" s="191"/>
    </row>
    <row r="49" spans="1:18" ht="17.25" customHeight="1" thickBot="1">
      <c r="A49" s="168" t="s">
        <v>18</v>
      </c>
      <c r="B49" s="169" t="s">
        <v>54</v>
      </c>
      <c r="C49" s="170"/>
      <c r="D49" s="192" t="s">
        <v>20</v>
      </c>
      <c r="E49" s="193"/>
      <c r="F49" s="194"/>
      <c r="G49" s="192" t="s">
        <v>15</v>
      </c>
      <c r="H49" s="193"/>
      <c r="I49" s="194"/>
      <c r="J49" s="172" t="s">
        <v>34</v>
      </c>
      <c r="K49" s="172"/>
      <c r="L49" s="172"/>
      <c r="M49" s="192" t="s">
        <v>54</v>
      </c>
      <c r="N49" s="193"/>
      <c r="O49" s="194"/>
      <c r="Q49" s="182"/>
      <c r="R49" s="183"/>
    </row>
    <row r="50" spans="1:18" ht="17.25" customHeight="1" thickBot="1">
      <c r="A50" s="16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82"/>
      <c r="R50" s="183"/>
    </row>
    <row r="51" spans="1:18" ht="17.25" customHeight="1">
      <c r="A51" s="9" t="s">
        <v>191</v>
      </c>
      <c r="B51" s="31">
        <v>33.9</v>
      </c>
      <c r="C51" s="22">
        <v>-6.0941828300000001E-2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0"/>
      <c r="R51" s="181"/>
    </row>
    <row r="52" spans="1:18" ht="17.25" customHeight="1">
      <c r="A52" s="11" t="s">
        <v>163</v>
      </c>
      <c r="B52" s="32">
        <v>88.8</v>
      </c>
      <c r="C52" s="5">
        <v>-6.2302006299999997E-2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0"/>
      <c r="R52" s="181"/>
    </row>
    <row r="53" spans="1:18" ht="17.25" customHeight="1">
      <c r="A53" s="11" t="s">
        <v>211</v>
      </c>
      <c r="B53" s="32">
        <v>53</v>
      </c>
      <c r="C53" s="5">
        <v>-6.3604240300000003E-2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0"/>
      <c r="R53" s="181"/>
    </row>
    <row r="54" spans="1:18" ht="17.25" customHeight="1">
      <c r="A54" s="11" t="s">
        <v>239</v>
      </c>
      <c r="B54" s="32">
        <v>33.9</v>
      </c>
      <c r="C54" s="5">
        <v>-6.6115702499999998E-2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0"/>
      <c r="R54" s="181"/>
    </row>
    <row r="55" spans="1:18" ht="17.25" customHeight="1">
      <c r="A55" s="8" t="s">
        <v>96</v>
      </c>
      <c r="B55" s="33">
        <v>91.7</v>
      </c>
      <c r="C55" s="24">
        <v>-6.6191446000000001E-2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0"/>
      <c r="R55" s="181"/>
    </row>
    <row r="56" spans="1:18" ht="17.25" customHeight="1">
      <c r="A56" s="11" t="s">
        <v>183</v>
      </c>
      <c r="B56" s="32">
        <v>38.700000000000003</v>
      </c>
      <c r="C56" s="5">
        <v>-6.9711538500000003E-2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0"/>
      <c r="R56" s="18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0"/>
      <c r="R57" s="18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0"/>
      <c r="R58" s="18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2"/>
      <c r="R59" s="18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2"/>
      <c r="R60" s="183"/>
    </row>
    <row r="61" spans="1:18" ht="17.25" customHeight="1" thickBot="1">
      <c r="A61" s="57" t="s">
        <v>32</v>
      </c>
      <c r="B61" s="186">
        <v>100000</v>
      </c>
      <c r="C61" s="18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84"/>
      <c r="R61" s="185"/>
    </row>
    <row r="62" spans="1:18" ht="17.25" customHeight="1"/>
    <row r="63" spans="1:18" ht="17.25" customHeight="1" thickBot="1"/>
    <row r="64" spans="1:18" ht="17.25" customHeight="1" thickBot="1">
      <c r="A64" s="137" t="s">
        <v>85</v>
      </c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9"/>
      <c r="Q64" s="188"/>
      <c r="R64" s="189"/>
    </row>
    <row r="65" spans="1:18" ht="17.25" customHeight="1" thickBot="1">
      <c r="A65" s="130" t="s">
        <v>311</v>
      </c>
      <c r="B65" s="137" t="s">
        <v>310</v>
      </c>
      <c r="C65" s="139"/>
      <c r="D65" s="137" t="s">
        <v>67</v>
      </c>
      <c r="E65" s="138"/>
      <c r="F65" s="139"/>
      <c r="G65" s="174">
        <f>_xlfn.IFNA(VLOOKUP(B65, 현재가테이블!$B$1:$D$200, 2, FALSE), "-")</f>
        <v>78395000</v>
      </c>
      <c r="H65" s="175"/>
      <c r="I65" s="176"/>
      <c r="J65" s="137" t="s">
        <v>69</v>
      </c>
      <c r="K65" s="138"/>
      <c r="L65" s="139"/>
      <c r="M65" s="177">
        <f>_xlfn.IFNA(VLOOKUP(B65, 현재가테이블!$B$1:$D$200, 3, FALSE), "-")</f>
        <v>-4.4194404999999999E-3</v>
      </c>
      <c r="N65" s="178"/>
      <c r="O65" s="179"/>
      <c r="Q65" s="190"/>
      <c r="R65" s="191"/>
    </row>
    <row r="66" spans="1:18" ht="17.25" customHeight="1" thickBot="1">
      <c r="A66" s="168" t="s">
        <v>18</v>
      </c>
      <c r="B66" s="169" t="s">
        <v>54</v>
      </c>
      <c r="C66" s="170"/>
      <c r="D66" s="192" t="s">
        <v>20</v>
      </c>
      <c r="E66" s="193"/>
      <c r="F66" s="194"/>
      <c r="G66" s="192" t="s">
        <v>15</v>
      </c>
      <c r="H66" s="193"/>
      <c r="I66" s="194"/>
      <c r="J66" s="172" t="s">
        <v>34</v>
      </c>
      <c r="K66" s="172"/>
      <c r="L66" s="172"/>
      <c r="M66" s="192" t="s">
        <v>54</v>
      </c>
      <c r="N66" s="193"/>
      <c r="O66" s="194"/>
      <c r="Q66" s="182"/>
      <c r="R66" s="183"/>
    </row>
    <row r="67" spans="1:18" ht="17.25" customHeight="1" thickBot="1">
      <c r="A67" s="16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82"/>
      <c r="R67" s="183"/>
    </row>
    <row r="68" spans="1:18" ht="17.25" customHeight="1">
      <c r="A68" s="9" t="s">
        <v>261</v>
      </c>
      <c r="B68" s="31">
        <v>172</v>
      </c>
      <c r="C68" s="22">
        <v>7.4999999999999997E-2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80"/>
      <c r="R68" s="181"/>
    </row>
    <row r="69" spans="1:18" ht="17.25" customHeight="1">
      <c r="A69" s="11" t="s">
        <v>198</v>
      </c>
      <c r="B69" s="32">
        <v>204</v>
      </c>
      <c r="C69" s="5">
        <v>6.25E-2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0"/>
      <c r="R69" s="181"/>
    </row>
    <row r="70" spans="1:18" ht="17.25" customHeight="1">
      <c r="A70" s="11" t="s">
        <v>167</v>
      </c>
      <c r="B70" s="32">
        <v>644</v>
      </c>
      <c r="C70" s="5">
        <v>5.2287581700000002E-2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0"/>
      <c r="R70" s="181"/>
    </row>
    <row r="71" spans="1:18" ht="17.25" customHeight="1">
      <c r="A71" s="11" t="s">
        <v>181</v>
      </c>
      <c r="B71" s="32">
        <v>334</v>
      </c>
      <c r="C71" s="5">
        <v>4.3749999999999997E-2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0"/>
      <c r="R71" s="181"/>
    </row>
    <row r="72" spans="1:18" ht="17.25" customHeight="1">
      <c r="A72" s="8" t="s">
        <v>101</v>
      </c>
      <c r="B72" s="33">
        <v>873</v>
      </c>
      <c r="C72" s="24">
        <v>3.43601896E-2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0"/>
      <c r="R72" s="181"/>
    </row>
    <row r="73" spans="1:18" ht="17.25" customHeight="1">
      <c r="A73" s="11" t="s">
        <v>171</v>
      </c>
      <c r="B73" s="32">
        <v>240</v>
      </c>
      <c r="C73" s="5">
        <v>3.0042918500000002E-2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0"/>
      <c r="R73" s="181"/>
    </row>
    <row r="74" spans="1:18" ht="17.25" customHeight="1">
      <c r="A74" s="11" t="s">
        <v>147</v>
      </c>
      <c r="B74" s="32">
        <v>189</v>
      </c>
      <c r="C74" s="5">
        <v>1.6129032299999999E-2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0"/>
      <c r="R74" s="181"/>
    </row>
    <row r="75" spans="1:18" ht="17.25" customHeight="1">
      <c r="A75" s="11" t="s">
        <v>213</v>
      </c>
      <c r="B75" s="32">
        <v>111</v>
      </c>
      <c r="C75" s="5">
        <v>9.0909091000000008E-3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0"/>
      <c r="R75" s="181"/>
    </row>
    <row r="76" spans="1:18" ht="17.25" customHeight="1">
      <c r="A76" s="11" t="s">
        <v>165</v>
      </c>
      <c r="B76" s="32">
        <v>173</v>
      </c>
      <c r="C76" s="5">
        <v>5.8139534999999999E-3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2"/>
      <c r="R76" s="183"/>
    </row>
    <row r="77" spans="1:18" ht="17.25" customHeight="1" thickBot="1">
      <c r="A77" s="13" t="s">
        <v>177</v>
      </c>
      <c r="B77" s="34">
        <v>219</v>
      </c>
      <c r="C77" s="16">
        <v>4.5871560000000002E-3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2"/>
      <c r="R77" s="183"/>
    </row>
    <row r="78" spans="1:18" ht="17.25" customHeight="1" thickBot="1">
      <c r="A78" s="57" t="s">
        <v>32</v>
      </c>
      <c r="B78" s="186">
        <v>100000</v>
      </c>
      <c r="C78" s="18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84"/>
      <c r="R78" s="18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7" t="s">
        <v>86</v>
      </c>
      <c r="B81" s="138"/>
      <c r="C81" s="138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9"/>
      <c r="Q81" s="188"/>
      <c r="R81" s="189"/>
    </row>
    <row r="82" spans="1:18" ht="17.25" customHeight="1" thickBot="1">
      <c r="A82" s="130" t="s">
        <v>311</v>
      </c>
      <c r="B82" s="137" t="s">
        <v>310</v>
      </c>
      <c r="C82" s="139"/>
      <c r="D82" s="137" t="s">
        <v>67</v>
      </c>
      <c r="E82" s="138"/>
      <c r="F82" s="139"/>
      <c r="G82" s="174">
        <f>_xlfn.IFNA(VLOOKUP(B82, 현재가테이블!$B$1:$D$200, 2, FALSE), "-")</f>
        <v>78395000</v>
      </c>
      <c r="H82" s="175"/>
      <c r="I82" s="176"/>
      <c r="J82" s="137" t="s">
        <v>69</v>
      </c>
      <c r="K82" s="138"/>
      <c r="L82" s="139"/>
      <c r="M82" s="177">
        <f>_xlfn.IFNA(VLOOKUP(B82, 현재가테이블!$B$1:$D$200, 3, FALSE), "-")</f>
        <v>-4.4194404999999999E-3</v>
      </c>
      <c r="N82" s="178"/>
      <c r="O82" s="179"/>
      <c r="Q82" s="190"/>
      <c r="R82" s="191"/>
    </row>
    <row r="83" spans="1:18" ht="17.25" customHeight="1" thickBot="1">
      <c r="A83" s="168" t="s">
        <v>18</v>
      </c>
      <c r="B83" s="169" t="s">
        <v>54</v>
      </c>
      <c r="C83" s="170"/>
      <c r="D83" s="192" t="s">
        <v>20</v>
      </c>
      <c r="E83" s="193"/>
      <c r="F83" s="194"/>
      <c r="G83" s="192" t="s">
        <v>15</v>
      </c>
      <c r="H83" s="193"/>
      <c r="I83" s="194"/>
      <c r="J83" s="172" t="s">
        <v>34</v>
      </c>
      <c r="K83" s="172"/>
      <c r="L83" s="172"/>
      <c r="M83" s="192" t="s">
        <v>54</v>
      </c>
      <c r="N83" s="193"/>
      <c r="O83" s="194"/>
      <c r="Q83" s="182"/>
      <c r="R83" s="183"/>
    </row>
    <row r="84" spans="1:18" ht="17.25" customHeight="1" thickBot="1">
      <c r="A84" s="16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82"/>
      <c r="R84" s="183"/>
    </row>
    <row r="85" spans="1:18" ht="17.25" customHeight="1">
      <c r="A85" s="9" t="s">
        <v>161</v>
      </c>
      <c r="B85" s="31">
        <v>346</v>
      </c>
      <c r="C85" s="22">
        <v>2.8985507E-3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0"/>
      <c r="R85" s="181"/>
    </row>
    <row r="86" spans="1:18" ht="17.25" customHeight="1">
      <c r="A86" s="11" t="s">
        <v>288</v>
      </c>
      <c r="B86" s="32">
        <v>752</v>
      </c>
      <c r="C86" s="5">
        <v>-1.44167759E-2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0"/>
      <c r="R86" s="181"/>
    </row>
    <row r="87" spans="1:18" ht="17.25" customHeight="1">
      <c r="A87" s="11" t="s">
        <v>189</v>
      </c>
      <c r="B87" s="32">
        <v>437</v>
      </c>
      <c r="C87" s="5">
        <v>-2.23713647E-2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0"/>
      <c r="R87" s="181"/>
    </row>
    <row r="88" spans="1:18" ht="17.25" customHeight="1">
      <c r="A88" s="11" t="s">
        <v>179</v>
      </c>
      <c r="B88" s="32">
        <v>446</v>
      </c>
      <c r="C88" s="5">
        <v>-2.4070021899999999E-2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0"/>
      <c r="R88" s="181"/>
    </row>
    <row r="89" spans="1:18" ht="17.25" customHeight="1">
      <c r="A89" s="8" t="s">
        <v>149</v>
      </c>
      <c r="B89" s="33">
        <v>366</v>
      </c>
      <c r="C89" s="24">
        <v>-2.65957447E-2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0"/>
      <c r="R89" s="181"/>
    </row>
    <row r="90" spans="1:18" ht="17.25" customHeight="1">
      <c r="A90" s="11" t="s">
        <v>202</v>
      </c>
      <c r="B90" s="32">
        <v>453</v>
      </c>
      <c r="C90" s="5">
        <v>-2.78969957E-2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0"/>
      <c r="R90" s="181"/>
    </row>
    <row r="91" spans="1:18" ht="17.25" customHeight="1">
      <c r="A91" s="11" t="s">
        <v>206</v>
      </c>
      <c r="B91" s="32">
        <v>258</v>
      </c>
      <c r="C91" s="5">
        <v>-3.0075187999999999E-2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0"/>
      <c r="R91" s="181"/>
    </row>
    <row r="92" spans="1:18" ht="17.25" customHeight="1">
      <c r="A92" s="11" t="s">
        <v>133</v>
      </c>
      <c r="B92" s="32">
        <v>715</v>
      </c>
      <c r="C92" s="5">
        <v>-3.8978494599999997E-2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0"/>
      <c r="R92" s="181"/>
    </row>
    <row r="93" spans="1:18" ht="17.25" customHeight="1">
      <c r="A93" s="11" t="s">
        <v>135</v>
      </c>
      <c r="B93" s="32">
        <v>666</v>
      </c>
      <c r="C93" s="5">
        <v>-4.31034483E-2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2"/>
      <c r="R93" s="183"/>
    </row>
    <row r="94" spans="1:18" ht="17.25" customHeight="1" thickBot="1">
      <c r="A94" s="13" t="s">
        <v>269</v>
      </c>
      <c r="B94" s="34">
        <v>691</v>
      </c>
      <c r="C94" s="16">
        <v>-4.55801105E-2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2"/>
      <c r="R94" s="183"/>
    </row>
    <row r="95" spans="1:18" ht="17.25" customHeight="1" thickBot="1">
      <c r="A95" s="57" t="s">
        <v>32</v>
      </c>
      <c r="B95" s="186">
        <v>100000</v>
      </c>
      <c r="C95" s="18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84"/>
      <c r="R95" s="185"/>
    </row>
    <row r="96" spans="1:18" ht="17.25" customHeight="1"/>
    <row r="97" spans="1:18" ht="17.25" customHeight="1" thickBot="1"/>
    <row r="98" spans="1:18" ht="17.25" customHeight="1" thickBot="1">
      <c r="A98" s="137" t="s">
        <v>81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9"/>
      <c r="Q98" s="188"/>
      <c r="R98" s="189"/>
    </row>
    <row r="99" spans="1:18" ht="17.25" customHeight="1" thickBot="1">
      <c r="A99" s="130" t="s">
        <v>311</v>
      </c>
      <c r="B99" s="137" t="s">
        <v>310</v>
      </c>
      <c r="C99" s="139"/>
      <c r="D99" s="137" t="s">
        <v>67</v>
      </c>
      <c r="E99" s="138"/>
      <c r="F99" s="139"/>
      <c r="G99" s="174">
        <f>_xlfn.IFNA(VLOOKUP(B99, 현재가테이블!$B$1:$D$200, 2, FALSE), "-")</f>
        <v>78395000</v>
      </c>
      <c r="H99" s="175"/>
      <c r="I99" s="176"/>
      <c r="J99" s="137" t="s">
        <v>69</v>
      </c>
      <c r="K99" s="138"/>
      <c r="L99" s="139"/>
      <c r="M99" s="177">
        <f>_xlfn.IFNA(VLOOKUP(B99, 현재가테이블!$B$1:$D$200, 3, FALSE), "-")</f>
        <v>-4.4194404999999999E-3</v>
      </c>
      <c r="N99" s="178"/>
      <c r="O99" s="179"/>
      <c r="Q99" s="190"/>
      <c r="R99" s="191"/>
    </row>
    <row r="100" spans="1:18" ht="17.25" customHeight="1" thickBot="1">
      <c r="A100" s="168" t="s">
        <v>18</v>
      </c>
      <c r="B100" s="169" t="s">
        <v>54</v>
      </c>
      <c r="C100" s="170"/>
      <c r="D100" s="192" t="s">
        <v>20</v>
      </c>
      <c r="E100" s="193"/>
      <c r="F100" s="194"/>
      <c r="G100" s="192" t="s">
        <v>15</v>
      </c>
      <c r="H100" s="193"/>
      <c r="I100" s="194"/>
      <c r="J100" s="172" t="s">
        <v>34</v>
      </c>
      <c r="K100" s="172"/>
      <c r="L100" s="172"/>
      <c r="M100" s="192" t="s">
        <v>54</v>
      </c>
      <c r="N100" s="193"/>
      <c r="O100" s="194"/>
      <c r="Q100" s="182"/>
      <c r="R100" s="183"/>
    </row>
    <row r="101" spans="1:18" ht="17.25" customHeight="1" thickBot="1">
      <c r="A101" s="16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82"/>
      <c r="R101" s="183"/>
    </row>
    <row r="102" spans="1:18" ht="17.25" customHeight="1">
      <c r="A102" s="9" t="s">
        <v>94</v>
      </c>
      <c r="B102" s="31">
        <v>92310</v>
      </c>
      <c r="C102" s="22">
        <v>0.53160776509999996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80"/>
      <c r="R102" s="181"/>
    </row>
    <row r="103" spans="1:18" ht="17.25" customHeight="1">
      <c r="A103" s="11" t="s">
        <v>123</v>
      </c>
      <c r="B103" s="32">
        <v>6830</v>
      </c>
      <c r="C103" s="5">
        <v>0.21314387209999999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0"/>
      <c r="R103" s="181"/>
    </row>
    <row r="104" spans="1:18" ht="17.25" customHeight="1">
      <c r="A104" s="11" t="s">
        <v>319</v>
      </c>
      <c r="B104" s="32">
        <v>3165</v>
      </c>
      <c r="C104" s="5">
        <v>0.18097014929999999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0"/>
      <c r="R104" s="181"/>
    </row>
    <row r="105" spans="1:18" ht="17.25" customHeight="1">
      <c r="A105" s="11" t="s">
        <v>317</v>
      </c>
      <c r="B105" s="32">
        <v>10590</v>
      </c>
      <c r="C105" s="5">
        <v>0.1135646688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0"/>
      <c r="R105" s="181"/>
    </row>
    <row r="106" spans="1:18" ht="17.25" customHeight="1">
      <c r="A106" s="8" t="s">
        <v>341</v>
      </c>
      <c r="B106" s="33">
        <v>6660</v>
      </c>
      <c r="C106" s="24">
        <v>7.8542510100000004E-2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0"/>
      <c r="R106" s="181"/>
    </row>
    <row r="107" spans="1:18" ht="17.25" customHeight="1">
      <c r="A107" s="11" t="s">
        <v>261</v>
      </c>
      <c r="B107" s="32">
        <v>172</v>
      </c>
      <c r="C107" s="5">
        <v>7.4999999999999997E-2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0"/>
      <c r="R107" s="181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0"/>
      <c r="R108" s="181"/>
    </row>
    <row r="109" spans="1:18" ht="17.25" customHeight="1">
      <c r="A109" s="11" t="s">
        <v>315</v>
      </c>
      <c r="B109" s="32">
        <v>4905</v>
      </c>
      <c r="C109" s="5">
        <v>6.2838569900000002E-2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0"/>
      <c r="R109" s="181"/>
    </row>
    <row r="110" spans="1:18" ht="17.25" customHeight="1">
      <c r="A110" s="11" t="s">
        <v>198</v>
      </c>
      <c r="B110" s="32">
        <v>204</v>
      </c>
      <c r="C110" s="5">
        <v>6.25E-2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2"/>
      <c r="R110" s="183"/>
    </row>
    <row r="111" spans="1:18" ht="17.25" customHeight="1" thickBot="1">
      <c r="A111" s="13" t="s">
        <v>167</v>
      </c>
      <c r="B111" s="34">
        <v>644</v>
      </c>
      <c r="C111" s="16">
        <v>5.2287581700000002E-2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2"/>
      <c r="R111" s="183"/>
    </row>
    <row r="112" spans="1:18" ht="17.25" customHeight="1" thickBot="1">
      <c r="A112" s="57" t="s">
        <v>32</v>
      </c>
      <c r="B112" s="186">
        <v>100000</v>
      </c>
      <c r="C112" s="18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84"/>
      <c r="R112" s="18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45" priority="89">
      <formula>$E$27&gt;0</formula>
    </cfRule>
    <cfRule type="expression" dxfId="144" priority="90">
      <formula>$E$27&lt;0</formula>
    </cfRule>
  </conditionalFormatting>
  <conditionalFormatting sqref="G15:I16 H27:I27">
    <cfRule type="expression" dxfId="143" priority="87">
      <formula>$H$27&gt;0</formula>
    </cfRule>
    <cfRule type="expression" dxfId="142" priority="88">
      <formula>$H$27&lt;0</formula>
    </cfRule>
  </conditionalFormatting>
  <conditionalFormatting sqref="J15:L16 K27:L27">
    <cfRule type="expression" dxfId="141" priority="85">
      <formula>$K$27&gt;0</formula>
    </cfRule>
    <cfRule type="expression" dxfId="140" priority="86">
      <formula>$K$27&lt;0</formula>
    </cfRule>
  </conditionalFormatting>
  <conditionalFormatting sqref="M15:O16 N27:O27">
    <cfRule type="expression" dxfId="139" priority="83">
      <formula>$N$27&gt;0</formula>
    </cfRule>
    <cfRule type="expression" dxfId="138" priority="84">
      <formula>$N$27&lt;0</formula>
    </cfRule>
  </conditionalFormatting>
  <conditionalFormatting sqref="A17:O26 A34:O43">
    <cfRule type="expression" dxfId="137" priority="91">
      <formula>AND($N17 &gt; 0, ISNUMBER($N17))</formula>
    </cfRule>
    <cfRule type="expression" dxfId="136" priority="92">
      <formula>AND($N17 &lt; 0, ISNUMBER($N17))</formula>
    </cfRule>
    <cfRule type="expression" dxfId="135" priority="93">
      <formula>AND($K17 &gt; 0, ISNUMBER($K17))</formula>
    </cfRule>
    <cfRule type="expression" dxfId="134" priority="94">
      <formula>AND($K17 &lt; 0, ISNUMBER($K17))</formula>
    </cfRule>
    <cfRule type="expression" dxfId="133" priority="95">
      <formula>AND($H17 &gt; 0, ISNUMBER($H17))</formula>
    </cfRule>
    <cfRule type="expression" dxfId="132" priority="96">
      <formula>AND($H17 &lt; 0, ISNUMBER($H17))</formula>
    </cfRule>
    <cfRule type="expression" dxfId="131" priority="97">
      <formula>AND($E17 &gt; 0, ISNUMBER($E17))</formula>
    </cfRule>
    <cfRule type="expression" dxfId="130" priority="98">
      <formula>AND($E17 &lt; 0, ISNUMBER($E17))</formula>
    </cfRule>
  </conditionalFormatting>
  <conditionalFormatting sqref="D32:F33 E44:F44">
    <cfRule type="expression" dxfId="129" priority="81">
      <formula>$E$44&gt;0</formula>
    </cfRule>
    <cfRule type="expression" dxfId="128" priority="82">
      <formula>$E$44&lt;0</formula>
    </cfRule>
  </conditionalFormatting>
  <conditionalFormatting sqref="G32:I33 H44:I44">
    <cfRule type="expression" dxfId="127" priority="79">
      <formula>$H$44&gt;0</formula>
    </cfRule>
    <cfRule type="expression" dxfId="126" priority="80">
      <formula>$H$44&lt;0</formula>
    </cfRule>
  </conditionalFormatting>
  <conditionalFormatting sqref="J32:L33 K44:L44">
    <cfRule type="expression" dxfId="125" priority="77">
      <formula>$K$44&gt;0</formula>
    </cfRule>
    <cfRule type="expression" dxfId="124" priority="78">
      <formula>$K$44&lt;0</formula>
    </cfRule>
  </conditionalFormatting>
  <conditionalFormatting sqref="M32:O33 N44:O44">
    <cfRule type="expression" dxfId="123" priority="75">
      <formula>$N$44&gt;0</formula>
    </cfRule>
    <cfRule type="expression" dxfId="122" priority="76">
      <formula>$N$44&lt;0</formula>
    </cfRule>
  </conditionalFormatting>
  <conditionalFormatting sqref="A51:O60">
    <cfRule type="expression" dxfId="121" priority="67">
      <formula>AND($N51 &gt; 0, ISNUMBER($N51))</formula>
    </cfRule>
    <cfRule type="expression" dxfId="120" priority="68">
      <formula>AND($N51 &lt; 0, ISNUMBER($N51))</formula>
    </cfRule>
    <cfRule type="expression" dxfId="119" priority="69">
      <formula>AND($K51 &gt; 0, ISNUMBER($K51))</formula>
    </cfRule>
    <cfRule type="expression" dxfId="118" priority="70">
      <formula>AND($K51 &lt; 0, ISNUMBER($K51))</formula>
    </cfRule>
    <cfRule type="expression" dxfId="117" priority="71">
      <formula>AND($H51 &gt; 0, ISNUMBER($H51))</formula>
    </cfRule>
    <cfRule type="expression" dxfId="116" priority="72">
      <formula>AND($H51 &lt; 0, ISNUMBER($H51))</formula>
    </cfRule>
    <cfRule type="expression" dxfId="115" priority="73">
      <formula>AND($E51 &gt; 0, ISNUMBER($E51))</formula>
    </cfRule>
    <cfRule type="expression" dxfId="114" priority="74">
      <formula>AND($E51 &lt; 0, ISNUMBER($E51))</formula>
    </cfRule>
  </conditionalFormatting>
  <conditionalFormatting sqref="D49:F50 E61:F61">
    <cfRule type="expression" dxfId="113" priority="65">
      <formula>$E$61&gt;0</formula>
    </cfRule>
    <cfRule type="expression" dxfId="112" priority="66">
      <formula>$E$61&lt;0</formula>
    </cfRule>
  </conditionalFormatting>
  <conditionalFormatting sqref="G49:I50 H61:I61">
    <cfRule type="expression" dxfId="111" priority="63">
      <formula>$H$61&gt;0</formula>
    </cfRule>
    <cfRule type="expression" dxfId="110" priority="64">
      <formula>$H$61&lt;0</formula>
    </cfRule>
  </conditionalFormatting>
  <conditionalFormatting sqref="J49:L50 K61:L61">
    <cfRule type="expression" dxfId="109" priority="61">
      <formula>$K$61&gt;0</formula>
    </cfRule>
    <cfRule type="expression" dxfId="108" priority="62">
      <formula>$K$61&lt;0</formula>
    </cfRule>
  </conditionalFormatting>
  <conditionalFormatting sqref="M49:O50 N61:O61">
    <cfRule type="expression" dxfId="107" priority="59">
      <formula>$N$61&gt;0</formula>
    </cfRule>
    <cfRule type="expression" dxfId="106" priority="60">
      <formula>$N$61&lt;0</formula>
    </cfRule>
  </conditionalFormatting>
  <conditionalFormatting sqref="A68:O77">
    <cfRule type="expression" dxfId="105" priority="51">
      <formula>AND($N68 &gt; 0, ISNUMBER($N68))</formula>
    </cfRule>
    <cfRule type="expression" dxfId="104" priority="52">
      <formula>AND($N68 &lt; 0, ISNUMBER($N68))</formula>
    </cfRule>
    <cfRule type="expression" dxfId="103" priority="53">
      <formula>AND($K68 &gt; 0, ISNUMBER($K68))</formula>
    </cfRule>
    <cfRule type="expression" dxfId="102" priority="54">
      <formula>AND($K68 &lt; 0, ISNUMBER($K68))</formula>
    </cfRule>
    <cfRule type="expression" dxfId="101" priority="55">
      <formula>AND($H68 &gt; 0, ISNUMBER($H68))</formula>
    </cfRule>
    <cfRule type="expression" dxfId="100" priority="56">
      <formula>AND($H68 &lt; 0, ISNUMBER($H68))</formula>
    </cfRule>
    <cfRule type="expression" dxfId="99" priority="57">
      <formula>AND($E68 &gt; 0, ISNUMBER($E68))</formula>
    </cfRule>
    <cfRule type="expression" dxfId="98" priority="58">
      <formula>AND($E68 &lt; 0, ISNUMBER($E68))</formula>
    </cfRule>
  </conditionalFormatting>
  <conditionalFormatting sqref="D66:F67 E78:F78">
    <cfRule type="expression" dxfId="97" priority="49">
      <formula>$E$78&gt;0</formula>
    </cfRule>
    <cfRule type="expression" dxfId="96" priority="50">
      <formula>$E$78&lt;0</formula>
    </cfRule>
  </conditionalFormatting>
  <conditionalFormatting sqref="G66:I67 H78:I78">
    <cfRule type="expression" dxfId="95" priority="47">
      <formula>$H$78&gt;0</formula>
    </cfRule>
    <cfRule type="expression" dxfId="94" priority="48">
      <formula>$H$78&lt;0</formula>
    </cfRule>
  </conditionalFormatting>
  <conditionalFormatting sqref="J66:L67 K78:L78">
    <cfRule type="expression" dxfId="93" priority="45">
      <formula>$K$78&gt;0</formula>
    </cfRule>
    <cfRule type="expression" dxfId="92" priority="46">
      <formula>$K$78&lt;0</formula>
    </cfRule>
  </conditionalFormatting>
  <conditionalFormatting sqref="M66:O67 N78:O78">
    <cfRule type="expression" dxfId="91" priority="43">
      <formula>$N$78&gt;0</formula>
    </cfRule>
    <cfRule type="expression" dxfId="90" priority="44">
      <formula>$N$78&lt;0</formula>
    </cfRule>
  </conditionalFormatting>
  <conditionalFormatting sqref="A85:O94">
    <cfRule type="expression" dxfId="89" priority="35">
      <formula>AND($N85 &gt; 0, ISNUMBER($N85))</formula>
    </cfRule>
    <cfRule type="expression" dxfId="88" priority="36">
      <formula>AND($N85 &lt; 0, ISNUMBER($N85))</formula>
    </cfRule>
    <cfRule type="expression" dxfId="87" priority="37">
      <formula>AND($K85 &gt; 0, ISNUMBER($K85))</formula>
    </cfRule>
    <cfRule type="expression" dxfId="86" priority="38">
      <formula>AND($K85 &lt; 0, ISNUMBER($K85))</formula>
    </cfRule>
    <cfRule type="expression" dxfId="85" priority="39">
      <formula>AND($H85 &gt; 0, ISNUMBER($H85))</formula>
    </cfRule>
    <cfRule type="expression" dxfId="84" priority="40">
      <formula>AND($H85 &lt; 0, ISNUMBER($H85))</formula>
    </cfRule>
    <cfRule type="expression" dxfId="83" priority="41">
      <formula>AND($E85 &gt; 0, ISNUMBER($E85))</formula>
    </cfRule>
    <cfRule type="expression" dxfId="82" priority="42">
      <formula>AND($E85 &lt; 0, ISNUMBER($E85))</formula>
    </cfRule>
  </conditionalFormatting>
  <conditionalFormatting sqref="D83:F84 E95:F95">
    <cfRule type="expression" dxfId="81" priority="33">
      <formula>$E$95&gt;0</formula>
    </cfRule>
    <cfRule type="expression" dxfId="80" priority="34">
      <formula>$E$95&lt;0</formula>
    </cfRule>
  </conditionalFormatting>
  <conditionalFormatting sqref="G83:I84 H95:I95">
    <cfRule type="expression" dxfId="79" priority="31">
      <formula>$H$95&gt;0</formula>
    </cfRule>
    <cfRule type="expression" dxfId="78" priority="32">
      <formula>$H$95&lt;0</formula>
    </cfRule>
  </conditionalFormatting>
  <conditionalFormatting sqref="J83:L84 K95:L95">
    <cfRule type="expression" dxfId="77" priority="29">
      <formula>$K$95&gt;0</formula>
    </cfRule>
    <cfRule type="expression" dxfId="76" priority="30">
      <formula>$K$95&lt;0</formula>
    </cfRule>
  </conditionalFormatting>
  <conditionalFormatting sqref="M83:O84 N95:O95">
    <cfRule type="expression" dxfId="75" priority="27">
      <formula>$N$95&gt;0</formula>
    </cfRule>
    <cfRule type="expression" dxfId="74" priority="28">
      <formula>$N$95&lt;0</formula>
    </cfRule>
  </conditionalFormatting>
  <conditionalFormatting sqref="A102:O111">
    <cfRule type="expression" dxfId="73" priority="19">
      <formula>AND($N102 &gt; 0, ISNUMBER($N102))</formula>
    </cfRule>
    <cfRule type="expression" dxfId="72" priority="20">
      <formula>AND($N102 &lt; 0, ISNUMBER($N102))</formula>
    </cfRule>
    <cfRule type="expression" dxfId="71" priority="21">
      <formula>AND($K102 &gt; 0, ISNUMBER($K102))</formula>
    </cfRule>
    <cfRule type="expression" dxfId="70" priority="22">
      <formula>AND($K102 &lt; 0, ISNUMBER($K102))</formula>
    </cfRule>
    <cfRule type="expression" dxfId="69" priority="23">
      <formula>AND($H102 &gt; 0, ISNUMBER($H102))</formula>
    </cfRule>
    <cfRule type="expression" dxfId="68" priority="24">
      <formula>AND($H102 &lt; 0, ISNUMBER($H102))</formula>
    </cfRule>
    <cfRule type="expression" dxfId="67" priority="25">
      <formula>AND($E102 &gt; 0, ISNUMBER($E102))</formula>
    </cfRule>
    <cfRule type="expression" dxfId="66" priority="26">
      <formula>AND($E102 &lt; 0, ISNUMBER($E102))</formula>
    </cfRule>
  </conditionalFormatting>
  <conditionalFormatting sqref="D100:F101 E112:F112">
    <cfRule type="expression" dxfId="65" priority="17">
      <formula>$E$112&gt;0</formula>
    </cfRule>
    <cfRule type="expression" dxfId="64" priority="18">
      <formula>$E$112&lt;0</formula>
    </cfRule>
  </conditionalFormatting>
  <conditionalFormatting sqref="G100:I101 H112:I112">
    <cfRule type="expression" dxfId="63" priority="15">
      <formula>$H$112&gt;0</formula>
    </cfRule>
    <cfRule type="expression" dxfId="62" priority="16">
      <formula>$H$112&lt;0</formula>
    </cfRule>
  </conditionalFormatting>
  <conditionalFormatting sqref="J100:L101 K112:L112">
    <cfRule type="expression" dxfId="61" priority="13">
      <formula>$K$112&gt;0</formula>
    </cfRule>
    <cfRule type="expression" dxfId="60" priority="14">
      <formula>$K$112&lt;0</formula>
    </cfRule>
  </conditionalFormatting>
  <conditionalFormatting sqref="M100:O101 N112:O112">
    <cfRule type="expression" dxfId="59" priority="11">
      <formula>$N$112&gt;0</formula>
    </cfRule>
    <cfRule type="expression" dxfId="58" priority="12">
      <formula>$N$112&lt;0</formula>
    </cfRule>
  </conditionalFormatting>
  <conditionalFormatting sqref="G2:I3">
    <cfRule type="expression" dxfId="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26" sqref="B26:D56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78395000</v>
      </c>
      <c r="D1" s="90">
        <v>-4.4194404999999999E-3</v>
      </c>
      <c r="E1" s="67"/>
      <c r="F1" s="67"/>
      <c r="G1" s="67"/>
      <c r="H1" s="67"/>
      <c r="I1" s="67"/>
    </row>
    <row r="2" spans="1:17" hidden="1">
      <c r="A2" t="s">
        <v>95</v>
      </c>
      <c r="B2" t="s">
        <v>94</v>
      </c>
      <c r="C2">
        <v>92310</v>
      </c>
      <c r="D2" s="90">
        <v>0.53160776509999996</v>
      </c>
      <c r="E2" s="67"/>
      <c r="F2" s="67"/>
      <c r="G2" s="67"/>
      <c r="H2" s="67"/>
      <c r="I2" s="67"/>
    </row>
    <row r="3" spans="1:17" ht="17.25" hidden="1" thickBot="1">
      <c r="A3" t="s">
        <v>124</v>
      </c>
      <c r="B3" t="s">
        <v>123</v>
      </c>
      <c r="C3">
        <v>6830</v>
      </c>
      <c r="D3" s="90">
        <v>0.21314387209999999</v>
      </c>
      <c r="E3" s="67"/>
      <c r="F3" s="67"/>
      <c r="G3" s="137" t="s">
        <v>330</v>
      </c>
      <c r="H3" s="138"/>
      <c r="I3" s="139"/>
      <c r="K3" s="137" t="s">
        <v>326</v>
      </c>
      <c r="L3" s="138"/>
      <c r="M3" s="139"/>
      <c r="O3" s="137" t="s">
        <v>84</v>
      </c>
      <c r="P3" s="138"/>
      <c r="Q3" s="139"/>
    </row>
    <row r="4" spans="1:17" ht="17.25" hidden="1" thickBot="1">
      <c r="A4" t="s">
        <v>318</v>
      </c>
      <c r="B4" t="s">
        <v>319</v>
      </c>
      <c r="C4">
        <v>3165</v>
      </c>
      <c r="D4" s="90">
        <v>0.18097014929999999</v>
      </c>
      <c r="E4" s="67"/>
      <c r="F4" s="67"/>
      <c r="G4" s="146" t="s">
        <v>332</v>
      </c>
      <c r="H4" s="147"/>
      <c r="I4" s="148"/>
      <c r="K4" s="146" t="s">
        <v>329</v>
      </c>
      <c r="L4" s="137" t="s">
        <v>356</v>
      </c>
      <c r="M4" s="139"/>
      <c r="O4" s="146" t="s">
        <v>329</v>
      </c>
      <c r="P4" s="137" t="s">
        <v>356</v>
      </c>
      <c r="Q4" s="139"/>
    </row>
    <row r="5" spans="1:17" ht="17.25" hidden="1" thickBot="1">
      <c r="A5" t="s">
        <v>316</v>
      </c>
      <c r="B5" t="s">
        <v>317</v>
      </c>
      <c r="C5">
        <v>10590</v>
      </c>
      <c r="D5" s="90">
        <v>0.1135646688</v>
      </c>
      <c r="E5" s="67"/>
      <c r="F5" s="67"/>
      <c r="G5" s="152"/>
      <c r="H5" s="153"/>
      <c r="I5" s="154"/>
      <c r="K5" s="152"/>
      <c r="L5" s="75" t="s">
        <v>327</v>
      </c>
      <c r="M5" s="76" t="s">
        <v>328</v>
      </c>
      <c r="O5" s="152"/>
      <c r="P5" s="75" t="s">
        <v>327</v>
      </c>
      <c r="Q5" s="76" t="s">
        <v>328</v>
      </c>
    </row>
    <row r="6" spans="1:17" ht="17.25" hidden="1" thickBot="1">
      <c r="A6" t="s">
        <v>340</v>
      </c>
      <c r="B6" t="s">
        <v>341</v>
      </c>
      <c r="C6">
        <v>6660</v>
      </c>
      <c r="D6" s="90">
        <v>7.8542510100000004E-2</v>
      </c>
      <c r="E6" s="67"/>
      <c r="F6" s="67"/>
      <c r="G6" s="105" t="s">
        <v>69</v>
      </c>
      <c r="H6" s="138" t="s">
        <v>67</v>
      </c>
      <c r="I6" s="139"/>
      <c r="K6" s="107" t="s">
        <v>96</v>
      </c>
      <c r="L6" s="77">
        <f t="shared" ref="L6:L15" si="0">_xlfn.IFNA(VLOOKUP(K6, $B$1:$D$200, 2, FALSE), "")</f>
        <v>91.7</v>
      </c>
      <c r="M6" s="78">
        <f t="shared" ref="M6:M15" si="1">_xlfn.IFNA(VLOOKUP(K6, $B$1:$D$200, 3, FALSE), "")</f>
        <v>-6.6191446000000001E-2</v>
      </c>
      <c r="O6" s="108" t="s">
        <v>127</v>
      </c>
      <c r="P6" s="77">
        <f>_xlfn.IFNA(VLOOKUP(O6, $B$1:$D$200, 2, FALSE), "")</f>
        <v>45.8</v>
      </c>
      <c r="Q6" s="78">
        <f>_xlfn.IFNA(VLOOKUP(O6, $B$1:$D$200, 3, FALSE), "")</f>
        <v>-3.7815126099999999E-2</v>
      </c>
    </row>
    <row r="7" spans="1:17" ht="17.25" thickBot="1">
      <c r="A7" t="s">
        <v>262</v>
      </c>
      <c r="B7" t="s">
        <v>261</v>
      </c>
      <c r="C7">
        <v>172</v>
      </c>
      <c r="D7" s="90">
        <v>7.4999999999999997E-2</v>
      </c>
      <c r="E7" s="67"/>
      <c r="F7" s="67"/>
      <c r="G7" s="199">
        <f>_xlfn.IFNA(VLOOKUP(G4, $B$1:$D$200, 3, FALSE), "-")</f>
        <v>-4.4194404999999999E-3</v>
      </c>
      <c r="H7" s="195">
        <f>_xlfn.IFNA(VLOOKUP(G4, $B$1:$D$200, 2, FALSE), "-")</f>
        <v>78395000</v>
      </c>
      <c r="I7" s="196"/>
      <c r="K7" s="108" t="s">
        <v>217</v>
      </c>
      <c r="L7" s="77">
        <f t="shared" si="0"/>
        <v>76</v>
      </c>
      <c r="M7" s="78">
        <f t="shared" si="1"/>
        <v>2.5641025599999999E-2</v>
      </c>
      <c r="O7" s="108" t="s">
        <v>239</v>
      </c>
      <c r="P7" s="77">
        <f t="shared" ref="P7:P15" si="2">_xlfn.IFNA(VLOOKUP(O7, $B$1:$D$200, 2, FALSE), "")</f>
        <v>33.9</v>
      </c>
      <c r="Q7" s="78">
        <f t="shared" ref="Q7:Q15" si="3">_xlfn.IFNA(VLOOKUP(O7, $B$1:$D$200, 3, FALSE), "")</f>
        <v>-6.6115702499999998E-2</v>
      </c>
    </row>
    <row r="8" spans="1:17" ht="17.25" hidden="1" thickBot="1">
      <c r="A8" t="s">
        <v>93</v>
      </c>
      <c r="B8" t="s">
        <v>92</v>
      </c>
      <c r="C8">
        <v>6290</v>
      </c>
      <c r="D8" s="90">
        <v>7.0638297899999994E-2</v>
      </c>
      <c r="E8" s="67"/>
      <c r="F8" s="67"/>
      <c r="G8" s="200"/>
      <c r="H8" s="197"/>
      <c r="I8" s="198"/>
      <c r="K8" s="108" t="s">
        <v>211</v>
      </c>
      <c r="L8" s="77">
        <f t="shared" si="0"/>
        <v>53</v>
      </c>
      <c r="M8" s="78">
        <f t="shared" si="1"/>
        <v>-6.3604240300000003E-2</v>
      </c>
      <c r="O8" s="108" t="s">
        <v>109</v>
      </c>
      <c r="P8" s="77">
        <f t="shared" si="2"/>
        <v>40.200000000000003</v>
      </c>
      <c r="Q8" s="78">
        <f t="shared" si="3"/>
        <v>-5.4117647099999999E-2</v>
      </c>
    </row>
    <row r="9" spans="1:17" ht="17.25" hidden="1" thickBot="1">
      <c r="A9" t="s">
        <v>314</v>
      </c>
      <c r="B9" t="s">
        <v>315</v>
      </c>
      <c r="C9">
        <v>4905</v>
      </c>
      <c r="D9" s="90">
        <v>6.2838569900000002E-2</v>
      </c>
      <c r="E9" s="67"/>
      <c r="F9" s="67"/>
      <c r="K9" s="108" t="s">
        <v>208</v>
      </c>
      <c r="L9" s="77">
        <f t="shared" si="0"/>
        <v>10.7</v>
      </c>
      <c r="M9" s="78">
        <f t="shared" si="1"/>
        <v>-2.7272727300000001E-2</v>
      </c>
      <c r="O9" s="108" t="s">
        <v>232</v>
      </c>
      <c r="P9" s="77">
        <f t="shared" si="2"/>
        <v>28.1</v>
      </c>
      <c r="Q9" s="78">
        <f t="shared" si="3"/>
        <v>-4.42176871E-2</v>
      </c>
    </row>
    <row r="10" spans="1:17" ht="17.25" thickBot="1">
      <c r="A10" t="s">
        <v>199</v>
      </c>
      <c r="B10" t="s">
        <v>198</v>
      </c>
      <c r="C10">
        <v>204</v>
      </c>
      <c r="D10" s="90">
        <v>6.25E-2</v>
      </c>
      <c r="E10" s="67"/>
      <c r="F10" s="67"/>
      <c r="G10" s="137" t="s">
        <v>331</v>
      </c>
      <c r="H10" s="138"/>
      <c r="I10" s="139"/>
      <c r="K10" s="108" t="s">
        <v>163</v>
      </c>
      <c r="L10" s="77">
        <f t="shared" si="0"/>
        <v>88.8</v>
      </c>
      <c r="M10" s="78">
        <f t="shared" si="1"/>
        <v>-6.2302006299999997E-2</v>
      </c>
      <c r="O10" s="108" t="s">
        <v>155</v>
      </c>
      <c r="P10" s="77">
        <f t="shared" si="2"/>
        <v>26.7</v>
      </c>
      <c r="Q10" s="78">
        <f t="shared" si="3"/>
        <v>-5.9859154900000003E-2</v>
      </c>
    </row>
    <row r="11" spans="1:17" ht="17.25" thickBot="1">
      <c r="A11" t="s">
        <v>168</v>
      </c>
      <c r="B11" t="s">
        <v>167</v>
      </c>
      <c r="C11">
        <v>644</v>
      </c>
      <c r="D11" s="90">
        <v>5.2287581700000002E-2</v>
      </c>
      <c r="E11" s="67"/>
      <c r="F11" s="67"/>
      <c r="G11" s="146" t="s">
        <v>332</v>
      </c>
      <c r="H11" s="147"/>
      <c r="I11" s="148"/>
      <c r="K11" s="108" t="s">
        <v>259</v>
      </c>
      <c r="L11" s="77">
        <f t="shared" si="0"/>
        <v>34.6</v>
      </c>
      <c r="M11" s="78">
        <f t="shared" si="1"/>
        <v>-4.4198895000000002E-2</v>
      </c>
      <c r="O11" s="108" t="s">
        <v>186</v>
      </c>
      <c r="P11" s="77">
        <f t="shared" si="2"/>
        <v>28.4</v>
      </c>
      <c r="Q11" s="78">
        <f t="shared" si="3"/>
        <v>-5.6478405299999999E-2</v>
      </c>
    </row>
    <row r="12" spans="1:17" ht="17.25" hidden="1" thickBot="1">
      <c r="A12" t="s">
        <v>272</v>
      </c>
      <c r="B12" t="s">
        <v>271</v>
      </c>
      <c r="C12">
        <v>12600</v>
      </c>
      <c r="D12" s="90">
        <v>5.0875729799999998E-2</v>
      </c>
      <c r="E12" s="67"/>
      <c r="F12" s="67"/>
      <c r="G12" s="152"/>
      <c r="H12" s="153"/>
      <c r="I12" s="154"/>
      <c r="K12" s="108" t="s">
        <v>191</v>
      </c>
      <c r="L12" s="77">
        <f t="shared" si="0"/>
        <v>33.9</v>
      </c>
      <c r="M12" s="78">
        <f t="shared" si="1"/>
        <v>-6.0941828300000001E-2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182</v>
      </c>
      <c r="B13" t="s">
        <v>181</v>
      </c>
      <c r="C13">
        <v>334</v>
      </c>
      <c r="D13" s="90">
        <v>4.3749999999999997E-2</v>
      </c>
      <c r="E13" s="67"/>
      <c r="F13" s="67"/>
      <c r="G13" s="105" t="s">
        <v>69</v>
      </c>
      <c r="H13" s="138" t="s">
        <v>67</v>
      </c>
      <c r="I13" s="139"/>
      <c r="K13" s="108" t="s">
        <v>183</v>
      </c>
      <c r="L13" s="77">
        <f t="shared" si="0"/>
        <v>38.700000000000003</v>
      </c>
      <c r="M13" s="78">
        <f t="shared" si="1"/>
        <v>-6.9711538500000003E-2</v>
      </c>
      <c r="O13" s="108"/>
      <c r="P13" s="77" t="str">
        <f t="shared" si="2"/>
        <v/>
      </c>
      <c r="Q13" s="78" t="str">
        <f t="shared" si="3"/>
        <v/>
      </c>
    </row>
    <row r="14" spans="1:17" hidden="1">
      <c r="A14" t="s">
        <v>265</v>
      </c>
      <c r="B14" t="s">
        <v>264</v>
      </c>
      <c r="C14">
        <v>3520</v>
      </c>
      <c r="D14" s="90">
        <v>3.83480826E-2</v>
      </c>
      <c r="E14" s="67"/>
      <c r="F14" s="67"/>
      <c r="G14" s="199">
        <f>_xlfn.IFNA(VLOOKUP(G11, $B$1:$D$200, 3, FALSE), "-")</f>
        <v>-4.4194404999999999E-3</v>
      </c>
      <c r="H14" s="195">
        <f>_xlfn.IFNA(VLOOKUP(G11, $B$1:$D$200, 2, FALSE), "-")</f>
        <v>78395000</v>
      </c>
      <c r="I14" s="196"/>
      <c r="K14" s="108" t="s">
        <v>98</v>
      </c>
      <c r="L14" s="77">
        <f t="shared" si="0"/>
        <v>31.5</v>
      </c>
      <c r="M14" s="78">
        <f t="shared" si="1"/>
        <v>-5.1204819300000003E-2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102</v>
      </c>
      <c r="B15" t="s">
        <v>101</v>
      </c>
      <c r="C15">
        <v>873</v>
      </c>
      <c r="D15" s="90">
        <v>3.43601896E-2</v>
      </c>
      <c r="E15" s="67"/>
      <c r="F15" s="67"/>
      <c r="G15" s="200"/>
      <c r="H15" s="197"/>
      <c r="I15" s="198"/>
      <c r="K15" s="106" t="s">
        <v>193</v>
      </c>
      <c r="L15" s="79">
        <f t="shared" si="0"/>
        <v>29.1</v>
      </c>
      <c r="M15" s="80">
        <f t="shared" si="1"/>
        <v>-4.9019607799999997E-2</v>
      </c>
      <c r="O15" s="106"/>
      <c r="P15" s="79" t="str">
        <f t="shared" si="2"/>
        <v/>
      </c>
      <c r="Q15" s="80" t="str">
        <f t="shared" si="3"/>
        <v/>
      </c>
    </row>
    <row r="16" spans="1:17" hidden="1">
      <c r="A16" t="s">
        <v>201</v>
      </c>
      <c r="B16" t="s">
        <v>200</v>
      </c>
      <c r="C16">
        <v>1460</v>
      </c>
      <c r="D16" s="90">
        <v>3.1802120099999998E-2</v>
      </c>
      <c r="E16" s="67"/>
      <c r="F16" s="67"/>
      <c r="G16" s="67"/>
      <c r="H16" s="67"/>
      <c r="I16" s="67"/>
    </row>
    <row r="17" spans="1:17" ht="17.25" thickBot="1">
      <c r="A17" t="s">
        <v>172</v>
      </c>
      <c r="B17" t="s">
        <v>171</v>
      </c>
      <c r="C17">
        <v>240</v>
      </c>
      <c r="D17" s="90">
        <v>3.0042918500000002E-2</v>
      </c>
      <c r="E17" s="67"/>
      <c r="F17" s="67"/>
      <c r="G17" s="67"/>
      <c r="H17" s="67"/>
      <c r="I17" s="67"/>
    </row>
    <row r="18" spans="1:17" ht="17.25" hidden="1" thickBot="1">
      <c r="A18" t="s">
        <v>243</v>
      </c>
      <c r="B18" t="s">
        <v>217</v>
      </c>
      <c r="C18">
        <v>76</v>
      </c>
      <c r="D18" s="90">
        <v>2.5641025599999999E-2</v>
      </c>
      <c r="E18" s="67"/>
      <c r="F18" s="67"/>
      <c r="G18" s="137" t="s">
        <v>81</v>
      </c>
      <c r="H18" s="138"/>
      <c r="I18" s="139"/>
      <c r="K18" s="137" t="s">
        <v>85</v>
      </c>
      <c r="L18" s="138"/>
      <c r="M18" s="139"/>
      <c r="O18" s="137" t="s">
        <v>86</v>
      </c>
      <c r="P18" s="138"/>
      <c r="Q18" s="139"/>
    </row>
    <row r="19" spans="1:17" ht="17.25" thickBot="1">
      <c r="A19" t="s">
        <v>148</v>
      </c>
      <c r="B19" t="s">
        <v>147</v>
      </c>
      <c r="C19">
        <v>189</v>
      </c>
      <c r="D19" s="90">
        <v>1.6129032299999999E-2</v>
      </c>
      <c r="E19" s="67"/>
      <c r="F19" s="67"/>
      <c r="G19" s="146" t="s">
        <v>329</v>
      </c>
      <c r="H19" s="137" t="s">
        <v>356</v>
      </c>
      <c r="I19" s="139"/>
      <c r="K19" s="146" t="s">
        <v>329</v>
      </c>
      <c r="L19" s="137" t="s">
        <v>356</v>
      </c>
      <c r="M19" s="139"/>
      <c r="O19" s="146" t="s">
        <v>329</v>
      </c>
      <c r="P19" s="137" t="s">
        <v>356</v>
      </c>
      <c r="Q19" s="139"/>
    </row>
    <row r="20" spans="1:17" ht="17.25" hidden="1" thickBot="1">
      <c r="A20" t="s">
        <v>126</v>
      </c>
      <c r="B20" t="s">
        <v>125</v>
      </c>
      <c r="C20">
        <v>2715</v>
      </c>
      <c r="D20" s="90">
        <v>1.30597015E-2</v>
      </c>
      <c r="E20" s="67"/>
      <c r="F20" s="67"/>
      <c r="G20" s="152"/>
      <c r="H20" s="75" t="s">
        <v>327</v>
      </c>
      <c r="I20" s="76" t="s">
        <v>328</v>
      </c>
      <c r="K20" s="152"/>
      <c r="L20" s="75" t="s">
        <v>327</v>
      </c>
      <c r="M20" s="76" t="s">
        <v>328</v>
      </c>
      <c r="O20" s="152"/>
      <c r="P20" s="75" t="s">
        <v>327</v>
      </c>
      <c r="Q20" s="76" t="s">
        <v>328</v>
      </c>
    </row>
    <row r="21" spans="1:17" hidden="1">
      <c r="A21" t="s">
        <v>281</v>
      </c>
      <c r="B21" t="s">
        <v>280</v>
      </c>
      <c r="C21">
        <v>3215</v>
      </c>
      <c r="D21" s="90">
        <v>1.1006289299999999E-2</v>
      </c>
      <c r="E21" s="67"/>
      <c r="F21" s="67"/>
      <c r="G21" s="107" t="s">
        <v>96</v>
      </c>
      <c r="H21" s="77">
        <f t="shared" ref="H21:H30" si="4">_xlfn.IFNA(VLOOKUP(G21, $B$1:$D$200, 2, FALSE), "")</f>
        <v>91.7</v>
      </c>
      <c r="I21" s="78">
        <f t="shared" ref="I21:I30" si="5">_xlfn.IFNA(VLOOKUP(G21, $B$1:$D$200, 3, FALSE), "")</f>
        <v>-6.6191446000000001E-2</v>
      </c>
      <c r="K21" s="107" t="s">
        <v>288</v>
      </c>
      <c r="L21" s="77">
        <f t="shared" ref="L21:L30" si="6">_xlfn.IFNA(VLOOKUP(K21, $B$1:$D$200, 2, FALSE), "")</f>
        <v>752</v>
      </c>
      <c r="M21" s="78">
        <f t="shared" ref="M21:M30" si="7">_xlfn.IFNA(VLOOKUP(K21, $B$1:$D$200, 3, FALSE), "")</f>
        <v>-1.44167759E-2</v>
      </c>
      <c r="O21" s="108" t="s">
        <v>171</v>
      </c>
      <c r="P21" s="77">
        <f>_xlfn.IFNA(VLOOKUP(O21, $B$1:$D$200, 2, FALSE), "")</f>
        <v>240</v>
      </c>
      <c r="Q21" s="78">
        <f>_xlfn.IFNA(VLOOKUP(O21, $B$1:$D$200, 3, FALSE), "")</f>
        <v>3.0042918500000002E-2</v>
      </c>
    </row>
    <row r="22" spans="1:17">
      <c r="A22" t="s">
        <v>214</v>
      </c>
      <c r="B22" t="s">
        <v>213</v>
      </c>
      <c r="C22">
        <v>111</v>
      </c>
      <c r="D22" s="90">
        <v>9.0909091000000008E-3</v>
      </c>
      <c r="E22" s="67"/>
      <c r="F22" s="67"/>
      <c r="G22" s="108" t="s">
        <v>288</v>
      </c>
      <c r="H22" s="77">
        <f t="shared" si="4"/>
        <v>752</v>
      </c>
      <c r="I22" s="78">
        <f t="shared" si="5"/>
        <v>-1.44167759E-2</v>
      </c>
      <c r="K22" s="108" t="s">
        <v>179</v>
      </c>
      <c r="L22" s="77">
        <f t="shared" si="6"/>
        <v>446</v>
      </c>
      <c r="M22" s="78">
        <f t="shared" si="7"/>
        <v>-2.4070021899999999E-2</v>
      </c>
      <c r="O22" s="108" t="s">
        <v>220</v>
      </c>
      <c r="P22" s="77">
        <f t="shared" ref="P22:P30" si="8">_xlfn.IFNA(VLOOKUP(O22, $B$1:$D$200, 2, FALSE), "")</f>
        <v>256</v>
      </c>
      <c r="Q22" s="78">
        <f t="shared" ref="Q22:Q30" si="9">_xlfn.IFNA(VLOOKUP(O22, $B$1:$D$200, 3, FALSE), "")</f>
        <v>-5.1851851900000002E-2</v>
      </c>
    </row>
    <row r="23" spans="1:17" hidden="1">
      <c r="A23" t="s">
        <v>273</v>
      </c>
      <c r="B23" t="s">
        <v>266</v>
      </c>
      <c r="C23">
        <v>1675</v>
      </c>
      <c r="D23" s="90">
        <v>9.0361446000000005E-3</v>
      </c>
      <c r="E23" s="67"/>
      <c r="F23" s="67"/>
      <c r="G23" s="108" t="s">
        <v>179</v>
      </c>
      <c r="H23" s="77">
        <f t="shared" si="4"/>
        <v>446</v>
      </c>
      <c r="I23" s="78">
        <f t="shared" si="5"/>
        <v>-2.4070021899999999E-2</v>
      </c>
      <c r="K23" s="108" t="s">
        <v>296</v>
      </c>
      <c r="L23" s="77">
        <f t="shared" si="6"/>
        <v>544</v>
      </c>
      <c r="M23" s="78">
        <f t="shared" si="7"/>
        <v>-6.3683304600000004E-2</v>
      </c>
      <c r="O23" s="108" t="s">
        <v>202</v>
      </c>
      <c r="P23" s="77">
        <f t="shared" si="8"/>
        <v>453</v>
      </c>
      <c r="Q23" s="78">
        <f t="shared" si="9"/>
        <v>-2.78969957E-2</v>
      </c>
    </row>
    <row r="24" spans="1:17">
      <c r="A24" t="s">
        <v>166</v>
      </c>
      <c r="B24" t="s">
        <v>165</v>
      </c>
      <c r="C24">
        <v>173</v>
      </c>
      <c r="D24" s="90">
        <v>5.8139534999999999E-3</v>
      </c>
      <c r="E24" s="67"/>
      <c r="F24" s="67"/>
      <c r="G24" s="108" t="s">
        <v>296</v>
      </c>
      <c r="H24" s="77">
        <f t="shared" si="4"/>
        <v>544</v>
      </c>
      <c r="I24" s="78">
        <f t="shared" si="5"/>
        <v>-6.3683304600000004E-2</v>
      </c>
      <c r="K24" s="108" t="s">
        <v>167</v>
      </c>
      <c r="L24" s="77">
        <f t="shared" si="6"/>
        <v>644</v>
      </c>
      <c r="M24" s="78">
        <f t="shared" si="7"/>
        <v>5.2287581700000002E-2</v>
      </c>
      <c r="O24" s="108" t="s">
        <v>198</v>
      </c>
      <c r="P24" s="77">
        <f t="shared" si="8"/>
        <v>204</v>
      </c>
      <c r="Q24" s="78">
        <f t="shared" si="9"/>
        <v>6.25E-2</v>
      </c>
    </row>
    <row r="25" spans="1:17">
      <c r="A25" t="s">
        <v>178</v>
      </c>
      <c r="B25" t="s">
        <v>177</v>
      </c>
      <c r="C25">
        <v>219</v>
      </c>
      <c r="D25" s="90">
        <v>4.5871560000000002E-3</v>
      </c>
      <c r="E25" s="67"/>
      <c r="F25" s="67"/>
      <c r="G25" s="108" t="s">
        <v>200</v>
      </c>
      <c r="H25" s="77">
        <f t="shared" si="4"/>
        <v>1460</v>
      </c>
      <c r="I25" s="78">
        <f t="shared" si="5"/>
        <v>3.1802120099999998E-2</v>
      </c>
      <c r="K25" s="108" t="s">
        <v>161</v>
      </c>
      <c r="L25" s="77">
        <f t="shared" si="6"/>
        <v>346</v>
      </c>
      <c r="M25" s="78">
        <f t="shared" si="7"/>
        <v>2.8985507E-3</v>
      </c>
      <c r="O25" s="108" t="s">
        <v>261</v>
      </c>
      <c r="P25" s="77">
        <f t="shared" si="8"/>
        <v>172</v>
      </c>
      <c r="Q25" s="78">
        <f t="shared" si="9"/>
        <v>7.4999999999999997E-2</v>
      </c>
    </row>
    <row r="26" spans="1:17">
      <c r="A26" t="s">
        <v>162</v>
      </c>
      <c r="B26" t="s">
        <v>161</v>
      </c>
      <c r="C26">
        <v>346</v>
      </c>
      <c r="D26" s="90">
        <v>2.8985507E-3</v>
      </c>
      <c r="E26" s="67"/>
      <c r="F26" s="67"/>
      <c r="G26" s="108" t="s">
        <v>339</v>
      </c>
      <c r="H26" s="77">
        <f t="shared" si="4"/>
        <v>81000</v>
      </c>
      <c r="I26" s="78">
        <f t="shared" si="5"/>
        <v>-3.5829067999999999E-2</v>
      </c>
      <c r="K26" s="108" t="s">
        <v>101</v>
      </c>
      <c r="L26" s="77">
        <f t="shared" si="6"/>
        <v>873</v>
      </c>
      <c r="M26" s="78">
        <f t="shared" si="7"/>
        <v>3.43601896E-2</v>
      </c>
      <c r="O26" s="108" t="s">
        <v>350</v>
      </c>
      <c r="P26" s="77">
        <f t="shared" si="8"/>
        <v>230</v>
      </c>
      <c r="Q26" s="78">
        <f t="shared" si="9"/>
        <v>-6.8825910899999995E-2</v>
      </c>
    </row>
    <row r="27" spans="1:17" hidden="1">
      <c r="A27" t="s">
        <v>344</v>
      </c>
      <c r="B27" t="s">
        <v>333</v>
      </c>
      <c r="C27">
        <v>1770</v>
      </c>
      <c r="D27" s="90">
        <v>0</v>
      </c>
      <c r="E27" s="67"/>
      <c r="F27" s="67"/>
      <c r="G27" s="108" t="s">
        <v>217</v>
      </c>
      <c r="H27" s="77">
        <f t="shared" si="4"/>
        <v>76</v>
      </c>
      <c r="I27" s="78">
        <f t="shared" si="5"/>
        <v>2.5641025599999999E-2</v>
      </c>
      <c r="K27" s="108" t="s">
        <v>145</v>
      </c>
      <c r="L27" s="77">
        <f t="shared" si="6"/>
        <v>267</v>
      </c>
      <c r="M27" s="78">
        <f t="shared" si="7"/>
        <v>-4.64285714E-2</v>
      </c>
      <c r="O27" s="108" t="s">
        <v>210</v>
      </c>
      <c r="P27" s="77">
        <f t="shared" si="8"/>
        <v>627</v>
      </c>
      <c r="Q27" s="78">
        <f t="shared" si="9"/>
        <v>-6.41791045E-2</v>
      </c>
    </row>
    <row r="28" spans="1:17" hidden="1">
      <c r="A28" t="s">
        <v>295</v>
      </c>
      <c r="B28" t="s">
        <v>294</v>
      </c>
      <c r="C28">
        <v>19680</v>
      </c>
      <c r="D28" s="90">
        <v>0</v>
      </c>
      <c r="E28" s="67"/>
      <c r="F28" s="67"/>
      <c r="G28" s="108" t="s">
        <v>103</v>
      </c>
      <c r="H28" s="77">
        <f t="shared" si="4"/>
        <v>11170</v>
      </c>
      <c r="I28" s="78">
        <f t="shared" si="5"/>
        <v>-7.7621800199999993E-2</v>
      </c>
      <c r="K28" s="108" t="s">
        <v>165</v>
      </c>
      <c r="L28" s="77">
        <f t="shared" si="6"/>
        <v>173</v>
      </c>
      <c r="M28" s="78">
        <f t="shared" si="7"/>
        <v>5.8139534999999999E-3</v>
      </c>
      <c r="O28" s="108" t="s">
        <v>149</v>
      </c>
      <c r="P28" s="77">
        <f t="shared" si="8"/>
        <v>366</v>
      </c>
      <c r="Q28" s="78">
        <f t="shared" si="9"/>
        <v>-2.65957447E-2</v>
      </c>
    </row>
    <row r="29" spans="1:17" hidden="1">
      <c r="A29" t="s">
        <v>312</v>
      </c>
      <c r="B29" t="s">
        <v>313</v>
      </c>
      <c r="C29">
        <v>50930</v>
      </c>
      <c r="D29" s="90">
        <v>-7.7927138E-3</v>
      </c>
      <c r="E29" s="67"/>
      <c r="F29" s="67"/>
      <c r="G29" s="108" t="s">
        <v>129</v>
      </c>
      <c r="H29" s="77">
        <f t="shared" si="4"/>
        <v>9595</v>
      </c>
      <c r="I29" s="78">
        <f t="shared" si="5"/>
        <v>-9.6516007500000001E-2</v>
      </c>
      <c r="K29" s="108" t="s">
        <v>237</v>
      </c>
      <c r="L29" s="77">
        <f t="shared" si="6"/>
        <v>818</v>
      </c>
      <c r="M29" s="78">
        <f t="shared" si="7"/>
        <v>-8.2959641299999998E-2</v>
      </c>
      <c r="O29" s="108" t="s">
        <v>269</v>
      </c>
      <c r="P29" s="77">
        <f t="shared" si="8"/>
        <v>691</v>
      </c>
      <c r="Q29" s="78">
        <f t="shared" si="9"/>
        <v>-4.55801105E-2</v>
      </c>
    </row>
    <row r="30" spans="1:17" ht="17.25" hidden="1" thickBot="1">
      <c r="A30" t="s">
        <v>336</v>
      </c>
      <c r="B30" t="s">
        <v>337</v>
      </c>
      <c r="C30">
        <v>2789000</v>
      </c>
      <c r="D30" s="90">
        <v>-1.2393767700000001E-2</v>
      </c>
      <c r="E30" s="67"/>
      <c r="F30" s="67"/>
      <c r="G30" s="106" t="s">
        <v>211</v>
      </c>
      <c r="H30" s="79">
        <f t="shared" si="4"/>
        <v>53</v>
      </c>
      <c r="I30" s="80">
        <f t="shared" si="5"/>
        <v>-6.3604240300000003E-2</v>
      </c>
      <c r="K30" s="106" t="s">
        <v>169</v>
      </c>
      <c r="L30" s="79">
        <f t="shared" si="6"/>
        <v>170</v>
      </c>
      <c r="M30" s="80">
        <f t="shared" si="7"/>
        <v>-7.1038251400000002E-2</v>
      </c>
      <c r="O30" s="106" t="s">
        <v>196</v>
      </c>
      <c r="P30" s="79">
        <f t="shared" si="8"/>
        <v>496</v>
      </c>
      <c r="Q30" s="80">
        <f t="shared" si="9"/>
        <v>-6.5913370999999998E-2</v>
      </c>
    </row>
    <row r="31" spans="1:17">
      <c r="A31" t="s">
        <v>289</v>
      </c>
      <c r="B31" t="s">
        <v>288</v>
      </c>
      <c r="C31">
        <v>752</v>
      </c>
      <c r="D31" s="90">
        <v>-1.44167759E-2</v>
      </c>
      <c r="E31" s="67"/>
      <c r="F31" s="67"/>
      <c r="G31" s="67"/>
      <c r="H31" s="67"/>
      <c r="I31" s="67"/>
    </row>
    <row r="32" spans="1:17">
      <c r="A32" t="s">
        <v>190</v>
      </c>
      <c r="B32" t="s">
        <v>189</v>
      </c>
      <c r="C32">
        <v>437</v>
      </c>
      <c r="D32" s="90">
        <v>-2.23713647E-2</v>
      </c>
      <c r="E32" s="67"/>
      <c r="F32" s="67"/>
      <c r="G32" s="67"/>
      <c r="H32" s="67"/>
      <c r="I32" s="67"/>
    </row>
    <row r="33" spans="1:9" hidden="1">
      <c r="A33" t="s">
        <v>244</v>
      </c>
      <c r="B33" t="s">
        <v>223</v>
      </c>
      <c r="C33">
        <v>1850</v>
      </c>
      <c r="D33" s="90">
        <v>-2.3746701799999999E-2</v>
      </c>
      <c r="E33" s="67"/>
      <c r="F33" s="67"/>
      <c r="G33" s="67"/>
      <c r="H33" s="67"/>
      <c r="I33" s="67"/>
    </row>
    <row r="34" spans="1:9">
      <c r="A34" t="s">
        <v>180</v>
      </c>
      <c r="B34" t="s">
        <v>179</v>
      </c>
      <c r="C34">
        <v>446</v>
      </c>
      <c r="D34" s="90">
        <v>-2.4070021899999999E-2</v>
      </c>
      <c r="E34" s="67"/>
      <c r="F34" s="67"/>
      <c r="G34" s="67"/>
      <c r="H34" s="67"/>
      <c r="I34" s="67"/>
    </row>
    <row r="35" spans="1:9" hidden="1">
      <c r="A35" t="s">
        <v>216</v>
      </c>
      <c r="B35" t="s">
        <v>215</v>
      </c>
      <c r="C35">
        <v>15650</v>
      </c>
      <c r="D35" s="90">
        <v>-2.43142145E-2</v>
      </c>
      <c r="E35" s="67"/>
      <c r="F35" s="67"/>
      <c r="G35" s="67"/>
      <c r="H35" s="67"/>
      <c r="I35" s="67"/>
    </row>
    <row r="36" spans="1:9">
      <c r="A36" t="s">
        <v>150</v>
      </c>
      <c r="B36" t="s">
        <v>149</v>
      </c>
      <c r="C36">
        <v>366</v>
      </c>
      <c r="D36" s="90">
        <v>-2.65957447E-2</v>
      </c>
      <c r="E36" s="67"/>
      <c r="F36" s="67"/>
      <c r="G36" s="67"/>
      <c r="H36" s="67"/>
      <c r="I36" s="67"/>
    </row>
    <row r="37" spans="1:9" hidden="1">
      <c r="A37" t="s">
        <v>209</v>
      </c>
      <c r="B37" t="s">
        <v>208</v>
      </c>
      <c r="C37">
        <v>10.7</v>
      </c>
      <c r="D37" s="90">
        <v>-2.7272727300000001E-2</v>
      </c>
      <c r="E37" s="67"/>
      <c r="F37" s="67"/>
      <c r="G37" s="67"/>
      <c r="H37" s="67"/>
      <c r="I37" s="67"/>
    </row>
    <row r="38" spans="1:9">
      <c r="A38" t="s">
        <v>203</v>
      </c>
      <c r="B38" t="s">
        <v>202</v>
      </c>
      <c r="C38">
        <v>453</v>
      </c>
      <c r="D38" s="90">
        <v>-2.78969957E-2</v>
      </c>
      <c r="E38" s="67"/>
      <c r="F38" s="67"/>
      <c r="G38" s="67"/>
      <c r="H38" s="67"/>
      <c r="I38" s="67"/>
    </row>
    <row r="39" spans="1:9" hidden="1">
      <c r="A39" t="s">
        <v>342</v>
      </c>
      <c r="B39" t="s">
        <v>343</v>
      </c>
      <c r="C39">
        <v>321500</v>
      </c>
      <c r="D39" s="90">
        <v>-2.9580440699999998E-2</v>
      </c>
      <c r="E39" s="67"/>
      <c r="F39" s="67"/>
      <c r="G39" s="67"/>
      <c r="H39" s="67"/>
      <c r="I39" s="67"/>
    </row>
    <row r="40" spans="1:9">
      <c r="A40" t="s">
        <v>207</v>
      </c>
      <c r="B40" t="s">
        <v>206</v>
      </c>
      <c r="C40">
        <v>258</v>
      </c>
      <c r="D40" s="90">
        <v>-3.0075187999999999E-2</v>
      </c>
      <c r="E40" s="67"/>
      <c r="F40" s="67"/>
      <c r="G40" s="67"/>
      <c r="H40" s="67"/>
      <c r="I40" s="67"/>
    </row>
    <row r="41" spans="1:9" hidden="1">
      <c r="A41" t="s">
        <v>299</v>
      </c>
      <c r="B41" t="s">
        <v>298</v>
      </c>
      <c r="C41">
        <v>19900</v>
      </c>
      <c r="D41" s="90">
        <v>-3.0214425E-2</v>
      </c>
      <c r="E41" s="67"/>
      <c r="F41" s="67"/>
      <c r="G41" s="67"/>
      <c r="H41" s="67"/>
      <c r="I41" s="67"/>
    </row>
    <row r="42" spans="1:9" hidden="1">
      <c r="A42" t="s">
        <v>132</v>
      </c>
      <c r="B42" t="s">
        <v>131</v>
      </c>
      <c r="C42">
        <v>52520</v>
      </c>
      <c r="D42" s="90">
        <v>-3.2067821599999997E-2</v>
      </c>
      <c r="E42" s="67"/>
      <c r="F42" s="67"/>
      <c r="G42" s="67"/>
      <c r="H42" s="67"/>
      <c r="I42" s="67"/>
    </row>
    <row r="43" spans="1:9" hidden="1">
      <c r="A43" t="s">
        <v>251</v>
      </c>
      <c r="B43" t="s">
        <v>224</v>
      </c>
      <c r="C43">
        <v>2695</v>
      </c>
      <c r="D43" s="90">
        <v>-3.5778175299999999E-2</v>
      </c>
      <c r="E43" s="67"/>
      <c r="F43" s="67"/>
      <c r="G43" s="67"/>
      <c r="H43" s="67"/>
      <c r="I43" s="67"/>
    </row>
    <row r="44" spans="1:9" hidden="1">
      <c r="A44" t="s">
        <v>338</v>
      </c>
      <c r="B44" t="s">
        <v>339</v>
      </c>
      <c r="C44">
        <v>81000</v>
      </c>
      <c r="D44" s="90">
        <v>-3.5829067999999999E-2</v>
      </c>
      <c r="E44" s="67"/>
      <c r="F44" s="67"/>
      <c r="G44" s="67"/>
      <c r="H44" s="67"/>
      <c r="I44" s="67"/>
    </row>
    <row r="45" spans="1:9" hidden="1">
      <c r="A45" t="s">
        <v>128</v>
      </c>
      <c r="B45" t="s">
        <v>127</v>
      </c>
      <c r="C45">
        <v>45.8</v>
      </c>
      <c r="D45" s="90">
        <v>-3.7815126099999999E-2</v>
      </c>
      <c r="E45" s="67"/>
      <c r="F45" s="67"/>
      <c r="G45" s="67"/>
      <c r="H45" s="67"/>
      <c r="I45" s="67"/>
    </row>
    <row r="46" spans="1:9" hidden="1">
      <c r="A46" t="s">
        <v>152</v>
      </c>
      <c r="B46" t="s">
        <v>151</v>
      </c>
      <c r="C46">
        <v>8195</v>
      </c>
      <c r="D46" s="90">
        <v>-3.8709677400000003E-2</v>
      </c>
      <c r="E46" s="67"/>
      <c r="F46" s="67"/>
      <c r="G46" s="67"/>
      <c r="H46" s="67"/>
      <c r="I46" s="67"/>
    </row>
    <row r="47" spans="1:9">
      <c r="A47" t="s">
        <v>134</v>
      </c>
      <c r="B47" t="s">
        <v>133</v>
      </c>
      <c r="C47">
        <v>715</v>
      </c>
      <c r="D47" s="90">
        <v>-3.8978494599999997E-2</v>
      </c>
      <c r="E47" s="67"/>
      <c r="F47" s="67"/>
      <c r="G47" s="67"/>
      <c r="H47" s="67"/>
      <c r="I47" s="67"/>
    </row>
    <row r="48" spans="1:9" hidden="1">
      <c r="A48" t="s">
        <v>249</v>
      </c>
      <c r="B48" t="s">
        <v>248</v>
      </c>
      <c r="C48">
        <v>871200</v>
      </c>
      <c r="D48" s="90">
        <v>-3.9894203199999999E-2</v>
      </c>
      <c r="E48" s="67"/>
      <c r="F48" s="67"/>
      <c r="G48" s="67"/>
      <c r="H48" s="67"/>
      <c r="I48" s="67"/>
    </row>
    <row r="49" spans="1:9" hidden="1">
      <c r="A49" t="s">
        <v>347</v>
      </c>
      <c r="B49" t="s">
        <v>348</v>
      </c>
      <c r="C49">
        <v>12120</v>
      </c>
      <c r="D49" s="90">
        <v>-4.2654028400000002E-2</v>
      </c>
      <c r="E49" s="67"/>
      <c r="F49" s="67"/>
      <c r="G49" s="67"/>
      <c r="H49" s="67"/>
      <c r="I49" s="67"/>
    </row>
    <row r="50" spans="1:9">
      <c r="A50" t="s">
        <v>136</v>
      </c>
      <c r="B50" t="s">
        <v>135</v>
      </c>
      <c r="C50">
        <v>666</v>
      </c>
      <c r="D50" s="90">
        <v>-4.31034483E-2</v>
      </c>
      <c r="E50" s="67"/>
      <c r="F50" s="67"/>
      <c r="G50" s="67"/>
      <c r="H50" s="67"/>
      <c r="I50" s="67"/>
    </row>
    <row r="51" spans="1:9" hidden="1">
      <c r="A51" t="s">
        <v>176</v>
      </c>
      <c r="B51" t="s">
        <v>175</v>
      </c>
      <c r="C51">
        <v>3080</v>
      </c>
      <c r="D51" s="90">
        <v>-4.3478260900000003E-2</v>
      </c>
      <c r="E51" s="67"/>
      <c r="F51" s="67"/>
      <c r="G51" s="67"/>
      <c r="H51" s="67"/>
      <c r="I51" s="67"/>
    </row>
    <row r="52" spans="1:9" hidden="1">
      <c r="A52" t="s">
        <v>260</v>
      </c>
      <c r="B52" t="s">
        <v>259</v>
      </c>
      <c r="C52">
        <v>34.6</v>
      </c>
      <c r="D52" s="90">
        <v>-4.4198895000000002E-2</v>
      </c>
      <c r="E52" s="67"/>
      <c r="F52" s="67"/>
      <c r="G52" s="67"/>
      <c r="H52" s="67"/>
      <c r="I52" s="67"/>
    </row>
    <row r="53" spans="1:9" hidden="1">
      <c r="A53" t="s">
        <v>233</v>
      </c>
      <c r="B53" t="s">
        <v>232</v>
      </c>
      <c r="C53">
        <v>28.1</v>
      </c>
      <c r="D53" s="90">
        <v>-4.42176871E-2</v>
      </c>
      <c r="E53" s="67"/>
      <c r="F53" s="67"/>
      <c r="G53" s="67"/>
      <c r="H53" s="67"/>
      <c r="I53" s="67"/>
    </row>
    <row r="54" spans="1:9" hidden="1">
      <c r="A54" t="s">
        <v>345</v>
      </c>
      <c r="B54" t="s">
        <v>346</v>
      </c>
      <c r="C54">
        <v>25620</v>
      </c>
      <c r="D54" s="90">
        <v>-4.4742729299999999E-2</v>
      </c>
      <c r="E54" s="67"/>
      <c r="F54" s="67"/>
      <c r="G54" s="67"/>
      <c r="H54" s="67"/>
      <c r="I54" s="67"/>
    </row>
    <row r="55" spans="1:9" hidden="1">
      <c r="A55" t="s">
        <v>229</v>
      </c>
      <c r="B55" t="s">
        <v>228</v>
      </c>
      <c r="C55">
        <v>17690</v>
      </c>
      <c r="D55" s="90">
        <v>-4.53318942E-2</v>
      </c>
      <c r="E55" s="67"/>
      <c r="F55" s="67"/>
      <c r="G55" s="67"/>
      <c r="H55" s="67"/>
      <c r="I55" s="67"/>
    </row>
    <row r="56" spans="1:9">
      <c r="A56" t="s">
        <v>270</v>
      </c>
      <c r="B56" t="s">
        <v>269</v>
      </c>
      <c r="C56">
        <v>691</v>
      </c>
      <c r="D56" s="90">
        <v>-4.55801105E-2</v>
      </c>
      <c r="E56" s="67"/>
      <c r="F56" s="67"/>
      <c r="G56" s="67"/>
      <c r="H56" s="67"/>
      <c r="I56" s="67"/>
    </row>
    <row r="57" spans="1:9" hidden="1">
      <c r="A57" t="s">
        <v>263</v>
      </c>
      <c r="B57" t="s">
        <v>185</v>
      </c>
      <c r="C57">
        <v>8425</v>
      </c>
      <c r="D57" s="90">
        <v>-4.5866364700000002E-2</v>
      </c>
      <c r="E57" s="67"/>
      <c r="F57" s="67"/>
      <c r="G57" s="67"/>
      <c r="H57" s="67"/>
      <c r="I57" s="67"/>
    </row>
    <row r="58" spans="1:9" hidden="1">
      <c r="A58" t="s">
        <v>144</v>
      </c>
      <c r="B58" t="s">
        <v>143</v>
      </c>
      <c r="C58">
        <v>20850</v>
      </c>
      <c r="D58" s="90">
        <v>-4.6203110700000001E-2</v>
      </c>
      <c r="E58" s="67"/>
      <c r="F58" s="67"/>
      <c r="G58" s="67"/>
      <c r="H58" s="67"/>
      <c r="I58" s="67"/>
    </row>
    <row r="59" spans="1:9">
      <c r="A59" t="s">
        <v>146</v>
      </c>
      <c r="B59" t="s">
        <v>145</v>
      </c>
      <c r="C59">
        <v>267</v>
      </c>
      <c r="D59" s="90">
        <v>-4.64285714E-2</v>
      </c>
      <c r="E59" s="67"/>
      <c r="F59" s="67"/>
      <c r="G59" s="67"/>
      <c r="H59" s="67"/>
      <c r="I59" s="67"/>
    </row>
    <row r="60" spans="1:9" hidden="1">
      <c r="A60" t="s">
        <v>154</v>
      </c>
      <c r="B60" t="s">
        <v>153</v>
      </c>
      <c r="C60">
        <v>42540</v>
      </c>
      <c r="D60" s="90">
        <v>-4.6615867300000002E-2</v>
      </c>
      <c r="E60" s="67"/>
      <c r="F60" s="67"/>
      <c r="G60" s="67"/>
      <c r="H60" s="67"/>
      <c r="I60" s="67"/>
    </row>
    <row r="61" spans="1:9">
      <c r="A61" t="s">
        <v>253</v>
      </c>
      <c r="B61" t="s">
        <v>252</v>
      </c>
      <c r="C61">
        <v>654</v>
      </c>
      <c r="D61" s="90">
        <v>-4.8034934500000001E-2</v>
      </c>
      <c r="E61" s="67"/>
      <c r="F61" s="67"/>
      <c r="G61" s="67"/>
      <c r="H61" s="67"/>
      <c r="I61" s="67"/>
    </row>
    <row r="62" spans="1:9" hidden="1">
      <c r="A62" t="s">
        <v>194</v>
      </c>
      <c r="B62" t="s">
        <v>193</v>
      </c>
      <c r="C62">
        <v>29.1</v>
      </c>
      <c r="D62" s="90">
        <v>-4.9019607799999997E-2</v>
      </c>
      <c r="E62" s="67"/>
      <c r="F62" s="67"/>
      <c r="G62" s="67"/>
      <c r="H62" s="67"/>
      <c r="I62" s="67"/>
    </row>
    <row r="63" spans="1:9" hidden="1">
      <c r="A63" t="s">
        <v>222</v>
      </c>
      <c r="B63" t="s">
        <v>221</v>
      </c>
      <c r="C63">
        <v>4580</v>
      </c>
      <c r="D63" s="90">
        <v>-4.9792531100000002E-2</v>
      </c>
      <c r="E63" s="67"/>
      <c r="F63" s="67"/>
      <c r="G63" s="67"/>
      <c r="H63" s="67"/>
      <c r="I63" s="67"/>
    </row>
    <row r="64" spans="1:9" hidden="1">
      <c r="A64" t="s">
        <v>205</v>
      </c>
      <c r="B64" t="s">
        <v>204</v>
      </c>
      <c r="C64">
        <v>3895</v>
      </c>
      <c r="D64" s="90">
        <v>-0.05</v>
      </c>
      <c r="E64" s="67"/>
      <c r="F64" s="67"/>
      <c r="G64" s="67"/>
      <c r="H64" s="67"/>
      <c r="I64" s="67"/>
    </row>
    <row r="65" spans="1:9" hidden="1">
      <c r="A65" t="s">
        <v>277</v>
      </c>
      <c r="B65" t="s">
        <v>276</v>
      </c>
      <c r="C65">
        <v>61680</v>
      </c>
      <c r="D65" s="90">
        <v>-5.03464203E-2</v>
      </c>
      <c r="E65" s="67"/>
      <c r="F65" s="67"/>
      <c r="G65" s="67"/>
      <c r="H65" s="67"/>
      <c r="I65" s="67"/>
    </row>
    <row r="66" spans="1:9">
      <c r="A66" t="s">
        <v>100</v>
      </c>
      <c r="B66" t="s">
        <v>99</v>
      </c>
      <c r="C66">
        <v>260</v>
      </c>
      <c r="D66" s="90">
        <v>-5.1094890499999997E-2</v>
      </c>
      <c r="E66" s="67"/>
      <c r="F66" s="67"/>
      <c r="G66" s="67"/>
      <c r="H66" s="67"/>
      <c r="I66" s="67"/>
    </row>
    <row r="67" spans="1:9" hidden="1">
      <c r="A67" t="s">
        <v>236</v>
      </c>
      <c r="B67" t="s">
        <v>98</v>
      </c>
      <c r="C67">
        <v>31.5</v>
      </c>
      <c r="D67" s="90">
        <v>-5.1204819300000003E-2</v>
      </c>
      <c r="E67" s="67"/>
      <c r="F67" s="67"/>
      <c r="G67" s="67"/>
      <c r="H67" s="67"/>
      <c r="I67" s="67"/>
    </row>
    <row r="68" spans="1:9">
      <c r="A68" t="s">
        <v>138</v>
      </c>
      <c r="B68" t="s">
        <v>137</v>
      </c>
      <c r="C68">
        <v>588</v>
      </c>
      <c r="D68" s="90">
        <v>-5.1612903199999997E-2</v>
      </c>
      <c r="E68" s="67"/>
      <c r="F68" s="67"/>
      <c r="G68" s="67"/>
      <c r="H68" s="67"/>
      <c r="I68" s="67"/>
    </row>
    <row r="69" spans="1:9">
      <c r="A69" t="s">
        <v>254</v>
      </c>
      <c r="B69" t="s">
        <v>220</v>
      </c>
      <c r="C69">
        <v>256</v>
      </c>
      <c r="D69" s="90">
        <v>-5.1851851900000002E-2</v>
      </c>
      <c r="E69" s="67"/>
      <c r="F69" s="67"/>
      <c r="G69" s="67"/>
      <c r="H69" s="67"/>
      <c r="I69" s="67"/>
    </row>
    <row r="70" spans="1:9">
      <c r="A70" t="s">
        <v>174</v>
      </c>
      <c r="B70" t="s">
        <v>173</v>
      </c>
      <c r="C70">
        <v>109</v>
      </c>
      <c r="D70" s="90">
        <v>-5.2173913000000002E-2</v>
      </c>
      <c r="E70" s="67"/>
      <c r="F70" s="67"/>
      <c r="G70" s="67"/>
      <c r="H70" s="67"/>
      <c r="I70" s="67"/>
    </row>
    <row r="71" spans="1:9" hidden="1">
      <c r="A71" t="s">
        <v>242</v>
      </c>
      <c r="B71" t="s">
        <v>241</v>
      </c>
      <c r="C71">
        <v>1710</v>
      </c>
      <c r="D71" s="90">
        <v>-5.2631578900000003E-2</v>
      </c>
      <c r="E71" s="67"/>
      <c r="F71" s="67"/>
      <c r="G71" s="67"/>
      <c r="H71" s="67"/>
      <c r="I71" s="67"/>
    </row>
    <row r="72" spans="1:9" hidden="1">
      <c r="A72" t="s">
        <v>231</v>
      </c>
      <c r="B72" t="s">
        <v>230</v>
      </c>
      <c r="C72">
        <v>1510</v>
      </c>
      <c r="D72" s="90">
        <v>-5.3291536100000002E-2</v>
      </c>
      <c r="E72" s="67"/>
      <c r="F72" s="67"/>
      <c r="G72" s="67"/>
      <c r="H72" s="67"/>
      <c r="I72" s="67"/>
    </row>
    <row r="73" spans="1:9" hidden="1">
      <c r="A73" t="s">
        <v>110</v>
      </c>
      <c r="B73" t="s">
        <v>109</v>
      </c>
      <c r="C73">
        <v>40.200000000000003</v>
      </c>
      <c r="D73" s="90">
        <v>-5.4117647099999999E-2</v>
      </c>
      <c r="E73" s="67"/>
      <c r="F73" s="67"/>
      <c r="G73" s="67"/>
      <c r="H73" s="67"/>
      <c r="I73" s="67"/>
    </row>
    <row r="74" spans="1:9" hidden="1">
      <c r="A74" t="s">
        <v>291</v>
      </c>
      <c r="B74" t="s">
        <v>290</v>
      </c>
      <c r="C74">
        <v>1610</v>
      </c>
      <c r="D74" s="90">
        <v>-5.5718475099999998E-2</v>
      </c>
      <c r="E74" s="67"/>
      <c r="F74" s="67"/>
      <c r="G74" s="67"/>
      <c r="H74" s="67"/>
      <c r="I74" s="67"/>
    </row>
    <row r="75" spans="1:9" hidden="1">
      <c r="A75" t="s">
        <v>187</v>
      </c>
      <c r="B75" t="s">
        <v>186</v>
      </c>
      <c r="C75">
        <v>28.4</v>
      </c>
      <c r="D75" s="90">
        <v>-5.6478405299999999E-2</v>
      </c>
      <c r="E75" s="67"/>
      <c r="F75" s="67"/>
      <c r="G75" s="67"/>
      <c r="H75" s="67"/>
      <c r="I75" s="67"/>
    </row>
    <row r="76" spans="1:9">
      <c r="A76" t="s">
        <v>227</v>
      </c>
      <c r="B76" t="s">
        <v>226</v>
      </c>
      <c r="C76">
        <v>266</v>
      </c>
      <c r="D76" s="90">
        <v>-5.6737588700000001E-2</v>
      </c>
      <c r="E76" s="67"/>
      <c r="F76" s="67"/>
      <c r="G76" s="67"/>
      <c r="H76" s="67"/>
      <c r="I76" s="67"/>
    </row>
    <row r="77" spans="1:9" hidden="1">
      <c r="A77" t="s">
        <v>279</v>
      </c>
      <c r="B77" t="s">
        <v>278</v>
      </c>
      <c r="C77">
        <v>2160</v>
      </c>
      <c r="D77" s="90">
        <v>-5.6768559000000003E-2</v>
      </c>
      <c r="E77" s="67"/>
      <c r="F77" s="67"/>
      <c r="G77" s="67"/>
      <c r="H77" s="67"/>
      <c r="I77" s="67"/>
    </row>
    <row r="78" spans="1:9">
      <c r="A78" t="s">
        <v>140</v>
      </c>
      <c r="B78" t="s">
        <v>139</v>
      </c>
      <c r="C78">
        <v>132</v>
      </c>
      <c r="D78" s="90">
        <v>-5.71428571E-2</v>
      </c>
      <c r="E78" s="67"/>
      <c r="F78" s="67"/>
      <c r="G78" s="67"/>
      <c r="H78" s="67"/>
      <c r="I78" s="67"/>
    </row>
    <row r="79" spans="1:9">
      <c r="A79" t="s">
        <v>116</v>
      </c>
      <c r="B79" t="s">
        <v>115</v>
      </c>
      <c r="C79">
        <v>115</v>
      </c>
      <c r="D79" s="90">
        <v>-5.7377049200000002E-2</v>
      </c>
      <c r="E79" s="67"/>
      <c r="F79" s="67"/>
      <c r="G79" s="67"/>
      <c r="H79" s="67"/>
      <c r="I79" s="67"/>
    </row>
    <row r="80" spans="1:9" hidden="1">
      <c r="A80" t="s">
        <v>293</v>
      </c>
      <c r="B80" t="s">
        <v>292</v>
      </c>
      <c r="C80">
        <v>8450</v>
      </c>
      <c r="D80" s="90">
        <v>-5.7971014500000001E-2</v>
      </c>
      <c r="E80" s="67"/>
      <c r="F80" s="67"/>
      <c r="G80" s="67"/>
      <c r="H80" s="67"/>
      <c r="I80" s="67"/>
    </row>
    <row r="81" spans="1:9" hidden="1">
      <c r="A81" t="s">
        <v>122</v>
      </c>
      <c r="B81" t="s">
        <v>121</v>
      </c>
      <c r="C81">
        <v>10570</v>
      </c>
      <c r="D81" s="90">
        <v>-5.8771148699999998E-2</v>
      </c>
      <c r="E81" s="67"/>
      <c r="F81" s="67"/>
      <c r="G81" s="67"/>
      <c r="H81" s="67"/>
      <c r="I81" s="67"/>
    </row>
    <row r="82" spans="1:9" hidden="1">
      <c r="A82" t="s">
        <v>285</v>
      </c>
      <c r="B82" t="s">
        <v>284</v>
      </c>
      <c r="C82">
        <v>4625</v>
      </c>
      <c r="D82" s="90">
        <v>-5.9003051899999999E-2</v>
      </c>
      <c r="E82" s="67"/>
      <c r="F82" s="67"/>
      <c r="G82" s="67"/>
      <c r="H82" s="67"/>
      <c r="I82" s="67"/>
    </row>
    <row r="83" spans="1:9" hidden="1">
      <c r="A83" t="s">
        <v>156</v>
      </c>
      <c r="B83" t="s">
        <v>155</v>
      </c>
      <c r="C83">
        <v>26.7</v>
      </c>
      <c r="D83" s="90">
        <v>-5.9859154900000003E-2</v>
      </c>
      <c r="E83" s="67"/>
      <c r="F83" s="67"/>
      <c r="G83" s="67"/>
      <c r="H83" s="67"/>
      <c r="I83" s="67"/>
    </row>
    <row r="84" spans="1:9" hidden="1">
      <c r="A84" t="s">
        <v>192</v>
      </c>
      <c r="B84" t="s">
        <v>191</v>
      </c>
      <c r="C84">
        <v>33.9</v>
      </c>
      <c r="D84" s="90">
        <v>-6.0941828300000001E-2</v>
      </c>
      <c r="E84" s="67"/>
      <c r="F84" s="67"/>
      <c r="G84" s="67"/>
      <c r="H84" s="67"/>
      <c r="I84" s="67"/>
    </row>
    <row r="85" spans="1:9" hidden="1">
      <c r="A85" t="s">
        <v>219</v>
      </c>
      <c r="B85" t="s">
        <v>218</v>
      </c>
      <c r="C85">
        <v>340350</v>
      </c>
      <c r="D85" s="90">
        <v>-6.1103448300000002E-2</v>
      </c>
      <c r="E85" s="67"/>
      <c r="F85" s="67"/>
      <c r="G85" s="67"/>
      <c r="H85" s="67"/>
      <c r="I85" s="67"/>
    </row>
    <row r="86" spans="1:9">
      <c r="A86" t="s">
        <v>108</v>
      </c>
      <c r="B86" t="s">
        <v>107</v>
      </c>
      <c r="C86">
        <v>291</v>
      </c>
      <c r="D86" s="90">
        <v>-6.1290322600000002E-2</v>
      </c>
      <c r="E86" s="67"/>
      <c r="F86" s="67"/>
      <c r="G86" s="67"/>
      <c r="H86" s="67"/>
      <c r="I86" s="67"/>
    </row>
    <row r="87" spans="1:9">
      <c r="A87" t="s">
        <v>112</v>
      </c>
      <c r="B87" t="s">
        <v>111</v>
      </c>
      <c r="C87">
        <v>305</v>
      </c>
      <c r="D87" s="90">
        <v>-6.1538461500000002E-2</v>
      </c>
      <c r="E87" s="67"/>
      <c r="F87" s="67"/>
      <c r="G87" s="67"/>
      <c r="H87" s="67"/>
      <c r="I87" s="67"/>
    </row>
    <row r="88" spans="1:9" hidden="1">
      <c r="A88" t="s">
        <v>142</v>
      </c>
      <c r="B88" t="s">
        <v>141</v>
      </c>
      <c r="C88">
        <v>6205</v>
      </c>
      <c r="D88" s="90">
        <v>-6.1980347700000001E-2</v>
      </c>
      <c r="E88" s="67"/>
      <c r="F88" s="67"/>
      <c r="G88" s="67"/>
      <c r="H88" s="67"/>
      <c r="I88" s="67"/>
    </row>
    <row r="89" spans="1:9" hidden="1">
      <c r="A89" t="s">
        <v>164</v>
      </c>
      <c r="B89" t="s">
        <v>163</v>
      </c>
      <c r="C89">
        <v>88.8</v>
      </c>
      <c r="D89" s="90">
        <v>-6.2302006299999997E-2</v>
      </c>
      <c r="E89" s="67"/>
      <c r="F89" s="67"/>
      <c r="G89" s="67"/>
      <c r="H89" s="67"/>
      <c r="I89" s="67"/>
    </row>
    <row r="90" spans="1:9">
      <c r="A90" t="s">
        <v>114</v>
      </c>
      <c r="B90" t="s">
        <v>113</v>
      </c>
      <c r="C90">
        <v>195</v>
      </c>
      <c r="D90" s="90">
        <v>-6.25E-2</v>
      </c>
      <c r="E90" s="67"/>
      <c r="F90" s="67"/>
      <c r="G90" s="67"/>
      <c r="H90" s="67"/>
      <c r="I90" s="67"/>
    </row>
    <row r="91" spans="1:9" hidden="1">
      <c r="A91" t="s">
        <v>158</v>
      </c>
      <c r="B91" t="s">
        <v>157</v>
      </c>
      <c r="C91">
        <v>8555</v>
      </c>
      <c r="D91" s="90">
        <v>-6.2979189500000005E-2</v>
      </c>
      <c r="E91" s="67"/>
      <c r="F91" s="67"/>
      <c r="G91" s="67"/>
      <c r="H91" s="67"/>
      <c r="I91" s="67"/>
    </row>
    <row r="92" spans="1:9" hidden="1">
      <c r="A92" t="s">
        <v>212</v>
      </c>
      <c r="B92" t="s">
        <v>211</v>
      </c>
      <c r="C92">
        <v>53</v>
      </c>
      <c r="D92" s="90">
        <v>-6.3604240300000003E-2</v>
      </c>
      <c r="E92" s="67"/>
      <c r="F92" s="67"/>
      <c r="G92" s="67"/>
      <c r="H92" s="67"/>
      <c r="I92" s="67"/>
    </row>
    <row r="93" spans="1:9">
      <c r="A93" t="s">
        <v>297</v>
      </c>
      <c r="B93" t="s">
        <v>296</v>
      </c>
      <c r="C93">
        <v>544</v>
      </c>
      <c r="D93" s="90">
        <v>-6.3683304600000004E-2</v>
      </c>
      <c r="E93" s="67"/>
      <c r="F93" s="67"/>
      <c r="G93" s="67"/>
      <c r="H93" s="67"/>
      <c r="I93" s="67"/>
    </row>
    <row r="94" spans="1:9">
      <c r="A94" t="s">
        <v>225</v>
      </c>
      <c r="B94" t="s">
        <v>210</v>
      </c>
      <c r="C94">
        <v>627</v>
      </c>
      <c r="D94" s="90">
        <v>-6.41791045E-2</v>
      </c>
      <c r="E94" s="67"/>
      <c r="F94" s="67"/>
      <c r="G94" s="67"/>
      <c r="H94" s="67"/>
      <c r="I94" s="67"/>
    </row>
    <row r="95" spans="1:9">
      <c r="A95" t="s">
        <v>118</v>
      </c>
      <c r="B95" t="s">
        <v>117</v>
      </c>
      <c r="C95">
        <v>739</v>
      </c>
      <c r="D95" s="90">
        <v>-6.4556961999999996E-2</v>
      </c>
      <c r="E95" s="67"/>
      <c r="F95" s="67"/>
      <c r="G95" s="67"/>
      <c r="H95" s="67"/>
      <c r="I95" s="67"/>
    </row>
    <row r="96" spans="1:9">
      <c r="A96" t="s">
        <v>275</v>
      </c>
      <c r="B96" t="s">
        <v>274</v>
      </c>
      <c r="C96">
        <v>617</v>
      </c>
      <c r="D96" s="90">
        <v>-6.5151515199999996E-2</v>
      </c>
      <c r="E96" s="67"/>
      <c r="F96" s="67"/>
      <c r="G96" s="67"/>
      <c r="H96" s="67"/>
      <c r="I96" s="67"/>
    </row>
    <row r="97" spans="1:9">
      <c r="A97" t="s">
        <v>197</v>
      </c>
      <c r="B97" t="s">
        <v>196</v>
      </c>
      <c r="C97">
        <v>496</v>
      </c>
      <c r="D97" s="90">
        <v>-6.5913370999999998E-2</v>
      </c>
      <c r="E97" s="67"/>
      <c r="F97" s="67"/>
      <c r="G97" s="67"/>
      <c r="H97" s="67"/>
      <c r="I97" s="67"/>
    </row>
    <row r="98" spans="1:9" hidden="1">
      <c r="A98" t="s">
        <v>240</v>
      </c>
      <c r="B98" t="s">
        <v>239</v>
      </c>
      <c r="C98">
        <v>33.9</v>
      </c>
      <c r="D98" s="90">
        <v>-6.6115702499999998E-2</v>
      </c>
      <c r="E98" s="67"/>
      <c r="F98" s="67"/>
      <c r="G98" s="67"/>
      <c r="H98" s="67"/>
      <c r="I98" s="67"/>
    </row>
    <row r="99" spans="1:9" hidden="1">
      <c r="A99" t="s">
        <v>97</v>
      </c>
      <c r="B99" t="s">
        <v>96</v>
      </c>
      <c r="C99">
        <v>91.7</v>
      </c>
      <c r="D99" s="90">
        <v>-6.6191446000000001E-2</v>
      </c>
      <c r="E99" s="67"/>
      <c r="F99" s="67"/>
      <c r="G99" s="67"/>
      <c r="H99" s="67"/>
      <c r="I99" s="67"/>
    </row>
    <row r="100" spans="1:9">
      <c r="A100" t="s">
        <v>106</v>
      </c>
      <c r="B100" t="s">
        <v>105</v>
      </c>
      <c r="C100">
        <v>316</v>
      </c>
      <c r="D100" s="90">
        <v>-6.7846607700000006E-2</v>
      </c>
      <c r="E100" s="67"/>
      <c r="F100" s="67"/>
      <c r="G100" s="67"/>
      <c r="H100" s="67"/>
      <c r="I100" s="67"/>
    </row>
    <row r="101" spans="1:9">
      <c r="A101" t="s">
        <v>250</v>
      </c>
      <c r="B101" t="s">
        <v>247</v>
      </c>
      <c r="C101">
        <v>246</v>
      </c>
      <c r="D101" s="90">
        <v>-6.8181818199999994E-2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350</v>
      </c>
      <c r="C102">
        <v>230</v>
      </c>
      <c r="D102" s="90">
        <v>-6.8825910899999995E-2</v>
      </c>
      <c r="E102" s="67"/>
      <c r="F102" s="67"/>
      <c r="G102" s="67"/>
      <c r="H102" s="67"/>
      <c r="I102" s="67"/>
    </row>
    <row r="103" spans="1:9">
      <c r="A103" t="s">
        <v>287</v>
      </c>
      <c r="B103" t="s">
        <v>286</v>
      </c>
      <c r="C103">
        <v>633</v>
      </c>
      <c r="D103" s="90">
        <v>-6.9117647099999999E-2</v>
      </c>
      <c r="E103" s="67"/>
      <c r="F103" s="67"/>
      <c r="G103" s="67"/>
      <c r="H103" s="67"/>
      <c r="I103" s="67"/>
    </row>
    <row r="104" spans="1:9" hidden="1">
      <c r="A104" t="s">
        <v>195</v>
      </c>
      <c r="B104" t="s">
        <v>188</v>
      </c>
      <c r="C104">
        <v>28600</v>
      </c>
      <c r="D104" s="90">
        <v>-6.9616135300000007E-2</v>
      </c>
      <c r="E104" s="67"/>
      <c r="F104" s="67"/>
      <c r="G104" s="67"/>
      <c r="H104" s="67"/>
      <c r="I104" s="67"/>
    </row>
    <row r="105" spans="1:9" hidden="1">
      <c r="A105" t="s">
        <v>184</v>
      </c>
      <c r="B105" t="s">
        <v>183</v>
      </c>
      <c r="C105">
        <v>38.700000000000003</v>
      </c>
      <c r="D105" s="90">
        <v>-6.9711538500000003E-2</v>
      </c>
      <c r="E105" s="67"/>
      <c r="F105" s="67"/>
      <c r="G105" s="67"/>
      <c r="H105" s="67"/>
      <c r="I105" s="67"/>
    </row>
    <row r="106" spans="1:9">
      <c r="A106" t="s">
        <v>258</v>
      </c>
      <c r="B106" t="s">
        <v>257</v>
      </c>
      <c r="C106">
        <v>253</v>
      </c>
      <c r="D106" s="90">
        <v>-6.9852941200000004E-2</v>
      </c>
      <c r="E106" s="67"/>
      <c r="F106" s="67"/>
      <c r="G106" s="67"/>
      <c r="H106" s="67"/>
      <c r="I106" s="67"/>
    </row>
    <row r="107" spans="1:9" hidden="1">
      <c r="A107" t="s">
        <v>268</v>
      </c>
      <c r="B107" t="s">
        <v>267</v>
      </c>
      <c r="C107">
        <v>142300</v>
      </c>
      <c r="D107" s="90">
        <v>-7.0238484200000006E-2</v>
      </c>
      <c r="E107" s="67"/>
      <c r="F107" s="67"/>
      <c r="G107" s="67"/>
      <c r="H107" s="67"/>
      <c r="I107" s="67"/>
    </row>
    <row r="108" spans="1:9">
      <c r="A108" t="s">
        <v>160</v>
      </c>
      <c r="B108" t="s">
        <v>159</v>
      </c>
      <c r="C108">
        <v>831</v>
      </c>
      <c r="D108" s="90">
        <v>-7.0469798700000003E-2</v>
      </c>
      <c r="E108" s="67"/>
      <c r="F108" s="67"/>
      <c r="G108" s="67"/>
      <c r="H108" s="67"/>
      <c r="I108" s="67"/>
    </row>
    <row r="109" spans="1:9">
      <c r="A109" t="s">
        <v>170</v>
      </c>
      <c r="B109" t="s">
        <v>169</v>
      </c>
      <c r="C109">
        <v>170</v>
      </c>
      <c r="D109" s="90">
        <v>-7.1038251400000002E-2</v>
      </c>
    </row>
    <row r="110" spans="1:9" hidden="1">
      <c r="A110" t="s">
        <v>283</v>
      </c>
      <c r="B110" t="s">
        <v>282</v>
      </c>
      <c r="C110">
        <v>3320</v>
      </c>
      <c r="D110" s="90">
        <v>-7.1328671299999993E-2</v>
      </c>
    </row>
    <row r="111" spans="1:9" hidden="1">
      <c r="A111" t="s">
        <v>120</v>
      </c>
      <c r="B111" t="s">
        <v>119</v>
      </c>
      <c r="C111">
        <v>58320</v>
      </c>
      <c r="D111" s="90">
        <v>-7.1485432299999999E-2</v>
      </c>
    </row>
    <row r="112" spans="1:9" hidden="1">
      <c r="A112" t="s">
        <v>246</v>
      </c>
      <c r="B112" t="s">
        <v>245</v>
      </c>
      <c r="C112">
        <v>1920</v>
      </c>
      <c r="D112" s="90">
        <v>-7.2463768100000006E-2</v>
      </c>
    </row>
    <row r="113" spans="1:4" hidden="1">
      <c r="A113" t="s">
        <v>235</v>
      </c>
      <c r="B113" t="s">
        <v>234</v>
      </c>
      <c r="C113">
        <v>3010</v>
      </c>
      <c r="D113" s="90">
        <v>-7.3846153799999995E-2</v>
      </c>
    </row>
    <row r="114" spans="1:4" hidden="1">
      <c r="A114" t="s">
        <v>104</v>
      </c>
      <c r="B114" t="s">
        <v>103</v>
      </c>
      <c r="C114">
        <v>11170</v>
      </c>
      <c r="D114" s="90">
        <v>-7.7621800199999993E-2</v>
      </c>
    </row>
    <row r="115" spans="1:4" hidden="1">
      <c r="A115" t="s">
        <v>256</v>
      </c>
      <c r="B115" t="s">
        <v>255</v>
      </c>
      <c r="C115">
        <v>2395</v>
      </c>
      <c r="D115" s="90">
        <v>-7.8846153799999999E-2</v>
      </c>
    </row>
    <row r="116" spans="1:4">
      <c r="A116" t="s">
        <v>238</v>
      </c>
      <c r="B116" t="s">
        <v>237</v>
      </c>
      <c r="C116">
        <v>818</v>
      </c>
      <c r="D116" s="90">
        <v>-8.2959641299999998E-2</v>
      </c>
    </row>
    <row r="117" spans="1:4" hidden="1">
      <c r="A117" t="s">
        <v>130</v>
      </c>
      <c r="B117" t="s">
        <v>129</v>
      </c>
      <c r="C117">
        <v>9595</v>
      </c>
      <c r="D117" s="90">
        <v>-9.6516007500000001E-2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2021-04-12T15:55:53Z</dcterms:modified>
</cp:coreProperties>
</file>